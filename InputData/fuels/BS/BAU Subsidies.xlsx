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24226"/>
  <mc:AlternateContent xmlns:mc="http://schemas.openxmlformats.org/markup-compatibility/2006">
    <mc:Choice Requires="x15">
      <x15ac:absPath xmlns:x15ac="http://schemas.microsoft.com/office/spreadsheetml/2010/11/ac" url="C:\Modeling\EPS\US\eps-us\InputData\fuels\BS\"/>
    </mc:Choice>
  </mc:AlternateContent>
  <xr:revisionPtr revIDLastSave="0" documentId="13_ncr:1_{1C53563E-58F2-4655-BD30-F0FF65365D14}" xr6:coauthVersionLast="47" xr6:coauthVersionMax="47" xr10:uidLastSave="{00000000-0000-0000-0000-000000000000}"/>
  <bookViews>
    <workbookView xWindow="28680" yWindow="-120" windowWidth="29040" windowHeight="17520" tabRatio="955" firstSheet="15" activeTab="16" xr2:uid="{00000000-000D-0000-FFFF-FFFF00000000}"/>
  </bookViews>
  <sheets>
    <sheet name="About" sheetId="1" r:id="rId1"/>
    <sheet name="Inflation Reduction Act - elec" sheetId="24" r:id="rId2"/>
    <sheet name="Inflation Reduction Act - Hydn" sheetId="35" r:id="rId3"/>
    <sheet name="Tax Credits" sheetId="25" r:id="rId4"/>
    <sheet name="Solar - Utility PV" sheetId="27" r:id="rId5"/>
    <sheet name="Land-Based Wind" sheetId="26" r:id="rId6"/>
    <sheet name="Subsidies Paid" sheetId="12" r:id="rId7"/>
    <sheet name="AEO 2022 Table 1" sheetId="3" r:id="rId8"/>
    <sheet name="AEO 2023 Table 1" sheetId="21" r:id="rId9"/>
    <sheet name="AEO 2022 Table 8" sheetId="9" r:id="rId10"/>
    <sheet name="AEO 2023 Table 8" sheetId="22" r:id="rId11"/>
    <sheet name="AEO 2022 Table 11" sheetId="6" r:id="rId12"/>
    <sheet name="AEO 2023 Table 11" sheetId="23" r:id="rId13"/>
    <sheet name="Calculations" sheetId="14" r:id="rId14"/>
    <sheet name="Wind PV Calcs" sheetId="20" r:id="rId15"/>
    <sheet name="Monetizing Tax Credit Penalty" sheetId="17" r:id="rId16"/>
    <sheet name="BS-BSfTFpEUP-transportation" sheetId="10" r:id="rId17"/>
    <sheet name="BS-BSfTFpEUP-electricity" sheetId="29" r:id="rId18"/>
    <sheet name="BS-BSfTFpEUP-res-bldgs" sheetId="30" r:id="rId19"/>
    <sheet name="BS-BSfTFpEUP-com-bldgs" sheetId="31" r:id="rId20"/>
    <sheet name="BS-BSfTFpEUP-industry" sheetId="32" r:id="rId21"/>
    <sheet name="BS-BSfTFpEUP-dist-heat-hydgn" sheetId="33" r:id="rId22"/>
    <sheet name="BS-BSfTFpEUP-geoeng" sheetId="34" r:id="rId23"/>
    <sheet name="BS-BSpUEO" sheetId="19" r:id="rId24"/>
    <sheet name="BS-BSpUECB" sheetId="16" r:id="rId25"/>
    <sheet name="BS-DoSpUEO" sheetId="28" r:id="rId26"/>
    <sheet name="JCT Table 1_Notes" sheetId="15" r:id="rId27"/>
  </sheets>
  <definedNames>
    <definedName name="dollars_2020_2012">About!$A$81</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22" i="34" l="1"/>
  <c r="AD22" i="34"/>
  <c r="AC22" i="34"/>
  <c r="AB22" i="34"/>
  <c r="AA22" i="34"/>
  <c r="Z22" i="34"/>
  <c r="Y22" i="34"/>
  <c r="X22" i="34"/>
  <c r="W22" i="34"/>
  <c r="V22" i="34"/>
  <c r="U22" i="34"/>
  <c r="T22" i="34"/>
  <c r="S22" i="34"/>
  <c r="R22" i="34"/>
  <c r="Q22" i="34"/>
  <c r="P22" i="34"/>
  <c r="O22" i="34"/>
  <c r="N22" i="34"/>
  <c r="M22" i="34"/>
  <c r="L22" i="34"/>
  <c r="K22" i="34"/>
  <c r="J22" i="34"/>
  <c r="I22" i="34"/>
  <c r="H22" i="34"/>
  <c r="G22" i="34"/>
  <c r="F22" i="34"/>
  <c r="E22" i="34"/>
  <c r="D22" i="34"/>
  <c r="C22" i="34"/>
  <c r="B22" i="34"/>
  <c r="AE22" i="33"/>
  <c r="AD22" i="33"/>
  <c r="AC22" i="33"/>
  <c r="AB22" i="33"/>
  <c r="AA22" i="33"/>
  <c r="Z22" i="33"/>
  <c r="Y22" i="33"/>
  <c r="X22" i="33"/>
  <c r="W22" i="33"/>
  <c r="V22" i="33"/>
  <c r="U22" i="33"/>
  <c r="T22" i="33"/>
  <c r="S22" i="33"/>
  <c r="R22" i="33"/>
  <c r="Q22" i="33"/>
  <c r="P22" i="33"/>
  <c r="O22" i="33"/>
  <c r="N22" i="33"/>
  <c r="M22" i="33"/>
  <c r="L22" i="33"/>
  <c r="K22" i="33"/>
  <c r="J22" i="33"/>
  <c r="I22" i="33"/>
  <c r="H22" i="33"/>
  <c r="G22" i="33"/>
  <c r="F22" i="33"/>
  <c r="E22" i="33"/>
  <c r="D22" i="33"/>
  <c r="C22" i="33"/>
  <c r="B22" i="33"/>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E22" i="29"/>
  <c r="AD22" i="29"/>
  <c r="AC22" i="29"/>
  <c r="AB22" i="29"/>
  <c r="AA22" i="29"/>
  <c r="Z22" i="29"/>
  <c r="Y22" i="29"/>
  <c r="X22" i="29"/>
  <c r="W22" i="29"/>
  <c r="V22" i="29"/>
  <c r="U22" i="29"/>
  <c r="T22" i="29"/>
  <c r="S22" i="29"/>
  <c r="R22" i="29"/>
  <c r="Q22" i="29"/>
  <c r="P22" i="29"/>
  <c r="O22" i="29"/>
  <c r="N22" i="29"/>
  <c r="M22" i="29"/>
  <c r="L22" i="29"/>
  <c r="K22" i="29"/>
  <c r="J22" i="29"/>
  <c r="I22" i="29"/>
  <c r="H22" i="29"/>
  <c r="G22" i="29"/>
  <c r="F22" i="29"/>
  <c r="E22" i="29"/>
  <c r="D22" i="29"/>
  <c r="C22" i="29"/>
  <c r="B22" i="29"/>
  <c r="AE22" i="31"/>
  <c r="AD22" i="31"/>
  <c r="AC22" i="31"/>
  <c r="AB22" i="31"/>
  <c r="AA22" i="31"/>
  <c r="Z22" i="31"/>
  <c r="Y22" i="31"/>
  <c r="X22" i="31"/>
  <c r="W22" i="31"/>
  <c r="V22" i="31"/>
  <c r="U22" i="31"/>
  <c r="T22" i="31"/>
  <c r="S22" i="31"/>
  <c r="R22" i="31"/>
  <c r="Q22" i="31"/>
  <c r="P22" i="31"/>
  <c r="O22" i="31"/>
  <c r="N22" i="31"/>
  <c r="M22" i="31"/>
  <c r="L22" i="31"/>
  <c r="K22" i="31"/>
  <c r="J22" i="31"/>
  <c r="I22" i="31"/>
  <c r="H22" i="31"/>
  <c r="G22" i="31"/>
  <c r="F22" i="31"/>
  <c r="E22" i="31"/>
  <c r="D22" i="31"/>
  <c r="C22" i="31"/>
  <c r="B22" i="31"/>
  <c r="AE22" i="30"/>
  <c r="AD22" i="30"/>
  <c r="AC22" i="30"/>
  <c r="AB22" i="30"/>
  <c r="AA22" i="30"/>
  <c r="Z22" i="30"/>
  <c r="Y22" i="30"/>
  <c r="X22" i="30"/>
  <c r="W22" i="30"/>
  <c r="V22" i="30"/>
  <c r="U22" i="30"/>
  <c r="T22" i="30"/>
  <c r="S22" i="30"/>
  <c r="R22" i="30"/>
  <c r="Q22" i="30"/>
  <c r="P22" i="30"/>
  <c r="O22" i="30"/>
  <c r="N22" i="30"/>
  <c r="M22" i="30"/>
  <c r="L22" i="30"/>
  <c r="K22" i="30"/>
  <c r="J22" i="30"/>
  <c r="I22" i="30"/>
  <c r="H22" i="30"/>
  <c r="G22" i="30"/>
  <c r="F22" i="30"/>
  <c r="E22" i="30"/>
  <c r="D22" i="30"/>
  <c r="C22" i="30"/>
  <c r="B22" i="30"/>
  <c r="AE22" i="10"/>
  <c r="AD22" i="10"/>
  <c r="AC22" i="10"/>
  <c r="AB22" i="10"/>
  <c r="AA22" i="10"/>
  <c r="Z22" i="10"/>
  <c r="Y22" i="10"/>
  <c r="X22" i="10"/>
  <c r="W22" i="10"/>
  <c r="V22" i="10"/>
  <c r="U22" i="10"/>
  <c r="T22" i="10"/>
  <c r="S22" i="10"/>
  <c r="R22" i="10"/>
  <c r="Q22" i="10"/>
  <c r="P22" i="10"/>
  <c r="O22" i="10"/>
  <c r="N22" i="10"/>
  <c r="M22" i="10"/>
  <c r="L22" i="10"/>
  <c r="K22" i="10"/>
  <c r="J22" i="10"/>
  <c r="I22" i="10"/>
  <c r="H22" i="10"/>
  <c r="G22" i="10"/>
  <c r="F22" i="10"/>
  <c r="E22" i="10"/>
  <c r="D22" i="10"/>
  <c r="C22" i="10"/>
  <c r="B22" i="10"/>
  <c r="D58" i="35"/>
  <c r="D57" i="35"/>
  <c r="B53" i="35"/>
  <c r="B47" i="35"/>
  <c r="D7" i="35"/>
  <c r="C7" i="35"/>
  <c r="E28" i="35" s="1"/>
  <c r="B7" i="35"/>
  <c r="D6" i="35"/>
  <c r="C6" i="35"/>
  <c r="E27" i="35" s="1"/>
  <c r="B6" i="35"/>
  <c r="D27" i="35"/>
  <c r="AE59" i="35"/>
  <c r="AD59" i="35"/>
  <c r="AC59" i="35"/>
  <c r="AB59" i="35"/>
  <c r="AA59" i="35"/>
  <c r="Z59" i="35"/>
  <c r="Y59" i="35"/>
  <c r="X59" i="35"/>
  <c r="W59" i="35"/>
  <c r="V59" i="35"/>
  <c r="U59" i="35"/>
  <c r="T59" i="35"/>
  <c r="S59" i="35"/>
  <c r="R59" i="35"/>
  <c r="Q59" i="35"/>
  <c r="P59" i="35"/>
  <c r="O59" i="35"/>
  <c r="N59" i="35"/>
  <c r="AE58" i="35"/>
  <c r="AD58" i="35"/>
  <c r="AC58" i="35"/>
  <c r="AB58" i="35"/>
  <c r="AA58" i="35"/>
  <c r="Z58" i="35"/>
  <c r="Y58" i="35"/>
  <c r="X58" i="35"/>
  <c r="W58" i="35"/>
  <c r="V58" i="35"/>
  <c r="U58" i="35"/>
  <c r="T58" i="35"/>
  <c r="S58" i="35"/>
  <c r="R58" i="35"/>
  <c r="Q58" i="35"/>
  <c r="P58" i="35"/>
  <c r="O58" i="35"/>
  <c r="N58" i="35"/>
  <c r="AE57" i="35"/>
  <c r="AD57" i="35"/>
  <c r="AC57" i="35"/>
  <c r="AB57" i="35"/>
  <c r="AA57" i="35"/>
  <c r="Z57" i="35"/>
  <c r="Y57" i="35"/>
  <c r="X57" i="35"/>
  <c r="W57" i="35"/>
  <c r="V57" i="35"/>
  <c r="U57" i="35"/>
  <c r="T57" i="35"/>
  <c r="S57" i="35"/>
  <c r="R57" i="35"/>
  <c r="Q57" i="35"/>
  <c r="P57" i="35"/>
  <c r="O57" i="35"/>
  <c r="N57" i="35"/>
  <c r="B52" i="35"/>
  <c r="B46" i="35"/>
  <c r="F28" i="35"/>
  <c r="D28" i="35"/>
  <c r="F27" i="35"/>
  <c r="AE19" i="34"/>
  <c r="AD19" i="34"/>
  <c r="AC19" i="34"/>
  <c r="AB19" i="34"/>
  <c r="AA19" i="34"/>
  <c r="Z19" i="34"/>
  <c r="Y19" i="34"/>
  <c r="X19" i="34"/>
  <c r="W19" i="34"/>
  <c r="V19" i="34"/>
  <c r="U19" i="34"/>
  <c r="T19" i="34"/>
  <c r="S19" i="34"/>
  <c r="R19" i="34"/>
  <c r="Q19" i="34"/>
  <c r="P19" i="34"/>
  <c r="O19" i="34"/>
  <c r="N19" i="34"/>
  <c r="M19" i="34"/>
  <c r="L19" i="34"/>
  <c r="K19" i="34"/>
  <c r="J19" i="34"/>
  <c r="I19" i="34"/>
  <c r="H19" i="34"/>
  <c r="G19" i="34"/>
  <c r="F19" i="34"/>
  <c r="E19" i="34"/>
  <c r="D19" i="34"/>
  <c r="C19" i="34"/>
  <c r="B19" i="34"/>
  <c r="AE18" i="34"/>
  <c r="AD18" i="34"/>
  <c r="AC18" i="34"/>
  <c r="AB18" i="34"/>
  <c r="AA18" i="34"/>
  <c r="Z18" i="34"/>
  <c r="Y18" i="34"/>
  <c r="X18" i="34"/>
  <c r="W18" i="34"/>
  <c r="V18" i="34"/>
  <c r="U18" i="34"/>
  <c r="T18" i="34"/>
  <c r="S18" i="34"/>
  <c r="R18" i="34"/>
  <c r="Q18" i="34"/>
  <c r="P18" i="34"/>
  <c r="O18" i="34"/>
  <c r="N18" i="34"/>
  <c r="M18" i="34"/>
  <c r="L18" i="34"/>
  <c r="K18" i="34"/>
  <c r="J18" i="34"/>
  <c r="I18" i="34"/>
  <c r="H18" i="34"/>
  <c r="G18" i="34"/>
  <c r="F18" i="34"/>
  <c r="E18" i="34"/>
  <c r="D18" i="34"/>
  <c r="C18" i="34"/>
  <c r="B18" i="34"/>
  <c r="AD17" i="34"/>
  <c r="V17" i="34"/>
  <c r="N17" i="34"/>
  <c r="F17" i="34"/>
  <c r="AE14" i="34"/>
  <c r="AD14" i="34"/>
  <c r="AC14" i="34"/>
  <c r="AB14" i="34"/>
  <c r="AA14" i="34"/>
  <c r="Z14" i="34"/>
  <c r="Y14" i="34"/>
  <c r="X14" i="34"/>
  <c r="W14" i="34"/>
  <c r="V14" i="34"/>
  <c r="U14" i="34"/>
  <c r="T14" i="34"/>
  <c r="S14" i="34"/>
  <c r="R14" i="34"/>
  <c r="Q14" i="34"/>
  <c r="P14" i="34"/>
  <c r="O14" i="34"/>
  <c r="N14" i="34"/>
  <c r="M14" i="34"/>
  <c r="L14" i="34"/>
  <c r="K14" i="34"/>
  <c r="J14" i="34"/>
  <c r="I14" i="34"/>
  <c r="H14" i="34"/>
  <c r="G14" i="34"/>
  <c r="F14" i="34"/>
  <c r="E14" i="34"/>
  <c r="D14" i="34"/>
  <c r="C14" i="34"/>
  <c r="B14" i="34"/>
  <c r="AE11" i="34"/>
  <c r="AD11" i="34"/>
  <c r="AC11" i="34"/>
  <c r="AB11" i="34"/>
  <c r="AA11" i="34"/>
  <c r="Z11" i="34"/>
  <c r="Y11" i="34"/>
  <c r="X11" i="34"/>
  <c r="W11" i="34"/>
  <c r="V11" i="34"/>
  <c r="U11" i="34"/>
  <c r="T11" i="34"/>
  <c r="S11" i="34"/>
  <c r="R11" i="34"/>
  <c r="Q11" i="34"/>
  <c r="P11" i="34"/>
  <c r="O11" i="34"/>
  <c r="N11" i="34"/>
  <c r="M11" i="34"/>
  <c r="L11" i="34"/>
  <c r="K11" i="34"/>
  <c r="J11" i="34"/>
  <c r="I11" i="34"/>
  <c r="H11" i="34"/>
  <c r="G11" i="34"/>
  <c r="F11" i="34"/>
  <c r="E11" i="34"/>
  <c r="D11" i="34"/>
  <c r="C11" i="34"/>
  <c r="B11" i="34"/>
  <c r="AE10" i="34"/>
  <c r="AD10" i="34"/>
  <c r="AC10" i="34"/>
  <c r="AB10" i="34"/>
  <c r="AA10" i="34"/>
  <c r="Z10" i="34"/>
  <c r="Y10" i="34"/>
  <c r="X10" i="34"/>
  <c r="W10" i="34"/>
  <c r="V10" i="34"/>
  <c r="U10" i="34"/>
  <c r="T10" i="34"/>
  <c r="S10" i="34"/>
  <c r="R10" i="34"/>
  <c r="Q10" i="34"/>
  <c r="P10" i="34"/>
  <c r="O10" i="34"/>
  <c r="N10" i="34"/>
  <c r="M10" i="34"/>
  <c r="L10" i="34"/>
  <c r="K10" i="34"/>
  <c r="J10" i="34"/>
  <c r="I10" i="34"/>
  <c r="H10" i="34"/>
  <c r="G10" i="34"/>
  <c r="F10" i="34"/>
  <c r="E10" i="34"/>
  <c r="D10" i="34"/>
  <c r="C10" i="34"/>
  <c r="B10" i="34"/>
  <c r="AE4" i="34"/>
  <c r="AD4" i="34"/>
  <c r="AC4" i="34"/>
  <c r="AB4" i="34"/>
  <c r="AA4" i="34"/>
  <c r="Z4" i="34"/>
  <c r="Y4" i="34"/>
  <c r="X4" i="34"/>
  <c r="W4" i="34"/>
  <c r="V4" i="34"/>
  <c r="U4" i="34"/>
  <c r="T4" i="34"/>
  <c r="S4" i="34"/>
  <c r="R4" i="34"/>
  <c r="Q4" i="34"/>
  <c r="P4" i="34"/>
  <c r="O4" i="34"/>
  <c r="N4" i="34"/>
  <c r="M4" i="34"/>
  <c r="L4" i="34"/>
  <c r="K4" i="34"/>
  <c r="J4" i="34"/>
  <c r="I4" i="34"/>
  <c r="H4" i="34"/>
  <c r="G4" i="34"/>
  <c r="F4" i="34"/>
  <c r="E4" i="34"/>
  <c r="D4" i="34"/>
  <c r="C4" i="34"/>
  <c r="B4" i="34"/>
  <c r="AE3" i="34"/>
  <c r="AE17" i="34" s="1"/>
  <c r="AD3" i="34"/>
  <c r="AC3" i="34"/>
  <c r="AC17" i="34" s="1"/>
  <c r="AB3" i="34"/>
  <c r="AB17" i="34" s="1"/>
  <c r="AA3" i="34"/>
  <c r="AA17" i="34" s="1"/>
  <c r="Z3" i="34"/>
  <c r="Z17" i="34" s="1"/>
  <c r="Y3" i="34"/>
  <c r="Y17" i="34" s="1"/>
  <c r="X3" i="34"/>
  <c r="X17" i="34" s="1"/>
  <c r="W3" i="34"/>
  <c r="W17" i="34" s="1"/>
  <c r="V3" i="34"/>
  <c r="U3" i="34"/>
  <c r="U17" i="34" s="1"/>
  <c r="T3" i="34"/>
  <c r="T17" i="34" s="1"/>
  <c r="S3" i="34"/>
  <c r="S17" i="34" s="1"/>
  <c r="R3" i="34"/>
  <c r="R17" i="34" s="1"/>
  <c r="Q3" i="34"/>
  <c r="Q17" i="34" s="1"/>
  <c r="P3" i="34"/>
  <c r="P17" i="34" s="1"/>
  <c r="O3" i="34"/>
  <c r="O17" i="34" s="1"/>
  <c r="N3" i="34"/>
  <c r="M3" i="34"/>
  <c r="M17" i="34" s="1"/>
  <c r="L3" i="34"/>
  <c r="L17" i="34" s="1"/>
  <c r="K3" i="34"/>
  <c r="K17" i="34" s="1"/>
  <c r="J3" i="34"/>
  <c r="J17" i="34" s="1"/>
  <c r="I3" i="34"/>
  <c r="I17" i="34" s="1"/>
  <c r="H3" i="34"/>
  <c r="H17" i="34" s="1"/>
  <c r="G3" i="34"/>
  <c r="G17" i="34" s="1"/>
  <c r="F3" i="34"/>
  <c r="E3" i="34"/>
  <c r="E17" i="34" s="1"/>
  <c r="D3" i="34"/>
  <c r="D17" i="34" s="1"/>
  <c r="C3" i="34"/>
  <c r="C17" i="34" s="1"/>
  <c r="B3" i="34"/>
  <c r="B17" i="34" s="1"/>
  <c r="AE19" i="33"/>
  <c r="AD19" i="33"/>
  <c r="AC19" i="33"/>
  <c r="AB19" i="33"/>
  <c r="AA19" i="33"/>
  <c r="Z19" i="33"/>
  <c r="Y19" i="33"/>
  <c r="X19" i="33"/>
  <c r="W19" i="33"/>
  <c r="V19" i="33"/>
  <c r="U19" i="33"/>
  <c r="T19" i="33"/>
  <c r="S19" i="33"/>
  <c r="R19" i="33"/>
  <c r="Q19" i="33"/>
  <c r="P19" i="33"/>
  <c r="O19" i="33"/>
  <c r="N19" i="33"/>
  <c r="M19" i="33"/>
  <c r="L19" i="33"/>
  <c r="K19" i="33"/>
  <c r="J19" i="33"/>
  <c r="I19" i="33"/>
  <c r="H19" i="33"/>
  <c r="G19" i="33"/>
  <c r="F19" i="33"/>
  <c r="E19" i="33"/>
  <c r="D19" i="33"/>
  <c r="C19" i="33"/>
  <c r="B19" i="33"/>
  <c r="AE18" i="33"/>
  <c r="AD18" i="33"/>
  <c r="AC18" i="33"/>
  <c r="AB18" i="33"/>
  <c r="AA18" i="33"/>
  <c r="Z18" i="33"/>
  <c r="Y18" i="33"/>
  <c r="X18" i="33"/>
  <c r="W18" i="33"/>
  <c r="V18" i="33"/>
  <c r="U18" i="33"/>
  <c r="T18" i="33"/>
  <c r="S18" i="33"/>
  <c r="R18" i="33"/>
  <c r="Q18" i="33"/>
  <c r="P18" i="33"/>
  <c r="O18" i="33"/>
  <c r="N18" i="33"/>
  <c r="M18" i="33"/>
  <c r="L18" i="33"/>
  <c r="K18" i="33"/>
  <c r="J18" i="33"/>
  <c r="I18" i="33"/>
  <c r="H18" i="33"/>
  <c r="G18" i="33"/>
  <c r="F18" i="33"/>
  <c r="E18" i="33"/>
  <c r="D18" i="33"/>
  <c r="C18" i="33"/>
  <c r="B18" i="33"/>
  <c r="X17" i="33"/>
  <c r="P17" i="33"/>
  <c r="H17" i="33"/>
  <c r="AE14" i="33"/>
  <c r="AD14" i="33"/>
  <c r="AC14" i="33"/>
  <c r="AB14" i="33"/>
  <c r="AA14" i="33"/>
  <c r="Z14" i="33"/>
  <c r="Y14" i="33"/>
  <c r="X14" i="33"/>
  <c r="W14" i="33"/>
  <c r="V14" i="33"/>
  <c r="U14" i="33"/>
  <c r="T14" i="33"/>
  <c r="S14" i="33"/>
  <c r="R14" i="33"/>
  <c r="Q14" i="33"/>
  <c r="P14" i="33"/>
  <c r="O14" i="33"/>
  <c r="N14" i="33"/>
  <c r="M14" i="33"/>
  <c r="L14" i="33"/>
  <c r="K14" i="33"/>
  <c r="J14" i="33"/>
  <c r="I14" i="33"/>
  <c r="H14" i="33"/>
  <c r="G14" i="33"/>
  <c r="F14" i="33"/>
  <c r="E14" i="33"/>
  <c r="D14" i="33"/>
  <c r="C14" i="33"/>
  <c r="B14" i="33"/>
  <c r="AE11" i="33"/>
  <c r="AD11" i="33"/>
  <c r="AC11" i="33"/>
  <c r="AB11" i="33"/>
  <c r="AA11" i="33"/>
  <c r="Z11" i="33"/>
  <c r="Y11" i="33"/>
  <c r="X11" i="33"/>
  <c r="W11" i="33"/>
  <c r="V11" i="33"/>
  <c r="U11" i="33"/>
  <c r="T11" i="33"/>
  <c r="S11" i="33"/>
  <c r="R11" i="33"/>
  <c r="Q11" i="33"/>
  <c r="P11" i="33"/>
  <c r="O11" i="33"/>
  <c r="N11" i="33"/>
  <c r="M11" i="33"/>
  <c r="L11" i="33"/>
  <c r="K11" i="33"/>
  <c r="J11" i="33"/>
  <c r="I11" i="33"/>
  <c r="H11" i="33"/>
  <c r="G11" i="33"/>
  <c r="F11" i="33"/>
  <c r="E11" i="33"/>
  <c r="D11" i="33"/>
  <c r="C11" i="33"/>
  <c r="B11" i="33"/>
  <c r="AE10" i="33"/>
  <c r="AD10" i="33"/>
  <c r="AC10" i="33"/>
  <c r="AB10" i="33"/>
  <c r="AA10" i="33"/>
  <c r="Z10" i="33"/>
  <c r="Y10" i="33"/>
  <c r="X10" i="33"/>
  <c r="W10" i="33"/>
  <c r="V10" i="33"/>
  <c r="U10" i="33"/>
  <c r="T10" i="33"/>
  <c r="S10" i="33"/>
  <c r="R10" i="33"/>
  <c r="Q10" i="33"/>
  <c r="P10" i="33"/>
  <c r="O10" i="33"/>
  <c r="N10" i="33"/>
  <c r="M10" i="33"/>
  <c r="L10" i="33"/>
  <c r="K10" i="33"/>
  <c r="J10" i="33"/>
  <c r="I10" i="33"/>
  <c r="H10" i="33"/>
  <c r="G10" i="33"/>
  <c r="F10" i="33"/>
  <c r="E10" i="33"/>
  <c r="D10" i="33"/>
  <c r="C10" i="33"/>
  <c r="B10" i="33"/>
  <c r="AE4" i="33"/>
  <c r="AD4" i="33"/>
  <c r="AC4" i="33"/>
  <c r="AB4" i="33"/>
  <c r="AA4" i="33"/>
  <c r="Z4" i="33"/>
  <c r="Y4" i="33"/>
  <c r="X4" i="33"/>
  <c r="W4" i="33"/>
  <c r="V4" i="33"/>
  <c r="U4" i="33"/>
  <c r="T4" i="33"/>
  <c r="S4" i="33"/>
  <c r="R4" i="33"/>
  <c r="Q4" i="33"/>
  <c r="P4" i="33"/>
  <c r="O4" i="33"/>
  <c r="N4" i="33"/>
  <c r="M4" i="33"/>
  <c r="L4" i="33"/>
  <c r="K4" i="33"/>
  <c r="J4" i="33"/>
  <c r="I4" i="33"/>
  <c r="H4" i="33"/>
  <c r="G4" i="33"/>
  <c r="F4" i="33"/>
  <c r="E4" i="33"/>
  <c r="D4" i="33"/>
  <c r="C4" i="33"/>
  <c r="B4" i="33"/>
  <c r="AE3" i="33"/>
  <c r="AE17" i="33" s="1"/>
  <c r="AD3" i="33"/>
  <c r="AD17" i="33" s="1"/>
  <c r="AC3" i="33"/>
  <c r="AC17" i="33" s="1"/>
  <c r="AB3" i="33"/>
  <c r="AB17" i="33" s="1"/>
  <c r="AA3" i="33"/>
  <c r="AA17" i="33" s="1"/>
  <c r="Z3" i="33"/>
  <c r="Z17" i="33" s="1"/>
  <c r="Y3" i="33"/>
  <c r="Y17" i="33" s="1"/>
  <c r="X3" i="33"/>
  <c r="W3" i="33"/>
  <c r="W17" i="33" s="1"/>
  <c r="V3" i="33"/>
  <c r="V17" i="33" s="1"/>
  <c r="U3" i="33"/>
  <c r="U17" i="33" s="1"/>
  <c r="T3" i="33"/>
  <c r="T17" i="33" s="1"/>
  <c r="S3" i="33"/>
  <c r="S17" i="33" s="1"/>
  <c r="R3" i="33"/>
  <c r="R17" i="33" s="1"/>
  <c r="Q3" i="33"/>
  <c r="Q17" i="33" s="1"/>
  <c r="P3" i="33"/>
  <c r="O3" i="33"/>
  <c r="O17" i="33" s="1"/>
  <c r="N3" i="33"/>
  <c r="N17" i="33" s="1"/>
  <c r="M3" i="33"/>
  <c r="M17" i="33" s="1"/>
  <c r="L3" i="33"/>
  <c r="L17" i="33" s="1"/>
  <c r="K3" i="33"/>
  <c r="K17" i="33" s="1"/>
  <c r="J3" i="33"/>
  <c r="J17" i="33" s="1"/>
  <c r="I3" i="33"/>
  <c r="I17" i="33" s="1"/>
  <c r="H3" i="33"/>
  <c r="G3" i="33"/>
  <c r="G17" i="33" s="1"/>
  <c r="F3" i="33"/>
  <c r="F17" i="33" s="1"/>
  <c r="E3" i="33"/>
  <c r="E17" i="33" s="1"/>
  <c r="D3" i="33"/>
  <c r="D17" i="33" s="1"/>
  <c r="C3" i="33"/>
  <c r="C17" i="33" s="1"/>
  <c r="B3" i="33"/>
  <c r="B17" i="33" s="1"/>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E18" i="32"/>
  <c r="AD18" i="32"/>
  <c r="AC18" i="32"/>
  <c r="AB18" i="32"/>
  <c r="AA18" i="32"/>
  <c r="Z18" i="32"/>
  <c r="Y18" i="32"/>
  <c r="X18" i="32"/>
  <c r="W18" i="32"/>
  <c r="V18" i="32"/>
  <c r="U18" i="32"/>
  <c r="T18" i="32"/>
  <c r="S18" i="32"/>
  <c r="R18" i="32"/>
  <c r="Q18" i="32"/>
  <c r="P18" i="32"/>
  <c r="O18" i="32"/>
  <c r="N18" i="32"/>
  <c r="M18" i="32"/>
  <c r="L18" i="32"/>
  <c r="K18" i="32"/>
  <c r="J18" i="32"/>
  <c r="I18" i="32"/>
  <c r="H18" i="32"/>
  <c r="G18" i="32"/>
  <c r="F18" i="32"/>
  <c r="E18" i="32"/>
  <c r="D18" i="32"/>
  <c r="C18" i="32"/>
  <c r="B18" i="32"/>
  <c r="Z17" i="32"/>
  <c r="R17" i="32"/>
  <c r="J17" i="32"/>
  <c r="B17" i="32"/>
  <c r="AE14" i="32"/>
  <c r="AD14" i="32"/>
  <c r="AC14" i="32"/>
  <c r="AB14" i="32"/>
  <c r="AA14" i="32"/>
  <c r="Z14" i="32"/>
  <c r="Y14" i="32"/>
  <c r="X14" i="32"/>
  <c r="W14" i="32"/>
  <c r="V14" i="32"/>
  <c r="U14" i="32"/>
  <c r="T14" i="32"/>
  <c r="S14" i="32"/>
  <c r="R14" i="32"/>
  <c r="Q14" i="32"/>
  <c r="P14" i="32"/>
  <c r="O14" i="32"/>
  <c r="N14" i="32"/>
  <c r="M14" i="32"/>
  <c r="L14" i="32"/>
  <c r="K14" i="32"/>
  <c r="J14" i="32"/>
  <c r="I14" i="32"/>
  <c r="H14" i="32"/>
  <c r="G14" i="32"/>
  <c r="F14" i="32"/>
  <c r="E14" i="32"/>
  <c r="D14" i="32"/>
  <c r="C14" i="32"/>
  <c r="B14" i="32"/>
  <c r="AE11" i="32"/>
  <c r="AD11" i="32"/>
  <c r="AC11" i="32"/>
  <c r="AB11" i="32"/>
  <c r="AA11" i="32"/>
  <c r="Z11" i="32"/>
  <c r="Y11" i="32"/>
  <c r="X11" i="32"/>
  <c r="W11" i="32"/>
  <c r="V11" i="32"/>
  <c r="U11" i="32"/>
  <c r="T11" i="32"/>
  <c r="S11" i="32"/>
  <c r="R11" i="32"/>
  <c r="Q11" i="32"/>
  <c r="P11" i="32"/>
  <c r="O11" i="32"/>
  <c r="N11" i="32"/>
  <c r="M11" i="32"/>
  <c r="L11" i="32"/>
  <c r="K11" i="32"/>
  <c r="J11" i="32"/>
  <c r="I11" i="32"/>
  <c r="H11" i="32"/>
  <c r="G11" i="32"/>
  <c r="F11" i="32"/>
  <c r="E11" i="32"/>
  <c r="D11" i="32"/>
  <c r="C11" i="32"/>
  <c r="B11" i="32"/>
  <c r="AE10" i="32"/>
  <c r="AD10" i="32"/>
  <c r="AC10" i="32"/>
  <c r="AB10" i="32"/>
  <c r="AA10" i="32"/>
  <c r="Z10" i="32"/>
  <c r="Y10" i="32"/>
  <c r="X10" i="32"/>
  <c r="W10" i="32"/>
  <c r="V10" i="32"/>
  <c r="U10" i="32"/>
  <c r="T10" i="32"/>
  <c r="S10" i="32"/>
  <c r="R10" i="32"/>
  <c r="Q10" i="32"/>
  <c r="P10" i="32"/>
  <c r="O10" i="32"/>
  <c r="N10" i="32"/>
  <c r="M10" i="32"/>
  <c r="L10" i="32"/>
  <c r="K10" i="32"/>
  <c r="J10" i="32"/>
  <c r="I10" i="32"/>
  <c r="H10" i="32"/>
  <c r="G10" i="32"/>
  <c r="F10" i="32"/>
  <c r="E10" i="32"/>
  <c r="D10" i="32"/>
  <c r="C10" i="32"/>
  <c r="B10" i="32"/>
  <c r="AE4" i="32"/>
  <c r="AD4" i="32"/>
  <c r="AC4" i="32"/>
  <c r="AB4" i="32"/>
  <c r="AA4" i="32"/>
  <c r="Z4" i="32"/>
  <c r="Y4" i="32"/>
  <c r="X4" i="32"/>
  <c r="W4" i="32"/>
  <c r="V4" i="32"/>
  <c r="U4" i="32"/>
  <c r="T4" i="32"/>
  <c r="S4" i="32"/>
  <c r="R4" i="32"/>
  <c r="Q4" i="32"/>
  <c r="P4" i="32"/>
  <c r="O4" i="32"/>
  <c r="N4" i="32"/>
  <c r="M4" i="32"/>
  <c r="L4" i="32"/>
  <c r="K4" i="32"/>
  <c r="J4" i="32"/>
  <c r="I4" i="32"/>
  <c r="H4" i="32"/>
  <c r="G4" i="32"/>
  <c r="F4" i="32"/>
  <c r="E4" i="32"/>
  <c r="D4" i="32"/>
  <c r="C4" i="32"/>
  <c r="B4" i="32"/>
  <c r="AE3" i="32"/>
  <c r="AE17" i="32" s="1"/>
  <c r="AD3" i="32"/>
  <c r="AD17" i="32" s="1"/>
  <c r="AC3" i="32"/>
  <c r="AC17" i="32" s="1"/>
  <c r="AB3" i="32"/>
  <c r="AB17" i="32" s="1"/>
  <c r="AA3" i="32"/>
  <c r="AA17" i="32" s="1"/>
  <c r="Z3" i="32"/>
  <c r="Y3" i="32"/>
  <c r="Y17" i="32" s="1"/>
  <c r="X3" i="32"/>
  <c r="X17" i="32" s="1"/>
  <c r="W3" i="32"/>
  <c r="W17" i="32" s="1"/>
  <c r="V3" i="32"/>
  <c r="V17" i="32" s="1"/>
  <c r="U3" i="32"/>
  <c r="U17" i="32" s="1"/>
  <c r="T3" i="32"/>
  <c r="T17" i="32" s="1"/>
  <c r="S3" i="32"/>
  <c r="S17" i="32" s="1"/>
  <c r="R3" i="32"/>
  <c r="Q3" i="32"/>
  <c r="Q17" i="32" s="1"/>
  <c r="P3" i="32"/>
  <c r="P17" i="32" s="1"/>
  <c r="O3" i="32"/>
  <c r="O17" i="32" s="1"/>
  <c r="N3" i="32"/>
  <c r="N17" i="32" s="1"/>
  <c r="M3" i="32"/>
  <c r="M17" i="32" s="1"/>
  <c r="L3" i="32"/>
  <c r="L17" i="32" s="1"/>
  <c r="K3" i="32"/>
  <c r="K17" i="32" s="1"/>
  <c r="J3" i="32"/>
  <c r="I3" i="32"/>
  <c r="I17" i="32" s="1"/>
  <c r="H3" i="32"/>
  <c r="H17" i="32" s="1"/>
  <c r="G3" i="32"/>
  <c r="G17" i="32" s="1"/>
  <c r="F3" i="32"/>
  <c r="F17" i="32" s="1"/>
  <c r="E3" i="32"/>
  <c r="E17" i="32" s="1"/>
  <c r="D3" i="32"/>
  <c r="D17" i="32" s="1"/>
  <c r="C3" i="32"/>
  <c r="C17" i="32" s="1"/>
  <c r="B3" i="32"/>
  <c r="AE19" i="31"/>
  <c r="AD19" i="31"/>
  <c r="AC19" i="31"/>
  <c r="AB19" i="31"/>
  <c r="AA19" i="31"/>
  <c r="Z19" i="31"/>
  <c r="Y19" i="31"/>
  <c r="X19" i="31"/>
  <c r="W19" i="31"/>
  <c r="V19" i="31"/>
  <c r="U19" i="31"/>
  <c r="T19" i="31"/>
  <c r="S19" i="31"/>
  <c r="R19" i="31"/>
  <c r="Q19" i="31"/>
  <c r="P19" i="31"/>
  <c r="O19" i="31"/>
  <c r="N19" i="31"/>
  <c r="M19" i="31"/>
  <c r="L19" i="31"/>
  <c r="K19" i="31"/>
  <c r="J19" i="31"/>
  <c r="I19" i="31"/>
  <c r="H19" i="31"/>
  <c r="G19" i="31"/>
  <c r="F19" i="31"/>
  <c r="E19" i="31"/>
  <c r="D19" i="31"/>
  <c r="C19" i="31"/>
  <c r="B19" i="31"/>
  <c r="AE18" i="31"/>
  <c r="AD18" i="31"/>
  <c r="AC18" i="31"/>
  <c r="AB18" i="31"/>
  <c r="AA18" i="31"/>
  <c r="Z18" i="31"/>
  <c r="Y18" i="31"/>
  <c r="X18" i="31"/>
  <c r="W18" i="31"/>
  <c r="V18" i="31"/>
  <c r="U18" i="31"/>
  <c r="T18" i="31"/>
  <c r="S18" i="31"/>
  <c r="R18" i="31"/>
  <c r="Q18" i="31"/>
  <c r="P18" i="31"/>
  <c r="O18" i="31"/>
  <c r="N18" i="31"/>
  <c r="M18" i="31"/>
  <c r="L18" i="31"/>
  <c r="K18" i="31"/>
  <c r="J18" i="31"/>
  <c r="I18" i="31"/>
  <c r="H18" i="31"/>
  <c r="G18" i="31"/>
  <c r="F18" i="31"/>
  <c r="E18" i="31"/>
  <c r="D18" i="31"/>
  <c r="C18" i="31"/>
  <c r="B18" i="31"/>
  <c r="AD17" i="31"/>
  <c r="V17" i="31"/>
  <c r="N17" i="31"/>
  <c r="F17" i="31"/>
  <c r="AE14" i="31"/>
  <c r="AD14" i="31"/>
  <c r="AC14" i="31"/>
  <c r="AB14" i="31"/>
  <c r="AA14" i="31"/>
  <c r="Z14" i="31"/>
  <c r="Y14" i="31"/>
  <c r="X14" i="31"/>
  <c r="W14" i="31"/>
  <c r="V14" i="31"/>
  <c r="U14" i="31"/>
  <c r="T14" i="31"/>
  <c r="S14" i="31"/>
  <c r="R14" i="31"/>
  <c r="Q14" i="31"/>
  <c r="P14" i="31"/>
  <c r="O14" i="31"/>
  <c r="N14" i="31"/>
  <c r="M14" i="31"/>
  <c r="L14" i="31"/>
  <c r="K14" i="31"/>
  <c r="J14" i="31"/>
  <c r="I14" i="31"/>
  <c r="H14" i="31"/>
  <c r="G14" i="31"/>
  <c r="F14" i="31"/>
  <c r="E14" i="31"/>
  <c r="D14" i="31"/>
  <c r="C14" i="31"/>
  <c r="B14" i="31"/>
  <c r="AE11" i="31"/>
  <c r="AD11" i="31"/>
  <c r="AC11" i="31"/>
  <c r="AB11" i="31"/>
  <c r="AA11" i="31"/>
  <c r="Z11" i="31"/>
  <c r="Y11" i="31"/>
  <c r="X11" i="31"/>
  <c r="W11" i="31"/>
  <c r="V11" i="31"/>
  <c r="U11" i="31"/>
  <c r="T11" i="31"/>
  <c r="S11" i="31"/>
  <c r="R11" i="31"/>
  <c r="Q11" i="31"/>
  <c r="P11" i="31"/>
  <c r="O11" i="31"/>
  <c r="N11" i="31"/>
  <c r="M11" i="31"/>
  <c r="L11" i="31"/>
  <c r="K11" i="31"/>
  <c r="J11" i="31"/>
  <c r="I11" i="31"/>
  <c r="H11" i="31"/>
  <c r="G11" i="31"/>
  <c r="F11" i="31"/>
  <c r="E11" i="31"/>
  <c r="D11" i="31"/>
  <c r="C11" i="31"/>
  <c r="B11" i="31"/>
  <c r="AE10" i="31"/>
  <c r="AD10" i="31"/>
  <c r="AC10" i="31"/>
  <c r="AB10" i="31"/>
  <c r="AA10" i="31"/>
  <c r="Z10" i="31"/>
  <c r="Y10" i="31"/>
  <c r="X10" i="31"/>
  <c r="W10" i="31"/>
  <c r="V10" i="31"/>
  <c r="U10" i="31"/>
  <c r="T10" i="31"/>
  <c r="S10" i="31"/>
  <c r="R10" i="31"/>
  <c r="Q10" i="31"/>
  <c r="P10" i="31"/>
  <c r="O10" i="31"/>
  <c r="N10" i="31"/>
  <c r="M10" i="31"/>
  <c r="L10" i="31"/>
  <c r="K10" i="31"/>
  <c r="J10" i="31"/>
  <c r="I10" i="31"/>
  <c r="H10" i="31"/>
  <c r="G10" i="31"/>
  <c r="F10" i="31"/>
  <c r="E10" i="31"/>
  <c r="D10" i="31"/>
  <c r="C10" i="31"/>
  <c r="B10" i="31"/>
  <c r="AE4" i="31"/>
  <c r="AD4" i="31"/>
  <c r="AC4" i="31"/>
  <c r="AB4" i="31"/>
  <c r="AA4" i="31"/>
  <c r="Z4" i="31"/>
  <c r="Y4" i="31"/>
  <c r="X4" i="31"/>
  <c r="W4" i="31"/>
  <c r="V4" i="31"/>
  <c r="U4" i="31"/>
  <c r="T4" i="31"/>
  <c r="S4" i="31"/>
  <c r="R4" i="31"/>
  <c r="Q4" i="31"/>
  <c r="P4" i="31"/>
  <c r="O4" i="31"/>
  <c r="N4" i="31"/>
  <c r="M4" i="31"/>
  <c r="L4" i="31"/>
  <c r="K4" i="31"/>
  <c r="J4" i="31"/>
  <c r="I4" i="31"/>
  <c r="H4" i="31"/>
  <c r="G4" i="31"/>
  <c r="F4" i="31"/>
  <c r="E4" i="31"/>
  <c r="D4" i="31"/>
  <c r="C4" i="31"/>
  <c r="B4" i="31"/>
  <c r="AE3" i="31"/>
  <c r="AE17" i="31" s="1"/>
  <c r="AD3" i="31"/>
  <c r="AC3" i="31"/>
  <c r="AC17" i="31" s="1"/>
  <c r="AB3" i="31"/>
  <c r="AB17" i="31" s="1"/>
  <c r="AA3" i="31"/>
  <c r="AA17" i="31" s="1"/>
  <c r="Z3" i="31"/>
  <c r="Z17" i="31" s="1"/>
  <c r="Y3" i="31"/>
  <c r="Y17" i="31" s="1"/>
  <c r="X3" i="31"/>
  <c r="X17" i="31" s="1"/>
  <c r="W3" i="31"/>
  <c r="W17" i="31" s="1"/>
  <c r="V3" i="31"/>
  <c r="U3" i="31"/>
  <c r="U17" i="31" s="1"/>
  <c r="T3" i="31"/>
  <c r="T17" i="31" s="1"/>
  <c r="S3" i="31"/>
  <c r="S17" i="31" s="1"/>
  <c r="R3" i="31"/>
  <c r="R17" i="31" s="1"/>
  <c r="Q3" i="31"/>
  <c r="Q17" i="31" s="1"/>
  <c r="P3" i="31"/>
  <c r="P17" i="31" s="1"/>
  <c r="O3" i="31"/>
  <c r="O17" i="31" s="1"/>
  <c r="N3" i="31"/>
  <c r="M3" i="31"/>
  <c r="M17" i="31" s="1"/>
  <c r="L3" i="31"/>
  <c r="L17" i="31" s="1"/>
  <c r="K3" i="31"/>
  <c r="K17" i="31" s="1"/>
  <c r="J3" i="31"/>
  <c r="J17" i="31" s="1"/>
  <c r="I3" i="31"/>
  <c r="I17" i="31" s="1"/>
  <c r="H3" i="31"/>
  <c r="H17" i="31" s="1"/>
  <c r="G3" i="31"/>
  <c r="G17" i="31" s="1"/>
  <c r="F3" i="31"/>
  <c r="E3" i="31"/>
  <c r="E17" i="31" s="1"/>
  <c r="D3" i="31"/>
  <c r="D17" i="31" s="1"/>
  <c r="C3" i="31"/>
  <c r="C17" i="31" s="1"/>
  <c r="B3" i="31"/>
  <c r="B17" i="31" s="1"/>
  <c r="AE19" i="30"/>
  <c r="AD19" i="30"/>
  <c r="AC19" i="30"/>
  <c r="AB19" i="30"/>
  <c r="AA19" i="30"/>
  <c r="Z19" i="30"/>
  <c r="Y19" i="30"/>
  <c r="X19" i="30"/>
  <c r="W19" i="30"/>
  <c r="V19" i="30"/>
  <c r="U19" i="30"/>
  <c r="T19" i="30"/>
  <c r="S19" i="30"/>
  <c r="R19" i="30"/>
  <c r="Q19" i="30"/>
  <c r="P19" i="30"/>
  <c r="O19" i="30"/>
  <c r="N19" i="30"/>
  <c r="M19" i="30"/>
  <c r="L19" i="30"/>
  <c r="K19" i="30"/>
  <c r="J19" i="30"/>
  <c r="I19" i="30"/>
  <c r="H19" i="30"/>
  <c r="G19" i="30"/>
  <c r="F19" i="30"/>
  <c r="E19" i="30"/>
  <c r="D19" i="30"/>
  <c r="C19" i="30"/>
  <c r="B19" i="30"/>
  <c r="AE18" i="30"/>
  <c r="AD18" i="30"/>
  <c r="AC18" i="30"/>
  <c r="AB18" i="30"/>
  <c r="AA18" i="30"/>
  <c r="Z18" i="30"/>
  <c r="Y18" i="30"/>
  <c r="X18" i="30"/>
  <c r="W18" i="30"/>
  <c r="V18" i="30"/>
  <c r="U18" i="30"/>
  <c r="T18" i="30"/>
  <c r="S18" i="30"/>
  <c r="R18" i="30"/>
  <c r="Q18" i="30"/>
  <c r="P18" i="30"/>
  <c r="O18" i="30"/>
  <c r="N18" i="30"/>
  <c r="M18" i="30"/>
  <c r="L18" i="30"/>
  <c r="K18" i="30"/>
  <c r="J18" i="30"/>
  <c r="I18" i="30"/>
  <c r="H18" i="30"/>
  <c r="G18" i="30"/>
  <c r="F18" i="30"/>
  <c r="E18" i="30"/>
  <c r="D18" i="30"/>
  <c r="C18" i="30"/>
  <c r="B18" i="30"/>
  <c r="AE17" i="30"/>
  <c r="AB17" i="30"/>
  <c r="AA17" i="30"/>
  <c r="X17" i="30"/>
  <c r="W17" i="30"/>
  <c r="T17" i="30"/>
  <c r="S17" i="30"/>
  <c r="P17" i="30"/>
  <c r="O17" i="30"/>
  <c r="L17" i="30"/>
  <c r="K17" i="30"/>
  <c r="H17" i="30"/>
  <c r="G17" i="30"/>
  <c r="D17" i="30"/>
  <c r="C17" i="30"/>
  <c r="AE14" i="30"/>
  <c r="AD14" i="30"/>
  <c r="AC14" i="30"/>
  <c r="AB14" i="30"/>
  <c r="AA14" i="30"/>
  <c r="Z14" i="30"/>
  <c r="Y14" i="30"/>
  <c r="X14" i="30"/>
  <c r="W14" i="30"/>
  <c r="V14" i="30"/>
  <c r="U14" i="30"/>
  <c r="T14" i="30"/>
  <c r="S14" i="30"/>
  <c r="R14" i="30"/>
  <c r="Q14" i="30"/>
  <c r="P14" i="30"/>
  <c r="O14" i="30"/>
  <c r="N14" i="30"/>
  <c r="M14" i="30"/>
  <c r="L14" i="30"/>
  <c r="K14" i="30"/>
  <c r="J14" i="30"/>
  <c r="I14" i="30"/>
  <c r="H14" i="30"/>
  <c r="G14" i="30"/>
  <c r="F14" i="30"/>
  <c r="E14" i="30"/>
  <c r="D14" i="30"/>
  <c r="C14" i="30"/>
  <c r="B14" i="30"/>
  <c r="AE11" i="30"/>
  <c r="AD11" i="30"/>
  <c r="AC11" i="30"/>
  <c r="AB11" i="30"/>
  <c r="AA11" i="30"/>
  <c r="Z11" i="30"/>
  <c r="Y11" i="30"/>
  <c r="X11" i="30"/>
  <c r="W11" i="30"/>
  <c r="V11" i="30"/>
  <c r="U11" i="30"/>
  <c r="T11" i="30"/>
  <c r="S11" i="30"/>
  <c r="R11" i="30"/>
  <c r="Q11" i="30"/>
  <c r="P11" i="30"/>
  <c r="O11" i="30"/>
  <c r="N11" i="30"/>
  <c r="M11" i="30"/>
  <c r="L11" i="30"/>
  <c r="K11" i="30"/>
  <c r="J11" i="30"/>
  <c r="I11" i="30"/>
  <c r="H11" i="30"/>
  <c r="G11" i="30"/>
  <c r="F11" i="30"/>
  <c r="E11" i="30"/>
  <c r="D11" i="30"/>
  <c r="C11" i="30"/>
  <c r="B11" i="30"/>
  <c r="AE10" i="30"/>
  <c r="AD10" i="30"/>
  <c r="AC10" i="30"/>
  <c r="AB10" i="30"/>
  <c r="AA10" i="30"/>
  <c r="Z10" i="30"/>
  <c r="Y10" i="30"/>
  <c r="X10" i="30"/>
  <c r="W10" i="30"/>
  <c r="V10" i="30"/>
  <c r="U10" i="30"/>
  <c r="T10" i="30"/>
  <c r="S10" i="30"/>
  <c r="R10" i="30"/>
  <c r="Q10" i="30"/>
  <c r="P10" i="30"/>
  <c r="O10" i="30"/>
  <c r="N10" i="30"/>
  <c r="M10" i="30"/>
  <c r="L10" i="30"/>
  <c r="K10" i="30"/>
  <c r="J10" i="30"/>
  <c r="I10" i="30"/>
  <c r="H10" i="30"/>
  <c r="G10" i="30"/>
  <c r="F10" i="30"/>
  <c r="E10" i="30"/>
  <c r="D10" i="30"/>
  <c r="C10" i="30"/>
  <c r="B10" i="30"/>
  <c r="AE4" i="30"/>
  <c r="AD4" i="30"/>
  <c r="AC4" i="30"/>
  <c r="AB4" i="30"/>
  <c r="AA4" i="30"/>
  <c r="Z4" i="30"/>
  <c r="Y4" i="30"/>
  <c r="X4" i="30"/>
  <c r="W4" i="30"/>
  <c r="V4" i="30"/>
  <c r="U4" i="30"/>
  <c r="T4" i="30"/>
  <c r="S4" i="30"/>
  <c r="R4" i="30"/>
  <c r="Q4" i="30"/>
  <c r="P4" i="30"/>
  <c r="O4" i="30"/>
  <c r="N4" i="30"/>
  <c r="M4" i="30"/>
  <c r="L4" i="30"/>
  <c r="K4" i="30"/>
  <c r="J4" i="30"/>
  <c r="I4" i="30"/>
  <c r="H4" i="30"/>
  <c r="G4" i="30"/>
  <c r="F4" i="30"/>
  <c r="E4" i="30"/>
  <c r="D4" i="30"/>
  <c r="C4" i="30"/>
  <c r="B4" i="30"/>
  <c r="AE3" i="30"/>
  <c r="AD3" i="30"/>
  <c r="AD17" i="30" s="1"/>
  <c r="AC3" i="30"/>
  <c r="AC17" i="30" s="1"/>
  <c r="AB3" i="30"/>
  <c r="AA3" i="30"/>
  <c r="Z3" i="30"/>
  <c r="Z17" i="30" s="1"/>
  <c r="Y3" i="30"/>
  <c r="Y17" i="30" s="1"/>
  <c r="X3" i="30"/>
  <c r="W3" i="30"/>
  <c r="V3" i="30"/>
  <c r="V17" i="30" s="1"/>
  <c r="U3" i="30"/>
  <c r="U17" i="30" s="1"/>
  <c r="T3" i="30"/>
  <c r="S3" i="30"/>
  <c r="R3" i="30"/>
  <c r="R17" i="30" s="1"/>
  <c r="Q3" i="30"/>
  <c r="Q17" i="30" s="1"/>
  <c r="P3" i="30"/>
  <c r="O3" i="30"/>
  <c r="N3" i="30"/>
  <c r="N17" i="30" s="1"/>
  <c r="M3" i="30"/>
  <c r="M17" i="30" s="1"/>
  <c r="L3" i="30"/>
  <c r="K3" i="30"/>
  <c r="J3" i="30"/>
  <c r="J17" i="30" s="1"/>
  <c r="I3" i="30"/>
  <c r="I17" i="30" s="1"/>
  <c r="H3" i="30"/>
  <c r="G3" i="30"/>
  <c r="F3" i="30"/>
  <c r="F17" i="30" s="1"/>
  <c r="E3" i="30"/>
  <c r="E17" i="30" s="1"/>
  <c r="D3" i="30"/>
  <c r="C3" i="30"/>
  <c r="B3" i="30"/>
  <c r="B17" i="30" s="1"/>
  <c r="AE19" i="29"/>
  <c r="AD19" i="29"/>
  <c r="AC19" i="29"/>
  <c r="AB19" i="29"/>
  <c r="AA19" i="29"/>
  <c r="Z19" i="29"/>
  <c r="Y19" i="29"/>
  <c r="X19" i="29"/>
  <c r="W19" i="29"/>
  <c r="V19" i="29"/>
  <c r="U19" i="29"/>
  <c r="T19" i="29"/>
  <c r="S19" i="29"/>
  <c r="R19" i="29"/>
  <c r="Q19" i="29"/>
  <c r="P19" i="29"/>
  <c r="O19" i="29"/>
  <c r="N19" i="29"/>
  <c r="M19" i="29"/>
  <c r="L19" i="29"/>
  <c r="K19" i="29"/>
  <c r="J19" i="29"/>
  <c r="I19" i="29"/>
  <c r="H19" i="29"/>
  <c r="G19" i="29"/>
  <c r="F19" i="29"/>
  <c r="E19" i="29"/>
  <c r="D19" i="29"/>
  <c r="C19" i="29"/>
  <c r="B19" i="29"/>
  <c r="AE18" i="29"/>
  <c r="AD18" i="29"/>
  <c r="AC18" i="29"/>
  <c r="AB18" i="29"/>
  <c r="AA18" i="29"/>
  <c r="Z18" i="29"/>
  <c r="Y18" i="29"/>
  <c r="X18" i="29"/>
  <c r="W18" i="29"/>
  <c r="V18" i="29"/>
  <c r="U18" i="29"/>
  <c r="T18" i="29"/>
  <c r="S18" i="29"/>
  <c r="R18" i="29"/>
  <c r="Q18" i="29"/>
  <c r="P18" i="29"/>
  <c r="O18" i="29"/>
  <c r="N18" i="29"/>
  <c r="M18" i="29"/>
  <c r="L18" i="29"/>
  <c r="K18" i="29"/>
  <c r="J18" i="29"/>
  <c r="I18" i="29"/>
  <c r="H18" i="29"/>
  <c r="G18" i="29"/>
  <c r="F18" i="29"/>
  <c r="E18" i="29"/>
  <c r="D18" i="29"/>
  <c r="C18" i="29"/>
  <c r="B18" i="29"/>
  <c r="S17" i="29"/>
  <c r="K17" i="29"/>
  <c r="C17" i="29"/>
  <c r="AE14" i="29"/>
  <c r="AD14" i="29"/>
  <c r="AC14" i="29"/>
  <c r="AB14" i="29"/>
  <c r="AA14" i="29"/>
  <c r="Z14" i="29"/>
  <c r="Y14" i="29"/>
  <c r="X14" i="29"/>
  <c r="W14" i="29"/>
  <c r="V14" i="29"/>
  <c r="U14" i="29"/>
  <c r="T14" i="29"/>
  <c r="S14" i="29"/>
  <c r="R14" i="29"/>
  <c r="Q14" i="29"/>
  <c r="P14" i="29"/>
  <c r="O14" i="29"/>
  <c r="N14" i="29"/>
  <c r="M14" i="29"/>
  <c r="L14" i="29"/>
  <c r="K14" i="29"/>
  <c r="J14" i="29"/>
  <c r="I14" i="29"/>
  <c r="H14" i="29"/>
  <c r="G14" i="29"/>
  <c r="F14" i="29"/>
  <c r="E14" i="29"/>
  <c r="D14" i="29"/>
  <c r="C14" i="29"/>
  <c r="B14" i="29"/>
  <c r="AE11" i="29"/>
  <c r="AD11" i="29"/>
  <c r="AC11" i="29"/>
  <c r="AB11" i="29"/>
  <c r="AA11" i="29"/>
  <c r="Z11" i="29"/>
  <c r="Y11" i="29"/>
  <c r="X11" i="29"/>
  <c r="W11" i="29"/>
  <c r="V11" i="29"/>
  <c r="U11" i="29"/>
  <c r="T11" i="29"/>
  <c r="S11" i="29"/>
  <c r="R11" i="29"/>
  <c r="Q11" i="29"/>
  <c r="P11" i="29"/>
  <c r="O11" i="29"/>
  <c r="N11" i="29"/>
  <c r="M11" i="29"/>
  <c r="L11" i="29"/>
  <c r="K11" i="29"/>
  <c r="J11" i="29"/>
  <c r="I11" i="29"/>
  <c r="H11" i="29"/>
  <c r="G11" i="29"/>
  <c r="F11" i="29"/>
  <c r="E11" i="29"/>
  <c r="D11" i="29"/>
  <c r="C11" i="29"/>
  <c r="B11" i="29"/>
  <c r="AE10" i="29"/>
  <c r="AD10" i="29"/>
  <c r="AC10" i="29"/>
  <c r="AB10" i="29"/>
  <c r="AA10" i="29"/>
  <c r="Z10" i="29"/>
  <c r="Y10" i="29"/>
  <c r="X10" i="29"/>
  <c r="W10" i="29"/>
  <c r="V10" i="29"/>
  <c r="U10" i="29"/>
  <c r="T10" i="29"/>
  <c r="S10" i="29"/>
  <c r="R10" i="29"/>
  <c r="Q10" i="29"/>
  <c r="P10" i="29"/>
  <c r="O10" i="29"/>
  <c r="N10" i="29"/>
  <c r="M10" i="29"/>
  <c r="L10" i="29"/>
  <c r="K10" i="29"/>
  <c r="J10" i="29"/>
  <c r="I10" i="29"/>
  <c r="H10" i="29"/>
  <c r="G10" i="29"/>
  <c r="F10" i="29"/>
  <c r="E10" i="29"/>
  <c r="D10" i="29"/>
  <c r="C10" i="29"/>
  <c r="B10" i="29"/>
  <c r="AE4" i="29"/>
  <c r="AD4" i="29"/>
  <c r="AC4" i="29"/>
  <c r="AB4" i="29"/>
  <c r="AA4" i="29"/>
  <c r="Z4" i="29"/>
  <c r="Y4" i="29"/>
  <c r="X4" i="29"/>
  <c r="W4" i="29"/>
  <c r="V4" i="29"/>
  <c r="U4" i="29"/>
  <c r="T4" i="29"/>
  <c r="S4" i="29"/>
  <c r="R4" i="29"/>
  <c r="Q4" i="29"/>
  <c r="P4" i="29"/>
  <c r="O4" i="29"/>
  <c r="N4" i="29"/>
  <c r="M4" i="29"/>
  <c r="L4" i="29"/>
  <c r="K4" i="29"/>
  <c r="J4" i="29"/>
  <c r="I4" i="29"/>
  <c r="H4" i="29"/>
  <c r="G4" i="29"/>
  <c r="F4" i="29"/>
  <c r="E4" i="29"/>
  <c r="D4" i="29"/>
  <c r="C4" i="29"/>
  <c r="B4" i="29"/>
  <c r="AE3" i="29"/>
  <c r="AE17" i="29" s="1"/>
  <c r="AD3" i="29"/>
  <c r="AD17" i="29" s="1"/>
  <c r="AC3" i="29"/>
  <c r="AC17" i="29" s="1"/>
  <c r="AB3" i="29"/>
  <c r="AB17" i="29" s="1"/>
  <c r="AA3" i="29"/>
  <c r="AA17" i="29" s="1"/>
  <c r="Z3" i="29"/>
  <c r="Z17" i="29" s="1"/>
  <c r="Y3" i="29"/>
  <c r="Y17" i="29" s="1"/>
  <c r="X3" i="29"/>
  <c r="X17" i="29" s="1"/>
  <c r="W3" i="29"/>
  <c r="W17" i="29" s="1"/>
  <c r="V3" i="29"/>
  <c r="V17" i="29" s="1"/>
  <c r="U3" i="29"/>
  <c r="U17" i="29" s="1"/>
  <c r="T3" i="29"/>
  <c r="T17" i="29" s="1"/>
  <c r="S3" i="29"/>
  <c r="R3" i="29"/>
  <c r="R17" i="29" s="1"/>
  <c r="Q3" i="29"/>
  <c r="Q17" i="29" s="1"/>
  <c r="P3" i="29"/>
  <c r="P17" i="29" s="1"/>
  <c r="O3" i="29"/>
  <c r="O17" i="29" s="1"/>
  <c r="N3" i="29"/>
  <c r="N17" i="29" s="1"/>
  <c r="M3" i="29"/>
  <c r="M17" i="29" s="1"/>
  <c r="L3" i="29"/>
  <c r="L17" i="29" s="1"/>
  <c r="K3" i="29"/>
  <c r="J3" i="29"/>
  <c r="J17" i="29" s="1"/>
  <c r="I3" i="29"/>
  <c r="I17" i="29" s="1"/>
  <c r="H3" i="29"/>
  <c r="H17" i="29" s="1"/>
  <c r="G3" i="29"/>
  <c r="G17" i="29" s="1"/>
  <c r="F3" i="29"/>
  <c r="F17" i="29" s="1"/>
  <c r="E3" i="29"/>
  <c r="E17" i="29" s="1"/>
  <c r="D3" i="29"/>
  <c r="D17" i="29" s="1"/>
  <c r="C3" i="29"/>
  <c r="B3" i="29"/>
  <c r="B17" i="29" s="1"/>
  <c r="W133" i="24"/>
  <c r="X133" i="24"/>
  <c r="Y133" i="24"/>
  <c r="Z133" i="24"/>
  <c r="AA133" i="24"/>
  <c r="AB133" i="24"/>
  <c r="AC133" i="24"/>
  <c r="AD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58" i="35" l="1"/>
  <c r="K59" i="35" s="1"/>
  <c r="G57" i="35"/>
  <c r="J58" i="35"/>
  <c r="J59" i="35" s="1"/>
  <c r="F57" i="35"/>
  <c r="I58" i="35"/>
  <c r="I59" i="35" s="1"/>
  <c r="M57" i="35"/>
  <c r="E57" i="35"/>
  <c r="F58" i="35"/>
  <c r="F59" i="35" s="1"/>
  <c r="J57" i="35"/>
  <c r="H58" i="35"/>
  <c r="H59" i="35" s="1"/>
  <c r="L57" i="35"/>
  <c r="G58" i="35"/>
  <c r="G59" i="35" s="1"/>
  <c r="K57" i="35"/>
  <c r="M58" i="35"/>
  <c r="M59" i="35" s="1"/>
  <c r="E58" i="35"/>
  <c r="E59" i="35" s="1"/>
  <c r="I57" i="35"/>
  <c r="L58" i="35"/>
  <c r="L59" i="35" s="1"/>
  <c r="D59" i="35"/>
  <c r="H57" i="35"/>
  <c r="K236" i="24"/>
  <c r="H236" i="24"/>
  <c r="G236" i="24"/>
  <c r="I236" i="24"/>
  <c r="D236" i="24"/>
  <c r="F236" i="24"/>
  <c r="E236" i="24"/>
  <c r="J236" i="24"/>
  <c r="M236" i="24"/>
  <c r="L236" i="24"/>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G125" i="24"/>
  <c r="O125" i="24"/>
  <c r="J122" i="24"/>
  <c r="F118" i="24"/>
  <c r="N118" i="24"/>
  <c r="D125" i="24"/>
  <c r="H125" i="24"/>
  <c r="P125" i="24"/>
  <c r="K122" i="24"/>
  <c r="G118" i="24"/>
  <c r="O118" i="24"/>
  <c r="E111" i="24"/>
  <c r="E112" i="24" s="1"/>
  <c r="D122" i="24"/>
  <c r="K118" i="24"/>
  <c r="L125" i="24"/>
  <c r="I125" i="24"/>
  <c r="Q122" i="24"/>
  <c r="L122" i="24"/>
  <c r="H118" i="24"/>
  <c r="P118" i="24"/>
  <c r="F111" i="24"/>
  <c r="F112" i="24" s="1"/>
  <c r="D118" i="24"/>
  <c r="G111" i="24"/>
  <c r="G112" i="24" s="1"/>
  <c r="G122" i="24"/>
  <c r="J125" i="24"/>
  <c r="J126" i="24" s="1"/>
  <c r="E122" i="24"/>
  <c r="M122" i="24"/>
  <c r="I118" i="24"/>
  <c r="Q118" i="24"/>
  <c r="K125" i="24"/>
  <c r="F122" i="24"/>
  <c r="N122" i="24"/>
  <c r="J118" i="24"/>
  <c r="O122" i="24"/>
  <c r="Q125" i="24"/>
  <c r="E125" i="24"/>
  <c r="M125" i="24"/>
  <c r="H122" i="24"/>
  <c r="P122" i="24"/>
  <c r="L118" i="24"/>
  <c r="F125" i="24"/>
  <c r="N125"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V125" i="24"/>
  <c r="U118" i="24"/>
  <c r="U125" i="24"/>
  <c r="W118" i="24"/>
  <c r="S122" i="24"/>
  <c r="W125" i="24"/>
  <c r="X118" i="24"/>
  <c r="T122" i="24"/>
  <c r="X125" i="24"/>
  <c r="Y118" i="24"/>
  <c r="U122" i="24"/>
  <c r="Y125" i="24"/>
  <c r="R125" i="24"/>
  <c r="S118" i="24"/>
  <c r="W122" i="24"/>
  <c r="S125" i="24"/>
  <c r="T118" i="24"/>
  <c r="X122" i="24"/>
  <c r="T125"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Y149" i="24"/>
  <c r="AA9" i="16" s="1"/>
  <c r="Y152" i="24"/>
  <c r="AA11" i="16" s="1"/>
  <c r="Y155" i="24"/>
  <c r="AA15" i="16" s="1"/>
  <c r="Z146" i="24"/>
  <c r="Z118" i="24"/>
  <c r="Z120" i="24" s="1"/>
  <c r="Z125" i="24"/>
  <c r="Z126" i="24" s="1"/>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E7" i="19"/>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5" i="24"/>
  <c r="AA126" i="24" s="1"/>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5" i="24"/>
  <c r="AB126" i="24" s="1"/>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5" i="24"/>
  <c r="AC126" i="24" s="1"/>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<sst xmlns="http://schemas.openxmlformats.org/spreadsheetml/2006/main" count="3649" uniqueCount="1091">
  <si>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</si>
  <si>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</si>
  <si>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</si>
  <si>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</si>
  <si>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</si>
  <si>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</si>
  <si>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</si>
  <si>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</si>
  <si>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</si>
  <si>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</si>
  <si>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</si>
  <si>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</si>
  <si>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</si>
  <si>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</si>
  <si>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</si>
  <si>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</si>
  <si>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</si>
  <si>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</si>
  <si>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</si>
  <si>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</si>
  <si>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</si>
  <si>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</si>
  <si>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</si>
  <si>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</si>
  <si>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</si>
  <si>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</si>
  <si>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</si>
  <si>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</si>
  <si>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</si>
  <si>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</si>
  <si>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</si>
  <si>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</si>
  <si>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</si>
  <si>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</si>
  <si>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</si>
  <si>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</si>
  <si>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</si>
  <si>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</si>
  <si>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</si>
  <si>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</si>
  <si>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</si>
  <si>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</si>
  <si>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</si>
  <si>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</si>
  <si>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</si>
  <si>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</si>
  <si>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</si>
  <si>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</si>
  <si>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</si>
  <si>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</si>
  <si>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</si>
  <si>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</si>
  <si>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</si>
  <si>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</si>
  <si>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</si>
  <si>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</si>
  <si>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</si>
  <si>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</si>
  <si>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</si>
  <si>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</si>
  <si>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</si>
  <si>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</si>
  <si>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</si>
  <si>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</si>
  <si>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</si>
  <si>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</si>
  <si>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</si>
  <si>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</si>
  <si>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</si>
  <si>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</si>
  <si>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</si>
  <si>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</si>
  <si>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</si>
  <si>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</si>
  <si>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</si>
  <si>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</si>
  <si>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</si>
  <si>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</si>
  <si>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</si>
  <si>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</si>
  <si>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</si>
  <si>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</si>
  <si>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</si>
  <si>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</si>
  <si>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</si>
  <si>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</si>
  <si>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</si>
  <si>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</si>
  <si>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</si>
  <si>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</si>
  <si>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</si>
  <si>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</si>
  <si>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</si>
  <si>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</si>
  <si>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</si>
  <si>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</si>
  <si>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</si>
  <si>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</si>
  <si>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</si>
  <si>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</si>
  <si>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</si>
  <si>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</si>
  <si>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</si>
  <si>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</si>
  <si>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</si>
  <si>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</si>
  <si>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</si>
  <si>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</si>
  <si>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</si>
  <si>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</si>
  <si>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</si>
  <si>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</si>
  <si>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</si>
  <si>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</si>
  <si>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</si>
  <si>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</si>
  <si>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</si>
  <si>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</si>
  <si>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</si>
  <si>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</si>
  <si>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</si>
  <si>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</si>
  <si>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</si>
  <si>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</si>
  <si>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</si>
  <si>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</si>
  <si>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</si>
  <si>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</si>
  <si>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</si>
  <si>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</si>
  <si>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</si>
  <si>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</si>
  <si>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</si>
  <si>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</si>
  <si>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</si>
  <si>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</si>
  <si>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</si>
  <si>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</si>
  <si>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</si>
  <si>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</si>
  <si>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</si>
  <si>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</si>
  <si>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</si>
  <si>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</si>
  <si>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</si>
  <si>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</si>
  <si>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</si>
  <si>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</si>
  <si>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</si>
  <si>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</si>
  <si>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</si>
  <si>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</si>
  <si>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</si>
  <si>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</si>
  <si>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</si>
  <si>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</si>
  <si>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</si>
  <si>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</si>
  <si>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</si>
  <si>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</si>
  <si>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</si>
  <si>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</si>
  <si>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</si>
  <si>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</si>
  <si>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</si>
  <si>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</si>
  <si>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</si>
  <si>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</si>
  <si>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</si>
  <si>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</si>
  <si>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</si>
  <si>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</si>
  <si>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</si>
  <si>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</si>
  <si>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</si>
  <si>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</si>
  <si>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</si>
  <si>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</si>
  <si>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</si>
  <si>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</si>
  <si>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</si>
  <si>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</si>
  <si>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</si>
  <si>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</si>
  <si>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</si>
  <si>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</si>
  <si>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</si>
  <si>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</si>
  <si>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</si>
  <si>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</si>
  <si>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</si>
  <si>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</si>
  <si>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</si>
  <si>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</si>
  <si>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</si>
  <si>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</si>
  <si>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</si>
  <si>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</si>
  <si>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</si>
  <si>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</si>
  <si>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</si>
  <si>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</si>
  <si>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</si>
  <si>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</si>
  <si>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</si>
  <si>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</si>
  <si>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</si>
  <si>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</si>
  <si>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</si>
  <si>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</si>
  <si>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</si>
  <si>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</si>
  <si>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</si>
  <si>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</si>
  <si>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</si>
  <si>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</si>
  <si>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</si>
  <si>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</si>
  <si>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</si>
  <si>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</si>
  <si>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</si>
  <si>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</si>
  <si>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</si>
  <si>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</si>
  <si>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</si>
  <si>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</si>
  <si>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</si>
  <si>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</si>
  <si>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</si>
  <si>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</si>
  <si>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</si>
  <si>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</si>
  <si>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</si>
  <si>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</si>
  <si>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</si>
  <si>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</si>
  <si>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</si>
  <si>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</si>
  <si>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</si>
  <si>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</si>
  <si>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</si>
  <si>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</si>
  <si>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</si>
  <si>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</si>
  <si>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</si>
  <si>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</si>
  <si>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</si>
  <si>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</si>
  <si>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</si>
  <si>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</si>
  <si>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</si>
  <si>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</si>
  <si>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</si>
  <si>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</si>
  <si>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</si>
  <si>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</si>
  <si>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</si>
  <si>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</si>
  <si>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</si>
  <si>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</si>
  <si>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</si>
  <si>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</si>
  <si>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</si>
  <si>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</si>
  <si>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</si>
  <si>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</si>
  <si>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</si>
  <si>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</si>
  <si>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</si>
  <si>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</si>
  <si>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</si>
  <si>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</si>
  <si>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</si>
  <si>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</si>
  <si>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</si>
  <si>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</si>
  <si>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</si>
  <si>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</si>
  <si>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</si>
  <si>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</si>
  <si>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</si>
  <si>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</si>
  <si>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</si>
  <si>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</si>
  <si>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</si>
  <si>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</si>
  <si>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</si>
  <si>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</si>
  <si>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</si>
  <si>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</si>
  <si>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</si>
  <si>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</si>
  <si>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</si>
  <si>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</si>
  <si>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</si>
  <si>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</si>
  <si>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</si>
  <si>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</si>
  <si>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</si>
  <si>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</si>
  <si>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</si>
  <si>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</si>
  <si>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</si>
  <si>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</si>
  <si>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</si>
  <si>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</si>
  <si>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</si>
  <si>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</si>
  <si>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</si>
  <si>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</si>
  <si>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</si>
  <si>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</si>
  <si>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</si>
  <si>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</si>
  <si>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</si>
  <si>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</si>
  <si>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</si>
  <si>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</si>
  <si>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</si>
  <si>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</si>
  <si>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</si>
  <si>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</si>
  <si>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</si>
  <si>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</si>
  <si>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</si>
  <si>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</si>
  <si>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</si>
  <si>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</si>
  <si>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</si>
  <si>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</si>
  <si>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</si>
  <si>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</si>
  <si>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</si>
  <si>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</si>
  <si>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</si>
  <si>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</si>
  <si>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</si>
  <si>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</si>
  <si>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</si>
  <si>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</si>
  <si>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</si>
  <si>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</si>
  <si>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</si>
  <si>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</si>
  <si>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</si>
  <si>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</si>
  <si>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</si>
  <si>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</si>
  <si>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</si>
  <si>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</si>
  <si>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</si>
  <si>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</si>
  <si>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</si>
  <si>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</si>
  <si>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</si>
  <si>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</si>
  <si>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</si>
  <si>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</si>
  <si>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</si>
  <si>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</si>
  <si>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</si>
  <si>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</si>
  <si>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</si>
  <si>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</si>
  <si>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</si>
  <si>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</si>
  <si>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</si>
  <si>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</si>
  <si>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</si>
  <si>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</si>
  <si>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</si>
  <si>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</si>
  <si>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</si>
  <si>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</si>
  <si>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</si>
  <si>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</si>
  <si>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</si>
  <si>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</si>
  <si>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</si>
  <si>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</si>
  <si>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</si>
  <si>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</si>
  <si>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</si>
  <si>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</si>
  <si>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</si>
  <si>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</si>
  <si>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</si>
  <si>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</si>
  <si>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</si>
  <si>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</si>
  <si>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</si>
  <si>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</si>
  <si>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</si>
  <si>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</si>
  <si>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</si>
  <si>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</si>
  <si>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</si>
  <si>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</si>
  <si>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</si>
  <si>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</si>
  <si>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</si>
  <si>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</si>
  <si>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</si>
  <si>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</si>
  <si>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</si>
  <si>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</si>
  <si>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</si>
  <si>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</si>
  <si>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</si>
  <si>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</si>
  <si>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</si>
  <si>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</si>
  <si>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</si>
  <si>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</si>
  <si>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</si>
  <si>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</si>
  <si>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</si>
  <si>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</si>
  <si>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</si>
  <si>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</si>
  <si>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</si>
  <si>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</si>
  <si>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</si>
  <si>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</si>
  <si>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</si>
  <si>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</si>
  <si>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</si>
  <si>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</si>
  <si>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</si>
  <si>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</si>
  <si>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</si>
  <si>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</si>
  <si>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</si>
  <si>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</si>
  <si>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</si>
  <si>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</si>
  <si>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</si>
  <si>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</si>
  <si>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</si>
  <si>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</si>
  <si>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</si>
  <si>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</si>
  <si>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</si>
  <si>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</si>
  <si>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</si>
  <si>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</si>
  <si>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</si>
  <si>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</si>
  <si>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</si>
  <si>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</si>
  <si>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</si>
  <si>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</si>
  <si>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</si>
  <si>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</si>
  <si>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</si>
  <si>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</si>
  <si>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</si>
  <si>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</si>
  <si>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</si>
  <si>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</si>
  <si>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</si>
  <si>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</si>
  <si>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</si>
  <si>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</si>
  <si>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</si>
  <si>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</si>
  <si>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</si>
  <si>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</si>
  <si>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</si>
  <si>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</si>
  <si>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</si>
  <si>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</si>
  <si>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</si>
  <si>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</si>
  <si>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</si>
  <si>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</si>
  <si>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</si>
  <si>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</si>
  <si>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</si>
  <si>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</si>
  <si>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</si>
  <si>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</si>
  <si>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</si>
  <si>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</si>
  <si>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</si>
  <si>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</si>
  <si>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</si>
  <si>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</si>
  <si>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</si>
  <si>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</si>
  <si>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</si>
  <si>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</si>
  <si>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</si>
  <si>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</si>
  <si>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</si>
  <si>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</si>
  <si>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</si>
  <si>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</si>
  <si>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</si>
  <si>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</si>
  <si>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</si>
  <si>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</si>
  <si>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</si>
  <si>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</si>
  <si>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</si>
  <si>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</si>
  <si>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</si>
  <si>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</si>
  <si>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</si>
  <si>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</si>
  <si>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</si>
  <si>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</si>
  <si>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</si>
  <si>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</si>
  <si>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</si>
  <si>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</si>
  <si>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</si>
  <si>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</si>
  <si>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</si>
  <si>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</si>
  <si>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</si>
  <si>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</si>
  <si>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</si>
  <si>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</si>
  <si>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</si>
  <si>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</si>
  <si>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</si>
  <si>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</si>
  <si>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</si>
  <si>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</si>
  <si>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</si>
  <si>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</si>
  <si>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</si>
  <si>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</si>
  <si>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</si>
  <si>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</si>
  <si>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</si>
  <si>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</si>
  <si>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</si>
  <si>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</si>
  <si>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</si>
  <si>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</si>
  <si>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</si>
  <si>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</si>
  <si>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</si>
  <si>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</si>
  <si>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</si>
  <si>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</si>
  <si>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</si>
  <si>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</si>
  <si>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</si>
  <si>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</si>
  <si>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</si>
  <si>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</si>
  <si>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</si>
  <si>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</si>
  <si>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</si>
  <si>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</si>
  <si>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</si>
  <si>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</si>
  <si>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</si>
  <si>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</si>
  <si>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</si>
  <si>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</si>
  <si>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</si>
  <si>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</si>
  <si>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</si>
  <si>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</si>
  <si>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</si>
  <si>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</si>
  <si>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</si>
  <si>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</si>
  <si>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</si>
  <si>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</si>
  <si>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</si>
  <si>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</si>
  <si>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</si>
  <si>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</si>
  <si>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</si>
  <si>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</si>
  <si>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</si>
  <si>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</si>
  <si>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</si>
  <si>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</si>
  <si>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</si>
  <si>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</si>
  <si>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</si>
  <si>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</si>
  <si>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</si>
  <si>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</si>
  <si>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</si>
  <si>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</si>
  <si>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</si>
  <si>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</si>
  <si>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</si>
  <si>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</si>
  <si>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</si>
  <si>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</si>
  <si>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</si>
  <si>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</si>
  <si>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</si>
  <si>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</si>
  <si>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</si>
  <si>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</si>
  <si>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</si>
  <si>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</si>
  <si>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</si>
  <si>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</si>
  <si>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</si>
  <si>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</si>
  <si>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</si>
  <si>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</si>
  <si>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</si>
  <si>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</si>
  <si>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</si>
  <si>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</si>
  <si>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</si>
  <si>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</si>
  <si>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</si>
  <si>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</si>
  <si>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</si>
  <si>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</si>
  <si>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</si>
  <si>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</si>
  <si>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</si>
  <si>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</si>
  <si>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</si>
  <si>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</si>
  <si>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</si>
  <si>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</si>
  <si>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</si>
  <si>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</si>
  <si>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</si>
  <si>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</si>
  <si>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</si>
  <si>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</si>
  <si>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</si>
  <si>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</si>
  <si>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</si>
  <si>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</si>
  <si>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</si>
  <si>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</si>
  <si>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</si>
  <si>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</si>
  <si>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</si>
  <si>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</si>
  <si>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</si>
  <si>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</si>
  <si>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</si>
  <si>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</si>
  <si>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</si>
  <si>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</si>
  <si>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</si>
  <si>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</si>
  <si>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</si>
  <si>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</si>
  <si>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</si>
  <si>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</si>
  <si>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</si>
  <si>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</si>
  <si>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</si>
  <si>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</si>
  <si>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</si>
  <si>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</si>
  <si>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</si>
  <si>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</si>
  <si>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</si>
  <si>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</si>
  <si>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</si>
  <si>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</si>
  <si>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</si>
  <si>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</si>
  <si>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</si>
  <si>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</si>
  <si>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</si>
  <si>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</si>
  <si>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</si>
  <si>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</si>
  <si>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</si>
  <si>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</si>
  <si>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</si>
  <si>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</si>
  <si>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</si>
  <si>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</si>
  <si>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</si>
  <si>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</si>
  <si>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</si>
  <si>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</si>
  <si>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</si>
  <si>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</si>
  <si>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</si>
  <si>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</si>
  <si>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</si>
  <si>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</si>
  <si>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</si>
  <si>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</si>
  <si>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</si>
  <si>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</si>
  <si>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</si>
  <si>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</si>
  <si>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</si>
  <si>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</si>
  <si>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</si>
  <si>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</si>
  <si>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</si>
  <si>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</si>
  <si>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</si>
  <si>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</si>
  <si>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</si>
  <si>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</si>
  <si>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</si>
  <si>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</si>
  <si>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</si>
  <si>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</si>
  <si>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</si>
  <si>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</si>
  <si>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</si>
  <si>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</si>
  <si>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</si>
  <si>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</si>
  <si>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</si>
  <si>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</si>
  <si>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</si>
  <si>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</si>
  <si>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</si>
  <si>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</si>
  <si>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</si>
  <si>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</si>
  <si>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</si>
  <si>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</si>
  <si>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</si>
  <si>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</si>
  <si>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</si>
  <si>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</si>
  <si>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</si>
  <si>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</si>
  <si>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</si>
  <si>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</si>
  <si>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</si>
  <si>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</si>
  <si>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</si>
  <si>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</si>
  <si>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</si>
  <si>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</si>
  <si>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</si>
  <si>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</si>
  <si>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</si>
  <si>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</si>
  <si>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</si>
  <si>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</si>
  <si>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</si>
  <si>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</si>
  <si>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</si>
  <si>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</si>
  <si>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</si>
  <si>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</si>
  <si>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</si>
  <si>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</si>
  <si>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</si>
  <si>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</si>
  <si>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</si>
  <si>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</si>
  <si>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</si>
  <si>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</si>
  <si>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</si>
  <si>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</si>
  <si>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</si>
  <si>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</si>
  <si>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</si>
  <si>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</si>
  <si>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</si>
  <si>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</si>
  <si>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</si>
  <si>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</si>
  <si>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</si>
  <si>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</si>
  <si>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</si>
  <si>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</si>
  <si>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</si>
  <si>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</si>
  <si>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</si>
  <si>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</si>
  <si>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</si>
  <si>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</si>
  <si>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</si>
  <si>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</si>
  <si>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</si>
  <si>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</si>
  <si>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</si>
  <si>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</si>
  <si>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</si>
  <si>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</si>
  <si>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</si>
  <si>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</si>
  <si>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</si>
  <si>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</si>
  <si>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</si>
  <si>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</si>
  <si>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</si>
  <si>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</si>
  <si>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</si>
  <si>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</si>
  <si>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</si>
  <si>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</si>
  <si>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</si>
  <si>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</si>
  <si>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</si>
  <si>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</si>
  <si>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</si>
  <si>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</si>
  <si>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</si>
  <si>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</si>
  <si>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</si>
  <si>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</si>
  <si>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</si>
  <si>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</si>
  <si>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</si>
  <si>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</si>
  <si>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</si>
  <si>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</si>
  <si>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</si>
  <si>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</si>
  <si>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</si>
  <si>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</si>
  <si>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</si>
  <si>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</si>
  <si>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</si>
  <si>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</si>
  <si>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</si>
  <si>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</si>
  <si>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</si>
  <si>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</si>
  <si>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</si>
  <si>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</si>
  <si>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</si>
  <si>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</si>
  <si>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</si>
  <si>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</si>
  <si>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</si>
  <si>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</si>
  <si>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</si>
  <si>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</si>
  <si>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</si>
  <si>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</si>
  <si>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</si>
  <si>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</si>
  <si>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</si>
  <si>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</si>
  <si>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</si>
  <si>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</si>
  <si>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</si>
  <si>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</si>
  <si>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</si>
  <si>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</si>
  <si>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</si>
  <si>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</si>
  <si>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</si>
  <si>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</si>
  <si>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</si>
  <si>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</si>
  <si>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</si>
  <si>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</si>
  <si>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</si>
  <si>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</si>
  <si>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</si>
  <si>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</si>
  <si>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</si>
  <si>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</si>
  <si>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</si>
  <si>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</si>
  <si>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</si>
  <si>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</si>
  <si>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</si>
  <si>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</si>
  <si>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</si>
  <si>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</si>
  <si>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</si>
  <si>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</si>
  <si>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</si>
  <si>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</si>
  <si>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</si>
  <si>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</si>
  <si>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</si>
  <si>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</si>
  <si>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</si>
  <si>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</si>
  <si>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</si>
  <si>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</si>
  <si>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</si>
  <si>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</si>
  <si>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</si>
  <si>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</si>
  <si>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</si>
  <si>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</si>
  <si>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</si>
  <si>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</si>
  <si>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</si>
  <si>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</si>
  <si>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</si>
  <si>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</si>
  <si>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</si>
  <si>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</si>
  <si>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</si>
  <si>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</si>
  <si>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</si>
  <si>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</si>
  <si>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</si>
  <si>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</si>
  <si>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</si>
  <si>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</si>
  <si>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</si>
  <si>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</si>
  <si>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</si>
  <si>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</si>
  <si>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</si>
  <si>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</si>
  <si>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</si>
  <si>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</si>
  <si>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</si>
  <si>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</si>
  <si>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</si>
  <si>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</si>
  <si>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</si>
  <si>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</si>
  <si>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</si>
  <si>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</si>
  <si>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</si>
  <si>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</si>
  <si>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</si>
  <si>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</si>
  <si>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</si>
  <si>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</si>
  <si>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</si>
  <si>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</si>
  <si>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</si>
  <si>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</si>
  <si>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</si>
  <si>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</si>
  <si>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</si>
  <si>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</si>
  <si>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</si>
  <si>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</si>
  <si>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</si>
  <si>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</si>
  <si>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</si>
  <si>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</si>
  <si>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</si>
  <si>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</si>
  <si>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</si>
  <si>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</si>
  <si>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</si>
  <si>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</si>
  <si>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</si>
  <si>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</si>
  <si>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</si>
  <si>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</si>
  <si>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</si>
  <si>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</si>
  <si>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</si>
  <si>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</si>
  <si>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</si>
  <si>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</si>
  <si>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</si>
  <si>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</si>
  <si>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</si>
  <si>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</si>
  <si>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</si>
  <si>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</si>
  <si>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</si>
  <si>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</si>
  <si>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</si>
  <si>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</si>
  <si>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</si>
  <si>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</si>
  <si>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</si>
  <si>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</si>
  <si>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</si>
  <si>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</si>
  <si>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</si>
  <si>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</si>
  <si>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</si>
  <si>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</si>
  <si>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</si>
  <si>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</si>
  <si>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</si>
  <si>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</si>
  <si>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</si>
  <si>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</si>
  <si>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</si>
  <si>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</si>
  <si>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</si>
  <si>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</si>
  <si>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</si>
  <si>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</si>
  <si>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</si>
  <si>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</si>
  <si>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</si>
  <si>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</si>
  <si>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</si>
  <si>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</si>
  <si>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</si>
  <si>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</si>
  <si>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</si>
  <si>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</si>
  <si>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</si>
  <si>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</si>
  <si>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</si>
  <si>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</si>
  <si>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</si>
  <si>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</si>
  <si>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</si>
  <si>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</si>
  <si>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</si>
  <si>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</si>
  <si>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</si>
  <si>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</si>
  <si>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</si>
  <si>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</si>
  <si>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</si>
  <si>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</si>
  <si>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</si>
  <si>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</si>
  <si>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</si>
  <si>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</si>
  <si>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</si>
  <si>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</si>
  <si>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</si>
  <si>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</si>
  <si>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</si>
  <si>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</si>
  <si>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</si>
  <si>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</si>
  <si>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</si>
  <si>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</si>
  <si>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</si>
  <si>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</si>
  <si>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</si>
  <si>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</si>
  <si>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</si>
  <si>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</si>
  <si>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</si>
  <si>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</si>
  <si>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</si>
  <si>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</si>
  <si>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</si>
  <si>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</si>
  <si>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</si>
  <si>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</si>
  <si>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</si>
  <si>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</si>
  <si>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</si>
  <si>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</si>
  <si>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</si>
  <si>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</si>
  <si>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</si>
  <si>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</si>
  <si>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</si>
  <si>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</si>
  <si>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</si>
  <si>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</si>
  <si>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</si>
  <si>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</si>
  <si>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</si>
  <si>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BS Duration of Subsidies per Unit Electricity Output</t>
  </si>
  <si>
    <t>The duration of subsidies per unit electricity output variable should specify the number of years</t>
  </si>
  <si>
    <t>generators will qualify for electricity production tax credits/incentives.</t>
  </si>
  <si>
    <t>Latest calibration year target passed: 2040</t>
  </si>
  <si>
    <t>BNEF Projections, 2022 $</t>
  </si>
  <si>
    <t>Green Hydrogen Price ($/kg)</t>
  </si>
  <si>
    <t>Blue Hydrogen Price ($/kg)</t>
  </si>
  <si>
    <t>BNEF Projections, 2012 $</t>
  </si>
  <si>
    <t>Hydrogen Energy Content (using Higher Heating Values)</t>
  </si>
  <si>
    <t>BTU/lb</t>
  </si>
  <si>
    <t>Source: U.S. DOE, Alternative Fuels Data Center, https://afdc.energy.gov/fuels/fuel_comparison_chart.pdf</t>
  </si>
  <si>
    <t>Conversion factor</t>
  </si>
  <si>
    <t>lb/kg</t>
  </si>
  <si>
    <t>These data points form a linear cost decline.  Projecting it out to 2050 results in a cost decline of 70% relative to 2018.</t>
  </si>
  <si>
    <t>However, the IEA source (The Future of Hydrogen) only projects a 50% cost cecline in hydrogen supplier CapEx and OpEx</t>
  </si>
  <si>
    <t>over that time period, and only for electrolysis, not for natural gas reforming or coal gasification.</t>
  </si>
  <si>
    <t>To have the drop in prices charged by hydrogen suppliers better match the price drops in their CapEx and OpEx costs,</t>
  </si>
  <si>
    <t>we use IEA data to project percentage declines in hydrogen cost, though we continue to rely on</t>
  </si>
  <si>
    <t>California Energy Commission / California Air Resources Board data for prices in the start year.</t>
  </si>
  <si>
    <t>We only use electrolysis costs here, because they are the only costs that decline, and they may drive the market</t>
  </si>
  <si>
    <t>price of hydrogen fuel.  (In any case, these declines are already more conservative than extrapolating CEC/CARB values.)</t>
  </si>
  <si>
    <t>BNEF Year</t>
  </si>
  <si>
    <t>Green Hydrogen Price ($/BTU)</t>
  </si>
  <si>
    <t>Blue Hydrogen Price ($/BTU)</t>
  </si>
  <si>
    <t>Hydrogen Subsidies</t>
  </si>
  <si>
    <t>Industry Sector Subsidy</t>
  </si>
  <si>
    <t>Electricity Sector Subsidy</t>
  </si>
  <si>
    <t>Transportation Sector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</si>
</sst>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quot;#,##0_);\(&quot;$&quot;#,##0\)"/>
    <numFmt numFmtId="8" formatCode="&quot;$&quot;#,##0.00_);[Red]\(&quot;$&quot;#,##0.0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
      <patternFill patternType="solid">
        <fgColor rgb="FF92D050"/>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9">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40" fillId="16" borderId="0" xfId="0" applyFont="1" applyFill="1" applyAlignment="1">
      <alignment horizontal="center"/>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40" fillId="13" borderId="0" xfId="0" applyFont="1" applyFill="1" applyAlignment="1">
      <alignment horizontal="center" vertical="center" wrapText="1"/>
    </xf>
    <xf numFmtId="0" fontId="49" fillId="21" borderId="0" xfId="0" applyFont="1" applyFill="1" applyAlignment="1">
      <alignment horizontal="center" vertical="center" textRotation="90" wrapText="1"/>
    </xf>
    <xf numFmtId="0" fontId="40" fillId="13" borderId="67" xfId="0" applyFont="1" applyFill="1" applyBorder="1" applyAlignment="1">
      <alignment horizontal="center" vertical="center"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34" fillId="26" borderId="0" xfId="0" applyFont="1" applyFill="1" applyAlignment="1">
      <alignment horizontal="center" vertical="center" textRotation="90"/>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0" fillId="16" borderId="24" xfId="0" applyFont="1" applyFill="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31" fillId="0" borderId="126" xfId="0" applyFont="1" applyBorder="1"/>
    <xf numFmtId="0" fontId="31" fillId="0" borderId="78" xfId="0" applyFont="1" applyBorder="1"/>
    <xf numFmtId="0" fontId="31" fillId="0" borderId="79" xfId="0" applyFont="1" applyBorder="1"/>
    <xf numFmtId="0" fontId="2" fillId="0" borderId="77" xfId="1" applyFill="1" applyBorder="1" applyAlignment="1">
      <alignment horizontal="center"/>
    </xf>
    <xf numFmtId="0" fontId="2" fillId="0" borderId="78" xfId="1" applyFill="1" applyBorder="1" applyAlignment="1">
      <alignment horizontal="center"/>
    </xf>
    <xf numFmtId="0" fontId="34" fillId="0" borderId="136" xfId="0" applyFont="1" applyBorder="1" applyAlignment="1">
      <alignment horizontal="left" vertical="center"/>
    </xf>
    <xf numFmtId="0" fontId="2" fillId="0" borderId="77" xfId="1" applyFill="1" applyBorder="1" applyAlignment="1">
      <alignment horizontal="center" vertical="top"/>
    </xf>
    <xf numFmtId="0" fontId="2" fillId="0" borderId="78" xfId="1" applyFill="1" applyBorder="1" applyAlignment="1">
      <alignment horizontal="center" vertical="top"/>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135" xfId="0" applyFont="1" applyBorder="1" applyAlignment="1">
      <alignment horizontal="left" vertical="center"/>
    </xf>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31" fillId="0" borderId="77" xfId="0" applyFont="1" applyBorder="1"/>
    <xf numFmtId="0" fontId="2" fillId="0" borderId="77" xfId="1" applyBorder="1" applyAlignment="1">
      <alignment horizont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77" xfId="0" applyFont="1" applyBorder="1" applyAlignment="1">
      <alignment horizontal="center"/>
    </xf>
    <xf numFmtId="0" fontId="31" fillId="0" borderId="78" xfId="0" applyFont="1" applyBorder="1" applyAlignment="1">
      <alignment horizontal="center"/>
    </xf>
    <xf numFmtId="0" fontId="31" fillId="0" borderId="18" xfId="0" applyFont="1" applyBorder="1" applyAlignment="1">
      <alignment horizontal="left" vertic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xf numFmtId="8" fontId="0" fillId="0" borderId="0" xfId="0" applyNumberFormat="1"/>
    <xf numFmtId="0" fontId="1" fillId="27" borderId="0" xfId="0" applyFont="1" applyFill="1"/>
    <xf numFmtId="0" fontId="0" fillId="27"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workbookViewId="0">
      <selection activeCell="A62" sqref="A62:XFD62"/>
    </sheetView>
  </sheetViews>
  <sheetFormatPr defaultColWidth="9.26953125" defaultRowHeight="14.5" x14ac:dyDescent="0.35"/>
  <cols>
    <col min="2" max="2" width="83.26953125" customWidth="1"/>
  </cols>
  <sheetData>
    <row r="1" spans="1:2" x14ac:dyDescent="0.35">
      <c r="A1" s="1" t="s">
        <v>184</v>
      </c>
    </row>
    <row r="2" spans="1:2" x14ac:dyDescent="0.35">
      <c r="A2" s="1" t="s">
        <v>183</v>
      </c>
    </row>
    <row r="3" spans="1:2" x14ac:dyDescent="0.35">
      <c r="A3" s="1" t="s">
        <v>310</v>
      </c>
    </row>
    <row r="4" spans="1:2" x14ac:dyDescent="0.35">
      <c r="A4" s="1" t="s">
        <v>1063</v>
      </c>
    </row>
    <row r="6" spans="1:2" x14ac:dyDescent="0.35">
      <c r="A6" s="1" t="s">
        <v>0</v>
      </c>
      <c r="B6" s="27" t="s">
        <v>115</v>
      </c>
    </row>
    <row r="7" spans="1:2" x14ac:dyDescent="0.35">
      <c r="B7" t="s">
        <v>1</v>
      </c>
    </row>
    <row r="8" spans="1:2" x14ac:dyDescent="0.35">
      <c r="B8" s="2">
        <v>2014</v>
      </c>
    </row>
    <row r="9" spans="1:2" x14ac:dyDescent="0.35">
      <c r="B9" t="s">
        <v>2</v>
      </c>
    </row>
    <row r="10" spans="1:2" x14ac:dyDescent="0.35">
      <c r="B10" s="28" t="s">
        <v>3</v>
      </c>
    </row>
    <row r="11" spans="1:2" x14ac:dyDescent="0.35">
      <c r="B11" t="s">
        <v>4</v>
      </c>
    </row>
    <row r="13" spans="1:2" x14ac:dyDescent="0.35">
      <c r="B13" s="27" t="s">
        <v>256</v>
      </c>
    </row>
    <row r="14" spans="1:2" x14ac:dyDescent="0.35">
      <c r="B14" t="s">
        <v>288</v>
      </c>
    </row>
    <row r="15" spans="1:2" x14ac:dyDescent="0.35">
      <c r="B15" s="2">
        <v>2015</v>
      </c>
    </row>
    <row r="16" spans="1:2" x14ac:dyDescent="0.35">
      <c r="B16" t="s">
        <v>289</v>
      </c>
    </row>
    <row r="17" spans="2:2" x14ac:dyDescent="0.35">
      <c r="B17" s="28" t="s">
        <v>230</v>
      </c>
    </row>
    <row r="19" spans="2:2" x14ac:dyDescent="0.35">
      <c r="B19" s="27" t="s">
        <v>290</v>
      </c>
    </row>
    <row r="20" spans="2:2" x14ac:dyDescent="0.35">
      <c r="B20" t="s">
        <v>521</v>
      </c>
    </row>
    <row r="21" spans="2:2" x14ac:dyDescent="0.35">
      <c r="B21" s="2">
        <v>2020</v>
      </c>
    </row>
    <row r="22" spans="2:2" x14ac:dyDescent="0.35">
      <c r="B22" t="s">
        <v>520</v>
      </c>
    </row>
    <row r="23" spans="2:2" x14ac:dyDescent="0.35">
      <c r="B23" s="28" t="s">
        <v>519</v>
      </c>
    </row>
    <row r="25" spans="2:2" x14ac:dyDescent="0.35">
      <c r="B25" s="27" t="s">
        <v>291</v>
      </c>
    </row>
    <row r="26" spans="2:2" x14ac:dyDescent="0.35">
      <c r="B26" t="s">
        <v>292</v>
      </c>
    </row>
    <row r="27" spans="2:2" x14ac:dyDescent="0.35">
      <c r="B27" s="2">
        <v>2015</v>
      </c>
    </row>
    <row r="28" spans="2:2" x14ac:dyDescent="0.35">
      <c r="B28" t="s">
        <v>293</v>
      </c>
    </row>
    <row r="29" spans="2:2" x14ac:dyDescent="0.35">
      <c r="B29" s="28" t="s">
        <v>224</v>
      </c>
    </row>
    <row r="31" spans="2:2" x14ac:dyDescent="0.35">
      <c r="B31" s="27" t="s">
        <v>297</v>
      </c>
    </row>
    <row r="32" spans="2:2" x14ac:dyDescent="0.35">
      <c r="B32" t="s">
        <v>294</v>
      </c>
    </row>
    <row r="33" spans="2:2" x14ac:dyDescent="0.35">
      <c r="B33" s="2">
        <v>2015</v>
      </c>
    </row>
    <row r="34" spans="2:2" x14ac:dyDescent="0.35">
      <c r="B34" t="s">
        <v>295</v>
      </c>
    </row>
    <row r="35" spans="2:2" x14ac:dyDescent="0.35">
      <c r="B35" s="28" t="s">
        <v>235</v>
      </c>
    </row>
    <row r="36" spans="2:2" x14ac:dyDescent="0.35">
      <c r="B36" t="s">
        <v>296</v>
      </c>
    </row>
    <row r="38" spans="2:2" x14ac:dyDescent="0.35">
      <c r="B38" s="27" t="s">
        <v>167</v>
      </c>
    </row>
    <row r="39" spans="2:2" x14ac:dyDescent="0.35">
      <c r="B39" t="s">
        <v>168</v>
      </c>
    </row>
    <row r="40" spans="2:2" x14ac:dyDescent="0.35">
      <c r="B40" s="2" t="s">
        <v>636</v>
      </c>
    </row>
    <row r="41" spans="2:2" x14ac:dyDescent="0.35">
      <c r="B41" t="s">
        <v>637</v>
      </c>
    </row>
    <row r="42" spans="2:2" x14ac:dyDescent="0.35">
      <c r="B42" s="28" t="s">
        <v>587</v>
      </c>
    </row>
    <row r="43" spans="2:2" x14ac:dyDescent="0.35">
      <c r="B43" t="s">
        <v>635</v>
      </c>
    </row>
    <row r="45" spans="2:2" x14ac:dyDescent="0.35">
      <c r="B45" s="27" t="s">
        <v>526</v>
      </c>
    </row>
    <row r="46" spans="2:2" x14ac:dyDescent="0.35">
      <c r="B46" t="s">
        <v>522</v>
      </c>
    </row>
    <row r="47" spans="2:2" x14ac:dyDescent="0.35">
      <c r="B47" s="2">
        <v>2020</v>
      </c>
    </row>
    <row r="48" spans="2:2" x14ac:dyDescent="0.35">
      <c r="B48" t="s">
        <v>523</v>
      </c>
    </row>
    <row r="49" spans="1:2" x14ac:dyDescent="0.35">
      <c r="B49" s="28" t="s">
        <v>517</v>
      </c>
    </row>
    <row r="51" spans="1:2" x14ac:dyDescent="0.35">
      <c r="B51" s="27" t="s">
        <v>533</v>
      </c>
    </row>
    <row r="52" spans="1:2" x14ac:dyDescent="0.35">
      <c r="B52" t="s">
        <v>527</v>
      </c>
    </row>
    <row r="53" spans="1:2" x14ac:dyDescent="0.35">
      <c r="B53" s="2">
        <v>2020</v>
      </c>
    </row>
    <row r="54" spans="1:2" x14ac:dyDescent="0.35">
      <c r="B54" t="s">
        <v>528</v>
      </c>
    </row>
    <row r="55" spans="1:2" x14ac:dyDescent="0.35">
      <c r="B55" t="s">
        <v>529</v>
      </c>
    </row>
    <row r="56" spans="1:2" x14ac:dyDescent="0.35">
      <c r="B56" t="s">
        <v>534</v>
      </c>
    </row>
    <row r="59" spans="1:2" x14ac:dyDescent="0.35">
      <c r="A59" s="1" t="s">
        <v>169</v>
      </c>
    </row>
    <row r="60" spans="1:2" x14ac:dyDescent="0.35">
      <c r="A60" t="s">
        <v>1064</v>
      </c>
    </row>
    <row r="61" spans="1:2" x14ac:dyDescent="0.35">
      <c r="A61" t="s">
        <v>1065</v>
      </c>
    </row>
    <row r="62" spans="1:2" x14ac:dyDescent="0.35">
      <c r="A62" s="1"/>
    </row>
    <row r="63" spans="1:2" x14ac:dyDescent="0.35">
      <c r="A63" t="s">
        <v>670</v>
      </c>
    </row>
    <row r="64" spans="1:2" x14ac:dyDescent="0.35">
      <c r="A64" t="s">
        <v>671</v>
      </c>
    </row>
    <row r="65" spans="1:1" x14ac:dyDescent="0.35">
      <c r="A65" s="1"/>
    </row>
    <row r="66" spans="1:1" x14ac:dyDescent="0.35">
      <c r="A66" t="s">
        <v>170</v>
      </c>
    </row>
    <row r="67" spans="1:1" x14ac:dyDescent="0.35">
      <c r="A67" t="s">
        <v>171</v>
      </c>
    </row>
    <row r="69" spans="1:1" x14ac:dyDescent="0.35">
      <c r="A69" t="s">
        <v>174</v>
      </c>
    </row>
    <row r="70" spans="1:1" x14ac:dyDescent="0.35">
      <c r="A70" t="s">
        <v>175</v>
      </c>
    </row>
    <row r="71" spans="1:1" x14ac:dyDescent="0.35">
      <c r="A71" t="s">
        <v>176</v>
      </c>
    </row>
    <row r="72" spans="1:1" x14ac:dyDescent="0.35">
      <c r="A72" t="s">
        <v>177</v>
      </c>
    </row>
    <row r="74" spans="1:1" x14ac:dyDescent="0.35">
      <c r="A74" t="s">
        <v>186</v>
      </c>
    </row>
    <row r="75" spans="1:1" x14ac:dyDescent="0.35">
      <c r="A75" t="s">
        <v>187</v>
      </c>
    </row>
    <row r="76" spans="1:1" x14ac:dyDescent="0.35">
      <c r="A76" t="s">
        <v>188</v>
      </c>
    </row>
    <row r="77" spans="1:1" x14ac:dyDescent="0.35">
      <c r="A77" t="s">
        <v>190</v>
      </c>
    </row>
    <row r="78" spans="1:1" x14ac:dyDescent="0.35">
      <c r="A78">
        <v>0.97099999999999997</v>
      </c>
    </row>
    <row r="79" spans="1:1" x14ac:dyDescent="0.35">
      <c r="A79" t="s">
        <v>189</v>
      </c>
    </row>
    <row r="81" spans="1:5" x14ac:dyDescent="0.35">
      <c r="A81" t="s">
        <v>524</v>
      </c>
    </row>
    <row r="82" spans="1:5" x14ac:dyDescent="0.35">
      <c r="A82">
        <v>0.89805481563188172</v>
      </c>
    </row>
    <row r="83" spans="1:5" x14ac:dyDescent="0.35">
      <c r="A83" t="s">
        <v>189</v>
      </c>
    </row>
    <row r="84" spans="1:5" x14ac:dyDescent="0.35">
      <c r="A84">
        <v>0.88711067149387013</v>
      </c>
      <c r="B84" t="s">
        <v>536</v>
      </c>
      <c r="E84" s="19"/>
    </row>
    <row r="85" spans="1:5" x14ac:dyDescent="0.35">
      <c r="A85">
        <v>0.78452102304761584</v>
      </c>
      <c r="B85" t="s">
        <v>826</v>
      </c>
      <c r="E85" s="19"/>
    </row>
    <row r="87" spans="1:5" x14ac:dyDescent="0.35">
      <c r="A87" s="1" t="s">
        <v>530</v>
      </c>
    </row>
    <row r="88" spans="1:5" x14ac:dyDescent="0.35">
      <c r="A88" t="s">
        <v>588</v>
      </c>
    </row>
    <row r="89" spans="1:5" x14ac:dyDescent="0.35">
      <c r="A89" t="s">
        <v>589</v>
      </c>
    </row>
    <row r="90" spans="1:5" x14ac:dyDescent="0.35">
      <c r="A90" t="s">
        <v>531</v>
      </c>
    </row>
    <row r="91" spans="1:5" x14ac:dyDescent="0.35">
      <c r="A91" t="s">
        <v>532</v>
      </c>
    </row>
    <row r="93" spans="1:5" x14ac:dyDescent="0.35">
      <c r="A93" s="1" t="s">
        <v>305</v>
      </c>
    </row>
    <row r="94" spans="1:5" x14ac:dyDescent="0.35">
      <c r="A94" t="s">
        <v>316</v>
      </c>
    </row>
    <row r="95" spans="1:5" x14ac:dyDescent="0.35">
      <c r="A95" t="s">
        <v>317</v>
      </c>
    </row>
    <row r="96" spans="1:5" x14ac:dyDescent="0.35">
      <c r="A96" t="s">
        <v>306</v>
      </c>
    </row>
    <row r="97" spans="1:1" x14ac:dyDescent="0.35">
      <c r="A97" t="s">
        <v>307</v>
      </c>
    </row>
    <row r="100" spans="1:1" x14ac:dyDescent="0.35">
      <c r="A100" t="s">
        <v>535</v>
      </c>
    </row>
    <row r="101" spans="1:1" x14ac:dyDescent="0.35">
      <c r="A101">
        <v>30</v>
      </c>
    </row>
  </sheetData>
  <hyperlinks>
    <hyperlink ref="B10" r:id="rId1" xr:uid="{E434201F-67F7-4D65-9066-DFDD513735DE}"/>
    <hyperlink ref="B49"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opLeftCell="A236" zoomScale="85" zoomScaleNormal="85" workbookViewId="0">
      <selection activeCell="A292" sqref="A292"/>
    </sheetView>
  </sheetViews>
  <sheetFormatPr defaultColWidth="12.54296875" defaultRowHeight="15.75" customHeight="1" x14ac:dyDescent="0.3"/>
  <cols>
    <col min="1" max="1" width="94.453125" style="78" customWidth="1"/>
    <col min="2" max="2" width="15.453125" style="78" customWidth="1"/>
    <col min="3" max="3" width="11.54296875" style="78" customWidth="1"/>
    <col min="4" max="4" width="40.54296875" style="78" bestFit="1" customWidth="1"/>
    <col min="5" max="13" width="8.26953125" style="78" bestFit="1" customWidth="1"/>
    <col min="14" max="36" width="7.54296875" style="78" customWidth="1"/>
    <col min="37" max="16384" width="12.54296875" style="78"/>
  </cols>
  <sheetData>
    <row r="1" spans="1:36" ht="13" x14ac:dyDescent="0.3">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3">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3" x14ac:dyDescent="0.3">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3" x14ac:dyDescent="0.3">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3" x14ac:dyDescent="0.3">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3" x14ac:dyDescent="0.3">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3" x14ac:dyDescent="0.3">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3" x14ac:dyDescent="0.3">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3" x14ac:dyDescent="0.3">
      <c r="A9" s="77" t="s">
        <v>1066</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3" x14ac:dyDescent="0.3">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3" x14ac:dyDescent="0.3">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3" x14ac:dyDescent="0.3">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3" x14ac:dyDescent="0.3">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3" x14ac:dyDescent="0.3">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3" x14ac:dyDescent="0.3">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3" x14ac:dyDescent="0.3">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3" x14ac:dyDescent="0.3">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3" x14ac:dyDescent="0.3">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3" x14ac:dyDescent="0.3">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3" x14ac:dyDescent="0.3">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3" x14ac:dyDescent="0.3">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3" x14ac:dyDescent="0.3">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3" x14ac:dyDescent="0.3">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3" x14ac:dyDescent="0.3">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3" x14ac:dyDescent="0.3">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3" x14ac:dyDescent="0.3">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3" x14ac:dyDescent="0.3">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3" x14ac:dyDescent="0.3">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3" x14ac:dyDescent="0.3">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3" x14ac:dyDescent="0.3">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3" x14ac:dyDescent="0.3">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3" x14ac:dyDescent="0.3">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 x14ac:dyDescent="0.3">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 x14ac:dyDescent="0.3">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 x14ac:dyDescent="0.3">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 x14ac:dyDescent="0.3">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 x14ac:dyDescent="0.3">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 x14ac:dyDescent="0.3">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 x14ac:dyDescent="0.3">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 x14ac:dyDescent="0.3">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 x14ac:dyDescent="0.3">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 x14ac:dyDescent="0.3">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3" x14ac:dyDescent="0.3">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3" x14ac:dyDescent="0.3">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3" x14ac:dyDescent="0.3">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3" x14ac:dyDescent="0.3">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3" x14ac:dyDescent="0.3">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3" x14ac:dyDescent="0.3">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3" x14ac:dyDescent="0.3">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3" x14ac:dyDescent="0.3">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3" x14ac:dyDescent="0.3">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 x14ac:dyDescent="0.3">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3" x14ac:dyDescent="0.3">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 x14ac:dyDescent="0.3">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 x14ac:dyDescent="0.3">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 x14ac:dyDescent="0.3">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 x14ac:dyDescent="0.3">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 x14ac:dyDescent="0.3">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 x14ac:dyDescent="0.3">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 x14ac:dyDescent="0.3">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 x14ac:dyDescent="0.3">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 x14ac:dyDescent="0.3">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 x14ac:dyDescent="0.3">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 x14ac:dyDescent="0.3">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 x14ac:dyDescent="0.3">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 x14ac:dyDescent="0.3">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 x14ac:dyDescent="0.3">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 x14ac:dyDescent="0.3">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3" x14ac:dyDescent="0.3">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3" x14ac:dyDescent="0.3">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3" x14ac:dyDescent="0.3">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6" x14ac:dyDescent="0.3">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3" x14ac:dyDescent="0.3">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3" x14ac:dyDescent="0.3">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3" x14ac:dyDescent="0.3">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3" x14ac:dyDescent="0.3">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3" x14ac:dyDescent="0.3">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3" x14ac:dyDescent="0.3">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6" x14ac:dyDescent="0.3">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3" x14ac:dyDescent="0.3">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3" x14ac:dyDescent="0.3">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3" x14ac:dyDescent="0.3">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3" x14ac:dyDescent="0.3">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3" x14ac:dyDescent="0.3">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3" x14ac:dyDescent="0.3">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3" x14ac:dyDescent="0.3">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 x14ac:dyDescent="0.3">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 x14ac:dyDescent="0.3">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3" x14ac:dyDescent="0.3">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 x14ac:dyDescent="0.3">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3" x14ac:dyDescent="0.3">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3" x14ac:dyDescent="0.3">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3" x14ac:dyDescent="0.3">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6.5" x14ac:dyDescent="0.550000000000000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6.5" x14ac:dyDescent="0.550000000000000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3" x14ac:dyDescent="0.3">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3" x14ac:dyDescent="0.3">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3" x14ac:dyDescent="0.3">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6.5" x14ac:dyDescent="0.550000000000000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 x14ac:dyDescent="0.3">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3" x14ac:dyDescent="0.3">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3" x14ac:dyDescent="0.3">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 x14ac:dyDescent="0.3">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 x14ac:dyDescent="0.3">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3" x14ac:dyDescent="0.3">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3" x14ac:dyDescent="0.3">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3" x14ac:dyDescent="0.3">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1</v>
      </c>
      <c r="R107" s="117">
        <v>1</v>
      </c>
      <c r="S107" s="117">
        <v>1</v>
      </c>
      <c r="T107" s="117">
        <v>1</v>
      </c>
      <c r="U107" s="117">
        <v>0.75</v>
      </c>
      <c r="V107" s="117">
        <v>0.5</v>
      </c>
      <c r="W107" s="117">
        <v>0</v>
      </c>
      <c r="X107" s="117">
        <v>0</v>
      </c>
      <c r="Y107" s="117">
        <v>0</v>
      </c>
      <c r="Z107" s="117">
        <v>0</v>
      </c>
      <c r="AA107" s="117">
        <v>0</v>
      </c>
      <c r="AB107" s="117">
        <v>0</v>
      </c>
      <c r="AC107" s="117">
        <v>0</v>
      </c>
      <c r="AD107" s="77"/>
      <c r="AE107" s="77"/>
      <c r="AF107" s="77"/>
      <c r="AG107" s="77"/>
      <c r="AH107" s="77"/>
      <c r="AI107" s="77"/>
    </row>
    <row r="108" spans="1:36" ht="13" x14ac:dyDescent="0.3">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3" x14ac:dyDescent="0.3">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3" x14ac:dyDescent="0.3">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3" x14ac:dyDescent="0.3">
      <c r="A111" s="103" t="s">
        <v>732</v>
      </c>
      <c r="B111" s="118">
        <f>C111</f>
        <v>23.620381171332561</v>
      </c>
      <c r="C111" s="118">
        <f>D111</f>
        <v>23.620381171332561</v>
      </c>
      <c r="D111" s="118">
        <f t="shared" ref="D111:AC111" si="4">((($B$97*C47+$B$96*(1-C47))*(1+($B$99*C79+$B$98*(1-C79))))+(($B$97*C47+$B$96*(1-C47))*$B$102*$B$103))*D107*(1-$B$101)</f>
        <v>23.620381171332561</v>
      </c>
      <c r="E111" s="118">
        <f t="shared" si="4"/>
        <v>23.620381171332561</v>
      </c>
      <c r="F111" s="118">
        <f t="shared" si="4"/>
        <v>23.620381171332561</v>
      </c>
      <c r="G111" s="118">
        <f t="shared" si="4"/>
        <v>23.620381171332561</v>
      </c>
      <c r="H111" s="118">
        <f t="shared" si="4"/>
        <v>23.620381171332561</v>
      </c>
      <c r="I111" s="118">
        <f t="shared" si="4"/>
        <v>23.620381171332561</v>
      </c>
      <c r="J111" s="118">
        <f t="shared" si="4"/>
        <v>23.620381171332561</v>
      </c>
      <c r="K111" s="118">
        <f t="shared" si="4"/>
        <v>23.620381171332561</v>
      </c>
      <c r="L111" s="118">
        <f t="shared" si="4"/>
        <v>23.620381171332561</v>
      </c>
      <c r="M111" s="118">
        <f t="shared" si="4"/>
        <v>23.620381171332561</v>
      </c>
      <c r="N111" s="118">
        <f t="shared" si="4"/>
        <v>23.620381171332561</v>
      </c>
      <c r="O111" s="118">
        <f t="shared" si="4"/>
        <v>23.620381171332561</v>
      </c>
      <c r="P111" s="118">
        <f t="shared" si="4"/>
        <v>23.620381171332561</v>
      </c>
      <c r="Q111" s="118">
        <f t="shared" si="4"/>
        <v>23.620381171332561</v>
      </c>
      <c r="R111" s="118">
        <f t="shared" si="4"/>
        <v>23.620381171332561</v>
      </c>
      <c r="S111" s="118">
        <f t="shared" si="4"/>
        <v>23.620381171332561</v>
      </c>
      <c r="T111" s="118">
        <f t="shared" si="4"/>
        <v>23.620381171332561</v>
      </c>
      <c r="U111" s="118">
        <f t="shared" si="4"/>
        <v>17.715285878499422</v>
      </c>
      <c r="V111" s="118">
        <f t="shared" si="4"/>
        <v>11.81019058566628</v>
      </c>
      <c r="W111" s="118">
        <f t="shared" si="4"/>
        <v>0</v>
      </c>
      <c r="X111" s="118">
        <f t="shared" si="4"/>
        <v>0</v>
      </c>
      <c r="Y111" s="118">
        <f t="shared" si="4"/>
        <v>0</v>
      </c>
      <c r="Z111" s="118">
        <f t="shared" si="4"/>
        <v>0</v>
      </c>
      <c r="AA111" s="118">
        <f t="shared" si="4"/>
        <v>0</v>
      </c>
      <c r="AB111" s="118">
        <f t="shared" si="4"/>
        <v>0</v>
      </c>
      <c r="AC111" s="118">
        <f t="shared" si="4"/>
        <v>0</v>
      </c>
      <c r="AD111" s="103"/>
      <c r="AE111" s="103"/>
      <c r="AF111" s="77"/>
      <c r="AG111" s="77"/>
      <c r="AH111" s="77"/>
      <c r="AI111" s="77"/>
      <c r="AJ111" s="77"/>
    </row>
    <row r="112" spans="1:36" ht="13" x14ac:dyDescent="0.3">
      <c r="A112" s="103" t="s">
        <v>733</v>
      </c>
      <c r="B112" s="118">
        <f>B111*(1-$B$101)</f>
        <v>21.848852583482621</v>
      </c>
      <c r="C112" s="118">
        <f t="shared" ref="C112:AC112" si="5">C111*(1-$B$101)</f>
        <v>21.848852583482621</v>
      </c>
      <c r="D112" s="118">
        <f t="shared" si="5"/>
        <v>21.848852583482621</v>
      </c>
      <c r="E112" s="118">
        <f t="shared" si="5"/>
        <v>21.848852583482621</v>
      </c>
      <c r="F112" s="118">
        <f t="shared" si="5"/>
        <v>21.848852583482621</v>
      </c>
      <c r="G112" s="118">
        <f t="shared" si="5"/>
        <v>21.848852583482621</v>
      </c>
      <c r="H112" s="118">
        <f t="shared" si="5"/>
        <v>21.848852583482621</v>
      </c>
      <c r="I112" s="118">
        <f t="shared" si="5"/>
        <v>21.848852583482621</v>
      </c>
      <c r="J112" s="118">
        <f t="shared" si="5"/>
        <v>21.848852583482621</v>
      </c>
      <c r="K112" s="118">
        <f t="shared" si="5"/>
        <v>21.848852583482621</v>
      </c>
      <c r="L112" s="118">
        <f t="shared" si="5"/>
        <v>21.848852583482621</v>
      </c>
      <c r="M112" s="118">
        <f t="shared" si="5"/>
        <v>21.848852583482621</v>
      </c>
      <c r="N112" s="118">
        <f t="shared" si="5"/>
        <v>21.848852583482621</v>
      </c>
      <c r="O112" s="118">
        <f t="shared" si="5"/>
        <v>21.848852583482621</v>
      </c>
      <c r="P112" s="118">
        <f t="shared" si="5"/>
        <v>21.848852583482621</v>
      </c>
      <c r="Q112" s="118">
        <f t="shared" si="5"/>
        <v>21.848852583482621</v>
      </c>
      <c r="R112" s="118">
        <f t="shared" si="5"/>
        <v>21.848852583482621</v>
      </c>
      <c r="S112" s="118">
        <f t="shared" si="5"/>
        <v>21.848852583482621</v>
      </c>
      <c r="T112" s="118">
        <f t="shared" si="5"/>
        <v>21.848852583482621</v>
      </c>
      <c r="U112" s="118">
        <f t="shared" si="5"/>
        <v>16.386639437611965</v>
      </c>
      <c r="V112" s="118">
        <f t="shared" si="5"/>
        <v>10.924426291741311</v>
      </c>
      <c r="W112" s="118">
        <f t="shared" si="5"/>
        <v>0</v>
      </c>
      <c r="X112" s="118">
        <f t="shared" si="5"/>
        <v>0</v>
      </c>
      <c r="Y112" s="118">
        <f t="shared" si="5"/>
        <v>0</v>
      </c>
      <c r="Z112" s="118">
        <f t="shared" si="5"/>
        <v>0</v>
      </c>
      <c r="AA112" s="118">
        <f t="shared" si="5"/>
        <v>0</v>
      </c>
      <c r="AB112" s="118">
        <f t="shared" si="5"/>
        <v>0</v>
      </c>
      <c r="AC112" s="118">
        <f t="shared" si="5"/>
        <v>0</v>
      </c>
      <c r="AD112" s="103"/>
      <c r="AE112" s="103"/>
      <c r="AF112" s="77"/>
      <c r="AG112" s="77"/>
      <c r="AH112" s="77"/>
      <c r="AI112" s="77"/>
      <c r="AJ112" s="77"/>
    </row>
    <row r="113" spans="1:36" ht="13" x14ac:dyDescent="0.3">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3" x14ac:dyDescent="0.3">
      <c r="A114" s="103" t="s">
        <v>734</v>
      </c>
      <c r="B114" s="118">
        <f t="shared" ref="B114:C114" si="6">C114</f>
        <v>22.802215534460078</v>
      </c>
      <c r="C114" s="118">
        <f t="shared" si="6"/>
        <v>22.802215534460078</v>
      </c>
      <c r="D114" s="118">
        <f t="shared" ref="D114:AC114" si="7">((($B$97*C47+$B$96*(1-C47))*(1+($B$99*C77+$B$98*(1-C77))))+(($B$97*C47+$B$96*(1-C47))*$B$102*$B$103))*D107*(1-$B$101)</f>
        <v>22.802215534460078</v>
      </c>
      <c r="E114" s="118">
        <f t="shared" si="7"/>
        <v>22.932610942961524</v>
      </c>
      <c r="F114" s="118">
        <f t="shared" si="7"/>
        <v>23.063006351462974</v>
      </c>
      <c r="G114" s="118">
        <f t="shared" si="7"/>
        <v>23.058270922222079</v>
      </c>
      <c r="H114" s="118">
        <f t="shared" si="7"/>
        <v>23.054482578829365</v>
      </c>
      <c r="I114" s="118">
        <f t="shared" si="7"/>
        <v>23.051383025144418</v>
      </c>
      <c r="J114" s="118">
        <f t="shared" si="7"/>
        <v>23.051383025144418</v>
      </c>
      <c r="K114" s="118">
        <f t="shared" si="7"/>
        <v>23.051383025144418</v>
      </c>
      <c r="L114" s="118">
        <f t="shared" si="7"/>
        <v>23.051383025144418</v>
      </c>
      <c r="M114" s="118">
        <f t="shared" si="7"/>
        <v>23.051383025144418</v>
      </c>
      <c r="N114" s="118">
        <f t="shared" si="7"/>
        <v>23.051383025144418</v>
      </c>
      <c r="O114" s="118">
        <f t="shared" si="7"/>
        <v>23.051383025144418</v>
      </c>
      <c r="P114" s="118">
        <f t="shared" si="7"/>
        <v>23.051383025144418</v>
      </c>
      <c r="Q114" s="118">
        <f t="shared" si="7"/>
        <v>23.051383025144418</v>
      </c>
      <c r="R114" s="118">
        <f t="shared" si="7"/>
        <v>23.051383025144418</v>
      </c>
      <c r="S114" s="118">
        <f t="shared" si="7"/>
        <v>23.051383025144418</v>
      </c>
      <c r="T114" s="118">
        <f t="shared" si="7"/>
        <v>23.051383025144418</v>
      </c>
      <c r="U114" s="118">
        <f t="shared" si="7"/>
        <v>17.288537268858313</v>
      </c>
      <c r="V114" s="118">
        <f t="shared" si="7"/>
        <v>11.525691512572209</v>
      </c>
      <c r="W114" s="118">
        <f t="shared" si="7"/>
        <v>0</v>
      </c>
      <c r="X114" s="118">
        <f t="shared" si="7"/>
        <v>0</v>
      </c>
      <c r="Y114" s="118">
        <f t="shared" si="7"/>
        <v>0</v>
      </c>
      <c r="Z114" s="118">
        <f t="shared" si="7"/>
        <v>0</v>
      </c>
      <c r="AA114" s="118">
        <f t="shared" si="7"/>
        <v>0</v>
      </c>
      <c r="AB114" s="118">
        <f t="shared" si="7"/>
        <v>0</v>
      </c>
      <c r="AC114" s="118">
        <f t="shared" si="7"/>
        <v>0</v>
      </c>
      <c r="AD114" s="103"/>
      <c r="AE114" s="103"/>
      <c r="AF114" s="77"/>
      <c r="AG114" s="77"/>
      <c r="AH114" s="77"/>
      <c r="AI114" s="77"/>
      <c r="AJ114" s="77"/>
    </row>
    <row r="115" spans="1:36" ht="13" x14ac:dyDescent="0.3">
      <c r="A115" s="103" t="s">
        <v>1058</v>
      </c>
      <c r="B115" s="118">
        <f>B114*(1-$B$101)</f>
        <v>21.092049369375573</v>
      </c>
      <c r="C115" s="118">
        <f t="shared" ref="C115:AC115" si="8">C114*(1-$B$101)</f>
        <v>21.092049369375573</v>
      </c>
      <c r="D115" s="118">
        <f t="shared" si="8"/>
        <v>21.092049369375573</v>
      </c>
      <c r="E115" s="118">
        <f t="shared" si="8"/>
        <v>21.212665122239411</v>
      </c>
      <c r="F115" s="118">
        <f t="shared" si="8"/>
        <v>21.333280875103252</v>
      </c>
      <c r="G115" s="118">
        <f t="shared" si="8"/>
        <v>21.328900603055423</v>
      </c>
      <c r="H115" s="118">
        <f t="shared" si="8"/>
        <v>21.325396385417164</v>
      </c>
      <c r="I115" s="118">
        <f t="shared" si="8"/>
        <v>21.322529298258587</v>
      </c>
      <c r="J115" s="118">
        <f t="shared" si="8"/>
        <v>21.322529298258587</v>
      </c>
      <c r="K115" s="118">
        <f t="shared" si="8"/>
        <v>21.322529298258587</v>
      </c>
      <c r="L115" s="118">
        <f t="shared" si="8"/>
        <v>21.322529298258587</v>
      </c>
      <c r="M115" s="118">
        <f t="shared" si="8"/>
        <v>21.322529298258587</v>
      </c>
      <c r="N115" s="118">
        <f t="shared" si="8"/>
        <v>21.322529298258587</v>
      </c>
      <c r="O115" s="118">
        <f t="shared" si="8"/>
        <v>21.322529298258587</v>
      </c>
      <c r="P115" s="118">
        <f t="shared" si="8"/>
        <v>21.322529298258587</v>
      </c>
      <c r="Q115" s="118">
        <f t="shared" si="8"/>
        <v>21.322529298258587</v>
      </c>
      <c r="R115" s="118">
        <f t="shared" si="8"/>
        <v>21.322529298258587</v>
      </c>
      <c r="S115" s="118">
        <f t="shared" si="8"/>
        <v>21.322529298258587</v>
      </c>
      <c r="T115" s="118">
        <f t="shared" si="8"/>
        <v>21.322529298258587</v>
      </c>
      <c r="U115" s="118">
        <f t="shared" si="8"/>
        <v>15.99189697369394</v>
      </c>
      <c r="V115" s="118">
        <f t="shared" si="8"/>
        <v>10.661264649129294</v>
      </c>
      <c r="W115" s="118">
        <f t="shared" si="8"/>
        <v>0</v>
      </c>
      <c r="X115" s="118">
        <f t="shared" si="8"/>
        <v>0</v>
      </c>
      <c r="Y115" s="118">
        <f t="shared" si="8"/>
        <v>0</v>
      </c>
      <c r="Z115" s="118">
        <f t="shared" si="8"/>
        <v>0</v>
      </c>
      <c r="AA115" s="118">
        <f t="shared" si="8"/>
        <v>0</v>
      </c>
      <c r="AB115" s="118">
        <f t="shared" si="8"/>
        <v>0</v>
      </c>
      <c r="AC115" s="118">
        <f t="shared" si="8"/>
        <v>0</v>
      </c>
      <c r="AD115" s="103"/>
      <c r="AE115" s="103"/>
      <c r="AF115" s="77"/>
      <c r="AG115" s="77"/>
      <c r="AH115" s="77"/>
      <c r="AI115" s="77"/>
      <c r="AJ115" s="77"/>
    </row>
    <row r="116" spans="1:36" ht="13" x14ac:dyDescent="0.3">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3" x14ac:dyDescent="0.3">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3" x14ac:dyDescent="0.3">
      <c r="A118" s="103" t="s">
        <v>735</v>
      </c>
      <c r="B118" s="118">
        <f t="shared" ref="B118:C118" si="9">C118</f>
        <v>23.620381171332561</v>
      </c>
      <c r="C118" s="118">
        <f t="shared" si="9"/>
        <v>23.620381171332561</v>
      </c>
      <c r="D118" s="118">
        <f t="shared" ref="D118:Q118" si="10">((($B$97*C47+$B$96*(1-C47))*(1+($B$99*C79+$B$98*(1-C79))))+(($B$97*C47+$B$96*(1-C47))*$B$102*$B$103))*D107*(1-$B$101)</f>
        <v>23.620381171332561</v>
      </c>
      <c r="E118" s="118">
        <f t="shared" si="10"/>
        <v>23.620381171332561</v>
      </c>
      <c r="F118" s="118">
        <f t="shared" si="10"/>
        <v>23.620381171332561</v>
      </c>
      <c r="G118" s="118">
        <f t="shared" si="10"/>
        <v>23.620381171332561</v>
      </c>
      <c r="H118" s="118">
        <f t="shared" si="10"/>
        <v>23.620381171332561</v>
      </c>
      <c r="I118" s="118">
        <f t="shared" si="10"/>
        <v>23.620381171332561</v>
      </c>
      <c r="J118" s="118">
        <f t="shared" si="10"/>
        <v>23.620381171332561</v>
      </c>
      <c r="K118" s="118">
        <f t="shared" si="10"/>
        <v>23.620381171332561</v>
      </c>
      <c r="L118" s="118">
        <f t="shared" si="10"/>
        <v>23.620381171332561</v>
      </c>
      <c r="M118" s="118">
        <f t="shared" si="10"/>
        <v>23.620381171332561</v>
      </c>
      <c r="N118" s="118">
        <f t="shared" si="10"/>
        <v>23.620381171332561</v>
      </c>
      <c r="O118" s="118">
        <f t="shared" si="10"/>
        <v>23.620381171332561</v>
      </c>
      <c r="P118" s="118">
        <f t="shared" si="10"/>
        <v>23.620381171332561</v>
      </c>
      <c r="Q118" s="118">
        <f t="shared" si="10"/>
        <v>23.620381171332561</v>
      </c>
      <c r="R118" s="118">
        <f t="shared" ref="R118:AC118" si="11">((($B$97*Q47+$B$96*(1-Q47))*(1+($B$99*Q79+$B$98*(1-Q79))))+(($B$97*Q47+$B$96*(1-Q47))*$B$102*$B$103))*R107*(1-P101)</f>
        <v>25.535547212251416</v>
      </c>
      <c r="S118" s="118">
        <f t="shared" si="11"/>
        <v>25.535547212251416</v>
      </c>
      <c r="T118" s="118">
        <f t="shared" si="11"/>
        <v>25.535547212251416</v>
      </c>
      <c r="U118" s="118">
        <f t="shared" si="11"/>
        <v>19.151660409188562</v>
      </c>
      <c r="V118" s="118">
        <f t="shared" si="11"/>
        <v>12.767773606125708</v>
      </c>
      <c r="W118" s="118">
        <f t="shared" si="11"/>
        <v>0</v>
      </c>
      <c r="X118" s="118">
        <f t="shared" si="11"/>
        <v>0</v>
      </c>
      <c r="Y118" s="118">
        <f t="shared" si="11"/>
        <v>0</v>
      </c>
      <c r="Z118" s="118">
        <f t="shared" si="11"/>
        <v>0</v>
      </c>
      <c r="AA118" s="118">
        <f t="shared" si="11"/>
        <v>0</v>
      </c>
      <c r="AB118" s="118">
        <f t="shared" si="11"/>
        <v>0</v>
      </c>
      <c r="AC118" s="118">
        <f t="shared" si="11"/>
        <v>0</v>
      </c>
      <c r="AD118" s="103"/>
      <c r="AE118" s="103"/>
      <c r="AF118" s="77"/>
      <c r="AG118" s="77"/>
      <c r="AH118" s="77"/>
      <c r="AI118" s="77"/>
      <c r="AJ118" s="77"/>
    </row>
    <row r="119" spans="1:36" ht="13" x14ac:dyDescent="0.3">
      <c r="A119" s="103" t="s">
        <v>736</v>
      </c>
      <c r="B119" s="118">
        <f>B118*(1-$B$101)</f>
        <v>21.848852583482621</v>
      </c>
      <c r="C119" s="118">
        <f t="shared" ref="C119:AC119" si="12">C118*(1-$B$101)</f>
        <v>21.848852583482621</v>
      </c>
      <c r="D119" s="118">
        <f t="shared" si="12"/>
        <v>21.848852583482621</v>
      </c>
      <c r="E119" s="118">
        <f t="shared" si="12"/>
        <v>21.848852583482621</v>
      </c>
      <c r="F119" s="118">
        <f t="shared" si="12"/>
        <v>21.848852583482621</v>
      </c>
      <c r="G119" s="118">
        <f t="shared" si="12"/>
        <v>21.848852583482621</v>
      </c>
      <c r="H119" s="118">
        <f t="shared" si="12"/>
        <v>21.848852583482621</v>
      </c>
      <c r="I119" s="118">
        <f t="shared" si="12"/>
        <v>21.848852583482621</v>
      </c>
      <c r="J119" s="118">
        <f t="shared" si="12"/>
        <v>21.848852583482621</v>
      </c>
      <c r="K119" s="118">
        <f t="shared" si="12"/>
        <v>21.848852583482621</v>
      </c>
      <c r="L119" s="118">
        <f t="shared" si="12"/>
        <v>21.848852583482621</v>
      </c>
      <c r="M119" s="118">
        <f t="shared" si="12"/>
        <v>21.848852583482621</v>
      </c>
      <c r="N119" s="118">
        <f t="shared" si="12"/>
        <v>21.848852583482621</v>
      </c>
      <c r="O119" s="118">
        <f t="shared" si="12"/>
        <v>21.848852583482621</v>
      </c>
      <c r="P119" s="118">
        <f t="shared" si="12"/>
        <v>21.848852583482621</v>
      </c>
      <c r="Q119" s="118">
        <f t="shared" si="12"/>
        <v>21.848852583482621</v>
      </c>
      <c r="R119" s="118">
        <f t="shared" si="12"/>
        <v>23.620381171332561</v>
      </c>
      <c r="S119" s="118">
        <f t="shared" si="12"/>
        <v>23.620381171332561</v>
      </c>
      <c r="T119" s="118">
        <f t="shared" si="12"/>
        <v>23.620381171332561</v>
      </c>
      <c r="U119" s="118">
        <f t="shared" si="12"/>
        <v>17.715285878499422</v>
      </c>
      <c r="V119" s="118">
        <f t="shared" si="12"/>
        <v>11.81019058566628</v>
      </c>
      <c r="W119" s="118">
        <f t="shared" si="12"/>
        <v>0</v>
      </c>
      <c r="X119" s="118">
        <f t="shared" si="12"/>
        <v>0</v>
      </c>
      <c r="Y119" s="118">
        <f t="shared" si="12"/>
        <v>0</v>
      </c>
      <c r="Z119" s="118">
        <f t="shared" si="12"/>
        <v>0</v>
      </c>
      <c r="AA119" s="118">
        <f t="shared" si="12"/>
        <v>0</v>
      </c>
      <c r="AB119" s="118">
        <f t="shared" si="12"/>
        <v>0</v>
      </c>
      <c r="AC119" s="118">
        <f t="shared" si="12"/>
        <v>0</v>
      </c>
      <c r="AD119" s="103"/>
      <c r="AE119" s="103"/>
      <c r="AF119" s="77"/>
      <c r="AG119" s="77"/>
      <c r="AH119" s="77"/>
      <c r="AI119" s="77"/>
      <c r="AJ119" s="77"/>
    </row>
    <row r="120" spans="1:36" ht="13" x14ac:dyDescent="0.3">
      <c r="A120" s="103" t="s">
        <v>1059</v>
      </c>
      <c r="B120" s="118">
        <f>B118*(1-$B$101)</f>
        <v>21.848852583482621</v>
      </c>
      <c r="C120" s="118">
        <f t="shared" ref="C120:AC120" si="13">C118*(1-$B$101)</f>
        <v>21.848852583482621</v>
      </c>
      <c r="D120" s="118">
        <f t="shared" si="13"/>
        <v>21.848852583482621</v>
      </c>
      <c r="E120" s="118">
        <f t="shared" si="13"/>
        <v>21.848852583482621</v>
      </c>
      <c r="F120" s="118">
        <f t="shared" si="13"/>
        <v>21.848852583482621</v>
      </c>
      <c r="G120" s="118">
        <f t="shared" si="13"/>
        <v>21.848852583482621</v>
      </c>
      <c r="H120" s="118">
        <f t="shared" si="13"/>
        <v>21.848852583482621</v>
      </c>
      <c r="I120" s="118">
        <f t="shared" si="13"/>
        <v>21.848852583482621</v>
      </c>
      <c r="J120" s="118">
        <f t="shared" si="13"/>
        <v>21.848852583482621</v>
      </c>
      <c r="K120" s="118">
        <f t="shared" si="13"/>
        <v>21.848852583482621</v>
      </c>
      <c r="L120" s="118">
        <f t="shared" si="13"/>
        <v>21.848852583482621</v>
      </c>
      <c r="M120" s="118">
        <f t="shared" si="13"/>
        <v>21.848852583482621</v>
      </c>
      <c r="N120" s="118">
        <f t="shared" si="13"/>
        <v>21.848852583482621</v>
      </c>
      <c r="O120" s="118">
        <f t="shared" si="13"/>
        <v>21.848852583482621</v>
      </c>
      <c r="P120" s="118">
        <f t="shared" si="13"/>
        <v>21.848852583482621</v>
      </c>
      <c r="Q120" s="118">
        <f t="shared" si="13"/>
        <v>21.848852583482621</v>
      </c>
      <c r="R120" s="118">
        <f t="shared" si="13"/>
        <v>23.620381171332561</v>
      </c>
      <c r="S120" s="118">
        <f t="shared" si="13"/>
        <v>23.620381171332561</v>
      </c>
      <c r="T120" s="118">
        <f t="shared" si="13"/>
        <v>23.620381171332561</v>
      </c>
      <c r="U120" s="118">
        <f t="shared" si="13"/>
        <v>17.715285878499422</v>
      </c>
      <c r="V120" s="118">
        <f t="shared" si="13"/>
        <v>11.81019058566628</v>
      </c>
      <c r="W120" s="118">
        <f t="shared" si="13"/>
        <v>0</v>
      </c>
      <c r="X120" s="118">
        <f t="shared" si="13"/>
        <v>0</v>
      </c>
      <c r="Y120" s="118">
        <f t="shared" si="13"/>
        <v>0</v>
      </c>
      <c r="Z120" s="118">
        <f t="shared" si="13"/>
        <v>0</v>
      </c>
      <c r="AA120" s="118">
        <f t="shared" si="13"/>
        <v>0</v>
      </c>
      <c r="AB120" s="118">
        <f t="shared" si="13"/>
        <v>0</v>
      </c>
      <c r="AC120" s="118">
        <f t="shared" si="13"/>
        <v>0</v>
      </c>
      <c r="AD120" s="103"/>
      <c r="AE120" s="103"/>
      <c r="AF120" s="77"/>
      <c r="AG120" s="77"/>
      <c r="AH120" s="77"/>
      <c r="AI120" s="77"/>
      <c r="AJ120" s="77"/>
    </row>
    <row r="121" spans="1:36" ht="13" x14ac:dyDescent="0.3">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 x14ac:dyDescent="0.3">
      <c r="A122" s="103" t="s">
        <v>737</v>
      </c>
      <c r="B122" s="118">
        <f t="shared" ref="B122:C122" si="14">C122</f>
        <v>23.620381171332561</v>
      </c>
      <c r="C122" s="118">
        <f t="shared" si="14"/>
        <v>23.620381171332561</v>
      </c>
      <c r="D122" s="118">
        <f t="shared" ref="D122:Q122" si="15">((($B$97*C47+$B$96*(1-C47))*(1+($B$99*C79+$B$98*(1-C79))))+(($B$97*C47+$B$96*(1-C47))*$B$102*$B$103))*D107*(1-$B$101)</f>
        <v>23.620381171332561</v>
      </c>
      <c r="E122" s="118">
        <f t="shared" si="15"/>
        <v>23.620381171332561</v>
      </c>
      <c r="F122" s="118">
        <f t="shared" si="15"/>
        <v>23.620381171332561</v>
      </c>
      <c r="G122" s="118">
        <f t="shared" si="15"/>
        <v>23.620381171332561</v>
      </c>
      <c r="H122" s="118">
        <f t="shared" si="15"/>
        <v>23.620381171332561</v>
      </c>
      <c r="I122" s="118">
        <f t="shared" si="15"/>
        <v>23.620381171332561</v>
      </c>
      <c r="J122" s="118">
        <f t="shared" si="15"/>
        <v>23.620381171332561</v>
      </c>
      <c r="K122" s="118">
        <f t="shared" si="15"/>
        <v>23.620381171332561</v>
      </c>
      <c r="L122" s="118">
        <f t="shared" si="15"/>
        <v>23.620381171332561</v>
      </c>
      <c r="M122" s="118">
        <f t="shared" si="15"/>
        <v>23.620381171332561</v>
      </c>
      <c r="N122" s="118">
        <f t="shared" si="15"/>
        <v>23.620381171332561</v>
      </c>
      <c r="O122" s="118">
        <f t="shared" si="15"/>
        <v>23.620381171332561</v>
      </c>
      <c r="P122" s="118">
        <f t="shared" si="15"/>
        <v>23.620381171332561</v>
      </c>
      <c r="Q122" s="118">
        <f t="shared" si="15"/>
        <v>23.620381171332561</v>
      </c>
      <c r="R122" s="118">
        <f t="shared" ref="R122:AC122" si="16">((($B$97*Q47+$B$96*(1-Q47))*(1+($B$99*Q79+$B$98*(1-Q79))))+(($B$97*Q47+$B$96*(1-Q47))*$B$102*$B$103))*R107*(1-P101)</f>
        <v>25.535547212251416</v>
      </c>
      <c r="S122" s="118">
        <f t="shared" si="16"/>
        <v>25.535547212251416</v>
      </c>
      <c r="T122" s="118">
        <f t="shared" si="16"/>
        <v>25.535547212251416</v>
      </c>
      <c r="U122" s="118">
        <f t="shared" si="16"/>
        <v>19.151660409188562</v>
      </c>
      <c r="V122" s="118">
        <f t="shared" si="16"/>
        <v>12.767773606125708</v>
      </c>
      <c r="W122" s="118">
        <f t="shared" si="16"/>
        <v>0</v>
      </c>
      <c r="X122" s="118">
        <f t="shared" si="16"/>
        <v>0</v>
      </c>
      <c r="Y122" s="118">
        <f t="shared" si="16"/>
        <v>0</v>
      </c>
      <c r="Z122" s="118">
        <f t="shared" si="16"/>
        <v>0</v>
      </c>
      <c r="AA122" s="118">
        <f t="shared" si="16"/>
        <v>0</v>
      </c>
      <c r="AB122" s="118">
        <f t="shared" si="16"/>
        <v>0</v>
      </c>
      <c r="AC122" s="118">
        <f t="shared" si="16"/>
        <v>0</v>
      </c>
      <c r="AD122" s="103"/>
      <c r="AE122" s="103"/>
      <c r="AF122" s="77"/>
      <c r="AG122" s="77"/>
      <c r="AH122" s="77"/>
      <c r="AI122" s="77"/>
      <c r="AJ122" s="77"/>
    </row>
    <row r="123" spans="1:36" ht="13" x14ac:dyDescent="0.3">
      <c r="A123" s="103" t="s">
        <v>1060</v>
      </c>
      <c r="B123" s="118">
        <f t="shared" ref="B123:AC123" si="17">B122*(1-$B$101)</f>
        <v>21.848852583482621</v>
      </c>
      <c r="C123" s="118">
        <f t="shared" si="17"/>
        <v>21.848852583482621</v>
      </c>
      <c r="D123" s="118">
        <f t="shared" si="17"/>
        <v>21.848852583482621</v>
      </c>
      <c r="E123" s="118">
        <f t="shared" si="17"/>
        <v>21.848852583482621</v>
      </c>
      <c r="F123" s="118">
        <f t="shared" si="17"/>
        <v>21.848852583482621</v>
      </c>
      <c r="G123" s="118">
        <f t="shared" si="17"/>
        <v>21.848852583482621</v>
      </c>
      <c r="H123" s="118">
        <f t="shared" si="17"/>
        <v>21.848852583482621</v>
      </c>
      <c r="I123" s="118">
        <f t="shared" si="17"/>
        <v>21.848852583482621</v>
      </c>
      <c r="J123" s="118">
        <f t="shared" si="17"/>
        <v>21.848852583482621</v>
      </c>
      <c r="K123" s="118">
        <f t="shared" si="17"/>
        <v>21.848852583482621</v>
      </c>
      <c r="L123" s="118">
        <f t="shared" si="17"/>
        <v>21.848852583482621</v>
      </c>
      <c r="M123" s="118">
        <f t="shared" si="17"/>
        <v>21.848852583482621</v>
      </c>
      <c r="N123" s="118">
        <f t="shared" si="17"/>
        <v>21.848852583482621</v>
      </c>
      <c r="O123" s="118">
        <f t="shared" si="17"/>
        <v>21.848852583482621</v>
      </c>
      <c r="P123" s="118">
        <f t="shared" si="17"/>
        <v>21.848852583482621</v>
      </c>
      <c r="Q123" s="118">
        <f t="shared" si="17"/>
        <v>21.848852583482621</v>
      </c>
      <c r="R123" s="118">
        <f t="shared" si="17"/>
        <v>23.620381171332561</v>
      </c>
      <c r="S123" s="118">
        <f t="shared" si="17"/>
        <v>23.620381171332561</v>
      </c>
      <c r="T123" s="118">
        <f t="shared" si="17"/>
        <v>23.620381171332561</v>
      </c>
      <c r="U123" s="118">
        <f t="shared" si="17"/>
        <v>17.715285878499422</v>
      </c>
      <c r="V123" s="118">
        <f t="shared" si="17"/>
        <v>11.81019058566628</v>
      </c>
      <c r="W123" s="118">
        <f t="shared" si="17"/>
        <v>0</v>
      </c>
      <c r="X123" s="118">
        <f t="shared" si="17"/>
        <v>0</v>
      </c>
      <c r="Y123" s="118">
        <f t="shared" si="17"/>
        <v>0</v>
      </c>
      <c r="Z123" s="118">
        <f t="shared" si="17"/>
        <v>0</v>
      </c>
      <c r="AA123" s="118">
        <f t="shared" si="17"/>
        <v>0</v>
      </c>
      <c r="AB123" s="118">
        <f t="shared" si="17"/>
        <v>0</v>
      </c>
      <c r="AC123" s="118">
        <f t="shared" si="17"/>
        <v>0</v>
      </c>
      <c r="AD123" s="103"/>
      <c r="AE123" s="103"/>
      <c r="AF123" s="77"/>
      <c r="AG123" s="77"/>
      <c r="AH123" s="77"/>
      <c r="AI123" s="77"/>
      <c r="AJ123" s="77"/>
    </row>
    <row r="124" spans="1:36" ht="13" x14ac:dyDescent="0.3">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3" x14ac:dyDescent="0.3">
      <c r="A125" s="103" t="s">
        <v>738</v>
      </c>
      <c r="B125" s="118">
        <f t="shared" ref="B125:C125" si="18">C125</f>
        <v>23.620381171332561</v>
      </c>
      <c r="C125" s="118">
        <f t="shared" si="18"/>
        <v>23.620381171332561</v>
      </c>
      <c r="D125" s="118">
        <f t="shared" ref="D125:Q125" si="19">((($B$97*C47+$B$96*(1-C47))*(1+($B$99*C79+$B$98*(1-C79))))+(($B$97*C47+$B$96*(1-C47))*$B$102*$B$103))*D107*(1-$B$101)</f>
        <v>23.620381171332561</v>
      </c>
      <c r="E125" s="118">
        <f t="shared" si="19"/>
        <v>23.620381171332561</v>
      </c>
      <c r="F125" s="118">
        <f t="shared" si="19"/>
        <v>23.620381171332561</v>
      </c>
      <c r="G125" s="118">
        <f t="shared" si="19"/>
        <v>23.620381171332561</v>
      </c>
      <c r="H125" s="118">
        <f t="shared" si="19"/>
        <v>23.620381171332561</v>
      </c>
      <c r="I125" s="118">
        <f t="shared" si="19"/>
        <v>23.620381171332561</v>
      </c>
      <c r="J125" s="118">
        <f t="shared" si="19"/>
        <v>23.620381171332561</v>
      </c>
      <c r="K125" s="118">
        <f t="shared" si="19"/>
        <v>23.620381171332561</v>
      </c>
      <c r="L125" s="118">
        <f t="shared" si="19"/>
        <v>23.620381171332561</v>
      </c>
      <c r="M125" s="118">
        <f t="shared" si="19"/>
        <v>23.620381171332561</v>
      </c>
      <c r="N125" s="118">
        <f t="shared" si="19"/>
        <v>23.620381171332561</v>
      </c>
      <c r="O125" s="118">
        <f t="shared" si="19"/>
        <v>23.620381171332561</v>
      </c>
      <c r="P125" s="118">
        <f t="shared" si="19"/>
        <v>23.620381171332561</v>
      </c>
      <c r="Q125" s="118">
        <f t="shared" si="19"/>
        <v>23.620381171332561</v>
      </c>
      <c r="R125" s="118">
        <f t="shared" ref="R125:AC125" si="20">((($B$97*Q47+$B$96*(1-Q47))*(1+($B$99*Q79+$B$98*(1-Q79))))+(($B$97*Q47+$B$96*(1-Q47))*$B$102*$B$103))*R107*(1-P101)</f>
        <v>25.535547212251416</v>
      </c>
      <c r="S125" s="118">
        <f t="shared" si="20"/>
        <v>25.535547212251416</v>
      </c>
      <c r="T125" s="118">
        <f t="shared" si="20"/>
        <v>25.535547212251416</v>
      </c>
      <c r="U125" s="118">
        <f t="shared" si="20"/>
        <v>19.151660409188562</v>
      </c>
      <c r="V125" s="118">
        <f t="shared" si="20"/>
        <v>12.767773606125708</v>
      </c>
      <c r="W125" s="118">
        <f t="shared" si="20"/>
        <v>0</v>
      </c>
      <c r="X125" s="118">
        <f t="shared" si="20"/>
        <v>0</v>
      </c>
      <c r="Y125" s="118">
        <f t="shared" si="20"/>
        <v>0</v>
      </c>
      <c r="Z125" s="118">
        <f t="shared" si="20"/>
        <v>0</v>
      </c>
      <c r="AA125" s="118">
        <f t="shared" si="20"/>
        <v>0</v>
      </c>
      <c r="AB125" s="118">
        <f t="shared" si="20"/>
        <v>0</v>
      </c>
      <c r="AC125" s="118">
        <f t="shared" si="20"/>
        <v>0</v>
      </c>
      <c r="AD125" s="103"/>
      <c r="AE125" s="103"/>
      <c r="AF125" s="77"/>
      <c r="AG125" s="77"/>
      <c r="AH125" s="77"/>
      <c r="AI125" s="77"/>
      <c r="AJ125" s="77"/>
    </row>
    <row r="126" spans="1:36" ht="13" x14ac:dyDescent="0.3">
      <c r="A126" s="103" t="s">
        <v>1061</v>
      </c>
      <c r="B126" s="118">
        <f t="shared" ref="B126:AC126" si="21">B125*(1-$B$101)</f>
        <v>21.848852583482621</v>
      </c>
      <c r="C126" s="118">
        <f t="shared" si="21"/>
        <v>21.848852583482621</v>
      </c>
      <c r="D126" s="118">
        <f t="shared" si="21"/>
        <v>21.848852583482621</v>
      </c>
      <c r="E126" s="118">
        <f t="shared" si="21"/>
        <v>21.848852583482621</v>
      </c>
      <c r="F126" s="118">
        <f t="shared" si="21"/>
        <v>21.848852583482621</v>
      </c>
      <c r="G126" s="118">
        <f t="shared" si="21"/>
        <v>21.848852583482621</v>
      </c>
      <c r="H126" s="118">
        <f t="shared" si="21"/>
        <v>21.848852583482621</v>
      </c>
      <c r="I126" s="118">
        <f t="shared" si="21"/>
        <v>21.848852583482621</v>
      </c>
      <c r="J126" s="118">
        <f t="shared" si="21"/>
        <v>21.848852583482621</v>
      </c>
      <c r="K126" s="118">
        <f t="shared" si="21"/>
        <v>21.848852583482621</v>
      </c>
      <c r="L126" s="118">
        <f t="shared" si="21"/>
        <v>21.848852583482621</v>
      </c>
      <c r="M126" s="118">
        <f t="shared" si="21"/>
        <v>21.848852583482621</v>
      </c>
      <c r="N126" s="118">
        <f t="shared" si="21"/>
        <v>21.848852583482621</v>
      </c>
      <c r="O126" s="118">
        <f t="shared" si="21"/>
        <v>21.848852583482621</v>
      </c>
      <c r="P126" s="118">
        <f t="shared" si="21"/>
        <v>21.848852583482621</v>
      </c>
      <c r="Q126" s="118">
        <f t="shared" si="21"/>
        <v>21.848852583482621</v>
      </c>
      <c r="R126" s="118">
        <f t="shared" si="21"/>
        <v>23.620381171332561</v>
      </c>
      <c r="S126" s="118">
        <f t="shared" si="21"/>
        <v>23.620381171332561</v>
      </c>
      <c r="T126" s="118">
        <f t="shared" si="21"/>
        <v>23.620381171332561</v>
      </c>
      <c r="U126" s="118">
        <f t="shared" si="21"/>
        <v>17.715285878499422</v>
      </c>
      <c r="V126" s="118">
        <f t="shared" si="21"/>
        <v>11.81019058566628</v>
      </c>
      <c r="W126" s="118">
        <f t="shared" si="21"/>
        <v>0</v>
      </c>
      <c r="X126" s="118">
        <f t="shared" si="21"/>
        <v>0</v>
      </c>
      <c r="Y126" s="118">
        <f t="shared" si="21"/>
        <v>0</v>
      </c>
      <c r="Z126" s="118">
        <f t="shared" si="21"/>
        <v>0</v>
      </c>
      <c r="AA126" s="118">
        <f t="shared" si="21"/>
        <v>0</v>
      </c>
      <c r="AB126" s="118">
        <f t="shared" si="21"/>
        <v>0</v>
      </c>
      <c r="AC126" s="118">
        <f t="shared" si="21"/>
        <v>0</v>
      </c>
      <c r="AD126" s="103"/>
      <c r="AE126" s="103"/>
      <c r="AF126" s="77"/>
      <c r="AG126" s="77"/>
      <c r="AH126" s="77"/>
      <c r="AI126" s="77"/>
      <c r="AJ126" s="77"/>
    </row>
    <row r="127" spans="1:36" ht="13" x14ac:dyDescent="0.3">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3" x14ac:dyDescent="0.3">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3" x14ac:dyDescent="0.3">
      <c r="A129" s="103" t="s">
        <v>1062</v>
      </c>
      <c r="B129" s="118">
        <f>B128*(1-$B$101)</f>
        <v>13.875</v>
      </c>
      <c r="C129" s="118">
        <f t="shared" ref="C129:AC129" si="22">C128*(1-$B$101)</f>
        <v>13.875</v>
      </c>
      <c r="D129" s="118">
        <f t="shared" si="22"/>
        <v>13.875</v>
      </c>
      <c r="E129" s="118">
        <f t="shared" si="22"/>
        <v>13.875</v>
      </c>
      <c r="F129" s="118">
        <f t="shared" si="22"/>
        <v>13.875</v>
      </c>
      <c r="G129" s="118">
        <f t="shared" si="22"/>
        <v>13.875</v>
      </c>
      <c r="H129" s="118">
        <f t="shared" si="22"/>
        <v>13.875</v>
      </c>
      <c r="I129" s="118">
        <f t="shared" si="22"/>
        <v>13.875</v>
      </c>
      <c r="J129" s="118">
        <f t="shared" si="22"/>
        <v>13.875</v>
      </c>
      <c r="K129" s="118">
        <f t="shared" si="22"/>
        <v>13.875</v>
      </c>
      <c r="L129" s="118">
        <f t="shared" si="22"/>
        <v>0</v>
      </c>
      <c r="M129" s="118">
        <f t="shared" si="22"/>
        <v>0</v>
      </c>
      <c r="N129" s="118">
        <f t="shared" si="22"/>
        <v>0</v>
      </c>
      <c r="O129" s="118">
        <f t="shared" si="22"/>
        <v>0</v>
      </c>
      <c r="P129" s="118">
        <f t="shared" si="22"/>
        <v>0</v>
      </c>
      <c r="Q129" s="118">
        <f t="shared" si="22"/>
        <v>0</v>
      </c>
      <c r="R129" s="118">
        <f t="shared" si="22"/>
        <v>0</v>
      </c>
      <c r="S129" s="118">
        <f t="shared" si="22"/>
        <v>0</v>
      </c>
      <c r="T129" s="118">
        <f t="shared" si="22"/>
        <v>0</v>
      </c>
      <c r="U129" s="118">
        <f t="shared" si="22"/>
        <v>0</v>
      </c>
      <c r="V129" s="118">
        <f t="shared" si="22"/>
        <v>0</v>
      </c>
      <c r="W129" s="118">
        <f t="shared" si="22"/>
        <v>0</v>
      </c>
      <c r="X129" s="118">
        <f t="shared" si="22"/>
        <v>0</v>
      </c>
      <c r="Y129" s="118">
        <f t="shared" si="22"/>
        <v>0</v>
      </c>
      <c r="Z129" s="118">
        <f t="shared" si="22"/>
        <v>0</v>
      </c>
      <c r="AA129" s="118">
        <f t="shared" si="22"/>
        <v>0</v>
      </c>
      <c r="AB129" s="118">
        <f t="shared" si="22"/>
        <v>0</v>
      </c>
      <c r="AC129" s="118">
        <f t="shared" si="22"/>
        <v>0</v>
      </c>
      <c r="AD129" s="103"/>
      <c r="AE129" s="103"/>
      <c r="AF129" s="77"/>
      <c r="AG129" s="77"/>
      <c r="AH129" s="77"/>
      <c r="AI129" s="77"/>
      <c r="AJ129" s="77"/>
    </row>
    <row r="130" spans="1:36" ht="13" x14ac:dyDescent="0.3">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3" x14ac:dyDescent="0.3">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3" x14ac:dyDescent="0.3">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3" x14ac:dyDescent="0.3">
      <c r="A133" s="103" t="s">
        <v>741</v>
      </c>
      <c r="B133" s="117">
        <v>0</v>
      </c>
      <c r="C133" s="117">
        <f t="shared" ref="C133:AD133" si="23">B107</f>
        <v>1</v>
      </c>
      <c r="D133" s="117">
        <f t="shared" si="23"/>
        <v>1</v>
      </c>
      <c r="E133" s="117">
        <f t="shared" si="23"/>
        <v>1</v>
      </c>
      <c r="F133" s="117">
        <f t="shared" si="23"/>
        <v>1</v>
      </c>
      <c r="G133" s="117">
        <f t="shared" si="23"/>
        <v>1</v>
      </c>
      <c r="H133" s="117">
        <f t="shared" si="23"/>
        <v>1</v>
      </c>
      <c r="I133" s="117">
        <f t="shared" si="23"/>
        <v>1</v>
      </c>
      <c r="J133" s="117">
        <f t="shared" si="23"/>
        <v>1</v>
      </c>
      <c r="K133" s="117">
        <f t="shared" si="23"/>
        <v>1</v>
      </c>
      <c r="L133" s="117">
        <f t="shared" si="23"/>
        <v>1</v>
      </c>
      <c r="M133" s="117">
        <f t="shared" si="23"/>
        <v>1</v>
      </c>
      <c r="N133" s="117">
        <f t="shared" si="23"/>
        <v>1</v>
      </c>
      <c r="O133" s="117">
        <f t="shared" si="23"/>
        <v>1</v>
      </c>
      <c r="P133" s="117">
        <f t="shared" si="23"/>
        <v>1</v>
      </c>
      <c r="Q133" s="117">
        <f t="shared" si="23"/>
        <v>1</v>
      </c>
      <c r="R133" s="117">
        <f t="shared" si="23"/>
        <v>1</v>
      </c>
      <c r="S133" s="117">
        <f t="shared" si="23"/>
        <v>1</v>
      </c>
      <c r="T133" s="117">
        <f t="shared" si="23"/>
        <v>1</v>
      </c>
      <c r="U133" s="117">
        <f t="shared" si="23"/>
        <v>1</v>
      </c>
      <c r="V133" s="117">
        <f t="shared" si="23"/>
        <v>0.75</v>
      </c>
      <c r="W133" s="117">
        <f t="shared" si="23"/>
        <v>0.5</v>
      </c>
      <c r="X133" s="117">
        <f t="shared" si="23"/>
        <v>0</v>
      </c>
      <c r="Y133" s="117">
        <f t="shared" si="23"/>
        <v>0</v>
      </c>
      <c r="Z133" s="117">
        <f t="shared" si="23"/>
        <v>0</v>
      </c>
      <c r="AA133" s="117">
        <f t="shared" si="23"/>
        <v>0</v>
      </c>
      <c r="AB133" s="117">
        <f t="shared" si="23"/>
        <v>0</v>
      </c>
      <c r="AC133" s="117">
        <f t="shared" si="23"/>
        <v>0</v>
      </c>
      <c r="AD133" s="117">
        <f t="shared" si="23"/>
        <v>0</v>
      </c>
      <c r="AE133" s="77"/>
      <c r="AF133" s="77"/>
      <c r="AG133" s="77"/>
      <c r="AH133" s="77"/>
      <c r="AI133" s="77"/>
      <c r="AJ133" s="77"/>
    </row>
    <row r="134" spans="1:36" ht="13" x14ac:dyDescent="0.3">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3" x14ac:dyDescent="0.3">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3" x14ac:dyDescent="0.3">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3" x14ac:dyDescent="0.3">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3" x14ac:dyDescent="0.3">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3" x14ac:dyDescent="0.3">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3" x14ac:dyDescent="0.3">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3" x14ac:dyDescent="0.3">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 x14ac:dyDescent="0.3">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 x14ac:dyDescent="0.3">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 x14ac:dyDescent="0.3">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3" x14ac:dyDescent="0.3">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3" x14ac:dyDescent="0.3">
      <c r="A146" s="77" t="s">
        <v>745</v>
      </c>
      <c r="B146" s="118">
        <f t="shared" ref="B146:C146" si="24">C146</f>
        <v>0.37940369807497465</v>
      </c>
      <c r="C146" s="118">
        <f t="shared" si="24"/>
        <v>0.37940369807497465</v>
      </c>
      <c r="D146" s="118">
        <f t="shared" ref="D146:AC146" si="25">(($B$136*C47+$B$135*(1-C47))+($B$138*C77+$B$137*(1-C77))+($B$140*$B$141))*(1-$B$139)*E133</f>
        <v>0.37940369807497465</v>
      </c>
      <c r="E146" s="118">
        <f t="shared" si="25"/>
        <v>0.38527608915906791</v>
      </c>
      <c r="F146" s="118">
        <f t="shared" si="25"/>
        <v>0.39114848024316112</v>
      </c>
      <c r="G146" s="118">
        <f t="shared" si="25"/>
        <v>0.39093521895755939</v>
      </c>
      <c r="H146" s="118">
        <f t="shared" si="25"/>
        <v>0.39076460992907802</v>
      </c>
      <c r="I146" s="118">
        <f t="shared" si="25"/>
        <v>0.39062502072395688</v>
      </c>
      <c r="J146" s="118">
        <f t="shared" si="25"/>
        <v>0.39062502072395688</v>
      </c>
      <c r="K146" s="118">
        <f t="shared" si="25"/>
        <v>0.39062502072395688</v>
      </c>
      <c r="L146" s="118">
        <f t="shared" si="25"/>
        <v>0.39062502072395688</v>
      </c>
      <c r="M146" s="118">
        <f t="shared" si="25"/>
        <v>0.39062502072395688</v>
      </c>
      <c r="N146" s="118">
        <f t="shared" si="25"/>
        <v>0.39062502072395688</v>
      </c>
      <c r="O146" s="118">
        <f t="shared" si="25"/>
        <v>0.39062502072395688</v>
      </c>
      <c r="P146" s="118">
        <f t="shared" si="25"/>
        <v>0.39062502072395688</v>
      </c>
      <c r="Q146" s="118">
        <f t="shared" si="25"/>
        <v>0.39062502072395688</v>
      </c>
      <c r="R146" s="118">
        <f t="shared" si="25"/>
        <v>0.39062502072395688</v>
      </c>
      <c r="S146" s="118">
        <f t="shared" si="25"/>
        <v>0.39062502072395688</v>
      </c>
      <c r="T146" s="118">
        <f t="shared" si="25"/>
        <v>0.39062502072395688</v>
      </c>
      <c r="U146" s="118">
        <f t="shared" si="25"/>
        <v>0.29296876554296769</v>
      </c>
      <c r="V146" s="118">
        <f t="shared" si="25"/>
        <v>0.19531251036197844</v>
      </c>
      <c r="W146" s="103">
        <f t="shared" si="25"/>
        <v>0</v>
      </c>
      <c r="X146" s="103">
        <f t="shared" si="25"/>
        <v>0</v>
      </c>
      <c r="Y146" s="103">
        <f t="shared" si="25"/>
        <v>0</v>
      </c>
      <c r="Z146" s="103">
        <f t="shared" si="25"/>
        <v>0</v>
      </c>
      <c r="AA146" s="103">
        <f t="shared" si="25"/>
        <v>0</v>
      </c>
      <c r="AB146" s="103">
        <f t="shared" si="25"/>
        <v>0</v>
      </c>
      <c r="AC146" s="103">
        <f t="shared" si="25"/>
        <v>0</v>
      </c>
      <c r="AD146" s="103"/>
      <c r="AE146" s="103"/>
      <c r="AF146" s="77"/>
      <c r="AG146" s="77"/>
      <c r="AH146" s="77"/>
      <c r="AI146" s="77"/>
      <c r="AJ146" s="77"/>
    </row>
    <row r="147" spans="1:36" ht="13" x14ac:dyDescent="0.3">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3" x14ac:dyDescent="0.3">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3" x14ac:dyDescent="0.3">
      <c r="A149" s="77" t="s">
        <v>746</v>
      </c>
      <c r="B149" s="118">
        <f t="shared" ref="B149:C149" si="26">C149</f>
        <v>0.41625000000000001</v>
      </c>
      <c r="C149" s="118">
        <f t="shared" si="26"/>
        <v>0.41625000000000001</v>
      </c>
      <c r="D149" s="118">
        <f t="shared" ref="D149:AC149" si="27">(($B$136*C47+$B$135*(1-C47))+($B$138*C79+$B$137*(1-C79))+($B$140*$B$141))*(1-$B$139)*E133</f>
        <v>0.41625000000000001</v>
      </c>
      <c r="E149" s="118">
        <f t="shared" si="27"/>
        <v>0.41625000000000001</v>
      </c>
      <c r="F149" s="118">
        <f t="shared" si="27"/>
        <v>0.41625000000000001</v>
      </c>
      <c r="G149" s="118">
        <f t="shared" si="27"/>
        <v>0.41625000000000001</v>
      </c>
      <c r="H149" s="118">
        <f t="shared" si="27"/>
        <v>0.41625000000000001</v>
      </c>
      <c r="I149" s="118">
        <f t="shared" si="27"/>
        <v>0.41625000000000001</v>
      </c>
      <c r="J149" s="118">
        <f t="shared" si="27"/>
        <v>0.41625000000000001</v>
      </c>
      <c r="K149" s="118">
        <f t="shared" si="27"/>
        <v>0.41625000000000001</v>
      </c>
      <c r="L149" s="118">
        <f t="shared" si="27"/>
        <v>0.41625000000000001</v>
      </c>
      <c r="M149" s="118">
        <f t="shared" si="27"/>
        <v>0.41625000000000001</v>
      </c>
      <c r="N149" s="118">
        <f t="shared" si="27"/>
        <v>0.41625000000000001</v>
      </c>
      <c r="O149" s="118">
        <f t="shared" si="27"/>
        <v>0.41625000000000001</v>
      </c>
      <c r="P149" s="118">
        <f t="shared" si="27"/>
        <v>0.41625000000000001</v>
      </c>
      <c r="Q149" s="118">
        <f t="shared" si="27"/>
        <v>0.41625000000000001</v>
      </c>
      <c r="R149" s="118">
        <f t="shared" si="27"/>
        <v>0.41625000000000001</v>
      </c>
      <c r="S149" s="118">
        <f t="shared" si="27"/>
        <v>0.41625000000000001</v>
      </c>
      <c r="T149" s="118">
        <f t="shared" si="27"/>
        <v>0.41625000000000001</v>
      </c>
      <c r="U149" s="118">
        <f t="shared" si="27"/>
        <v>0.31218750000000001</v>
      </c>
      <c r="V149" s="118">
        <f t="shared" si="27"/>
        <v>0.208125</v>
      </c>
      <c r="W149" s="103">
        <f t="shared" si="27"/>
        <v>0</v>
      </c>
      <c r="X149" s="103">
        <f t="shared" si="27"/>
        <v>0</v>
      </c>
      <c r="Y149" s="103">
        <f t="shared" si="27"/>
        <v>0</v>
      </c>
      <c r="Z149" s="103">
        <f t="shared" si="27"/>
        <v>0</v>
      </c>
      <c r="AA149" s="103">
        <f t="shared" si="27"/>
        <v>0</v>
      </c>
      <c r="AB149" s="103">
        <f t="shared" si="27"/>
        <v>0</v>
      </c>
      <c r="AC149" s="103">
        <f t="shared" si="27"/>
        <v>0</v>
      </c>
      <c r="AD149" s="103"/>
      <c r="AE149" s="103"/>
      <c r="AF149" s="77"/>
      <c r="AG149" s="77"/>
      <c r="AH149" s="77"/>
      <c r="AI149" s="77"/>
      <c r="AJ149" s="77"/>
    </row>
    <row r="150" spans="1:36" ht="13" x14ac:dyDescent="0.3">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3" x14ac:dyDescent="0.3">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3" x14ac:dyDescent="0.3">
      <c r="A152" s="77" t="s">
        <v>747</v>
      </c>
      <c r="B152" s="118">
        <f t="shared" ref="B152:C152" si="28">C152</f>
        <v>0.41625000000000001</v>
      </c>
      <c r="C152" s="118">
        <f t="shared" si="28"/>
        <v>0.41625000000000001</v>
      </c>
      <c r="D152" s="118">
        <f t="shared" ref="D152:AC152" si="29">(($B$136*C47+$B$135*(1-C47))+($B$138*C79+$B$137*(1-C79))+($B$140*$B$141))*(1-$B$139)*E133</f>
        <v>0.41625000000000001</v>
      </c>
      <c r="E152" s="118">
        <f t="shared" si="29"/>
        <v>0.41625000000000001</v>
      </c>
      <c r="F152" s="118">
        <f t="shared" si="29"/>
        <v>0.41625000000000001</v>
      </c>
      <c r="G152" s="118">
        <f t="shared" si="29"/>
        <v>0.41625000000000001</v>
      </c>
      <c r="H152" s="118">
        <f t="shared" si="29"/>
        <v>0.41625000000000001</v>
      </c>
      <c r="I152" s="118">
        <f t="shared" si="29"/>
        <v>0.41625000000000001</v>
      </c>
      <c r="J152" s="118">
        <f t="shared" si="29"/>
        <v>0.41625000000000001</v>
      </c>
      <c r="K152" s="118">
        <f t="shared" si="29"/>
        <v>0.41625000000000001</v>
      </c>
      <c r="L152" s="118">
        <f t="shared" si="29"/>
        <v>0.41625000000000001</v>
      </c>
      <c r="M152" s="118">
        <f t="shared" si="29"/>
        <v>0.41625000000000001</v>
      </c>
      <c r="N152" s="118">
        <f t="shared" si="29"/>
        <v>0.41625000000000001</v>
      </c>
      <c r="O152" s="118">
        <f t="shared" si="29"/>
        <v>0.41625000000000001</v>
      </c>
      <c r="P152" s="118">
        <f t="shared" si="29"/>
        <v>0.41625000000000001</v>
      </c>
      <c r="Q152" s="118">
        <f t="shared" si="29"/>
        <v>0.41625000000000001</v>
      </c>
      <c r="R152" s="118">
        <f t="shared" si="29"/>
        <v>0.41625000000000001</v>
      </c>
      <c r="S152" s="118">
        <f t="shared" si="29"/>
        <v>0.41625000000000001</v>
      </c>
      <c r="T152" s="118">
        <f t="shared" si="29"/>
        <v>0.41625000000000001</v>
      </c>
      <c r="U152" s="118">
        <f t="shared" si="29"/>
        <v>0.31218750000000001</v>
      </c>
      <c r="V152" s="118">
        <f t="shared" si="29"/>
        <v>0.208125</v>
      </c>
      <c r="W152" s="103">
        <f t="shared" si="29"/>
        <v>0</v>
      </c>
      <c r="X152" s="103">
        <f t="shared" si="29"/>
        <v>0</v>
      </c>
      <c r="Y152" s="103">
        <f t="shared" si="29"/>
        <v>0</v>
      </c>
      <c r="Z152" s="103">
        <f t="shared" si="29"/>
        <v>0</v>
      </c>
      <c r="AA152" s="103">
        <f t="shared" si="29"/>
        <v>0</v>
      </c>
      <c r="AB152" s="103">
        <f t="shared" si="29"/>
        <v>0</v>
      </c>
      <c r="AC152" s="103">
        <f t="shared" si="29"/>
        <v>0</v>
      </c>
      <c r="AD152" s="103"/>
      <c r="AE152" s="103"/>
      <c r="AF152" s="77"/>
      <c r="AG152" s="77"/>
      <c r="AH152" s="77"/>
      <c r="AI152" s="77"/>
      <c r="AJ152" s="77"/>
    </row>
    <row r="153" spans="1:36" ht="13" x14ac:dyDescent="0.3">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3" x14ac:dyDescent="0.3">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3" x14ac:dyDescent="0.3">
      <c r="A155" s="77" t="s">
        <v>748</v>
      </c>
      <c r="B155" s="118">
        <f t="shared" ref="B155:C155" si="30">C155</f>
        <v>0.41625000000000001</v>
      </c>
      <c r="C155" s="118">
        <f t="shared" si="30"/>
        <v>0.41625000000000001</v>
      </c>
      <c r="D155" s="118">
        <f t="shared" ref="D155:AC155" si="31">(($B$136*C47+$B$135*(1-C47))+($B$138*C79+$B$137*(1-C79))+($B$140*$B$141))*(1-$B$139)*E133</f>
        <v>0.41625000000000001</v>
      </c>
      <c r="E155" s="118">
        <f t="shared" si="31"/>
        <v>0.41625000000000001</v>
      </c>
      <c r="F155" s="118">
        <f t="shared" si="31"/>
        <v>0.41625000000000001</v>
      </c>
      <c r="G155" s="118">
        <f t="shared" si="31"/>
        <v>0.41625000000000001</v>
      </c>
      <c r="H155" s="118">
        <f t="shared" si="31"/>
        <v>0.41625000000000001</v>
      </c>
      <c r="I155" s="118">
        <f t="shared" si="31"/>
        <v>0.41625000000000001</v>
      </c>
      <c r="J155" s="118">
        <f t="shared" si="31"/>
        <v>0.41625000000000001</v>
      </c>
      <c r="K155" s="118">
        <f t="shared" si="31"/>
        <v>0.41625000000000001</v>
      </c>
      <c r="L155" s="118">
        <f t="shared" si="31"/>
        <v>0.41625000000000001</v>
      </c>
      <c r="M155" s="118">
        <f t="shared" si="31"/>
        <v>0.41625000000000001</v>
      </c>
      <c r="N155" s="118">
        <f t="shared" si="31"/>
        <v>0.41625000000000001</v>
      </c>
      <c r="O155" s="118">
        <f t="shared" si="31"/>
        <v>0.41625000000000001</v>
      </c>
      <c r="P155" s="118">
        <f t="shared" si="31"/>
        <v>0.41625000000000001</v>
      </c>
      <c r="Q155" s="118">
        <f t="shared" si="31"/>
        <v>0.41625000000000001</v>
      </c>
      <c r="R155" s="118">
        <f t="shared" si="31"/>
        <v>0.41625000000000001</v>
      </c>
      <c r="S155" s="118">
        <f t="shared" si="31"/>
        <v>0.41625000000000001</v>
      </c>
      <c r="T155" s="118">
        <f t="shared" si="31"/>
        <v>0.41625000000000001</v>
      </c>
      <c r="U155" s="118">
        <f t="shared" si="31"/>
        <v>0.31218750000000001</v>
      </c>
      <c r="V155" s="118">
        <f t="shared" si="31"/>
        <v>0.208125</v>
      </c>
      <c r="W155" s="103">
        <f t="shared" si="31"/>
        <v>0</v>
      </c>
      <c r="X155" s="103">
        <f t="shared" si="31"/>
        <v>0</v>
      </c>
      <c r="Y155" s="103">
        <f t="shared" si="31"/>
        <v>0</v>
      </c>
      <c r="Z155" s="103">
        <f t="shared" si="31"/>
        <v>0</v>
      </c>
      <c r="AA155" s="103">
        <f t="shared" si="31"/>
        <v>0</v>
      </c>
      <c r="AB155" s="103">
        <f t="shared" si="31"/>
        <v>0</v>
      </c>
      <c r="AC155" s="103">
        <f t="shared" si="31"/>
        <v>0</v>
      </c>
      <c r="AD155" s="103"/>
      <c r="AE155" s="103"/>
      <c r="AF155" s="77"/>
      <c r="AG155" s="77"/>
      <c r="AH155" s="77"/>
      <c r="AI155" s="77"/>
      <c r="AJ155" s="77"/>
    </row>
    <row r="156" spans="1:36" ht="13" x14ac:dyDescent="0.3">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3" x14ac:dyDescent="0.3">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3" x14ac:dyDescent="0.3">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3" x14ac:dyDescent="0.3">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3" x14ac:dyDescent="0.3">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3" x14ac:dyDescent="0.3">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3" x14ac:dyDescent="0.3">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3" x14ac:dyDescent="0.3">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3" x14ac:dyDescent="0.3">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3" x14ac:dyDescent="0.3">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3" x14ac:dyDescent="0.3">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3" x14ac:dyDescent="0.3">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3" x14ac:dyDescent="0.3">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3" x14ac:dyDescent="0.3">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3" x14ac:dyDescent="0.3">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3" x14ac:dyDescent="0.3">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3" x14ac:dyDescent="0.3">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3" x14ac:dyDescent="0.3">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3" x14ac:dyDescent="0.3">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3" x14ac:dyDescent="0.3">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3" x14ac:dyDescent="0.3">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3" x14ac:dyDescent="0.3">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3" x14ac:dyDescent="0.3">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3" x14ac:dyDescent="0.3">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3" x14ac:dyDescent="0.3">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3" x14ac:dyDescent="0.3">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3" x14ac:dyDescent="0.3">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3" x14ac:dyDescent="0.3">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3" x14ac:dyDescent="0.3">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3" x14ac:dyDescent="0.3">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3" x14ac:dyDescent="0.3">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3" x14ac:dyDescent="0.3">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3" x14ac:dyDescent="0.3">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3" x14ac:dyDescent="0.3">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3" x14ac:dyDescent="0.3">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3" x14ac:dyDescent="0.3">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3" x14ac:dyDescent="0.3">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3" x14ac:dyDescent="0.3">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3" x14ac:dyDescent="0.3">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3" x14ac:dyDescent="0.3">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3" x14ac:dyDescent="0.3">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3" x14ac:dyDescent="0.3">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3" x14ac:dyDescent="0.3">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3" x14ac:dyDescent="0.3">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3" x14ac:dyDescent="0.3">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3" x14ac:dyDescent="0.3">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3" x14ac:dyDescent="0.3">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3" x14ac:dyDescent="0.3">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3" x14ac:dyDescent="0.3">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3" x14ac:dyDescent="0.3">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3" x14ac:dyDescent="0.3">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3" x14ac:dyDescent="0.3">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3" x14ac:dyDescent="0.3">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3" x14ac:dyDescent="0.3">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3" x14ac:dyDescent="0.3">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3" x14ac:dyDescent="0.3">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4.5" x14ac:dyDescent="0.3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4.5" x14ac:dyDescent="0.3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4.5" x14ac:dyDescent="0.3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4.5" x14ac:dyDescent="0.3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4.5" x14ac:dyDescent="0.3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4.5" x14ac:dyDescent="0.3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4.5" x14ac:dyDescent="0.3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4.5"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4.5" x14ac:dyDescent="0.3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4.5" x14ac:dyDescent="0.3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4.5" x14ac:dyDescent="0.3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4.5" x14ac:dyDescent="0.3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4.5" x14ac:dyDescent="0.3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4.5"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4.5" x14ac:dyDescent="0.3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4.5" x14ac:dyDescent="0.3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4.5" x14ac:dyDescent="0.3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4.5" x14ac:dyDescent="0.3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4.5" x14ac:dyDescent="0.3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4.5" x14ac:dyDescent="0.3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4.5" x14ac:dyDescent="0.3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4.5" x14ac:dyDescent="0.3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4.5" x14ac:dyDescent="0.3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4.5" x14ac:dyDescent="0.3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4.5" x14ac:dyDescent="0.35">
      <c r="A236" s="1" t="s">
        <v>1055</v>
      </c>
      <c r="B236" s="19">
        <v>0</v>
      </c>
      <c r="C236" s="19">
        <v>0</v>
      </c>
      <c r="D236" s="5">
        <f>SUM(D228,D233)/SUM(D228:D234)*$B$218+D229/SUM(D228:D234)*$B$224</f>
        <v>1.0678204653364778E-5</v>
      </c>
      <c r="E236" s="5">
        <f t="shared" ref="E236:M236" si="32">SUM(E228,E233)/SUM(E228:E234)*$B$218+E229/SUM(E228:E234)*$B$224</f>
        <v>1.1421773277864689E-5</v>
      </c>
      <c r="F236" s="5">
        <f t="shared" si="32"/>
        <v>1.2160099350370479E-5</v>
      </c>
      <c r="G236" s="5">
        <f t="shared" si="32"/>
        <v>1.2896677905544892E-5</v>
      </c>
      <c r="H236" s="5">
        <f t="shared" si="32"/>
        <v>1.3634130219384993E-5</v>
      </c>
      <c r="I236" s="5">
        <f t="shared" si="32"/>
        <v>1.436284494656822E-5</v>
      </c>
      <c r="J236" s="5">
        <f t="shared" si="32"/>
        <v>1.5092433432417136E-5</v>
      </c>
      <c r="K236" s="5">
        <f t="shared" si="32"/>
        <v>1.5815031848940552E-5</v>
      </c>
      <c r="L236" s="5">
        <f t="shared" si="32"/>
        <v>1.5789692847635622E-5</v>
      </c>
      <c r="M236" s="5">
        <f t="shared" si="32"/>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3" x14ac:dyDescent="0.3">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3" x14ac:dyDescent="0.3">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3" x14ac:dyDescent="0.3">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3" x14ac:dyDescent="0.3">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3" x14ac:dyDescent="0.3">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3" x14ac:dyDescent="0.3">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3" x14ac:dyDescent="0.3">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3" x14ac:dyDescent="0.3">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3" x14ac:dyDescent="0.3">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3" x14ac:dyDescent="0.3">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3" x14ac:dyDescent="0.3">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3" x14ac:dyDescent="0.3">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3" x14ac:dyDescent="0.3">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3" x14ac:dyDescent="0.3">
      <c r="A250" s="77" t="s">
        <v>841</v>
      </c>
      <c r="B250" s="77"/>
      <c r="C250" s="77"/>
      <c r="D250" s="77"/>
      <c r="E250" s="77" t="str">
        <f t="shared" ref="E250:AF250" si="33">IF(E242&lt;E246,"PTC","ITC")</f>
        <v>PTC</v>
      </c>
      <c r="F250" s="77" t="str">
        <f t="shared" si="33"/>
        <v>PTC</v>
      </c>
      <c r="G250" s="77" t="str">
        <f t="shared" si="33"/>
        <v>PTC</v>
      </c>
      <c r="H250" s="77" t="str">
        <f t="shared" si="33"/>
        <v>PTC</v>
      </c>
      <c r="I250" s="77" t="str">
        <f t="shared" si="33"/>
        <v>PTC</v>
      </c>
      <c r="J250" s="77" t="str">
        <f t="shared" si="33"/>
        <v>PTC</v>
      </c>
      <c r="K250" s="77" t="str">
        <f t="shared" si="33"/>
        <v>PTC</v>
      </c>
      <c r="L250" s="77" t="str">
        <f t="shared" si="33"/>
        <v>PTC</v>
      </c>
      <c r="M250" s="77" t="str">
        <f t="shared" si="33"/>
        <v>PTC</v>
      </c>
      <c r="N250" s="77" t="str">
        <f t="shared" si="33"/>
        <v>PTC</v>
      </c>
      <c r="O250" s="77" t="str">
        <f t="shared" si="33"/>
        <v>PTC</v>
      </c>
      <c r="P250" s="77" t="str">
        <f t="shared" si="33"/>
        <v>PTC</v>
      </c>
      <c r="Q250" s="77" t="str">
        <f t="shared" si="33"/>
        <v>PTC</v>
      </c>
      <c r="R250" s="77" t="str">
        <f t="shared" si="33"/>
        <v>PTC</v>
      </c>
      <c r="S250" s="77" t="str">
        <f t="shared" si="33"/>
        <v>PTC</v>
      </c>
      <c r="T250" s="77" t="str">
        <f t="shared" si="33"/>
        <v>PTC</v>
      </c>
      <c r="U250" s="77" t="str">
        <f t="shared" si="33"/>
        <v>PTC</v>
      </c>
      <c r="V250" s="77" t="str">
        <f t="shared" si="33"/>
        <v>PTC</v>
      </c>
      <c r="W250" s="77" t="str">
        <f t="shared" si="33"/>
        <v>PTC</v>
      </c>
      <c r="X250" s="77" t="str">
        <f t="shared" si="33"/>
        <v>PTC</v>
      </c>
      <c r="Y250" s="77" t="str">
        <f t="shared" si="33"/>
        <v>PTC</v>
      </c>
      <c r="Z250" s="77" t="str">
        <f t="shared" si="33"/>
        <v>PTC</v>
      </c>
      <c r="AA250" s="77" t="str">
        <f t="shared" si="33"/>
        <v>PTC</v>
      </c>
      <c r="AB250" s="77" t="str">
        <f t="shared" si="33"/>
        <v>PTC</v>
      </c>
      <c r="AC250" s="77" t="str">
        <f t="shared" si="33"/>
        <v>PTC</v>
      </c>
      <c r="AD250" s="77" t="str">
        <f t="shared" si="33"/>
        <v>PTC</v>
      </c>
      <c r="AE250" s="77" t="str">
        <f t="shared" si="33"/>
        <v>PTC</v>
      </c>
      <c r="AF250" s="77" t="str">
        <f t="shared" si="33"/>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3" x14ac:dyDescent="0.3">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3" x14ac:dyDescent="0.3">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3" x14ac:dyDescent="0.3">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3" x14ac:dyDescent="0.3">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3" x14ac:dyDescent="0.3">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3" x14ac:dyDescent="0.3">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3" x14ac:dyDescent="0.3">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3" x14ac:dyDescent="0.3">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3" x14ac:dyDescent="0.3">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3" x14ac:dyDescent="0.3">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3" x14ac:dyDescent="0.3">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3" x14ac:dyDescent="0.3">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3" x14ac:dyDescent="0.3">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3" x14ac:dyDescent="0.3">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3" x14ac:dyDescent="0.3">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3" x14ac:dyDescent="0.3">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3" x14ac:dyDescent="0.3">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3" x14ac:dyDescent="0.3">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3" x14ac:dyDescent="0.3">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3" x14ac:dyDescent="0.3">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3" x14ac:dyDescent="0.3">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3" x14ac:dyDescent="0.3">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3" x14ac:dyDescent="0.3">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3" x14ac:dyDescent="0.3">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3" x14ac:dyDescent="0.3">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3" x14ac:dyDescent="0.3">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3" x14ac:dyDescent="0.3">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3" x14ac:dyDescent="0.3">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3" x14ac:dyDescent="0.3">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3" x14ac:dyDescent="0.3">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3" x14ac:dyDescent="0.3">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3" x14ac:dyDescent="0.3">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3" x14ac:dyDescent="0.3">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3" x14ac:dyDescent="0.3">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3" x14ac:dyDescent="0.3">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3" x14ac:dyDescent="0.3">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3" x14ac:dyDescent="0.3">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3" x14ac:dyDescent="0.3">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3" x14ac:dyDescent="0.3">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3" x14ac:dyDescent="0.3">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3" x14ac:dyDescent="0.3">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3" x14ac:dyDescent="0.3">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3" x14ac:dyDescent="0.3">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3" x14ac:dyDescent="0.3">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3" x14ac:dyDescent="0.3">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3" x14ac:dyDescent="0.3">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3" x14ac:dyDescent="0.3">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3" x14ac:dyDescent="0.3">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3" x14ac:dyDescent="0.3">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3" x14ac:dyDescent="0.3">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3" x14ac:dyDescent="0.3">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3" x14ac:dyDescent="0.3">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3" x14ac:dyDescent="0.3">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3" x14ac:dyDescent="0.3">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3" x14ac:dyDescent="0.3">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3" x14ac:dyDescent="0.3">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3" x14ac:dyDescent="0.3">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3" x14ac:dyDescent="0.3">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3" x14ac:dyDescent="0.3">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3" x14ac:dyDescent="0.3">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3" x14ac:dyDescent="0.3">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3" x14ac:dyDescent="0.3">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3" x14ac:dyDescent="0.3">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3" x14ac:dyDescent="0.3">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3" x14ac:dyDescent="0.3">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3" x14ac:dyDescent="0.3">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3" x14ac:dyDescent="0.3">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3" x14ac:dyDescent="0.3">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3" x14ac:dyDescent="0.3">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3" x14ac:dyDescent="0.3">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3" x14ac:dyDescent="0.3">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3" x14ac:dyDescent="0.3">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3" x14ac:dyDescent="0.3">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3" x14ac:dyDescent="0.3">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3" x14ac:dyDescent="0.3">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3" x14ac:dyDescent="0.3">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3" x14ac:dyDescent="0.3">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3" x14ac:dyDescent="0.3">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3" x14ac:dyDescent="0.3">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3" x14ac:dyDescent="0.3">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3" x14ac:dyDescent="0.3">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3" x14ac:dyDescent="0.3">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3" x14ac:dyDescent="0.3">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3" x14ac:dyDescent="0.3">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3" x14ac:dyDescent="0.3">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3" x14ac:dyDescent="0.3">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3" x14ac:dyDescent="0.3">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3" x14ac:dyDescent="0.3">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3" x14ac:dyDescent="0.3">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3" x14ac:dyDescent="0.3">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3" x14ac:dyDescent="0.3">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3" x14ac:dyDescent="0.3">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3" x14ac:dyDescent="0.3">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3" x14ac:dyDescent="0.3">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3" x14ac:dyDescent="0.3">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3" x14ac:dyDescent="0.3">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3" x14ac:dyDescent="0.3">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3" x14ac:dyDescent="0.3">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3" x14ac:dyDescent="0.3">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3" x14ac:dyDescent="0.3">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3" x14ac:dyDescent="0.3">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3" x14ac:dyDescent="0.3">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3" x14ac:dyDescent="0.3">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3" x14ac:dyDescent="0.3">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3" x14ac:dyDescent="0.3">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3" x14ac:dyDescent="0.3">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3" x14ac:dyDescent="0.3">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3" x14ac:dyDescent="0.3">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3" x14ac:dyDescent="0.3">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3" x14ac:dyDescent="0.3">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3" x14ac:dyDescent="0.3">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3" x14ac:dyDescent="0.3">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3" x14ac:dyDescent="0.3">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3" x14ac:dyDescent="0.3">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3" x14ac:dyDescent="0.3">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3" x14ac:dyDescent="0.3">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3" x14ac:dyDescent="0.3">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3" x14ac:dyDescent="0.3">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3" x14ac:dyDescent="0.3">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3" x14ac:dyDescent="0.3">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3" x14ac:dyDescent="0.3">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3" x14ac:dyDescent="0.3">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3" x14ac:dyDescent="0.3">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3" x14ac:dyDescent="0.3">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3" x14ac:dyDescent="0.3">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3" x14ac:dyDescent="0.3">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3" x14ac:dyDescent="0.3">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3" x14ac:dyDescent="0.3">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3" x14ac:dyDescent="0.3">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3" x14ac:dyDescent="0.3">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3" x14ac:dyDescent="0.3">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3" x14ac:dyDescent="0.3">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3" x14ac:dyDescent="0.3">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3" x14ac:dyDescent="0.3">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3" x14ac:dyDescent="0.3">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3" x14ac:dyDescent="0.3">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3" x14ac:dyDescent="0.3">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3" x14ac:dyDescent="0.3">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3" x14ac:dyDescent="0.3">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3" x14ac:dyDescent="0.3">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3" x14ac:dyDescent="0.3">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3" x14ac:dyDescent="0.3">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3" x14ac:dyDescent="0.3">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3" x14ac:dyDescent="0.3">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3" x14ac:dyDescent="0.3">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3" x14ac:dyDescent="0.3">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3" x14ac:dyDescent="0.3">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3" x14ac:dyDescent="0.3">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3" x14ac:dyDescent="0.3">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3" x14ac:dyDescent="0.3">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3" x14ac:dyDescent="0.3">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3" x14ac:dyDescent="0.3">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3" x14ac:dyDescent="0.3">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3" x14ac:dyDescent="0.3">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3" x14ac:dyDescent="0.3">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3" x14ac:dyDescent="0.3">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3" x14ac:dyDescent="0.3">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3" x14ac:dyDescent="0.3">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3" x14ac:dyDescent="0.3">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3" x14ac:dyDescent="0.3">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3" x14ac:dyDescent="0.3">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3" x14ac:dyDescent="0.3">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3" x14ac:dyDescent="0.3">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3" x14ac:dyDescent="0.3">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3" x14ac:dyDescent="0.3">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3" x14ac:dyDescent="0.3">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3" x14ac:dyDescent="0.3">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3" x14ac:dyDescent="0.3">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3" x14ac:dyDescent="0.3">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3" x14ac:dyDescent="0.3">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3" x14ac:dyDescent="0.3">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3" x14ac:dyDescent="0.3">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3" x14ac:dyDescent="0.3">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3" x14ac:dyDescent="0.3">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3" x14ac:dyDescent="0.3">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3" x14ac:dyDescent="0.3">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3" x14ac:dyDescent="0.3">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3" x14ac:dyDescent="0.3">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3" x14ac:dyDescent="0.3">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3" x14ac:dyDescent="0.3">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3" x14ac:dyDescent="0.3">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3" x14ac:dyDescent="0.3">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3" x14ac:dyDescent="0.3">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3" x14ac:dyDescent="0.3">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3" x14ac:dyDescent="0.3">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3" x14ac:dyDescent="0.3">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3" x14ac:dyDescent="0.3">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B9EFD-0133-474B-8C5E-97075999C76A}">
  <sheetPr>
    <tabColor rgb="FF00B050"/>
  </sheetPr>
  <dimension ref="A1:AI59"/>
  <sheetViews>
    <sheetView topLeftCell="A19" zoomScale="85" zoomScaleNormal="85" workbookViewId="0">
      <selection activeCell="J49" sqref="J49"/>
    </sheetView>
  </sheetViews>
  <sheetFormatPr defaultRowHeight="14.5" x14ac:dyDescent="0.35"/>
  <cols>
    <col min="1" max="1" width="45.81640625" customWidth="1"/>
    <col min="2" max="2" width="18.81640625" customWidth="1"/>
    <col min="3" max="3" width="15.453125" customWidth="1"/>
    <col min="4" max="4" width="12" bestFit="1" customWidth="1"/>
    <col min="5" max="5" width="9.54296875" customWidth="1"/>
    <col min="6" max="6" width="12" customWidth="1"/>
  </cols>
  <sheetData>
    <row r="1" spans="1:12" x14ac:dyDescent="0.35">
      <c r="A1" s="1" t="s">
        <v>1067</v>
      </c>
      <c r="B1">
        <v>2023</v>
      </c>
      <c r="C1">
        <v>2030</v>
      </c>
      <c r="D1">
        <v>2050</v>
      </c>
    </row>
    <row r="2" spans="1:12" x14ac:dyDescent="0.35">
      <c r="A2" s="1" t="s">
        <v>1068</v>
      </c>
      <c r="B2" s="476">
        <v>4.8</v>
      </c>
      <c r="C2" s="476">
        <v>2.08</v>
      </c>
      <c r="D2" s="476">
        <v>0.82</v>
      </c>
    </row>
    <row r="3" spans="1:12" x14ac:dyDescent="0.35">
      <c r="A3" s="1" t="s">
        <v>1069</v>
      </c>
      <c r="B3" s="476">
        <v>2.5</v>
      </c>
      <c r="C3" s="476">
        <v>2.4500000000000002</v>
      </c>
      <c r="D3" s="476">
        <v>2.41</v>
      </c>
    </row>
    <row r="5" spans="1:12" x14ac:dyDescent="0.35">
      <c r="A5" s="1" t="s">
        <v>1070</v>
      </c>
      <c r="B5">
        <v>2023</v>
      </c>
      <c r="C5">
        <v>2030</v>
      </c>
      <c r="D5">
        <v>2050</v>
      </c>
    </row>
    <row r="6" spans="1:12" x14ac:dyDescent="0.35">
      <c r="A6" s="1" t="s">
        <v>1068</v>
      </c>
      <c r="B6" s="476">
        <f>B2*About!$A$84</f>
        <v>4.2581312231705768</v>
      </c>
      <c r="C6" s="476">
        <f>C2*About!$A$84</f>
        <v>1.8451901967072499</v>
      </c>
      <c r="D6" s="476">
        <f>D2*About!$A$84</f>
        <v>0.72743075062497342</v>
      </c>
      <c r="E6" s="476"/>
      <c r="F6" s="476"/>
      <c r="G6" s="476"/>
      <c r="H6" s="476"/>
      <c r="I6" s="476"/>
      <c r="J6" s="476"/>
      <c r="K6" s="476"/>
      <c r="L6" s="476"/>
    </row>
    <row r="7" spans="1:12" x14ac:dyDescent="0.35">
      <c r="A7" s="1" t="s">
        <v>1069</v>
      </c>
      <c r="B7" s="476">
        <f>B3*About!$A$84</f>
        <v>2.2177766787346753</v>
      </c>
      <c r="C7" s="476">
        <f>C3*About!$A$84</f>
        <v>2.1734211451599821</v>
      </c>
      <c r="D7" s="476">
        <f>D3*About!$A$84</f>
        <v>2.1379367183002271</v>
      </c>
    </row>
    <row r="9" spans="1:12" x14ac:dyDescent="0.35">
      <c r="A9" s="1" t="s">
        <v>1071</v>
      </c>
    </row>
    <row r="10" spans="1:12" x14ac:dyDescent="0.35">
      <c r="A10">
        <v>61013</v>
      </c>
      <c r="B10" t="s">
        <v>1072</v>
      </c>
    </row>
    <row r="11" spans="1:12" x14ac:dyDescent="0.35">
      <c r="A11" s="15" t="s">
        <v>1073</v>
      </c>
    </row>
    <row r="13" spans="1:12" x14ac:dyDescent="0.35">
      <c r="A13" s="1" t="s">
        <v>1074</v>
      </c>
    </row>
    <row r="14" spans="1:12" x14ac:dyDescent="0.35">
      <c r="A14">
        <v>2.2046199999999998</v>
      </c>
      <c r="B14" t="s">
        <v>1075</v>
      </c>
    </row>
    <row r="16" spans="1:12" x14ac:dyDescent="0.35">
      <c r="A16" t="s">
        <v>1076</v>
      </c>
    </row>
    <row r="17" spans="1:35" x14ac:dyDescent="0.35">
      <c r="A17" t="s">
        <v>1077</v>
      </c>
    </row>
    <row r="18" spans="1:35" x14ac:dyDescent="0.35">
      <c r="A18" t="s">
        <v>1078</v>
      </c>
    </row>
    <row r="20" spans="1:35" x14ac:dyDescent="0.35">
      <c r="A20" t="s">
        <v>1079</v>
      </c>
    </row>
    <row r="21" spans="1:35" x14ac:dyDescent="0.35">
      <c r="A21" t="s">
        <v>1080</v>
      </c>
    </row>
    <row r="22" spans="1:35" x14ac:dyDescent="0.35">
      <c r="A22" t="s">
        <v>1081</v>
      </c>
    </row>
    <row r="23" spans="1:35" x14ac:dyDescent="0.35">
      <c r="A23" t="s">
        <v>1082</v>
      </c>
    </row>
    <row r="24" spans="1:35" x14ac:dyDescent="0.35">
      <c r="A24" t="s">
        <v>1083</v>
      </c>
    </row>
    <row r="26" spans="1:35" x14ac:dyDescent="0.35">
      <c r="A26" t="s">
        <v>1084</v>
      </c>
      <c r="D26">
        <v>2023</v>
      </c>
      <c r="E26">
        <v>2030</v>
      </c>
      <c r="F26">
        <v>2050</v>
      </c>
    </row>
    <row r="27" spans="1:35" x14ac:dyDescent="0.35">
      <c r="A27" t="s">
        <v>1085</v>
      </c>
      <c r="D27" s="5">
        <f>B6/$A$14/$A$10</f>
        <v>3.1656501569774988E-5</v>
      </c>
      <c r="E27" s="5">
        <f t="shared" ref="E27:F28" si="0">C6/$A$14/$A$10</f>
        <v>1.3717817346902493E-5</v>
      </c>
      <c r="F27" s="5">
        <f t="shared" si="0"/>
        <v>5.4079856848365593E-6</v>
      </c>
    </row>
    <row r="28" spans="1:35" x14ac:dyDescent="0.35">
      <c r="A28" t="s">
        <v>1086</v>
      </c>
      <c r="D28" s="5">
        <f>B7/$A$14/$A$10</f>
        <v>1.6487761234257805E-5</v>
      </c>
      <c r="E28" s="5">
        <f t="shared" si="0"/>
        <v>1.6158006009572651E-5</v>
      </c>
      <c r="F28" s="5">
        <f t="shared" si="0"/>
        <v>1.5894201829824525E-5</v>
      </c>
      <c r="G28" s="5"/>
    </row>
    <row r="30" spans="1:35" x14ac:dyDescent="0.35">
      <c r="A30" s="477" t="s">
        <v>1046</v>
      </c>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row>
    <row r="31" spans="1:35" x14ac:dyDescent="0.35">
      <c r="A31" s="1" t="s">
        <v>1047</v>
      </c>
      <c r="B31" s="345">
        <v>2021</v>
      </c>
      <c r="C31">
        <v>2022</v>
      </c>
      <c r="D31" s="345">
        <v>2023</v>
      </c>
      <c r="E31">
        <v>2024</v>
      </c>
      <c r="F31" s="345">
        <v>2025</v>
      </c>
      <c r="G31">
        <v>2026</v>
      </c>
      <c r="H31" s="345">
        <v>2027</v>
      </c>
      <c r="I31">
        <v>2028</v>
      </c>
      <c r="J31" s="345">
        <v>2029</v>
      </c>
      <c r="K31">
        <v>2030</v>
      </c>
      <c r="L31" s="345">
        <v>2031</v>
      </c>
      <c r="M31">
        <v>2032</v>
      </c>
      <c r="N31" s="345">
        <v>2033</v>
      </c>
      <c r="O31">
        <v>2034</v>
      </c>
      <c r="P31" s="345">
        <v>2035</v>
      </c>
      <c r="Q31">
        <v>2036</v>
      </c>
      <c r="R31" s="345">
        <v>2037</v>
      </c>
      <c r="S31">
        <v>2038</v>
      </c>
      <c r="T31" s="345">
        <v>2039</v>
      </c>
      <c r="U31">
        <v>2040</v>
      </c>
      <c r="V31" s="345">
        <v>2041</v>
      </c>
      <c r="W31">
        <v>2042</v>
      </c>
      <c r="X31" s="345">
        <v>2043</v>
      </c>
      <c r="Y31">
        <v>2044</v>
      </c>
      <c r="Z31" s="345">
        <v>2045</v>
      </c>
      <c r="AA31">
        <v>2046</v>
      </c>
      <c r="AB31" s="345">
        <v>2047</v>
      </c>
      <c r="AC31">
        <v>2048</v>
      </c>
      <c r="AD31" s="345">
        <v>2049</v>
      </c>
      <c r="AE31">
        <v>2050</v>
      </c>
    </row>
    <row r="32" spans="1:35" x14ac:dyDescent="0.35">
      <c r="A32" t="s">
        <v>1048</v>
      </c>
      <c r="B32" s="19">
        <v>0.05</v>
      </c>
      <c r="C32" s="19">
        <v>0.05</v>
      </c>
      <c r="D32" s="19">
        <v>0.05</v>
      </c>
      <c r="E32" s="19">
        <v>0.05</v>
      </c>
      <c r="F32" s="19">
        <v>0.05</v>
      </c>
      <c r="G32" s="19">
        <v>0.05</v>
      </c>
      <c r="H32" s="19">
        <v>0.05</v>
      </c>
      <c r="I32" s="19">
        <v>0.05</v>
      </c>
      <c r="J32" s="19">
        <v>0.05</v>
      </c>
      <c r="K32" s="19">
        <v>0.05</v>
      </c>
      <c r="L32" s="19">
        <v>0.05</v>
      </c>
      <c r="M32" s="19">
        <v>0.05</v>
      </c>
      <c r="N32" s="19">
        <v>0.05</v>
      </c>
      <c r="O32" s="19">
        <v>0.05</v>
      </c>
      <c r="P32" s="19">
        <v>0.05</v>
      </c>
      <c r="Q32" s="19">
        <v>0.05</v>
      </c>
      <c r="R32" s="19">
        <v>0.05</v>
      </c>
      <c r="S32" s="19">
        <v>0.05</v>
      </c>
      <c r="T32" s="19">
        <v>0.05</v>
      </c>
      <c r="U32" s="19">
        <v>0.05</v>
      </c>
      <c r="V32" s="19">
        <v>0.05</v>
      </c>
      <c r="W32" s="19">
        <v>0.05</v>
      </c>
      <c r="X32" s="19">
        <v>0.05</v>
      </c>
      <c r="Y32" s="19">
        <v>0.05</v>
      </c>
      <c r="Z32" s="19">
        <v>0.05</v>
      </c>
      <c r="AA32" s="19">
        <v>0.05</v>
      </c>
      <c r="AB32" s="19">
        <v>0.05</v>
      </c>
      <c r="AC32" s="19">
        <v>0.05</v>
      </c>
      <c r="AD32" s="19">
        <v>0.05</v>
      </c>
      <c r="AE32" s="19">
        <v>0.05</v>
      </c>
    </row>
    <row r="33" spans="1:35" x14ac:dyDescent="0.35">
      <c r="A33" t="s">
        <v>1049</v>
      </c>
      <c r="B33" s="19">
        <v>0.95</v>
      </c>
      <c r="C33" s="19">
        <v>0.86309999999999998</v>
      </c>
      <c r="D33" s="19">
        <v>0.77789999999999992</v>
      </c>
      <c r="E33" s="19">
        <v>0.69279999999999997</v>
      </c>
      <c r="F33" s="19">
        <v>0.60829999999999995</v>
      </c>
      <c r="G33" s="19">
        <v>0.52400000000000002</v>
      </c>
      <c r="H33" s="19">
        <v>0.43959999999999999</v>
      </c>
      <c r="I33" s="19">
        <v>0.35619999999999996</v>
      </c>
      <c r="J33" s="19">
        <v>0.27269999999999994</v>
      </c>
      <c r="K33" s="19">
        <v>0.18999999999999995</v>
      </c>
      <c r="L33" s="19">
        <v>0.19289999999999996</v>
      </c>
      <c r="M33" s="19">
        <v>0.19439999999999991</v>
      </c>
      <c r="N33" s="19">
        <v>0.19579999999999997</v>
      </c>
      <c r="O33" s="19">
        <v>0.19739999999999991</v>
      </c>
      <c r="P33" s="19">
        <v>0.19989999999999997</v>
      </c>
      <c r="Q33" s="19">
        <v>0.2014999999999999</v>
      </c>
      <c r="R33" s="19">
        <v>0.20289999999999997</v>
      </c>
      <c r="S33" s="19">
        <v>0.2044999999999999</v>
      </c>
      <c r="T33" s="19">
        <v>0.2056</v>
      </c>
      <c r="U33" s="19">
        <v>0.20649999999999991</v>
      </c>
      <c r="V33" s="19">
        <v>0.20699999999999996</v>
      </c>
      <c r="W33" s="19">
        <v>0.20799999999999996</v>
      </c>
      <c r="X33" s="19">
        <v>0.2107</v>
      </c>
      <c r="Y33" s="19">
        <v>0.21189999999999998</v>
      </c>
      <c r="Z33" s="19">
        <v>0.21429999999999993</v>
      </c>
      <c r="AA33" s="19">
        <v>0.2155999999999999</v>
      </c>
      <c r="AB33" s="19">
        <v>0.21589999999999998</v>
      </c>
      <c r="AC33" s="19">
        <v>0.21739999999999993</v>
      </c>
      <c r="AD33" s="19">
        <v>0.21899999999999997</v>
      </c>
      <c r="AE33" s="19">
        <v>0.22039999999999993</v>
      </c>
    </row>
    <row r="34" spans="1:35" x14ac:dyDescent="0.35">
      <c r="A34" t="s">
        <v>1050</v>
      </c>
      <c r="B34" s="19">
        <v>0</v>
      </c>
      <c r="C34" s="19">
        <v>0</v>
      </c>
      <c r="D34" s="19">
        <v>0</v>
      </c>
      <c r="E34" s="19">
        <v>0</v>
      </c>
      <c r="F34" s="19">
        <v>0</v>
      </c>
      <c r="G34" s="19">
        <v>0</v>
      </c>
      <c r="H34" s="19">
        <v>0</v>
      </c>
      <c r="I34" s="19">
        <v>0</v>
      </c>
      <c r="J34" s="19">
        <v>0</v>
      </c>
      <c r="K34" s="19">
        <v>0</v>
      </c>
      <c r="L34" s="19">
        <v>0</v>
      </c>
      <c r="M34" s="19">
        <v>0</v>
      </c>
      <c r="N34" s="19">
        <v>0</v>
      </c>
      <c r="O34" s="19">
        <v>0</v>
      </c>
      <c r="P34" s="19">
        <v>0</v>
      </c>
      <c r="Q34" s="19">
        <v>0</v>
      </c>
      <c r="R34" s="19">
        <v>0</v>
      </c>
      <c r="S34" s="19">
        <v>0</v>
      </c>
      <c r="T34" s="19">
        <v>0</v>
      </c>
      <c r="U34" s="19">
        <v>0</v>
      </c>
      <c r="V34" s="19">
        <v>0</v>
      </c>
      <c r="W34" s="19">
        <v>0</v>
      </c>
      <c r="X34" s="19">
        <v>0</v>
      </c>
      <c r="Y34" s="19">
        <v>0</v>
      </c>
      <c r="Z34" s="19">
        <v>0</v>
      </c>
      <c r="AA34" s="19">
        <v>0</v>
      </c>
      <c r="AB34" s="19">
        <v>0</v>
      </c>
      <c r="AC34" s="19">
        <v>0</v>
      </c>
      <c r="AD34" s="19">
        <v>0</v>
      </c>
      <c r="AE34" s="19">
        <v>0</v>
      </c>
    </row>
    <row r="35" spans="1:35" x14ac:dyDescent="0.35">
      <c r="A35" t="s">
        <v>1051</v>
      </c>
      <c r="B35" s="19">
        <v>0</v>
      </c>
      <c r="C35" s="19">
        <v>0</v>
      </c>
      <c r="D35" s="19">
        <v>0</v>
      </c>
      <c r="E35" s="19">
        <v>0</v>
      </c>
      <c r="F35" s="19">
        <v>0</v>
      </c>
      <c r="G35" s="19">
        <v>0</v>
      </c>
      <c r="H35" s="19">
        <v>0</v>
      </c>
      <c r="I35" s="19">
        <v>0</v>
      </c>
      <c r="J35" s="19">
        <v>0</v>
      </c>
      <c r="K35" s="19">
        <v>0</v>
      </c>
      <c r="L35" s="19">
        <v>0</v>
      </c>
      <c r="M35" s="19">
        <v>0</v>
      </c>
      <c r="N35" s="19">
        <v>0</v>
      </c>
      <c r="O35" s="19">
        <v>0</v>
      </c>
      <c r="P35" s="19">
        <v>0</v>
      </c>
      <c r="Q35" s="19">
        <v>0</v>
      </c>
      <c r="R35" s="19">
        <v>0</v>
      </c>
      <c r="S35" s="19">
        <v>0</v>
      </c>
      <c r="T35" s="19">
        <v>0</v>
      </c>
      <c r="U35" s="19">
        <v>0</v>
      </c>
      <c r="V35" s="19">
        <v>0</v>
      </c>
      <c r="W35" s="19">
        <v>0</v>
      </c>
      <c r="X35" s="19">
        <v>0</v>
      </c>
      <c r="Y35" s="19">
        <v>0</v>
      </c>
      <c r="Z35" s="19">
        <v>0</v>
      </c>
      <c r="AA35" s="19">
        <v>0</v>
      </c>
      <c r="AB35" s="19">
        <v>0</v>
      </c>
      <c r="AC35" s="19">
        <v>0</v>
      </c>
      <c r="AD35" s="19">
        <v>0</v>
      </c>
      <c r="AE35" s="19">
        <v>0</v>
      </c>
    </row>
    <row r="36" spans="1:35" x14ac:dyDescent="0.35">
      <c r="A36" t="s">
        <v>1052</v>
      </c>
      <c r="B36" s="19">
        <v>0</v>
      </c>
      <c r="C36" s="19">
        <v>0</v>
      </c>
      <c r="D36" s="19">
        <v>0</v>
      </c>
      <c r="E36" s="19">
        <v>0</v>
      </c>
      <c r="F36" s="19">
        <v>0</v>
      </c>
      <c r="G36" s="19">
        <v>0</v>
      </c>
      <c r="H36" s="19">
        <v>0</v>
      </c>
      <c r="I36" s="19">
        <v>0</v>
      </c>
      <c r="J36" s="19">
        <v>0</v>
      </c>
      <c r="K36" s="19">
        <v>0</v>
      </c>
      <c r="L36" s="19">
        <v>0</v>
      </c>
      <c r="M36" s="19">
        <v>0</v>
      </c>
      <c r="N36" s="19">
        <v>0</v>
      </c>
      <c r="O36" s="19">
        <v>0</v>
      </c>
      <c r="P36" s="19">
        <v>0</v>
      </c>
      <c r="Q36" s="19">
        <v>0</v>
      </c>
      <c r="R36" s="19">
        <v>0</v>
      </c>
      <c r="S36" s="19">
        <v>0</v>
      </c>
      <c r="T36" s="19">
        <v>0</v>
      </c>
      <c r="U36" s="19">
        <v>0</v>
      </c>
      <c r="V36" s="19">
        <v>0</v>
      </c>
      <c r="W36" s="19">
        <v>0</v>
      </c>
      <c r="X36" s="19">
        <v>0</v>
      </c>
      <c r="Y36" s="19">
        <v>0</v>
      </c>
      <c r="Z36" s="19">
        <v>0</v>
      </c>
      <c r="AA36" s="19">
        <v>0</v>
      </c>
      <c r="AB36" s="19">
        <v>0</v>
      </c>
      <c r="AC36" s="19">
        <v>0</v>
      </c>
      <c r="AD36" s="19">
        <v>0</v>
      </c>
      <c r="AE36" s="19">
        <v>0</v>
      </c>
    </row>
    <row r="37" spans="1:35" x14ac:dyDescent="0.35">
      <c r="A37" t="s">
        <v>1053</v>
      </c>
      <c r="B37" s="19">
        <v>0</v>
      </c>
      <c r="C37" s="19">
        <v>8.6900000000000005E-2</v>
      </c>
      <c r="D37" s="19">
        <v>0.1721</v>
      </c>
      <c r="E37" s="19">
        <v>0.25719999999999998</v>
      </c>
      <c r="F37" s="19">
        <v>0.3417</v>
      </c>
      <c r="G37" s="19">
        <v>0.42599999999999999</v>
      </c>
      <c r="H37" s="19">
        <v>0.51039999999999996</v>
      </c>
      <c r="I37" s="19">
        <v>0.59379999999999999</v>
      </c>
      <c r="J37" s="19">
        <v>0.67730000000000001</v>
      </c>
      <c r="K37" s="19">
        <v>0.76</v>
      </c>
      <c r="L37" s="19">
        <v>0.7571</v>
      </c>
      <c r="M37" s="19">
        <v>0.75560000000000005</v>
      </c>
      <c r="N37" s="19">
        <v>0.75419999999999998</v>
      </c>
      <c r="O37" s="19">
        <v>0.75260000000000005</v>
      </c>
      <c r="P37" s="19">
        <v>0.75009999999999999</v>
      </c>
      <c r="Q37" s="19">
        <v>0.74850000000000005</v>
      </c>
      <c r="R37" s="19">
        <v>0.74709999999999999</v>
      </c>
      <c r="S37" s="19">
        <v>0.74550000000000005</v>
      </c>
      <c r="T37" s="19">
        <v>0.74439999999999995</v>
      </c>
      <c r="U37" s="19">
        <v>0.74350000000000005</v>
      </c>
      <c r="V37" s="19">
        <v>0.74299999999999999</v>
      </c>
      <c r="W37" s="19">
        <v>0.74199999999999999</v>
      </c>
      <c r="X37" s="19">
        <v>0.73929999999999996</v>
      </c>
      <c r="Y37" s="19">
        <v>0.73809999999999998</v>
      </c>
      <c r="Z37" s="19">
        <v>0.73570000000000002</v>
      </c>
      <c r="AA37" s="19">
        <v>0.73440000000000005</v>
      </c>
      <c r="AB37" s="19">
        <v>0.73409999999999997</v>
      </c>
      <c r="AC37" s="19">
        <v>0.73260000000000003</v>
      </c>
      <c r="AD37" s="19">
        <v>0.73099999999999998</v>
      </c>
      <c r="AE37" s="19">
        <v>0.72960000000000003</v>
      </c>
    </row>
    <row r="38" spans="1:35" x14ac:dyDescent="0.35">
      <c r="A38" t="s">
        <v>1054</v>
      </c>
      <c r="B38" s="19">
        <v>0</v>
      </c>
      <c r="C38" s="19">
        <v>0</v>
      </c>
      <c r="D38" s="19">
        <v>0</v>
      </c>
      <c r="E38" s="19">
        <v>0</v>
      </c>
      <c r="F38" s="19">
        <v>0</v>
      </c>
      <c r="G38" s="19">
        <v>0</v>
      </c>
      <c r="H38" s="19">
        <v>0</v>
      </c>
      <c r="I38" s="19">
        <v>0</v>
      </c>
      <c r="J38" s="19">
        <v>0</v>
      </c>
      <c r="K38" s="19">
        <v>0</v>
      </c>
      <c r="L38" s="19">
        <v>0</v>
      </c>
      <c r="M38" s="19">
        <v>0</v>
      </c>
      <c r="N38" s="19">
        <v>0</v>
      </c>
      <c r="O38" s="19">
        <v>0</v>
      </c>
      <c r="P38" s="19">
        <v>0</v>
      </c>
      <c r="Q38" s="19">
        <v>0</v>
      </c>
      <c r="R38" s="19">
        <v>0</v>
      </c>
      <c r="S38" s="19">
        <v>0</v>
      </c>
      <c r="T38" s="19">
        <v>0</v>
      </c>
      <c r="U38" s="19">
        <v>0</v>
      </c>
      <c r="V38" s="19">
        <v>0</v>
      </c>
      <c r="W38" s="19">
        <v>0</v>
      </c>
      <c r="X38" s="19">
        <v>0</v>
      </c>
      <c r="Y38" s="19">
        <v>0</v>
      </c>
      <c r="Z38" s="19">
        <v>0</v>
      </c>
      <c r="AA38" s="19">
        <v>0</v>
      </c>
      <c r="AB38" s="19">
        <v>0</v>
      </c>
      <c r="AC38" s="19">
        <v>0</v>
      </c>
      <c r="AD38" s="19">
        <v>0</v>
      </c>
      <c r="AE38" s="19">
        <v>0</v>
      </c>
    </row>
    <row r="40" spans="1:35" x14ac:dyDescent="0.35">
      <c r="A40" s="477" t="s">
        <v>1087</v>
      </c>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row>
    <row r="41" spans="1:35" x14ac:dyDescent="0.35">
      <c r="A41" s="1" t="s">
        <v>821</v>
      </c>
      <c r="E41" s="1"/>
    </row>
    <row r="42" spans="1:35" x14ac:dyDescent="0.35">
      <c r="A42" s="1"/>
    </row>
    <row r="43" spans="1:35" x14ac:dyDescent="0.35">
      <c r="A43" t="s">
        <v>1044</v>
      </c>
      <c r="B43">
        <v>3</v>
      </c>
    </row>
    <row r="44" spans="1:35" x14ac:dyDescent="0.35">
      <c r="A44" t="s">
        <v>822</v>
      </c>
      <c r="B44">
        <v>61127.365236523648</v>
      </c>
    </row>
    <row r="45" spans="1:35" x14ac:dyDescent="0.35">
      <c r="A45" t="s">
        <v>824</v>
      </c>
      <c r="B45">
        <v>2.2046199999999998</v>
      </c>
    </row>
    <row r="46" spans="1:35" x14ac:dyDescent="0.35">
      <c r="A46" t="s">
        <v>825</v>
      </c>
      <c r="B46">
        <f>B44*B45</f>
        <v>134762.61194774476</v>
      </c>
    </row>
    <row r="47" spans="1:35" x14ac:dyDescent="0.35">
      <c r="A47" t="s">
        <v>823</v>
      </c>
      <c r="B47">
        <f>B43/B46*About!$A$84</f>
        <v>1.9748296474941895E-5</v>
      </c>
    </row>
    <row r="49" spans="1:31" x14ac:dyDescent="0.35">
      <c r="A49" t="s">
        <v>1045</v>
      </c>
      <c r="B49">
        <v>0.75</v>
      </c>
    </row>
    <row r="50" spans="1:31" x14ac:dyDescent="0.35">
      <c r="A50" t="s">
        <v>822</v>
      </c>
      <c r="B50">
        <v>61127.365236523648</v>
      </c>
    </row>
    <row r="51" spans="1:31" x14ac:dyDescent="0.35">
      <c r="A51" t="s">
        <v>824</v>
      </c>
      <c r="B51">
        <v>2.2046199999999998</v>
      </c>
    </row>
    <row r="52" spans="1:31" x14ac:dyDescent="0.35">
      <c r="A52" t="s">
        <v>825</v>
      </c>
      <c r="B52">
        <f>B50*B51</f>
        <v>134762.61194774476</v>
      </c>
    </row>
    <row r="53" spans="1:31" x14ac:dyDescent="0.35">
      <c r="A53" t="s">
        <v>823</v>
      </c>
      <c r="B53">
        <f>B49/B52*About!$A$84</f>
        <v>4.9370741187354737E-6</v>
      </c>
    </row>
    <row r="56" spans="1:31" x14ac:dyDescent="0.35">
      <c r="B56">
        <v>2021</v>
      </c>
      <c r="C56">
        <v>2022</v>
      </c>
      <c r="D56">
        <v>2023</v>
      </c>
      <c r="E56">
        <v>2024</v>
      </c>
      <c r="F56">
        <v>2025</v>
      </c>
      <c r="G56">
        <v>2026</v>
      </c>
      <c r="H56">
        <v>2027</v>
      </c>
      <c r="I56">
        <v>2028</v>
      </c>
      <c r="J56">
        <v>2029</v>
      </c>
      <c r="K56">
        <v>2030</v>
      </c>
      <c r="L56">
        <v>2031</v>
      </c>
      <c r="M56">
        <v>2032</v>
      </c>
      <c r="N56">
        <v>2033</v>
      </c>
      <c r="O56">
        <v>2034</v>
      </c>
      <c r="P56">
        <v>2035</v>
      </c>
      <c r="Q56">
        <v>2036</v>
      </c>
      <c r="R56">
        <v>2037</v>
      </c>
      <c r="S56">
        <v>2038</v>
      </c>
      <c r="T56">
        <v>2039</v>
      </c>
      <c r="U56">
        <v>2040</v>
      </c>
      <c r="V56">
        <v>2041</v>
      </c>
      <c r="W56">
        <v>2042</v>
      </c>
      <c r="X56">
        <v>2043</v>
      </c>
      <c r="Y56">
        <v>2044</v>
      </c>
      <c r="Z56">
        <v>2045</v>
      </c>
      <c r="AA56">
        <v>2046</v>
      </c>
      <c r="AB56">
        <v>2047</v>
      </c>
      <c r="AC56">
        <v>2048</v>
      </c>
      <c r="AD56">
        <v>2049</v>
      </c>
      <c r="AE56">
        <v>2050</v>
      </c>
    </row>
    <row r="57" spans="1:31" x14ac:dyDescent="0.35">
      <c r="A57" s="1" t="s">
        <v>1088</v>
      </c>
      <c r="B57">
        <v>0</v>
      </c>
      <c r="C57">
        <v>0</v>
      </c>
      <c r="D57" s="5">
        <f>SUM(B32,B37)*$B$47+SUM(B33:B36,B38)*$B$53</f>
        <v>5.677635236545795E-6</v>
      </c>
      <c r="E57" s="5">
        <f t="shared" ref="E57:M58" si="1">SUM(C32,C37)*$B$47+SUM(C33:C36,C38)*$B$53</f>
        <v>6.9647304593001326E-6</v>
      </c>
      <c r="F57" s="5">
        <f t="shared" si="1"/>
        <v>8.2266466040489198E-6</v>
      </c>
      <c r="G57" s="5">
        <f t="shared" si="1"/>
        <v>9.4870816265620862E-6</v>
      </c>
      <c r="H57" s="5">
        <f t="shared" si="1"/>
        <v>1.0738629915661529E-5</v>
      </c>
      <c r="I57" s="5">
        <f t="shared" si="1"/>
        <v>1.198721596028973E-5</v>
      </c>
      <c r="J57" s="5">
        <f t="shared" si="1"/>
        <v>1.3237283127153553E-5</v>
      </c>
      <c r="K57" s="5">
        <f t="shared" si="1"/>
        <v>1.4472539071661168E-5</v>
      </c>
      <c r="L57" s="5">
        <f t="shared" si="1"/>
        <v>1.5709276138404404E-5</v>
      </c>
      <c r="M57" s="5">
        <f>SUM(K32,K37)*$B$47+SUM(K33:K36,K38)*$B$53</f>
        <v>1.6934164227262676E-5</v>
      </c>
      <c r="N57">
        <f t="shared" ref="N57:AE59" si="2">N51</f>
        <v>0</v>
      </c>
      <c r="O57">
        <f t="shared" si="2"/>
        <v>0</v>
      </c>
      <c r="P57">
        <f t="shared" si="2"/>
        <v>0</v>
      </c>
      <c r="Q57">
        <f t="shared" si="2"/>
        <v>0</v>
      </c>
      <c r="R57">
        <f t="shared" si="2"/>
        <v>0</v>
      </c>
      <c r="S57">
        <f t="shared" si="2"/>
        <v>0</v>
      </c>
      <c r="T57">
        <f t="shared" si="2"/>
        <v>0</v>
      </c>
      <c r="U57">
        <f t="shared" si="2"/>
        <v>0</v>
      </c>
      <c r="V57">
        <f t="shared" si="2"/>
        <v>0</v>
      </c>
      <c r="W57">
        <f t="shared" si="2"/>
        <v>0</v>
      </c>
      <c r="X57">
        <f t="shared" si="2"/>
        <v>0</v>
      </c>
      <c r="Y57">
        <f t="shared" si="2"/>
        <v>0</v>
      </c>
      <c r="Z57">
        <f t="shared" si="2"/>
        <v>0</v>
      </c>
      <c r="AA57">
        <f t="shared" si="2"/>
        <v>0</v>
      </c>
      <c r="AB57">
        <f t="shared" si="2"/>
        <v>0</v>
      </c>
      <c r="AC57">
        <f t="shared" si="2"/>
        <v>0</v>
      </c>
      <c r="AD57">
        <f t="shared" si="2"/>
        <v>0</v>
      </c>
      <c r="AE57">
        <f t="shared" si="2"/>
        <v>0</v>
      </c>
    </row>
    <row r="58" spans="1:31" x14ac:dyDescent="0.35">
      <c r="A58" s="1" t="s">
        <v>1089</v>
      </c>
      <c r="B58">
        <v>0</v>
      </c>
      <c r="C58">
        <v>0</v>
      </c>
      <c r="D58" s="5">
        <f>SUM(B33,B38)*$B$47+SUM(B34:B37,B39)*$B$53</f>
        <v>1.87608816511948E-5</v>
      </c>
      <c r="E58" s="5">
        <f t="shared" si="1"/>
        <v>1.7473786428440463E-5</v>
      </c>
      <c r="F58" s="5">
        <f t="shared" si="1"/>
        <v>1.6211870283691674E-5</v>
      </c>
      <c r="G58" s="5">
        <f t="shared" si="1"/>
        <v>1.4951435261178508E-5</v>
      </c>
      <c r="H58" s="5">
        <f t="shared" si="1"/>
        <v>1.3699886972079065E-5</v>
      </c>
      <c r="I58" s="5">
        <f t="shared" si="1"/>
        <v>1.2451300927450864E-5</v>
      </c>
      <c r="J58" s="5">
        <f t="shared" si="1"/>
        <v>1.1201233760587042E-5</v>
      </c>
      <c r="K58" s="5">
        <f t="shared" si="1"/>
        <v>9.9659778160794271E-6</v>
      </c>
      <c r="L58" s="5">
        <f t="shared" si="1"/>
        <v>8.7292407493361896E-6</v>
      </c>
      <c r="M58" s="5">
        <f t="shared" si="1"/>
        <v>7.5043526604779192E-6</v>
      </c>
      <c r="N58">
        <f t="shared" si="2"/>
        <v>0</v>
      </c>
      <c r="O58">
        <f t="shared" si="2"/>
        <v>0</v>
      </c>
      <c r="P58">
        <f t="shared" si="2"/>
        <v>0</v>
      </c>
      <c r="Q58">
        <f t="shared" si="2"/>
        <v>0</v>
      </c>
      <c r="R58">
        <f t="shared" si="2"/>
        <v>0</v>
      </c>
      <c r="S58">
        <f t="shared" si="2"/>
        <v>0</v>
      </c>
      <c r="T58">
        <f t="shared" si="2"/>
        <v>0</v>
      </c>
      <c r="U58">
        <f t="shared" si="2"/>
        <v>0</v>
      </c>
      <c r="V58">
        <f t="shared" si="2"/>
        <v>0</v>
      </c>
      <c r="W58">
        <f t="shared" si="2"/>
        <v>0</v>
      </c>
      <c r="X58">
        <f t="shared" si="2"/>
        <v>0</v>
      </c>
      <c r="Y58">
        <f t="shared" si="2"/>
        <v>0</v>
      </c>
      <c r="Z58">
        <f t="shared" si="2"/>
        <v>0</v>
      </c>
      <c r="AA58">
        <f t="shared" si="2"/>
        <v>0</v>
      </c>
      <c r="AB58">
        <f t="shared" si="2"/>
        <v>0</v>
      </c>
      <c r="AC58">
        <f t="shared" si="2"/>
        <v>0</v>
      </c>
      <c r="AD58">
        <f t="shared" si="2"/>
        <v>0</v>
      </c>
      <c r="AE58">
        <f t="shared" si="2"/>
        <v>0</v>
      </c>
    </row>
    <row r="59" spans="1:31" x14ac:dyDescent="0.35">
      <c r="A59" s="1" t="s">
        <v>1090</v>
      </c>
      <c r="B59">
        <v>0</v>
      </c>
      <c r="C59">
        <v>0</v>
      </c>
      <c r="D59" s="5">
        <f>D58</f>
        <v>1.87608816511948E-5</v>
      </c>
      <c r="E59" s="5">
        <f t="shared" ref="E59:M59" si="3">E58</f>
        <v>1.7473786428440463E-5</v>
      </c>
      <c r="F59" s="5">
        <f t="shared" si="3"/>
        <v>1.6211870283691674E-5</v>
      </c>
      <c r="G59" s="5">
        <f t="shared" si="3"/>
        <v>1.4951435261178508E-5</v>
      </c>
      <c r="H59" s="5">
        <f t="shared" si="3"/>
        <v>1.3699886972079065E-5</v>
      </c>
      <c r="I59" s="5">
        <f t="shared" si="3"/>
        <v>1.2451300927450864E-5</v>
      </c>
      <c r="J59" s="5">
        <f t="shared" si="3"/>
        <v>1.1201233760587042E-5</v>
      </c>
      <c r="K59" s="5">
        <f t="shared" si="3"/>
        <v>9.9659778160794271E-6</v>
      </c>
      <c r="L59" s="5">
        <f t="shared" si="3"/>
        <v>8.7292407493361896E-6</v>
      </c>
      <c r="M59" s="5">
        <f t="shared" si="3"/>
        <v>7.5043526604779192E-6</v>
      </c>
      <c r="N59">
        <f t="shared" si="2"/>
        <v>0</v>
      </c>
      <c r="O59">
        <f t="shared" si="2"/>
        <v>0</v>
      </c>
      <c r="P59">
        <f t="shared" si="2"/>
        <v>0</v>
      </c>
      <c r="Q59">
        <f t="shared" si="2"/>
        <v>0</v>
      </c>
      <c r="R59">
        <f t="shared" si="2"/>
        <v>0</v>
      </c>
      <c r="S59">
        <f t="shared" si="2"/>
        <v>0</v>
      </c>
      <c r="T59">
        <f t="shared" si="2"/>
        <v>0</v>
      </c>
      <c r="U59">
        <f t="shared" si="2"/>
        <v>0</v>
      </c>
      <c r="V59">
        <f t="shared" si="2"/>
        <v>0</v>
      </c>
      <c r="W59">
        <f t="shared" si="2"/>
        <v>0</v>
      </c>
      <c r="X59">
        <f t="shared" si="2"/>
        <v>0</v>
      </c>
      <c r="Y59">
        <f t="shared" si="2"/>
        <v>0</v>
      </c>
      <c r="Z59">
        <f t="shared" si="2"/>
        <v>0</v>
      </c>
      <c r="AA59">
        <f t="shared" si="2"/>
        <v>0</v>
      </c>
      <c r="AB59">
        <f t="shared" si="2"/>
        <v>0</v>
      </c>
      <c r="AC59">
        <f t="shared" si="2"/>
        <v>0</v>
      </c>
      <c r="AD59">
        <f t="shared" si="2"/>
        <v>0</v>
      </c>
      <c r="AE59">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53125" defaultRowHeight="14.5" x14ac:dyDescent="0.35"/>
  <cols>
    <col min="1" max="1" width="19.453125" customWidth="1"/>
    <col min="2" max="2" width="21.453125" customWidth="1"/>
  </cols>
  <sheetData>
    <row r="2" spans="1:34" x14ac:dyDescent="0.3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35">
      <c r="A3" t="s">
        <v>843</v>
      </c>
      <c r="B3" s="346"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35">
      <c r="A4" t="s">
        <v>845</v>
      </c>
      <c r="B4" s="347"/>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3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35">
      <c r="B6" s="346"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35">
      <c r="B7" s="347"/>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35">
      <c r="B8" s="347"/>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3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3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3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3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3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3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3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3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3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3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3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3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3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3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3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3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3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3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3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3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3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3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3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3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3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3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3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3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3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3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3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3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3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3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35">
      <c r="A43" s="1" t="s">
        <v>869</v>
      </c>
      <c r="B43" s="132" t="s">
        <v>870</v>
      </c>
    </row>
    <row r="44" spans="1:34" x14ac:dyDescent="0.35">
      <c r="B44" s="132" t="s">
        <v>871</v>
      </c>
    </row>
    <row r="45" spans="1:34" x14ac:dyDescent="0.35">
      <c r="B45" s="132" t="s">
        <v>872</v>
      </c>
    </row>
    <row r="46" spans="1:34" x14ac:dyDescent="0.35">
      <c r="B46" s="132" t="s">
        <v>873</v>
      </c>
    </row>
  </sheetData>
  <mergeCells count="2">
    <mergeCell ref="B3:B4"/>
    <mergeCell ref="B6:B8"/>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53125" defaultRowHeight="14.25" customHeight="1" x14ac:dyDescent="0.25"/>
  <cols>
    <col min="1" max="1" width="9.453125" style="135"/>
    <col min="2" max="7" width="1.453125" style="135" customWidth="1"/>
    <col min="8" max="8" width="5.453125" style="135" customWidth="1"/>
    <col min="9" max="9" width="7.453125" style="135" customWidth="1"/>
    <col min="10" max="10" width="19.453125" style="135" customWidth="1"/>
    <col min="11" max="11" width="55" style="135" bestFit="1" customWidth="1"/>
    <col min="12" max="12" width="16.453125" style="135" customWidth="1"/>
    <col min="13" max="15" width="11.453125" style="135" customWidth="1"/>
    <col min="16" max="17" width="12.453125" style="135" customWidth="1"/>
    <col min="18" max="20" width="11.453125" style="135" customWidth="1"/>
    <col min="21" max="21" width="18.453125" style="135" customWidth="1"/>
    <col min="22" max="22" width="10.453125" style="135" bestFit="1" customWidth="1"/>
    <col min="23" max="24" width="11.453125" style="135" customWidth="1"/>
    <col min="25" max="25" width="10.453125" style="135" bestFit="1" customWidth="1"/>
    <col min="26" max="45" width="11.453125" style="135" customWidth="1"/>
    <col min="46" max="16384" width="9.453125" style="135"/>
  </cols>
  <sheetData>
    <row r="1" spans="1:108" ht="18" x14ac:dyDescent="0.4">
      <c r="A1" s="348" t="s">
        <v>1014</v>
      </c>
      <c r="B1" s="348"/>
      <c r="C1" s="348"/>
      <c r="D1" s="348"/>
      <c r="E1" s="348"/>
      <c r="F1" s="348"/>
      <c r="G1" s="348"/>
      <c r="H1" s="348"/>
      <c r="I1" s="348"/>
      <c r="J1" s="348"/>
      <c r="M1" s="136" t="s">
        <v>1015</v>
      </c>
    </row>
    <row r="2" spans="1:108" ht="14.25" customHeight="1" x14ac:dyDescent="0.3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35">
      <c r="A3"/>
      <c r="B3"/>
      <c r="C3"/>
      <c r="D3"/>
      <c r="E3"/>
      <c r="U3" s="139" t="s">
        <v>876</v>
      </c>
    </row>
    <row r="4" spans="1:108" ht="14.25" customHeight="1" x14ac:dyDescent="0.3">
      <c r="J4" s="140"/>
      <c r="U4" s="349" t="s">
        <v>877</v>
      </c>
    </row>
    <row r="5" spans="1:108" ht="14.25" customHeight="1" x14ac:dyDescent="0.25">
      <c r="U5" s="350"/>
    </row>
    <row r="7" spans="1:108" ht="14.25" customHeight="1" x14ac:dyDescent="0.35">
      <c r="B7" s="141" t="s">
        <v>878</v>
      </c>
      <c r="G7" s="351" t="s">
        <v>944</v>
      </c>
      <c r="H7" s="352"/>
      <c r="I7" s="352"/>
      <c r="J7" s="352"/>
      <c r="K7" s="352"/>
      <c r="L7" s="352"/>
      <c r="M7" s="352"/>
      <c r="N7" s="352"/>
      <c r="O7" s="352"/>
      <c r="P7" s="352"/>
      <c r="Q7" s="352"/>
      <c r="R7" s="352"/>
      <c r="S7" s="352"/>
      <c r="T7" s="352"/>
      <c r="U7" s="352"/>
      <c r="V7" s="352"/>
      <c r="W7" s="352"/>
      <c r="X7" s="352"/>
      <c r="Y7" s="352"/>
    </row>
    <row r="8" spans="1:108" ht="14.25" customHeight="1" thickBot="1" x14ac:dyDescent="0.3">
      <c r="G8" s="143"/>
      <c r="U8" s="144"/>
    </row>
    <row r="9" spans="1:108" ht="14.25" customHeight="1" thickBot="1" x14ac:dyDescent="0.4">
      <c r="A9"/>
      <c r="G9" s="143"/>
      <c r="H9" s="353" t="s">
        <v>880</v>
      </c>
      <c r="J9" s="355" t="s">
        <v>881</v>
      </c>
      <c r="K9" s="356"/>
      <c r="L9" s="357"/>
      <c r="M9" s="358">
        <v>2021</v>
      </c>
      <c r="N9" s="359"/>
      <c r="O9" s="359"/>
      <c r="P9" s="359"/>
      <c r="Q9" s="360"/>
      <c r="R9" s="361"/>
    </row>
    <row r="10" spans="1:108" ht="14.25" customHeight="1" thickBot="1" x14ac:dyDescent="0.3">
      <c r="G10" s="143"/>
      <c r="H10" s="354"/>
      <c r="J10" s="146" t="s">
        <v>882</v>
      </c>
      <c r="K10" s="271"/>
      <c r="L10" s="271"/>
      <c r="M10" s="271"/>
      <c r="N10" s="271"/>
      <c r="O10" s="271"/>
      <c r="P10" s="272"/>
      <c r="Q10" s="271"/>
      <c r="R10" s="273"/>
    </row>
    <row r="11" spans="1:108" ht="13.5" customHeight="1" thickBot="1" x14ac:dyDescent="0.4">
      <c r="G11" s="143"/>
      <c r="H11" s="354"/>
      <c r="J11" s="362" t="s">
        <v>1016</v>
      </c>
      <c r="K11" s="363"/>
      <c r="L11" s="363"/>
      <c r="M11" s="363"/>
      <c r="N11" s="363"/>
      <c r="O11" s="363"/>
      <c r="P11" s="363"/>
      <c r="Q11" s="363"/>
      <c r="R11" s="364"/>
      <c r="W11" s="274"/>
      <c r="X11" s="275"/>
      <c r="Y11" s="275"/>
      <c r="Z11" s="275"/>
      <c r="AA11" s="275"/>
    </row>
    <row r="12" spans="1:108" ht="13.5" customHeight="1" thickBot="1" x14ac:dyDescent="0.4">
      <c r="G12" s="143"/>
      <c r="H12" s="354"/>
      <c r="J12" s="365" t="s">
        <v>1017</v>
      </c>
      <c r="K12" s="366"/>
      <c r="L12" s="366"/>
      <c r="M12" s="366"/>
      <c r="N12" s="366"/>
      <c r="O12" s="366"/>
      <c r="P12" s="366"/>
      <c r="Q12" s="366"/>
      <c r="R12" s="367"/>
      <c r="W12" s="274"/>
      <c r="X12" s="275"/>
      <c r="Y12" s="275"/>
      <c r="Z12" s="275"/>
      <c r="AA12" s="275"/>
    </row>
    <row r="13" spans="1:108" ht="13.5" customHeight="1" thickBot="1" x14ac:dyDescent="0.4">
      <c r="G13" s="143"/>
      <c r="H13" s="354"/>
      <c r="J13" s="365" t="s">
        <v>1018</v>
      </c>
      <c r="K13" s="366"/>
      <c r="L13" s="366"/>
      <c r="M13" s="366"/>
      <c r="N13" s="366"/>
      <c r="O13" s="366"/>
      <c r="P13" s="366"/>
      <c r="Q13" s="366"/>
      <c r="R13" s="367"/>
      <c r="W13" s="274"/>
      <c r="X13" s="275"/>
      <c r="Y13" s="275"/>
      <c r="Z13" s="275"/>
      <c r="AA13" s="275"/>
    </row>
    <row r="14" spans="1:108" ht="13.5" customHeight="1" thickBot="1" x14ac:dyDescent="0.4">
      <c r="G14" s="143"/>
      <c r="H14" s="354"/>
      <c r="J14" s="365" t="s">
        <v>1019</v>
      </c>
      <c r="K14" s="366"/>
      <c r="L14" s="366"/>
      <c r="M14" s="366"/>
      <c r="N14" s="366"/>
      <c r="O14" s="366"/>
      <c r="P14" s="366"/>
      <c r="Q14" s="366"/>
      <c r="R14" s="367"/>
      <c r="W14" s="275"/>
      <c r="X14" s="275"/>
      <c r="Y14" s="275"/>
      <c r="Z14" s="275"/>
      <c r="AA14" s="275"/>
    </row>
    <row r="15" spans="1:108" ht="14.25" customHeight="1" thickBot="1" x14ac:dyDescent="0.4">
      <c r="G15" s="143"/>
      <c r="H15" s="354"/>
      <c r="J15" s="368" t="s">
        <v>1020</v>
      </c>
      <c r="K15" s="369"/>
      <c r="L15" s="369"/>
      <c r="M15" s="369"/>
      <c r="N15" s="369"/>
      <c r="O15" s="369"/>
      <c r="P15" s="369"/>
      <c r="Q15" s="369"/>
      <c r="R15" s="370"/>
      <c r="W15" s="275"/>
      <c r="X15" s="275"/>
      <c r="Y15" s="275"/>
      <c r="Z15" s="275"/>
      <c r="AA15" s="275"/>
    </row>
    <row r="16" spans="1:108" ht="14.25" customHeight="1" thickTop="1" x14ac:dyDescent="0.35">
      <c r="G16" s="143"/>
      <c r="H16" s="354"/>
      <c r="J16" s="371" t="s">
        <v>1021</v>
      </c>
      <c r="K16" s="372"/>
      <c r="L16" s="372"/>
      <c r="M16" s="372"/>
      <c r="N16" s="372"/>
      <c r="O16" s="372"/>
      <c r="P16" s="372"/>
      <c r="Q16" s="372"/>
      <c r="R16" s="373"/>
      <c r="W16" s="275"/>
      <c r="X16" s="275"/>
      <c r="Y16" s="275"/>
      <c r="Z16" s="275"/>
      <c r="AA16" s="275"/>
    </row>
    <row r="17" spans="7:27" ht="14.25" customHeight="1" x14ac:dyDescent="0.35">
      <c r="G17" s="143"/>
      <c r="H17" s="354"/>
      <c r="J17" s="374"/>
      <c r="K17" s="375"/>
      <c r="L17" s="375"/>
      <c r="M17" s="375"/>
      <c r="N17" s="375"/>
      <c r="O17" s="375"/>
      <c r="P17" s="375"/>
      <c r="Q17" s="375"/>
      <c r="R17" s="376"/>
      <c r="W17" s="275"/>
      <c r="X17" s="275"/>
      <c r="Y17" s="275"/>
      <c r="Z17" s="275"/>
      <c r="AA17" s="275"/>
    </row>
    <row r="18" spans="7:27" ht="14.25" customHeight="1" thickBot="1" x14ac:dyDescent="0.4">
      <c r="G18" s="143"/>
      <c r="H18" s="354"/>
      <c r="J18" s="377"/>
      <c r="K18" s="378"/>
      <c r="L18" s="378"/>
      <c r="M18" s="378"/>
      <c r="N18" s="378"/>
      <c r="O18" s="378"/>
      <c r="P18" s="378"/>
      <c r="Q18" s="378"/>
      <c r="R18" s="379"/>
      <c r="W18" s="275"/>
      <c r="X18" s="275"/>
      <c r="Y18" s="275"/>
      <c r="Z18" s="275"/>
      <c r="AA18" s="275"/>
    </row>
    <row r="19" spans="7:27" ht="24" customHeight="1" thickTop="1" thickBot="1" x14ac:dyDescent="0.4">
      <c r="G19" s="143"/>
      <c r="H19" s="354"/>
      <c r="J19" s="380">
        <v>118918</v>
      </c>
      <c r="K19" s="381"/>
      <c r="L19" s="381"/>
      <c r="M19" s="381"/>
      <c r="N19" s="381"/>
      <c r="O19" s="381"/>
      <c r="P19" s="381"/>
      <c r="Q19" s="381"/>
      <c r="R19" s="382"/>
      <c r="W19" s="275"/>
      <c r="X19" s="275"/>
      <c r="Y19" s="275"/>
      <c r="Z19" s="275"/>
      <c r="AA19" s="275"/>
    </row>
    <row r="20" spans="7:27" ht="14.25" customHeight="1" thickTop="1" x14ac:dyDescent="0.35">
      <c r="G20" s="143"/>
      <c r="H20" s="354"/>
      <c r="J20" s="276"/>
      <c r="K20" s="277"/>
      <c r="L20" s="278"/>
      <c r="M20" s="383" t="s">
        <v>1022</v>
      </c>
      <c r="N20" s="384"/>
      <c r="O20" s="384"/>
      <c r="P20" s="384"/>
      <c r="Q20" s="384"/>
      <c r="R20" s="385"/>
      <c r="V20" s="279"/>
      <c r="W20" s="275"/>
      <c r="X20" s="275"/>
      <c r="Y20" s="275"/>
      <c r="Z20" s="275"/>
      <c r="AA20" s="275"/>
    </row>
    <row r="21" spans="7:27" ht="14.25" customHeight="1" x14ac:dyDescent="0.35">
      <c r="G21" s="143"/>
      <c r="H21" s="354"/>
      <c r="J21" s="280"/>
      <c r="M21" s="386"/>
      <c r="N21" s="387"/>
      <c r="O21" s="387"/>
      <c r="P21" s="387"/>
      <c r="Q21" s="387"/>
      <c r="R21" s="388"/>
      <c r="S21"/>
      <c r="V21" s="279"/>
      <c r="W21" s="275"/>
      <c r="X21" s="275"/>
      <c r="Y21" s="275"/>
      <c r="Z21" s="275"/>
      <c r="AA21" s="275"/>
    </row>
    <row r="22" spans="7:27" ht="14.25" customHeight="1" x14ac:dyDescent="0.35">
      <c r="G22" s="143"/>
      <c r="H22" s="354"/>
      <c r="J22" s="280"/>
      <c r="M22" s="386"/>
      <c r="N22" s="387"/>
      <c r="O22" s="387"/>
      <c r="P22" s="387"/>
      <c r="Q22" s="387"/>
      <c r="R22" s="388"/>
      <c r="S22"/>
      <c r="V22" s="279"/>
      <c r="W22" s="275"/>
      <c r="X22" s="275"/>
      <c r="Y22" s="275"/>
      <c r="Z22" s="275"/>
      <c r="AA22" s="275"/>
    </row>
    <row r="23" spans="7:27" ht="14.25" customHeight="1" x14ac:dyDescent="0.35">
      <c r="G23" s="143"/>
      <c r="H23" s="354"/>
      <c r="J23" s="280"/>
      <c r="M23" s="386"/>
      <c r="N23" s="387"/>
      <c r="O23" s="387"/>
      <c r="P23" s="387"/>
      <c r="Q23" s="387"/>
      <c r="R23" s="388"/>
      <c r="S23"/>
      <c r="V23" s="279"/>
      <c r="W23" s="275"/>
      <c r="X23" s="275"/>
      <c r="Y23" s="275"/>
      <c r="Z23" s="275"/>
      <c r="AA23" s="275"/>
    </row>
    <row r="24" spans="7:27" ht="14.25" customHeight="1" thickBot="1" x14ac:dyDescent="0.4">
      <c r="G24" s="143"/>
      <c r="H24" s="354"/>
      <c r="J24" s="282"/>
      <c r="K24" s="283"/>
      <c r="M24" s="389"/>
      <c r="N24" s="390"/>
      <c r="O24" s="390"/>
      <c r="P24" s="390"/>
      <c r="Q24" s="390"/>
      <c r="R24" s="391"/>
      <c r="S24"/>
      <c r="U24" s="275"/>
      <c r="V24" s="279"/>
      <c r="W24" s="275"/>
      <c r="X24" s="275"/>
      <c r="Y24" s="275"/>
      <c r="Z24" s="275"/>
      <c r="AA24" s="275"/>
    </row>
    <row r="25" spans="7:27" ht="14.25" customHeight="1" thickBot="1" x14ac:dyDescent="0.4">
      <c r="G25" s="143"/>
      <c r="H25" s="270"/>
      <c r="M25" s="281"/>
      <c r="N25" s="281"/>
      <c r="O25" s="281"/>
      <c r="P25" s="281"/>
      <c r="Q25" s="281"/>
      <c r="R25" s="281"/>
      <c r="S25"/>
      <c r="U25" s="275"/>
      <c r="V25" s="279"/>
      <c r="W25" s="275"/>
      <c r="X25" s="275"/>
      <c r="Y25" s="275"/>
      <c r="Z25" s="275"/>
      <c r="AA25" s="275"/>
    </row>
    <row r="26" spans="7:27" ht="14.25" customHeight="1" thickBot="1" x14ac:dyDescent="0.4">
      <c r="G26" s="143"/>
      <c r="H26" s="270"/>
      <c r="J26" s="392"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35">
      <c r="G27" s="143"/>
      <c r="H27" s="270"/>
      <c r="J27" s="392"/>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35">
      <c r="G28" s="143"/>
      <c r="H28" s="270"/>
      <c r="J28" s="392"/>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35">
      <c r="G29" s="143"/>
      <c r="H29" s="270"/>
      <c r="J29" s="392"/>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35">
      <c r="G30" s="143"/>
      <c r="H30" s="270"/>
      <c r="J30" s="392"/>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35">
      <c r="G31" s="143"/>
      <c r="H31" s="270"/>
      <c r="J31" s="392"/>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35">
      <c r="G32" s="143"/>
      <c r="H32" s="270"/>
      <c r="J32" s="392"/>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35">
      <c r="G33" s="143"/>
      <c r="H33" s="270"/>
      <c r="J33" s="392"/>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35">
      <c r="G34" s="143"/>
      <c r="H34" s="270"/>
      <c r="J34" s="392"/>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35">
      <c r="G35" s="143"/>
      <c r="H35" s="270"/>
      <c r="J35" s="392"/>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4">
      <c r="G36" s="143"/>
      <c r="H36" s="270"/>
      <c r="J36" s="392"/>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4">
      <c r="G37" s="143"/>
      <c r="H37"/>
      <c r="J37"/>
      <c r="K37"/>
      <c r="L37" s="289"/>
      <c r="M37"/>
      <c r="R37" s="279"/>
      <c r="S37" s="279"/>
      <c r="T37" s="279"/>
      <c r="U37" s="275"/>
      <c r="V37" s="279"/>
      <c r="W37" s="275"/>
      <c r="X37" s="275"/>
      <c r="Y37" s="275"/>
      <c r="Z37" s="275"/>
      <c r="AA37" s="275"/>
    </row>
    <row r="38" spans="6:27" ht="14.25" customHeight="1" x14ac:dyDescent="0.35">
      <c r="G38" s="143"/>
      <c r="H38" s="395" t="s">
        <v>932</v>
      </c>
      <c r="J38" s="397" t="s">
        <v>933</v>
      </c>
      <c r="K38" s="398"/>
      <c r="L38" s="398"/>
      <c r="M38" s="398"/>
      <c r="N38" s="398"/>
      <c r="O38" s="399"/>
      <c r="U38" s="275"/>
      <c r="W38" s="275"/>
      <c r="X38" s="275"/>
      <c r="Y38" s="275"/>
      <c r="Z38" s="275"/>
      <c r="AA38" s="275"/>
    </row>
    <row r="39" spans="6:27" ht="14.25" customHeight="1" thickBot="1" x14ac:dyDescent="0.4">
      <c r="G39" s="143"/>
      <c r="H39" s="396"/>
      <c r="J39" s="400" t="s">
        <v>935</v>
      </c>
      <c r="K39" s="401"/>
      <c r="L39" s="401"/>
      <c r="M39" s="401"/>
      <c r="N39" s="401"/>
      <c r="O39" s="290">
        <v>20</v>
      </c>
      <c r="P39" s="291"/>
      <c r="Q39" s="135" t="s">
        <v>931</v>
      </c>
      <c r="S39" s="162" t="s">
        <v>1043</v>
      </c>
      <c r="U39" s="275"/>
    </row>
    <row r="40" spans="6:27" ht="14.25" customHeight="1" x14ac:dyDescent="0.35">
      <c r="G40" s="143"/>
      <c r="H40" s="396"/>
      <c r="J40" s="168" t="s">
        <v>936</v>
      </c>
      <c r="K40" s="169"/>
      <c r="L40" s="169"/>
      <c r="M40" s="169"/>
      <c r="N40" s="169"/>
      <c r="O40" s="170">
        <v>5</v>
      </c>
      <c r="Q40" s="135" t="s">
        <v>934</v>
      </c>
      <c r="S40" s="163">
        <v>20</v>
      </c>
      <c r="U40" s="275"/>
    </row>
    <row r="41" spans="6:27" ht="14.65" customHeight="1" thickBot="1" x14ac:dyDescent="0.3">
      <c r="F41" s="143"/>
      <c r="G41" s="143"/>
      <c r="H41" s="396"/>
      <c r="J41" s="292" t="s">
        <v>937</v>
      </c>
      <c r="K41" s="293"/>
      <c r="L41" s="293"/>
      <c r="M41" s="293"/>
      <c r="N41" s="293"/>
      <c r="O41" s="171">
        <v>0.02</v>
      </c>
      <c r="Z41" s="294"/>
      <c r="AA41" s="294"/>
    </row>
    <row r="42" spans="6:27" ht="15" customHeight="1" x14ac:dyDescent="0.3">
      <c r="F42" s="143"/>
      <c r="G42" s="143"/>
      <c r="H42" s="396"/>
      <c r="J42" s="295" t="s">
        <v>938</v>
      </c>
      <c r="K42" s="296"/>
      <c r="L42" s="296"/>
      <c r="M42" s="296"/>
      <c r="N42" s="296"/>
      <c r="O42" s="175">
        <v>1</v>
      </c>
    </row>
    <row r="43" spans="6:27" ht="15" customHeight="1" x14ac:dyDescent="0.35">
      <c r="G43" s="143"/>
      <c r="H43" s="396"/>
      <c r="J43" s="297" t="s">
        <v>172</v>
      </c>
      <c r="K43" s="298" t="s">
        <v>939</v>
      </c>
      <c r="L43" s="402" t="s">
        <v>940</v>
      </c>
      <c r="M43" s="405" t="s">
        <v>941</v>
      </c>
      <c r="O43"/>
    </row>
    <row r="44" spans="6:27" ht="15" customHeight="1" x14ac:dyDescent="0.35">
      <c r="G44" s="143"/>
      <c r="H44" s="396"/>
      <c r="J44" s="299" t="s">
        <v>942</v>
      </c>
      <c r="K44" s="145" t="s">
        <v>943</v>
      </c>
      <c r="L44" s="403"/>
      <c r="M44" s="406"/>
      <c r="O44"/>
    </row>
    <row r="45" spans="6:27" ht="15" customHeight="1" x14ac:dyDescent="0.35">
      <c r="G45" s="143"/>
      <c r="H45" s="396"/>
      <c r="J45" s="299"/>
      <c r="K45" s="145"/>
      <c r="L45" s="403"/>
      <c r="M45" s="406"/>
      <c r="O45"/>
    </row>
    <row r="46" spans="6:27" ht="15" customHeight="1" x14ac:dyDescent="0.35">
      <c r="G46" s="143"/>
      <c r="H46" s="396"/>
      <c r="J46" s="299"/>
      <c r="K46" s="145"/>
      <c r="L46" s="404"/>
      <c r="M46" s="407"/>
      <c r="O46"/>
    </row>
    <row r="47" spans="6:27" ht="14.25" customHeight="1" x14ac:dyDescent="0.25">
      <c r="G47" s="143"/>
      <c r="H47" s="396"/>
      <c r="J47" s="180">
        <v>0</v>
      </c>
      <c r="K47" s="181">
        <v>1</v>
      </c>
      <c r="L47" s="181">
        <v>0.8</v>
      </c>
      <c r="M47" s="300">
        <v>0.19999999999999996</v>
      </c>
      <c r="O47" s="185"/>
    </row>
    <row r="48" spans="6:27" ht="14.25" customHeight="1" x14ac:dyDescent="0.25">
      <c r="G48" s="143"/>
      <c r="H48" s="396"/>
      <c r="J48" s="183">
        <v>1</v>
      </c>
      <c r="K48" s="184">
        <v>0</v>
      </c>
      <c r="L48" s="184">
        <v>0.8</v>
      </c>
      <c r="M48" s="301">
        <v>0.19999999999999996</v>
      </c>
      <c r="O48" s="185"/>
    </row>
    <row r="49" spans="7:42" ht="14.25" customHeight="1" thickBot="1" x14ac:dyDescent="0.3">
      <c r="G49" s="143"/>
      <c r="H49" s="396"/>
      <c r="J49" s="186">
        <v>2</v>
      </c>
      <c r="K49" s="187">
        <v>0</v>
      </c>
      <c r="L49" s="187">
        <v>0.8</v>
      </c>
      <c r="M49" s="302">
        <v>0.19999999999999996</v>
      </c>
    </row>
    <row r="50" spans="7:42" ht="14.25" customHeight="1" x14ac:dyDescent="0.25">
      <c r="G50" s="143"/>
      <c r="H50" s="396"/>
      <c r="J50" s="303"/>
      <c r="K50" s="303"/>
      <c r="L50" s="303"/>
      <c r="M50" s="303"/>
      <c r="N50" s="185"/>
      <c r="O50" s="294"/>
    </row>
    <row r="51" spans="7:42" ht="14.25" customHeight="1" x14ac:dyDescent="0.25">
      <c r="G51" s="143"/>
      <c r="H51" s="396"/>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3">
      <c r="G52" s="143"/>
      <c r="H52" s="396"/>
      <c r="J52" s="392"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3">
      <c r="G53" s="143"/>
      <c r="H53" s="396"/>
      <c r="J53" s="392"/>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3">
      <c r="G54" s="143"/>
      <c r="H54" s="396"/>
      <c r="J54" s="392"/>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3">
      <c r="G55" s="143"/>
      <c r="H55" s="396"/>
      <c r="J55" s="392"/>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35">
      <c r="G56" s="143"/>
      <c r="H56" s="396"/>
      <c r="J56" s="392"/>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35">
      <c r="G57" s="143"/>
      <c r="H57" s="396"/>
      <c r="J57" s="392"/>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35">
      <c r="G58" s="143"/>
      <c r="H58" s="396"/>
      <c r="J58" s="392"/>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3">
      <c r="G59" s="143"/>
      <c r="H59" s="396"/>
      <c r="J59" s="392"/>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3">
      <c r="G60" s="143"/>
      <c r="H60" s="396"/>
      <c r="J60" s="392"/>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3">
      <c r="G61" s="143"/>
      <c r="H61" s="396"/>
      <c r="J61" s="392"/>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3">
      <c r="G62" s="143"/>
      <c r="H62" s="396"/>
      <c r="J62" s="392"/>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35">
      <c r="G63" s="143"/>
      <c r="H63" s="396"/>
      <c r="J63" s="392"/>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35">
      <c r="G64" s="143"/>
      <c r="H64" s="396"/>
      <c r="J64" s="392"/>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35">
      <c r="G65" s="143"/>
      <c r="H65" s="396"/>
      <c r="J65" s="392"/>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3">
      <c r="G66" s="143"/>
      <c r="H66" s="396"/>
      <c r="J66" s="392"/>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3">
      <c r="G67" s="143"/>
      <c r="H67" s="396"/>
      <c r="J67" s="392"/>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3">
      <c r="G68" s="143"/>
      <c r="H68" s="396"/>
      <c r="J68" s="392"/>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3">
      <c r="G69" s="143"/>
      <c r="H69" s="396"/>
      <c r="J69" s="392"/>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3">
      <c r="G70" s="143"/>
      <c r="H70" s="396"/>
      <c r="J70" s="392"/>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3">
      <c r="G71" s="143"/>
      <c r="H71" s="396"/>
      <c r="J71" s="392"/>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3">
      <c r="G72" s="143"/>
      <c r="H72" s="396"/>
      <c r="J72" s="392"/>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35">
      <c r="G73" s="143"/>
      <c r="H73" s="396"/>
      <c r="J73" s="392"/>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35">
      <c r="G74" s="143"/>
      <c r="H74" s="396"/>
      <c r="J74" s="392"/>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35">
      <c r="G75" s="143"/>
      <c r="H75" s="396"/>
      <c r="J75" s="392"/>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3">
      <c r="G76" s="143"/>
      <c r="H76" s="396"/>
      <c r="J76" s="392"/>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3">
      <c r="G77" s="143"/>
      <c r="H77" s="396"/>
      <c r="J77" s="392"/>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3">
      <c r="G78" s="143"/>
      <c r="H78" s="396"/>
      <c r="J78" s="392"/>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3">
      <c r="G79" s="143"/>
      <c r="H79" s="396"/>
      <c r="J79" s="392"/>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3">
      <c r="G80" s="143"/>
      <c r="H80" s="396"/>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3">
      <c r="G81" s="143"/>
      <c r="H81" s="396"/>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5">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3">
      <c r="D84" s="141" t="s">
        <v>878</v>
      </c>
      <c r="G84" s="351" t="s">
        <v>961</v>
      </c>
      <c r="H84" s="351"/>
      <c r="I84" s="351"/>
      <c r="J84" s="351"/>
      <c r="K84" s="351"/>
      <c r="L84" s="351"/>
      <c r="M84" s="351"/>
      <c r="N84" s="351"/>
      <c r="O84" s="351"/>
      <c r="P84" s="351"/>
      <c r="Q84" s="351"/>
      <c r="R84" s="351"/>
      <c r="S84" s="351"/>
      <c r="T84" s="351"/>
      <c r="U84" s="351"/>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5">
      <c r="G85" s="143"/>
      <c r="M85" s="135" t="s">
        <v>962</v>
      </c>
      <c r="AA85" s="304"/>
      <c r="AB85" s="304"/>
      <c r="AC85" s="304"/>
      <c r="AD85" s="304"/>
      <c r="AP85" s="304"/>
      <c r="AQ85" s="304"/>
    </row>
    <row r="86" spans="4:44" ht="14.25" customHeight="1" x14ac:dyDescent="0.25">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3">
      <c r="G87" s="143"/>
      <c r="H87" s="393" t="s">
        <v>963</v>
      </c>
      <c r="J87" s="346"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3">
      <c r="G88" s="143"/>
      <c r="H88" s="393"/>
      <c r="J88" s="347"/>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35">
      <c r="G89" s="143"/>
      <c r="H89" s="393"/>
      <c r="J89" s="347"/>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3">
      <c r="G90" s="143"/>
      <c r="H90" s="393"/>
      <c r="J90" s="347"/>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3">
      <c r="G91" s="143"/>
      <c r="H91" s="393"/>
      <c r="J91" s="347"/>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35">
      <c r="G92" s="143"/>
      <c r="H92" s="393"/>
      <c r="J92" s="347"/>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3">
      <c r="G93" s="143"/>
      <c r="H93" s="393"/>
      <c r="J93" s="347"/>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3">
      <c r="G94" s="143"/>
      <c r="H94" s="393"/>
      <c r="J94" s="347"/>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35">
      <c r="G95" s="143"/>
      <c r="H95" s="393"/>
      <c r="J95" s="347"/>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3">
      <c r="G96" s="143"/>
      <c r="H96" s="393"/>
      <c r="J96" s="347"/>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3">
      <c r="G97" s="143"/>
      <c r="H97" s="393"/>
      <c r="J97" s="347"/>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35">
      <c r="G98" s="143"/>
      <c r="H98" s="393"/>
      <c r="J98" s="347"/>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3">
      <c r="G99" s="143"/>
      <c r="H99" s="393"/>
      <c r="J99" s="347"/>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3">
      <c r="G100" s="143"/>
      <c r="H100" s="393"/>
      <c r="J100" s="347"/>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35">
      <c r="G101" s="143"/>
      <c r="H101" s="393"/>
      <c r="J101" s="347"/>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3">
      <c r="G102" s="143"/>
      <c r="H102" s="393"/>
      <c r="J102" s="347"/>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3">
      <c r="G103" s="143"/>
      <c r="H103" s="393"/>
      <c r="J103" s="347"/>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35">
      <c r="G104" s="143"/>
      <c r="H104" s="393"/>
      <c r="J104" s="347"/>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3">
      <c r="G105" s="143"/>
      <c r="H105" s="393"/>
      <c r="J105" s="347"/>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3">
      <c r="G106" s="143"/>
      <c r="H106" s="393"/>
      <c r="J106" s="347"/>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35">
      <c r="G107" s="143"/>
      <c r="H107" s="393"/>
      <c r="J107" s="347"/>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3">
      <c r="G108" s="143"/>
      <c r="H108" s="393"/>
      <c r="J108" s="347"/>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3">
      <c r="G109" s="143"/>
      <c r="H109" s="393"/>
      <c r="J109" s="347"/>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35">
      <c r="G110" s="143"/>
      <c r="H110" s="393"/>
      <c r="J110" s="347"/>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3">
      <c r="G111" s="143"/>
      <c r="H111" s="393"/>
      <c r="J111" s="347"/>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3">
      <c r="G112" s="143"/>
      <c r="H112" s="393"/>
      <c r="J112" s="347"/>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35">
      <c r="G113" s="143"/>
      <c r="H113" s="393"/>
      <c r="J113" s="347"/>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3">
      <c r="G114" s="143"/>
      <c r="H114" s="393"/>
      <c r="J114" s="347"/>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3">
      <c r="G115" s="143"/>
      <c r="H115" s="393"/>
      <c r="J115" s="347"/>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35">
      <c r="G116" s="143"/>
      <c r="H116" s="393"/>
      <c r="J116" s="394"/>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3">
      <c r="G117" s="143"/>
      <c r="H117" s="393"/>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5">
      <c r="G118" s="143"/>
      <c r="H118" s="393"/>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3">
      <c r="G119" s="143"/>
      <c r="H119" s="393"/>
      <c r="J119" s="346"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3">
      <c r="G120" s="143"/>
      <c r="H120" s="393"/>
      <c r="J120" s="347"/>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35">
      <c r="G121" s="143"/>
      <c r="H121" s="393"/>
      <c r="J121" s="347"/>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3">
      <c r="G122" s="143"/>
      <c r="H122" s="393"/>
      <c r="J122" s="347"/>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3">
      <c r="G123" s="143"/>
      <c r="H123" s="393"/>
      <c r="J123" s="347"/>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35">
      <c r="G124" s="143"/>
      <c r="H124" s="393"/>
      <c r="J124" s="347"/>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3">
      <c r="G125" s="143"/>
      <c r="H125" s="393"/>
      <c r="J125" s="347"/>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3">
      <c r="G126" s="143"/>
      <c r="H126" s="393"/>
      <c r="J126" s="347"/>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35">
      <c r="G127" s="143"/>
      <c r="H127" s="393"/>
      <c r="J127" s="347"/>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3">
      <c r="G128" s="143"/>
      <c r="H128" s="393"/>
      <c r="J128" s="347"/>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3">
      <c r="G129" s="143"/>
      <c r="H129" s="393"/>
      <c r="J129" s="347"/>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35">
      <c r="G130" s="143"/>
      <c r="H130" s="393"/>
      <c r="J130" s="347"/>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3">
      <c r="G131" s="143"/>
      <c r="H131" s="393"/>
      <c r="J131" s="347"/>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3">
      <c r="G132" s="143"/>
      <c r="H132" s="393"/>
      <c r="J132" s="347"/>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35">
      <c r="G133" s="143"/>
      <c r="H133" s="393"/>
      <c r="J133" s="347"/>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3">
      <c r="G134" s="143"/>
      <c r="H134" s="393"/>
      <c r="J134" s="347"/>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3">
      <c r="G135" s="143"/>
      <c r="H135" s="393"/>
      <c r="J135" s="347"/>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35">
      <c r="G136" s="143"/>
      <c r="H136" s="393"/>
      <c r="J136" s="347"/>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3">
      <c r="G137" s="143"/>
      <c r="H137" s="393"/>
      <c r="J137" s="347"/>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3">
      <c r="G138" s="143"/>
      <c r="H138" s="393"/>
      <c r="J138" s="347"/>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35">
      <c r="G139" s="143"/>
      <c r="H139" s="393"/>
      <c r="J139" s="347"/>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3">
      <c r="G140" s="143"/>
      <c r="H140" s="393"/>
      <c r="J140" s="347"/>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3">
      <c r="G141" s="143"/>
      <c r="H141" s="393"/>
      <c r="J141" s="347"/>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35">
      <c r="G142" s="143"/>
      <c r="H142" s="393"/>
      <c r="J142" s="347"/>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3">
      <c r="G143" s="143"/>
      <c r="H143" s="393"/>
      <c r="J143" s="347"/>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3">
      <c r="G144" s="143"/>
      <c r="H144" s="393"/>
      <c r="J144" s="347"/>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35">
      <c r="G145" s="143"/>
      <c r="H145" s="393"/>
      <c r="J145" s="347"/>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3">
      <c r="G146" s="143"/>
      <c r="H146" s="393"/>
      <c r="J146" s="347"/>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3">
      <c r="G147" s="143"/>
      <c r="H147" s="393"/>
      <c r="J147" s="347"/>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35">
      <c r="G148" s="143"/>
      <c r="H148" s="393"/>
      <c r="J148" s="394"/>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3">
      <c r="G149" s="143"/>
      <c r="H149" s="393"/>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5">
      <c r="G150" s="143"/>
      <c r="H150" s="393"/>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3">
      <c r="G151" s="143"/>
      <c r="H151" s="393"/>
      <c r="J151" s="346"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3">
      <c r="G152" s="143"/>
      <c r="H152" s="393"/>
      <c r="J152" s="347"/>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35">
      <c r="G153" s="143"/>
      <c r="H153" s="393"/>
      <c r="J153" s="347"/>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3">
      <c r="G154" s="143"/>
      <c r="H154" s="393"/>
      <c r="J154" s="347"/>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3">
      <c r="G155" s="143"/>
      <c r="H155" s="393"/>
      <c r="J155" s="347"/>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35">
      <c r="G156" s="143"/>
      <c r="H156" s="393"/>
      <c r="J156" s="347"/>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35">
      <c r="G157" s="143"/>
      <c r="H157" s="393"/>
      <c r="J157" s="347"/>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35">
      <c r="A158" s="135"/>
      <c r="B158" s="135"/>
      <c r="C158" s="135"/>
      <c r="D158" s="135"/>
      <c r="E158" s="135"/>
      <c r="F158" s="135"/>
      <c r="G158" s="143"/>
      <c r="H158" s="393"/>
      <c r="I158" s="135"/>
      <c r="J158" s="347"/>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35">
      <c r="A159" s="135"/>
      <c r="B159" s="135"/>
      <c r="C159" s="135"/>
      <c r="D159" s="135"/>
      <c r="E159" s="135"/>
      <c r="F159" s="135"/>
      <c r="G159" s="143"/>
      <c r="H159" s="393"/>
      <c r="I159" s="135"/>
      <c r="J159" s="347"/>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35">
      <c r="G160" s="143"/>
      <c r="H160" s="393"/>
      <c r="J160" s="347"/>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35">
      <c r="A161" s="135"/>
      <c r="B161" s="135"/>
      <c r="C161" s="135"/>
      <c r="D161" s="135"/>
      <c r="E161" s="135"/>
      <c r="F161" s="135"/>
      <c r="G161" s="143"/>
      <c r="H161" s="393"/>
      <c r="I161" s="135"/>
      <c r="J161" s="347"/>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35">
      <c r="A162" s="135"/>
      <c r="B162" s="135"/>
      <c r="C162" s="135"/>
      <c r="D162" s="135"/>
      <c r="E162" s="135"/>
      <c r="F162" s="135"/>
      <c r="G162" s="143"/>
      <c r="H162" s="393"/>
      <c r="I162" s="135"/>
      <c r="J162" s="347"/>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35">
      <c r="G163" s="143"/>
      <c r="H163" s="393"/>
      <c r="J163" s="347"/>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35">
      <c r="A164" s="135"/>
      <c r="B164" s="135"/>
      <c r="C164" s="135"/>
      <c r="D164" s="135"/>
      <c r="E164" s="135"/>
      <c r="F164" s="135"/>
      <c r="G164" s="143"/>
      <c r="H164" s="393"/>
      <c r="I164" s="135"/>
      <c r="J164" s="347"/>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35">
      <c r="A165" s="135"/>
      <c r="B165" s="135"/>
      <c r="C165" s="135"/>
      <c r="D165" s="135"/>
      <c r="E165" s="135"/>
      <c r="F165" s="135"/>
      <c r="G165" s="143"/>
      <c r="H165" s="393"/>
      <c r="I165" s="135"/>
      <c r="J165" s="347"/>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3">
      <c r="G166" s="143"/>
      <c r="H166" s="393"/>
      <c r="J166" s="347"/>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3">
      <c r="G167" s="143"/>
      <c r="H167" s="393"/>
      <c r="J167" s="347"/>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35">
      <c r="G168" s="143"/>
      <c r="H168" s="393"/>
      <c r="J168" s="347"/>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3">
      <c r="G169" s="143"/>
      <c r="H169" s="393"/>
      <c r="J169" s="347"/>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3">
      <c r="G170" s="143"/>
      <c r="H170" s="393"/>
      <c r="J170" s="347"/>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35">
      <c r="G171" s="143"/>
      <c r="H171" s="393"/>
      <c r="J171" s="347"/>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35">
      <c r="G172" s="143"/>
      <c r="H172" s="393"/>
      <c r="J172" s="347"/>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35">
      <c r="A173" s="135"/>
      <c r="B173" s="135"/>
      <c r="C173" s="135"/>
      <c r="D173" s="135"/>
      <c r="E173" s="135"/>
      <c r="F173" s="135"/>
      <c r="G173" s="143"/>
      <c r="H173" s="393"/>
      <c r="I173" s="135"/>
      <c r="J173" s="347"/>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35">
      <c r="A174" s="135"/>
      <c r="B174" s="135"/>
      <c r="C174" s="135"/>
      <c r="D174" s="135"/>
      <c r="E174" s="135"/>
      <c r="F174" s="135"/>
      <c r="G174" s="143"/>
      <c r="H174" s="393"/>
      <c r="I174" s="135"/>
      <c r="J174" s="347"/>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35">
      <c r="G175" s="143"/>
      <c r="H175" s="393"/>
      <c r="J175" s="347"/>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35">
      <c r="A176" s="135"/>
      <c r="B176" s="135"/>
      <c r="C176" s="135"/>
      <c r="D176" s="135"/>
      <c r="E176" s="135"/>
      <c r="F176" s="135"/>
      <c r="G176" s="143"/>
      <c r="H176" s="393"/>
      <c r="I176" s="135"/>
      <c r="J176" s="347"/>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35">
      <c r="A177" s="135"/>
      <c r="B177" s="135"/>
      <c r="C177" s="135"/>
      <c r="D177" s="135"/>
      <c r="E177" s="135"/>
      <c r="F177" s="135"/>
      <c r="G177" s="143"/>
      <c r="H177" s="393"/>
      <c r="I177" s="135"/>
      <c r="J177" s="347"/>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35">
      <c r="G178" s="143"/>
      <c r="H178" s="393"/>
      <c r="J178" s="347"/>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35">
      <c r="A179" s="135"/>
      <c r="B179" s="135"/>
      <c r="C179" s="135"/>
      <c r="D179" s="135"/>
      <c r="E179" s="135"/>
      <c r="F179" s="135"/>
      <c r="G179" s="143"/>
      <c r="H179" s="393"/>
      <c r="I179" s="135"/>
      <c r="J179" s="347"/>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35">
      <c r="A180" s="135"/>
      <c r="B180" s="135"/>
      <c r="C180" s="135"/>
      <c r="D180" s="135"/>
      <c r="E180" s="135"/>
      <c r="F180" s="135"/>
      <c r="G180" s="143"/>
      <c r="H180" s="393"/>
      <c r="I180" s="135"/>
      <c r="J180" s="394"/>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35">
      <c r="G181" s="143"/>
      <c r="H181" s="393"/>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3">
      <c r="G182" s="143"/>
      <c r="H182" s="393"/>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3">
      <c r="G183" s="143"/>
      <c r="H183" s="393"/>
      <c r="J183" s="346"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3">
      <c r="G184" s="143"/>
      <c r="H184" s="393"/>
      <c r="J184" s="347"/>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35">
      <c r="G185" s="143"/>
      <c r="H185" s="393"/>
      <c r="J185" s="347"/>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35">
      <c r="G186" s="143"/>
      <c r="H186" s="393"/>
      <c r="J186" s="347"/>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3">
      <c r="G187" s="143"/>
      <c r="H187" s="393"/>
      <c r="J187" s="347"/>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35">
      <c r="G188" s="143"/>
      <c r="H188" s="393"/>
      <c r="J188" s="347"/>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35">
      <c r="G189" s="143"/>
      <c r="H189" s="393"/>
      <c r="J189" s="347"/>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35">
      <c r="A190" s="135"/>
      <c r="B190" s="135"/>
      <c r="C190" s="135"/>
      <c r="D190" s="135"/>
      <c r="E190" s="135"/>
      <c r="F190" s="135"/>
      <c r="G190" s="143"/>
      <c r="H190" s="393"/>
      <c r="I190" s="135"/>
      <c r="J190" s="347"/>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35">
      <c r="A191" s="135"/>
      <c r="B191" s="135"/>
      <c r="C191" s="135"/>
      <c r="D191" s="135"/>
      <c r="E191" s="135"/>
      <c r="F191" s="135"/>
      <c r="G191" s="143"/>
      <c r="H191" s="393"/>
      <c r="I191" s="135"/>
      <c r="J191" s="347"/>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35">
      <c r="G192" s="143"/>
      <c r="H192" s="393"/>
      <c r="J192" s="347"/>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35">
      <c r="A193" s="135"/>
      <c r="B193" s="135"/>
      <c r="C193" s="135"/>
      <c r="D193" s="135"/>
      <c r="E193" s="135"/>
      <c r="F193" s="135"/>
      <c r="G193" s="143"/>
      <c r="H193" s="393"/>
      <c r="I193" s="135"/>
      <c r="J193" s="347"/>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35">
      <c r="A194" s="135"/>
      <c r="B194" s="135"/>
      <c r="C194" s="135"/>
      <c r="D194" s="135"/>
      <c r="E194" s="135"/>
      <c r="F194" s="135"/>
      <c r="G194" s="143"/>
      <c r="H194" s="393"/>
      <c r="I194" s="135"/>
      <c r="J194" s="347"/>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3">
      <c r="G195" s="143"/>
      <c r="H195" s="393"/>
      <c r="J195" s="347"/>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3">
      <c r="G196" s="143"/>
      <c r="H196" s="393"/>
      <c r="J196" s="347"/>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35">
      <c r="G197" s="143"/>
      <c r="H197" s="393"/>
      <c r="J197" s="347"/>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3">
      <c r="G198" s="143"/>
      <c r="H198" s="393"/>
      <c r="J198" s="347"/>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3">
      <c r="G199" s="143"/>
      <c r="H199" s="393"/>
      <c r="J199" s="347"/>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35">
      <c r="G200" s="143"/>
      <c r="H200" s="393"/>
      <c r="J200" s="347"/>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35">
      <c r="G201" s="143"/>
      <c r="H201" s="393"/>
      <c r="J201" s="347"/>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3">
      <c r="G202" s="143"/>
      <c r="H202" s="393"/>
      <c r="J202" s="347"/>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35">
      <c r="G203" s="143"/>
      <c r="H203" s="393"/>
      <c r="J203" s="347"/>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35">
      <c r="G204" s="143"/>
      <c r="H204" s="393"/>
      <c r="J204" s="347"/>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35">
      <c r="A205" s="135"/>
      <c r="B205" s="135"/>
      <c r="C205" s="135"/>
      <c r="D205" s="135"/>
      <c r="E205" s="135"/>
      <c r="F205" s="135"/>
      <c r="G205" s="143"/>
      <c r="H205" s="393"/>
      <c r="I205" s="135"/>
      <c r="J205" s="347"/>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35">
      <c r="A206" s="135"/>
      <c r="B206" s="135"/>
      <c r="C206" s="135"/>
      <c r="D206" s="135"/>
      <c r="E206" s="135"/>
      <c r="F206" s="135"/>
      <c r="G206" s="143"/>
      <c r="H206" s="393"/>
      <c r="I206" s="135"/>
      <c r="J206" s="347"/>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35">
      <c r="G207" s="143"/>
      <c r="H207" s="393"/>
      <c r="J207" s="347"/>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35">
      <c r="A208" s="135"/>
      <c r="B208" s="135"/>
      <c r="C208" s="135"/>
      <c r="D208" s="135"/>
      <c r="E208" s="135"/>
      <c r="F208" s="135"/>
      <c r="G208" s="143"/>
      <c r="H208" s="393"/>
      <c r="I208" s="135"/>
      <c r="J208" s="347"/>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35">
      <c r="A209" s="135"/>
      <c r="B209" s="135"/>
      <c r="C209" s="135"/>
      <c r="D209" s="135"/>
      <c r="E209" s="135"/>
      <c r="F209" s="135"/>
      <c r="G209" s="143"/>
      <c r="H209" s="393"/>
      <c r="I209" s="135"/>
      <c r="J209" s="347"/>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3">
      <c r="G210" s="143"/>
      <c r="H210" s="393"/>
      <c r="J210" s="347"/>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3">
      <c r="G211" s="143"/>
      <c r="H211" s="393"/>
      <c r="J211" s="347"/>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35">
      <c r="G212" s="143"/>
      <c r="H212" s="393"/>
      <c r="J212" s="394"/>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3">
      <c r="G213" s="143"/>
      <c r="H213" s="393"/>
      <c r="J213" s="206"/>
      <c r="K213" s="140"/>
      <c r="L213" s="140"/>
    </row>
    <row r="214" spans="1:89" ht="14.25" customHeight="1" x14ac:dyDescent="0.25">
      <c r="G214" s="143"/>
      <c r="H214" s="393"/>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3">
      <c r="G215" s="143"/>
      <c r="H215" s="393"/>
      <c r="J215" s="346"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3">
      <c r="G216" s="143"/>
      <c r="H216" s="393"/>
      <c r="J216" s="347"/>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35">
      <c r="G217" s="143"/>
      <c r="H217" s="393"/>
      <c r="J217" s="347"/>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3">
      <c r="G218" s="143"/>
      <c r="H218" s="393"/>
      <c r="J218" s="347"/>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35">
      <c r="G219" s="143"/>
      <c r="H219" s="393"/>
      <c r="J219" s="347"/>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35">
      <c r="G220" s="143"/>
      <c r="H220" s="393"/>
      <c r="J220" s="347"/>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35">
      <c r="G221" s="143"/>
      <c r="H221" s="393"/>
      <c r="J221" s="347"/>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35">
      <c r="A222" s="135"/>
      <c r="B222" s="135"/>
      <c r="C222" s="135"/>
      <c r="D222" s="135"/>
      <c r="E222" s="135"/>
      <c r="F222" s="135"/>
      <c r="G222" s="143"/>
      <c r="H222" s="393"/>
      <c r="I222" s="135"/>
      <c r="J222" s="347"/>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35">
      <c r="A223" s="135"/>
      <c r="B223" s="135"/>
      <c r="C223" s="135"/>
      <c r="D223" s="135"/>
      <c r="E223" s="135"/>
      <c r="F223" s="135"/>
      <c r="G223" s="143"/>
      <c r="H223" s="393"/>
      <c r="I223" s="135"/>
      <c r="J223" s="347"/>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35">
      <c r="G224" s="143"/>
      <c r="H224" s="393"/>
      <c r="J224" s="347"/>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35">
      <c r="A225" s="135"/>
      <c r="B225" s="135"/>
      <c r="C225" s="135"/>
      <c r="D225" s="135"/>
      <c r="E225" s="135"/>
      <c r="F225" s="135"/>
      <c r="G225" s="143"/>
      <c r="H225" s="393"/>
      <c r="I225" s="135"/>
      <c r="J225" s="347"/>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35">
      <c r="A226" s="135"/>
      <c r="B226" s="135"/>
      <c r="C226" s="135"/>
      <c r="D226" s="135"/>
      <c r="E226" s="135"/>
      <c r="F226" s="135"/>
      <c r="G226" s="143"/>
      <c r="H226" s="393"/>
      <c r="I226" s="135"/>
      <c r="J226" s="347"/>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35">
      <c r="G227" s="143"/>
      <c r="H227" s="393"/>
      <c r="J227" s="347"/>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35">
      <c r="G228" s="143"/>
      <c r="H228" s="393"/>
      <c r="J228" s="347"/>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4">
      <c r="G229" s="143"/>
      <c r="H229" s="393"/>
      <c r="J229" s="347"/>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3">
      <c r="G230" s="143"/>
      <c r="H230" s="393"/>
      <c r="J230" s="347"/>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3">
      <c r="G231" s="143"/>
      <c r="H231" s="393"/>
      <c r="J231" s="347"/>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35">
      <c r="G232" s="143"/>
      <c r="H232" s="393"/>
      <c r="J232" s="347"/>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3">
      <c r="G233" s="143"/>
      <c r="H233" s="393"/>
      <c r="J233" s="347"/>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35">
      <c r="G234" s="143"/>
      <c r="H234" s="393"/>
      <c r="J234" s="347"/>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35">
      <c r="G235" s="143"/>
      <c r="H235" s="393"/>
      <c r="J235" s="347"/>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35">
      <c r="G236" s="143"/>
      <c r="H236" s="393"/>
      <c r="J236" s="347"/>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35">
      <c r="A237" s="135"/>
      <c r="B237" s="135"/>
      <c r="C237" s="135"/>
      <c r="D237" s="135"/>
      <c r="E237" s="135"/>
      <c r="F237" s="135"/>
      <c r="G237" s="143"/>
      <c r="H237" s="393"/>
      <c r="I237" s="135"/>
      <c r="J237" s="347"/>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35">
      <c r="A238" s="135"/>
      <c r="B238" s="135"/>
      <c r="C238" s="135"/>
      <c r="D238" s="135"/>
      <c r="E238" s="135"/>
      <c r="F238" s="135"/>
      <c r="G238" s="143"/>
      <c r="H238" s="393"/>
      <c r="I238" s="135"/>
      <c r="J238" s="347"/>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35">
      <c r="G239" s="143"/>
      <c r="H239" s="393"/>
      <c r="J239" s="347"/>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35">
      <c r="A240" s="135"/>
      <c r="B240" s="135"/>
      <c r="C240" s="135"/>
      <c r="D240" s="135"/>
      <c r="E240" s="135"/>
      <c r="F240" s="135"/>
      <c r="G240" s="143"/>
      <c r="H240" s="393"/>
      <c r="I240" s="135"/>
      <c r="J240" s="347"/>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35">
      <c r="A241" s="135"/>
      <c r="B241" s="135"/>
      <c r="C241" s="135"/>
      <c r="D241" s="135"/>
      <c r="E241" s="135"/>
      <c r="F241" s="135"/>
      <c r="G241" s="143"/>
      <c r="H241" s="393"/>
      <c r="I241" s="135"/>
      <c r="J241" s="347"/>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35">
      <c r="G242" s="143"/>
      <c r="H242" s="393"/>
      <c r="J242" s="347"/>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35">
      <c r="G243" s="143"/>
      <c r="H243" s="393"/>
      <c r="J243" s="347"/>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35">
      <c r="G244" s="143"/>
      <c r="H244" s="393"/>
      <c r="J244" s="394"/>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35">
      <c r="G245" s="143"/>
      <c r="H245" s="393"/>
      <c r="J245" s="206"/>
      <c r="K245" s="140"/>
      <c r="L245" s="140"/>
      <c r="AX245"/>
      <c r="AY245"/>
    </row>
    <row r="246" spans="1:97" ht="14.25" customHeight="1" x14ac:dyDescent="0.25">
      <c r="G246" s="143"/>
      <c r="H246" s="393"/>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3">
      <c r="G247" s="143"/>
      <c r="H247" s="393"/>
      <c r="J247" s="346"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35">
      <c r="G248" s="143"/>
      <c r="H248" s="393"/>
      <c r="J248" s="347"/>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35">
      <c r="G249" s="143"/>
      <c r="H249" s="393"/>
      <c r="J249" s="347"/>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3">
      <c r="G250" s="143"/>
      <c r="H250" s="393"/>
      <c r="J250" s="347"/>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35">
      <c r="G251" s="143"/>
      <c r="H251" s="393"/>
      <c r="J251" s="347"/>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4">
      <c r="G252" s="143"/>
      <c r="H252" s="393"/>
      <c r="J252" s="347"/>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35">
      <c r="G253" s="143"/>
      <c r="H253" s="393"/>
      <c r="J253" s="347"/>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35">
      <c r="G254" s="143"/>
      <c r="H254" s="393"/>
      <c r="J254" s="347"/>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4">
      <c r="G255" s="143"/>
      <c r="H255" s="393"/>
      <c r="J255" s="347"/>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35">
      <c r="G256" s="143"/>
      <c r="H256" s="393"/>
      <c r="J256" s="347"/>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35">
      <c r="G257" s="143"/>
      <c r="H257" s="393"/>
      <c r="J257" s="347"/>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4">
      <c r="G258" s="143"/>
      <c r="H258" s="393"/>
      <c r="J258" s="347"/>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35">
      <c r="G259" s="143"/>
      <c r="H259" s="393"/>
      <c r="J259" s="347"/>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35">
      <c r="G260" s="143"/>
      <c r="H260" s="393"/>
      <c r="J260" s="347"/>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4">
      <c r="G261" s="143"/>
      <c r="H261" s="393"/>
      <c r="J261" s="347"/>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3">
      <c r="G262" s="143"/>
      <c r="H262" s="393"/>
      <c r="J262" s="347"/>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35">
      <c r="G263" s="143"/>
      <c r="H263" s="393"/>
      <c r="J263" s="347"/>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35">
      <c r="G264" s="143"/>
      <c r="H264" s="393"/>
      <c r="J264" s="347"/>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3">
      <c r="G265" s="143"/>
      <c r="H265" s="393"/>
      <c r="J265" s="347"/>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35">
      <c r="G266" s="143"/>
      <c r="H266" s="393"/>
      <c r="J266" s="347"/>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4">
      <c r="G267" s="143"/>
      <c r="H267" s="393"/>
      <c r="J267" s="347"/>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35">
      <c r="G268" s="143"/>
      <c r="H268" s="393"/>
      <c r="J268" s="347"/>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35">
      <c r="G269" s="143"/>
      <c r="H269" s="393"/>
      <c r="J269" s="347"/>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4">
      <c r="G270" s="143"/>
      <c r="H270" s="393"/>
      <c r="J270" s="347"/>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35">
      <c r="G271" s="143"/>
      <c r="H271" s="393"/>
      <c r="J271" s="347"/>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35">
      <c r="G272" s="143"/>
      <c r="H272" s="393"/>
      <c r="J272" s="347"/>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4">
      <c r="G273" s="143"/>
      <c r="H273" s="393"/>
      <c r="J273" s="347"/>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35">
      <c r="G274" s="143"/>
      <c r="H274" s="393"/>
      <c r="J274" s="347"/>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35">
      <c r="G275" s="143"/>
      <c r="H275" s="393"/>
      <c r="J275" s="347"/>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4">
      <c r="G276" s="143"/>
      <c r="H276" s="393"/>
      <c r="J276" s="394"/>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35">
      <c r="G277" s="143"/>
      <c r="H277" s="393"/>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5">
      <c r="A278" s="135" t="s">
        <v>902</v>
      </c>
      <c r="G278" s="143"/>
      <c r="H278" s="393"/>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3">
      <c r="G279" s="143"/>
      <c r="H279" s="393"/>
      <c r="J279" s="346"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35">
      <c r="G280" s="143"/>
      <c r="H280" s="393"/>
      <c r="J280" s="347"/>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35">
      <c r="G281" s="143"/>
      <c r="H281" s="393"/>
      <c r="J281" s="347"/>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3">
      <c r="G282" s="143"/>
      <c r="H282" s="393"/>
      <c r="J282" s="347"/>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35">
      <c r="G283" s="143"/>
      <c r="H283" s="393"/>
      <c r="J283" s="347"/>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35">
      <c r="G284" s="143"/>
      <c r="H284" s="393"/>
      <c r="J284" s="347"/>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3">
      <c r="G285" s="143"/>
      <c r="H285" s="393"/>
      <c r="J285" s="347"/>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3">
      <c r="G286" s="143"/>
      <c r="H286" s="393"/>
      <c r="J286" s="347"/>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35">
      <c r="G287" s="143"/>
      <c r="H287" s="393"/>
      <c r="J287" s="347"/>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3">
      <c r="G288" s="143"/>
      <c r="H288" s="393"/>
      <c r="J288" s="347"/>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3">
      <c r="G289" s="143"/>
      <c r="H289" s="393"/>
      <c r="J289" s="347"/>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35">
      <c r="G290" s="143"/>
      <c r="H290" s="393"/>
      <c r="J290" s="347"/>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3">
      <c r="G291" s="143"/>
      <c r="H291" s="393"/>
      <c r="J291" s="347"/>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3">
      <c r="G292" s="143"/>
      <c r="H292" s="393"/>
      <c r="J292" s="347"/>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3">
      <c r="G293" s="143"/>
      <c r="H293" s="393"/>
      <c r="J293" s="347"/>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3">
      <c r="G294" s="143"/>
      <c r="H294" s="393"/>
      <c r="J294" s="347"/>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35">
      <c r="G295" s="143"/>
      <c r="H295" s="393"/>
      <c r="J295" s="347"/>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35">
      <c r="G296" s="143"/>
      <c r="H296" s="393"/>
      <c r="J296" s="347"/>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3">
      <c r="G297" s="143"/>
      <c r="H297" s="393"/>
      <c r="J297" s="347"/>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35">
      <c r="G298" s="143"/>
      <c r="H298" s="393"/>
      <c r="J298" s="347"/>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35">
      <c r="G299" s="143"/>
      <c r="H299" s="393"/>
      <c r="J299" s="347"/>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3">
      <c r="G300" s="143"/>
      <c r="H300" s="393"/>
      <c r="J300" s="347"/>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3">
      <c r="G301" s="143"/>
      <c r="H301" s="393"/>
      <c r="J301" s="347"/>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35">
      <c r="G302" s="143"/>
      <c r="H302" s="393"/>
      <c r="J302" s="347"/>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3">
      <c r="G303" s="143"/>
      <c r="H303" s="393"/>
      <c r="J303" s="347"/>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3">
      <c r="G304" s="143"/>
      <c r="H304" s="393"/>
      <c r="J304" s="347"/>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35">
      <c r="G305" s="143"/>
      <c r="H305" s="393"/>
      <c r="J305" s="347"/>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3">
      <c r="G306" s="143"/>
      <c r="H306" s="393"/>
      <c r="J306" s="347"/>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3">
      <c r="G307" s="143"/>
      <c r="H307" s="393"/>
      <c r="J307" s="347"/>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3">
      <c r="G308" s="143"/>
      <c r="H308" s="393"/>
      <c r="J308" s="394"/>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3">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5">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3">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5">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5">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3">
      <c r="G314" s="143"/>
      <c r="H314" s="408" t="s">
        <v>971</v>
      </c>
      <c r="J314" s="346"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3">
      <c r="G315" s="143"/>
      <c r="H315" s="408"/>
      <c r="J315" s="347"/>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35">
      <c r="G316" s="143"/>
      <c r="H316" s="408"/>
      <c r="J316" s="347"/>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3">
      <c r="G317" s="143"/>
      <c r="H317" s="408"/>
      <c r="J317" s="347"/>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3">
      <c r="G318" s="143"/>
      <c r="H318" s="408"/>
      <c r="J318" s="347"/>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35">
      <c r="G319" s="143"/>
      <c r="H319" s="408"/>
      <c r="J319" s="347"/>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3">
      <c r="G320" s="143"/>
      <c r="H320" s="408"/>
      <c r="J320" s="347"/>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3">
      <c r="G321" s="143"/>
      <c r="H321" s="408"/>
      <c r="J321" s="347"/>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35">
      <c r="G322" s="143"/>
      <c r="H322" s="408"/>
      <c r="J322" s="347"/>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3">
      <c r="G323" s="143"/>
      <c r="H323" s="408"/>
      <c r="J323" s="347"/>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3">
      <c r="G324" s="143"/>
      <c r="H324" s="408"/>
      <c r="J324" s="347"/>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35">
      <c r="G325" s="143"/>
      <c r="H325" s="408"/>
      <c r="J325" s="347"/>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3">
      <c r="G326" s="143"/>
      <c r="H326" s="408"/>
      <c r="J326" s="347"/>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3">
      <c r="G327" s="143"/>
      <c r="H327" s="408"/>
      <c r="J327" s="347"/>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3">
      <c r="G328" s="143"/>
      <c r="H328" s="408"/>
      <c r="J328" s="347"/>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3">
      <c r="G329" s="143"/>
      <c r="H329" s="408"/>
      <c r="J329" s="347"/>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3">
      <c r="G330" s="143"/>
      <c r="H330" s="408"/>
      <c r="J330" s="347"/>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35">
      <c r="G331" s="143"/>
      <c r="H331" s="408"/>
      <c r="J331" s="347"/>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3">
      <c r="G332" s="143"/>
      <c r="H332" s="408"/>
      <c r="J332" s="347"/>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3">
      <c r="G333" s="143"/>
      <c r="H333" s="408"/>
      <c r="J333" s="347"/>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35">
      <c r="G334" s="143"/>
      <c r="H334" s="408"/>
      <c r="J334" s="347"/>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3">
      <c r="G335" s="143"/>
      <c r="H335" s="408"/>
      <c r="J335" s="347"/>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3">
      <c r="G336" s="143"/>
      <c r="H336" s="408"/>
      <c r="J336" s="347"/>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35">
      <c r="G337" s="143"/>
      <c r="H337" s="408"/>
      <c r="J337" s="347"/>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3">
      <c r="G338" s="143"/>
      <c r="H338" s="408"/>
      <c r="J338" s="347"/>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3">
      <c r="G339" s="143"/>
      <c r="H339" s="408"/>
      <c r="J339" s="347"/>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35">
      <c r="G340" s="143"/>
      <c r="H340" s="408"/>
      <c r="J340" s="347"/>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3">
      <c r="G341" s="143"/>
      <c r="H341" s="408"/>
      <c r="J341" s="347"/>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3">
      <c r="G342" s="143"/>
      <c r="H342" s="408"/>
      <c r="J342" s="347"/>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3">
      <c r="G343" s="143"/>
      <c r="H343" s="408"/>
      <c r="J343" s="394"/>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3">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5">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5">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3">
      <c r="G347" s="143"/>
      <c r="H347" s="409" t="s">
        <v>973</v>
      </c>
      <c r="J347" s="392"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3">
      <c r="G348" s="143"/>
      <c r="H348" s="409"/>
      <c r="J348" s="392"/>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35">
      <c r="G349" s="143"/>
      <c r="H349" s="409"/>
      <c r="J349" s="392"/>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3">
      <c r="G350" s="143"/>
      <c r="H350" s="409"/>
      <c r="J350" s="392"/>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3">
      <c r="G351" s="143"/>
      <c r="H351" s="409"/>
      <c r="J351" s="392"/>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35">
      <c r="G352" s="143"/>
      <c r="H352" s="409"/>
      <c r="J352" s="392"/>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3">
      <c r="G353" s="143"/>
      <c r="H353" s="409"/>
      <c r="J353" s="392"/>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3">
      <c r="G354" s="143"/>
      <c r="H354" s="409"/>
      <c r="J354" s="392"/>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35">
      <c r="G355" s="143"/>
      <c r="H355" s="409"/>
      <c r="J355" s="392"/>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3">
      <c r="G356" s="143"/>
      <c r="H356" s="409"/>
      <c r="J356" s="392"/>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3">
      <c r="G357" s="143"/>
      <c r="H357" s="409"/>
      <c r="J357" s="392"/>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35">
      <c r="G358" s="143"/>
      <c r="H358" s="409"/>
      <c r="J358" s="392"/>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3">
      <c r="G359" s="143"/>
      <c r="H359" s="409"/>
      <c r="J359" s="392"/>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3">
      <c r="G360" s="143"/>
      <c r="H360" s="409"/>
      <c r="J360" s="392"/>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35">
      <c r="G361" s="143"/>
      <c r="H361" s="409"/>
      <c r="J361" s="392"/>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3">
      <c r="G362" s="143"/>
      <c r="H362" s="409"/>
      <c r="J362" s="392"/>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3">
      <c r="G363" s="143"/>
      <c r="H363" s="409"/>
      <c r="J363" s="392"/>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35">
      <c r="G364" s="143"/>
      <c r="H364" s="409"/>
      <c r="J364" s="392"/>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3">
      <c r="G365" s="143"/>
      <c r="H365" s="409"/>
      <c r="J365" s="392"/>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3">
      <c r="G366" s="143"/>
      <c r="H366" s="409"/>
      <c r="J366" s="392"/>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35">
      <c r="G367" s="143"/>
      <c r="H367" s="409"/>
      <c r="J367" s="392"/>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3">
      <c r="G368" s="143"/>
      <c r="H368" s="409"/>
      <c r="J368" s="392"/>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3">
      <c r="G369" s="143"/>
      <c r="H369" s="409"/>
      <c r="J369" s="392"/>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35">
      <c r="G370" s="143"/>
      <c r="H370" s="409"/>
      <c r="J370" s="392"/>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3">
      <c r="G371" s="143"/>
      <c r="H371" s="409"/>
      <c r="J371" s="392"/>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3">
      <c r="G372" s="143"/>
      <c r="H372" s="409"/>
      <c r="J372" s="392"/>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35">
      <c r="G373" s="143"/>
      <c r="H373" s="409"/>
      <c r="J373" s="392"/>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3">
      <c r="G374" s="143"/>
      <c r="H374" s="409"/>
      <c r="J374" s="392"/>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3">
      <c r="G375" s="143"/>
      <c r="H375" s="409"/>
      <c r="J375" s="392"/>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35">
      <c r="G376" s="143"/>
      <c r="H376" s="410"/>
      <c r="J376" s="411"/>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5">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5">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3">
      <c r="G379" s="143"/>
      <c r="H379" s="412" t="s">
        <v>975</v>
      </c>
      <c r="J379" s="346"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3">
      <c r="G380" s="143"/>
      <c r="H380" s="412"/>
      <c r="J380" s="347"/>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3">
      <c r="G381" s="143"/>
      <c r="H381" s="412"/>
      <c r="J381" s="347"/>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3">
      <c r="G382" s="143"/>
      <c r="H382" s="412"/>
      <c r="J382" s="347"/>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3">
      <c r="G383" s="143"/>
      <c r="H383" s="412"/>
      <c r="J383" s="347"/>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3">
      <c r="G384" s="143"/>
      <c r="H384" s="412"/>
      <c r="J384" s="347"/>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3">
      <c r="G385" s="143"/>
      <c r="H385" s="412"/>
      <c r="J385" s="347"/>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3">
      <c r="G386" s="143"/>
      <c r="H386" s="412"/>
      <c r="J386" s="347"/>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3">
      <c r="G387" s="143"/>
      <c r="H387" s="412"/>
      <c r="J387" s="347"/>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3">
      <c r="G388" s="143"/>
      <c r="H388" s="412"/>
      <c r="J388" s="347"/>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3">
      <c r="G389" s="143"/>
      <c r="H389" s="412"/>
      <c r="J389" s="347"/>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3">
      <c r="G390" s="143"/>
      <c r="H390" s="412"/>
      <c r="J390" s="347"/>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3">
      <c r="G391" s="143"/>
      <c r="H391" s="412"/>
      <c r="J391" s="347"/>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3">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5">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5">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5">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5">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5">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5">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3">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5">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5">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5">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5">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5">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5">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5">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5">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5">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5">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5">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5">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5">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5">
      <c r="G413" s="313"/>
      <c r="J413" s="314"/>
      <c r="K413" s="314"/>
      <c r="L413" s="314"/>
      <c r="M413" s="314"/>
      <c r="N413" s="314"/>
    </row>
    <row r="414" spans="6:42" ht="15.75" customHeight="1" thickBot="1" x14ac:dyDescent="0.3">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35">
      <c r="F415" s="255"/>
      <c r="H415" s="238"/>
      <c r="J415" s="346"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35">
      <c r="F416" s="255"/>
      <c r="H416" s="238"/>
      <c r="J416" s="347"/>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3">
      <c r="F417" s="255"/>
      <c r="H417" s="238"/>
      <c r="J417" s="347"/>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3">
      <c r="F418" s="255"/>
      <c r="H418" s="238"/>
      <c r="J418" s="130"/>
    </row>
    <row r="419" spans="6:42" ht="14.25" customHeight="1" thickTop="1" thickBot="1" x14ac:dyDescent="0.3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3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3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3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3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3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3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3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3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3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3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3">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3">
      <c r="C433" s="141" t="s">
        <v>878</v>
      </c>
      <c r="G433" s="413" t="s">
        <v>994</v>
      </c>
      <c r="H433" s="351"/>
      <c r="I433" s="351"/>
      <c r="J433" s="351"/>
      <c r="K433" s="351"/>
      <c r="L433" s="351"/>
      <c r="M433" s="351"/>
      <c r="N433" s="351"/>
      <c r="O433" s="351"/>
      <c r="P433" s="351"/>
      <c r="Q433" s="351"/>
      <c r="R433" s="351"/>
      <c r="S433" s="351"/>
      <c r="T433" s="351"/>
      <c r="U433" s="351"/>
      <c r="V433" s="142"/>
      <c r="W433" s="142"/>
      <c r="X433" s="142"/>
      <c r="Y433" s="142"/>
      <c r="Z433" s="142"/>
      <c r="AA433" s="142"/>
      <c r="AB433" s="142"/>
    </row>
    <row r="434" spans="3:29" ht="14.25" customHeight="1" thickBot="1" x14ac:dyDescent="0.3">
      <c r="N434" s="315"/>
      <c r="O434" s="315"/>
      <c r="P434" s="315"/>
      <c r="Q434" s="315"/>
      <c r="R434" s="315"/>
      <c r="S434" s="315"/>
      <c r="T434" s="315"/>
      <c r="U434" s="315"/>
    </row>
    <row r="435" spans="3:29" ht="14.25" customHeight="1" x14ac:dyDescent="0.25">
      <c r="H435" s="414" t="s">
        <v>995</v>
      </c>
      <c r="I435" s="415"/>
      <c r="J435" s="415"/>
      <c r="K435" s="415"/>
      <c r="L435" s="415"/>
      <c r="M435" s="415"/>
      <c r="N435" s="416" t="s">
        <v>996</v>
      </c>
      <c r="O435" s="417"/>
      <c r="P435" s="417"/>
      <c r="Q435" s="417"/>
      <c r="R435" s="418"/>
      <c r="S435" s="316" t="s">
        <v>997</v>
      </c>
      <c r="T435" s="316" t="s">
        <v>998</v>
      </c>
      <c r="U435" s="317"/>
      <c r="V435" s="318"/>
      <c r="W435" s="318"/>
      <c r="X435" s="318"/>
      <c r="Y435" s="318"/>
      <c r="Z435" s="318"/>
      <c r="AA435" s="318"/>
      <c r="AB435" s="319"/>
    </row>
    <row r="436" spans="3:29" ht="14.25" customHeight="1" x14ac:dyDescent="0.35">
      <c r="H436" s="419" t="s">
        <v>1021</v>
      </c>
      <c r="I436" s="420"/>
      <c r="J436" s="420"/>
      <c r="K436" s="420"/>
      <c r="L436" s="420"/>
      <c r="M436" s="421"/>
      <c r="N436" s="422" t="s">
        <v>1034</v>
      </c>
      <c r="O436" s="423"/>
      <c r="P436" s="423"/>
      <c r="Q436" s="423"/>
      <c r="R436" s="423"/>
      <c r="S436" s="320"/>
      <c r="T436" s="320"/>
      <c r="U436" s="321"/>
      <c r="V436" s="321"/>
      <c r="W436" s="321"/>
      <c r="X436" s="321"/>
      <c r="Y436" s="321"/>
      <c r="Z436" s="321"/>
      <c r="AA436" s="321"/>
      <c r="AB436" s="322"/>
      <c r="AC436" s="135" t="s">
        <v>1035</v>
      </c>
    </row>
    <row r="437" spans="3:29" ht="14.25" customHeight="1" x14ac:dyDescent="0.25">
      <c r="H437" s="419" t="s">
        <v>964</v>
      </c>
      <c r="I437" s="420"/>
      <c r="J437" s="420"/>
      <c r="K437" s="420"/>
      <c r="L437" s="420"/>
      <c r="M437" s="421"/>
      <c r="N437" s="425" t="s">
        <v>1036</v>
      </c>
      <c r="O437" s="426"/>
      <c r="P437" s="426"/>
      <c r="Q437" s="426"/>
      <c r="R437" s="426"/>
      <c r="S437" s="323"/>
      <c r="T437" s="323"/>
      <c r="U437" s="324"/>
      <c r="V437" s="324"/>
      <c r="W437" s="324"/>
      <c r="X437" s="324"/>
      <c r="Y437" s="324"/>
      <c r="Z437" s="324"/>
      <c r="AA437" s="324"/>
      <c r="AB437" s="325"/>
    </row>
    <row r="438" spans="3:29" ht="30.4" customHeight="1" x14ac:dyDescent="0.35">
      <c r="H438" s="419" t="s">
        <v>968</v>
      </c>
      <c r="I438" s="420"/>
      <c r="J438" s="420"/>
      <c r="K438" s="420"/>
      <c r="L438" s="420"/>
      <c r="M438" s="421"/>
      <c r="N438" s="427" t="s">
        <v>1037</v>
      </c>
      <c r="O438" s="428"/>
      <c r="P438" s="428"/>
      <c r="Q438" s="428"/>
      <c r="R438" s="429"/>
      <c r="S438" s="326"/>
      <c r="T438" s="326"/>
      <c r="U438" s="327"/>
      <c r="V438" s="327"/>
      <c r="W438" s="327"/>
      <c r="X438" s="327"/>
      <c r="Y438" s="327"/>
      <c r="Z438" s="327"/>
      <c r="AA438" s="327"/>
      <c r="AB438" s="328"/>
      <c r="AC438" s="135" t="s">
        <v>1038</v>
      </c>
    </row>
    <row r="439" spans="3:29" ht="32.65" customHeight="1" x14ac:dyDescent="0.35">
      <c r="H439" s="419" t="s">
        <v>1003</v>
      </c>
      <c r="I439" s="420"/>
      <c r="J439" s="420"/>
      <c r="K439" s="420"/>
      <c r="L439" s="420"/>
      <c r="M439" s="421"/>
      <c r="N439" s="427" t="s">
        <v>1037</v>
      </c>
      <c r="O439" s="428"/>
      <c r="P439" s="428"/>
      <c r="Q439" s="428"/>
      <c r="R439" s="429"/>
      <c r="S439" s="329"/>
      <c r="T439" s="329"/>
      <c r="U439" s="330"/>
      <c r="V439" s="330"/>
      <c r="W439" s="330"/>
      <c r="X439" s="330"/>
      <c r="Y439" s="330"/>
      <c r="Z439" s="330"/>
      <c r="AA439" s="330"/>
      <c r="AB439" s="331"/>
      <c r="AC439" s="135" t="s">
        <v>1038</v>
      </c>
    </row>
    <row r="440" spans="3:29" ht="14.25" customHeight="1" x14ac:dyDescent="0.25">
      <c r="H440" s="419" t="s">
        <v>1004</v>
      </c>
      <c r="I440" s="420"/>
      <c r="J440" s="420"/>
      <c r="K440" s="420"/>
      <c r="L440" s="420"/>
      <c r="M440" s="421"/>
      <c r="N440" s="430" t="s">
        <v>1005</v>
      </c>
      <c r="O440" s="431"/>
      <c r="P440" s="431"/>
      <c r="Q440" s="431"/>
      <c r="R440" s="431"/>
      <c r="S440" s="332"/>
      <c r="T440" s="332"/>
      <c r="U440" s="333"/>
      <c r="V440" s="333"/>
      <c r="W440" s="333"/>
      <c r="X440" s="333"/>
      <c r="Y440" s="333"/>
      <c r="Z440" s="333"/>
      <c r="AA440" s="333"/>
      <c r="AB440" s="334"/>
    </row>
    <row r="441" spans="3:29" ht="14.25" customHeight="1" thickBot="1" x14ac:dyDescent="0.3">
      <c r="H441" s="432" t="s">
        <v>1006</v>
      </c>
      <c r="I441" s="433"/>
      <c r="J441" s="433"/>
      <c r="K441" s="433"/>
      <c r="L441" s="433"/>
      <c r="M441" s="434"/>
      <c r="N441" s="435" t="s">
        <v>1005</v>
      </c>
      <c r="O441" s="436"/>
      <c r="P441" s="436"/>
      <c r="Q441" s="436"/>
      <c r="R441" s="436"/>
      <c r="S441" s="335"/>
      <c r="T441" s="336"/>
      <c r="U441" s="336"/>
      <c r="V441" s="337"/>
      <c r="W441" s="337"/>
      <c r="X441" s="337"/>
      <c r="Y441" s="337"/>
      <c r="Z441" s="337"/>
      <c r="AA441" s="337"/>
      <c r="AB441" s="338"/>
    </row>
    <row r="442" spans="3:29" ht="14.25" customHeight="1" thickBot="1" x14ac:dyDescent="0.3">
      <c r="H442" s="437"/>
      <c r="I442" s="437"/>
      <c r="J442" s="437"/>
      <c r="K442" s="437"/>
      <c r="L442" s="437"/>
      <c r="M442" s="437"/>
      <c r="N442" s="339"/>
      <c r="O442" s="339"/>
      <c r="P442" s="339"/>
      <c r="Q442" s="339"/>
      <c r="R442" s="339"/>
      <c r="S442" s="339"/>
      <c r="T442" s="339"/>
      <c r="U442" s="340"/>
      <c r="V442" s="340"/>
      <c r="W442" s="340"/>
      <c r="X442" s="340"/>
      <c r="Y442" s="340"/>
      <c r="Z442" s="340"/>
      <c r="AA442" s="340"/>
      <c r="AB442" s="340"/>
    </row>
    <row r="443" spans="3:29" ht="14.25" customHeight="1" x14ac:dyDescent="0.25">
      <c r="H443" s="414" t="s">
        <v>1007</v>
      </c>
      <c r="I443" s="415"/>
      <c r="J443" s="415"/>
      <c r="K443" s="415"/>
      <c r="L443" s="415"/>
      <c r="M443" s="424"/>
      <c r="N443" s="416" t="s">
        <v>996</v>
      </c>
      <c r="O443" s="417"/>
      <c r="P443" s="417"/>
      <c r="Q443" s="417"/>
      <c r="R443" s="418"/>
      <c r="S443" s="316" t="s">
        <v>997</v>
      </c>
      <c r="T443" s="316" t="s">
        <v>998</v>
      </c>
      <c r="U443" s="341"/>
      <c r="V443" s="341"/>
      <c r="W443" s="341"/>
      <c r="X443" s="341"/>
      <c r="Y443" s="341"/>
      <c r="Z443" s="341"/>
      <c r="AA443" s="341"/>
      <c r="AB443" s="342"/>
    </row>
    <row r="444" spans="3:29" ht="14.25" customHeight="1" x14ac:dyDescent="0.25">
      <c r="H444" s="419" t="s">
        <v>964</v>
      </c>
      <c r="I444" s="420"/>
      <c r="J444" s="420"/>
      <c r="K444" s="420"/>
      <c r="L444" s="420"/>
      <c r="M444" s="421"/>
      <c r="N444" s="438" t="s">
        <v>1039</v>
      </c>
      <c r="O444" s="439"/>
      <c r="P444" s="439"/>
      <c r="Q444" s="439"/>
      <c r="R444" s="439"/>
      <c r="S444" s="332"/>
      <c r="T444" s="332"/>
      <c r="U444" s="333"/>
      <c r="V444" s="333"/>
      <c r="W444" s="333"/>
      <c r="X444" s="333"/>
      <c r="Y444" s="333"/>
      <c r="Z444" s="333"/>
      <c r="AA444" s="333"/>
      <c r="AB444" s="343"/>
    </row>
    <row r="445" spans="3:29" ht="14.25" customHeight="1" x14ac:dyDescent="0.25">
      <c r="H445" s="419" t="s">
        <v>968</v>
      </c>
      <c r="I445" s="420"/>
      <c r="J445" s="420"/>
      <c r="K445" s="420"/>
      <c r="L445" s="420"/>
      <c r="M445" s="421"/>
      <c r="N445" s="438" t="s">
        <v>1040</v>
      </c>
      <c r="O445" s="439"/>
      <c r="P445" s="439"/>
      <c r="Q445" s="439"/>
      <c r="R445" s="439"/>
      <c r="S445" s="332"/>
      <c r="T445" s="332"/>
      <c r="U445" s="333"/>
      <c r="V445" s="333"/>
      <c r="W445" s="333"/>
      <c r="X445" s="333"/>
      <c r="Y445" s="333"/>
      <c r="Z445" s="333"/>
      <c r="AA445" s="333"/>
      <c r="AB445" s="343"/>
    </row>
    <row r="446" spans="3:29" ht="30.4" customHeight="1" x14ac:dyDescent="0.35">
      <c r="H446" s="440" t="s">
        <v>1010</v>
      </c>
      <c r="I446" s="441"/>
      <c r="J446" s="441"/>
      <c r="K446" s="441"/>
      <c r="L446" s="441"/>
      <c r="M446" s="442"/>
      <c r="N446" s="427" t="s">
        <v>1037</v>
      </c>
      <c r="O446" s="428"/>
      <c r="P446" s="428"/>
      <c r="Q446" s="428"/>
      <c r="R446" s="429"/>
      <c r="S446" s="259"/>
      <c r="T446" s="266"/>
      <c r="U446" s="259"/>
      <c r="V446" s="259"/>
      <c r="W446" s="259"/>
      <c r="X446" s="259"/>
      <c r="Y446" s="259"/>
      <c r="Z446" s="259"/>
      <c r="AA446" s="259"/>
      <c r="AB446" s="260"/>
    </row>
    <row r="447" spans="3:29" ht="30.75" customHeight="1" x14ac:dyDescent="0.25">
      <c r="H447" s="419" t="s">
        <v>1003</v>
      </c>
      <c r="I447" s="420"/>
      <c r="J447" s="420"/>
      <c r="K447" s="420"/>
      <c r="L447" s="420"/>
      <c r="M447" s="421"/>
      <c r="N447" s="438" t="s">
        <v>1040</v>
      </c>
      <c r="O447" s="439"/>
      <c r="P447" s="439"/>
      <c r="Q447" s="439"/>
      <c r="R447" s="439"/>
      <c r="S447" s="332"/>
      <c r="T447" s="332"/>
      <c r="U447" s="333"/>
      <c r="V447" s="333"/>
      <c r="W447" s="333"/>
      <c r="X447" s="333"/>
      <c r="Y447" s="333"/>
      <c r="Z447" s="333"/>
      <c r="AA447" s="333"/>
      <c r="AB447" s="343"/>
    </row>
    <row r="448" spans="3:29" ht="13.5" customHeight="1" x14ac:dyDescent="0.25">
      <c r="H448" s="419" t="s">
        <v>1004</v>
      </c>
      <c r="I448" s="420"/>
      <c r="J448" s="420"/>
      <c r="K448" s="420"/>
      <c r="L448" s="420"/>
      <c r="M448" s="421"/>
      <c r="N448" s="430" t="s">
        <v>1005</v>
      </c>
      <c r="O448" s="431"/>
      <c r="P448" s="431"/>
      <c r="Q448" s="431"/>
      <c r="R448" s="431"/>
      <c r="S448" s="332"/>
      <c r="T448" s="332"/>
      <c r="U448" s="333"/>
      <c r="V448" s="333"/>
      <c r="W448" s="333"/>
      <c r="X448" s="333"/>
      <c r="Y448" s="333"/>
      <c r="Z448" s="333"/>
      <c r="AA448" s="333"/>
      <c r="AB448" s="343"/>
    </row>
    <row r="449" spans="8:28" ht="14.25" customHeight="1" thickBot="1" x14ac:dyDescent="0.3">
      <c r="H449" s="432" t="s">
        <v>1012</v>
      </c>
      <c r="I449" s="433"/>
      <c r="J449" s="433"/>
      <c r="K449" s="433"/>
      <c r="L449" s="433"/>
      <c r="M449" s="434"/>
      <c r="N449" s="435" t="s">
        <v>1005</v>
      </c>
      <c r="O449" s="436"/>
      <c r="P449" s="436"/>
      <c r="Q449" s="436"/>
      <c r="R449" s="436"/>
      <c r="S449" s="336"/>
      <c r="T449" s="336"/>
      <c r="U449" s="336"/>
      <c r="V449" s="337"/>
      <c r="W449" s="337"/>
      <c r="X449" s="337"/>
      <c r="Y449" s="337"/>
      <c r="Z449" s="337"/>
      <c r="AA449" s="337"/>
      <c r="AB449" s="338"/>
    </row>
    <row r="453" spans="8:28" ht="14.25" customHeight="1" x14ac:dyDescent="0.25">
      <c r="S453" s="135" t="s">
        <v>902</v>
      </c>
    </row>
    <row r="455" spans="8:28" ht="14.25" customHeight="1" x14ac:dyDescent="0.25">
      <c r="N455" s="344"/>
    </row>
    <row r="457" spans="8:28" ht="14.25" customHeight="1" x14ac:dyDescent="0.25">
      <c r="M457" s="344"/>
    </row>
    <row r="702" spans="13:44" ht="14.25" customHeight="1" x14ac:dyDescent="0.25">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H447:M447"/>
    <mergeCell ref="N447:R447"/>
    <mergeCell ref="H448:M448"/>
    <mergeCell ref="N448:R448"/>
    <mergeCell ref="H449:M449"/>
    <mergeCell ref="N449:R449"/>
    <mergeCell ref="H444:M444"/>
    <mergeCell ref="N444:R444"/>
    <mergeCell ref="H445:M445"/>
    <mergeCell ref="N445:R445"/>
    <mergeCell ref="H446:M446"/>
    <mergeCell ref="N446:R44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J415:J417"/>
    <mergeCell ref="G433:U433"/>
    <mergeCell ref="H435:M435"/>
    <mergeCell ref="N435:R435"/>
    <mergeCell ref="H436:M436"/>
    <mergeCell ref="N436:R436"/>
    <mergeCell ref="H314:H343"/>
    <mergeCell ref="J314:J343"/>
    <mergeCell ref="H347:H376"/>
    <mergeCell ref="J347:J376"/>
    <mergeCell ref="H379:H391"/>
    <mergeCell ref="J379:J391"/>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A1:J1"/>
    <mergeCell ref="U4:U5"/>
    <mergeCell ref="G7:Y7"/>
    <mergeCell ref="H9:H24"/>
    <mergeCell ref="J9:L9"/>
    <mergeCell ref="M9:R9"/>
    <mergeCell ref="J11:R11"/>
    <mergeCell ref="J12:R12"/>
    <mergeCell ref="J13:R13"/>
    <mergeCell ref="J14:R14"/>
    <mergeCell ref="J15:R15"/>
    <mergeCell ref="J16:R18"/>
    <mergeCell ref="J19:R19"/>
    <mergeCell ref="M20:R24"/>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53125" defaultRowHeight="14.25" customHeight="1" x14ac:dyDescent="0.25"/>
  <cols>
    <col min="1" max="1" width="9.453125" style="135"/>
    <col min="2" max="7" width="1.453125" style="135" customWidth="1"/>
    <col min="8" max="8" width="5.453125" style="135" customWidth="1"/>
    <col min="9" max="9" width="7.453125" style="135" bestFit="1" customWidth="1"/>
    <col min="10" max="10" width="16.453125" style="135" customWidth="1"/>
    <col min="11" max="11" width="55" style="135" bestFit="1" customWidth="1"/>
    <col min="12" max="12" width="22.453125" style="135" customWidth="1"/>
    <col min="13" max="16" width="11.453125" style="135" customWidth="1"/>
    <col min="17" max="17" width="12.453125" style="135" customWidth="1"/>
    <col min="18" max="18" width="13.453125" style="135" customWidth="1"/>
    <col min="19" max="19" width="14" style="135" customWidth="1"/>
    <col min="20" max="24" width="11.453125" style="135" customWidth="1"/>
    <col min="25" max="25" width="9.453125" style="135" bestFit="1" customWidth="1"/>
    <col min="26" max="45" width="11.453125" style="135" customWidth="1"/>
    <col min="46" max="16384" width="9.453125" style="135"/>
  </cols>
  <sheetData>
    <row r="1" spans="1:110" ht="18" x14ac:dyDescent="0.4">
      <c r="A1" s="133" t="s">
        <v>851</v>
      </c>
      <c r="B1" s="133"/>
      <c r="C1" s="133"/>
      <c r="D1" s="133"/>
      <c r="E1" s="133"/>
      <c r="F1" s="133"/>
      <c r="G1" s="133"/>
      <c r="H1" s="133"/>
      <c r="I1" s="134"/>
      <c r="M1" s="136" t="s">
        <v>874</v>
      </c>
    </row>
    <row r="2" spans="1:110" ht="14.25" customHeight="1" x14ac:dyDescent="0.3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35">
      <c r="A3"/>
      <c r="B3"/>
      <c r="C3"/>
      <c r="D3"/>
      <c r="E3"/>
      <c r="U3" s="139" t="s">
        <v>876</v>
      </c>
    </row>
    <row r="4" spans="1:110" ht="14.25" customHeight="1" x14ac:dyDescent="0.3">
      <c r="J4" s="140"/>
      <c r="U4" s="349" t="s">
        <v>877</v>
      </c>
    </row>
    <row r="5" spans="1:110" ht="14.25" customHeight="1" x14ac:dyDescent="0.25">
      <c r="U5" s="350"/>
    </row>
    <row r="7" spans="1:110" ht="14.25" customHeight="1" x14ac:dyDescent="0.35">
      <c r="B7" s="141" t="s">
        <v>878</v>
      </c>
      <c r="G7" s="351" t="s">
        <v>879</v>
      </c>
      <c r="H7" s="443"/>
      <c r="I7" s="443"/>
      <c r="J7" s="443"/>
      <c r="K7" s="443"/>
      <c r="L7" s="443"/>
      <c r="M7" s="443"/>
      <c r="N7" s="443"/>
      <c r="O7" s="443"/>
      <c r="P7" s="443"/>
      <c r="Q7" s="443"/>
      <c r="R7" s="443"/>
      <c r="S7" s="443"/>
      <c r="T7" s="443"/>
      <c r="U7" s="443"/>
      <c r="V7" s="443"/>
      <c r="W7" s="443"/>
      <c r="X7" s="444"/>
    </row>
    <row r="8" spans="1:110" ht="14.25" customHeight="1" thickBot="1" x14ac:dyDescent="0.3">
      <c r="G8" s="143"/>
      <c r="X8" s="144"/>
    </row>
    <row r="9" spans="1:110" ht="14.25" customHeight="1" thickBot="1" x14ac:dyDescent="0.3">
      <c r="G9" s="143"/>
      <c r="H9" s="445" t="s">
        <v>880</v>
      </c>
      <c r="J9" s="355" t="s">
        <v>881</v>
      </c>
      <c r="K9" s="356"/>
      <c r="L9" s="357"/>
      <c r="M9" s="447">
        <v>2021</v>
      </c>
      <c r="N9" s="448"/>
      <c r="O9" s="448"/>
      <c r="P9" s="449"/>
      <c r="R9" s="145"/>
      <c r="X9" s="144"/>
    </row>
    <row r="10" spans="1:110" ht="14.25" customHeight="1" thickBot="1" x14ac:dyDescent="0.4">
      <c r="G10" s="143"/>
      <c r="H10" s="446"/>
      <c r="J10" s="146" t="s">
        <v>882</v>
      </c>
      <c r="P10" s="144"/>
      <c r="R10"/>
      <c r="S10"/>
      <c r="T10"/>
      <c r="U10"/>
      <c r="V10"/>
      <c r="X10" s="144"/>
      <c r="AB10"/>
      <c r="AC10"/>
    </row>
    <row r="11" spans="1:110" ht="14.25" customHeight="1" x14ac:dyDescent="0.35">
      <c r="G11" s="143"/>
      <c r="H11" s="446"/>
      <c r="J11" s="147" t="s">
        <v>883</v>
      </c>
      <c r="K11" s="148"/>
      <c r="L11" s="148"/>
      <c r="M11" s="148"/>
      <c r="N11" s="148"/>
      <c r="P11"/>
      <c r="Q11"/>
      <c r="R11"/>
      <c r="S11"/>
      <c r="T11"/>
      <c r="X11" s="144"/>
    </row>
    <row r="12" spans="1:110" ht="13.5" customHeight="1" thickBot="1" x14ac:dyDescent="0.3">
      <c r="G12" s="143"/>
      <c r="H12" s="446"/>
      <c r="X12" s="144"/>
    </row>
    <row r="13" spans="1:110" ht="45.75" customHeight="1" thickBot="1" x14ac:dyDescent="0.3">
      <c r="G13" s="143"/>
      <c r="H13" s="446"/>
      <c r="J13" s="392" t="s">
        <v>884</v>
      </c>
      <c r="K13" s="150" t="s">
        <v>885</v>
      </c>
      <c r="L13" s="150" t="s">
        <v>886</v>
      </c>
      <c r="M13" s="150" t="s">
        <v>887</v>
      </c>
      <c r="N13" s="150" t="s">
        <v>888</v>
      </c>
      <c r="O13" s="150" t="s">
        <v>889</v>
      </c>
      <c r="P13" s="150" t="s">
        <v>890</v>
      </c>
      <c r="Q13" s="150" t="s">
        <v>891</v>
      </c>
      <c r="R13" s="150" t="s">
        <v>892</v>
      </c>
      <c r="X13" s="144"/>
    </row>
    <row r="14" spans="1:110" ht="14.25" customHeight="1" x14ac:dyDescent="0.25">
      <c r="G14" s="143"/>
      <c r="H14" s="446"/>
      <c r="J14" s="392"/>
      <c r="K14" s="151" t="s">
        <v>893</v>
      </c>
      <c r="L14" s="151" t="s">
        <v>894</v>
      </c>
      <c r="M14" s="151" t="s">
        <v>895</v>
      </c>
      <c r="N14" s="151" t="s">
        <v>896</v>
      </c>
      <c r="O14" s="151" t="s">
        <v>897</v>
      </c>
      <c r="P14" s="151" t="s">
        <v>895</v>
      </c>
      <c r="Q14" s="151" t="s">
        <v>898</v>
      </c>
      <c r="R14" s="152">
        <v>9.5</v>
      </c>
      <c r="S14" s="153"/>
      <c r="X14" s="144"/>
    </row>
    <row r="15" spans="1:110" ht="14.25" customHeight="1" x14ac:dyDescent="0.25">
      <c r="G15" s="143"/>
      <c r="H15" s="446"/>
      <c r="J15" s="392"/>
      <c r="K15" s="154" t="s">
        <v>899</v>
      </c>
      <c r="L15" s="154" t="s">
        <v>894</v>
      </c>
      <c r="M15" s="154" t="s">
        <v>900</v>
      </c>
      <c r="N15" s="154" t="s">
        <v>896</v>
      </c>
      <c r="O15" s="154" t="s">
        <v>897</v>
      </c>
      <c r="P15" s="154" t="s">
        <v>900</v>
      </c>
      <c r="Q15" s="154" t="s">
        <v>901</v>
      </c>
      <c r="R15" s="155">
        <v>8.9</v>
      </c>
      <c r="X15" s="144"/>
      <c r="AA15" s="135" t="s">
        <v>902</v>
      </c>
    </row>
    <row r="16" spans="1:110" ht="14.25" customHeight="1" x14ac:dyDescent="0.25">
      <c r="G16" s="143"/>
      <c r="H16" s="446"/>
      <c r="J16" s="392"/>
      <c r="K16" s="156" t="s">
        <v>903</v>
      </c>
      <c r="L16" s="156" t="s">
        <v>894</v>
      </c>
      <c r="M16" s="156" t="s">
        <v>904</v>
      </c>
      <c r="N16" s="156" t="s">
        <v>896</v>
      </c>
      <c r="O16" s="156" t="s">
        <v>897</v>
      </c>
      <c r="P16" s="156" t="s">
        <v>904</v>
      </c>
      <c r="Q16" s="156" t="s">
        <v>905</v>
      </c>
      <c r="R16" s="157">
        <v>8.6999999999999993</v>
      </c>
      <c r="X16" s="144"/>
    </row>
    <row r="17" spans="7:29" ht="14.25" customHeight="1" x14ac:dyDescent="0.25">
      <c r="G17" s="143"/>
      <c r="H17" s="446"/>
      <c r="J17" s="392"/>
      <c r="K17" s="154" t="s">
        <v>906</v>
      </c>
      <c r="L17" s="154" t="s">
        <v>894</v>
      </c>
      <c r="M17" s="154" t="s">
        <v>907</v>
      </c>
      <c r="N17" s="154" t="s">
        <v>896</v>
      </c>
      <c r="O17" s="154" t="s">
        <v>897</v>
      </c>
      <c r="P17" s="154" t="s">
        <v>907</v>
      </c>
      <c r="Q17" s="154" t="s">
        <v>908</v>
      </c>
      <c r="R17" s="155">
        <v>8.5</v>
      </c>
      <c r="X17" s="144"/>
    </row>
    <row r="18" spans="7:29" ht="14.25" customHeight="1" x14ac:dyDescent="0.25">
      <c r="G18" s="143"/>
      <c r="H18" s="446"/>
      <c r="J18" s="392"/>
      <c r="K18" s="156" t="s">
        <v>909</v>
      </c>
      <c r="L18" s="156" t="s">
        <v>894</v>
      </c>
      <c r="M18" s="156" t="s">
        <v>910</v>
      </c>
      <c r="N18" s="156" t="s">
        <v>896</v>
      </c>
      <c r="O18" s="156" t="s">
        <v>897</v>
      </c>
      <c r="P18" s="156" t="s">
        <v>910</v>
      </c>
      <c r="Q18" s="156" t="s">
        <v>911</v>
      </c>
      <c r="R18" s="157">
        <v>8.1999999999999993</v>
      </c>
    </row>
    <row r="19" spans="7:29" ht="14.25" customHeight="1" x14ac:dyDescent="0.25">
      <c r="G19" s="143"/>
      <c r="H19" s="446"/>
      <c r="J19" s="392"/>
      <c r="K19" s="158" t="s">
        <v>912</v>
      </c>
      <c r="L19" s="158" t="s">
        <v>894</v>
      </c>
      <c r="M19" s="158" t="s">
        <v>913</v>
      </c>
      <c r="N19" s="158" t="s">
        <v>896</v>
      </c>
      <c r="O19" s="158" t="s">
        <v>897</v>
      </c>
      <c r="P19" s="158" t="s">
        <v>913</v>
      </c>
      <c r="Q19" s="158" t="s">
        <v>914</v>
      </c>
      <c r="R19" s="159">
        <v>7.8</v>
      </c>
    </row>
    <row r="20" spans="7:29" ht="14.25" customHeight="1" x14ac:dyDescent="0.25">
      <c r="G20" s="143"/>
      <c r="H20" s="446"/>
      <c r="J20" s="392"/>
      <c r="K20" s="156" t="s">
        <v>915</v>
      </c>
      <c r="L20" s="156" t="s">
        <v>894</v>
      </c>
      <c r="M20" s="156" t="s">
        <v>916</v>
      </c>
      <c r="N20" s="156" t="s">
        <v>896</v>
      </c>
      <c r="O20" s="156" t="s">
        <v>897</v>
      </c>
      <c r="P20" s="156" t="s">
        <v>916</v>
      </c>
      <c r="Q20" s="156" t="s">
        <v>917</v>
      </c>
      <c r="R20" s="157">
        <v>7.4</v>
      </c>
    </row>
    <row r="21" spans="7:29" ht="14.25" customHeight="1" x14ac:dyDescent="0.25">
      <c r="G21" s="143"/>
      <c r="H21" s="446"/>
      <c r="J21" s="392"/>
      <c r="K21" s="154" t="s">
        <v>918</v>
      </c>
      <c r="L21" s="154" t="s">
        <v>919</v>
      </c>
      <c r="M21" s="154" t="s">
        <v>920</v>
      </c>
      <c r="N21" s="154" t="s">
        <v>896</v>
      </c>
      <c r="O21" s="154" t="s">
        <v>897</v>
      </c>
      <c r="P21" s="154" t="s">
        <v>920</v>
      </c>
      <c r="Q21" s="154" t="s">
        <v>921</v>
      </c>
      <c r="R21" s="155">
        <v>6.8</v>
      </c>
    </row>
    <row r="22" spans="7:29" ht="14.25" customHeight="1" x14ac:dyDescent="0.25">
      <c r="G22" s="143"/>
      <c r="H22" s="446"/>
      <c r="J22" s="392"/>
      <c r="K22" s="156" t="s">
        <v>922</v>
      </c>
      <c r="L22" s="156" t="s">
        <v>923</v>
      </c>
      <c r="M22" s="156" t="s">
        <v>924</v>
      </c>
      <c r="N22" s="156" t="s">
        <v>896</v>
      </c>
      <c r="O22" s="156" t="s">
        <v>897</v>
      </c>
      <c r="P22" s="156" t="s">
        <v>924</v>
      </c>
      <c r="Q22" s="156" t="s">
        <v>925</v>
      </c>
      <c r="R22" s="157">
        <v>6.2</v>
      </c>
    </row>
    <row r="23" spans="7:29" ht="14.25" customHeight="1" thickBot="1" x14ac:dyDescent="0.3">
      <c r="G23" s="143"/>
      <c r="H23" s="446"/>
      <c r="J23" s="392"/>
      <c r="K23" s="160" t="s">
        <v>926</v>
      </c>
      <c r="L23" s="160" t="s">
        <v>927</v>
      </c>
      <c r="M23" s="160" t="s">
        <v>928</v>
      </c>
      <c r="N23" s="160" t="s">
        <v>896</v>
      </c>
      <c r="O23" s="160" t="s">
        <v>897</v>
      </c>
      <c r="P23" s="160" t="s">
        <v>928</v>
      </c>
      <c r="Q23" s="160" t="s">
        <v>929</v>
      </c>
      <c r="R23" s="161">
        <v>5.2</v>
      </c>
    </row>
    <row r="24" spans="7:29" ht="14.25" customHeight="1" x14ac:dyDescent="0.25">
      <c r="G24" s="143"/>
      <c r="H24" s="446"/>
      <c r="J24" s="392"/>
    </row>
    <row r="25" spans="7:29" ht="14.25" customHeight="1" x14ac:dyDescent="0.25">
      <c r="G25" s="143"/>
      <c r="H25" s="446"/>
      <c r="J25" s="392"/>
      <c r="P25" s="135" t="s">
        <v>930</v>
      </c>
      <c r="U25" s="144"/>
    </row>
    <row r="26" spans="7:29" ht="14.25" customHeight="1" x14ac:dyDescent="0.25">
      <c r="G26" s="143"/>
    </row>
    <row r="27" spans="7:29" ht="14.25" customHeight="1" thickBot="1" x14ac:dyDescent="0.3">
      <c r="G27" s="143"/>
      <c r="Q27" s="135" t="s">
        <v>931</v>
      </c>
      <c r="S27" s="162" t="s">
        <v>1043</v>
      </c>
    </row>
    <row r="28" spans="7:29" ht="14.25" customHeight="1" x14ac:dyDescent="0.3">
      <c r="G28" s="143"/>
      <c r="H28" s="450" t="s">
        <v>932</v>
      </c>
      <c r="J28" s="397" t="s">
        <v>933</v>
      </c>
      <c r="K28" s="398"/>
      <c r="L28" s="398"/>
      <c r="M28" s="398"/>
      <c r="N28" s="398"/>
      <c r="O28" s="399"/>
      <c r="Q28" s="135" t="s">
        <v>934</v>
      </c>
      <c r="S28" s="163">
        <v>20</v>
      </c>
    </row>
    <row r="29" spans="7:29" ht="14.25" customHeight="1" thickBot="1" x14ac:dyDescent="0.3">
      <c r="G29" s="143"/>
      <c r="H29" s="451"/>
      <c r="J29" s="164" t="s">
        <v>935</v>
      </c>
      <c r="K29" s="165"/>
      <c r="L29" s="165"/>
      <c r="M29" s="165"/>
      <c r="N29" s="165"/>
      <c r="O29" s="166">
        <v>20</v>
      </c>
      <c r="Z29" s="167"/>
      <c r="AA29" s="167"/>
      <c r="AB29" s="167"/>
      <c r="AC29" s="167"/>
    </row>
    <row r="30" spans="7:29" ht="14.25" customHeight="1" x14ac:dyDescent="0.25">
      <c r="G30" s="143"/>
      <c r="H30" s="451"/>
      <c r="J30" s="168" t="s">
        <v>936</v>
      </c>
      <c r="K30" s="169"/>
      <c r="L30" s="169"/>
      <c r="M30" s="169"/>
      <c r="N30" s="169"/>
      <c r="O30" s="170">
        <v>5</v>
      </c>
    </row>
    <row r="31" spans="7:29" ht="14.25" customHeight="1" thickBot="1" x14ac:dyDescent="0.3">
      <c r="G31" s="143"/>
      <c r="H31" s="451"/>
      <c r="J31" s="452" t="s">
        <v>937</v>
      </c>
      <c r="K31" s="453"/>
      <c r="L31" s="453"/>
      <c r="M31" s="453"/>
      <c r="N31" s="453"/>
      <c r="O31" s="171">
        <v>0.02</v>
      </c>
    </row>
    <row r="32" spans="7:29" ht="14.25" customHeight="1" x14ac:dyDescent="0.3">
      <c r="G32" s="143"/>
      <c r="H32" s="451"/>
      <c r="J32" s="172" t="s">
        <v>938</v>
      </c>
      <c r="K32" s="173"/>
      <c r="L32" s="173"/>
      <c r="N32" s="174"/>
      <c r="O32" s="175">
        <v>3</v>
      </c>
    </row>
    <row r="33" spans="7:42" ht="26.25" customHeight="1" x14ac:dyDescent="0.25">
      <c r="G33" s="143"/>
      <c r="H33" s="451"/>
      <c r="J33" s="176" t="s">
        <v>172</v>
      </c>
      <c r="K33" s="177" t="s">
        <v>939</v>
      </c>
      <c r="L33" s="454" t="s">
        <v>940</v>
      </c>
      <c r="M33" s="456" t="s">
        <v>941</v>
      </c>
    </row>
    <row r="34" spans="7:42" ht="26.25" customHeight="1" x14ac:dyDescent="0.25">
      <c r="G34" s="143"/>
      <c r="H34" s="451"/>
      <c r="J34" s="178" t="s">
        <v>942</v>
      </c>
      <c r="K34" s="179" t="s">
        <v>943</v>
      </c>
      <c r="L34" s="455"/>
      <c r="M34" s="457"/>
    </row>
    <row r="35" spans="7:42" ht="14.25" customHeight="1" x14ac:dyDescent="0.25">
      <c r="G35" s="143"/>
      <c r="H35" s="451"/>
      <c r="J35" s="180">
        <v>0</v>
      </c>
      <c r="K35" s="181">
        <v>0.8</v>
      </c>
      <c r="L35" s="181">
        <v>0.8</v>
      </c>
      <c r="M35" s="182">
        <v>0.19999999999999996</v>
      </c>
    </row>
    <row r="36" spans="7:42" ht="14.25" customHeight="1" x14ac:dyDescent="0.25">
      <c r="G36" s="143"/>
      <c r="H36" s="451"/>
      <c r="J36" s="183">
        <v>1</v>
      </c>
      <c r="K36" s="184">
        <v>0.1</v>
      </c>
      <c r="L36" s="184">
        <v>0.8</v>
      </c>
      <c r="M36" s="182">
        <v>0.19999999999999996</v>
      </c>
      <c r="O36" s="185"/>
    </row>
    <row r="37" spans="7:42" ht="14.25" customHeight="1" thickBot="1" x14ac:dyDescent="0.3">
      <c r="G37" s="143"/>
      <c r="H37" s="451"/>
      <c r="J37" s="186">
        <v>2</v>
      </c>
      <c r="K37" s="187">
        <v>0.1</v>
      </c>
      <c r="L37" s="187">
        <v>0.8</v>
      </c>
      <c r="M37" s="188">
        <v>0.19999999999999996</v>
      </c>
    </row>
    <row r="38" spans="7:42" ht="14.25" customHeight="1" x14ac:dyDescent="0.25">
      <c r="G38" s="143"/>
      <c r="H38" s="451"/>
      <c r="M38" s="189"/>
    </row>
    <row r="39" spans="7:42" ht="14.25" customHeight="1" x14ac:dyDescent="0.35">
      <c r="H39" s="451"/>
      <c r="P39"/>
      <c r="Q39"/>
      <c r="R39"/>
      <c r="S39"/>
      <c r="T39"/>
    </row>
    <row r="40" spans="7:42" ht="14.25" customHeight="1" x14ac:dyDescent="0.25">
      <c r="H40" s="451"/>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3">
      <c r="H41" s="451"/>
      <c r="J41" s="392"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3">
      <c r="H42" s="451"/>
      <c r="J42" s="392"/>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3">
      <c r="H43" s="451"/>
      <c r="J43" s="392"/>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3">
      <c r="H44" s="451"/>
      <c r="J44" s="392"/>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35">
      <c r="H45" s="451"/>
      <c r="J45" s="392"/>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35">
      <c r="H46" s="451"/>
      <c r="J46" s="392"/>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35">
      <c r="H47" s="451"/>
      <c r="J47" s="392"/>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3">
      <c r="H48" s="451"/>
      <c r="J48" s="392"/>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3">
      <c r="H49" s="451"/>
      <c r="J49" s="392"/>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3">
      <c r="H50" s="451"/>
      <c r="J50" s="392"/>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3">
      <c r="H51" s="451"/>
      <c r="J51" s="392"/>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35">
      <c r="H52" s="451"/>
      <c r="J52" s="392"/>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35">
      <c r="H53" s="451"/>
      <c r="J53" s="392"/>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35">
      <c r="H54" s="451"/>
      <c r="J54" s="392"/>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3">
      <c r="H55" s="451"/>
      <c r="J55" s="392"/>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3">
      <c r="H56" s="451"/>
      <c r="J56" s="392"/>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3">
      <c r="H57" s="451"/>
      <c r="J57" s="392"/>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3">
      <c r="H58" s="451"/>
      <c r="J58" s="392"/>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3">
      <c r="H59" s="451"/>
      <c r="J59" s="392"/>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3">
      <c r="H60" s="451"/>
      <c r="J60" s="392"/>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3">
      <c r="H61" s="451"/>
      <c r="J61" s="392"/>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35">
      <c r="H62" s="451"/>
      <c r="J62" s="392"/>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35">
      <c r="H63" s="451"/>
      <c r="J63" s="392"/>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35">
      <c r="H64" s="451"/>
      <c r="J64" s="392"/>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3">
      <c r="H65" s="451"/>
      <c r="J65" s="392"/>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3">
      <c r="H66" s="451"/>
      <c r="J66" s="392"/>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3">
      <c r="H67" s="451"/>
      <c r="J67" s="392"/>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3">
      <c r="H68" s="451"/>
      <c r="J68" s="392"/>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3">
      <c r="H69" s="451"/>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3">
      <c r="H70" s="451"/>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5">
      <c r="X71" s="195"/>
    </row>
    <row r="72" spans="4:44" ht="14.25" customHeight="1" x14ac:dyDescent="0.25">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3">
      <c r="D73" s="141" t="s">
        <v>878</v>
      </c>
      <c r="G73" s="351" t="s">
        <v>961</v>
      </c>
      <c r="H73" s="351"/>
      <c r="I73" s="351"/>
      <c r="J73" s="351"/>
      <c r="K73" s="351"/>
      <c r="L73" s="351"/>
      <c r="M73" s="351"/>
      <c r="N73" s="351"/>
      <c r="O73" s="351"/>
      <c r="P73" s="351"/>
      <c r="Q73" s="351"/>
      <c r="R73" s="351"/>
      <c r="S73" s="351"/>
      <c r="T73" s="351"/>
      <c r="U73" s="351"/>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5">
      <c r="G74" s="143"/>
      <c r="M74" s="135" t="s">
        <v>962</v>
      </c>
    </row>
    <row r="75" spans="4:44" ht="14.25" customHeight="1" thickBot="1" x14ac:dyDescent="0.3">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3">
      <c r="G76" s="143"/>
      <c r="H76" s="393" t="s">
        <v>963</v>
      </c>
      <c r="J76" s="346"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3">
      <c r="G77" s="143"/>
      <c r="H77" s="393"/>
      <c r="J77" s="347"/>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35">
      <c r="G78" s="143"/>
      <c r="H78" s="393"/>
      <c r="J78" s="347"/>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3">
      <c r="G79" s="143"/>
      <c r="H79" s="393"/>
      <c r="J79" s="347"/>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3">
      <c r="G80" s="143"/>
      <c r="H80" s="393"/>
      <c r="J80" s="347"/>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35">
      <c r="G81" s="143"/>
      <c r="H81" s="393"/>
      <c r="J81" s="347"/>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3">
      <c r="G82" s="143"/>
      <c r="H82" s="393"/>
      <c r="J82" s="347"/>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3">
      <c r="G83" s="143"/>
      <c r="H83" s="393"/>
      <c r="J83" s="347"/>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35">
      <c r="G84" s="143"/>
      <c r="H84" s="393"/>
      <c r="J84" s="347"/>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3">
      <c r="G85" s="143"/>
      <c r="H85" s="393"/>
      <c r="J85" s="347"/>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3">
      <c r="G86" s="143"/>
      <c r="H86" s="393"/>
      <c r="J86" s="347"/>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35">
      <c r="G87" s="143"/>
      <c r="H87" s="393"/>
      <c r="J87" s="347"/>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3">
      <c r="G88" s="143"/>
      <c r="H88" s="393"/>
      <c r="J88" s="347"/>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3">
      <c r="G89" s="143"/>
      <c r="H89" s="393"/>
      <c r="J89" s="347"/>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35">
      <c r="G90" s="143"/>
      <c r="H90" s="393"/>
      <c r="J90" s="347"/>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3">
      <c r="G91" s="143"/>
      <c r="H91" s="393"/>
      <c r="J91" s="347"/>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3">
      <c r="G92" s="143"/>
      <c r="H92" s="393"/>
      <c r="J92" s="347"/>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35">
      <c r="G93" s="143"/>
      <c r="H93" s="393"/>
      <c r="J93" s="347"/>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3">
      <c r="G94" s="143"/>
      <c r="H94" s="393"/>
      <c r="J94" s="347"/>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3">
      <c r="G95" s="143"/>
      <c r="H95" s="393"/>
      <c r="J95" s="347"/>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35">
      <c r="G96" s="143"/>
      <c r="H96" s="393"/>
      <c r="J96" s="347"/>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3">
      <c r="G97" s="143"/>
      <c r="H97" s="393"/>
      <c r="J97" s="347"/>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3">
      <c r="G98" s="143"/>
      <c r="H98" s="393"/>
      <c r="J98" s="347"/>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35">
      <c r="G99" s="143"/>
      <c r="H99" s="393"/>
      <c r="J99" s="347"/>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3">
      <c r="G100" s="143"/>
      <c r="H100" s="393"/>
      <c r="J100" s="347"/>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35">
      <c r="G101" s="143"/>
      <c r="H101" s="393"/>
      <c r="J101" s="347"/>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35">
      <c r="G102" s="143"/>
      <c r="H102" s="393"/>
      <c r="J102" s="347"/>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3">
      <c r="G103" s="143"/>
      <c r="H103" s="393"/>
      <c r="J103" s="347"/>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3">
      <c r="G104" s="143"/>
      <c r="H104" s="393"/>
      <c r="J104" s="347"/>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3">
      <c r="G105" s="143"/>
      <c r="H105" s="393"/>
      <c r="J105" s="394"/>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3">
      <c r="G106" s="143"/>
      <c r="H106" s="393"/>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5">
      <c r="G107" s="143"/>
      <c r="H107" s="393"/>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3">
      <c r="G108" s="143"/>
      <c r="H108" s="393"/>
      <c r="J108" s="346"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3">
      <c r="G109" s="143"/>
      <c r="H109" s="393"/>
      <c r="J109" s="347"/>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35">
      <c r="G110" s="143"/>
      <c r="H110" s="393"/>
      <c r="J110" s="347"/>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3">
      <c r="G111" s="143"/>
      <c r="H111" s="393"/>
      <c r="J111" s="347"/>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3">
      <c r="G112" s="143"/>
      <c r="H112" s="393"/>
      <c r="J112" s="347"/>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35">
      <c r="G113" s="143"/>
      <c r="H113" s="393"/>
      <c r="J113" s="347"/>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3">
      <c r="G114" s="143"/>
      <c r="H114" s="393"/>
      <c r="J114" s="347"/>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3">
      <c r="G115" s="143"/>
      <c r="H115" s="393"/>
      <c r="J115" s="347"/>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35">
      <c r="G116" s="143"/>
      <c r="H116" s="393"/>
      <c r="J116" s="347"/>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3">
      <c r="G117" s="143"/>
      <c r="H117" s="393"/>
      <c r="J117" s="347"/>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3">
      <c r="G118" s="143"/>
      <c r="H118" s="393"/>
      <c r="J118" s="347"/>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35">
      <c r="G119" s="143"/>
      <c r="H119" s="393"/>
      <c r="J119" s="347"/>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3">
      <c r="G120" s="143"/>
      <c r="H120" s="393"/>
      <c r="J120" s="347"/>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3">
      <c r="G121" s="143"/>
      <c r="H121" s="393"/>
      <c r="J121" s="347"/>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35">
      <c r="G122" s="143"/>
      <c r="H122" s="393"/>
      <c r="J122" s="347"/>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3">
      <c r="G123" s="143"/>
      <c r="H123" s="393"/>
      <c r="J123" s="347"/>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35">
      <c r="A124" s="135"/>
      <c r="B124" s="135"/>
      <c r="C124" s="135"/>
      <c r="D124" s="135"/>
      <c r="E124" s="135"/>
      <c r="F124" s="135"/>
      <c r="G124" s="143"/>
      <c r="H124" s="393"/>
      <c r="I124" s="135"/>
      <c r="J124" s="347"/>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35">
      <c r="A125" s="135"/>
      <c r="B125" s="135"/>
      <c r="C125" s="135"/>
      <c r="D125" s="135"/>
      <c r="E125" s="135"/>
      <c r="F125" s="135"/>
      <c r="G125" s="143"/>
      <c r="H125" s="393"/>
      <c r="I125" s="135"/>
      <c r="J125" s="347"/>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3">
      <c r="G126" s="143"/>
      <c r="H126" s="393"/>
      <c r="J126" s="347"/>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3">
      <c r="G127" s="143"/>
      <c r="H127" s="393"/>
      <c r="J127" s="347"/>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35">
      <c r="G128" s="143"/>
      <c r="H128" s="393"/>
      <c r="J128" s="347"/>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3">
      <c r="G129" s="143"/>
      <c r="H129" s="393"/>
      <c r="J129" s="347"/>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3">
      <c r="G130" s="143"/>
      <c r="H130" s="393"/>
      <c r="J130" s="347"/>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35">
      <c r="G131" s="143"/>
      <c r="H131" s="393"/>
      <c r="J131" s="347"/>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3">
      <c r="G132" s="143"/>
      <c r="H132" s="393"/>
      <c r="J132" s="347"/>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3">
      <c r="G133" s="143"/>
      <c r="H133" s="393"/>
      <c r="J133" s="347"/>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35">
      <c r="G134" s="143"/>
      <c r="H134" s="393"/>
      <c r="J134" s="347"/>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3">
      <c r="G135" s="143"/>
      <c r="H135" s="393"/>
      <c r="J135" s="347"/>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3">
      <c r="G136" s="143"/>
      <c r="H136" s="393"/>
      <c r="J136" s="347"/>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3">
      <c r="G137" s="143"/>
      <c r="H137" s="393"/>
      <c r="J137" s="394"/>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3">
      <c r="G138" s="143"/>
      <c r="H138" s="393"/>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5">
      <c r="G139" s="143"/>
      <c r="H139" s="393"/>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3">
      <c r="G140" s="143"/>
      <c r="H140" s="393"/>
      <c r="J140" s="346"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3">
      <c r="G141" s="143"/>
      <c r="H141" s="393"/>
      <c r="J141" s="347"/>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35">
      <c r="G142" s="143"/>
      <c r="H142" s="393"/>
      <c r="J142" s="347"/>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3">
      <c r="G143" s="143"/>
      <c r="H143" s="393"/>
      <c r="J143" s="347"/>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3">
      <c r="G144" s="143"/>
      <c r="H144" s="393"/>
      <c r="J144" s="347"/>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35">
      <c r="G145" s="143"/>
      <c r="H145" s="393"/>
      <c r="J145" s="347"/>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3">
      <c r="G146" s="143"/>
      <c r="H146" s="393"/>
      <c r="J146" s="347"/>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3">
      <c r="G147" s="143"/>
      <c r="H147" s="393"/>
      <c r="J147" s="347"/>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35">
      <c r="G148" s="143"/>
      <c r="H148" s="393"/>
      <c r="J148" s="347"/>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3">
      <c r="G149" s="143"/>
      <c r="H149" s="393"/>
      <c r="J149" s="347"/>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3">
      <c r="G150" s="143"/>
      <c r="H150" s="393"/>
      <c r="J150" s="347"/>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35">
      <c r="G151" s="143"/>
      <c r="H151" s="393"/>
      <c r="J151" s="347"/>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3">
      <c r="G152" s="143"/>
      <c r="H152" s="393"/>
      <c r="J152" s="347"/>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3">
      <c r="G153" s="143"/>
      <c r="H153" s="393"/>
      <c r="J153" s="347"/>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35">
      <c r="G154" s="143"/>
      <c r="H154" s="393"/>
      <c r="J154" s="347"/>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3">
      <c r="G155" s="143"/>
      <c r="H155" s="393"/>
      <c r="J155" s="347"/>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3">
      <c r="G156" s="143"/>
      <c r="H156" s="393"/>
      <c r="J156" s="347"/>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35">
      <c r="G157" s="143"/>
      <c r="H157" s="393"/>
      <c r="J157" s="347"/>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3">
      <c r="G158" s="143"/>
      <c r="H158" s="393"/>
      <c r="J158" s="347"/>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3">
      <c r="G159" s="143"/>
      <c r="H159" s="393"/>
      <c r="J159" s="347"/>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35">
      <c r="G160" s="143"/>
      <c r="H160" s="393"/>
      <c r="J160" s="347"/>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3">
      <c r="G161" s="143"/>
      <c r="H161" s="393"/>
      <c r="J161" s="347"/>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3">
      <c r="G162" s="143"/>
      <c r="H162" s="393"/>
      <c r="J162" s="347"/>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35">
      <c r="G163" s="143"/>
      <c r="H163" s="393"/>
      <c r="J163" s="347"/>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3">
      <c r="G164" s="143"/>
      <c r="H164" s="393"/>
      <c r="J164" s="347"/>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3">
      <c r="G165" s="143"/>
      <c r="H165" s="393"/>
      <c r="J165" s="347"/>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35">
      <c r="G166" s="143"/>
      <c r="H166" s="393"/>
      <c r="J166" s="347"/>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3">
      <c r="G167" s="143"/>
      <c r="H167" s="393"/>
      <c r="J167" s="347"/>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3">
      <c r="G168" s="143"/>
      <c r="H168" s="393"/>
      <c r="J168" s="347"/>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3">
      <c r="G169" s="143"/>
      <c r="H169" s="393"/>
      <c r="J169" s="394"/>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3">
      <c r="G170" s="143"/>
      <c r="H170" s="393"/>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5">
      <c r="G171" s="143"/>
      <c r="H171" s="393"/>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3">
      <c r="G172" s="143"/>
      <c r="H172" s="393"/>
      <c r="J172" s="346"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3">
      <c r="G173" s="143"/>
      <c r="H173" s="393"/>
      <c r="J173" s="347"/>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35">
      <c r="G174" s="143"/>
      <c r="H174" s="393"/>
      <c r="J174" s="347"/>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3">
      <c r="G175" s="143"/>
      <c r="H175" s="393"/>
      <c r="J175" s="347"/>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3">
      <c r="G176" s="143"/>
      <c r="H176" s="393"/>
      <c r="J176" s="347"/>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35">
      <c r="G177" s="143"/>
      <c r="H177" s="393"/>
      <c r="J177" s="347"/>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3">
      <c r="G178" s="143"/>
      <c r="H178" s="393"/>
      <c r="J178" s="347"/>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3">
      <c r="G179" s="143"/>
      <c r="H179" s="393"/>
      <c r="J179" s="347"/>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35">
      <c r="G180" s="143"/>
      <c r="H180" s="393"/>
      <c r="J180" s="347"/>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3">
      <c r="G181" s="143"/>
      <c r="H181" s="393"/>
      <c r="J181" s="347"/>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3">
      <c r="G182" s="143"/>
      <c r="H182" s="393"/>
      <c r="J182" s="347"/>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35">
      <c r="G183" s="143"/>
      <c r="H183" s="393"/>
      <c r="J183" s="347"/>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3">
      <c r="G184" s="143"/>
      <c r="H184" s="393"/>
      <c r="J184" s="347"/>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3">
      <c r="G185" s="143"/>
      <c r="H185" s="393"/>
      <c r="J185" s="347"/>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35">
      <c r="G186" s="143"/>
      <c r="H186" s="393"/>
      <c r="J186" s="347"/>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3">
      <c r="G187" s="143"/>
      <c r="H187" s="393"/>
      <c r="J187" s="347"/>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3">
      <c r="G188" s="143"/>
      <c r="H188" s="393"/>
      <c r="J188" s="347"/>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35">
      <c r="G189" s="143"/>
      <c r="H189" s="393"/>
      <c r="J189" s="347"/>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3">
      <c r="G190" s="143"/>
      <c r="H190" s="393"/>
      <c r="J190" s="347"/>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3">
      <c r="G191" s="143"/>
      <c r="H191" s="393"/>
      <c r="J191" s="347"/>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35">
      <c r="G192" s="143"/>
      <c r="H192" s="393"/>
      <c r="J192" s="347"/>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3">
      <c r="G193" s="143"/>
      <c r="H193" s="393"/>
      <c r="J193" s="347"/>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3">
      <c r="G194" s="143"/>
      <c r="H194" s="393"/>
      <c r="J194" s="347"/>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35">
      <c r="G195" s="143"/>
      <c r="H195" s="393"/>
      <c r="J195" s="347"/>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3">
      <c r="G196" s="143"/>
      <c r="H196" s="393"/>
      <c r="J196" s="347"/>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3">
      <c r="G197" s="143"/>
      <c r="H197" s="393"/>
      <c r="J197" s="347"/>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35">
      <c r="G198" s="143"/>
      <c r="H198" s="393"/>
      <c r="J198" s="347"/>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3">
      <c r="G199" s="143"/>
      <c r="H199" s="393"/>
      <c r="J199" s="347"/>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3">
      <c r="G200" s="143"/>
      <c r="H200" s="393"/>
      <c r="J200" s="347"/>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3">
      <c r="G201" s="143"/>
      <c r="H201" s="393"/>
      <c r="J201" s="394"/>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3">
      <c r="G202" s="143"/>
      <c r="H202" s="393"/>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3">
      <c r="G203" s="143"/>
      <c r="H203" s="393"/>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3">
      <c r="G204" s="143"/>
      <c r="H204" s="393"/>
      <c r="J204" s="346"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3">
      <c r="G205" s="143"/>
      <c r="H205" s="393"/>
      <c r="J205" s="347"/>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35">
      <c r="G206" s="143"/>
      <c r="H206" s="393"/>
      <c r="J206" s="347"/>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3">
      <c r="G207" s="143"/>
      <c r="H207" s="393"/>
      <c r="J207" s="347"/>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3">
      <c r="G208" s="143"/>
      <c r="H208" s="393"/>
      <c r="J208" s="347"/>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35">
      <c r="G209" s="143"/>
      <c r="H209" s="393"/>
      <c r="J209" s="347"/>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3">
      <c r="G210" s="143"/>
      <c r="H210" s="393"/>
      <c r="J210" s="347"/>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3">
      <c r="G211" s="143"/>
      <c r="H211" s="393"/>
      <c r="J211" s="347"/>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35">
      <c r="G212" s="143"/>
      <c r="H212" s="393"/>
      <c r="J212" s="347"/>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3">
      <c r="G213" s="143"/>
      <c r="H213" s="393"/>
      <c r="J213" s="347"/>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3">
      <c r="G214" s="143"/>
      <c r="H214" s="393"/>
      <c r="J214" s="347"/>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35">
      <c r="G215" s="143"/>
      <c r="H215" s="393"/>
      <c r="J215" s="347"/>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3">
      <c r="G216" s="143"/>
      <c r="H216" s="393"/>
      <c r="J216" s="347"/>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3">
      <c r="G217" s="143"/>
      <c r="H217" s="393"/>
      <c r="J217" s="347"/>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35">
      <c r="G218" s="143"/>
      <c r="H218" s="393"/>
      <c r="J218" s="347"/>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3">
      <c r="G219" s="143"/>
      <c r="H219" s="393"/>
      <c r="J219" s="347"/>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3">
      <c r="G220" s="143"/>
      <c r="H220" s="393"/>
      <c r="J220" s="347"/>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35">
      <c r="G221" s="143"/>
      <c r="H221" s="393"/>
      <c r="J221" s="347"/>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3">
      <c r="G222" s="143"/>
      <c r="H222" s="393"/>
      <c r="J222" s="347"/>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3">
      <c r="G223" s="143"/>
      <c r="H223" s="393"/>
      <c r="J223" s="347"/>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35">
      <c r="G224" s="143"/>
      <c r="H224" s="393"/>
      <c r="J224" s="347"/>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3">
      <c r="G225" s="143"/>
      <c r="H225" s="393"/>
      <c r="J225" s="347"/>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3">
      <c r="G226" s="143"/>
      <c r="H226" s="393"/>
      <c r="J226" s="347"/>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35">
      <c r="G227" s="143"/>
      <c r="H227" s="393"/>
      <c r="J227" s="347"/>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3">
      <c r="G228" s="143"/>
      <c r="H228" s="393"/>
      <c r="J228" s="347"/>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3">
      <c r="G229" s="143"/>
      <c r="H229" s="393"/>
      <c r="J229" s="347"/>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35">
      <c r="G230" s="143"/>
      <c r="H230" s="393"/>
      <c r="J230" s="347"/>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3">
      <c r="G231" s="143"/>
      <c r="H231" s="393"/>
      <c r="J231" s="347"/>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3">
      <c r="G232" s="143"/>
      <c r="H232" s="393"/>
      <c r="J232" s="347"/>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35">
      <c r="G233" s="143"/>
      <c r="H233" s="393"/>
      <c r="J233" s="394"/>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3">
      <c r="G234" s="143"/>
      <c r="H234" s="393"/>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3">
      <c r="G235" s="143"/>
      <c r="H235" s="393"/>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3">
      <c r="G236" s="143"/>
      <c r="H236" s="393"/>
      <c r="J236" s="346"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3">
      <c r="G237" s="143"/>
      <c r="H237" s="393"/>
      <c r="J237" s="347"/>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35">
      <c r="G238" s="143"/>
      <c r="H238" s="393"/>
      <c r="J238" s="347"/>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3">
      <c r="G239" s="143"/>
      <c r="H239" s="393"/>
      <c r="J239" s="347"/>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3">
      <c r="G240" s="143"/>
      <c r="H240" s="393"/>
      <c r="J240" s="347"/>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35">
      <c r="G241" s="143"/>
      <c r="H241" s="393"/>
      <c r="J241" s="347"/>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3">
      <c r="G242" s="143"/>
      <c r="H242" s="393"/>
      <c r="J242" s="347"/>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3">
      <c r="G243" s="143"/>
      <c r="H243" s="393"/>
      <c r="J243" s="347"/>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35">
      <c r="G244" s="143"/>
      <c r="H244" s="393"/>
      <c r="J244" s="347"/>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3">
      <c r="G245" s="143"/>
      <c r="H245" s="393"/>
      <c r="J245" s="347"/>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3">
      <c r="G246" s="143"/>
      <c r="H246" s="393"/>
      <c r="J246" s="347"/>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35">
      <c r="G247" s="143"/>
      <c r="H247" s="393"/>
      <c r="J247" s="347"/>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3">
      <c r="G248" s="143"/>
      <c r="H248" s="393"/>
      <c r="J248" s="347"/>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3">
      <c r="G249" s="143"/>
      <c r="H249" s="393"/>
      <c r="J249" s="347"/>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35">
      <c r="G250" s="143"/>
      <c r="H250" s="393"/>
      <c r="J250" s="347"/>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3">
      <c r="G251" s="143"/>
      <c r="H251" s="393"/>
      <c r="J251" s="347"/>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3">
      <c r="G252" s="143"/>
      <c r="H252" s="393"/>
      <c r="J252" s="347"/>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35">
      <c r="G253" s="143"/>
      <c r="H253" s="393"/>
      <c r="J253" s="347"/>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3">
      <c r="G254" s="143"/>
      <c r="H254" s="393"/>
      <c r="J254" s="347"/>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3">
      <c r="G255" s="143"/>
      <c r="H255" s="393"/>
      <c r="J255" s="347"/>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35">
      <c r="G256" s="143"/>
      <c r="H256" s="393"/>
      <c r="J256" s="347"/>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3">
      <c r="G257" s="143"/>
      <c r="H257" s="393"/>
      <c r="J257" s="347"/>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3">
      <c r="G258" s="143"/>
      <c r="H258" s="393"/>
      <c r="J258" s="347"/>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35">
      <c r="G259" s="143"/>
      <c r="H259" s="393"/>
      <c r="J259" s="347"/>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3">
      <c r="G260" s="143"/>
      <c r="H260" s="393"/>
      <c r="J260" s="347"/>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3">
      <c r="G261" s="143"/>
      <c r="H261" s="393"/>
      <c r="J261" s="347"/>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35">
      <c r="G262" s="143"/>
      <c r="H262" s="393"/>
      <c r="J262" s="347"/>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3">
      <c r="G263" s="143"/>
      <c r="H263" s="393"/>
      <c r="J263" s="347"/>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3">
      <c r="G264" s="143"/>
      <c r="H264" s="393"/>
      <c r="J264" s="347"/>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35">
      <c r="G265" s="143"/>
      <c r="H265" s="393"/>
      <c r="J265" s="394"/>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3">
      <c r="G266" s="143"/>
      <c r="H266" s="393"/>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5">
      <c r="G267" s="143"/>
      <c r="H267" s="393"/>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3">
      <c r="G268" s="143"/>
      <c r="H268" s="393"/>
      <c r="J268" s="346"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3">
      <c r="G269" s="143"/>
      <c r="H269" s="393"/>
      <c r="J269" s="347"/>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35">
      <c r="G270" s="143"/>
      <c r="H270" s="393"/>
      <c r="J270" s="347"/>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3">
      <c r="G271" s="143"/>
      <c r="H271" s="393"/>
      <c r="J271" s="347"/>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3">
      <c r="G272" s="143"/>
      <c r="H272" s="393"/>
      <c r="J272" s="347"/>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35">
      <c r="G273" s="143"/>
      <c r="H273" s="393"/>
      <c r="J273" s="347"/>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3">
      <c r="G274" s="143"/>
      <c r="H274" s="393"/>
      <c r="J274" s="347"/>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3">
      <c r="G275" s="143"/>
      <c r="H275" s="393"/>
      <c r="J275" s="347"/>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35">
      <c r="G276" s="143"/>
      <c r="H276" s="393"/>
      <c r="J276" s="347"/>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3">
      <c r="G277" s="143"/>
      <c r="H277" s="393"/>
      <c r="J277" s="347"/>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3">
      <c r="G278" s="143"/>
      <c r="H278" s="393"/>
      <c r="J278" s="347"/>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35">
      <c r="G279" s="143"/>
      <c r="H279" s="393"/>
      <c r="J279" s="347"/>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3">
      <c r="G280" s="143"/>
      <c r="H280" s="393"/>
      <c r="J280" s="347"/>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3">
      <c r="G281" s="143"/>
      <c r="H281" s="393"/>
      <c r="J281" s="347"/>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35">
      <c r="G282" s="143"/>
      <c r="H282" s="393"/>
      <c r="J282" s="347"/>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3">
      <c r="G283" s="143"/>
      <c r="H283" s="393"/>
      <c r="J283" s="347"/>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3">
      <c r="G284" s="143"/>
      <c r="H284" s="393"/>
      <c r="J284" s="347"/>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35">
      <c r="G285" s="143"/>
      <c r="H285" s="393"/>
      <c r="J285" s="347"/>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3">
      <c r="G286" s="143"/>
      <c r="H286" s="393"/>
      <c r="J286" s="347"/>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3">
      <c r="G287" s="143"/>
      <c r="H287" s="393"/>
      <c r="J287" s="347"/>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35">
      <c r="G288" s="143"/>
      <c r="H288" s="393"/>
      <c r="J288" s="347"/>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3">
      <c r="G289" s="143"/>
      <c r="H289" s="393"/>
      <c r="J289" s="347"/>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3">
      <c r="G290" s="143"/>
      <c r="H290" s="393"/>
      <c r="J290" s="347"/>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35">
      <c r="G291" s="143"/>
      <c r="H291" s="393"/>
      <c r="J291" s="347"/>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3">
      <c r="G292" s="143"/>
      <c r="H292" s="393"/>
      <c r="J292" s="347"/>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3">
      <c r="G293" s="143"/>
      <c r="H293" s="393"/>
      <c r="J293" s="347"/>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35">
      <c r="G294" s="143"/>
      <c r="H294" s="393"/>
      <c r="J294" s="347"/>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3">
      <c r="G295" s="143"/>
      <c r="H295" s="393"/>
      <c r="J295" s="347"/>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3">
      <c r="G296" s="143"/>
      <c r="H296" s="393"/>
      <c r="J296" s="347"/>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3">
      <c r="G297" s="143"/>
      <c r="H297" s="393"/>
      <c r="J297" s="394"/>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3">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5">
      <c r="G299" s="143"/>
      <c r="H299" s="236"/>
      <c r="I299" s="236"/>
    </row>
    <row r="300" spans="7:42" ht="14.25" customHeight="1" x14ac:dyDescent="0.25">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3">
      <c r="G301" s="143"/>
      <c r="H301" s="460" t="s">
        <v>971</v>
      </c>
      <c r="J301" s="346"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3">
      <c r="G302" s="143"/>
      <c r="H302" s="460"/>
      <c r="J302" s="347"/>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35">
      <c r="G303" s="143"/>
      <c r="H303" s="460"/>
      <c r="J303" s="347"/>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3">
      <c r="G304" s="143"/>
      <c r="H304" s="460"/>
      <c r="J304" s="347"/>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3">
      <c r="G305" s="143"/>
      <c r="H305" s="460"/>
      <c r="J305" s="347"/>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35">
      <c r="G306" s="143"/>
      <c r="H306" s="460"/>
      <c r="J306" s="347"/>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3">
      <c r="G307" s="143"/>
      <c r="H307" s="460"/>
      <c r="J307" s="347"/>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3">
      <c r="G308" s="143"/>
      <c r="H308" s="460"/>
      <c r="J308" s="347"/>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35">
      <c r="G309" s="143"/>
      <c r="H309" s="460"/>
      <c r="J309" s="347"/>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3">
      <c r="G310" s="143"/>
      <c r="H310" s="460"/>
      <c r="J310" s="347"/>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3">
      <c r="G311" s="143"/>
      <c r="H311" s="460"/>
      <c r="J311" s="347"/>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35">
      <c r="G312" s="143"/>
      <c r="H312" s="460"/>
      <c r="J312" s="347"/>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3">
      <c r="G313" s="143"/>
      <c r="H313" s="460"/>
      <c r="J313" s="347"/>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3">
      <c r="G314" s="143"/>
      <c r="H314" s="460"/>
      <c r="J314" s="347"/>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35">
      <c r="G315" s="143"/>
      <c r="H315" s="460"/>
      <c r="J315" s="347"/>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3">
      <c r="G316" s="143"/>
      <c r="H316" s="460"/>
      <c r="J316" s="347"/>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3">
      <c r="G317" s="143"/>
      <c r="H317" s="460"/>
      <c r="J317" s="347"/>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35">
      <c r="G318" s="143"/>
      <c r="H318" s="460"/>
      <c r="J318" s="347"/>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3">
      <c r="G319" s="143"/>
      <c r="H319" s="460"/>
      <c r="J319" s="347"/>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3">
      <c r="G320" s="143"/>
      <c r="H320" s="460"/>
      <c r="J320" s="347"/>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35">
      <c r="G321" s="143"/>
      <c r="H321" s="460"/>
      <c r="J321" s="347"/>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3">
      <c r="G322" s="143"/>
      <c r="H322" s="460"/>
      <c r="J322" s="347"/>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3">
      <c r="G323" s="143"/>
      <c r="H323" s="460"/>
      <c r="J323" s="347"/>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35">
      <c r="G324" s="143"/>
      <c r="H324" s="460"/>
      <c r="J324" s="347"/>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3">
      <c r="G325" s="143"/>
      <c r="H325" s="460"/>
      <c r="J325" s="347"/>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3">
      <c r="G326" s="143"/>
      <c r="H326" s="460"/>
      <c r="J326" s="347"/>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35">
      <c r="G327" s="143"/>
      <c r="H327" s="460"/>
      <c r="J327" s="347"/>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3">
      <c r="G328" s="143"/>
      <c r="H328" s="460"/>
      <c r="J328" s="347"/>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3">
      <c r="G329" s="143"/>
      <c r="H329" s="460"/>
      <c r="J329" s="347"/>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3">
      <c r="G330" s="143"/>
      <c r="H330" s="460"/>
      <c r="J330" s="394"/>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3">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5">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3">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3">
      <c r="G334" s="143"/>
      <c r="H334" s="409" t="s">
        <v>973</v>
      </c>
      <c r="J334" s="346"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3">
      <c r="G335" s="143"/>
      <c r="H335" s="409"/>
      <c r="J335" s="347"/>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35">
      <c r="G336" s="143"/>
      <c r="H336" s="409"/>
      <c r="J336" s="347"/>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3">
      <c r="G337" s="143"/>
      <c r="H337" s="409"/>
      <c r="J337" s="347"/>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3">
      <c r="G338" s="143"/>
      <c r="H338" s="409"/>
      <c r="J338" s="347"/>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35">
      <c r="G339" s="143"/>
      <c r="H339" s="409"/>
      <c r="J339" s="347"/>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3">
      <c r="G340" s="143"/>
      <c r="H340" s="409"/>
      <c r="J340" s="347"/>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3">
      <c r="G341" s="143"/>
      <c r="H341" s="409"/>
      <c r="J341" s="347"/>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35">
      <c r="G342" s="143"/>
      <c r="H342" s="409"/>
      <c r="J342" s="347"/>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3">
      <c r="G343" s="143"/>
      <c r="H343" s="409"/>
      <c r="J343" s="347"/>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3">
      <c r="G344" s="143"/>
      <c r="H344" s="409"/>
      <c r="J344" s="347"/>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35">
      <c r="G345" s="143"/>
      <c r="H345" s="409"/>
      <c r="J345" s="347"/>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3">
      <c r="G346" s="143"/>
      <c r="H346" s="409"/>
      <c r="J346" s="347"/>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3">
      <c r="G347" s="143"/>
      <c r="H347" s="409"/>
      <c r="J347" s="347"/>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35">
      <c r="G348" s="143"/>
      <c r="H348" s="409"/>
      <c r="J348" s="347"/>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3">
      <c r="G349" s="143"/>
      <c r="H349" s="409"/>
      <c r="J349" s="347"/>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3">
      <c r="G350" s="143"/>
      <c r="H350" s="409"/>
      <c r="J350" s="347"/>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35">
      <c r="G351" s="143"/>
      <c r="H351" s="409"/>
      <c r="J351" s="347"/>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3">
      <c r="G352" s="143"/>
      <c r="H352" s="409"/>
      <c r="J352" s="347"/>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3">
      <c r="G353" s="143"/>
      <c r="H353" s="409"/>
      <c r="J353" s="347"/>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35">
      <c r="G354" s="143"/>
      <c r="H354" s="409"/>
      <c r="J354" s="347"/>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3">
      <c r="G355" s="143"/>
      <c r="H355" s="409"/>
      <c r="J355" s="347"/>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3">
      <c r="G356" s="143"/>
      <c r="H356" s="409"/>
      <c r="J356" s="347"/>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35">
      <c r="G357" s="143"/>
      <c r="H357" s="409"/>
      <c r="J357" s="347"/>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3">
      <c r="G358" s="143"/>
      <c r="H358" s="409"/>
      <c r="J358" s="347"/>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3">
      <c r="G359" s="143"/>
      <c r="H359" s="409"/>
      <c r="J359" s="347"/>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35">
      <c r="G360" s="143"/>
      <c r="H360" s="409"/>
      <c r="J360" s="347"/>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3">
      <c r="G361" s="143"/>
      <c r="H361" s="409"/>
      <c r="J361" s="347"/>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3">
      <c r="G362" s="143"/>
      <c r="H362" s="409"/>
      <c r="J362" s="347"/>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3">
      <c r="G363" s="143"/>
      <c r="H363" s="409"/>
      <c r="J363" s="394"/>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3">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5">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5">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3">
      <c r="G367" s="143"/>
      <c r="H367" s="412" t="s">
        <v>975</v>
      </c>
      <c r="J367" s="346"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3">
      <c r="G368" s="143"/>
      <c r="H368" s="412"/>
      <c r="J368" s="347"/>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3">
      <c r="G369" s="143"/>
      <c r="H369" s="412"/>
      <c r="J369" s="347"/>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3">
      <c r="G370" s="143"/>
      <c r="H370" s="412"/>
      <c r="J370" s="347"/>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3">
      <c r="G371" s="143"/>
      <c r="H371" s="412"/>
      <c r="J371" s="347"/>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3">
      <c r="G372" s="143"/>
      <c r="H372" s="412"/>
      <c r="J372" s="347"/>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3">
      <c r="G373" s="143"/>
      <c r="H373" s="412"/>
      <c r="J373" s="347"/>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3">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3">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3">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3">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3">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3">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3">
      <c r="G380" s="143"/>
      <c r="H380" s="238"/>
      <c r="I380" s="244" t="s">
        <v>981</v>
      </c>
      <c r="J380" s="461"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5">
      <c r="G381" s="143"/>
      <c r="H381" s="238"/>
      <c r="I381" s="135">
        <v>0.2</v>
      </c>
      <c r="J381" s="461"/>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5">
      <c r="G382" s="143"/>
      <c r="H382" s="238"/>
      <c r="I382" s="135">
        <v>0.32</v>
      </c>
      <c r="J382" s="461"/>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5">
      <c r="G383" s="143"/>
      <c r="H383" s="238"/>
      <c r="I383" s="135">
        <v>0.192</v>
      </c>
      <c r="J383" s="461"/>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5">
      <c r="G384" s="143"/>
      <c r="H384" s="238"/>
      <c r="I384" s="135">
        <v>0.1152</v>
      </c>
      <c r="J384" s="461"/>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5">
      <c r="G385" s="143"/>
      <c r="H385" s="238"/>
      <c r="I385" s="135">
        <v>0.1152</v>
      </c>
      <c r="J385" s="461"/>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5">
      <c r="G386" s="143"/>
      <c r="H386" s="238"/>
      <c r="I386" s="135">
        <v>5.7599999999999998E-2</v>
      </c>
      <c r="J386" s="461"/>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3">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5">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5">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5">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5">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5">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5">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5">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5">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5">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5">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5">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5">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5">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5">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3">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3">
      <c r="G403" s="253"/>
      <c r="H403" s="238"/>
      <c r="J403" s="346"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3">
      <c r="F404" s="255"/>
      <c r="H404" s="238"/>
      <c r="J404" s="347"/>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3">
      <c r="F405" s="255"/>
      <c r="H405" s="238"/>
      <c r="J405" s="347"/>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3">
      <c r="F406" s="255"/>
      <c r="H406" s="238"/>
      <c r="J406" s="130"/>
    </row>
    <row r="407" spans="6:42" ht="14.25" customHeight="1" thickTop="1" thickBot="1" x14ac:dyDescent="0.3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3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3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3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3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3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3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3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3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3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3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3">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3">
      <c r="C420" s="141" t="s">
        <v>878</v>
      </c>
      <c r="G420" s="413" t="s">
        <v>994</v>
      </c>
      <c r="H420" s="351"/>
      <c r="I420" s="351"/>
      <c r="J420" s="351"/>
      <c r="K420" s="351"/>
      <c r="L420" s="351"/>
      <c r="M420" s="351"/>
      <c r="N420" s="351"/>
      <c r="O420" s="351"/>
      <c r="P420" s="351"/>
      <c r="Q420" s="351"/>
      <c r="R420" s="351"/>
      <c r="S420" s="351"/>
      <c r="T420" s="351"/>
      <c r="U420" s="351"/>
      <c r="V420" s="142"/>
      <c r="W420" s="142"/>
      <c r="X420" s="142"/>
      <c r="Y420" s="142"/>
      <c r="Z420" s="142"/>
      <c r="AA420" s="142"/>
      <c r="AB420" s="142"/>
    </row>
    <row r="422" spans="3:42" ht="14.25" customHeight="1" x14ac:dyDescent="0.25">
      <c r="H422" s="462" t="s">
        <v>995</v>
      </c>
      <c r="I422" s="463"/>
      <c r="J422" s="463"/>
      <c r="K422" s="463"/>
      <c r="L422" s="463"/>
      <c r="M422" s="463"/>
      <c r="N422" s="464" t="s">
        <v>996</v>
      </c>
      <c r="O422" s="465"/>
      <c r="P422" s="465"/>
      <c r="Q422" s="465"/>
      <c r="R422" s="466"/>
      <c r="S422" s="258" t="s">
        <v>997</v>
      </c>
      <c r="T422" s="258" t="s">
        <v>998</v>
      </c>
      <c r="U422" s="259"/>
      <c r="V422" s="259"/>
      <c r="W422" s="259"/>
      <c r="X422" s="259"/>
      <c r="Y422" s="259"/>
      <c r="Z422" s="259"/>
      <c r="AA422" s="259"/>
      <c r="AB422" s="260"/>
    </row>
    <row r="423" spans="3:42" ht="14.25" customHeight="1" x14ac:dyDescent="0.35">
      <c r="H423" s="458" t="s">
        <v>999</v>
      </c>
      <c r="I423" s="420"/>
      <c r="J423" s="420"/>
      <c r="K423" s="420"/>
      <c r="L423" s="420"/>
      <c r="M423" s="420"/>
      <c r="N423" s="459" t="s">
        <v>1000</v>
      </c>
      <c r="O423" s="428"/>
      <c r="P423" s="428"/>
      <c r="Q423" s="428"/>
      <c r="R423" s="428"/>
      <c r="S423" s="262"/>
      <c r="T423" s="262"/>
      <c r="U423" s="263"/>
      <c r="V423" s="263"/>
      <c r="W423" s="263"/>
      <c r="X423" s="263"/>
      <c r="Y423" s="263"/>
      <c r="Z423" s="263"/>
      <c r="AA423" s="263"/>
      <c r="AB423" s="264"/>
    </row>
    <row r="424" spans="3:42" ht="14.25" customHeight="1" x14ac:dyDescent="0.35">
      <c r="H424" s="458" t="s">
        <v>964</v>
      </c>
      <c r="I424" s="420"/>
      <c r="J424" s="420"/>
      <c r="K424" s="420"/>
      <c r="L424" s="420"/>
      <c r="M424" s="420"/>
      <c r="N424" s="459" t="s">
        <v>1001</v>
      </c>
      <c r="O424" s="428"/>
      <c r="P424" s="428"/>
      <c r="Q424" s="428"/>
      <c r="R424" s="428"/>
      <c r="S424" s="262"/>
      <c r="T424" s="262"/>
      <c r="U424" s="263"/>
      <c r="V424" s="263"/>
      <c r="W424" s="263"/>
      <c r="X424" s="263"/>
      <c r="Y424" s="263"/>
      <c r="Z424" s="263"/>
      <c r="AA424" s="263"/>
      <c r="AB424" s="264"/>
    </row>
    <row r="425" spans="3:42" ht="14.25" customHeight="1" x14ac:dyDescent="0.35">
      <c r="H425" s="458" t="s">
        <v>968</v>
      </c>
      <c r="I425" s="420"/>
      <c r="J425" s="420"/>
      <c r="K425" s="420"/>
      <c r="L425" s="420"/>
      <c r="M425" s="420"/>
      <c r="N425" s="459" t="s">
        <v>1002</v>
      </c>
      <c r="O425" s="428"/>
      <c r="P425" s="428"/>
      <c r="Q425" s="428"/>
      <c r="R425" s="428"/>
      <c r="S425" s="262"/>
      <c r="T425" s="262"/>
      <c r="U425" s="263"/>
      <c r="V425" s="263"/>
      <c r="W425" s="263"/>
      <c r="X425" s="263"/>
      <c r="Y425" s="263"/>
      <c r="Z425" s="263"/>
      <c r="AA425" s="263"/>
      <c r="AB425" s="264"/>
    </row>
    <row r="426" spans="3:42" ht="14.25" customHeight="1" x14ac:dyDescent="0.35">
      <c r="H426" s="458" t="s">
        <v>1003</v>
      </c>
      <c r="I426" s="420"/>
      <c r="J426" s="420"/>
      <c r="K426" s="420"/>
      <c r="L426" s="420"/>
      <c r="M426" s="420"/>
      <c r="N426" s="459" t="s">
        <v>1002</v>
      </c>
      <c r="O426" s="428"/>
      <c r="P426" s="428"/>
      <c r="Q426" s="428"/>
      <c r="R426" s="428"/>
      <c r="S426" s="265"/>
      <c r="T426" s="265"/>
      <c r="U426"/>
      <c r="V426"/>
      <c r="W426"/>
      <c r="X426"/>
      <c r="Y426"/>
      <c r="Z426"/>
      <c r="AA426"/>
      <c r="AB426"/>
    </row>
    <row r="427" spans="3:42" ht="14.25" customHeight="1" x14ac:dyDescent="0.25">
      <c r="H427" s="458" t="s">
        <v>1004</v>
      </c>
      <c r="I427" s="420"/>
      <c r="J427" s="420"/>
      <c r="K427" s="420"/>
      <c r="L427" s="420"/>
      <c r="M427" s="420"/>
      <c r="N427" s="467" t="s">
        <v>1005</v>
      </c>
      <c r="O427" s="468"/>
      <c r="P427" s="468"/>
      <c r="Q427" s="468"/>
      <c r="R427" s="468"/>
      <c r="S427" s="266"/>
      <c r="T427" s="266"/>
      <c r="U427" s="259"/>
      <c r="V427" s="259"/>
      <c r="W427" s="259"/>
      <c r="X427" s="259"/>
      <c r="Y427" s="259"/>
      <c r="Z427" s="259"/>
      <c r="AA427" s="259"/>
      <c r="AB427" s="260"/>
    </row>
    <row r="428" spans="3:42" ht="14.25" customHeight="1" x14ac:dyDescent="0.25">
      <c r="H428" s="458" t="s">
        <v>1006</v>
      </c>
      <c r="I428" s="420"/>
      <c r="J428" s="420"/>
      <c r="K428" s="420"/>
      <c r="L428" s="420"/>
      <c r="M428" s="420"/>
      <c r="N428" s="467" t="s">
        <v>1005</v>
      </c>
      <c r="O428" s="468"/>
      <c r="P428" s="468"/>
      <c r="Q428" s="468"/>
      <c r="R428" s="468"/>
      <c r="S428" s="266"/>
      <c r="T428" s="266"/>
      <c r="U428" s="259"/>
      <c r="V428" s="259"/>
      <c r="W428" s="259"/>
      <c r="X428" s="259"/>
      <c r="Y428" s="259"/>
      <c r="Z428" s="259"/>
      <c r="AA428" s="259"/>
      <c r="AB428" s="260"/>
    </row>
    <row r="429" spans="3:42" ht="14.25" customHeight="1" x14ac:dyDescent="0.25">
      <c r="H429" s="469"/>
      <c r="I429" s="469"/>
      <c r="J429" s="469"/>
      <c r="K429" s="469"/>
      <c r="L429" s="469"/>
      <c r="M429" s="469"/>
      <c r="O429" s="259"/>
      <c r="P429" s="259"/>
      <c r="Q429" s="259"/>
      <c r="R429" s="259"/>
      <c r="S429" s="259"/>
      <c r="T429" s="259"/>
      <c r="U429" s="259"/>
      <c r="V429" s="259"/>
      <c r="W429" s="259"/>
      <c r="X429" s="259"/>
      <c r="Y429" s="259"/>
      <c r="Z429" s="259"/>
      <c r="AA429" s="259"/>
      <c r="AB429" s="260"/>
    </row>
    <row r="430" spans="3:42" ht="14.25" customHeight="1" x14ac:dyDescent="0.25">
      <c r="H430" s="462" t="s">
        <v>1007</v>
      </c>
      <c r="I430" s="463"/>
      <c r="J430" s="463"/>
      <c r="K430" s="463"/>
      <c r="L430" s="463"/>
      <c r="M430" s="463"/>
      <c r="N430" s="464" t="s">
        <v>996</v>
      </c>
      <c r="O430" s="465"/>
      <c r="P430" s="465"/>
      <c r="Q430" s="465"/>
      <c r="R430" s="466"/>
      <c r="S430" s="258" t="s">
        <v>997</v>
      </c>
      <c r="T430" s="258" t="s">
        <v>998</v>
      </c>
      <c r="U430" s="259"/>
      <c r="V430" s="259"/>
      <c r="W430" s="259"/>
      <c r="X430" s="259"/>
      <c r="Y430" s="259"/>
      <c r="Z430" s="259"/>
      <c r="AA430" s="259"/>
      <c r="AB430" s="260"/>
    </row>
    <row r="431" spans="3:42" ht="14.25" customHeight="1" x14ac:dyDescent="0.35">
      <c r="H431" s="458" t="s">
        <v>964</v>
      </c>
      <c r="I431" s="420"/>
      <c r="J431" s="420"/>
      <c r="K431" s="420"/>
      <c r="L431" s="420"/>
      <c r="M431" s="421"/>
      <c r="N431" s="459" t="s">
        <v>1001</v>
      </c>
      <c r="O431" s="428"/>
      <c r="P431" s="428"/>
      <c r="Q431" s="428"/>
      <c r="R431" s="428"/>
      <c r="S431" s="262"/>
      <c r="T431" s="262"/>
      <c r="U431" s="263"/>
      <c r="V431" s="263"/>
      <c r="W431" s="263"/>
      <c r="X431" s="263"/>
      <c r="Y431" s="263"/>
      <c r="Z431" s="263"/>
      <c r="AA431" s="263"/>
      <c r="AB431" s="264"/>
    </row>
    <row r="432" spans="3:42" ht="14.25" customHeight="1" x14ac:dyDescent="0.35">
      <c r="H432" s="458" t="s">
        <v>968</v>
      </c>
      <c r="I432" s="420"/>
      <c r="J432" s="420"/>
      <c r="K432" s="420"/>
      <c r="L432" s="420"/>
      <c r="M432" s="421"/>
      <c r="N432" s="261" t="s">
        <v>1008</v>
      </c>
      <c r="Q432" s="267" t="s">
        <v>1009</v>
      </c>
      <c r="R432" s="259"/>
      <c r="S432" s="266"/>
      <c r="T432" s="266"/>
      <c r="U432" s="259"/>
      <c r="V432" s="259"/>
      <c r="W432" s="259"/>
      <c r="X432" s="259"/>
      <c r="Y432" s="259"/>
      <c r="Z432" s="259"/>
      <c r="AA432" s="259"/>
      <c r="AB432" s="260"/>
    </row>
    <row r="433" spans="8:28" ht="14.25" customHeight="1" x14ac:dyDescent="0.35">
      <c r="H433" s="440" t="s">
        <v>1010</v>
      </c>
      <c r="I433" s="441"/>
      <c r="J433" s="441"/>
      <c r="K433" s="441"/>
      <c r="L433" s="441"/>
      <c r="M433" s="442"/>
      <c r="N433" s="268"/>
      <c r="O433" s="269"/>
      <c r="P433" s="269"/>
      <c r="Q433" s="259"/>
      <c r="R433" s="260"/>
      <c r="S433" s="259"/>
      <c r="T433" s="266"/>
      <c r="U433" s="259"/>
      <c r="V433" s="259"/>
      <c r="W433" s="259"/>
      <c r="X433" s="259"/>
      <c r="Y433" s="259"/>
      <c r="Z433" s="259"/>
      <c r="AA433" s="259"/>
      <c r="AB433" s="260"/>
    </row>
    <row r="434" spans="8:28" ht="14.25" customHeight="1" x14ac:dyDescent="0.35">
      <c r="H434" s="458" t="s">
        <v>1003</v>
      </c>
      <c r="I434" s="420"/>
      <c r="J434" s="420"/>
      <c r="K434" s="420"/>
      <c r="L434" s="420"/>
      <c r="M434" s="421"/>
      <c r="N434" s="459" t="s">
        <v>1011</v>
      </c>
      <c r="O434" s="428"/>
      <c r="P434" s="428"/>
      <c r="Q434" s="428"/>
      <c r="R434" s="428"/>
      <c r="S434" s="262"/>
      <c r="T434" s="262"/>
      <c r="U434" s="263"/>
      <c r="V434" s="263"/>
      <c r="W434" s="263"/>
      <c r="X434" s="263"/>
      <c r="Y434" s="263"/>
      <c r="Z434" s="263"/>
      <c r="AA434" s="263"/>
      <c r="AB434" s="264"/>
    </row>
    <row r="435" spans="8:28" ht="14.25" customHeight="1" x14ac:dyDescent="0.25">
      <c r="H435" s="458" t="s">
        <v>1004</v>
      </c>
      <c r="I435" s="420"/>
      <c r="J435" s="420"/>
      <c r="K435" s="420"/>
      <c r="L435" s="420"/>
      <c r="M435" s="421"/>
      <c r="N435" s="467" t="s">
        <v>1005</v>
      </c>
      <c r="O435" s="468"/>
      <c r="P435" s="468"/>
      <c r="Q435" s="468"/>
      <c r="R435" s="468"/>
      <c r="S435" s="266"/>
      <c r="T435" s="266"/>
      <c r="U435" s="259"/>
      <c r="V435" s="259"/>
      <c r="W435" s="259"/>
      <c r="X435" s="259"/>
      <c r="Y435" s="259"/>
      <c r="Z435" s="259"/>
      <c r="AA435" s="259"/>
      <c r="AB435" s="260"/>
    </row>
    <row r="436" spans="8:28" ht="14.25" customHeight="1" x14ac:dyDescent="0.25">
      <c r="H436" s="458" t="s">
        <v>1012</v>
      </c>
      <c r="I436" s="420"/>
      <c r="J436" s="420"/>
      <c r="K436" s="420"/>
      <c r="L436" s="420"/>
      <c r="M436" s="421"/>
      <c r="N436" s="467" t="s">
        <v>1005</v>
      </c>
      <c r="O436" s="468"/>
      <c r="P436" s="468"/>
      <c r="Q436" s="468"/>
      <c r="R436" s="468"/>
      <c r="S436" s="266"/>
      <c r="T436" s="266"/>
      <c r="U436" s="259"/>
      <c r="V436" s="259"/>
      <c r="W436" s="259"/>
      <c r="X436" s="259"/>
      <c r="Y436" s="259"/>
      <c r="Z436" s="259"/>
      <c r="AA436" s="259"/>
      <c r="AB436" s="260"/>
    </row>
    <row r="437" spans="8:28" ht="14.25" customHeight="1" x14ac:dyDescent="0.25">
      <c r="H437" s="458" t="s">
        <v>1006</v>
      </c>
      <c r="I437" s="420"/>
      <c r="J437" s="420"/>
      <c r="K437" s="420"/>
      <c r="L437" s="420"/>
      <c r="M437" s="421"/>
      <c r="N437" s="467" t="s">
        <v>1005</v>
      </c>
      <c r="O437" s="468"/>
      <c r="P437" s="468"/>
      <c r="Q437" s="468"/>
      <c r="R437" s="468"/>
      <c r="S437" s="266"/>
      <c r="T437" s="266"/>
      <c r="U437" s="259"/>
      <c r="V437" s="259"/>
      <c r="W437" s="259"/>
      <c r="X437" s="259"/>
      <c r="Y437" s="259"/>
      <c r="Z437" s="259"/>
      <c r="AA437" s="259"/>
      <c r="AB437" s="260"/>
    </row>
    <row r="438" spans="8:28" ht="14.25" customHeight="1" x14ac:dyDescent="0.25">
      <c r="H438" s="135" t="s">
        <v>1013</v>
      </c>
    </row>
  </sheetData>
  <mergeCells count="59">
    <mergeCell ref="H435:M435"/>
    <mergeCell ref="N435:R435"/>
    <mergeCell ref="H436:M436"/>
    <mergeCell ref="N436:R436"/>
    <mergeCell ref="H437:M437"/>
    <mergeCell ref="N437:R437"/>
    <mergeCell ref="H431:M431"/>
    <mergeCell ref="N431:R431"/>
    <mergeCell ref="H432:M432"/>
    <mergeCell ref="H433:M433"/>
    <mergeCell ref="H434:M434"/>
    <mergeCell ref="N434:R434"/>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G73:U73"/>
    <mergeCell ref="H76:H297"/>
    <mergeCell ref="J76:J105"/>
    <mergeCell ref="J108:J137"/>
    <mergeCell ref="J140:J169"/>
    <mergeCell ref="J172:J201"/>
    <mergeCell ref="J204:J233"/>
    <mergeCell ref="J236:J265"/>
    <mergeCell ref="J268:J297"/>
    <mergeCell ref="H28:H70"/>
    <mergeCell ref="J28:O28"/>
    <mergeCell ref="J31:N31"/>
    <mergeCell ref="L33:L34"/>
    <mergeCell ref="M33:M34"/>
    <mergeCell ref="J41:J68"/>
    <mergeCell ref="U4:U5"/>
    <mergeCell ref="G7:X7"/>
    <mergeCell ref="H9:H25"/>
    <mergeCell ref="J9:L9"/>
    <mergeCell ref="M9:P9"/>
    <mergeCell ref="J13:J25"/>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6953125" defaultRowHeight="14.5" x14ac:dyDescent="0.35"/>
  <cols>
    <col min="1" max="1" width="54" bestFit="1" customWidth="1"/>
    <col min="2" max="2" width="45.7265625" customWidth="1"/>
    <col min="3" max="3" width="89.26953125" customWidth="1"/>
    <col min="4" max="4" width="17.453125" customWidth="1"/>
    <col min="5" max="5" width="21.54296875" bestFit="1" customWidth="1"/>
    <col min="7" max="7" width="10.26953125" bestFit="1" customWidth="1"/>
    <col min="8" max="9" width="10" bestFit="1" customWidth="1"/>
    <col min="10" max="10" width="10.26953125" bestFit="1" customWidth="1"/>
    <col min="11" max="11" width="10" bestFit="1" customWidth="1"/>
    <col min="15" max="15" width="11" bestFit="1" customWidth="1"/>
  </cols>
  <sheetData>
    <row r="1" spans="1:24" s="1" customFormat="1" x14ac:dyDescent="0.3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3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3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3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3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3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3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3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3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3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3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3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3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3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3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3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3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3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3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3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 x14ac:dyDescent="0.3"/>
  <cols>
    <col min="1" max="1" width="21.269531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318</v>
      </c>
      <c r="B10" s="54" t="s">
        <v>43</v>
      </c>
      <c r="AG10" s="51" t="s">
        <v>616</v>
      </c>
    </row>
    <row r="11" spans="1:33" ht="15" customHeight="1" x14ac:dyDescent="0.3">
      <c r="B11" s="53" t="s">
        <v>44</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3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3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3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3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3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3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3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3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3">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3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3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3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3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5" x14ac:dyDescent="0.3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3">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5" x14ac:dyDescent="0.35">
      <c r="B33"/>
      <c r="C33"/>
      <c r="D33"/>
      <c r="E33"/>
      <c r="F33"/>
      <c r="G33"/>
      <c r="H33"/>
      <c r="I33"/>
      <c r="J33"/>
      <c r="K33"/>
      <c r="L33"/>
      <c r="M33"/>
      <c r="N33"/>
      <c r="O33"/>
      <c r="P33"/>
      <c r="Q33"/>
      <c r="R33"/>
      <c r="S33"/>
      <c r="T33"/>
      <c r="U33"/>
      <c r="V33"/>
      <c r="W33"/>
      <c r="X33"/>
      <c r="Y33"/>
      <c r="Z33"/>
      <c r="AA33"/>
      <c r="AB33"/>
      <c r="AC33"/>
      <c r="AD33"/>
      <c r="AE33"/>
      <c r="AF33"/>
      <c r="AG33"/>
    </row>
    <row r="34" spans="1:33" ht="14.5" x14ac:dyDescent="0.35">
      <c r="B34" s="46" t="s">
        <v>59</v>
      </c>
      <c r="C34"/>
      <c r="D34"/>
      <c r="E34"/>
      <c r="F34"/>
      <c r="G34"/>
      <c r="H34"/>
      <c r="I34"/>
      <c r="J34"/>
      <c r="K34"/>
      <c r="L34"/>
      <c r="M34"/>
      <c r="N34"/>
      <c r="O34"/>
      <c r="P34"/>
      <c r="Q34"/>
      <c r="R34"/>
      <c r="S34"/>
      <c r="T34"/>
      <c r="U34"/>
      <c r="V34"/>
      <c r="W34"/>
      <c r="X34"/>
      <c r="Y34"/>
      <c r="Z34"/>
      <c r="AA34"/>
      <c r="AB34"/>
      <c r="AC34"/>
      <c r="AD34"/>
      <c r="AE34"/>
      <c r="AF34"/>
      <c r="AG34"/>
    </row>
    <row r="35" spans="1:33" ht="14.5" x14ac:dyDescent="0.3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5" x14ac:dyDescent="0.3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5" x14ac:dyDescent="0.3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3">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5" x14ac:dyDescent="0.35">
      <c r="B39"/>
      <c r="C39"/>
      <c r="D39"/>
      <c r="E39"/>
      <c r="F39"/>
      <c r="G39"/>
      <c r="H39"/>
      <c r="I39"/>
      <c r="J39"/>
      <c r="K39"/>
      <c r="L39"/>
      <c r="M39"/>
      <c r="N39"/>
      <c r="O39"/>
      <c r="P39"/>
      <c r="Q39"/>
      <c r="R39"/>
      <c r="S39"/>
      <c r="T39"/>
      <c r="U39"/>
      <c r="V39"/>
      <c r="W39"/>
      <c r="X39"/>
      <c r="Y39"/>
      <c r="Z39"/>
      <c r="AA39"/>
      <c r="AB39"/>
      <c r="AC39"/>
      <c r="AD39"/>
      <c r="AE39"/>
      <c r="AF39"/>
      <c r="AG39"/>
    </row>
    <row r="40" spans="1:33" x14ac:dyDescent="0.3">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4.5" x14ac:dyDescent="0.35">
      <c r="B41"/>
      <c r="C41"/>
      <c r="D41"/>
      <c r="E41"/>
      <c r="F41"/>
      <c r="G41"/>
      <c r="H41"/>
      <c r="I41"/>
      <c r="J41"/>
      <c r="K41"/>
      <c r="L41"/>
      <c r="M41"/>
      <c r="N41"/>
      <c r="O41"/>
      <c r="P41"/>
      <c r="Q41"/>
      <c r="R41"/>
      <c r="S41"/>
      <c r="T41"/>
      <c r="U41"/>
      <c r="V41"/>
      <c r="W41"/>
      <c r="X41"/>
      <c r="Y41"/>
      <c r="Z41"/>
      <c r="AA41"/>
      <c r="AB41"/>
      <c r="AC41"/>
      <c r="AD41"/>
      <c r="AE41"/>
      <c r="AF41"/>
      <c r="AG41"/>
    </row>
    <row r="42" spans="1:33" ht="14.5" x14ac:dyDescent="0.35">
      <c r="B42" s="46" t="s">
        <v>61</v>
      </c>
      <c r="C42"/>
      <c r="D42"/>
      <c r="E42"/>
      <c r="F42"/>
      <c r="G42"/>
      <c r="H42"/>
      <c r="I42"/>
      <c r="J42"/>
      <c r="K42"/>
      <c r="L42"/>
      <c r="M42"/>
      <c r="N42"/>
      <c r="O42"/>
      <c r="P42"/>
      <c r="Q42"/>
      <c r="R42"/>
      <c r="S42"/>
      <c r="T42"/>
      <c r="U42"/>
      <c r="V42"/>
      <c r="W42"/>
      <c r="X42"/>
      <c r="Y42"/>
      <c r="Z42"/>
      <c r="AA42"/>
      <c r="AB42"/>
      <c r="AC42"/>
      <c r="AD42"/>
      <c r="AE42"/>
      <c r="AF42"/>
      <c r="AG42"/>
    </row>
    <row r="43" spans="1:33" ht="14.5" x14ac:dyDescent="0.3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5" x14ac:dyDescent="0.3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5" x14ac:dyDescent="0.3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5" x14ac:dyDescent="0.3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5" x14ac:dyDescent="0.3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5" x14ac:dyDescent="0.3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5" x14ac:dyDescent="0.3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3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3">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3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3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3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3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3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3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3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5" x14ac:dyDescent="0.3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3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3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3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3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35"/>
    <row r="72" spans="1:33" ht="15" customHeight="1" x14ac:dyDescent="0.3">
      <c r="B72" s="39" t="s">
        <v>555</v>
      </c>
    </row>
    <row r="73" spans="1:33" x14ac:dyDescent="0.3">
      <c r="B73" s="38" t="s">
        <v>537</v>
      </c>
    </row>
    <row r="74" spans="1:33" ht="15" customHeight="1" x14ac:dyDescent="0.3">
      <c r="B74" s="38" t="s">
        <v>68</v>
      </c>
    </row>
    <row r="75" spans="1:33" ht="15" customHeight="1" x14ac:dyDescent="0.3">
      <c r="B75" s="38" t="s">
        <v>609</v>
      </c>
    </row>
    <row r="76" spans="1:33" ht="15" customHeight="1" x14ac:dyDescent="0.3">
      <c r="B76" s="38" t="s">
        <v>69</v>
      </c>
    </row>
    <row r="77" spans="1:33" ht="15" customHeight="1" x14ac:dyDescent="0.3">
      <c r="B77" s="38" t="s">
        <v>539</v>
      </c>
    </row>
    <row r="78" spans="1:33" ht="15" customHeight="1" x14ac:dyDescent="0.3">
      <c r="B78" s="38" t="s">
        <v>608</v>
      </c>
    </row>
    <row r="79" spans="1:33" x14ac:dyDescent="0.3">
      <c r="B79" s="38" t="s">
        <v>71</v>
      </c>
    </row>
    <row r="80" spans="1:33" ht="15" customHeight="1" x14ac:dyDescent="0.3">
      <c r="B80" s="38" t="s">
        <v>540</v>
      </c>
    </row>
    <row r="81" spans="2:2" x14ac:dyDescent="0.3">
      <c r="B81" s="38" t="s">
        <v>541</v>
      </c>
    </row>
    <row r="82" spans="2:2" ht="15" customHeight="1" x14ac:dyDescent="0.3">
      <c r="B82" s="38" t="s">
        <v>542</v>
      </c>
    </row>
    <row r="83" spans="2:2" ht="15" customHeight="1" x14ac:dyDescent="0.3">
      <c r="B83" s="38" t="s">
        <v>543</v>
      </c>
    </row>
    <row r="84" spans="2:2" ht="15" customHeight="1" x14ac:dyDescent="0.3">
      <c r="B84" s="38" t="s">
        <v>544</v>
      </c>
    </row>
    <row r="85" spans="2:2" ht="15" customHeight="1" x14ac:dyDescent="0.3">
      <c r="B85" s="38" t="s">
        <v>545</v>
      </c>
    </row>
    <row r="86" spans="2:2" ht="15" customHeight="1" x14ac:dyDescent="0.3">
      <c r="B86" s="38" t="s">
        <v>192</v>
      </c>
    </row>
    <row r="87" spans="2:2" ht="15" customHeight="1" x14ac:dyDescent="0.3">
      <c r="B87" s="38" t="s">
        <v>72</v>
      </c>
    </row>
    <row r="88" spans="2:2" ht="15" customHeight="1" x14ac:dyDescent="0.3">
      <c r="B88" s="38" t="s">
        <v>546</v>
      </c>
    </row>
    <row r="89" spans="2:2" ht="15" customHeight="1" x14ac:dyDescent="0.3">
      <c r="B89" s="38" t="s">
        <v>607</v>
      </c>
    </row>
    <row r="90" spans="2:2" ht="15" customHeight="1" x14ac:dyDescent="0.3">
      <c r="B90" s="38" t="s">
        <v>73</v>
      </c>
    </row>
    <row r="91" spans="2:2" ht="15" customHeight="1" x14ac:dyDescent="0.3">
      <c r="B91" s="38" t="s">
        <v>548</v>
      </c>
    </row>
    <row r="92" spans="2:2" x14ac:dyDescent="0.3">
      <c r="B92" s="38" t="s">
        <v>549</v>
      </c>
    </row>
    <row r="93" spans="2:2" ht="15" customHeight="1" x14ac:dyDescent="0.3">
      <c r="B93" s="38" t="s">
        <v>74</v>
      </c>
    </row>
    <row r="94" spans="2:2" ht="15" customHeight="1" x14ac:dyDescent="0.3">
      <c r="B94" s="38" t="s">
        <v>550</v>
      </c>
    </row>
    <row r="95" spans="2:2" ht="15" customHeight="1" x14ac:dyDescent="0.3">
      <c r="B95" s="38" t="s">
        <v>551</v>
      </c>
    </row>
    <row r="96" spans="2:2" ht="15" customHeight="1" x14ac:dyDescent="0.3">
      <c r="B96" s="38" t="s">
        <v>552</v>
      </c>
    </row>
    <row r="97" spans="2:33" ht="15" customHeight="1" x14ac:dyDescent="0.3">
      <c r="B97" s="38" t="s">
        <v>553</v>
      </c>
    </row>
    <row r="98" spans="2:33" ht="15" customHeight="1" x14ac:dyDescent="0.3">
      <c r="B98" s="38" t="s">
        <v>554</v>
      </c>
    </row>
    <row r="99" spans="2:33" ht="15" customHeight="1" x14ac:dyDescent="0.3">
      <c r="B99" s="38" t="s">
        <v>606</v>
      </c>
    </row>
    <row r="100" spans="2:33" ht="15" customHeight="1" x14ac:dyDescent="0.3">
      <c r="B100" s="38" t="s">
        <v>605</v>
      </c>
    </row>
    <row r="103" spans="2:33" ht="15" customHeight="1" x14ac:dyDescent="0.3"/>
    <row r="104" spans="2:33" ht="15" customHeight="1" x14ac:dyDescent="0.3"/>
    <row r="105" spans="2:33" ht="15" customHeight="1" x14ac:dyDescent="0.3"/>
    <row r="106" spans="2:33" ht="15" customHeight="1" x14ac:dyDescent="0.3"/>
    <row r="107" spans="2:33" ht="15" customHeight="1" x14ac:dyDescent="0.3"/>
    <row r="108" spans="2:33" ht="15" customHeight="1" x14ac:dyDescent="0.3"/>
    <row r="109" spans="2:33" ht="15" customHeight="1" x14ac:dyDescent="0.3"/>
    <row r="110" spans="2:33" ht="15" customHeight="1" x14ac:dyDescent="0.3"/>
    <row r="111" spans="2:33" ht="15" customHeight="1" x14ac:dyDescent="0.3"/>
    <row r="112" spans="2:33" ht="15" customHeight="1" x14ac:dyDescent="0.3">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10" spans="2:33" ht="15" customHeight="1" x14ac:dyDescent="0.3"/>
    <row r="511" spans="2:33" ht="15" customHeight="1" x14ac:dyDescent="0.3">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7"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6" ht="15" customHeight="1" x14ac:dyDescent="0.3"/>
    <row r="627" ht="15" customHeight="1" x14ac:dyDescent="0.3"/>
    <row r="628" ht="15" customHeight="1" x14ac:dyDescent="0.3"/>
    <row r="629" ht="15" customHeight="1" x14ac:dyDescent="0.3"/>
    <row r="630"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9"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60"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2" ht="15" customHeight="1" x14ac:dyDescent="0.3"/>
    <row r="783" ht="15" customHeight="1" x14ac:dyDescent="0.3"/>
    <row r="784" ht="15" customHeight="1" x14ac:dyDescent="0.3"/>
    <row r="785" ht="15" customHeight="1" x14ac:dyDescent="0.3"/>
    <row r="787" ht="15" customHeight="1" x14ac:dyDescent="0.3"/>
    <row r="788" ht="15" customHeight="1" x14ac:dyDescent="0.3"/>
    <row r="789" ht="15" customHeight="1" x14ac:dyDescent="0.3"/>
    <row r="790"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6" ht="15" customHeight="1" x14ac:dyDescent="0.3"/>
    <row r="817" ht="15" customHeight="1" x14ac:dyDescent="0.3"/>
    <row r="818" ht="15" customHeight="1" x14ac:dyDescent="0.3"/>
    <row r="819" ht="15" customHeight="1" x14ac:dyDescent="0.3"/>
    <row r="820" ht="15" customHeight="1" x14ac:dyDescent="0.3"/>
    <row r="822" ht="15" customHeight="1" x14ac:dyDescent="0.3"/>
    <row r="823"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40"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7" ht="15" customHeight="1" x14ac:dyDescent="0.3"/>
    <row r="858" ht="15" customHeight="1" x14ac:dyDescent="0.3"/>
    <row r="859" ht="15" customHeight="1" x14ac:dyDescent="0.3"/>
    <row r="860" ht="15" customHeight="1" x14ac:dyDescent="0.3"/>
    <row r="861"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7"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50"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9"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500" spans="2:33" ht="15" customHeight="1" x14ac:dyDescent="0.3"/>
    <row r="1501" spans="2:33" ht="15" customHeight="1" x14ac:dyDescent="0.3"/>
    <row r="1502" spans="2:33" ht="15" customHeight="1" x14ac:dyDescent="0.3">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2" ht="15" customHeight="1" x14ac:dyDescent="0.3"/>
    <row r="1583" ht="15" customHeight="1" x14ac:dyDescent="0.3"/>
    <row r="1584" ht="15" customHeight="1" x14ac:dyDescent="0.3"/>
    <row r="1585" ht="15" customHeight="1" x14ac:dyDescent="0.3"/>
    <row r="1587" ht="15" customHeight="1" x14ac:dyDescent="0.3"/>
    <row r="1588" ht="15" customHeight="1" x14ac:dyDescent="0.3"/>
    <row r="1589" ht="15" customHeight="1" x14ac:dyDescent="0.3"/>
    <row r="1590" ht="15" customHeight="1" x14ac:dyDescent="0.3"/>
    <row r="1592" ht="15" customHeight="1" x14ac:dyDescent="0.3"/>
    <row r="1594" ht="15" customHeight="1" x14ac:dyDescent="0.3"/>
    <row r="1595" ht="15" customHeight="1" x14ac:dyDescent="0.3"/>
    <row r="1596" ht="15" customHeight="1" x14ac:dyDescent="0.3"/>
    <row r="1597"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5"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6"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7" spans="2:33" ht="15" customHeight="1" x14ac:dyDescent="0.3"/>
    <row r="1698" spans="2:33" ht="15" customHeight="1" x14ac:dyDescent="0.3">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1" ht="15" customHeight="1" x14ac:dyDescent="0.3"/>
    <row r="1863" ht="15" customHeight="1" x14ac:dyDescent="0.3"/>
    <row r="1864" ht="15" customHeight="1" x14ac:dyDescent="0.3"/>
    <row r="1865" ht="15" customHeight="1" x14ac:dyDescent="0.3"/>
    <row r="1867" ht="15" customHeight="1" x14ac:dyDescent="0.3"/>
    <row r="1868" ht="15" customHeight="1" x14ac:dyDescent="0.3"/>
    <row r="1869" ht="15" customHeight="1" x14ac:dyDescent="0.3"/>
    <row r="1870" ht="15" customHeight="1" x14ac:dyDescent="0.3"/>
    <row r="1872" ht="15" customHeight="1" x14ac:dyDescent="0.3"/>
    <row r="1873" ht="15" customHeight="1" x14ac:dyDescent="0.3"/>
    <row r="1874" ht="15" customHeight="1" x14ac:dyDescent="0.3"/>
    <row r="1875" ht="15" customHeight="1" x14ac:dyDescent="0.3"/>
    <row r="1876"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8" ht="15" customHeight="1" x14ac:dyDescent="0.3"/>
    <row r="1889" ht="15" customHeight="1" x14ac:dyDescent="0.3"/>
    <row r="1890" ht="15" customHeight="1" x14ac:dyDescent="0.3"/>
    <row r="1891"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3" ht="15" customHeight="1" x14ac:dyDescent="0.3"/>
    <row r="1904" ht="15" customHeight="1" x14ac:dyDescent="0.3"/>
    <row r="1905" ht="15" customHeight="1" x14ac:dyDescent="0.3"/>
    <row r="1906" ht="15" customHeight="1" x14ac:dyDescent="0.3"/>
    <row r="1907" ht="15" customHeight="1" x14ac:dyDescent="0.3"/>
    <row r="1909" ht="15" customHeight="1" x14ac:dyDescent="0.3"/>
    <row r="1910" ht="15" customHeight="1" x14ac:dyDescent="0.3"/>
    <row r="1911" ht="15" customHeight="1" x14ac:dyDescent="0.3"/>
    <row r="1912" ht="15" customHeight="1" x14ac:dyDescent="0.3"/>
    <row r="1913" ht="15" customHeight="1" x14ac:dyDescent="0.3"/>
    <row r="1915" ht="15" customHeight="1" x14ac:dyDescent="0.3"/>
    <row r="1916" ht="15" customHeight="1" x14ac:dyDescent="0.3"/>
    <row r="1917" ht="15" customHeight="1" x14ac:dyDescent="0.3"/>
    <row r="1919" ht="15" customHeight="1" x14ac:dyDescent="0.3"/>
    <row r="1920" ht="15" customHeight="1" x14ac:dyDescent="0.3"/>
    <row r="1921" ht="15" customHeight="1" x14ac:dyDescent="0.3"/>
    <row r="1922"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3" ht="15" customHeight="1" x14ac:dyDescent="0.3"/>
    <row r="1934" ht="15" customHeight="1" x14ac:dyDescent="0.3"/>
    <row r="1935"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4" ht="15" customHeight="1" x14ac:dyDescent="0.3"/>
    <row r="1985" ht="15" customHeight="1" x14ac:dyDescent="0.3"/>
    <row r="1986" ht="15" customHeight="1" x14ac:dyDescent="0.3"/>
    <row r="1988"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4" ht="15" customHeight="1" x14ac:dyDescent="0.3"/>
    <row r="2006" ht="15" customHeight="1" x14ac:dyDescent="0.3"/>
    <row r="2008" ht="15" customHeight="1" x14ac:dyDescent="0.3"/>
    <row r="2009"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7" ht="15" customHeight="1" x14ac:dyDescent="0.3"/>
    <row r="2108"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1" ht="15" customHeight="1" x14ac:dyDescent="0.3"/>
    <row r="2133" ht="15" customHeight="1" x14ac:dyDescent="0.3"/>
    <row r="2134"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8" spans="2:33" ht="15" customHeight="1" x14ac:dyDescent="0.3"/>
    <row r="2151" spans="2:33" ht="15" customHeight="1" x14ac:dyDescent="0.3"/>
    <row r="2152" spans="2:33" ht="15" customHeight="1" x14ac:dyDescent="0.3"/>
    <row r="2153" spans="2:33" ht="15" customHeight="1" x14ac:dyDescent="0.3">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60" ht="15" customHeight="1" x14ac:dyDescent="0.3"/>
    <row r="2261" ht="15" customHeight="1" x14ac:dyDescent="0.3"/>
    <row r="2262" ht="15" customHeight="1" x14ac:dyDescent="0.3"/>
    <row r="2264" ht="15" customHeight="1" x14ac:dyDescent="0.3"/>
    <row r="2266" ht="15" customHeight="1" x14ac:dyDescent="0.3"/>
    <row r="2267" ht="15" customHeight="1" x14ac:dyDescent="0.3"/>
    <row r="2268" ht="15" customHeight="1" x14ac:dyDescent="0.3"/>
    <row r="2269" ht="15" customHeight="1" x14ac:dyDescent="0.3"/>
    <row r="2271"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2" ht="15" customHeight="1" x14ac:dyDescent="0.3"/>
    <row r="2284" ht="15" customHeight="1" x14ac:dyDescent="0.3"/>
    <row r="2285" ht="15" customHeight="1" x14ac:dyDescent="0.3"/>
    <row r="2286"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301" ht="15" customHeight="1" x14ac:dyDescent="0.3"/>
    <row r="2302" ht="15" customHeight="1" x14ac:dyDescent="0.3"/>
    <row r="2303"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7" ht="15" customHeight="1" x14ac:dyDescent="0.3"/>
    <row r="2459" ht="15" customHeight="1" x14ac:dyDescent="0.3"/>
    <row r="2461" ht="15" customHeight="1" x14ac:dyDescent="0.3"/>
    <row r="2462" ht="15" customHeight="1" x14ac:dyDescent="0.3"/>
    <row r="2463" ht="15" customHeight="1" x14ac:dyDescent="0.3"/>
    <row r="2464" ht="15" customHeight="1" x14ac:dyDescent="0.3"/>
    <row r="2465"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6" ht="15" customHeight="1" x14ac:dyDescent="0.3"/>
    <row r="2488" ht="15" customHeight="1" x14ac:dyDescent="0.3"/>
    <row r="2489" ht="15" customHeight="1" x14ac:dyDescent="0.3"/>
    <row r="2490" ht="15" customHeight="1" x14ac:dyDescent="0.3"/>
    <row r="2491" ht="15" customHeight="1" x14ac:dyDescent="0.3"/>
    <row r="2492" ht="15" customHeight="1" x14ac:dyDescent="0.3"/>
    <row r="2495" ht="15" customHeight="1" x14ac:dyDescent="0.3"/>
    <row r="2496"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5" ht="15" customHeight="1" x14ac:dyDescent="0.3"/>
    <row r="2576" ht="15" customHeight="1" x14ac:dyDescent="0.3"/>
    <row r="2577" ht="15" customHeight="1" x14ac:dyDescent="0.3"/>
    <row r="2578" ht="15" customHeight="1" x14ac:dyDescent="0.3"/>
    <row r="2579"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5" spans="2:33" ht="15" customHeight="1" x14ac:dyDescent="0.3"/>
    <row r="2596" spans="2:33" ht="15" customHeight="1" x14ac:dyDescent="0.3"/>
    <row r="2597" spans="2:33" ht="15" customHeight="1" x14ac:dyDescent="0.3"/>
    <row r="2598" spans="2:33" ht="15" customHeight="1" x14ac:dyDescent="0.3">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8" ht="15" customHeight="1" x14ac:dyDescent="0.3"/>
    <row r="2789" ht="15" customHeight="1" x14ac:dyDescent="0.3"/>
    <row r="2790" ht="15" customHeight="1" x14ac:dyDescent="0.3"/>
    <row r="2791"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4" ht="15" customHeight="1" x14ac:dyDescent="0.3"/>
    <row r="2805" ht="15" customHeight="1" x14ac:dyDescent="0.3"/>
    <row r="2806" ht="15" customHeight="1" x14ac:dyDescent="0.3"/>
    <row r="2807"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5" ht="15" customHeight="1" x14ac:dyDescent="0.3"/>
    <row r="2826" ht="15" customHeight="1" x14ac:dyDescent="0.3"/>
    <row r="2827" ht="15" customHeight="1" x14ac:dyDescent="0.3"/>
    <row r="2828"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row r="2838" spans="2:33" ht="15" customHeight="1" x14ac:dyDescent="0.3"/>
    <row r="2839" spans="2:33" ht="15" customHeight="1" x14ac:dyDescent="0.3"/>
    <row r="2840" spans="2:33" ht="15" customHeight="1" x14ac:dyDescent="0.3"/>
    <row r="2841" spans="2:33" ht="15" customHeight="1" x14ac:dyDescent="0.3"/>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3"/>
  <cols>
    <col min="1" max="1" width="21.269531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3">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3">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3">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3">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3">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3">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3">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3">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3">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3">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3">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3">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3">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3">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3">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3">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3">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3">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3">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3">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3">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3">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3">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3">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3">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3">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3">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3">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3">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3">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3">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3">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3">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3">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3">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3">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3">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3">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3">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3">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3">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3">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3">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3">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3">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3">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3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3">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3">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3">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3">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3">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3">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3">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3">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3">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3">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3">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3">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3">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3">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3">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3">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3">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3">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3">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3">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3">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3">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3">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3">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3">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373</v>
      </c>
      <c r="B10" s="54" t="s">
        <v>117</v>
      </c>
      <c r="AG10" s="51" t="s">
        <v>616</v>
      </c>
    </row>
    <row r="11" spans="1:33" ht="15" customHeight="1" x14ac:dyDescent="0.3">
      <c r="B11" s="53" t="s">
        <v>118</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
      <c r="B15" s="46" t="s">
        <v>120</v>
      </c>
    </row>
    <row r="16" spans="1:33" ht="15" customHeight="1" x14ac:dyDescent="0.3"/>
    <row r="17" spans="1:33" ht="15" customHeight="1" x14ac:dyDescent="0.3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3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3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3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3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3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3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3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3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3">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3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3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3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3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5" x14ac:dyDescent="0.3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5" x14ac:dyDescent="0.3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3">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3">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5" x14ac:dyDescent="0.3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5" x14ac:dyDescent="0.35">
      <c r="B36"/>
      <c r="C36"/>
      <c r="D36"/>
      <c r="E36"/>
      <c r="F36"/>
      <c r="G36"/>
      <c r="H36"/>
      <c r="I36"/>
      <c r="J36"/>
      <c r="K36"/>
      <c r="L36"/>
      <c r="M36"/>
      <c r="N36"/>
      <c r="O36"/>
      <c r="P36"/>
      <c r="Q36"/>
      <c r="R36"/>
      <c r="S36"/>
      <c r="T36"/>
      <c r="U36"/>
      <c r="V36"/>
      <c r="W36"/>
      <c r="X36"/>
      <c r="Y36"/>
      <c r="Z36"/>
      <c r="AA36"/>
      <c r="AB36"/>
      <c r="AC36"/>
      <c r="AD36"/>
      <c r="AE36"/>
      <c r="AF36"/>
      <c r="AG36"/>
    </row>
    <row r="37" spans="1:33" x14ac:dyDescent="0.3">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5" x14ac:dyDescent="0.35">
      <c r="B38"/>
      <c r="C38"/>
      <c r="D38"/>
      <c r="E38"/>
      <c r="F38"/>
      <c r="G38"/>
      <c r="H38"/>
      <c r="I38"/>
      <c r="J38"/>
      <c r="K38"/>
      <c r="L38"/>
      <c r="M38"/>
      <c r="N38"/>
      <c r="O38"/>
      <c r="P38"/>
      <c r="Q38"/>
      <c r="R38"/>
      <c r="S38"/>
      <c r="T38"/>
      <c r="U38"/>
      <c r="V38"/>
      <c r="W38"/>
      <c r="X38"/>
      <c r="Y38"/>
      <c r="Z38"/>
      <c r="AA38"/>
      <c r="AB38"/>
      <c r="AC38"/>
      <c r="AD38"/>
      <c r="AE38"/>
      <c r="AF38"/>
      <c r="AG38"/>
    </row>
    <row r="39" spans="1:33" ht="14.5" x14ac:dyDescent="0.35">
      <c r="B39" s="46" t="s">
        <v>135</v>
      </c>
      <c r="C39"/>
      <c r="D39"/>
      <c r="E39"/>
      <c r="F39"/>
      <c r="G39"/>
      <c r="H39"/>
      <c r="I39"/>
      <c r="J39"/>
      <c r="K39"/>
      <c r="L39"/>
      <c r="M39"/>
      <c r="N39"/>
      <c r="O39"/>
      <c r="P39"/>
      <c r="Q39"/>
      <c r="R39"/>
      <c r="S39"/>
      <c r="T39"/>
      <c r="U39"/>
      <c r="V39"/>
      <c r="W39"/>
      <c r="X39"/>
      <c r="Y39"/>
      <c r="Z39"/>
      <c r="AA39"/>
      <c r="AB39"/>
      <c r="AC39"/>
      <c r="AD39"/>
      <c r="AE39"/>
      <c r="AF39"/>
      <c r="AG39"/>
    </row>
    <row r="40" spans="1:33" ht="14.5" x14ac:dyDescent="0.3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5" x14ac:dyDescent="0.3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5" x14ac:dyDescent="0.3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5" x14ac:dyDescent="0.3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5" x14ac:dyDescent="0.3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5" x14ac:dyDescent="0.3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3">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5" x14ac:dyDescent="0.3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3">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3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3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3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3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3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3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3">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3">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3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3">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3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3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3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3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3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5" x14ac:dyDescent="0.3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3">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3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3">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35">
      <c r="B72" s="46" t="s">
        <v>625</v>
      </c>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3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3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3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3">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35">
      <c r="B78" s="46" t="s">
        <v>155</v>
      </c>
      <c r="C78"/>
      <c r="D78"/>
      <c r="E78"/>
      <c r="F78"/>
      <c r="G78"/>
      <c r="H78"/>
      <c r="I78"/>
      <c r="J78"/>
      <c r="K78"/>
      <c r="L78"/>
      <c r="M78"/>
      <c r="N78"/>
      <c r="O78"/>
      <c r="P78"/>
      <c r="Q78"/>
      <c r="R78"/>
      <c r="S78"/>
      <c r="T78"/>
      <c r="U78"/>
      <c r="V78"/>
      <c r="W78"/>
      <c r="X78"/>
      <c r="Y78"/>
      <c r="Z78"/>
      <c r="AA78"/>
      <c r="AB78"/>
      <c r="AC78"/>
      <c r="AD78"/>
      <c r="AE78"/>
      <c r="AF78"/>
      <c r="AG78"/>
    </row>
    <row r="79" spans="1:33" ht="14.5" x14ac:dyDescent="0.3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3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5" x14ac:dyDescent="0.3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3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3">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3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3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3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3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3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3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3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3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5" x14ac:dyDescent="0.3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3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3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3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3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3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3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35"/>
    <row r="100" spans="1:33" ht="15" customHeight="1" x14ac:dyDescent="0.3">
      <c r="B100" s="39" t="s">
        <v>567</v>
      </c>
    </row>
    <row r="101" spans="1:33" x14ac:dyDescent="0.3">
      <c r="B101" s="38" t="s">
        <v>556</v>
      </c>
    </row>
    <row r="102" spans="1:33" x14ac:dyDescent="0.3">
      <c r="B102" s="38" t="s">
        <v>557</v>
      </c>
    </row>
    <row r="103" spans="1:33" ht="15" customHeight="1" x14ac:dyDescent="0.3">
      <c r="B103" s="38" t="s">
        <v>558</v>
      </c>
    </row>
    <row r="104" spans="1:33" ht="15" customHeight="1" x14ac:dyDescent="0.3">
      <c r="B104" s="38" t="s">
        <v>559</v>
      </c>
    </row>
    <row r="105" spans="1:33" ht="15" customHeight="1" x14ac:dyDescent="0.3">
      <c r="B105" s="38" t="s">
        <v>560</v>
      </c>
    </row>
    <row r="106" spans="1:33" ht="15" customHeight="1" x14ac:dyDescent="0.3">
      <c r="B106" s="38" t="s">
        <v>561</v>
      </c>
    </row>
    <row r="107" spans="1:33" ht="15" customHeight="1" x14ac:dyDescent="0.3">
      <c r="B107" s="38" t="s">
        <v>164</v>
      </c>
    </row>
    <row r="108" spans="1:33" ht="15" customHeight="1" x14ac:dyDescent="0.3">
      <c r="B108" s="38" t="s">
        <v>562</v>
      </c>
    </row>
    <row r="109" spans="1:33" ht="15" customHeight="1" x14ac:dyDescent="0.3">
      <c r="B109" s="38" t="s">
        <v>76</v>
      </c>
    </row>
    <row r="110" spans="1:33" ht="15" customHeight="1" x14ac:dyDescent="0.3">
      <c r="B110" s="38" t="s">
        <v>77</v>
      </c>
    </row>
    <row r="111" spans="1:33" ht="15" customHeight="1" x14ac:dyDescent="0.3">
      <c r="B111" s="38" t="s">
        <v>563</v>
      </c>
    </row>
    <row r="112" spans="1:33" ht="15" customHeight="1" x14ac:dyDescent="0.3">
      <c r="B112" s="471" t="s">
        <v>568</v>
      </c>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spans="2:2" ht="15" customHeight="1" x14ac:dyDescent="0.3">
      <c r="B113" s="38" t="s">
        <v>564</v>
      </c>
    </row>
    <row r="114" spans="2:2" ht="15" customHeight="1" x14ac:dyDescent="0.3">
      <c r="B114" s="38" t="s">
        <v>565</v>
      </c>
    </row>
    <row r="115" spans="2:2" ht="15" customHeight="1" x14ac:dyDescent="0.3">
      <c r="B115" s="38" t="s">
        <v>566</v>
      </c>
    </row>
    <row r="116" spans="2:2" ht="15" customHeight="1" x14ac:dyDescent="0.3">
      <c r="B116" s="38" t="s">
        <v>165</v>
      </c>
    </row>
    <row r="117" spans="2:2" ht="15" customHeight="1" x14ac:dyDescent="0.3">
      <c r="B117" s="38" t="s">
        <v>553</v>
      </c>
    </row>
    <row r="118" spans="2:2" ht="15" customHeight="1" x14ac:dyDescent="0.3">
      <c r="B118" s="38" t="s">
        <v>554</v>
      </c>
    </row>
    <row r="119" spans="2:2" ht="15" customHeight="1" x14ac:dyDescent="0.3">
      <c r="B119" s="38" t="s">
        <v>624</v>
      </c>
    </row>
    <row r="120" spans="2:2" ht="15" customHeight="1" x14ac:dyDescent="0.3">
      <c r="B120" s="38" t="s">
        <v>623</v>
      </c>
    </row>
    <row r="121" spans="2:2" ht="15" customHeight="1" x14ac:dyDescent="0.3"/>
    <row r="122" spans="2:2" ht="15" customHeight="1" x14ac:dyDescent="0.3"/>
    <row r="123" spans="2:2" ht="15" customHeight="1" x14ac:dyDescent="0.3"/>
    <row r="124" spans="2:2" ht="15" customHeight="1" x14ac:dyDescent="0.3"/>
    <row r="125" spans="2:2" ht="15" customHeight="1" x14ac:dyDescent="0.3"/>
    <row r="126" spans="2:2" ht="15" customHeight="1" x14ac:dyDescent="0.3"/>
    <row r="127" spans="2:2" ht="15" customHeight="1" x14ac:dyDescent="0.3"/>
    <row r="128" spans="2:2"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3">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3">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3">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3">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3">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3">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3">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3">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3">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3">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3">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3">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3">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3">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3">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3">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3">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3">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3">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3">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3">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3">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3">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3">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3">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3">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3">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3">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3">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3">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3">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3">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3">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3">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3">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3">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3">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3">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3">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3">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3">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3">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3">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3">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3">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3">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3">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3">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3">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3">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3">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3">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3">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3">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3">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3">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3">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3">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3">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3">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3">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3">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3">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3">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3">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3">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3">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3">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3">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3">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3">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3">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3">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3">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3">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3">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3">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3">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3">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3">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3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3">
      <c r="B100" s="472" t="s">
        <v>651</v>
      </c>
      <c r="C100" s="473"/>
      <c r="D100" s="473"/>
      <c r="E100" s="473"/>
      <c r="F100" s="473"/>
      <c r="G100" s="473"/>
      <c r="H100" s="473"/>
      <c r="I100" s="473"/>
      <c r="J100" s="473"/>
      <c r="K100" s="473"/>
      <c r="L100" s="473"/>
      <c r="M100" s="473"/>
      <c r="N100" s="473"/>
      <c r="O100" s="473"/>
      <c r="P100" s="473"/>
      <c r="Q100" s="473"/>
      <c r="R100" s="473"/>
      <c r="S100" s="473"/>
      <c r="T100" s="473"/>
      <c r="U100" s="473"/>
      <c r="V100" s="473"/>
      <c r="W100" s="473"/>
      <c r="X100" s="473"/>
      <c r="Y100" s="473"/>
      <c r="Z100" s="473"/>
      <c r="AA100" s="473"/>
      <c r="AB100" s="473"/>
      <c r="AC100" s="473"/>
      <c r="AD100" s="473"/>
      <c r="AE100" s="473"/>
      <c r="AF100" s="473"/>
      <c r="AG100" s="473"/>
      <c r="AH100" s="58"/>
    </row>
    <row r="101" spans="1:34" ht="12" x14ac:dyDescent="0.3">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3">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3">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3">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3">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3">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3">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3">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3">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3">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3">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3">
      <c r="B112" s="471" t="s">
        <v>568</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38"/>
    </row>
    <row r="113" spans="2:33" ht="15" customHeight="1" x14ac:dyDescent="0.3">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3">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row>
    <row r="511" spans="2:32" ht="15" customHeight="1" x14ac:dyDescent="0.3">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row>
    <row r="712" spans="2:32" ht="15" customHeight="1" x14ac:dyDescent="0.3">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row>
    <row r="887" spans="2:32" ht="15" customHeight="1" x14ac:dyDescent="0.3">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row>
    <row r="1101" spans="2:32" ht="15" customHeight="1" x14ac:dyDescent="0.3">
      <c r="B1101" s="470"/>
      <c r="C1101" s="470"/>
      <c r="D1101" s="470"/>
      <c r="E1101" s="470"/>
      <c r="F1101" s="470"/>
      <c r="G1101" s="470"/>
      <c r="H1101" s="470"/>
      <c r="I1101" s="470"/>
      <c r="J1101" s="470"/>
      <c r="K1101" s="470"/>
      <c r="L1101" s="470"/>
      <c r="M1101" s="470"/>
      <c r="N1101" s="470"/>
      <c r="O1101" s="470"/>
      <c r="P1101" s="470"/>
      <c r="Q1101" s="470"/>
      <c r="R1101" s="470"/>
      <c r="S1101" s="470"/>
      <c r="T1101" s="470"/>
      <c r="U1101" s="470"/>
      <c r="V1101" s="470"/>
      <c r="W1101" s="470"/>
      <c r="X1101" s="470"/>
      <c r="Y1101" s="470"/>
      <c r="Z1101" s="470"/>
      <c r="AA1101" s="470"/>
      <c r="AB1101" s="470"/>
      <c r="AC1101" s="470"/>
      <c r="AD1101" s="470"/>
      <c r="AE1101" s="470"/>
      <c r="AF1101" s="470"/>
    </row>
    <row r="1229" spans="2:32" ht="15" customHeight="1" x14ac:dyDescent="0.3">
      <c r="B1229" s="470"/>
      <c r="C1229" s="470"/>
      <c r="D1229" s="470"/>
      <c r="E1229" s="470"/>
      <c r="F1229" s="470"/>
      <c r="G1229" s="470"/>
      <c r="H1229" s="470"/>
      <c r="I1229" s="470"/>
      <c r="J1229" s="470"/>
      <c r="K1229" s="470"/>
      <c r="L1229" s="470"/>
      <c r="M1229" s="470"/>
      <c r="N1229" s="470"/>
      <c r="O1229" s="470"/>
      <c r="P1229" s="470"/>
      <c r="Q1229" s="470"/>
      <c r="R1229" s="470"/>
      <c r="S1229" s="470"/>
      <c r="T1229" s="470"/>
      <c r="U1229" s="470"/>
      <c r="V1229" s="470"/>
      <c r="W1229" s="470"/>
      <c r="X1229" s="470"/>
      <c r="Y1229" s="470"/>
      <c r="Z1229" s="470"/>
      <c r="AA1229" s="470"/>
      <c r="AB1229" s="470"/>
      <c r="AC1229" s="470"/>
      <c r="AD1229" s="470"/>
      <c r="AE1229" s="470"/>
      <c r="AF1229" s="470"/>
    </row>
    <row r="1390" spans="2:32" ht="15" customHeight="1" x14ac:dyDescent="0.3">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row>
    <row r="1502" spans="2:32" ht="15" customHeight="1" x14ac:dyDescent="0.3">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row>
    <row r="1604" spans="2:32" ht="15" customHeight="1" x14ac:dyDescent="0.3">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row>
    <row r="1699" spans="2:32" ht="15" customHeight="1" x14ac:dyDescent="0.3">
      <c r="B1699" s="470"/>
      <c r="C1699" s="470"/>
      <c r="D1699" s="470"/>
      <c r="E1699" s="470"/>
      <c r="F1699" s="470"/>
      <c r="G1699" s="470"/>
      <c r="H1699" s="470"/>
      <c r="I1699" s="470"/>
      <c r="J1699" s="470"/>
      <c r="K1699" s="470"/>
      <c r="L1699" s="470"/>
      <c r="M1699" s="470"/>
      <c r="N1699" s="470"/>
      <c r="O1699" s="470"/>
      <c r="P1699" s="470"/>
      <c r="Q1699" s="470"/>
      <c r="R1699" s="470"/>
      <c r="S1699" s="470"/>
      <c r="T1699" s="470"/>
      <c r="U1699" s="470"/>
      <c r="V1699" s="470"/>
      <c r="W1699" s="470"/>
      <c r="X1699" s="470"/>
      <c r="Y1699" s="470"/>
      <c r="Z1699" s="470"/>
      <c r="AA1699" s="470"/>
      <c r="AB1699" s="470"/>
      <c r="AC1699" s="470"/>
      <c r="AD1699" s="470"/>
      <c r="AE1699" s="470"/>
      <c r="AF1699" s="470"/>
    </row>
    <row r="1945" spans="2:32" ht="15" customHeight="1" x14ac:dyDescent="0.3">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row>
    <row r="2031" spans="2:32" ht="15" customHeight="1" x14ac:dyDescent="0.3">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row>
    <row r="2153" spans="2:32" ht="15" customHeight="1" x14ac:dyDescent="0.3">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row>
    <row r="2317" spans="2:32" ht="15" customHeight="1" x14ac:dyDescent="0.3">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row>
    <row r="2419" spans="2:32" ht="15" customHeight="1" x14ac:dyDescent="0.3">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row>
    <row r="2509" spans="2:32" ht="15" customHeight="1" x14ac:dyDescent="0.3">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row>
    <row r="2598" spans="2:32" ht="15" customHeight="1" x14ac:dyDescent="0.3">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row>
    <row r="2719" spans="2:32" ht="15" customHeight="1" x14ac:dyDescent="0.3">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row>
    <row r="2837" spans="2:32" ht="15" customHeight="1" x14ac:dyDescent="0.3">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row>
  </sheetData>
  <mergeCells count="21">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 x14ac:dyDescent="0.3"/>
  <cols>
    <col min="1" max="1" width="19.7265625" style="37" bestFit="1" customWidth="1"/>
    <col min="2" max="2" width="46.7265625" style="37" customWidth="1"/>
    <col min="3" max="16384" width="8.7265625" style="37"/>
  </cols>
  <sheetData>
    <row r="1" spans="1:33" ht="15" customHeight="1" thickBot="1" x14ac:dyDescent="0.3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3"/>
    <row r="3" spans="1:33" ht="15" customHeight="1" x14ac:dyDescent="0.3">
      <c r="C3" s="55" t="s">
        <v>494</v>
      </c>
      <c r="D3" s="55" t="s">
        <v>621</v>
      </c>
      <c r="E3" s="55"/>
      <c r="F3" s="55"/>
      <c r="G3" s="55"/>
    </row>
    <row r="4" spans="1:33" ht="15" customHeight="1" x14ac:dyDescent="0.3">
      <c r="C4" s="55" t="s">
        <v>495</v>
      </c>
      <c r="D4" s="55" t="s">
        <v>620</v>
      </c>
      <c r="E4" s="55"/>
      <c r="F4" s="55"/>
      <c r="G4" s="55" t="s">
        <v>619</v>
      </c>
    </row>
    <row r="5" spans="1:33" ht="15" customHeight="1" x14ac:dyDescent="0.3">
      <c r="C5" s="55" t="s">
        <v>496</v>
      </c>
      <c r="D5" s="55" t="s">
        <v>618</v>
      </c>
      <c r="E5" s="55"/>
      <c r="F5" s="55"/>
      <c r="G5" s="55"/>
    </row>
    <row r="6" spans="1:33" ht="15" customHeight="1" x14ac:dyDescent="0.3">
      <c r="C6" s="55" t="s">
        <v>497</v>
      </c>
      <c r="D6" s="55"/>
      <c r="E6" s="55" t="s">
        <v>617</v>
      </c>
      <c r="F6" s="55"/>
      <c r="G6" s="55"/>
    </row>
    <row r="10" spans="1:33" ht="15" customHeight="1" x14ac:dyDescent="0.35">
      <c r="A10" s="43" t="s">
        <v>434</v>
      </c>
      <c r="B10" s="54" t="s">
        <v>78</v>
      </c>
      <c r="AG10" s="51" t="s">
        <v>616</v>
      </c>
    </row>
    <row r="11" spans="1:33" ht="15" customHeight="1" x14ac:dyDescent="0.3">
      <c r="B11" s="53" t="s">
        <v>79</v>
      </c>
      <c r="AG11" s="51" t="s">
        <v>615</v>
      </c>
    </row>
    <row r="12" spans="1:33" ht="15" customHeight="1" x14ac:dyDescent="0.3">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3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3"/>
    <row r="15" spans="1:33" ht="15" customHeight="1" x14ac:dyDescent="0.3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3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3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3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3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3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3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3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3">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3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3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3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3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3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3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3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5" x14ac:dyDescent="0.3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4.5" x14ac:dyDescent="0.3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5" x14ac:dyDescent="0.3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5" x14ac:dyDescent="0.3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5" x14ac:dyDescent="0.3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5" x14ac:dyDescent="0.3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5" x14ac:dyDescent="0.3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4.5" x14ac:dyDescent="0.3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4.5" x14ac:dyDescent="0.3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5" x14ac:dyDescent="0.3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4.5" x14ac:dyDescent="0.3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4.5" x14ac:dyDescent="0.3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5" x14ac:dyDescent="0.3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5" x14ac:dyDescent="0.3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5" x14ac:dyDescent="0.3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4.5" x14ac:dyDescent="0.3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4.5" x14ac:dyDescent="0.3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4.5" x14ac:dyDescent="0.3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5" x14ac:dyDescent="0.3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3">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3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3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3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3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3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3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3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3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3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3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3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3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3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3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3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5" x14ac:dyDescent="0.3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3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3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3">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3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3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35">
      <c r="B72"/>
      <c r="C72"/>
      <c r="D72"/>
      <c r="E72"/>
      <c r="F72"/>
      <c r="G72"/>
      <c r="H72"/>
      <c r="I72"/>
      <c r="J72"/>
      <c r="K72"/>
      <c r="L72"/>
      <c r="M72"/>
      <c r="N72"/>
      <c r="O72"/>
      <c r="P72"/>
      <c r="Q72"/>
      <c r="R72"/>
      <c r="S72"/>
      <c r="T72"/>
      <c r="U72"/>
      <c r="V72"/>
      <c r="W72"/>
      <c r="X72"/>
      <c r="Y72"/>
      <c r="Z72"/>
      <c r="AA72"/>
      <c r="AB72"/>
      <c r="AC72"/>
      <c r="AD72"/>
      <c r="AE72"/>
      <c r="AF72"/>
      <c r="AG72"/>
    </row>
    <row r="73" spans="1:33" ht="14.5" x14ac:dyDescent="0.3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3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3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3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3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3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5" x14ac:dyDescent="0.3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3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35"/>
    <row r="83" spans="2:2" ht="15" customHeight="1" x14ac:dyDescent="0.3">
      <c r="B83" s="39" t="s">
        <v>586</v>
      </c>
    </row>
    <row r="84" spans="2:2" ht="15" customHeight="1" x14ac:dyDescent="0.3">
      <c r="B84" s="38" t="s">
        <v>569</v>
      </c>
    </row>
    <row r="85" spans="2:2" ht="15" customHeight="1" x14ac:dyDescent="0.3">
      <c r="B85" s="38" t="s">
        <v>570</v>
      </c>
    </row>
    <row r="86" spans="2:2" ht="15" customHeight="1" x14ac:dyDescent="0.3">
      <c r="B86" s="38" t="s">
        <v>571</v>
      </c>
    </row>
    <row r="87" spans="2:2" ht="15" customHeight="1" x14ac:dyDescent="0.3">
      <c r="B87" s="38" t="s">
        <v>107</v>
      </c>
    </row>
    <row r="88" spans="2:2" ht="15" customHeight="1" x14ac:dyDescent="0.3">
      <c r="B88" s="38" t="s">
        <v>572</v>
      </c>
    </row>
    <row r="89" spans="2:2" ht="15" customHeight="1" x14ac:dyDescent="0.3">
      <c r="B89" s="38" t="s">
        <v>108</v>
      </c>
    </row>
    <row r="90" spans="2:2" ht="15" customHeight="1" x14ac:dyDescent="0.3">
      <c r="B90" s="38" t="s">
        <v>573</v>
      </c>
    </row>
    <row r="91" spans="2:2" ht="15" customHeight="1" x14ac:dyDescent="0.3">
      <c r="B91" s="38" t="s">
        <v>574</v>
      </c>
    </row>
    <row r="92" spans="2:2" x14ac:dyDescent="0.3">
      <c r="B92" s="38" t="s">
        <v>219</v>
      </c>
    </row>
    <row r="93" spans="2:2" ht="15" customHeight="1" x14ac:dyDescent="0.3">
      <c r="B93" s="38" t="s">
        <v>575</v>
      </c>
    </row>
    <row r="94" spans="2:2" ht="15" customHeight="1" x14ac:dyDescent="0.3">
      <c r="B94" s="38" t="s">
        <v>576</v>
      </c>
    </row>
    <row r="95" spans="2:2" ht="15" customHeight="1" x14ac:dyDescent="0.3">
      <c r="B95" s="38" t="s">
        <v>627</v>
      </c>
    </row>
    <row r="96" spans="2:2" ht="15" customHeight="1" x14ac:dyDescent="0.3">
      <c r="B96" s="38" t="s">
        <v>493</v>
      </c>
    </row>
    <row r="97" spans="2:33" ht="15" customHeight="1" x14ac:dyDescent="0.3">
      <c r="B97" s="38" t="s">
        <v>577</v>
      </c>
    </row>
    <row r="98" spans="2:33" ht="15" customHeight="1" x14ac:dyDescent="0.3">
      <c r="B98" s="38" t="s">
        <v>578</v>
      </c>
    </row>
    <row r="99" spans="2:33" ht="15" customHeight="1" x14ac:dyDescent="0.3">
      <c r="B99" s="38" t="s">
        <v>579</v>
      </c>
    </row>
    <row r="100" spans="2:33" ht="15" customHeight="1" x14ac:dyDescent="0.3">
      <c r="B100" s="38" t="s">
        <v>499</v>
      </c>
    </row>
    <row r="101" spans="2:33" x14ac:dyDescent="0.3">
      <c r="B101" s="38" t="s">
        <v>580</v>
      </c>
    </row>
    <row r="102" spans="2:33" x14ac:dyDescent="0.3">
      <c r="B102" s="38" t="s">
        <v>581</v>
      </c>
    </row>
    <row r="103" spans="2:33" ht="15" customHeight="1" x14ac:dyDescent="0.3">
      <c r="B103" s="38" t="s">
        <v>582</v>
      </c>
    </row>
    <row r="104" spans="2:33" ht="15" customHeight="1" x14ac:dyDescent="0.3">
      <c r="B104" s="38" t="s">
        <v>583</v>
      </c>
    </row>
    <row r="105" spans="2:33" ht="15" customHeight="1" x14ac:dyDescent="0.3">
      <c r="B105" s="38" t="s">
        <v>584</v>
      </c>
    </row>
    <row r="106" spans="2:33" ht="15" customHeight="1" x14ac:dyDescent="0.3">
      <c r="B106" s="38" t="s">
        <v>585</v>
      </c>
    </row>
    <row r="107" spans="2:33" ht="15" customHeight="1" x14ac:dyDescent="0.3">
      <c r="B107" s="38" t="s">
        <v>109</v>
      </c>
    </row>
    <row r="108" spans="2:33" ht="15" customHeight="1" x14ac:dyDescent="0.3">
      <c r="B108" s="38" t="s">
        <v>553</v>
      </c>
    </row>
    <row r="109" spans="2:33" ht="15" customHeight="1" x14ac:dyDescent="0.3">
      <c r="B109" s="38" t="s">
        <v>554</v>
      </c>
    </row>
    <row r="110" spans="2:33" ht="15" customHeight="1" x14ac:dyDescent="0.3">
      <c r="B110" s="38" t="s">
        <v>626</v>
      </c>
    </row>
    <row r="111" spans="2:33" ht="15" customHeight="1" x14ac:dyDescent="0.3">
      <c r="B111" s="38" t="s">
        <v>605</v>
      </c>
    </row>
    <row r="112" spans="2:33" ht="15" customHeight="1" x14ac:dyDescent="0.3">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row>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4" ht="15" customHeight="1" x14ac:dyDescent="0.3"/>
    <row r="225"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spans="2:33" ht="15" customHeight="1" x14ac:dyDescent="0.3"/>
    <row r="306" spans="2:33" ht="15" customHeight="1" x14ac:dyDescent="0.3"/>
    <row r="307" spans="2:33" ht="15" customHeight="1" x14ac:dyDescent="0.3"/>
    <row r="308" spans="2:33" ht="15" customHeight="1" x14ac:dyDescent="0.3">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c r="AG308" s="470"/>
    </row>
    <row r="309" spans="2:33" ht="15" customHeight="1" x14ac:dyDescent="0.3"/>
    <row r="310" spans="2:33" ht="15" customHeight="1" x14ac:dyDescent="0.3"/>
    <row r="311" spans="2:33" ht="15" customHeight="1" x14ac:dyDescent="0.3"/>
    <row r="312" spans="2:33" ht="15" customHeight="1" x14ac:dyDescent="0.3"/>
    <row r="313" spans="2:33" ht="15" customHeight="1" x14ac:dyDescent="0.3"/>
    <row r="314" spans="2:33" ht="15" customHeight="1" x14ac:dyDescent="0.3"/>
    <row r="315" spans="2:33" ht="15" customHeight="1" x14ac:dyDescent="0.3"/>
    <row r="316" spans="2:33" ht="15" customHeight="1" x14ac:dyDescent="0.3"/>
    <row r="317" spans="2:33" ht="15" customHeight="1" x14ac:dyDescent="0.3"/>
    <row r="318" spans="2:33" ht="15" customHeight="1" x14ac:dyDescent="0.3"/>
    <row r="319" spans="2:33" ht="15" customHeight="1" x14ac:dyDescent="0.3"/>
    <row r="320" spans="2:33"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spans="2:33" ht="15" customHeight="1" x14ac:dyDescent="0.3"/>
    <row r="498" spans="2:33" ht="15" customHeight="1" x14ac:dyDescent="0.3"/>
    <row r="499" spans="2:33" ht="15" customHeight="1" x14ac:dyDescent="0.3"/>
    <row r="500" spans="2:33" ht="15" customHeight="1" x14ac:dyDescent="0.3"/>
    <row r="501" spans="2:33" ht="15" customHeight="1" x14ac:dyDescent="0.3"/>
    <row r="502" spans="2:33" ht="15" customHeight="1" x14ac:dyDescent="0.3"/>
    <row r="503" spans="2:33" ht="15" customHeight="1" x14ac:dyDescent="0.3"/>
    <row r="504" spans="2:33" ht="15" customHeight="1" x14ac:dyDescent="0.3"/>
    <row r="505" spans="2:33" ht="15" customHeight="1" x14ac:dyDescent="0.3"/>
    <row r="506" spans="2:33" ht="15" customHeight="1" x14ac:dyDescent="0.3"/>
    <row r="507" spans="2:33" ht="15" customHeight="1" x14ac:dyDescent="0.3"/>
    <row r="508" spans="2:33" ht="15" customHeight="1" x14ac:dyDescent="0.3"/>
    <row r="509" spans="2:33" ht="15" customHeight="1" x14ac:dyDescent="0.3"/>
    <row r="510" spans="2:33" ht="15" customHeight="1" x14ac:dyDescent="0.3"/>
    <row r="511" spans="2:33" ht="15" customHeight="1" x14ac:dyDescent="0.3">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c r="AG511" s="470"/>
    </row>
    <row r="512" spans="2:33"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spans="2:33" ht="15" customHeight="1" x14ac:dyDescent="0.3"/>
    <row r="706" spans="2:33" ht="15" customHeight="1" x14ac:dyDescent="0.3"/>
    <row r="707" spans="2:33" ht="15" customHeight="1" x14ac:dyDescent="0.3"/>
    <row r="708" spans="2:33" ht="15" customHeight="1" x14ac:dyDescent="0.3"/>
    <row r="709" spans="2:33" ht="15" customHeight="1" x14ac:dyDescent="0.3"/>
    <row r="710" spans="2:33" ht="15" customHeight="1" x14ac:dyDescent="0.3"/>
    <row r="711" spans="2:33" ht="15" customHeight="1" x14ac:dyDescent="0.3"/>
    <row r="712" spans="2:33" ht="15" customHeight="1" x14ac:dyDescent="0.3">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c r="AG712" s="470"/>
    </row>
    <row r="713" spans="2:33" ht="15" customHeight="1" x14ac:dyDescent="0.3"/>
    <row r="714" spans="2:33" ht="15" customHeight="1" x14ac:dyDescent="0.3"/>
    <row r="715" spans="2:33" ht="15" customHeight="1" x14ac:dyDescent="0.3"/>
    <row r="716" spans="2:33" ht="15" customHeight="1" x14ac:dyDescent="0.3"/>
    <row r="717" spans="2:33" ht="15" customHeight="1" x14ac:dyDescent="0.3"/>
    <row r="718" spans="2:33" ht="15" customHeight="1" x14ac:dyDescent="0.3"/>
    <row r="719" spans="2:33" ht="15" customHeight="1" x14ac:dyDescent="0.3"/>
    <row r="720" spans="2:33"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spans="2:33" ht="15" customHeight="1" x14ac:dyDescent="0.3"/>
    <row r="882" spans="2:33" ht="15" customHeight="1" x14ac:dyDescent="0.3"/>
    <row r="883" spans="2:33" ht="15" customHeight="1" x14ac:dyDescent="0.3"/>
    <row r="884" spans="2:33" ht="15" customHeight="1" x14ac:dyDescent="0.3"/>
    <row r="885" spans="2:33" ht="15" customHeight="1" x14ac:dyDescent="0.3"/>
    <row r="886" spans="2:33" ht="15" customHeight="1" x14ac:dyDescent="0.3"/>
    <row r="887" spans="2:33" ht="15" customHeight="1" x14ac:dyDescent="0.3">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c r="AG887" s="470"/>
    </row>
    <row r="888" spans="2:33" ht="15" customHeight="1" x14ac:dyDescent="0.3"/>
    <row r="889" spans="2:33" ht="15" customHeight="1" x14ac:dyDescent="0.3"/>
    <row r="890" spans="2:33" ht="15" customHeight="1" x14ac:dyDescent="0.3"/>
    <row r="891" spans="2:33" ht="15" customHeight="1" x14ac:dyDescent="0.3"/>
    <row r="892" spans="2:33" ht="15" customHeight="1" x14ac:dyDescent="0.3"/>
    <row r="893" spans="2:33" ht="15" customHeight="1" x14ac:dyDescent="0.3"/>
    <row r="894" spans="2:33" ht="15" customHeight="1" x14ac:dyDescent="0.3"/>
    <row r="895" spans="2:33" ht="15" customHeight="1" x14ac:dyDescent="0.3"/>
    <row r="896" spans="2:33"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spans="2:33" ht="15" customHeight="1" x14ac:dyDescent="0.3"/>
    <row r="1090" spans="2:33" ht="15" customHeight="1" x14ac:dyDescent="0.3"/>
    <row r="1091" spans="2:33" ht="15" customHeight="1" x14ac:dyDescent="0.3"/>
    <row r="1092" spans="2:33" ht="15" customHeight="1" x14ac:dyDescent="0.3"/>
    <row r="1093" spans="2:33" ht="15" customHeight="1" x14ac:dyDescent="0.3"/>
    <row r="1094" spans="2:33" ht="15" customHeight="1" x14ac:dyDescent="0.3"/>
    <row r="1095" spans="2:33" ht="15" customHeight="1" x14ac:dyDescent="0.3"/>
    <row r="1096" spans="2:33" ht="15" customHeight="1" x14ac:dyDescent="0.3"/>
    <row r="1097" spans="2:33" ht="15" customHeight="1" x14ac:dyDescent="0.3"/>
    <row r="1098" spans="2:33" ht="15" customHeight="1" x14ac:dyDescent="0.3"/>
    <row r="1099" spans="2:33" ht="15" customHeight="1" x14ac:dyDescent="0.3"/>
    <row r="1100" spans="2:33" ht="15" customHeight="1" x14ac:dyDescent="0.3">
      <c r="B1100" s="470"/>
      <c r="C1100" s="470"/>
      <c r="D1100" s="470"/>
      <c r="E1100" s="470"/>
      <c r="F1100" s="470"/>
      <c r="G1100" s="470"/>
      <c r="H1100" s="470"/>
      <c r="I1100" s="470"/>
      <c r="J1100" s="470"/>
      <c r="K1100" s="470"/>
      <c r="L1100" s="470"/>
      <c r="M1100" s="470"/>
      <c r="N1100" s="470"/>
      <c r="O1100" s="470"/>
      <c r="P1100" s="470"/>
      <c r="Q1100" s="470"/>
      <c r="R1100" s="470"/>
      <c r="S1100" s="470"/>
      <c r="T1100" s="470"/>
      <c r="U1100" s="470"/>
      <c r="V1100" s="470"/>
      <c r="W1100" s="470"/>
      <c r="X1100" s="470"/>
      <c r="Y1100" s="470"/>
      <c r="Z1100" s="470"/>
      <c r="AA1100" s="470"/>
      <c r="AB1100" s="470"/>
      <c r="AC1100" s="470"/>
      <c r="AD1100" s="470"/>
      <c r="AE1100" s="470"/>
      <c r="AF1100" s="470"/>
      <c r="AG1100" s="470"/>
    </row>
    <row r="1101" spans="2:33" ht="15" customHeight="1" x14ac:dyDescent="0.3"/>
    <row r="1102" spans="2:33" ht="15" customHeight="1" x14ac:dyDescent="0.3"/>
    <row r="1103" spans="2:33" ht="15" customHeight="1" x14ac:dyDescent="0.3"/>
    <row r="1104" spans="2:33"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spans="2:33" ht="15" customHeight="1" x14ac:dyDescent="0.3"/>
    <row r="1218" spans="2:33" ht="15" customHeight="1" x14ac:dyDescent="0.3"/>
    <row r="1219" spans="2:33" ht="15" customHeight="1" x14ac:dyDescent="0.3"/>
    <row r="1220" spans="2:33" ht="15" customHeight="1" x14ac:dyDescent="0.3"/>
    <row r="1221" spans="2:33" ht="15" customHeight="1" x14ac:dyDescent="0.3"/>
    <row r="1222" spans="2:33" ht="15" customHeight="1" x14ac:dyDescent="0.3"/>
    <row r="1223" spans="2:33" ht="15" customHeight="1" x14ac:dyDescent="0.3"/>
    <row r="1224" spans="2:33" ht="15" customHeight="1" x14ac:dyDescent="0.3"/>
    <row r="1225" spans="2:33" ht="15" customHeight="1" x14ac:dyDescent="0.3"/>
    <row r="1226" spans="2:33" ht="15" customHeight="1" x14ac:dyDescent="0.3"/>
    <row r="1227" spans="2:33" ht="15" customHeight="1" x14ac:dyDescent="0.3">
      <c r="B1227" s="470"/>
      <c r="C1227" s="470"/>
      <c r="D1227" s="470"/>
      <c r="E1227" s="470"/>
      <c r="F1227" s="470"/>
      <c r="G1227" s="470"/>
      <c r="H1227" s="470"/>
      <c r="I1227" s="470"/>
      <c r="J1227" s="470"/>
      <c r="K1227" s="470"/>
      <c r="L1227" s="470"/>
      <c r="M1227" s="470"/>
      <c r="N1227" s="470"/>
      <c r="O1227" s="470"/>
      <c r="P1227" s="470"/>
      <c r="Q1227" s="470"/>
      <c r="R1227" s="470"/>
      <c r="S1227" s="470"/>
      <c r="T1227" s="470"/>
      <c r="U1227" s="470"/>
      <c r="V1227" s="470"/>
      <c r="W1227" s="470"/>
      <c r="X1227" s="470"/>
      <c r="Y1227" s="470"/>
      <c r="Z1227" s="470"/>
      <c r="AA1227" s="470"/>
      <c r="AB1227" s="470"/>
      <c r="AC1227" s="470"/>
      <c r="AD1227" s="470"/>
      <c r="AE1227" s="470"/>
      <c r="AF1227" s="470"/>
      <c r="AG1227" s="470"/>
    </row>
    <row r="1228" spans="2:33" ht="15" customHeight="1" x14ac:dyDescent="0.3"/>
    <row r="1229" spans="2:33" ht="15" customHeight="1" x14ac:dyDescent="0.3"/>
    <row r="1230" spans="2:33" ht="15" customHeight="1" x14ac:dyDescent="0.3"/>
    <row r="1231" spans="2:33" ht="15" customHeight="1" x14ac:dyDescent="0.3"/>
    <row r="1232" spans="2:33"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spans="2:33" ht="15" customHeight="1" x14ac:dyDescent="0.3"/>
    <row r="1378" spans="2:33" ht="15" customHeight="1" x14ac:dyDescent="0.3"/>
    <row r="1379" spans="2:33" ht="15" customHeight="1" x14ac:dyDescent="0.3"/>
    <row r="1380" spans="2:33" ht="15" customHeight="1" x14ac:dyDescent="0.3"/>
    <row r="1381" spans="2:33" ht="15" customHeight="1" x14ac:dyDescent="0.3"/>
    <row r="1382" spans="2:33" ht="15" customHeight="1" x14ac:dyDescent="0.3"/>
    <row r="1383" spans="2:33" ht="15" customHeight="1" x14ac:dyDescent="0.3"/>
    <row r="1384" spans="2:33" ht="15" customHeight="1" x14ac:dyDescent="0.3"/>
    <row r="1385" spans="2:33" ht="15" customHeight="1" x14ac:dyDescent="0.3"/>
    <row r="1386" spans="2:33" ht="15" customHeight="1" x14ac:dyDescent="0.3"/>
    <row r="1387" spans="2:33" ht="15" customHeight="1" x14ac:dyDescent="0.3"/>
    <row r="1388" spans="2:33" ht="15" customHeight="1" x14ac:dyDescent="0.3"/>
    <row r="1389" spans="2:33" ht="15" customHeight="1" x14ac:dyDescent="0.3"/>
    <row r="1390" spans="2:33" ht="15" customHeight="1" x14ac:dyDescent="0.3">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c r="AG1390" s="470"/>
    </row>
    <row r="1391" spans="2:33" ht="15" customHeight="1" x14ac:dyDescent="0.3"/>
    <row r="1392" spans="2:33"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row r="1463" ht="15" customHeight="1" x14ac:dyDescent="0.3"/>
    <row r="1464" ht="15" customHeight="1" x14ac:dyDescent="0.3"/>
    <row r="1465" ht="15" customHeight="1" x14ac:dyDescent="0.3"/>
    <row r="1466" ht="15" customHeight="1" x14ac:dyDescent="0.3"/>
    <row r="1467" ht="15" customHeight="1" x14ac:dyDescent="0.3"/>
    <row r="1468" ht="15" customHeight="1" x14ac:dyDescent="0.3"/>
    <row r="1469" ht="15" customHeight="1" x14ac:dyDescent="0.3"/>
    <row r="1470" ht="15" customHeight="1" x14ac:dyDescent="0.3"/>
    <row r="1471" ht="15" customHeight="1" x14ac:dyDescent="0.3"/>
    <row r="1472" ht="15" customHeight="1" x14ac:dyDescent="0.3"/>
    <row r="1473" ht="15" customHeight="1" x14ac:dyDescent="0.3"/>
    <row r="1474" ht="15" customHeight="1" x14ac:dyDescent="0.3"/>
    <row r="1475" ht="15" customHeight="1" x14ac:dyDescent="0.3"/>
    <row r="1476" ht="15" customHeight="1" x14ac:dyDescent="0.3"/>
    <row r="1477" ht="15" customHeight="1" x14ac:dyDescent="0.3"/>
    <row r="1478" ht="15" customHeight="1" x14ac:dyDescent="0.3"/>
    <row r="1479" ht="15" customHeight="1" x14ac:dyDescent="0.3"/>
    <row r="1480" ht="15" customHeight="1" x14ac:dyDescent="0.3"/>
    <row r="1481" ht="15" customHeight="1" x14ac:dyDescent="0.3"/>
    <row r="1482" ht="15" customHeight="1" x14ac:dyDescent="0.3"/>
    <row r="1483" ht="15" customHeight="1" x14ac:dyDescent="0.3"/>
    <row r="1484" ht="15" customHeight="1" x14ac:dyDescent="0.3"/>
    <row r="1485" ht="15" customHeight="1" x14ac:dyDescent="0.3"/>
    <row r="1486" ht="15" customHeight="1" x14ac:dyDescent="0.3"/>
    <row r="1487" ht="15" customHeight="1" x14ac:dyDescent="0.3"/>
    <row r="1488" ht="15" customHeight="1" x14ac:dyDescent="0.3"/>
    <row r="1489" spans="2:33" ht="15" customHeight="1" x14ac:dyDescent="0.3"/>
    <row r="1490" spans="2:33" ht="15" customHeight="1" x14ac:dyDescent="0.3"/>
    <row r="1491" spans="2:33" ht="15" customHeight="1" x14ac:dyDescent="0.3"/>
    <row r="1492" spans="2:33" ht="15" customHeight="1" x14ac:dyDescent="0.3"/>
    <row r="1493" spans="2:33" ht="15" customHeight="1" x14ac:dyDescent="0.3"/>
    <row r="1494" spans="2:33" ht="15" customHeight="1" x14ac:dyDescent="0.3"/>
    <row r="1495" spans="2:33" ht="15" customHeight="1" x14ac:dyDescent="0.3"/>
    <row r="1496" spans="2:33" ht="15" customHeight="1" x14ac:dyDescent="0.3"/>
    <row r="1497" spans="2:33" ht="15" customHeight="1" x14ac:dyDescent="0.3"/>
    <row r="1498" spans="2:33" ht="15" customHeight="1" x14ac:dyDescent="0.3"/>
    <row r="1499" spans="2:33" ht="15" customHeight="1" x14ac:dyDescent="0.3"/>
    <row r="1500" spans="2:33" ht="15" customHeight="1" x14ac:dyDescent="0.3"/>
    <row r="1501" spans="2:33" ht="15" customHeight="1" x14ac:dyDescent="0.3"/>
    <row r="1502" spans="2:33" ht="15" customHeight="1" x14ac:dyDescent="0.3">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c r="AG1502" s="470"/>
    </row>
    <row r="1503" spans="2:33" ht="15" customHeight="1" x14ac:dyDescent="0.3"/>
    <row r="1504" spans="2:33" ht="15" customHeight="1" x14ac:dyDescent="0.3"/>
    <row r="1505" ht="15" customHeight="1" x14ac:dyDescent="0.3"/>
    <row r="1506" ht="15" customHeight="1" x14ac:dyDescent="0.3"/>
    <row r="1507" ht="15" customHeight="1" x14ac:dyDescent="0.3"/>
    <row r="1508" ht="15" customHeight="1" x14ac:dyDescent="0.3"/>
    <row r="1509" ht="15" customHeight="1" x14ac:dyDescent="0.3"/>
    <row r="1510" ht="15" customHeight="1" x14ac:dyDescent="0.3"/>
    <row r="1511" ht="15" customHeight="1" x14ac:dyDescent="0.3"/>
    <row r="1512" ht="15" customHeight="1" x14ac:dyDescent="0.3"/>
    <row r="1513" ht="15" customHeight="1" x14ac:dyDescent="0.3"/>
    <row r="1514" ht="15" customHeight="1" x14ac:dyDescent="0.3"/>
    <row r="1515" ht="15" customHeight="1" x14ac:dyDescent="0.3"/>
    <row r="1516" ht="15" customHeight="1" x14ac:dyDescent="0.3"/>
    <row r="1517" ht="15" customHeight="1" x14ac:dyDescent="0.3"/>
    <row r="1518" ht="15" customHeight="1" x14ac:dyDescent="0.3"/>
    <row r="1519" ht="15" customHeight="1" x14ac:dyDescent="0.3"/>
    <row r="1520" ht="15" customHeight="1" x14ac:dyDescent="0.3"/>
    <row r="1521" ht="15" customHeight="1" x14ac:dyDescent="0.3"/>
    <row r="1522" ht="15" customHeight="1" x14ac:dyDescent="0.3"/>
    <row r="1523" ht="15" customHeight="1" x14ac:dyDescent="0.3"/>
    <row r="1524" ht="15" customHeight="1" x14ac:dyDescent="0.3"/>
    <row r="1525" ht="15" customHeight="1" x14ac:dyDescent="0.3"/>
    <row r="1526" ht="15" customHeight="1" x14ac:dyDescent="0.3"/>
    <row r="1527" ht="15" customHeight="1" x14ac:dyDescent="0.3"/>
    <row r="1528" ht="15" customHeight="1" x14ac:dyDescent="0.3"/>
    <row r="1529" ht="15" customHeight="1" x14ac:dyDescent="0.3"/>
    <row r="1530" ht="15" customHeight="1" x14ac:dyDescent="0.3"/>
    <row r="1531" ht="15" customHeight="1" x14ac:dyDescent="0.3"/>
    <row r="1532" ht="15" customHeight="1" x14ac:dyDescent="0.3"/>
    <row r="1533" ht="15" customHeight="1" x14ac:dyDescent="0.3"/>
    <row r="1534" ht="15" customHeight="1" x14ac:dyDescent="0.3"/>
    <row r="1535" ht="15" customHeight="1" x14ac:dyDescent="0.3"/>
    <row r="1536" ht="15" customHeight="1" x14ac:dyDescent="0.3"/>
    <row r="1537" ht="15" customHeight="1" x14ac:dyDescent="0.3"/>
    <row r="1538" ht="15" customHeight="1" x14ac:dyDescent="0.3"/>
    <row r="1539" ht="15" customHeight="1" x14ac:dyDescent="0.3"/>
    <row r="1540" ht="15" customHeight="1" x14ac:dyDescent="0.3"/>
    <row r="1541" ht="15" customHeight="1" x14ac:dyDescent="0.3"/>
    <row r="1542" ht="15" customHeight="1" x14ac:dyDescent="0.3"/>
    <row r="1543" ht="15" customHeight="1" x14ac:dyDescent="0.3"/>
    <row r="1544" ht="15" customHeight="1" x14ac:dyDescent="0.3"/>
    <row r="1545" ht="15" customHeight="1" x14ac:dyDescent="0.3"/>
    <row r="1546" ht="15" customHeight="1" x14ac:dyDescent="0.3"/>
    <row r="1547" ht="15" customHeight="1" x14ac:dyDescent="0.3"/>
    <row r="1548" ht="15" customHeight="1" x14ac:dyDescent="0.3"/>
    <row r="1549" ht="15" customHeight="1" x14ac:dyDescent="0.3"/>
    <row r="1550" ht="15" customHeight="1" x14ac:dyDescent="0.3"/>
    <row r="1551" ht="15" customHeight="1" x14ac:dyDescent="0.3"/>
    <row r="1552" ht="15" customHeight="1" x14ac:dyDescent="0.3"/>
    <row r="1553" ht="15" customHeight="1" x14ac:dyDescent="0.3"/>
    <row r="1554" ht="15" customHeight="1" x14ac:dyDescent="0.3"/>
    <row r="1555" ht="15" customHeight="1" x14ac:dyDescent="0.3"/>
    <row r="1556" ht="15" customHeight="1" x14ac:dyDescent="0.3"/>
    <row r="1557" ht="15" customHeight="1" x14ac:dyDescent="0.3"/>
    <row r="1558" ht="15" customHeight="1" x14ac:dyDescent="0.3"/>
    <row r="1559" ht="15" customHeight="1" x14ac:dyDescent="0.3"/>
    <row r="1560" ht="15" customHeight="1" x14ac:dyDescent="0.3"/>
    <row r="1561" ht="15" customHeight="1" x14ac:dyDescent="0.3"/>
    <row r="1562" ht="15" customHeight="1" x14ac:dyDescent="0.3"/>
    <row r="1563" ht="15" customHeight="1" x14ac:dyDescent="0.3"/>
    <row r="1564" ht="15" customHeight="1" x14ac:dyDescent="0.3"/>
    <row r="1565" ht="15" customHeight="1" x14ac:dyDescent="0.3"/>
    <row r="1566" ht="15" customHeight="1" x14ac:dyDescent="0.3"/>
    <row r="1567" ht="15" customHeight="1" x14ac:dyDescent="0.3"/>
    <row r="1568" ht="15" customHeight="1" x14ac:dyDescent="0.3"/>
    <row r="1569" ht="15" customHeight="1" x14ac:dyDescent="0.3"/>
    <row r="1570" ht="15" customHeight="1" x14ac:dyDescent="0.3"/>
    <row r="1571" ht="15" customHeight="1" x14ac:dyDescent="0.3"/>
    <row r="1572" ht="15" customHeight="1" x14ac:dyDescent="0.3"/>
    <row r="1573" ht="15" customHeight="1" x14ac:dyDescent="0.3"/>
    <row r="1574" ht="15" customHeight="1" x14ac:dyDescent="0.3"/>
    <row r="1575" ht="15" customHeight="1" x14ac:dyDescent="0.3"/>
    <row r="1576" ht="15" customHeight="1" x14ac:dyDescent="0.3"/>
    <row r="1577" ht="15" customHeight="1" x14ac:dyDescent="0.3"/>
    <row r="1578" ht="15" customHeight="1" x14ac:dyDescent="0.3"/>
    <row r="1579" ht="15" customHeight="1" x14ac:dyDescent="0.3"/>
    <row r="1580" ht="15" customHeight="1" x14ac:dyDescent="0.3"/>
    <row r="1581" ht="15" customHeight="1" x14ac:dyDescent="0.3"/>
    <row r="1582" ht="15" customHeight="1" x14ac:dyDescent="0.3"/>
    <row r="1583" ht="15" customHeight="1" x14ac:dyDescent="0.3"/>
    <row r="1584" ht="15" customHeight="1" x14ac:dyDescent="0.3"/>
    <row r="1585" ht="15" customHeight="1" x14ac:dyDescent="0.3"/>
    <row r="1586" ht="15" customHeight="1" x14ac:dyDescent="0.3"/>
    <row r="1587" ht="15" customHeight="1" x14ac:dyDescent="0.3"/>
    <row r="1588" ht="15" customHeight="1" x14ac:dyDescent="0.3"/>
    <row r="1589" ht="15" customHeight="1" x14ac:dyDescent="0.3"/>
    <row r="1590" ht="15" customHeight="1" x14ac:dyDescent="0.3"/>
    <row r="1591" ht="15" customHeight="1" x14ac:dyDescent="0.3"/>
    <row r="1592" ht="15" customHeight="1" x14ac:dyDescent="0.3"/>
    <row r="1593" ht="15" customHeight="1" x14ac:dyDescent="0.3"/>
    <row r="1594" ht="15" customHeight="1" x14ac:dyDescent="0.3"/>
    <row r="1595" ht="15" customHeight="1" x14ac:dyDescent="0.3"/>
    <row r="1596" ht="15" customHeight="1" x14ac:dyDescent="0.3"/>
    <row r="1597" ht="15" customHeight="1" x14ac:dyDescent="0.3"/>
    <row r="1598" ht="15" customHeight="1" x14ac:dyDescent="0.3"/>
    <row r="1599" ht="15" customHeight="1" x14ac:dyDescent="0.3"/>
    <row r="1600" ht="15" customHeight="1" x14ac:dyDescent="0.3"/>
    <row r="1601" spans="2:33" ht="15" customHeight="1" x14ac:dyDescent="0.3"/>
    <row r="1602" spans="2:33" ht="15" customHeight="1" x14ac:dyDescent="0.3"/>
    <row r="1603" spans="2:33" ht="15" customHeight="1" x14ac:dyDescent="0.3"/>
    <row r="1604" spans="2:33" ht="15" customHeight="1" x14ac:dyDescent="0.3">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c r="AG1604" s="470"/>
    </row>
    <row r="1605" spans="2:33" ht="15" customHeight="1" x14ac:dyDescent="0.3"/>
    <row r="1606" spans="2:33" ht="15" customHeight="1" x14ac:dyDescent="0.3"/>
    <row r="1607" spans="2:33" ht="15" customHeight="1" x14ac:dyDescent="0.3"/>
    <row r="1608" spans="2:33" ht="15" customHeight="1" x14ac:dyDescent="0.3"/>
    <row r="1609" spans="2:33" ht="15" customHeight="1" x14ac:dyDescent="0.3"/>
    <row r="1610" spans="2:33" ht="15" customHeight="1" x14ac:dyDescent="0.3"/>
    <row r="1611" spans="2:33" ht="15" customHeight="1" x14ac:dyDescent="0.3"/>
    <row r="1612" spans="2:33" ht="15" customHeight="1" x14ac:dyDescent="0.3"/>
    <row r="1613" spans="2:33" ht="15" customHeight="1" x14ac:dyDescent="0.3"/>
    <row r="1614" spans="2:33" ht="15" customHeight="1" x14ac:dyDescent="0.3"/>
    <row r="1615" spans="2:33" ht="15" customHeight="1" x14ac:dyDescent="0.3"/>
    <row r="1616" spans="2:33" ht="15" customHeight="1" x14ac:dyDescent="0.3"/>
    <row r="1617" ht="15" customHeight="1" x14ac:dyDescent="0.3"/>
    <row r="1618" ht="15" customHeight="1" x14ac:dyDescent="0.3"/>
    <row r="1619" ht="15" customHeight="1" x14ac:dyDescent="0.3"/>
    <row r="1620" ht="15" customHeight="1" x14ac:dyDescent="0.3"/>
    <row r="1621" ht="15" customHeight="1" x14ac:dyDescent="0.3"/>
    <row r="1622" ht="15" customHeight="1" x14ac:dyDescent="0.3"/>
    <row r="1623" ht="15" customHeight="1" x14ac:dyDescent="0.3"/>
    <row r="1624" ht="15" customHeight="1" x14ac:dyDescent="0.3"/>
    <row r="1625" ht="15" customHeight="1" x14ac:dyDescent="0.3"/>
    <row r="1626" ht="15" customHeight="1" x14ac:dyDescent="0.3"/>
    <row r="1627" ht="15" customHeight="1" x14ac:dyDescent="0.3"/>
    <row r="1628" ht="15" customHeight="1" x14ac:dyDescent="0.3"/>
    <row r="1629" ht="15" customHeight="1" x14ac:dyDescent="0.3"/>
    <row r="1630" ht="15" customHeight="1" x14ac:dyDescent="0.3"/>
    <row r="1631" ht="15" customHeight="1" x14ac:dyDescent="0.3"/>
    <row r="1632" ht="15" customHeight="1" x14ac:dyDescent="0.3"/>
    <row r="1633" ht="15" customHeight="1" x14ac:dyDescent="0.3"/>
    <row r="1634" ht="15" customHeight="1" x14ac:dyDescent="0.3"/>
    <row r="1635" ht="15" customHeight="1" x14ac:dyDescent="0.3"/>
    <row r="1636" ht="15" customHeight="1" x14ac:dyDescent="0.3"/>
    <row r="1637" ht="15" customHeight="1" x14ac:dyDescent="0.3"/>
    <row r="1638" ht="15" customHeight="1" x14ac:dyDescent="0.3"/>
    <row r="1639" ht="15" customHeight="1" x14ac:dyDescent="0.3"/>
    <row r="1640" ht="15" customHeight="1" x14ac:dyDescent="0.3"/>
    <row r="1641" ht="15" customHeight="1" x14ac:dyDescent="0.3"/>
    <row r="1642" ht="15" customHeight="1" x14ac:dyDescent="0.3"/>
    <row r="1643" ht="15" customHeight="1" x14ac:dyDescent="0.3"/>
    <row r="1644" ht="15" customHeight="1" x14ac:dyDescent="0.3"/>
    <row r="1645" ht="15" customHeight="1" x14ac:dyDescent="0.3"/>
    <row r="1646" ht="15" customHeight="1" x14ac:dyDescent="0.3"/>
    <row r="1647" ht="15" customHeight="1" x14ac:dyDescent="0.3"/>
    <row r="1648" ht="15" customHeight="1" x14ac:dyDescent="0.3"/>
    <row r="1649" ht="15" customHeight="1" x14ac:dyDescent="0.3"/>
    <row r="1650" ht="15" customHeight="1" x14ac:dyDescent="0.3"/>
    <row r="1651" ht="15" customHeight="1" x14ac:dyDescent="0.3"/>
    <row r="1652" ht="15" customHeight="1" x14ac:dyDescent="0.3"/>
    <row r="1653" ht="15" customHeight="1" x14ac:dyDescent="0.3"/>
    <row r="1654" ht="15" customHeight="1" x14ac:dyDescent="0.3"/>
    <row r="1655" ht="15" customHeight="1" x14ac:dyDescent="0.3"/>
    <row r="1656" ht="15" customHeight="1" x14ac:dyDescent="0.3"/>
    <row r="1657" ht="15" customHeight="1" x14ac:dyDescent="0.3"/>
    <row r="1658" ht="15" customHeight="1" x14ac:dyDescent="0.3"/>
    <row r="1659" ht="15" customHeight="1" x14ac:dyDescent="0.3"/>
    <row r="1660" ht="15" customHeight="1" x14ac:dyDescent="0.3"/>
    <row r="1661" ht="15" customHeight="1" x14ac:dyDescent="0.3"/>
    <row r="1662" ht="15" customHeight="1" x14ac:dyDescent="0.3"/>
    <row r="1663" ht="15" customHeight="1" x14ac:dyDescent="0.3"/>
    <row r="1664" ht="15" customHeight="1" x14ac:dyDescent="0.3"/>
    <row r="1665" ht="15" customHeight="1" x14ac:dyDescent="0.3"/>
    <row r="1666" ht="15" customHeight="1" x14ac:dyDescent="0.3"/>
    <row r="1667" ht="15" customHeight="1" x14ac:dyDescent="0.3"/>
    <row r="1668" ht="15" customHeight="1" x14ac:dyDescent="0.3"/>
    <row r="1669" ht="15" customHeight="1" x14ac:dyDescent="0.3"/>
    <row r="1670" ht="15" customHeight="1" x14ac:dyDescent="0.3"/>
    <row r="1671" ht="15" customHeight="1" x14ac:dyDescent="0.3"/>
    <row r="1672" ht="15" customHeight="1" x14ac:dyDescent="0.3"/>
    <row r="1673" ht="15" customHeight="1" x14ac:dyDescent="0.3"/>
    <row r="1674" ht="15" customHeight="1" x14ac:dyDescent="0.3"/>
    <row r="1675" ht="15" customHeight="1" x14ac:dyDescent="0.3"/>
    <row r="1676" ht="15" customHeight="1" x14ac:dyDescent="0.3"/>
    <row r="1677" ht="15" customHeight="1" x14ac:dyDescent="0.3"/>
    <row r="1678" ht="15" customHeight="1" x14ac:dyDescent="0.3"/>
    <row r="1679" ht="15" customHeight="1" x14ac:dyDescent="0.3"/>
    <row r="1680" ht="15" customHeight="1" x14ac:dyDescent="0.3"/>
    <row r="1681" ht="15" customHeight="1" x14ac:dyDescent="0.3"/>
    <row r="1682" ht="15" customHeight="1" x14ac:dyDescent="0.3"/>
    <row r="1683" ht="15" customHeight="1" x14ac:dyDescent="0.3"/>
    <row r="1684" ht="15" customHeight="1" x14ac:dyDescent="0.3"/>
    <row r="1685" ht="15" customHeight="1" x14ac:dyDescent="0.3"/>
    <row r="1686" ht="15" customHeight="1" x14ac:dyDescent="0.3"/>
    <row r="1687" ht="15" customHeight="1" x14ac:dyDescent="0.3"/>
    <row r="1688" ht="15" customHeight="1" x14ac:dyDescent="0.3"/>
    <row r="1689" ht="15" customHeight="1" x14ac:dyDescent="0.3"/>
    <row r="1690" ht="15" customHeight="1" x14ac:dyDescent="0.3"/>
    <row r="1691" ht="15" customHeight="1" x14ac:dyDescent="0.3"/>
    <row r="1692" ht="15" customHeight="1" x14ac:dyDescent="0.3"/>
    <row r="1693" ht="15" customHeight="1" x14ac:dyDescent="0.3"/>
    <row r="1694" ht="15" customHeight="1" x14ac:dyDescent="0.3"/>
    <row r="1695" ht="15" customHeight="1" x14ac:dyDescent="0.3"/>
    <row r="1696" ht="15" customHeight="1" x14ac:dyDescent="0.3"/>
    <row r="1697" spans="2:33" ht="15" customHeight="1" x14ac:dyDescent="0.3"/>
    <row r="1698" spans="2:33" ht="15" customHeight="1" x14ac:dyDescent="0.3">
      <c r="B1698" s="470"/>
      <c r="C1698" s="470"/>
      <c r="D1698" s="470"/>
      <c r="E1698" s="470"/>
      <c r="F1698" s="470"/>
      <c r="G1698" s="470"/>
      <c r="H1698" s="470"/>
      <c r="I1698" s="470"/>
      <c r="J1698" s="470"/>
      <c r="K1698" s="470"/>
      <c r="L1698" s="470"/>
      <c r="M1698" s="470"/>
      <c r="N1698" s="470"/>
      <c r="O1698" s="470"/>
      <c r="P1698" s="470"/>
      <c r="Q1698" s="470"/>
      <c r="R1698" s="470"/>
      <c r="S1698" s="470"/>
      <c r="T1698" s="470"/>
      <c r="U1698" s="470"/>
      <c r="V1698" s="470"/>
      <c r="W1698" s="470"/>
      <c r="X1698" s="470"/>
      <c r="Y1698" s="470"/>
      <c r="Z1698" s="470"/>
      <c r="AA1698" s="470"/>
      <c r="AB1698" s="470"/>
      <c r="AC1698" s="470"/>
      <c r="AD1698" s="470"/>
      <c r="AE1698" s="470"/>
      <c r="AF1698" s="470"/>
      <c r="AG1698" s="470"/>
    </row>
    <row r="1699" spans="2:33" ht="15" customHeight="1" x14ac:dyDescent="0.3"/>
    <row r="1700" spans="2:33" ht="15" customHeight="1" x14ac:dyDescent="0.3"/>
    <row r="1701" spans="2:33" ht="15" customHeight="1" x14ac:dyDescent="0.3"/>
    <row r="1702" spans="2:33" ht="15" customHeight="1" x14ac:dyDescent="0.3"/>
    <row r="1703" spans="2:33" ht="15" customHeight="1" x14ac:dyDescent="0.3"/>
    <row r="1704" spans="2:33" ht="15" customHeight="1" x14ac:dyDescent="0.3"/>
    <row r="1705" spans="2:33" ht="15" customHeight="1" x14ac:dyDescent="0.3"/>
    <row r="1706" spans="2:33" ht="15" customHeight="1" x14ac:dyDescent="0.3"/>
    <row r="1707" spans="2:33" ht="15" customHeight="1" x14ac:dyDescent="0.3"/>
    <row r="1708" spans="2:33" ht="15" customHeight="1" x14ac:dyDescent="0.3"/>
    <row r="1709" spans="2:33" ht="15" customHeight="1" x14ac:dyDescent="0.3"/>
    <row r="1710" spans="2:33" ht="15" customHeight="1" x14ac:dyDescent="0.3"/>
    <row r="1711" spans="2:33" ht="15" customHeight="1" x14ac:dyDescent="0.3"/>
    <row r="1712" spans="2:33" ht="15" customHeight="1" x14ac:dyDescent="0.3"/>
    <row r="1713" ht="15" customHeight="1" x14ac:dyDescent="0.3"/>
    <row r="1714" ht="15" customHeight="1" x14ac:dyDescent="0.3"/>
    <row r="1715" ht="15" customHeight="1" x14ac:dyDescent="0.3"/>
    <row r="1716" ht="15" customHeight="1" x14ac:dyDescent="0.3"/>
    <row r="1717" ht="15" customHeight="1" x14ac:dyDescent="0.3"/>
    <row r="1718" ht="15" customHeight="1" x14ac:dyDescent="0.3"/>
    <row r="1719" ht="15" customHeight="1" x14ac:dyDescent="0.3"/>
    <row r="1720" ht="15" customHeight="1" x14ac:dyDescent="0.3"/>
    <row r="1721" ht="15" customHeight="1" x14ac:dyDescent="0.3"/>
    <row r="1722" ht="15" customHeight="1" x14ac:dyDescent="0.3"/>
    <row r="1723" ht="15" customHeight="1" x14ac:dyDescent="0.3"/>
    <row r="1724" ht="15" customHeight="1" x14ac:dyDescent="0.3"/>
    <row r="1725" ht="15" customHeight="1" x14ac:dyDescent="0.3"/>
    <row r="1726" ht="15" customHeight="1" x14ac:dyDescent="0.3"/>
    <row r="1727" ht="15" customHeight="1" x14ac:dyDescent="0.3"/>
    <row r="1728" ht="15" customHeight="1" x14ac:dyDescent="0.3"/>
    <row r="1729" ht="15" customHeight="1" x14ac:dyDescent="0.3"/>
    <row r="1730" ht="15" customHeight="1" x14ac:dyDescent="0.3"/>
    <row r="1731" ht="15" customHeight="1" x14ac:dyDescent="0.3"/>
    <row r="1732" ht="15" customHeight="1" x14ac:dyDescent="0.3"/>
    <row r="1733" ht="15" customHeight="1" x14ac:dyDescent="0.3"/>
    <row r="1734" ht="15" customHeight="1" x14ac:dyDescent="0.3"/>
    <row r="1735" ht="15" customHeight="1" x14ac:dyDescent="0.3"/>
    <row r="1736" ht="15" customHeight="1" x14ac:dyDescent="0.3"/>
    <row r="1737" ht="15" customHeight="1" x14ac:dyDescent="0.3"/>
    <row r="1738" ht="15" customHeight="1" x14ac:dyDescent="0.3"/>
    <row r="1739" ht="15" customHeight="1" x14ac:dyDescent="0.3"/>
    <row r="1740" ht="15" customHeight="1" x14ac:dyDescent="0.3"/>
    <row r="1741" ht="15" customHeight="1" x14ac:dyDescent="0.3"/>
    <row r="1742" ht="15" customHeight="1" x14ac:dyDescent="0.3"/>
    <row r="1743" ht="15" customHeight="1" x14ac:dyDescent="0.3"/>
    <row r="1744" ht="15" customHeight="1" x14ac:dyDescent="0.3"/>
    <row r="1745" ht="15" customHeight="1" x14ac:dyDescent="0.3"/>
    <row r="1746" ht="15" customHeight="1" x14ac:dyDescent="0.3"/>
    <row r="1747" ht="15" customHeight="1" x14ac:dyDescent="0.3"/>
    <row r="1748" ht="15" customHeight="1" x14ac:dyDescent="0.3"/>
    <row r="1749" ht="15" customHeight="1" x14ac:dyDescent="0.3"/>
    <row r="1750" ht="15" customHeight="1" x14ac:dyDescent="0.3"/>
    <row r="1751" ht="15" customHeight="1" x14ac:dyDescent="0.3"/>
    <row r="1752" ht="15" customHeight="1" x14ac:dyDescent="0.3"/>
    <row r="1753" ht="15" customHeight="1" x14ac:dyDescent="0.3"/>
    <row r="1754" ht="15" customHeight="1" x14ac:dyDescent="0.3"/>
    <row r="1755" ht="15" customHeight="1" x14ac:dyDescent="0.3"/>
    <row r="1756" ht="15" customHeight="1" x14ac:dyDescent="0.3"/>
    <row r="1757" ht="15" customHeight="1" x14ac:dyDescent="0.3"/>
    <row r="1758" ht="15" customHeight="1" x14ac:dyDescent="0.3"/>
    <row r="1759" ht="15" customHeight="1" x14ac:dyDescent="0.3"/>
    <row r="1760" ht="15" customHeight="1" x14ac:dyDescent="0.3"/>
    <row r="1761" ht="15" customHeight="1" x14ac:dyDescent="0.3"/>
    <row r="1762" ht="15" customHeight="1" x14ac:dyDescent="0.3"/>
    <row r="1763" ht="15" customHeight="1" x14ac:dyDescent="0.3"/>
    <row r="1764" ht="15" customHeight="1" x14ac:dyDescent="0.3"/>
    <row r="1765" ht="15" customHeight="1" x14ac:dyDescent="0.3"/>
    <row r="1766" ht="15" customHeight="1" x14ac:dyDescent="0.3"/>
    <row r="1767" ht="15" customHeight="1" x14ac:dyDescent="0.3"/>
    <row r="1768" ht="15" customHeight="1" x14ac:dyDescent="0.3"/>
    <row r="1769" ht="15" customHeight="1" x14ac:dyDescent="0.3"/>
    <row r="1770" ht="15" customHeight="1" x14ac:dyDescent="0.3"/>
    <row r="1771" ht="15" customHeight="1" x14ac:dyDescent="0.3"/>
    <row r="1772" ht="15" customHeight="1" x14ac:dyDescent="0.3"/>
    <row r="1773" ht="15" customHeight="1" x14ac:dyDescent="0.3"/>
    <row r="1774" ht="15" customHeight="1" x14ac:dyDescent="0.3"/>
    <row r="1775" ht="15" customHeight="1" x14ac:dyDescent="0.3"/>
    <row r="1776" ht="15" customHeight="1" x14ac:dyDescent="0.3"/>
    <row r="1777" ht="15" customHeight="1" x14ac:dyDescent="0.3"/>
    <row r="1778" ht="15" customHeight="1" x14ac:dyDescent="0.3"/>
    <row r="1779" ht="15" customHeight="1" x14ac:dyDescent="0.3"/>
    <row r="1780" ht="15" customHeight="1" x14ac:dyDescent="0.3"/>
    <row r="1781" ht="15" customHeight="1" x14ac:dyDescent="0.3"/>
    <row r="1782" ht="15" customHeight="1" x14ac:dyDescent="0.3"/>
    <row r="1783" ht="15" customHeight="1" x14ac:dyDescent="0.3"/>
    <row r="1784" ht="15" customHeight="1" x14ac:dyDescent="0.3"/>
    <row r="1785" ht="15" customHeight="1" x14ac:dyDescent="0.3"/>
    <row r="1786" ht="15" customHeight="1" x14ac:dyDescent="0.3"/>
    <row r="1787" ht="15" customHeight="1" x14ac:dyDescent="0.3"/>
    <row r="1788" ht="15" customHeight="1" x14ac:dyDescent="0.3"/>
    <row r="1789" ht="15" customHeight="1" x14ac:dyDescent="0.3"/>
    <row r="1790" ht="15" customHeight="1" x14ac:dyDescent="0.3"/>
    <row r="1791" ht="15" customHeight="1" x14ac:dyDescent="0.3"/>
    <row r="1792" ht="15" customHeight="1" x14ac:dyDescent="0.3"/>
    <row r="1793" ht="15" customHeight="1" x14ac:dyDescent="0.3"/>
    <row r="1794" ht="15" customHeight="1" x14ac:dyDescent="0.3"/>
    <row r="1795" ht="15" customHeight="1" x14ac:dyDescent="0.3"/>
    <row r="1796" ht="15" customHeight="1" x14ac:dyDescent="0.3"/>
    <row r="1797" ht="15" customHeight="1" x14ac:dyDescent="0.3"/>
    <row r="1798" ht="15" customHeight="1" x14ac:dyDescent="0.3"/>
    <row r="1799" ht="15" customHeight="1" x14ac:dyDescent="0.3"/>
    <row r="1800" ht="15" customHeight="1" x14ac:dyDescent="0.3"/>
    <row r="1801" ht="15" customHeight="1" x14ac:dyDescent="0.3"/>
    <row r="1802" ht="15" customHeight="1" x14ac:dyDescent="0.3"/>
    <row r="1803" ht="15" customHeight="1" x14ac:dyDescent="0.3"/>
    <row r="1804" ht="15" customHeight="1" x14ac:dyDescent="0.3"/>
    <row r="1805" ht="15" customHeight="1" x14ac:dyDescent="0.3"/>
    <row r="1806" ht="15" customHeight="1" x14ac:dyDescent="0.3"/>
    <row r="1807" ht="15" customHeight="1" x14ac:dyDescent="0.3"/>
    <row r="1808" ht="15" customHeight="1" x14ac:dyDescent="0.3"/>
    <row r="1809" ht="15" customHeight="1" x14ac:dyDescent="0.3"/>
    <row r="1810" ht="15" customHeight="1" x14ac:dyDescent="0.3"/>
    <row r="1811" ht="15" customHeight="1" x14ac:dyDescent="0.3"/>
    <row r="1812" ht="15" customHeight="1" x14ac:dyDescent="0.3"/>
    <row r="1813" ht="15" customHeight="1" x14ac:dyDescent="0.3"/>
    <row r="1814" ht="15" customHeight="1" x14ac:dyDescent="0.3"/>
    <row r="1815" ht="15" customHeight="1" x14ac:dyDescent="0.3"/>
    <row r="1816" ht="15" customHeight="1" x14ac:dyDescent="0.3"/>
    <row r="1817" ht="15" customHeight="1" x14ac:dyDescent="0.3"/>
    <row r="1818" ht="15" customHeight="1" x14ac:dyDescent="0.3"/>
    <row r="1819" ht="15" customHeight="1" x14ac:dyDescent="0.3"/>
    <row r="1820" ht="15" customHeight="1" x14ac:dyDescent="0.3"/>
    <row r="1821" ht="15" customHeight="1" x14ac:dyDescent="0.3"/>
    <row r="1822" ht="15" customHeight="1" x14ac:dyDescent="0.3"/>
    <row r="1823" ht="15" customHeight="1" x14ac:dyDescent="0.3"/>
    <row r="1824" ht="15" customHeight="1" x14ac:dyDescent="0.3"/>
    <row r="1825" ht="15" customHeight="1" x14ac:dyDescent="0.3"/>
    <row r="1826" ht="15" customHeight="1" x14ac:dyDescent="0.3"/>
    <row r="1827" ht="15" customHeight="1" x14ac:dyDescent="0.3"/>
    <row r="1828" ht="15" customHeight="1" x14ac:dyDescent="0.3"/>
    <row r="1829" ht="15" customHeight="1" x14ac:dyDescent="0.3"/>
    <row r="1830" ht="15" customHeight="1" x14ac:dyDescent="0.3"/>
    <row r="1831" ht="15" customHeight="1" x14ac:dyDescent="0.3"/>
    <row r="1832" ht="15" customHeight="1" x14ac:dyDescent="0.3"/>
    <row r="1833" ht="15" customHeight="1" x14ac:dyDescent="0.3"/>
    <row r="1834" ht="15" customHeight="1" x14ac:dyDescent="0.3"/>
    <row r="1835" ht="15" customHeight="1" x14ac:dyDescent="0.3"/>
    <row r="1836" ht="15" customHeight="1" x14ac:dyDescent="0.3"/>
    <row r="1837" ht="15" customHeight="1" x14ac:dyDescent="0.3"/>
    <row r="1838" ht="15" customHeight="1" x14ac:dyDescent="0.3"/>
    <row r="1839" ht="15" customHeight="1" x14ac:dyDescent="0.3"/>
    <row r="1840" ht="15" customHeight="1" x14ac:dyDescent="0.3"/>
    <row r="1841" ht="15" customHeight="1" x14ac:dyDescent="0.3"/>
    <row r="1842" ht="15" customHeight="1" x14ac:dyDescent="0.3"/>
    <row r="1843" ht="15" customHeight="1" x14ac:dyDescent="0.3"/>
    <row r="1844" ht="15" customHeight="1" x14ac:dyDescent="0.3"/>
    <row r="1845" ht="15" customHeight="1" x14ac:dyDescent="0.3"/>
    <row r="1846" ht="15" customHeight="1" x14ac:dyDescent="0.3"/>
    <row r="1847" ht="15" customHeight="1" x14ac:dyDescent="0.3"/>
    <row r="1848" ht="15" customHeight="1" x14ac:dyDescent="0.3"/>
    <row r="1849" ht="15" customHeight="1" x14ac:dyDescent="0.3"/>
    <row r="1850" ht="15" customHeight="1" x14ac:dyDescent="0.3"/>
    <row r="1851" ht="15" customHeight="1" x14ac:dyDescent="0.3"/>
    <row r="1852" ht="15" customHeight="1" x14ac:dyDescent="0.3"/>
    <row r="1853" ht="15" customHeight="1" x14ac:dyDescent="0.3"/>
    <row r="1854" ht="15" customHeight="1" x14ac:dyDescent="0.3"/>
    <row r="1855" ht="15" customHeight="1" x14ac:dyDescent="0.3"/>
    <row r="1856" ht="15" customHeight="1" x14ac:dyDescent="0.3"/>
    <row r="1857" ht="15" customHeight="1" x14ac:dyDescent="0.3"/>
    <row r="1858" ht="15" customHeight="1" x14ac:dyDescent="0.3"/>
    <row r="1859" ht="15" customHeight="1" x14ac:dyDescent="0.3"/>
    <row r="1860" ht="15" customHeight="1" x14ac:dyDescent="0.3"/>
    <row r="1861" ht="15" customHeight="1" x14ac:dyDescent="0.3"/>
    <row r="1862" ht="15" customHeight="1" x14ac:dyDescent="0.3"/>
    <row r="1863" ht="15" customHeight="1" x14ac:dyDescent="0.3"/>
    <row r="1864" ht="15" customHeight="1" x14ac:dyDescent="0.3"/>
    <row r="1865" ht="15" customHeight="1" x14ac:dyDescent="0.3"/>
    <row r="1866" ht="15" customHeight="1" x14ac:dyDescent="0.3"/>
    <row r="1867" ht="15" customHeight="1" x14ac:dyDescent="0.3"/>
    <row r="1868" ht="15" customHeight="1" x14ac:dyDescent="0.3"/>
    <row r="1869" ht="15" customHeight="1" x14ac:dyDescent="0.3"/>
    <row r="1870" ht="15" customHeight="1" x14ac:dyDescent="0.3"/>
    <row r="1871" ht="15" customHeight="1" x14ac:dyDescent="0.3"/>
    <row r="1872" ht="15" customHeight="1" x14ac:dyDescent="0.3"/>
    <row r="1873" ht="15" customHeight="1" x14ac:dyDescent="0.3"/>
    <row r="1874" ht="15" customHeight="1" x14ac:dyDescent="0.3"/>
    <row r="1875" ht="15" customHeight="1" x14ac:dyDescent="0.3"/>
    <row r="1876" ht="15" customHeight="1" x14ac:dyDescent="0.3"/>
    <row r="1877" ht="15" customHeight="1" x14ac:dyDescent="0.3"/>
    <row r="1878" ht="15" customHeight="1" x14ac:dyDescent="0.3"/>
    <row r="1879" ht="15" customHeight="1" x14ac:dyDescent="0.3"/>
    <row r="1880" ht="15" customHeight="1" x14ac:dyDescent="0.3"/>
    <row r="1881" ht="15" customHeight="1" x14ac:dyDescent="0.3"/>
    <row r="1882" ht="15" customHeight="1" x14ac:dyDescent="0.3"/>
    <row r="1883" ht="15" customHeight="1" x14ac:dyDescent="0.3"/>
    <row r="1884" ht="15" customHeight="1" x14ac:dyDescent="0.3"/>
    <row r="1885" ht="15" customHeight="1" x14ac:dyDescent="0.3"/>
    <row r="1886" ht="15" customHeight="1" x14ac:dyDescent="0.3"/>
    <row r="1887" ht="15" customHeight="1" x14ac:dyDescent="0.3"/>
    <row r="1888" ht="15" customHeight="1" x14ac:dyDescent="0.3"/>
    <row r="1889" ht="15" customHeight="1" x14ac:dyDescent="0.3"/>
    <row r="1890" ht="15" customHeight="1" x14ac:dyDescent="0.3"/>
    <row r="1891" ht="15" customHeight="1" x14ac:dyDescent="0.3"/>
    <row r="1892" ht="15" customHeight="1" x14ac:dyDescent="0.3"/>
    <row r="1893" ht="15" customHeight="1" x14ac:dyDescent="0.3"/>
    <row r="1894" ht="15" customHeight="1" x14ac:dyDescent="0.3"/>
    <row r="1895" ht="15" customHeight="1" x14ac:dyDescent="0.3"/>
    <row r="1896" ht="15" customHeight="1" x14ac:dyDescent="0.3"/>
    <row r="1897" ht="15" customHeight="1" x14ac:dyDescent="0.3"/>
    <row r="1898" ht="15" customHeight="1" x14ac:dyDescent="0.3"/>
    <row r="1899" ht="15" customHeight="1" x14ac:dyDescent="0.3"/>
    <row r="1900" ht="15" customHeight="1" x14ac:dyDescent="0.3"/>
    <row r="1901" ht="15" customHeight="1" x14ac:dyDescent="0.3"/>
    <row r="1902" ht="15" customHeight="1" x14ac:dyDescent="0.3"/>
    <row r="1903" ht="15" customHeight="1" x14ac:dyDescent="0.3"/>
    <row r="1904" ht="15" customHeight="1" x14ac:dyDescent="0.3"/>
    <row r="1905" ht="15" customHeight="1" x14ac:dyDescent="0.3"/>
    <row r="1906" ht="15" customHeight="1" x14ac:dyDescent="0.3"/>
    <row r="1907" ht="15" customHeight="1" x14ac:dyDescent="0.3"/>
    <row r="1908" ht="15" customHeight="1" x14ac:dyDescent="0.3"/>
    <row r="1909" ht="15" customHeight="1" x14ac:dyDescent="0.3"/>
    <row r="1910" ht="15" customHeight="1" x14ac:dyDescent="0.3"/>
    <row r="1911" ht="15" customHeight="1" x14ac:dyDescent="0.3"/>
    <row r="1912" ht="15" customHeight="1" x14ac:dyDescent="0.3"/>
    <row r="1913" ht="15" customHeight="1" x14ac:dyDescent="0.3"/>
    <row r="1914" ht="15" customHeight="1" x14ac:dyDescent="0.3"/>
    <row r="1915" ht="15" customHeight="1" x14ac:dyDescent="0.3"/>
    <row r="1916" ht="15" customHeight="1" x14ac:dyDescent="0.3"/>
    <row r="1917" ht="15" customHeight="1" x14ac:dyDescent="0.3"/>
    <row r="1918" ht="15" customHeight="1" x14ac:dyDescent="0.3"/>
    <row r="1919" ht="15" customHeight="1" x14ac:dyDescent="0.3"/>
    <row r="1920" ht="15" customHeight="1" x14ac:dyDescent="0.3"/>
    <row r="1921" ht="15" customHeight="1" x14ac:dyDescent="0.3"/>
    <row r="1922" ht="15" customHeight="1" x14ac:dyDescent="0.3"/>
    <row r="1923" ht="15" customHeight="1" x14ac:dyDescent="0.3"/>
    <row r="1924" ht="15" customHeight="1" x14ac:dyDescent="0.3"/>
    <row r="1925" ht="15" customHeight="1" x14ac:dyDescent="0.3"/>
    <row r="1926" ht="15" customHeight="1" x14ac:dyDescent="0.3"/>
    <row r="1927" ht="15" customHeight="1" x14ac:dyDescent="0.3"/>
    <row r="1928" ht="15" customHeight="1" x14ac:dyDescent="0.3"/>
    <row r="1929" ht="15" customHeight="1" x14ac:dyDescent="0.3"/>
    <row r="1930" ht="15" customHeight="1" x14ac:dyDescent="0.3"/>
    <row r="1931" ht="15" customHeight="1" x14ac:dyDescent="0.3"/>
    <row r="1932" ht="15" customHeight="1" x14ac:dyDescent="0.3"/>
    <row r="1933" ht="15" customHeight="1" x14ac:dyDescent="0.3"/>
    <row r="1934" ht="15" customHeight="1" x14ac:dyDescent="0.3"/>
    <row r="1935" ht="15" customHeight="1" x14ac:dyDescent="0.3"/>
    <row r="1936" ht="15" customHeight="1" x14ac:dyDescent="0.3"/>
    <row r="1937" spans="2:33" ht="15" customHeight="1" x14ac:dyDescent="0.3"/>
    <row r="1938" spans="2:33" ht="15" customHeight="1" x14ac:dyDescent="0.3"/>
    <row r="1939" spans="2:33" ht="15" customHeight="1" x14ac:dyDescent="0.3"/>
    <row r="1940" spans="2:33" ht="15" customHeight="1" x14ac:dyDescent="0.3"/>
    <row r="1941" spans="2:33" ht="15" customHeight="1" x14ac:dyDescent="0.3"/>
    <row r="1942" spans="2:33" ht="15" customHeight="1" x14ac:dyDescent="0.3"/>
    <row r="1943" spans="2:33" ht="15" customHeight="1" x14ac:dyDescent="0.3"/>
    <row r="1944" spans="2:33" ht="15" customHeight="1" x14ac:dyDescent="0.3"/>
    <row r="1945" spans="2:33" ht="15" customHeight="1" x14ac:dyDescent="0.3">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c r="AG1945" s="470"/>
    </row>
    <row r="1946" spans="2:33" ht="15" customHeight="1" x14ac:dyDescent="0.3"/>
    <row r="1947" spans="2:33" ht="15" customHeight="1" x14ac:dyDescent="0.3"/>
    <row r="1948" spans="2:33" ht="15" customHeight="1" x14ac:dyDescent="0.3"/>
    <row r="1949" spans="2:33" ht="15" customHeight="1" x14ac:dyDescent="0.3"/>
    <row r="1950" spans="2:33" ht="15" customHeight="1" x14ac:dyDescent="0.3"/>
    <row r="1951" spans="2:33" ht="15" customHeight="1" x14ac:dyDescent="0.3"/>
    <row r="1952" spans="2:33" ht="15" customHeight="1" x14ac:dyDescent="0.3"/>
    <row r="1953" ht="15" customHeight="1" x14ac:dyDescent="0.3"/>
    <row r="1954" ht="15" customHeight="1" x14ac:dyDescent="0.3"/>
    <row r="1955" ht="15" customHeight="1" x14ac:dyDescent="0.3"/>
    <row r="1956" ht="15" customHeight="1" x14ac:dyDescent="0.3"/>
    <row r="1957" ht="15" customHeight="1" x14ac:dyDescent="0.3"/>
    <row r="1958" ht="15" customHeight="1" x14ac:dyDescent="0.3"/>
    <row r="1959" ht="15" customHeight="1" x14ac:dyDescent="0.3"/>
    <row r="1960" ht="15" customHeight="1" x14ac:dyDescent="0.3"/>
    <row r="1961" ht="15" customHeight="1" x14ac:dyDescent="0.3"/>
    <row r="1962" ht="15" customHeight="1" x14ac:dyDescent="0.3"/>
    <row r="1963" ht="15" customHeight="1" x14ac:dyDescent="0.3"/>
    <row r="1964" ht="15" customHeight="1" x14ac:dyDescent="0.3"/>
    <row r="1965" ht="15" customHeight="1" x14ac:dyDescent="0.3"/>
    <row r="1966" ht="15" customHeight="1" x14ac:dyDescent="0.3"/>
    <row r="1967" ht="15" customHeight="1" x14ac:dyDescent="0.3"/>
    <row r="1968" ht="15" customHeight="1" x14ac:dyDescent="0.3"/>
    <row r="1969" ht="15" customHeight="1" x14ac:dyDescent="0.3"/>
    <row r="1970" ht="15" customHeight="1" x14ac:dyDescent="0.3"/>
    <row r="1971" ht="15" customHeight="1" x14ac:dyDescent="0.3"/>
    <row r="1972" ht="15" customHeight="1" x14ac:dyDescent="0.3"/>
    <row r="1973" ht="15" customHeight="1" x14ac:dyDescent="0.3"/>
    <row r="1974" ht="15" customHeight="1" x14ac:dyDescent="0.3"/>
    <row r="1975" ht="15" customHeight="1" x14ac:dyDescent="0.3"/>
    <row r="1976" ht="15" customHeight="1" x14ac:dyDescent="0.3"/>
    <row r="1977" ht="15" customHeight="1" x14ac:dyDescent="0.3"/>
    <row r="1978" ht="15" customHeight="1" x14ac:dyDescent="0.3"/>
    <row r="1979" ht="15" customHeight="1" x14ac:dyDescent="0.3"/>
    <row r="1980" ht="15" customHeight="1" x14ac:dyDescent="0.3"/>
    <row r="1981" ht="15" customHeight="1" x14ac:dyDescent="0.3"/>
    <row r="1982" ht="15" customHeight="1" x14ac:dyDescent="0.3"/>
    <row r="1983" ht="15" customHeight="1" x14ac:dyDescent="0.3"/>
    <row r="1984" ht="15" customHeight="1" x14ac:dyDescent="0.3"/>
    <row r="1985" ht="15" customHeight="1" x14ac:dyDescent="0.3"/>
    <row r="1986" ht="15" customHeight="1" x14ac:dyDescent="0.3"/>
    <row r="1987" ht="15" customHeight="1" x14ac:dyDescent="0.3"/>
    <row r="1988" ht="15" customHeight="1" x14ac:dyDescent="0.3"/>
    <row r="1989" ht="15" customHeight="1" x14ac:dyDescent="0.3"/>
    <row r="1990" ht="15" customHeight="1" x14ac:dyDescent="0.3"/>
    <row r="1991" ht="15" customHeight="1" x14ac:dyDescent="0.3"/>
    <row r="1992" ht="15" customHeight="1" x14ac:dyDescent="0.3"/>
    <row r="1993" ht="15" customHeight="1" x14ac:dyDescent="0.3"/>
    <row r="1994" ht="15" customHeight="1" x14ac:dyDescent="0.3"/>
    <row r="1995" ht="15" customHeight="1" x14ac:dyDescent="0.3"/>
    <row r="1996" ht="15" customHeight="1" x14ac:dyDescent="0.3"/>
    <row r="1997" ht="15" customHeight="1" x14ac:dyDescent="0.3"/>
    <row r="1998" ht="15" customHeight="1" x14ac:dyDescent="0.3"/>
    <row r="1999" ht="15" customHeight="1" x14ac:dyDescent="0.3"/>
    <row r="2000" ht="15" customHeight="1" x14ac:dyDescent="0.3"/>
    <row r="2001" ht="15" customHeight="1" x14ac:dyDescent="0.3"/>
    <row r="2002" ht="15" customHeight="1" x14ac:dyDescent="0.3"/>
    <row r="2003" ht="15" customHeight="1" x14ac:dyDescent="0.3"/>
    <row r="2004" ht="15" customHeight="1" x14ac:dyDescent="0.3"/>
    <row r="2005" ht="15" customHeight="1" x14ac:dyDescent="0.3"/>
    <row r="2006" ht="15" customHeight="1" x14ac:dyDescent="0.3"/>
    <row r="2007" ht="15" customHeight="1" x14ac:dyDescent="0.3"/>
    <row r="2008" ht="15" customHeight="1" x14ac:dyDescent="0.3"/>
    <row r="2009" ht="15" customHeight="1" x14ac:dyDescent="0.3"/>
    <row r="2010" ht="15" customHeight="1" x14ac:dyDescent="0.3"/>
    <row r="2011" ht="15" customHeight="1" x14ac:dyDescent="0.3"/>
    <row r="2012" ht="15" customHeight="1" x14ac:dyDescent="0.3"/>
    <row r="2013" ht="15" customHeight="1" x14ac:dyDescent="0.3"/>
    <row r="2014" ht="15" customHeight="1" x14ac:dyDescent="0.3"/>
    <row r="2015" ht="15" customHeight="1" x14ac:dyDescent="0.3"/>
    <row r="2016" ht="15" customHeight="1" x14ac:dyDescent="0.3"/>
    <row r="2017" spans="2:33" ht="15" customHeight="1" x14ac:dyDescent="0.3"/>
    <row r="2018" spans="2:33" ht="15" customHeight="1" x14ac:dyDescent="0.3"/>
    <row r="2019" spans="2:33" ht="15" customHeight="1" x14ac:dyDescent="0.3"/>
    <row r="2020" spans="2:33" ht="15" customHeight="1" x14ac:dyDescent="0.3"/>
    <row r="2021" spans="2:33" ht="15" customHeight="1" x14ac:dyDescent="0.3"/>
    <row r="2022" spans="2:33" ht="15" customHeight="1" x14ac:dyDescent="0.3"/>
    <row r="2023" spans="2:33" ht="15" customHeight="1" x14ac:dyDescent="0.3"/>
    <row r="2024" spans="2:33" ht="15" customHeight="1" x14ac:dyDescent="0.3"/>
    <row r="2025" spans="2:33" ht="15" customHeight="1" x14ac:dyDescent="0.3"/>
    <row r="2026" spans="2:33" ht="15" customHeight="1" x14ac:dyDescent="0.3"/>
    <row r="2027" spans="2:33" ht="15" customHeight="1" x14ac:dyDescent="0.3"/>
    <row r="2028" spans="2:33" ht="15" customHeight="1" x14ac:dyDescent="0.3"/>
    <row r="2029" spans="2:33" ht="15" customHeight="1" x14ac:dyDescent="0.3"/>
    <row r="2030" spans="2:33" ht="15" customHeight="1" x14ac:dyDescent="0.3"/>
    <row r="2031" spans="2:33" ht="15" customHeight="1" x14ac:dyDescent="0.3">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c r="AG2031" s="470"/>
    </row>
    <row r="2032" spans="2:33" ht="15" customHeight="1" x14ac:dyDescent="0.3"/>
    <row r="2033" ht="15" customHeight="1" x14ac:dyDescent="0.3"/>
    <row r="2034" ht="15" customHeight="1" x14ac:dyDescent="0.3"/>
    <row r="2035" ht="15" customHeight="1" x14ac:dyDescent="0.3"/>
    <row r="2036" ht="15" customHeight="1" x14ac:dyDescent="0.3"/>
    <row r="2037" ht="15" customHeight="1" x14ac:dyDescent="0.3"/>
    <row r="2038" ht="15" customHeight="1" x14ac:dyDescent="0.3"/>
    <row r="2039" ht="15" customHeight="1" x14ac:dyDescent="0.3"/>
    <row r="2040" ht="15" customHeight="1" x14ac:dyDescent="0.3"/>
    <row r="2041" ht="15" customHeight="1" x14ac:dyDescent="0.3"/>
    <row r="2042" ht="15" customHeight="1" x14ac:dyDescent="0.3"/>
    <row r="2043" ht="15" customHeight="1" x14ac:dyDescent="0.3"/>
    <row r="2044" ht="15" customHeight="1" x14ac:dyDescent="0.3"/>
    <row r="2045" ht="15" customHeight="1" x14ac:dyDescent="0.3"/>
    <row r="2046" ht="15" customHeight="1" x14ac:dyDescent="0.3"/>
    <row r="2047" ht="15" customHeight="1" x14ac:dyDescent="0.3"/>
    <row r="2048" ht="15" customHeight="1" x14ac:dyDescent="0.3"/>
    <row r="2049" ht="15" customHeight="1" x14ac:dyDescent="0.3"/>
    <row r="2050" ht="15" customHeight="1" x14ac:dyDescent="0.3"/>
    <row r="2051" ht="15" customHeight="1" x14ac:dyDescent="0.3"/>
    <row r="2052" ht="15" customHeight="1" x14ac:dyDescent="0.3"/>
    <row r="2053" ht="15" customHeight="1" x14ac:dyDescent="0.3"/>
    <row r="2054" ht="15" customHeight="1" x14ac:dyDescent="0.3"/>
    <row r="2055" ht="15" customHeight="1" x14ac:dyDescent="0.3"/>
    <row r="2056" ht="15" customHeight="1" x14ac:dyDescent="0.3"/>
    <row r="2057" ht="15" customHeight="1" x14ac:dyDescent="0.3"/>
    <row r="2058" ht="15" customHeight="1" x14ac:dyDescent="0.3"/>
    <row r="2059" ht="15" customHeight="1" x14ac:dyDescent="0.3"/>
    <row r="2060" ht="15" customHeight="1" x14ac:dyDescent="0.3"/>
    <row r="2061" ht="15" customHeight="1" x14ac:dyDescent="0.3"/>
    <row r="2062" ht="15" customHeight="1" x14ac:dyDescent="0.3"/>
    <row r="2063" ht="15" customHeight="1" x14ac:dyDescent="0.3"/>
    <row r="2064" ht="15" customHeight="1" x14ac:dyDescent="0.3"/>
    <row r="2065" ht="15" customHeight="1" x14ac:dyDescent="0.3"/>
    <row r="2066" ht="15" customHeight="1" x14ac:dyDescent="0.3"/>
    <row r="2067" ht="15" customHeight="1" x14ac:dyDescent="0.3"/>
    <row r="2068" ht="15" customHeight="1" x14ac:dyDescent="0.3"/>
    <row r="2069" ht="15" customHeight="1" x14ac:dyDescent="0.3"/>
    <row r="2070" ht="15" customHeight="1" x14ac:dyDescent="0.3"/>
    <row r="2071" ht="15" customHeight="1" x14ac:dyDescent="0.3"/>
    <row r="2072" ht="15" customHeight="1" x14ac:dyDescent="0.3"/>
    <row r="2073" ht="15" customHeight="1" x14ac:dyDescent="0.3"/>
    <row r="2074" ht="15" customHeight="1" x14ac:dyDescent="0.3"/>
    <row r="2075" ht="15" customHeight="1" x14ac:dyDescent="0.3"/>
    <row r="2076" ht="15" customHeight="1" x14ac:dyDescent="0.3"/>
    <row r="2077" ht="15" customHeight="1" x14ac:dyDescent="0.3"/>
    <row r="2078" ht="15" customHeight="1" x14ac:dyDescent="0.3"/>
    <row r="2079" ht="15" customHeight="1" x14ac:dyDescent="0.3"/>
    <row r="2080" ht="15" customHeight="1" x14ac:dyDescent="0.3"/>
    <row r="2081" ht="15" customHeight="1" x14ac:dyDescent="0.3"/>
    <row r="2082" ht="15" customHeight="1" x14ac:dyDescent="0.3"/>
    <row r="2083" ht="15" customHeight="1" x14ac:dyDescent="0.3"/>
    <row r="2084" ht="15" customHeight="1" x14ac:dyDescent="0.3"/>
    <row r="2085" ht="15" customHeight="1" x14ac:dyDescent="0.3"/>
    <row r="2086" ht="15" customHeight="1" x14ac:dyDescent="0.3"/>
    <row r="2087" ht="15" customHeight="1" x14ac:dyDescent="0.3"/>
    <row r="2088" ht="15" customHeight="1" x14ac:dyDescent="0.3"/>
    <row r="2089" ht="15" customHeight="1" x14ac:dyDescent="0.3"/>
    <row r="2090" ht="15" customHeight="1" x14ac:dyDescent="0.3"/>
    <row r="2091" ht="15" customHeight="1" x14ac:dyDescent="0.3"/>
    <row r="2092" ht="15" customHeight="1" x14ac:dyDescent="0.3"/>
    <row r="2093" ht="15" customHeight="1" x14ac:dyDescent="0.3"/>
    <row r="2094" ht="15" customHeight="1" x14ac:dyDescent="0.3"/>
    <row r="2095" ht="15" customHeight="1" x14ac:dyDescent="0.3"/>
    <row r="2096" ht="15" customHeight="1" x14ac:dyDescent="0.3"/>
    <row r="2097" ht="15" customHeight="1" x14ac:dyDescent="0.3"/>
    <row r="2098" ht="15" customHeight="1" x14ac:dyDescent="0.3"/>
    <row r="2099" ht="15" customHeight="1" x14ac:dyDescent="0.3"/>
    <row r="2100" ht="15" customHeight="1" x14ac:dyDescent="0.3"/>
    <row r="2101" ht="15" customHeight="1" x14ac:dyDescent="0.3"/>
    <row r="2102" ht="15" customHeight="1" x14ac:dyDescent="0.3"/>
    <row r="2103" ht="15" customHeight="1" x14ac:dyDescent="0.3"/>
    <row r="2104" ht="15" customHeight="1" x14ac:dyDescent="0.3"/>
    <row r="2105" ht="15" customHeight="1" x14ac:dyDescent="0.3"/>
    <row r="2106" ht="15" customHeight="1" x14ac:dyDescent="0.3"/>
    <row r="2107" ht="15" customHeight="1" x14ac:dyDescent="0.3"/>
    <row r="2108" ht="15" customHeight="1" x14ac:dyDescent="0.3"/>
    <row r="2109" ht="15" customHeight="1" x14ac:dyDescent="0.3"/>
    <row r="2110" ht="15" customHeight="1" x14ac:dyDescent="0.3"/>
    <row r="2111" ht="15" customHeight="1" x14ac:dyDescent="0.3"/>
    <row r="2112" ht="15" customHeight="1" x14ac:dyDescent="0.3"/>
    <row r="2113" ht="15" customHeight="1" x14ac:dyDescent="0.3"/>
    <row r="2114" ht="15" customHeight="1" x14ac:dyDescent="0.3"/>
    <row r="2115" ht="15" customHeight="1" x14ac:dyDescent="0.3"/>
    <row r="2116" ht="15" customHeight="1" x14ac:dyDescent="0.3"/>
    <row r="2117" ht="15" customHeight="1" x14ac:dyDescent="0.3"/>
    <row r="2118" ht="15" customHeight="1" x14ac:dyDescent="0.3"/>
    <row r="2119" ht="15" customHeight="1" x14ac:dyDescent="0.3"/>
    <row r="2120" ht="15" customHeight="1" x14ac:dyDescent="0.3"/>
    <row r="2121" ht="15" customHeight="1" x14ac:dyDescent="0.3"/>
    <row r="2122" ht="15" customHeight="1" x14ac:dyDescent="0.3"/>
    <row r="2123" ht="15" customHeight="1" x14ac:dyDescent="0.3"/>
    <row r="2124" ht="15" customHeight="1" x14ac:dyDescent="0.3"/>
    <row r="2125" ht="15" customHeight="1" x14ac:dyDescent="0.3"/>
    <row r="2126" ht="15" customHeight="1" x14ac:dyDescent="0.3"/>
    <row r="2127" ht="15" customHeight="1" x14ac:dyDescent="0.3"/>
    <row r="2128" ht="15" customHeight="1" x14ac:dyDescent="0.3"/>
    <row r="2129" ht="15" customHeight="1" x14ac:dyDescent="0.3"/>
    <row r="2130" ht="15" customHeight="1" x14ac:dyDescent="0.3"/>
    <row r="2131" ht="15" customHeight="1" x14ac:dyDescent="0.3"/>
    <row r="2132" ht="15" customHeight="1" x14ac:dyDescent="0.3"/>
    <row r="2133" ht="15" customHeight="1" x14ac:dyDescent="0.3"/>
    <row r="2134" ht="15" customHeight="1" x14ac:dyDescent="0.3"/>
    <row r="2135" ht="15" customHeight="1" x14ac:dyDescent="0.3"/>
    <row r="2136" ht="15" customHeight="1" x14ac:dyDescent="0.3"/>
    <row r="2137" ht="15" customHeight="1" x14ac:dyDescent="0.3"/>
    <row r="2138" ht="15" customHeight="1" x14ac:dyDescent="0.3"/>
    <row r="2139" ht="15" customHeight="1" x14ac:dyDescent="0.3"/>
    <row r="2140" ht="15" customHeight="1" x14ac:dyDescent="0.3"/>
    <row r="2141" ht="15" customHeight="1" x14ac:dyDescent="0.3"/>
    <row r="2142" ht="15" customHeight="1" x14ac:dyDescent="0.3"/>
    <row r="2143" ht="15" customHeight="1" x14ac:dyDescent="0.3"/>
    <row r="2144" ht="15" customHeight="1" x14ac:dyDescent="0.3"/>
    <row r="2145" spans="2:33" ht="15" customHeight="1" x14ac:dyDescent="0.3"/>
    <row r="2146" spans="2:33" ht="15" customHeight="1" x14ac:dyDescent="0.3"/>
    <row r="2147" spans="2:33" ht="15" customHeight="1" x14ac:dyDescent="0.3"/>
    <row r="2148" spans="2:33" ht="15" customHeight="1" x14ac:dyDescent="0.3"/>
    <row r="2149" spans="2:33" ht="15" customHeight="1" x14ac:dyDescent="0.3"/>
    <row r="2150" spans="2:33" ht="15" customHeight="1" x14ac:dyDescent="0.3"/>
    <row r="2151" spans="2:33" ht="15" customHeight="1" x14ac:dyDescent="0.3"/>
    <row r="2152" spans="2:33" ht="15" customHeight="1" x14ac:dyDescent="0.3"/>
    <row r="2153" spans="2:33" ht="15" customHeight="1" x14ac:dyDescent="0.3">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c r="AG2153" s="470"/>
    </row>
    <row r="2154" spans="2:33" ht="15" customHeight="1" x14ac:dyDescent="0.3"/>
    <row r="2155" spans="2:33" ht="15" customHeight="1" x14ac:dyDescent="0.3"/>
    <row r="2156" spans="2:33" ht="15" customHeight="1" x14ac:dyDescent="0.3"/>
    <row r="2157" spans="2:33" ht="15" customHeight="1" x14ac:dyDescent="0.3"/>
    <row r="2158" spans="2:33" ht="15" customHeight="1" x14ac:dyDescent="0.3"/>
    <row r="2159" spans="2:33" ht="15" customHeight="1" x14ac:dyDescent="0.3"/>
    <row r="2160" spans="2:33" ht="15" customHeight="1" x14ac:dyDescent="0.3"/>
    <row r="2161" ht="15" customHeight="1" x14ac:dyDescent="0.3"/>
    <row r="2162" ht="15" customHeight="1" x14ac:dyDescent="0.3"/>
    <row r="2163" ht="15" customHeight="1" x14ac:dyDescent="0.3"/>
    <row r="2164" ht="15" customHeight="1" x14ac:dyDescent="0.3"/>
    <row r="2165" ht="15" customHeight="1" x14ac:dyDescent="0.3"/>
    <row r="2166" ht="15" customHeight="1" x14ac:dyDescent="0.3"/>
    <row r="2167" ht="15" customHeight="1" x14ac:dyDescent="0.3"/>
    <row r="2168" ht="15" customHeight="1" x14ac:dyDescent="0.3"/>
    <row r="2169" ht="15" customHeight="1" x14ac:dyDescent="0.3"/>
    <row r="2170" ht="15" customHeight="1" x14ac:dyDescent="0.3"/>
    <row r="2171" ht="15" customHeight="1" x14ac:dyDescent="0.3"/>
    <row r="2172" ht="15" customHeight="1" x14ac:dyDescent="0.3"/>
    <row r="2173" ht="15" customHeight="1" x14ac:dyDescent="0.3"/>
    <row r="2174" ht="15" customHeight="1" x14ac:dyDescent="0.3"/>
    <row r="2175" ht="15" customHeight="1" x14ac:dyDescent="0.3"/>
    <row r="2176" ht="15" customHeight="1" x14ac:dyDescent="0.3"/>
    <row r="2177" ht="15" customHeight="1" x14ac:dyDescent="0.3"/>
    <row r="2178" ht="15" customHeight="1" x14ac:dyDescent="0.3"/>
    <row r="2179" ht="15" customHeight="1" x14ac:dyDescent="0.3"/>
    <row r="2180" ht="15" customHeight="1" x14ac:dyDescent="0.3"/>
    <row r="2181" ht="15" customHeight="1" x14ac:dyDescent="0.3"/>
    <row r="2182" ht="15" customHeight="1" x14ac:dyDescent="0.3"/>
    <row r="2183" ht="15" customHeight="1" x14ac:dyDescent="0.3"/>
    <row r="2184" ht="15" customHeight="1" x14ac:dyDescent="0.3"/>
    <row r="2185" ht="15" customHeight="1" x14ac:dyDescent="0.3"/>
    <row r="2186" ht="15" customHeight="1" x14ac:dyDescent="0.3"/>
    <row r="2187" ht="15" customHeight="1" x14ac:dyDescent="0.3"/>
    <row r="2188" ht="15" customHeight="1" x14ac:dyDescent="0.3"/>
    <row r="2189" ht="15" customHeight="1" x14ac:dyDescent="0.3"/>
    <row r="2190" ht="15" customHeight="1" x14ac:dyDescent="0.3"/>
    <row r="2191" ht="15" customHeight="1" x14ac:dyDescent="0.3"/>
    <row r="2192" ht="15" customHeight="1" x14ac:dyDescent="0.3"/>
    <row r="2193" ht="15" customHeight="1" x14ac:dyDescent="0.3"/>
    <row r="2194" ht="15" customHeight="1" x14ac:dyDescent="0.3"/>
    <row r="2195" ht="15" customHeight="1" x14ac:dyDescent="0.3"/>
    <row r="2196" ht="15" customHeight="1" x14ac:dyDescent="0.3"/>
    <row r="2197" ht="15" customHeight="1" x14ac:dyDescent="0.3"/>
    <row r="2198" ht="15" customHeight="1" x14ac:dyDescent="0.3"/>
    <row r="2199" ht="15" customHeight="1" x14ac:dyDescent="0.3"/>
    <row r="2200" ht="15" customHeight="1" x14ac:dyDescent="0.3"/>
    <row r="2201" ht="15" customHeight="1" x14ac:dyDescent="0.3"/>
    <row r="2202" ht="15" customHeight="1" x14ac:dyDescent="0.3"/>
    <row r="2203" ht="15" customHeight="1" x14ac:dyDescent="0.3"/>
    <row r="2204" ht="15" customHeight="1" x14ac:dyDescent="0.3"/>
    <row r="2205" ht="15" customHeight="1" x14ac:dyDescent="0.3"/>
    <row r="2206" ht="15" customHeight="1" x14ac:dyDescent="0.3"/>
    <row r="2207" ht="15" customHeight="1" x14ac:dyDescent="0.3"/>
    <row r="2208" ht="15" customHeight="1" x14ac:dyDescent="0.3"/>
    <row r="2209" ht="15" customHeight="1" x14ac:dyDescent="0.3"/>
    <row r="2210" ht="15" customHeight="1" x14ac:dyDescent="0.3"/>
    <row r="2211" ht="15" customHeight="1" x14ac:dyDescent="0.3"/>
    <row r="2212" ht="15" customHeight="1" x14ac:dyDescent="0.3"/>
    <row r="2213" ht="15" customHeight="1" x14ac:dyDescent="0.3"/>
    <row r="2214" ht="15" customHeight="1" x14ac:dyDescent="0.3"/>
    <row r="2215" ht="15" customHeight="1" x14ac:dyDescent="0.3"/>
    <row r="2216" ht="15" customHeight="1" x14ac:dyDescent="0.3"/>
    <row r="2217" ht="15" customHeight="1" x14ac:dyDescent="0.3"/>
    <row r="2218" ht="15" customHeight="1" x14ac:dyDescent="0.3"/>
    <row r="2219" ht="15" customHeight="1" x14ac:dyDescent="0.3"/>
    <row r="2220" ht="15" customHeight="1" x14ac:dyDescent="0.3"/>
    <row r="2221" ht="15" customHeight="1" x14ac:dyDescent="0.3"/>
    <row r="2222" ht="15" customHeight="1" x14ac:dyDescent="0.3"/>
    <row r="2223" ht="15" customHeight="1" x14ac:dyDescent="0.3"/>
    <row r="2224" ht="15" customHeight="1" x14ac:dyDescent="0.3"/>
    <row r="2225" ht="15" customHeight="1" x14ac:dyDescent="0.3"/>
    <row r="2226" ht="15" customHeight="1" x14ac:dyDescent="0.3"/>
    <row r="2227" ht="15" customHeight="1" x14ac:dyDescent="0.3"/>
    <row r="2228" ht="15" customHeight="1" x14ac:dyDescent="0.3"/>
    <row r="2229" ht="15" customHeight="1" x14ac:dyDescent="0.3"/>
    <row r="2230" ht="15" customHeight="1" x14ac:dyDescent="0.3"/>
    <row r="2231" ht="15" customHeight="1" x14ac:dyDescent="0.3"/>
    <row r="2232" ht="15" customHeight="1" x14ac:dyDescent="0.3"/>
    <row r="2233" ht="15" customHeight="1" x14ac:dyDescent="0.3"/>
    <row r="2234" ht="15" customHeight="1" x14ac:dyDescent="0.3"/>
    <row r="2235" ht="15" customHeight="1" x14ac:dyDescent="0.3"/>
    <row r="2236" ht="15" customHeight="1" x14ac:dyDescent="0.3"/>
    <row r="2237" ht="15" customHeight="1" x14ac:dyDescent="0.3"/>
    <row r="2238" ht="15" customHeight="1" x14ac:dyDescent="0.3"/>
    <row r="2239" ht="15" customHeight="1" x14ac:dyDescent="0.3"/>
    <row r="2240" ht="15" customHeight="1" x14ac:dyDescent="0.3"/>
    <row r="2241" ht="15" customHeight="1" x14ac:dyDescent="0.3"/>
    <row r="2242" ht="15" customHeight="1" x14ac:dyDescent="0.3"/>
    <row r="2243" ht="15" customHeight="1" x14ac:dyDescent="0.3"/>
    <row r="2244" ht="15" customHeight="1" x14ac:dyDescent="0.3"/>
    <row r="2245" ht="15" customHeight="1" x14ac:dyDescent="0.3"/>
    <row r="2246" ht="15" customHeight="1" x14ac:dyDescent="0.3"/>
    <row r="2247" ht="15" customHeight="1" x14ac:dyDescent="0.3"/>
    <row r="2248" ht="15" customHeight="1" x14ac:dyDescent="0.3"/>
    <row r="2249" ht="15" customHeight="1" x14ac:dyDescent="0.3"/>
    <row r="2250" ht="15" customHeight="1" x14ac:dyDescent="0.3"/>
    <row r="2251" ht="15" customHeight="1" x14ac:dyDescent="0.3"/>
    <row r="2252" ht="15" customHeight="1" x14ac:dyDescent="0.3"/>
    <row r="2253" ht="15" customHeight="1" x14ac:dyDescent="0.3"/>
    <row r="2254" ht="15" customHeight="1" x14ac:dyDescent="0.3"/>
    <row r="2255" ht="15" customHeight="1" x14ac:dyDescent="0.3"/>
    <row r="2256" ht="15" customHeight="1" x14ac:dyDescent="0.3"/>
    <row r="2257" ht="15" customHeight="1" x14ac:dyDescent="0.3"/>
    <row r="2258" ht="15" customHeight="1" x14ac:dyDescent="0.3"/>
    <row r="2259" ht="15" customHeight="1" x14ac:dyDescent="0.3"/>
    <row r="2260" ht="15" customHeight="1" x14ac:dyDescent="0.3"/>
    <row r="2261" ht="15" customHeight="1" x14ac:dyDescent="0.3"/>
    <row r="2262" ht="15" customHeight="1" x14ac:dyDescent="0.3"/>
    <row r="2263" ht="15" customHeight="1" x14ac:dyDescent="0.3"/>
    <row r="2264" ht="15" customHeight="1" x14ac:dyDescent="0.3"/>
    <row r="2265" ht="15" customHeight="1" x14ac:dyDescent="0.3"/>
    <row r="2266" ht="15" customHeight="1" x14ac:dyDescent="0.3"/>
    <row r="2267" ht="15" customHeight="1" x14ac:dyDescent="0.3"/>
    <row r="2268" ht="15" customHeight="1" x14ac:dyDescent="0.3"/>
    <row r="2269" ht="15" customHeight="1" x14ac:dyDescent="0.3"/>
    <row r="2270" ht="15" customHeight="1" x14ac:dyDescent="0.3"/>
    <row r="2271" ht="15" customHeight="1" x14ac:dyDescent="0.3"/>
    <row r="2272" ht="15" customHeight="1" x14ac:dyDescent="0.3"/>
    <row r="2273" ht="15" customHeight="1" x14ac:dyDescent="0.3"/>
    <row r="2274" ht="15" customHeight="1" x14ac:dyDescent="0.3"/>
    <row r="2275" ht="15" customHeight="1" x14ac:dyDescent="0.3"/>
    <row r="2276" ht="15" customHeight="1" x14ac:dyDescent="0.3"/>
    <row r="2277" ht="15" customHeight="1" x14ac:dyDescent="0.3"/>
    <row r="2278" ht="15" customHeight="1" x14ac:dyDescent="0.3"/>
    <row r="2279" ht="15" customHeight="1" x14ac:dyDescent="0.3"/>
    <row r="2280" ht="15" customHeight="1" x14ac:dyDescent="0.3"/>
    <row r="2281" ht="15" customHeight="1" x14ac:dyDescent="0.3"/>
    <row r="2282" ht="15" customHeight="1" x14ac:dyDescent="0.3"/>
    <row r="2283" ht="15" customHeight="1" x14ac:dyDescent="0.3"/>
    <row r="2284" ht="15" customHeight="1" x14ac:dyDescent="0.3"/>
    <row r="2285" ht="15" customHeight="1" x14ac:dyDescent="0.3"/>
    <row r="2286" ht="15" customHeight="1" x14ac:dyDescent="0.3"/>
    <row r="2287" ht="15" customHeight="1" x14ac:dyDescent="0.3"/>
    <row r="2288" ht="15" customHeight="1" x14ac:dyDescent="0.3"/>
    <row r="2289" ht="15" customHeight="1" x14ac:dyDescent="0.3"/>
    <row r="2290" ht="15" customHeight="1" x14ac:dyDescent="0.3"/>
    <row r="2291" ht="15" customHeight="1" x14ac:dyDescent="0.3"/>
    <row r="2292" ht="15" customHeight="1" x14ac:dyDescent="0.3"/>
    <row r="2293" ht="15" customHeight="1" x14ac:dyDescent="0.3"/>
    <row r="2294" ht="15" customHeight="1" x14ac:dyDescent="0.3"/>
    <row r="2295" ht="15" customHeight="1" x14ac:dyDescent="0.3"/>
    <row r="2296" ht="15" customHeight="1" x14ac:dyDescent="0.3"/>
    <row r="2297" ht="15" customHeight="1" x14ac:dyDescent="0.3"/>
    <row r="2298" ht="15" customHeight="1" x14ac:dyDescent="0.3"/>
    <row r="2299" ht="15" customHeight="1" x14ac:dyDescent="0.3"/>
    <row r="2300" ht="15" customHeight="1" x14ac:dyDescent="0.3"/>
    <row r="2301" ht="15" customHeight="1" x14ac:dyDescent="0.3"/>
    <row r="2302" ht="15" customHeight="1" x14ac:dyDescent="0.3"/>
    <row r="2303" ht="15" customHeight="1" x14ac:dyDescent="0.3"/>
    <row r="2304" ht="15" customHeight="1" x14ac:dyDescent="0.3"/>
    <row r="2305" spans="2:33" ht="15" customHeight="1" x14ac:dyDescent="0.3"/>
    <row r="2306" spans="2:33" ht="15" customHeight="1" x14ac:dyDescent="0.3"/>
    <row r="2307" spans="2:33" ht="15" customHeight="1" x14ac:dyDescent="0.3"/>
    <row r="2308" spans="2:33" ht="15" customHeight="1" x14ac:dyDescent="0.3"/>
    <row r="2309" spans="2:33" ht="15" customHeight="1" x14ac:dyDescent="0.3"/>
    <row r="2310" spans="2:33" ht="15" customHeight="1" x14ac:dyDescent="0.3"/>
    <row r="2311" spans="2:33" ht="15" customHeight="1" x14ac:dyDescent="0.3"/>
    <row r="2312" spans="2:33" ht="15" customHeight="1" x14ac:dyDescent="0.3"/>
    <row r="2313" spans="2:33" ht="15" customHeight="1" x14ac:dyDescent="0.3"/>
    <row r="2314" spans="2:33" ht="15" customHeight="1" x14ac:dyDescent="0.3"/>
    <row r="2315" spans="2:33" ht="15" customHeight="1" x14ac:dyDescent="0.3"/>
    <row r="2316" spans="2:33" ht="15" customHeight="1" x14ac:dyDescent="0.3"/>
    <row r="2317" spans="2:33" ht="15" customHeight="1" x14ac:dyDescent="0.3">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c r="AG2317" s="470"/>
    </row>
    <row r="2318" spans="2:33" ht="15" customHeight="1" x14ac:dyDescent="0.3"/>
    <row r="2319" spans="2:33" ht="15" customHeight="1" x14ac:dyDescent="0.3"/>
    <row r="2320" spans="2:33" ht="15" customHeight="1" x14ac:dyDescent="0.3"/>
    <row r="2321" ht="15" customHeight="1" x14ac:dyDescent="0.3"/>
    <row r="2322" ht="15" customHeight="1" x14ac:dyDescent="0.3"/>
    <row r="2323" ht="15" customHeight="1" x14ac:dyDescent="0.3"/>
    <row r="2324" ht="15" customHeight="1" x14ac:dyDescent="0.3"/>
    <row r="2325" ht="15" customHeight="1" x14ac:dyDescent="0.3"/>
    <row r="2326" ht="15" customHeight="1" x14ac:dyDescent="0.3"/>
    <row r="2327" ht="15" customHeight="1" x14ac:dyDescent="0.3"/>
    <row r="2328" ht="15" customHeight="1" x14ac:dyDescent="0.3"/>
    <row r="2329" ht="15" customHeight="1" x14ac:dyDescent="0.3"/>
    <row r="2330" ht="15" customHeight="1" x14ac:dyDescent="0.3"/>
    <row r="2331" ht="15" customHeight="1" x14ac:dyDescent="0.3"/>
    <row r="2332" ht="15" customHeight="1" x14ac:dyDescent="0.3"/>
    <row r="2333" ht="15" customHeight="1" x14ac:dyDescent="0.3"/>
    <row r="2334" ht="15" customHeight="1" x14ac:dyDescent="0.3"/>
    <row r="2335" ht="15" customHeight="1" x14ac:dyDescent="0.3"/>
    <row r="2336" ht="15" customHeight="1" x14ac:dyDescent="0.3"/>
    <row r="2337" ht="15" customHeight="1" x14ac:dyDescent="0.3"/>
    <row r="2338" ht="15" customHeight="1" x14ac:dyDescent="0.3"/>
    <row r="2339" ht="15" customHeight="1" x14ac:dyDescent="0.3"/>
    <row r="2340" ht="15" customHeight="1" x14ac:dyDescent="0.3"/>
    <row r="2341" ht="15" customHeight="1" x14ac:dyDescent="0.3"/>
    <row r="2342" ht="15" customHeight="1" x14ac:dyDescent="0.3"/>
    <row r="2343" ht="15" customHeight="1" x14ac:dyDescent="0.3"/>
    <row r="2344" ht="15" customHeight="1" x14ac:dyDescent="0.3"/>
    <row r="2345" ht="15" customHeight="1" x14ac:dyDescent="0.3"/>
    <row r="2346" ht="15" customHeight="1" x14ac:dyDescent="0.3"/>
    <row r="2347" ht="15" customHeight="1" x14ac:dyDescent="0.3"/>
    <row r="2348" ht="15" customHeight="1" x14ac:dyDescent="0.3"/>
    <row r="2349" ht="15" customHeight="1" x14ac:dyDescent="0.3"/>
    <row r="2350" ht="15" customHeight="1" x14ac:dyDescent="0.3"/>
    <row r="2351" ht="15" customHeight="1" x14ac:dyDescent="0.3"/>
    <row r="2352" ht="15" customHeight="1" x14ac:dyDescent="0.3"/>
    <row r="2353" ht="15" customHeight="1" x14ac:dyDescent="0.3"/>
    <row r="2354" ht="15" customHeight="1" x14ac:dyDescent="0.3"/>
    <row r="2355" ht="15" customHeight="1" x14ac:dyDescent="0.3"/>
    <row r="2356" ht="15" customHeight="1" x14ac:dyDescent="0.3"/>
    <row r="2357" ht="15" customHeight="1" x14ac:dyDescent="0.3"/>
    <row r="2358" ht="15" customHeight="1" x14ac:dyDescent="0.3"/>
    <row r="2359" ht="15" customHeight="1" x14ac:dyDescent="0.3"/>
    <row r="2360" ht="15" customHeight="1" x14ac:dyDescent="0.3"/>
    <row r="2361" ht="15" customHeight="1" x14ac:dyDescent="0.3"/>
    <row r="2362" ht="15" customHeight="1" x14ac:dyDescent="0.3"/>
    <row r="2363" ht="15" customHeight="1" x14ac:dyDescent="0.3"/>
    <row r="2364" ht="15" customHeight="1" x14ac:dyDescent="0.3"/>
    <row r="2365" ht="15" customHeight="1" x14ac:dyDescent="0.3"/>
    <row r="2366" ht="15" customHeight="1" x14ac:dyDescent="0.3"/>
    <row r="2367" ht="15" customHeight="1" x14ac:dyDescent="0.3"/>
    <row r="2368" ht="15" customHeight="1" x14ac:dyDescent="0.3"/>
    <row r="2369" ht="15" customHeight="1" x14ac:dyDescent="0.3"/>
    <row r="2370" ht="15" customHeight="1" x14ac:dyDescent="0.3"/>
    <row r="2371" ht="15" customHeight="1" x14ac:dyDescent="0.3"/>
    <row r="2372" ht="15" customHeight="1" x14ac:dyDescent="0.3"/>
    <row r="2373" ht="15" customHeight="1" x14ac:dyDescent="0.3"/>
    <row r="2374" ht="15" customHeight="1" x14ac:dyDescent="0.3"/>
    <row r="2375" ht="15" customHeight="1" x14ac:dyDescent="0.3"/>
    <row r="2376" ht="15" customHeight="1" x14ac:dyDescent="0.3"/>
    <row r="2377" ht="15" customHeight="1" x14ac:dyDescent="0.3"/>
    <row r="2378" ht="15" customHeight="1" x14ac:dyDescent="0.3"/>
    <row r="2379" ht="15" customHeight="1" x14ac:dyDescent="0.3"/>
    <row r="2380" ht="15" customHeight="1" x14ac:dyDescent="0.3"/>
    <row r="2381" ht="15" customHeight="1" x14ac:dyDescent="0.3"/>
    <row r="2382" ht="15" customHeight="1" x14ac:dyDescent="0.3"/>
    <row r="2383" ht="15" customHeight="1" x14ac:dyDescent="0.3"/>
    <row r="2384" ht="15" customHeight="1" x14ac:dyDescent="0.3"/>
    <row r="2385" ht="15" customHeight="1" x14ac:dyDescent="0.3"/>
    <row r="2386" ht="15" customHeight="1" x14ac:dyDescent="0.3"/>
    <row r="2387" ht="15" customHeight="1" x14ac:dyDescent="0.3"/>
    <row r="2388" ht="15" customHeight="1" x14ac:dyDescent="0.3"/>
    <row r="2389" ht="15" customHeight="1" x14ac:dyDescent="0.3"/>
    <row r="2390" ht="15" customHeight="1" x14ac:dyDescent="0.3"/>
    <row r="2391" ht="15" customHeight="1" x14ac:dyDescent="0.3"/>
    <row r="2392" ht="15" customHeight="1" x14ac:dyDescent="0.3"/>
    <row r="2393" ht="15" customHeight="1" x14ac:dyDescent="0.3"/>
    <row r="2394" ht="15" customHeight="1" x14ac:dyDescent="0.3"/>
    <row r="2395" ht="15" customHeight="1" x14ac:dyDescent="0.3"/>
    <row r="2396" ht="15" customHeight="1" x14ac:dyDescent="0.3"/>
    <row r="2397" ht="15" customHeight="1" x14ac:dyDescent="0.3"/>
    <row r="2398" ht="15" customHeight="1" x14ac:dyDescent="0.3"/>
    <row r="2399" ht="15" customHeight="1" x14ac:dyDescent="0.3"/>
    <row r="2400" ht="15" customHeight="1" x14ac:dyDescent="0.3"/>
    <row r="2401" ht="15" customHeight="1" x14ac:dyDescent="0.3"/>
    <row r="2402" ht="15" customHeight="1" x14ac:dyDescent="0.3"/>
    <row r="2403" ht="15" customHeight="1" x14ac:dyDescent="0.3"/>
    <row r="2404" ht="15" customHeight="1" x14ac:dyDescent="0.3"/>
    <row r="2405" ht="15" customHeight="1" x14ac:dyDescent="0.3"/>
    <row r="2406" ht="15" customHeight="1" x14ac:dyDescent="0.3"/>
    <row r="2407" ht="15" customHeight="1" x14ac:dyDescent="0.3"/>
    <row r="2408" ht="15" customHeight="1" x14ac:dyDescent="0.3"/>
    <row r="2409" ht="15" customHeight="1" x14ac:dyDescent="0.3"/>
    <row r="2410" ht="15" customHeight="1" x14ac:dyDescent="0.3"/>
    <row r="2411" ht="15" customHeight="1" x14ac:dyDescent="0.3"/>
    <row r="2412" ht="15" customHeight="1" x14ac:dyDescent="0.3"/>
    <row r="2413" ht="15" customHeight="1" x14ac:dyDescent="0.3"/>
    <row r="2414" ht="15" customHeight="1" x14ac:dyDescent="0.3"/>
    <row r="2415" ht="15" customHeight="1" x14ac:dyDescent="0.3"/>
    <row r="2416" ht="15" customHeight="1" x14ac:dyDescent="0.3"/>
    <row r="2417" spans="2:33" ht="15" customHeight="1" x14ac:dyDescent="0.3"/>
    <row r="2418" spans="2:33" ht="15" customHeight="1" x14ac:dyDescent="0.3"/>
    <row r="2419" spans="2:33" ht="15" customHeight="1" x14ac:dyDescent="0.3">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c r="AG2419" s="470"/>
    </row>
    <row r="2420" spans="2:33" ht="15" customHeight="1" x14ac:dyDescent="0.3"/>
    <row r="2421" spans="2:33" ht="15" customHeight="1" x14ac:dyDescent="0.3"/>
    <row r="2422" spans="2:33" ht="15" customHeight="1" x14ac:dyDescent="0.3"/>
    <row r="2423" spans="2:33" ht="15" customHeight="1" x14ac:dyDescent="0.3"/>
    <row r="2424" spans="2:33" ht="15" customHeight="1" x14ac:dyDescent="0.3"/>
    <row r="2425" spans="2:33" ht="15" customHeight="1" x14ac:dyDescent="0.3"/>
    <row r="2426" spans="2:33" ht="15" customHeight="1" x14ac:dyDescent="0.3"/>
    <row r="2427" spans="2:33" ht="15" customHeight="1" x14ac:dyDescent="0.3"/>
    <row r="2428" spans="2:33" ht="15" customHeight="1" x14ac:dyDescent="0.3"/>
    <row r="2429" spans="2:33" ht="15" customHeight="1" x14ac:dyDescent="0.3"/>
    <row r="2430" spans="2:33" ht="15" customHeight="1" x14ac:dyDescent="0.3"/>
    <row r="2431" spans="2:33" ht="15" customHeight="1" x14ac:dyDescent="0.3"/>
    <row r="2432" spans="2:33" ht="15" customHeight="1" x14ac:dyDescent="0.3"/>
    <row r="2433" ht="15" customHeight="1" x14ac:dyDescent="0.3"/>
    <row r="2434" ht="15" customHeight="1" x14ac:dyDescent="0.3"/>
    <row r="2435" ht="15" customHeight="1" x14ac:dyDescent="0.3"/>
    <row r="2436" ht="15" customHeight="1" x14ac:dyDescent="0.3"/>
    <row r="2437" ht="15" customHeight="1" x14ac:dyDescent="0.3"/>
    <row r="2438" ht="15" customHeight="1" x14ac:dyDescent="0.3"/>
    <row r="2439" ht="15" customHeight="1" x14ac:dyDescent="0.3"/>
    <row r="2440" ht="15" customHeight="1" x14ac:dyDescent="0.3"/>
    <row r="2441" ht="15" customHeight="1" x14ac:dyDescent="0.3"/>
    <row r="2442" ht="15" customHeight="1" x14ac:dyDescent="0.3"/>
    <row r="2443" ht="15" customHeight="1" x14ac:dyDescent="0.3"/>
    <row r="2444" ht="15" customHeight="1" x14ac:dyDescent="0.3"/>
    <row r="2445" ht="15" customHeight="1" x14ac:dyDescent="0.3"/>
    <row r="2446" ht="15" customHeight="1" x14ac:dyDescent="0.3"/>
    <row r="2447" ht="15" customHeight="1" x14ac:dyDescent="0.3"/>
    <row r="2448" ht="15" customHeight="1" x14ac:dyDescent="0.3"/>
    <row r="2449" ht="15" customHeight="1" x14ac:dyDescent="0.3"/>
    <row r="2450" ht="15" customHeight="1" x14ac:dyDescent="0.3"/>
    <row r="2451" ht="15" customHeight="1" x14ac:dyDescent="0.3"/>
    <row r="2452" ht="15" customHeight="1" x14ac:dyDescent="0.3"/>
    <row r="2453" ht="15" customHeight="1" x14ac:dyDescent="0.3"/>
    <row r="2454" ht="15" customHeight="1" x14ac:dyDescent="0.3"/>
    <row r="2455" ht="15" customHeight="1" x14ac:dyDescent="0.3"/>
    <row r="2456" ht="15" customHeight="1" x14ac:dyDescent="0.3"/>
    <row r="2457" ht="15" customHeight="1" x14ac:dyDescent="0.3"/>
    <row r="2458" ht="15" customHeight="1" x14ac:dyDescent="0.3"/>
    <row r="2459" ht="15" customHeight="1" x14ac:dyDescent="0.3"/>
    <row r="2460" ht="15" customHeight="1" x14ac:dyDescent="0.3"/>
    <row r="2461" ht="15" customHeight="1" x14ac:dyDescent="0.3"/>
    <row r="2462" ht="15" customHeight="1" x14ac:dyDescent="0.3"/>
    <row r="2463" ht="15" customHeight="1" x14ac:dyDescent="0.3"/>
    <row r="2464" ht="15" customHeight="1" x14ac:dyDescent="0.3"/>
    <row r="2465" ht="15" customHeight="1" x14ac:dyDescent="0.3"/>
    <row r="2466" ht="15" customHeight="1" x14ac:dyDescent="0.3"/>
    <row r="2467" ht="15" customHeight="1" x14ac:dyDescent="0.3"/>
    <row r="2468" ht="15" customHeight="1" x14ac:dyDescent="0.3"/>
    <row r="2469" ht="15" customHeight="1" x14ac:dyDescent="0.3"/>
    <row r="2470" ht="15" customHeight="1" x14ac:dyDescent="0.3"/>
    <row r="2471" ht="15" customHeight="1" x14ac:dyDescent="0.3"/>
    <row r="2472" ht="15" customHeight="1" x14ac:dyDescent="0.3"/>
    <row r="2473" ht="15" customHeight="1" x14ac:dyDescent="0.3"/>
    <row r="2474" ht="15" customHeight="1" x14ac:dyDescent="0.3"/>
    <row r="2475" ht="15" customHeight="1" x14ac:dyDescent="0.3"/>
    <row r="2476" ht="15" customHeight="1" x14ac:dyDescent="0.3"/>
    <row r="2477" ht="15" customHeight="1" x14ac:dyDescent="0.3"/>
    <row r="2478" ht="15" customHeight="1" x14ac:dyDescent="0.3"/>
    <row r="2479" ht="15" customHeight="1" x14ac:dyDescent="0.3"/>
    <row r="2480" ht="15" customHeight="1" x14ac:dyDescent="0.3"/>
    <row r="2481" ht="15" customHeight="1" x14ac:dyDescent="0.3"/>
    <row r="2482" ht="15" customHeight="1" x14ac:dyDescent="0.3"/>
    <row r="2483" ht="15" customHeight="1" x14ac:dyDescent="0.3"/>
    <row r="2484" ht="15" customHeight="1" x14ac:dyDescent="0.3"/>
    <row r="2485" ht="15" customHeight="1" x14ac:dyDescent="0.3"/>
    <row r="2486" ht="15" customHeight="1" x14ac:dyDescent="0.3"/>
    <row r="2487" ht="15" customHeight="1" x14ac:dyDescent="0.3"/>
    <row r="2488" ht="15" customHeight="1" x14ac:dyDescent="0.3"/>
    <row r="2489" ht="15" customHeight="1" x14ac:dyDescent="0.3"/>
    <row r="2490" ht="15" customHeight="1" x14ac:dyDescent="0.3"/>
    <row r="2491" ht="15" customHeight="1" x14ac:dyDescent="0.3"/>
    <row r="2492" ht="15" customHeight="1" x14ac:dyDescent="0.3"/>
    <row r="2493" ht="15" customHeight="1" x14ac:dyDescent="0.3"/>
    <row r="2494" ht="15" customHeight="1" x14ac:dyDescent="0.3"/>
    <row r="2495" ht="15" customHeight="1" x14ac:dyDescent="0.3"/>
    <row r="2496" ht="15" customHeight="1" x14ac:dyDescent="0.3"/>
    <row r="2497" spans="2:33" ht="15" customHeight="1" x14ac:dyDescent="0.3"/>
    <row r="2498" spans="2:33" ht="15" customHeight="1" x14ac:dyDescent="0.3"/>
    <row r="2499" spans="2:33" ht="15" customHeight="1" x14ac:dyDescent="0.3"/>
    <row r="2500" spans="2:33" ht="15" customHeight="1" x14ac:dyDescent="0.3"/>
    <row r="2501" spans="2:33" ht="15" customHeight="1" x14ac:dyDescent="0.3"/>
    <row r="2502" spans="2:33" ht="15" customHeight="1" x14ac:dyDescent="0.3"/>
    <row r="2503" spans="2:33" ht="15" customHeight="1" x14ac:dyDescent="0.3"/>
    <row r="2504" spans="2:33" ht="15" customHeight="1" x14ac:dyDescent="0.3"/>
    <row r="2505" spans="2:33" ht="15" customHeight="1" x14ac:dyDescent="0.3"/>
    <row r="2506" spans="2:33" ht="15" customHeight="1" x14ac:dyDescent="0.3"/>
    <row r="2507" spans="2:33" ht="15" customHeight="1" x14ac:dyDescent="0.3"/>
    <row r="2508" spans="2:33" ht="15" customHeight="1" x14ac:dyDescent="0.3"/>
    <row r="2509" spans="2:33" ht="15" customHeight="1" x14ac:dyDescent="0.3">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c r="AG2509" s="470"/>
    </row>
    <row r="2510" spans="2:33" ht="15" customHeight="1" x14ac:dyDescent="0.3"/>
    <row r="2511" spans="2:33" ht="15" customHeight="1" x14ac:dyDescent="0.3"/>
    <row r="2512" spans="2:33" ht="15" customHeight="1" x14ac:dyDescent="0.3"/>
    <row r="2513" ht="15" customHeight="1" x14ac:dyDescent="0.3"/>
    <row r="2514" ht="15" customHeight="1" x14ac:dyDescent="0.3"/>
    <row r="2515" ht="15" customHeight="1" x14ac:dyDescent="0.3"/>
    <row r="2516" ht="15" customHeight="1" x14ac:dyDescent="0.3"/>
    <row r="2517" ht="15" customHeight="1" x14ac:dyDescent="0.3"/>
    <row r="2518" ht="15" customHeight="1" x14ac:dyDescent="0.3"/>
    <row r="2519" ht="15" customHeight="1" x14ac:dyDescent="0.3"/>
    <row r="2520" ht="15" customHeight="1" x14ac:dyDescent="0.3"/>
    <row r="2521" ht="15" customHeight="1" x14ac:dyDescent="0.3"/>
    <row r="2522" ht="15" customHeight="1" x14ac:dyDescent="0.3"/>
    <row r="2523" ht="15" customHeight="1" x14ac:dyDescent="0.3"/>
    <row r="2524" ht="15" customHeight="1" x14ac:dyDescent="0.3"/>
    <row r="2525" ht="15" customHeight="1" x14ac:dyDescent="0.3"/>
    <row r="2526" ht="15" customHeight="1" x14ac:dyDescent="0.3"/>
    <row r="2527" ht="15" customHeight="1" x14ac:dyDescent="0.3"/>
    <row r="2528" ht="15" customHeight="1" x14ac:dyDescent="0.3"/>
    <row r="2529" ht="15" customHeight="1" x14ac:dyDescent="0.3"/>
    <row r="2530" ht="15" customHeight="1" x14ac:dyDescent="0.3"/>
    <row r="2531" ht="15" customHeight="1" x14ac:dyDescent="0.3"/>
    <row r="2532" ht="15" customHeight="1" x14ac:dyDescent="0.3"/>
    <row r="2533" ht="15" customHeight="1" x14ac:dyDescent="0.3"/>
    <row r="2534" ht="15" customHeight="1" x14ac:dyDescent="0.3"/>
    <row r="2535" ht="15" customHeight="1" x14ac:dyDescent="0.3"/>
    <row r="2536" ht="15" customHeight="1" x14ac:dyDescent="0.3"/>
    <row r="2537" ht="15" customHeight="1" x14ac:dyDescent="0.3"/>
    <row r="2538" ht="15" customHeight="1" x14ac:dyDescent="0.3"/>
    <row r="2539" ht="15" customHeight="1" x14ac:dyDescent="0.3"/>
    <row r="2540" ht="15" customHeight="1" x14ac:dyDescent="0.3"/>
    <row r="2541" ht="15" customHeight="1" x14ac:dyDescent="0.3"/>
    <row r="2542" ht="15" customHeight="1" x14ac:dyDescent="0.3"/>
    <row r="2543" ht="15" customHeight="1" x14ac:dyDescent="0.3"/>
    <row r="2544" ht="15" customHeight="1" x14ac:dyDescent="0.3"/>
    <row r="2545" ht="15" customHeight="1" x14ac:dyDescent="0.3"/>
    <row r="2546" ht="15" customHeight="1" x14ac:dyDescent="0.3"/>
    <row r="2547" ht="15" customHeight="1" x14ac:dyDescent="0.3"/>
    <row r="2548" ht="15" customHeight="1" x14ac:dyDescent="0.3"/>
    <row r="2549" ht="15" customHeight="1" x14ac:dyDescent="0.3"/>
    <row r="2550" ht="15" customHeight="1" x14ac:dyDescent="0.3"/>
    <row r="2551" ht="15" customHeight="1" x14ac:dyDescent="0.3"/>
    <row r="2552" ht="15" customHeight="1" x14ac:dyDescent="0.3"/>
    <row r="2553" ht="15" customHeight="1" x14ac:dyDescent="0.3"/>
    <row r="2554" ht="15" customHeight="1" x14ac:dyDescent="0.3"/>
    <row r="2555" ht="15" customHeight="1" x14ac:dyDescent="0.3"/>
    <row r="2556" ht="15" customHeight="1" x14ac:dyDescent="0.3"/>
    <row r="2557" ht="15" customHeight="1" x14ac:dyDescent="0.3"/>
    <row r="2558" ht="15" customHeight="1" x14ac:dyDescent="0.3"/>
    <row r="2559" ht="15" customHeight="1" x14ac:dyDescent="0.3"/>
    <row r="2560" ht="15" customHeight="1" x14ac:dyDescent="0.3"/>
    <row r="2561" ht="15" customHeight="1" x14ac:dyDescent="0.3"/>
    <row r="2562" ht="15" customHeight="1" x14ac:dyDescent="0.3"/>
    <row r="2563" ht="15" customHeight="1" x14ac:dyDescent="0.3"/>
    <row r="2564" ht="15" customHeight="1" x14ac:dyDescent="0.3"/>
    <row r="2565" ht="15" customHeight="1" x14ac:dyDescent="0.3"/>
    <row r="2566" ht="15" customHeight="1" x14ac:dyDescent="0.3"/>
    <row r="2567" ht="15" customHeight="1" x14ac:dyDescent="0.3"/>
    <row r="2568" ht="15" customHeight="1" x14ac:dyDescent="0.3"/>
    <row r="2569" ht="15" customHeight="1" x14ac:dyDescent="0.3"/>
    <row r="2570" ht="15" customHeight="1" x14ac:dyDescent="0.3"/>
    <row r="2571" ht="15" customHeight="1" x14ac:dyDescent="0.3"/>
    <row r="2572" ht="15" customHeight="1" x14ac:dyDescent="0.3"/>
    <row r="2573" ht="15" customHeight="1" x14ac:dyDescent="0.3"/>
    <row r="2574" ht="15" customHeight="1" x14ac:dyDescent="0.3"/>
    <row r="2575" ht="15" customHeight="1" x14ac:dyDescent="0.3"/>
    <row r="2576" ht="15" customHeight="1" x14ac:dyDescent="0.3"/>
    <row r="2577" ht="15" customHeight="1" x14ac:dyDescent="0.3"/>
    <row r="2578" ht="15" customHeight="1" x14ac:dyDescent="0.3"/>
    <row r="2579" ht="15" customHeight="1" x14ac:dyDescent="0.3"/>
    <row r="2580" ht="15" customHeight="1" x14ac:dyDescent="0.3"/>
    <row r="2581" ht="15" customHeight="1" x14ac:dyDescent="0.3"/>
    <row r="2582" ht="15" customHeight="1" x14ac:dyDescent="0.3"/>
    <row r="2583" ht="15" customHeight="1" x14ac:dyDescent="0.3"/>
    <row r="2584" ht="15" customHeight="1" x14ac:dyDescent="0.3"/>
    <row r="2585" ht="15" customHeight="1" x14ac:dyDescent="0.3"/>
    <row r="2586" ht="15" customHeight="1" x14ac:dyDescent="0.3"/>
    <row r="2587" ht="15" customHeight="1" x14ac:dyDescent="0.3"/>
    <row r="2588" ht="15" customHeight="1" x14ac:dyDescent="0.3"/>
    <row r="2589" ht="15" customHeight="1" x14ac:dyDescent="0.3"/>
    <row r="2590" ht="15" customHeight="1" x14ac:dyDescent="0.3"/>
    <row r="2591" ht="15" customHeight="1" x14ac:dyDescent="0.3"/>
    <row r="2592" ht="15" customHeight="1" x14ac:dyDescent="0.3"/>
    <row r="2593" spans="2:33" ht="15" customHeight="1" x14ac:dyDescent="0.3"/>
    <row r="2594" spans="2:33" ht="15" customHeight="1" x14ac:dyDescent="0.3"/>
    <row r="2595" spans="2:33" ht="15" customHeight="1" x14ac:dyDescent="0.3"/>
    <row r="2596" spans="2:33" ht="15" customHeight="1" x14ac:dyDescent="0.3"/>
    <row r="2597" spans="2:33" ht="15" customHeight="1" x14ac:dyDescent="0.3"/>
    <row r="2598" spans="2:33" ht="15" customHeight="1" x14ac:dyDescent="0.3">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c r="AG2598" s="470"/>
    </row>
    <row r="2599" spans="2:33" ht="15" customHeight="1" x14ac:dyDescent="0.3"/>
    <row r="2600" spans="2:33" ht="15" customHeight="1" x14ac:dyDescent="0.3"/>
    <row r="2601" spans="2:33" ht="15" customHeight="1" x14ac:dyDescent="0.3"/>
    <row r="2602" spans="2:33" ht="15" customHeight="1" x14ac:dyDescent="0.3"/>
    <row r="2603" spans="2:33" ht="15" customHeight="1" x14ac:dyDescent="0.3"/>
    <row r="2604" spans="2:33" ht="15" customHeight="1" x14ac:dyDescent="0.3"/>
    <row r="2605" spans="2:33" ht="15" customHeight="1" x14ac:dyDescent="0.3"/>
    <row r="2606" spans="2:33" ht="15" customHeight="1" x14ac:dyDescent="0.3"/>
    <row r="2607" spans="2:33" ht="15" customHeight="1" x14ac:dyDescent="0.3"/>
    <row r="2608" spans="2:33" ht="15" customHeight="1" x14ac:dyDescent="0.3"/>
    <row r="2609" ht="15" customHeight="1" x14ac:dyDescent="0.3"/>
    <row r="2610" ht="15" customHeight="1" x14ac:dyDescent="0.3"/>
    <row r="2611" ht="15" customHeight="1" x14ac:dyDescent="0.3"/>
    <row r="2612" ht="15" customHeight="1" x14ac:dyDescent="0.3"/>
    <row r="2613" ht="15" customHeight="1" x14ac:dyDescent="0.3"/>
    <row r="2614" ht="15" customHeight="1" x14ac:dyDescent="0.3"/>
    <row r="2615" ht="15" customHeight="1" x14ac:dyDescent="0.3"/>
    <row r="2616" ht="15" customHeight="1" x14ac:dyDescent="0.3"/>
    <row r="2617" ht="15" customHeight="1" x14ac:dyDescent="0.3"/>
    <row r="2618" ht="15" customHeight="1" x14ac:dyDescent="0.3"/>
    <row r="2619" ht="15" customHeight="1" x14ac:dyDescent="0.3"/>
    <row r="2620" ht="15" customHeight="1" x14ac:dyDescent="0.3"/>
    <row r="2621" ht="15" customHeight="1" x14ac:dyDescent="0.3"/>
    <row r="2622" ht="15" customHeight="1" x14ac:dyDescent="0.3"/>
    <row r="2623" ht="15" customHeight="1" x14ac:dyDescent="0.3"/>
    <row r="2624" ht="15" customHeight="1" x14ac:dyDescent="0.3"/>
    <row r="2625" ht="15" customHeight="1" x14ac:dyDescent="0.3"/>
    <row r="2626" ht="15" customHeight="1" x14ac:dyDescent="0.3"/>
    <row r="2627" ht="15" customHeight="1" x14ac:dyDescent="0.3"/>
    <row r="2628" ht="15" customHeight="1" x14ac:dyDescent="0.3"/>
    <row r="2629" ht="15" customHeight="1" x14ac:dyDescent="0.3"/>
    <row r="2630" ht="15" customHeight="1" x14ac:dyDescent="0.3"/>
    <row r="2631" ht="15" customHeight="1" x14ac:dyDescent="0.3"/>
    <row r="2632" ht="15" customHeight="1" x14ac:dyDescent="0.3"/>
    <row r="2633" ht="15" customHeight="1" x14ac:dyDescent="0.3"/>
    <row r="2634" ht="15" customHeight="1" x14ac:dyDescent="0.3"/>
    <row r="2635" ht="15" customHeight="1" x14ac:dyDescent="0.3"/>
    <row r="2636" ht="15" customHeight="1" x14ac:dyDescent="0.3"/>
    <row r="2637" ht="15" customHeight="1" x14ac:dyDescent="0.3"/>
    <row r="2638" ht="15" customHeight="1" x14ac:dyDescent="0.3"/>
    <row r="2639" ht="15" customHeight="1" x14ac:dyDescent="0.3"/>
    <row r="2640" ht="15" customHeight="1" x14ac:dyDescent="0.3"/>
    <row r="2641" ht="15" customHeight="1" x14ac:dyDescent="0.3"/>
    <row r="2642" ht="15" customHeight="1" x14ac:dyDescent="0.3"/>
    <row r="2643" ht="15" customHeight="1" x14ac:dyDescent="0.3"/>
    <row r="2644" ht="15" customHeight="1" x14ac:dyDescent="0.3"/>
    <row r="2645" ht="15" customHeight="1" x14ac:dyDescent="0.3"/>
    <row r="2646" ht="15" customHeight="1" x14ac:dyDescent="0.3"/>
    <row r="2647" ht="15" customHeight="1" x14ac:dyDescent="0.3"/>
    <row r="2648" ht="15" customHeight="1" x14ac:dyDescent="0.3"/>
    <row r="2649" ht="15" customHeight="1" x14ac:dyDescent="0.3"/>
    <row r="2650" ht="15" customHeight="1" x14ac:dyDescent="0.3"/>
    <row r="2651" ht="15" customHeight="1" x14ac:dyDescent="0.3"/>
    <row r="2652" ht="15" customHeight="1" x14ac:dyDescent="0.3"/>
    <row r="2653" ht="15" customHeight="1" x14ac:dyDescent="0.3"/>
    <row r="2654" ht="15" customHeight="1" x14ac:dyDescent="0.3"/>
    <row r="2655" ht="15" customHeight="1" x14ac:dyDescent="0.3"/>
    <row r="2656" ht="15" customHeight="1" x14ac:dyDescent="0.3"/>
    <row r="2657" ht="15" customHeight="1" x14ac:dyDescent="0.3"/>
    <row r="2658" ht="15" customHeight="1" x14ac:dyDescent="0.3"/>
    <row r="2659" ht="15" customHeight="1" x14ac:dyDescent="0.3"/>
    <row r="2660" ht="15" customHeight="1" x14ac:dyDescent="0.3"/>
    <row r="2661" ht="15" customHeight="1" x14ac:dyDescent="0.3"/>
    <row r="2662" ht="15" customHeight="1" x14ac:dyDescent="0.3"/>
    <row r="2663" ht="15" customHeight="1" x14ac:dyDescent="0.3"/>
    <row r="2664" ht="15" customHeight="1" x14ac:dyDescent="0.3"/>
    <row r="2665" ht="15" customHeight="1" x14ac:dyDescent="0.3"/>
    <row r="2666" ht="15" customHeight="1" x14ac:dyDescent="0.3"/>
    <row r="2667" ht="15" customHeight="1" x14ac:dyDescent="0.3"/>
    <row r="2668" ht="15" customHeight="1" x14ac:dyDescent="0.3"/>
    <row r="2669" ht="15" customHeight="1" x14ac:dyDescent="0.3"/>
    <row r="2670" ht="15" customHeight="1" x14ac:dyDescent="0.3"/>
    <row r="2671" ht="15" customHeight="1" x14ac:dyDescent="0.3"/>
    <row r="2672" ht="15" customHeight="1" x14ac:dyDescent="0.3"/>
    <row r="2673" ht="15" customHeight="1" x14ac:dyDescent="0.3"/>
    <row r="2674" ht="15" customHeight="1" x14ac:dyDescent="0.3"/>
    <row r="2675" ht="15" customHeight="1" x14ac:dyDescent="0.3"/>
    <row r="2676" ht="15" customHeight="1" x14ac:dyDescent="0.3"/>
    <row r="2677" ht="15" customHeight="1" x14ac:dyDescent="0.3"/>
    <row r="2678" ht="15" customHeight="1" x14ac:dyDescent="0.3"/>
    <row r="2679" ht="15" customHeight="1" x14ac:dyDescent="0.3"/>
    <row r="2680" ht="15" customHeight="1" x14ac:dyDescent="0.3"/>
    <row r="2681" ht="15" customHeight="1" x14ac:dyDescent="0.3"/>
    <row r="2682" ht="15" customHeight="1" x14ac:dyDescent="0.3"/>
    <row r="2683" ht="15" customHeight="1" x14ac:dyDescent="0.3"/>
    <row r="2684" ht="15" customHeight="1" x14ac:dyDescent="0.3"/>
    <row r="2685" ht="15" customHeight="1" x14ac:dyDescent="0.3"/>
    <row r="2686" ht="15" customHeight="1" x14ac:dyDescent="0.3"/>
    <row r="2687" ht="15" customHeight="1" x14ac:dyDescent="0.3"/>
    <row r="2688" ht="15" customHeight="1" x14ac:dyDescent="0.3"/>
    <row r="2689" ht="15" customHeight="1" x14ac:dyDescent="0.3"/>
    <row r="2690" ht="15" customHeight="1" x14ac:dyDescent="0.3"/>
    <row r="2691" ht="15" customHeight="1" x14ac:dyDescent="0.3"/>
    <row r="2692" ht="15" customHeight="1" x14ac:dyDescent="0.3"/>
    <row r="2693" ht="15" customHeight="1" x14ac:dyDescent="0.3"/>
    <row r="2694" ht="15" customHeight="1" x14ac:dyDescent="0.3"/>
    <row r="2695" ht="15" customHeight="1" x14ac:dyDescent="0.3"/>
    <row r="2696" ht="15" customHeight="1" x14ac:dyDescent="0.3"/>
    <row r="2697" ht="15" customHeight="1" x14ac:dyDescent="0.3"/>
    <row r="2698" ht="15" customHeight="1" x14ac:dyDescent="0.3"/>
    <row r="2699" ht="15" customHeight="1" x14ac:dyDescent="0.3"/>
    <row r="2700" ht="15" customHeight="1" x14ac:dyDescent="0.3"/>
    <row r="2701" ht="15" customHeight="1" x14ac:dyDescent="0.3"/>
    <row r="2702" ht="15" customHeight="1" x14ac:dyDescent="0.3"/>
    <row r="2703" ht="15" customHeight="1" x14ac:dyDescent="0.3"/>
    <row r="2704" ht="15" customHeight="1" x14ac:dyDescent="0.3"/>
    <row r="2705" spans="2:33" ht="15" customHeight="1" x14ac:dyDescent="0.3"/>
    <row r="2706" spans="2:33" ht="15" customHeight="1" x14ac:dyDescent="0.3"/>
    <row r="2707" spans="2:33" ht="15" customHeight="1" x14ac:dyDescent="0.3"/>
    <row r="2708" spans="2:33" ht="15" customHeight="1" x14ac:dyDescent="0.3"/>
    <row r="2709" spans="2:33" ht="15" customHeight="1" x14ac:dyDescent="0.3"/>
    <row r="2710" spans="2:33" ht="15" customHeight="1" x14ac:dyDescent="0.3"/>
    <row r="2711" spans="2:33" ht="15" customHeight="1" x14ac:dyDescent="0.3"/>
    <row r="2712" spans="2:33" ht="15" customHeight="1" x14ac:dyDescent="0.3"/>
    <row r="2713" spans="2:33" ht="15" customHeight="1" x14ac:dyDescent="0.3"/>
    <row r="2714" spans="2:33" ht="15" customHeight="1" x14ac:dyDescent="0.3"/>
    <row r="2715" spans="2:33" ht="15" customHeight="1" x14ac:dyDescent="0.3"/>
    <row r="2716" spans="2:33" ht="15" customHeight="1" x14ac:dyDescent="0.3"/>
    <row r="2717" spans="2:33" ht="15" customHeight="1" x14ac:dyDescent="0.3"/>
    <row r="2718" spans="2:33" ht="15" customHeight="1" x14ac:dyDescent="0.3"/>
    <row r="2719" spans="2:33" ht="15" customHeight="1" x14ac:dyDescent="0.3">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c r="AG2719" s="470"/>
    </row>
    <row r="2720" spans="2:33" ht="15" customHeight="1" x14ac:dyDescent="0.3"/>
    <row r="2721" ht="15" customHeight="1" x14ac:dyDescent="0.3"/>
    <row r="2722" ht="15" customHeight="1" x14ac:dyDescent="0.3"/>
    <row r="2723" ht="15" customHeight="1" x14ac:dyDescent="0.3"/>
    <row r="2724" ht="15" customHeight="1" x14ac:dyDescent="0.3"/>
    <row r="2725" ht="15" customHeight="1" x14ac:dyDescent="0.3"/>
    <row r="2726" ht="15" customHeight="1" x14ac:dyDescent="0.3"/>
    <row r="2727" ht="15" customHeight="1" x14ac:dyDescent="0.3"/>
    <row r="2728" ht="15" customHeight="1" x14ac:dyDescent="0.3"/>
    <row r="2729" ht="15" customHeight="1" x14ac:dyDescent="0.3"/>
    <row r="2730" ht="15" customHeight="1" x14ac:dyDescent="0.3"/>
    <row r="2731" ht="15" customHeight="1" x14ac:dyDescent="0.3"/>
    <row r="2732" ht="15" customHeight="1" x14ac:dyDescent="0.3"/>
    <row r="2733" ht="15" customHeight="1" x14ac:dyDescent="0.3"/>
    <row r="2734" ht="15" customHeight="1" x14ac:dyDescent="0.3"/>
    <row r="2735" ht="15" customHeight="1" x14ac:dyDescent="0.3"/>
    <row r="2736" ht="15" customHeight="1" x14ac:dyDescent="0.3"/>
    <row r="2737" ht="15" customHeight="1" x14ac:dyDescent="0.3"/>
    <row r="2738" ht="15" customHeight="1" x14ac:dyDescent="0.3"/>
    <row r="2739" ht="15" customHeight="1" x14ac:dyDescent="0.3"/>
    <row r="2740" ht="15" customHeight="1" x14ac:dyDescent="0.3"/>
    <row r="2741" ht="15" customHeight="1" x14ac:dyDescent="0.3"/>
    <row r="2742" ht="15" customHeight="1" x14ac:dyDescent="0.3"/>
    <row r="2743" ht="15" customHeight="1" x14ac:dyDescent="0.3"/>
    <row r="2744" ht="15" customHeight="1" x14ac:dyDescent="0.3"/>
    <row r="2745" ht="15" customHeight="1" x14ac:dyDescent="0.3"/>
    <row r="2746" ht="15" customHeight="1" x14ac:dyDescent="0.3"/>
    <row r="2747" ht="15" customHeight="1" x14ac:dyDescent="0.3"/>
    <row r="2748" ht="15" customHeight="1" x14ac:dyDescent="0.3"/>
    <row r="2749" ht="15" customHeight="1" x14ac:dyDescent="0.3"/>
    <row r="2750" ht="15" customHeight="1" x14ac:dyDescent="0.3"/>
    <row r="2751" ht="15" customHeight="1" x14ac:dyDescent="0.3"/>
    <row r="2752" ht="15" customHeight="1" x14ac:dyDescent="0.3"/>
    <row r="2753" ht="15" customHeight="1" x14ac:dyDescent="0.3"/>
    <row r="2754" ht="15" customHeight="1" x14ac:dyDescent="0.3"/>
    <row r="2755" ht="15" customHeight="1" x14ac:dyDescent="0.3"/>
    <row r="2756" ht="15" customHeight="1" x14ac:dyDescent="0.3"/>
    <row r="2757" ht="15" customHeight="1" x14ac:dyDescent="0.3"/>
    <row r="2758" ht="15" customHeight="1" x14ac:dyDescent="0.3"/>
    <row r="2759" ht="15" customHeight="1" x14ac:dyDescent="0.3"/>
    <row r="2760" ht="15" customHeight="1" x14ac:dyDescent="0.3"/>
    <row r="2761" ht="15" customHeight="1" x14ac:dyDescent="0.3"/>
    <row r="2762" ht="15" customHeight="1" x14ac:dyDescent="0.3"/>
    <row r="2763" ht="15" customHeight="1" x14ac:dyDescent="0.3"/>
    <row r="2764" ht="15" customHeight="1" x14ac:dyDescent="0.3"/>
    <row r="2765" ht="15" customHeight="1" x14ac:dyDescent="0.3"/>
    <row r="2766" ht="15" customHeight="1" x14ac:dyDescent="0.3"/>
    <row r="2767" ht="15" customHeight="1" x14ac:dyDescent="0.3"/>
    <row r="2768" ht="15" customHeight="1" x14ac:dyDescent="0.3"/>
    <row r="2769" ht="15" customHeight="1" x14ac:dyDescent="0.3"/>
    <row r="2770" ht="15" customHeight="1" x14ac:dyDescent="0.3"/>
    <row r="2771" ht="15" customHeight="1" x14ac:dyDescent="0.3"/>
    <row r="2772" ht="15" customHeight="1" x14ac:dyDescent="0.3"/>
    <row r="2773" ht="15" customHeight="1" x14ac:dyDescent="0.3"/>
    <row r="2774" ht="15" customHeight="1" x14ac:dyDescent="0.3"/>
    <row r="2775" ht="15" customHeight="1" x14ac:dyDescent="0.3"/>
    <row r="2776" ht="15" customHeight="1" x14ac:dyDescent="0.3"/>
    <row r="2777" ht="15" customHeight="1" x14ac:dyDescent="0.3"/>
    <row r="2778" ht="15" customHeight="1" x14ac:dyDescent="0.3"/>
    <row r="2779" ht="15" customHeight="1" x14ac:dyDescent="0.3"/>
    <row r="2780" ht="15" customHeight="1" x14ac:dyDescent="0.3"/>
    <row r="2781" ht="15" customHeight="1" x14ac:dyDescent="0.3"/>
    <row r="2782" ht="15" customHeight="1" x14ac:dyDescent="0.3"/>
    <row r="2783" ht="15" customHeight="1" x14ac:dyDescent="0.3"/>
    <row r="2784" ht="15" customHeight="1" x14ac:dyDescent="0.3"/>
    <row r="2785" ht="15" customHeight="1" x14ac:dyDescent="0.3"/>
    <row r="2786" ht="15" customHeight="1" x14ac:dyDescent="0.3"/>
    <row r="2787" ht="15" customHeight="1" x14ac:dyDescent="0.3"/>
    <row r="2788" ht="15" customHeight="1" x14ac:dyDescent="0.3"/>
    <row r="2789" ht="15" customHeight="1" x14ac:dyDescent="0.3"/>
    <row r="2790" ht="15" customHeight="1" x14ac:dyDescent="0.3"/>
    <row r="2791" ht="15" customHeight="1" x14ac:dyDescent="0.3"/>
    <row r="2792" ht="15" customHeight="1" x14ac:dyDescent="0.3"/>
    <row r="2793" ht="15" customHeight="1" x14ac:dyDescent="0.3"/>
    <row r="2794" ht="15" customHeight="1" x14ac:dyDescent="0.3"/>
    <row r="2795" ht="15" customHeight="1" x14ac:dyDescent="0.3"/>
    <row r="2796" ht="15" customHeight="1" x14ac:dyDescent="0.3"/>
    <row r="2797" ht="15" customHeight="1" x14ac:dyDescent="0.3"/>
    <row r="2798" ht="15" customHeight="1" x14ac:dyDescent="0.3"/>
    <row r="2799" ht="15" customHeight="1" x14ac:dyDescent="0.3"/>
    <row r="2800" ht="15" customHeight="1" x14ac:dyDescent="0.3"/>
    <row r="2801" ht="15" customHeight="1" x14ac:dyDescent="0.3"/>
    <row r="2802" ht="15" customHeight="1" x14ac:dyDescent="0.3"/>
    <row r="2803" ht="15" customHeight="1" x14ac:dyDescent="0.3"/>
    <row r="2804" ht="15" customHeight="1" x14ac:dyDescent="0.3"/>
    <row r="2805" ht="15" customHeight="1" x14ac:dyDescent="0.3"/>
    <row r="2806" ht="15" customHeight="1" x14ac:dyDescent="0.3"/>
    <row r="2807" ht="15" customHeight="1" x14ac:dyDescent="0.3"/>
    <row r="2808" ht="15" customHeight="1" x14ac:dyDescent="0.3"/>
    <row r="2809" ht="15" customHeight="1" x14ac:dyDescent="0.3"/>
    <row r="2810" ht="15" customHeight="1" x14ac:dyDescent="0.3"/>
    <row r="2811" ht="15" customHeight="1" x14ac:dyDescent="0.3"/>
    <row r="2812" ht="15" customHeight="1" x14ac:dyDescent="0.3"/>
    <row r="2813" ht="15" customHeight="1" x14ac:dyDescent="0.3"/>
    <row r="2814" ht="15" customHeight="1" x14ac:dyDescent="0.3"/>
    <row r="2815" ht="15" customHeight="1" x14ac:dyDescent="0.3"/>
    <row r="2816" ht="15" customHeight="1" x14ac:dyDescent="0.3"/>
    <row r="2817" ht="15" customHeight="1" x14ac:dyDescent="0.3"/>
    <row r="2818" ht="15" customHeight="1" x14ac:dyDescent="0.3"/>
    <row r="2819" ht="15" customHeight="1" x14ac:dyDescent="0.3"/>
    <row r="2820" ht="15" customHeight="1" x14ac:dyDescent="0.3"/>
    <row r="2821" ht="15" customHeight="1" x14ac:dyDescent="0.3"/>
    <row r="2822" ht="15" customHeight="1" x14ac:dyDescent="0.3"/>
    <row r="2823" ht="15" customHeight="1" x14ac:dyDescent="0.3"/>
    <row r="2824" ht="15" customHeight="1" x14ac:dyDescent="0.3"/>
    <row r="2825" ht="15" customHeight="1" x14ac:dyDescent="0.3"/>
    <row r="2826" ht="15" customHeight="1" x14ac:dyDescent="0.3"/>
    <row r="2827" ht="15" customHeight="1" x14ac:dyDescent="0.3"/>
    <row r="2828" ht="15" customHeight="1" x14ac:dyDescent="0.3"/>
    <row r="2829" ht="15" customHeight="1" x14ac:dyDescent="0.3"/>
    <row r="2830" ht="15" customHeight="1" x14ac:dyDescent="0.3"/>
    <row r="2831" ht="15" customHeight="1" x14ac:dyDescent="0.3"/>
    <row r="2832" ht="15" customHeight="1" x14ac:dyDescent="0.3"/>
    <row r="2833" spans="2:33" ht="15" customHeight="1" x14ac:dyDescent="0.3"/>
    <row r="2834" spans="2:33" ht="15" customHeight="1" x14ac:dyDescent="0.3"/>
    <row r="2835" spans="2:33" ht="15" customHeight="1" x14ac:dyDescent="0.3"/>
    <row r="2836" spans="2:33" ht="15" customHeight="1" x14ac:dyDescent="0.3"/>
    <row r="2837" spans="2:33" ht="15" customHeight="1" x14ac:dyDescent="0.3">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c r="AG2837" s="470"/>
    </row>
  </sheetData>
  <mergeCells count="20">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031:AG2031"/>
    <mergeCell ref="B2153:AG2153"/>
    <mergeCell ref="B2317:AG2317"/>
    <mergeCell ref="B2419:AG2419"/>
    <mergeCell ref="B2509:AG2509"/>
    <mergeCell ref="B2598:AG2598"/>
    <mergeCell ref="B2719:AG2719"/>
    <mergeCell ref="B2837:AG2837"/>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3"/>
  <cols>
    <col min="1" max="1" width="19.7265625" style="37" bestFit="1" customWidth="1"/>
    <col min="2" max="2" width="46.7265625" style="37" customWidth="1"/>
    <col min="3" max="16384" width="8.7265625" style="37"/>
  </cols>
  <sheetData>
    <row r="1" spans="1:33" ht="15" customHeight="1" thickBot="1" x14ac:dyDescent="0.3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3"/>
    <row r="3" spans="1:33" ht="15" customHeight="1" x14ac:dyDescent="0.3">
      <c r="C3" s="73" t="s">
        <v>494</v>
      </c>
      <c r="D3" s="73" t="s">
        <v>639</v>
      </c>
      <c r="E3" s="55"/>
      <c r="F3" s="55"/>
      <c r="G3" s="55"/>
    </row>
    <row r="4" spans="1:33" ht="15" customHeight="1" x14ac:dyDescent="0.3">
      <c r="C4" s="73" t="s">
        <v>495</v>
      </c>
      <c r="D4" s="73" t="s">
        <v>640</v>
      </c>
      <c r="E4" s="55"/>
      <c r="F4" s="55"/>
      <c r="G4" s="73" t="s">
        <v>619</v>
      </c>
    </row>
    <row r="5" spans="1:33" ht="15" customHeight="1" x14ac:dyDescent="0.3">
      <c r="C5" s="73" t="s">
        <v>496</v>
      </c>
      <c r="D5" s="73" t="s">
        <v>641</v>
      </c>
      <c r="E5" s="55"/>
      <c r="F5" s="55"/>
      <c r="G5" s="55"/>
    </row>
    <row r="6" spans="1:33" ht="15" customHeight="1" x14ac:dyDescent="0.3">
      <c r="C6" s="73" t="s">
        <v>497</v>
      </c>
      <c r="D6" s="55"/>
      <c r="E6" s="73" t="s">
        <v>642</v>
      </c>
      <c r="F6" s="55"/>
      <c r="G6" s="55"/>
    </row>
    <row r="7" spans="1:33" ht="12" x14ac:dyDescent="0.3"/>
    <row r="8" spans="1:33" ht="12" x14ac:dyDescent="0.3"/>
    <row r="9" spans="1:33" ht="12" x14ac:dyDescent="0.3">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3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3">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3">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3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3">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3">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3">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3">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3">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3">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3">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3">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3">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3">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3">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3">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3">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3">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3">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3">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3">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3">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3">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3">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3">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3">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3">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3">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3">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3">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3">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3">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3">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3">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3">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3">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3">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3">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3">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3">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3">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3">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3">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3">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3">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3">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3">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3">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3">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3">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3">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3">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3">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3">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3">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3">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3">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3">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3">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3">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3">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3">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3">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3">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3">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3">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3">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3">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3">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3">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3">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3">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3">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3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3">
      <c r="B84" s="472" t="s">
        <v>586</v>
      </c>
      <c r="C84" s="473"/>
      <c r="D84" s="473"/>
      <c r="E84" s="473"/>
      <c r="F84" s="473"/>
      <c r="G84" s="473"/>
      <c r="H84" s="473"/>
      <c r="I84" s="473"/>
      <c r="J84" s="473"/>
      <c r="K84" s="473"/>
      <c r="L84" s="473"/>
      <c r="M84" s="473"/>
      <c r="N84" s="473"/>
      <c r="O84" s="473"/>
      <c r="P84" s="473"/>
      <c r="Q84" s="473"/>
      <c r="R84" s="473"/>
      <c r="S84" s="473"/>
      <c r="T84" s="473"/>
      <c r="U84" s="473"/>
      <c r="V84" s="473"/>
      <c r="W84" s="473"/>
      <c r="X84" s="473"/>
      <c r="Y84" s="473"/>
      <c r="Z84" s="473"/>
      <c r="AA84" s="473"/>
      <c r="AB84" s="473"/>
      <c r="AC84" s="473"/>
      <c r="AD84" s="473"/>
      <c r="AE84" s="473"/>
      <c r="AF84" s="473"/>
      <c r="AG84" s="473"/>
      <c r="AH84" s="58"/>
    </row>
    <row r="85" spans="1:34" ht="15" customHeight="1" x14ac:dyDescent="0.3">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3">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3">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3">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3">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3">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3">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3">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3">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3">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3">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3">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3">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3">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3">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3">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3">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3">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3">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3">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3">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3">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3">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3">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3">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3">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3">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3">
      <c r="B112" s="471" t="s">
        <v>649</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38"/>
    </row>
    <row r="113" spans="2:33" ht="15" customHeight="1" x14ac:dyDescent="0.3">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3">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3">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3">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3">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3">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3">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3">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3">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3">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3">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3">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3">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3">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3">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3">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3">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3">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3">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3">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3">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3">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3">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3">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3">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3">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3">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3">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3">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3">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3">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3">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3">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3">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3">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3">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3">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3">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3">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3">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3">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3">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3">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3">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3">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3">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3">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3">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3">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3">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3">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3">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3">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3">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3">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3">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3">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3">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3">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3">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3">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3">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3">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3">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3">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3">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3">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3">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3">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3">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3">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3">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3">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3">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3">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3">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3">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3">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3">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3">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3">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3">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3">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3">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3">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3">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3">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3">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3">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3">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3">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3">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3">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3">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3">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3">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3">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3">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3">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3">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3">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3">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3">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3">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3">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3">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3">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3">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3">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3">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3">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3">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3">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3">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3">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3">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3">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3">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3">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3">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3">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3">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3">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c r="AC308" s="470"/>
      <c r="AD308" s="470"/>
      <c r="AE308" s="470"/>
      <c r="AF308" s="470"/>
    </row>
    <row r="511" spans="2:32" ht="15" customHeight="1" x14ac:dyDescent="0.3">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c r="AC511" s="470"/>
      <c r="AD511" s="470"/>
      <c r="AE511" s="470"/>
      <c r="AF511" s="470"/>
    </row>
    <row r="712" spans="2:32" ht="15" customHeight="1" x14ac:dyDescent="0.3">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c r="AC712" s="470"/>
      <c r="AD712" s="470"/>
      <c r="AE712" s="470"/>
      <c r="AF712" s="470"/>
    </row>
    <row r="887" spans="2:32" ht="15" customHeight="1" x14ac:dyDescent="0.3">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c r="AC887" s="470"/>
      <c r="AD887" s="470"/>
      <c r="AE887" s="470"/>
      <c r="AF887" s="470"/>
    </row>
    <row r="1101" spans="2:32" ht="15" customHeight="1" x14ac:dyDescent="0.3">
      <c r="B1101" s="470"/>
      <c r="C1101" s="470"/>
      <c r="D1101" s="470"/>
      <c r="E1101" s="470"/>
      <c r="F1101" s="470"/>
      <c r="G1101" s="470"/>
      <c r="H1101" s="470"/>
      <c r="I1101" s="470"/>
      <c r="J1101" s="470"/>
      <c r="K1101" s="470"/>
      <c r="L1101" s="470"/>
      <c r="M1101" s="470"/>
      <c r="N1101" s="470"/>
      <c r="O1101" s="470"/>
      <c r="P1101" s="470"/>
      <c r="Q1101" s="470"/>
      <c r="R1101" s="470"/>
      <c r="S1101" s="470"/>
      <c r="T1101" s="470"/>
      <c r="U1101" s="470"/>
      <c r="V1101" s="470"/>
      <c r="W1101" s="470"/>
      <c r="X1101" s="470"/>
      <c r="Y1101" s="470"/>
      <c r="Z1101" s="470"/>
      <c r="AA1101" s="470"/>
      <c r="AB1101" s="470"/>
      <c r="AC1101" s="470"/>
      <c r="AD1101" s="470"/>
      <c r="AE1101" s="470"/>
      <c r="AF1101" s="470"/>
    </row>
    <row r="1229" spans="2:32" ht="15" customHeight="1" x14ac:dyDescent="0.3">
      <c r="B1229" s="470"/>
      <c r="C1229" s="470"/>
      <c r="D1229" s="470"/>
      <c r="E1229" s="470"/>
      <c r="F1229" s="470"/>
      <c r="G1229" s="470"/>
      <c r="H1229" s="470"/>
      <c r="I1229" s="470"/>
      <c r="J1229" s="470"/>
      <c r="K1229" s="470"/>
      <c r="L1229" s="470"/>
      <c r="M1229" s="470"/>
      <c r="N1229" s="470"/>
      <c r="O1229" s="470"/>
      <c r="P1229" s="470"/>
      <c r="Q1229" s="470"/>
      <c r="R1229" s="470"/>
      <c r="S1229" s="470"/>
      <c r="T1229" s="470"/>
      <c r="U1229" s="470"/>
      <c r="V1229" s="470"/>
      <c r="W1229" s="470"/>
      <c r="X1229" s="470"/>
      <c r="Y1229" s="470"/>
      <c r="Z1229" s="470"/>
      <c r="AA1229" s="470"/>
      <c r="AB1229" s="470"/>
      <c r="AC1229" s="470"/>
      <c r="AD1229" s="470"/>
      <c r="AE1229" s="470"/>
      <c r="AF1229" s="470"/>
    </row>
    <row r="1390" spans="2:32" ht="15" customHeight="1" x14ac:dyDescent="0.3">
      <c r="B1390" s="470"/>
      <c r="C1390" s="470"/>
      <c r="D1390" s="470"/>
      <c r="E1390" s="470"/>
      <c r="F1390" s="470"/>
      <c r="G1390" s="470"/>
      <c r="H1390" s="470"/>
      <c r="I1390" s="470"/>
      <c r="J1390" s="470"/>
      <c r="K1390" s="470"/>
      <c r="L1390" s="470"/>
      <c r="M1390" s="470"/>
      <c r="N1390" s="470"/>
      <c r="O1390" s="470"/>
      <c r="P1390" s="470"/>
      <c r="Q1390" s="470"/>
      <c r="R1390" s="470"/>
      <c r="S1390" s="470"/>
      <c r="T1390" s="470"/>
      <c r="U1390" s="470"/>
      <c r="V1390" s="470"/>
      <c r="W1390" s="470"/>
      <c r="X1390" s="470"/>
      <c r="Y1390" s="470"/>
      <c r="Z1390" s="470"/>
      <c r="AA1390" s="470"/>
      <c r="AB1390" s="470"/>
      <c r="AC1390" s="470"/>
      <c r="AD1390" s="470"/>
      <c r="AE1390" s="470"/>
      <c r="AF1390" s="470"/>
    </row>
    <row r="1502" spans="2:32" ht="15" customHeight="1" x14ac:dyDescent="0.3">
      <c r="B1502" s="470"/>
      <c r="C1502" s="470"/>
      <c r="D1502" s="470"/>
      <c r="E1502" s="470"/>
      <c r="F1502" s="470"/>
      <c r="G1502" s="470"/>
      <c r="H1502" s="470"/>
      <c r="I1502" s="470"/>
      <c r="J1502" s="470"/>
      <c r="K1502" s="470"/>
      <c r="L1502" s="470"/>
      <c r="M1502" s="470"/>
      <c r="N1502" s="470"/>
      <c r="O1502" s="470"/>
      <c r="P1502" s="470"/>
      <c r="Q1502" s="470"/>
      <c r="R1502" s="470"/>
      <c r="S1502" s="470"/>
      <c r="T1502" s="470"/>
      <c r="U1502" s="470"/>
      <c r="V1502" s="470"/>
      <c r="W1502" s="470"/>
      <c r="X1502" s="470"/>
      <c r="Y1502" s="470"/>
      <c r="Z1502" s="470"/>
      <c r="AA1502" s="470"/>
      <c r="AB1502" s="470"/>
      <c r="AC1502" s="470"/>
      <c r="AD1502" s="470"/>
      <c r="AE1502" s="470"/>
      <c r="AF1502" s="470"/>
    </row>
    <row r="1604" spans="2:32" ht="15" customHeight="1" x14ac:dyDescent="0.3">
      <c r="B1604" s="470"/>
      <c r="C1604" s="470"/>
      <c r="D1604" s="470"/>
      <c r="E1604" s="470"/>
      <c r="F1604" s="470"/>
      <c r="G1604" s="470"/>
      <c r="H1604" s="470"/>
      <c r="I1604" s="470"/>
      <c r="J1604" s="470"/>
      <c r="K1604" s="470"/>
      <c r="L1604" s="470"/>
      <c r="M1604" s="470"/>
      <c r="N1604" s="470"/>
      <c r="O1604" s="470"/>
      <c r="P1604" s="470"/>
      <c r="Q1604" s="470"/>
      <c r="R1604" s="470"/>
      <c r="S1604" s="470"/>
      <c r="T1604" s="470"/>
      <c r="U1604" s="470"/>
      <c r="V1604" s="470"/>
      <c r="W1604" s="470"/>
      <c r="X1604" s="470"/>
      <c r="Y1604" s="470"/>
      <c r="Z1604" s="470"/>
      <c r="AA1604" s="470"/>
      <c r="AB1604" s="470"/>
      <c r="AC1604" s="470"/>
      <c r="AD1604" s="470"/>
      <c r="AE1604" s="470"/>
      <c r="AF1604" s="470"/>
    </row>
    <row r="1699" spans="2:32" ht="15" customHeight="1" x14ac:dyDescent="0.3">
      <c r="B1699" s="470"/>
      <c r="C1699" s="470"/>
      <c r="D1699" s="470"/>
      <c r="E1699" s="470"/>
      <c r="F1699" s="470"/>
      <c r="G1699" s="470"/>
      <c r="H1699" s="470"/>
      <c r="I1699" s="470"/>
      <c r="J1699" s="470"/>
      <c r="K1699" s="470"/>
      <c r="L1699" s="470"/>
      <c r="M1699" s="470"/>
      <c r="N1699" s="470"/>
      <c r="O1699" s="470"/>
      <c r="P1699" s="470"/>
      <c r="Q1699" s="470"/>
      <c r="R1699" s="470"/>
      <c r="S1699" s="470"/>
      <c r="T1699" s="470"/>
      <c r="U1699" s="470"/>
      <c r="V1699" s="470"/>
      <c r="W1699" s="470"/>
      <c r="X1699" s="470"/>
      <c r="Y1699" s="470"/>
      <c r="Z1699" s="470"/>
      <c r="AA1699" s="470"/>
      <c r="AB1699" s="470"/>
      <c r="AC1699" s="470"/>
      <c r="AD1699" s="470"/>
      <c r="AE1699" s="470"/>
      <c r="AF1699" s="470"/>
    </row>
    <row r="1945" spans="2:32" ht="15" customHeight="1" x14ac:dyDescent="0.3">
      <c r="B1945" s="470"/>
      <c r="C1945" s="470"/>
      <c r="D1945" s="470"/>
      <c r="E1945" s="470"/>
      <c r="F1945" s="470"/>
      <c r="G1945" s="470"/>
      <c r="H1945" s="470"/>
      <c r="I1945" s="470"/>
      <c r="J1945" s="470"/>
      <c r="K1945" s="470"/>
      <c r="L1945" s="470"/>
      <c r="M1945" s="470"/>
      <c r="N1945" s="470"/>
      <c r="O1945" s="470"/>
      <c r="P1945" s="470"/>
      <c r="Q1945" s="470"/>
      <c r="R1945" s="470"/>
      <c r="S1945" s="470"/>
      <c r="T1945" s="470"/>
      <c r="U1945" s="470"/>
      <c r="V1945" s="470"/>
      <c r="W1945" s="470"/>
      <c r="X1945" s="470"/>
      <c r="Y1945" s="470"/>
      <c r="Z1945" s="470"/>
      <c r="AA1945" s="470"/>
      <c r="AB1945" s="470"/>
      <c r="AC1945" s="470"/>
      <c r="AD1945" s="470"/>
      <c r="AE1945" s="470"/>
      <c r="AF1945" s="470"/>
    </row>
    <row r="2031" spans="2:32" ht="15" customHeight="1" x14ac:dyDescent="0.3">
      <c r="B2031" s="470"/>
      <c r="C2031" s="470"/>
      <c r="D2031" s="470"/>
      <c r="E2031" s="470"/>
      <c r="F2031" s="470"/>
      <c r="G2031" s="470"/>
      <c r="H2031" s="470"/>
      <c r="I2031" s="470"/>
      <c r="J2031" s="470"/>
      <c r="K2031" s="470"/>
      <c r="L2031" s="470"/>
      <c r="M2031" s="470"/>
      <c r="N2031" s="470"/>
      <c r="O2031" s="470"/>
      <c r="P2031" s="470"/>
      <c r="Q2031" s="470"/>
      <c r="R2031" s="470"/>
      <c r="S2031" s="470"/>
      <c r="T2031" s="470"/>
      <c r="U2031" s="470"/>
      <c r="V2031" s="470"/>
      <c r="W2031" s="470"/>
      <c r="X2031" s="470"/>
      <c r="Y2031" s="470"/>
      <c r="Z2031" s="470"/>
      <c r="AA2031" s="470"/>
      <c r="AB2031" s="470"/>
      <c r="AC2031" s="470"/>
      <c r="AD2031" s="470"/>
      <c r="AE2031" s="470"/>
      <c r="AF2031" s="470"/>
    </row>
    <row r="2153" spans="2:32" ht="15" customHeight="1" x14ac:dyDescent="0.3">
      <c r="B2153" s="470"/>
      <c r="C2153" s="470"/>
      <c r="D2153" s="470"/>
      <c r="E2153" s="470"/>
      <c r="F2153" s="470"/>
      <c r="G2153" s="470"/>
      <c r="H2153" s="470"/>
      <c r="I2153" s="470"/>
      <c r="J2153" s="470"/>
      <c r="K2153" s="470"/>
      <c r="L2153" s="470"/>
      <c r="M2153" s="470"/>
      <c r="N2153" s="470"/>
      <c r="O2153" s="470"/>
      <c r="P2153" s="470"/>
      <c r="Q2153" s="470"/>
      <c r="R2153" s="470"/>
      <c r="S2153" s="470"/>
      <c r="T2153" s="470"/>
      <c r="U2153" s="470"/>
      <c r="V2153" s="470"/>
      <c r="W2153" s="470"/>
      <c r="X2153" s="470"/>
      <c r="Y2153" s="470"/>
      <c r="Z2153" s="470"/>
      <c r="AA2153" s="470"/>
      <c r="AB2153" s="470"/>
      <c r="AC2153" s="470"/>
      <c r="AD2153" s="470"/>
      <c r="AE2153" s="470"/>
      <c r="AF2153" s="470"/>
    </row>
    <row r="2317" spans="2:32" ht="15" customHeight="1" x14ac:dyDescent="0.3">
      <c r="B2317" s="470"/>
      <c r="C2317" s="470"/>
      <c r="D2317" s="470"/>
      <c r="E2317" s="470"/>
      <c r="F2317" s="470"/>
      <c r="G2317" s="470"/>
      <c r="H2317" s="470"/>
      <c r="I2317" s="470"/>
      <c r="J2317" s="470"/>
      <c r="K2317" s="470"/>
      <c r="L2317" s="470"/>
      <c r="M2317" s="470"/>
      <c r="N2317" s="470"/>
      <c r="O2317" s="470"/>
      <c r="P2317" s="470"/>
      <c r="Q2317" s="470"/>
      <c r="R2317" s="470"/>
      <c r="S2317" s="470"/>
      <c r="T2317" s="470"/>
      <c r="U2317" s="470"/>
      <c r="V2317" s="470"/>
      <c r="W2317" s="470"/>
      <c r="X2317" s="470"/>
      <c r="Y2317" s="470"/>
      <c r="Z2317" s="470"/>
      <c r="AA2317" s="470"/>
      <c r="AB2317" s="470"/>
      <c r="AC2317" s="470"/>
      <c r="AD2317" s="470"/>
      <c r="AE2317" s="470"/>
      <c r="AF2317" s="470"/>
    </row>
    <row r="2419" spans="2:32" ht="15" customHeight="1" x14ac:dyDescent="0.3">
      <c r="B2419" s="470"/>
      <c r="C2419" s="470"/>
      <c r="D2419" s="470"/>
      <c r="E2419" s="470"/>
      <c r="F2419" s="470"/>
      <c r="G2419" s="470"/>
      <c r="H2419" s="470"/>
      <c r="I2419" s="470"/>
      <c r="J2419" s="470"/>
      <c r="K2419" s="470"/>
      <c r="L2419" s="470"/>
      <c r="M2419" s="470"/>
      <c r="N2419" s="470"/>
      <c r="O2419" s="470"/>
      <c r="P2419" s="470"/>
      <c r="Q2419" s="470"/>
      <c r="R2419" s="470"/>
      <c r="S2419" s="470"/>
      <c r="T2419" s="470"/>
      <c r="U2419" s="470"/>
      <c r="V2419" s="470"/>
      <c r="W2419" s="470"/>
      <c r="X2419" s="470"/>
      <c r="Y2419" s="470"/>
      <c r="Z2419" s="470"/>
      <c r="AA2419" s="470"/>
      <c r="AB2419" s="470"/>
      <c r="AC2419" s="470"/>
      <c r="AD2419" s="470"/>
      <c r="AE2419" s="470"/>
      <c r="AF2419" s="470"/>
    </row>
    <row r="2509" spans="2:32" ht="15" customHeight="1" x14ac:dyDescent="0.3">
      <c r="B2509" s="470"/>
      <c r="C2509" s="470"/>
      <c r="D2509" s="470"/>
      <c r="E2509" s="470"/>
      <c r="F2509" s="470"/>
      <c r="G2509" s="470"/>
      <c r="H2509" s="470"/>
      <c r="I2509" s="470"/>
      <c r="J2509" s="470"/>
      <c r="K2509" s="470"/>
      <c r="L2509" s="470"/>
      <c r="M2509" s="470"/>
      <c r="N2509" s="470"/>
      <c r="O2509" s="470"/>
      <c r="P2509" s="470"/>
      <c r="Q2509" s="470"/>
      <c r="R2509" s="470"/>
      <c r="S2509" s="470"/>
      <c r="T2509" s="470"/>
      <c r="U2509" s="470"/>
      <c r="V2509" s="470"/>
      <c r="W2509" s="470"/>
      <c r="X2509" s="470"/>
      <c r="Y2509" s="470"/>
      <c r="Z2509" s="470"/>
      <c r="AA2509" s="470"/>
      <c r="AB2509" s="470"/>
      <c r="AC2509" s="470"/>
      <c r="AD2509" s="470"/>
      <c r="AE2509" s="470"/>
      <c r="AF2509" s="470"/>
    </row>
    <row r="2598" spans="2:32" ht="15" customHeight="1" x14ac:dyDescent="0.3">
      <c r="B2598" s="470"/>
      <c r="C2598" s="470"/>
      <c r="D2598" s="470"/>
      <c r="E2598" s="470"/>
      <c r="F2598" s="470"/>
      <c r="G2598" s="470"/>
      <c r="H2598" s="470"/>
      <c r="I2598" s="470"/>
      <c r="J2598" s="470"/>
      <c r="K2598" s="470"/>
      <c r="L2598" s="470"/>
      <c r="M2598" s="470"/>
      <c r="N2598" s="470"/>
      <c r="O2598" s="470"/>
      <c r="P2598" s="470"/>
      <c r="Q2598" s="470"/>
      <c r="R2598" s="470"/>
      <c r="S2598" s="470"/>
      <c r="T2598" s="470"/>
      <c r="U2598" s="470"/>
      <c r="V2598" s="470"/>
      <c r="W2598" s="470"/>
      <c r="X2598" s="470"/>
      <c r="Y2598" s="470"/>
      <c r="Z2598" s="470"/>
      <c r="AA2598" s="470"/>
      <c r="AB2598" s="470"/>
      <c r="AC2598" s="470"/>
      <c r="AD2598" s="470"/>
      <c r="AE2598" s="470"/>
      <c r="AF2598" s="470"/>
    </row>
    <row r="2719" spans="2:32" ht="15" customHeight="1" x14ac:dyDescent="0.3">
      <c r="B2719" s="470"/>
      <c r="C2719" s="470"/>
      <c r="D2719" s="470"/>
      <c r="E2719" s="470"/>
      <c r="F2719" s="470"/>
      <c r="G2719" s="470"/>
      <c r="H2719" s="470"/>
      <c r="I2719" s="470"/>
      <c r="J2719" s="470"/>
      <c r="K2719" s="470"/>
      <c r="L2719" s="470"/>
      <c r="M2719" s="470"/>
      <c r="N2719" s="470"/>
      <c r="O2719" s="470"/>
      <c r="P2719" s="470"/>
      <c r="Q2719" s="470"/>
      <c r="R2719" s="470"/>
      <c r="S2719" s="470"/>
      <c r="T2719" s="470"/>
      <c r="U2719" s="470"/>
      <c r="V2719" s="470"/>
      <c r="W2719" s="470"/>
      <c r="X2719" s="470"/>
      <c r="Y2719" s="470"/>
      <c r="Z2719" s="470"/>
      <c r="AA2719" s="470"/>
      <c r="AB2719" s="470"/>
      <c r="AC2719" s="470"/>
      <c r="AD2719" s="470"/>
      <c r="AE2719" s="470"/>
      <c r="AF2719" s="470"/>
    </row>
    <row r="2837" spans="2:32" ht="15" customHeight="1" x14ac:dyDescent="0.3">
      <c r="B2837" s="470"/>
      <c r="C2837" s="470"/>
      <c r="D2837" s="470"/>
      <c r="E2837" s="470"/>
      <c r="F2837" s="470"/>
      <c r="G2837" s="470"/>
      <c r="H2837" s="470"/>
      <c r="I2837" s="470"/>
      <c r="J2837" s="470"/>
      <c r="K2837" s="470"/>
      <c r="L2837" s="470"/>
      <c r="M2837" s="470"/>
      <c r="N2837" s="470"/>
      <c r="O2837" s="470"/>
      <c r="P2837" s="470"/>
      <c r="Q2837" s="470"/>
      <c r="R2837" s="470"/>
      <c r="S2837" s="470"/>
      <c r="T2837" s="470"/>
      <c r="U2837" s="470"/>
      <c r="V2837" s="470"/>
      <c r="W2837" s="470"/>
      <c r="X2837" s="470"/>
      <c r="Y2837" s="470"/>
      <c r="Z2837" s="470"/>
      <c r="AA2837" s="470"/>
      <c r="AB2837" s="470"/>
      <c r="AC2837" s="470"/>
      <c r="AD2837" s="470"/>
      <c r="AE2837" s="470"/>
      <c r="AF2837" s="470"/>
    </row>
  </sheetData>
  <mergeCells count="21">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604:AF1604"/>
    <mergeCell ref="B1699:AF1699"/>
    <mergeCell ref="B1229:AF1229"/>
    <mergeCell ref="B1390:AF1390"/>
    <mergeCell ref="B1502:AF1502"/>
  </mergeCells>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265625" defaultRowHeight="14.5" x14ac:dyDescent="0.35"/>
  <cols>
    <col min="1" max="1" width="60.7265625" bestFit="1" customWidth="1"/>
    <col min="2" max="2" width="41.54296875" customWidth="1"/>
    <col min="3" max="3" width="11.7265625" bestFit="1" customWidth="1"/>
    <col min="4" max="4" width="13" bestFit="1" customWidth="1"/>
    <col min="5" max="5" width="12.26953125" bestFit="1" customWidth="1"/>
    <col min="6" max="26" width="9.54296875" bestFit="1" customWidth="1"/>
    <col min="27" max="27" width="12.26953125" bestFit="1" customWidth="1"/>
    <col min="28" max="36" width="9.54296875" bestFit="1" customWidth="1"/>
  </cols>
  <sheetData>
    <row r="1" spans="1:36" x14ac:dyDescent="0.3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3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3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3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3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35">
      <c r="C6" s="474" t="s">
        <v>596</v>
      </c>
      <c r="D6" s="474"/>
      <c r="E6" s="474"/>
      <c r="F6" s="474"/>
      <c r="G6" s="474"/>
      <c r="H6" s="474"/>
    </row>
    <row r="7" spans="1:36" x14ac:dyDescent="0.3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3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3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3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3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35">
      <c r="I13" s="475" t="s">
        <v>597</v>
      </c>
      <c r="J13" s="475"/>
      <c r="K13" s="475"/>
    </row>
    <row r="14" spans="1:36" x14ac:dyDescent="0.3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3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3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3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3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35">
      <c r="C20" s="35"/>
      <c r="D20" s="474" t="s">
        <v>596</v>
      </c>
      <c r="E20" s="474"/>
      <c r="F20" s="474"/>
      <c r="G20" s="474"/>
      <c r="H20" s="474"/>
      <c r="I20" s="474"/>
    </row>
    <row r="21" spans="1:35" x14ac:dyDescent="0.3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3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3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3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3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3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3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3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3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3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3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3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3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3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3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3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3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3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3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3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3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3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35">
      <c r="A48" s="15" t="s">
        <v>247</v>
      </c>
    </row>
    <row r="49" spans="1:35" x14ac:dyDescent="0.3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3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3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3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3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3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3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3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3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35">
      <c r="A60" s="15" t="s">
        <v>31</v>
      </c>
    </row>
    <row r="61" spans="1:35" x14ac:dyDescent="0.3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3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3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3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35">
      <c r="A66" s="15" t="s">
        <v>38</v>
      </c>
    </row>
    <row r="67" spans="1:36" x14ac:dyDescent="0.3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3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3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3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3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3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3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3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3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3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3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35">
      <c r="A80" s="15" t="s">
        <v>30</v>
      </c>
    </row>
    <row r="81" spans="1:36" x14ac:dyDescent="0.3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3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3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3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3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3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35">
      <c r="A88" s="15" t="s">
        <v>31</v>
      </c>
    </row>
    <row r="89" spans="1:36" x14ac:dyDescent="0.3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3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3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3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3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3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35">
      <c r="A96" s="15" t="s">
        <v>38</v>
      </c>
    </row>
    <row r="97" spans="1:36" x14ac:dyDescent="0.3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3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3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3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3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3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35">
      <c r="A104" s="15" t="s">
        <v>250</v>
      </c>
    </row>
    <row r="105" spans="1:36" x14ac:dyDescent="0.35">
      <c r="A105" t="s">
        <v>272</v>
      </c>
      <c r="B105" t="s">
        <v>278</v>
      </c>
      <c r="E105">
        <f>'Subsidies Paid'!H20</f>
        <v>10000000</v>
      </c>
    </row>
    <row r="106" spans="1:36" x14ac:dyDescent="0.3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35">
      <c r="A107" t="s">
        <v>281</v>
      </c>
      <c r="B107" t="s">
        <v>280</v>
      </c>
      <c r="E107">
        <f t="shared" ref="E107" si="153">5.751*10^6</f>
        <v>5751000</v>
      </c>
      <c r="AA107" s="5"/>
      <c r="AB107" s="5"/>
      <c r="AC107" s="5"/>
      <c r="AD107" s="5"/>
      <c r="AE107" s="5"/>
      <c r="AF107" s="5"/>
      <c r="AG107" s="5"/>
      <c r="AH107" s="5"/>
      <c r="AI107" s="5"/>
      <c r="AJ107" s="5"/>
    </row>
    <row r="108" spans="1:36" x14ac:dyDescent="0.3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3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3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3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5" x14ac:dyDescent="0.35"/>
  <cols>
    <col min="1" max="1" width="27.26953125" customWidth="1"/>
    <col min="2" max="2" width="12.54296875" bestFit="1" customWidth="1"/>
  </cols>
  <sheetData>
    <row r="1" spans="1:2" x14ac:dyDescent="0.35">
      <c r="A1" t="s">
        <v>590</v>
      </c>
      <c r="B1">
        <v>10</v>
      </c>
    </row>
    <row r="2" spans="1:2" ht="29" x14ac:dyDescent="0.35">
      <c r="A2" s="36" t="s">
        <v>591</v>
      </c>
      <c r="B2">
        <v>30</v>
      </c>
    </row>
    <row r="3" spans="1:2" ht="29" x14ac:dyDescent="0.35">
      <c r="A3" s="36" t="s">
        <v>592</v>
      </c>
      <c r="B3">
        <v>0.39100000000000001</v>
      </c>
    </row>
    <row r="4" spans="1:2" ht="29" x14ac:dyDescent="0.35">
      <c r="A4" s="36" t="s">
        <v>593</v>
      </c>
      <c r="B4">
        <v>0.48799999999999999</v>
      </c>
    </row>
    <row r="5" spans="1:2" x14ac:dyDescent="0.35">
      <c r="A5" s="36" t="s">
        <v>594</v>
      </c>
      <c r="B5">
        <v>0.03</v>
      </c>
    </row>
    <row r="6" spans="1:2" x14ac:dyDescent="0.35">
      <c r="A6" s="36" t="s">
        <v>595</v>
      </c>
      <c r="B6">
        <v>8760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5" x14ac:dyDescent="0.35"/>
  <sheetData>
    <row r="29" spans="1:1" x14ac:dyDescent="0.35">
      <c r="A29" t="s">
        <v>525</v>
      </c>
    </row>
    <row r="30" spans="1:1" x14ac:dyDescent="0.35">
      <c r="A30">
        <f>1-0.33</f>
        <v>0.66999999999999993</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tabSelected="1" workbookViewId="0">
      <selection activeCell="E17" sqref="E17"/>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6F24-DEA7-4FC7-BEBE-5441FDAAB378}">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406D-9D89-4235-A6A8-57135D307482}">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085C-8B0D-4480-8D0D-AEF323DCFAA7}">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Hydn'!B59</f>
        <v>0</v>
      </c>
      <c r="C22">
        <f>'Inflation Reduction Act - Hydn'!C59</f>
        <v>0</v>
      </c>
      <c r="D22">
        <f>'Inflation Reduction Act - Hydn'!D59</f>
        <v>1.87608816511948E-5</v>
      </c>
      <c r="E22">
        <f>'Inflation Reduction Act - Hydn'!E59</f>
        <v>1.7473786428440463E-5</v>
      </c>
      <c r="F22">
        <f>'Inflation Reduction Act - Hydn'!F59</f>
        <v>1.6211870283691674E-5</v>
      </c>
      <c r="G22">
        <f>'Inflation Reduction Act - Hydn'!G59</f>
        <v>1.4951435261178508E-5</v>
      </c>
      <c r="H22">
        <f>'Inflation Reduction Act - Hydn'!H59</f>
        <v>1.3699886972079065E-5</v>
      </c>
      <c r="I22">
        <f>'Inflation Reduction Act - Hydn'!I59</f>
        <v>1.2451300927450864E-5</v>
      </c>
      <c r="J22">
        <f>'Inflation Reduction Act - Hydn'!J59</f>
        <v>1.1201233760587042E-5</v>
      </c>
      <c r="K22">
        <f>'Inflation Reduction Act - Hydn'!K59</f>
        <v>9.9659778160794271E-6</v>
      </c>
      <c r="L22">
        <f>'Inflation Reduction Act - Hydn'!L59</f>
        <v>8.7292407493361896E-6</v>
      </c>
      <c r="M22">
        <f>'Inflation Reduction Act - Hydn'!M59</f>
        <v>7.5043526604779192E-6</v>
      </c>
      <c r="N22">
        <f>'Inflation Reduction Act - Hydn'!N59</f>
        <v>0</v>
      </c>
      <c r="O22">
        <f>'Inflation Reduction Act - Hydn'!O59</f>
        <v>0</v>
      </c>
      <c r="P22">
        <f>'Inflation Reduction Act - Hydn'!P59</f>
        <v>0</v>
      </c>
      <c r="Q22">
        <f>'Inflation Reduction Act - Hydn'!Q59</f>
        <v>0</v>
      </c>
      <c r="R22">
        <f>'Inflation Reduction Act - Hydn'!R59</f>
        <v>0</v>
      </c>
      <c r="S22">
        <f>'Inflation Reduction Act - Hydn'!S59</f>
        <v>0</v>
      </c>
      <c r="T22">
        <f>'Inflation Reduction Act - Hydn'!T59</f>
        <v>0</v>
      </c>
      <c r="U22">
        <f>'Inflation Reduction Act - Hydn'!U59</f>
        <v>0</v>
      </c>
      <c r="V22">
        <f>'Inflation Reduction Act - Hydn'!V59</f>
        <v>0</v>
      </c>
      <c r="W22">
        <f>'Inflation Reduction Act - Hydn'!W59</f>
        <v>0</v>
      </c>
      <c r="X22">
        <f>'Inflation Reduction Act - Hydn'!X59</f>
        <v>0</v>
      </c>
      <c r="Y22">
        <f>'Inflation Reduction Act - Hydn'!Y59</f>
        <v>0</v>
      </c>
      <c r="Z22">
        <f>'Inflation Reduction Act - Hydn'!Z59</f>
        <v>0</v>
      </c>
      <c r="AA22">
        <f>'Inflation Reduction Act - Hydn'!AA59</f>
        <v>0</v>
      </c>
      <c r="AB22">
        <f>'Inflation Reduction Act - Hydn'!AB59</f>
        <v>0</v>
      </c>
      <c r="AC22">
        <f>'Inflation Reduction Act - Hydn'!AC59</f>
        <v>0</v>
      </c>
      <c r="AD22">
        <f>'Inflation Reduction Act - Hydn'!AD59</f>
        <v>0</v>
      </c>
      <c r="AE22">
        <f>'Inflation Reduction Act - Hydn'!AE59</f>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A330-FD18-416B-AA6D-360F0C219193}">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6C2F1-523D-4736-A503-3B1D52B316C6}">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Hydn'!B58</f>
        <v>0</v>
      </c>
      <c r="C22">
        <f>'Inflation Reduction Act - Hydn'!C58</f>
        <v>0</v>
      </c>
      <c r="D22">
        <f>'Inflation Reduction Act - Hydn'!D58</f>
        <v>1.87608816511948E-5</v>
      </c>
      <c r="E22">
        <f>'Inflation Reduction Act - Hydn'!E58</f>
        <v>1.7473786428440463E-5</v>
      </c>
      <c r="F22">
        <f>'Inflation Reduction Act - Hydn'!F58</f>
        <v>1.6211870283691674E-5</v>
      </c>
      <c r="G22">
        <f>'Inflation Reduction Act - Hydn'!G58</f>
        <v>1.4951435261178508E-5</v>
      </c>
      <c r="H22">
        <f>'Inflation Reduction Act - Hydn'!H58</f>
        <v>1.3699886972079065E-5</v>
      </c>
      <c r="I22">
        <f>'Inflation Reduction Act - Hydn'!I58</f>
        <v>1.2451300927450864E-5</v>
      </c>
      <c r="J22">
        <f>'Inflation Reduction Act - Hydn'!J58</f>
        <v>1.1201233760587042E-5</v>
      </c>
      <c r="K22">
        <f>'Inflation Reduction Act - Hydn'!K58</f>
        <v>9.9659778160794271E-6</v>
      </c>
      <c r="L22">
        <f>'Inflation Reduction Act - Hydn'!L58</f>
        <v>8.7292407493361896E-6</v>
      </c>
      <c r="M22">
        <f>'Inflation Reduction Act - Hydn'!M58</f>
        <v>7.5043526604779192E-6</v>
      </c>
      <c r="N22">
        <f>'Inflation Reduction Act - Hydn'!N58</f>
        <v>0</v>
      </c>
      <c r="O22">
        <f>'Inflation Reduction Act - Hydn'!O58</f>
        <v>0</v>
      </c>
      <c r="P22">
        <f>'Inflation Reduction Act - Hydn'!P58</f>
        <v>0</v>
      </c>
      <c r="Q22">
        <f>'Inflation Reduction Act - Hydn'!Q58</f>
        <v>0</v>
      </c>
      <c r="R22">
        <f>'Inflation Reduction Act - Hydn'!R58</f>
        <v>0</v>
      </c>
      <c r="S22">
        <f>'Inflation Reduction Act - Hydn'!S58</f>
        <v>0</v>
      </c>
      <c r="T22">
        <f>'Inflation Reduction Act - Hydn'!T58</f>
        <v>0</v>
      </c>
      <c r="U22">
        <f>'Inflation Reduction Act - Hydn'!U58</f>
        <v>0</v>
      </c>
      <c r="V22">
        <f>'Inflation Reduction Act - Hydn'!V58</f>
        <v>0</v>
      </c>
      <c r="W22">
        <f>'Inflation Reduction Act - Hydn'!W58</f>
        <v>0</v>
      </c>
      <c r="X22">
        <f>'Inflation Reduction Act - Hydn'!X58</f>
        <v>0</v>
      </c>
      <c r="Y22">
        <f>'Inflation Reduction Act - Hydn'!Y58</f>
        <v>0</v>
      </c>
      <c r="Z22">
        <f>'Inflation Reduction Act - Hydn'!Z58</f>
        <v>0</v>
      </c>
      <c r="AA22">
        <f>'Inflation Reduction Act - Hydn'!AA58</f>
        <v>0</v>
      </c>
      <c r="AB22">
        <f>'Inflation Reduction Act - Hydn'!AB58</f>
        <v>0</v>
      </c>
      <c r="AC22">
        <f>'Inflation Reduction Act - Hydn'!AC58</f>
        <v>0</v>
      </c>
      <c r="AD22">
        <f>'Inflation Reduction Act - Hydn'!AD58</f>
        <v>0</v>
      </c>
      <c r="AE22">
        <f>'Inflation Reduction Act - Hydn'!AE58</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4AC6-D687-4A93-A85A-0FC1E714B69A}">
  <sheetPr>
    <tabColor theme="3"/>
  </sheetPr>
  <dimension ref="A1:AG22"/>
  <sheetViews>
    <sheetView workbookViewId="0">
      <selection activeCell="B22" sqref="B22:AE22"/>
    </sheetView>
  </sheetViews>
  <sheetFormatPr defaultColWidth="9.26953125" defaultRowHeight="14.5" x14ac:dyDescent="0.35"/>
  <cols>
    <col min="1" max="1" width="26.54296875" customWidth="1"/>
    <col min="2" max="2" width="11.7265625" bestFit="1"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3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3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3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3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3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3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3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3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3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3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3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3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3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35">
      <c r="A17" t="s">
        <v>308</v>
      </c>
      <c r="B17" s="5">
        <f t="shared" ref="B17:AE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si="0"/>
        <v>1.816866976139147E-8</v>
      </c>
      <c r="O17" s="5">
        <f t="shared" si="0"/>
        <v>1.830006447810851E-8</v>
      </c>
      <c r="P17" s="5">
        <f t="shared" si="0"/>
        <v>1.8195601810955155E-8</v>
      </c>
      <c r="Q17" s="5">
        <f t="shared" si="0"/>
        <v>1.836337934531092E-8</v>
      </c>
      <c r="R17" s="5">
        <f t="shared" si="0"/>
        <v>1.8750526618032787E-8</v>
      </c>
      <c r="S17" s="5">
        <f t="shared" si="0"/>
        <v>1.8992088073178992E-8</v>
      </c>
      <c r="T17" s="5">
        <f t="shared" si="0"/>
        <v>1.9355537746617628E-8</v>
      </c>
      <c r="U17" s="5">
        <f t="shared" si="0"/>
        <v>1.9582254717935267E-8</v>
      </c>
      <c r="V17" s="5">
        <f t="shared" si="0"/>
        <v>1.957048892204496E-8</v>
      </c>
      <c r="W17" s="5">
        <f t="shared" si="0"/>
        <v>1.9542873327537735E-8</v>
      </c>
      <c r="X17" s="5">
        <f t="shared" si="0"/>
        <v>1.9762360968985972E-8</v>
      </c>
      <c r="Y17" s="5">
        <f t="shared" si="0"/>
        <v>2.0016881368430806E-8</v>
      </c>
      <c r="Z17" s="5">
        <f t="shared" si="0"/>
        <v>2.0207237882564139E-8</v>
      </c>
      <c r="AA17" s="5">
        <f t="shared" si="0"/>
        <v>2.0389112796177811E-8</v>
      </c>
      <c r="AB17" s="5">
        <f t="shared" si="0"/>
        <v>2.0475698887272012E-8</v>
      </c>
      <c r="AC17" s="5">
        <f t="shared" si="0"/>
        <v>2.0523681222421194E-8</v>
      </c>
      <c r="AD17" s="5">
        <f t="shared" si="0"/>
        <v>2.0627024749593514E-8</v>
      </c>
      <c r="AE17" s="5">
        <f t="shared" si="0"/>
        <v>2.0868070791946134E-8</v>
      </c>
      <c r="AF17" s="5"/>
      <c r="AG17" s="5"/>
    </row>
    <row r="18" spans="1:33" x14ac:dyDescent="0.3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3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3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s="124" t="s">
        <v>820</v>
      </c>
      <c r="B22">
        <f>'Inflation Reduction Act - Hydn'!B57</f>
        <v>0</v>
      </c>
      <c r="C22">
        <f>'Inflation Reduction Act - Hydn'!C57</f>
        <v>0</v>
      </c>
      <c r="D22">
        <f>'Inflation Reduction Act - Hydn'!D57</f>
        <v>5.677635236545795E-6</v>
      </c>
      <c r="E22">
        <f>'Inflation Reduction Act - Hydn'!E57</f>
        <v>6.9647304593001326E-6</v>
      </c>
      <c r="F22">
        <f>'Inflation Reduction Act - Hydn'!F57</f>
        <v>8.2266466040489198E-6</v>
      </c>
      <c r="G22">
        <f>'Inflation Reduction Act - Hydn'!G57</f>
        <v>9.4870816265620862E-6</v>
      </c>
      <c r="H22">
        <f>'Inflation Reduction Act - Hydn'!H57</f>
        <v>1.0738629915661529E-5</v>
      </c>
      <c r="I22">
        <f>'Inflation Reduction Act - Hydn'!I57</f>
        <v>1.198721596028973E-5</v>
      </c>
      <c r="J22">
        <f>'Inflation Reduction Act - Hydn'!J57</f>
        <v>1.3237283127153553E-5</v>
      </c>
      <c r="K22">
        <f>'Inflation Reduction Act - Hydn'!K57</f>
        <v>1.4472539071661168E-5</v>
      </c>
      <c r="L22">
        <f>'Inflation Reduction Act - Hydn'!L57</f>
        <v>1.5709276138404404E-5</v>
      </c>
      <c r="M22">
        <f>'Inflation Reduction Act - Hydn'!M57</f>
        <v>1.6934164227262676E-5</v>
      </c>
      <c r="N22">
        <f>'Inflation Reduction Act - Hydn'!N57</f>
        <v>0</v>
      </c>
      <c r="O22">
        <f>'Inflation Reduction Act - Hydn'!O57</f>
        <v>0</v>
      </c>
      <c r="P22">
        <f>'Inflation Reduction Act - Hydn'!P57</f>
        <v>0</v>
      </c>
      <c r="Q22">
        <f>'Inflation Reduction Act - Hydn'!Q57</f>
        <v>0</v>
      </c>
      <c r="R22">
        <f>'Inflation Reduction Act - Hydn'!R57</f>
        <v>0</v>
      </c>
      <c r="S22">
        <f>'Inflation Reduction Act - Hydn'!S57</f>
        <v>0</v>
      </c>
      <c r="T22">
        <f>'Inflation Reduction Act - Hydn'!T57</f>
        <v>0</v>
      </c>
      <c r="U22">
        <f>'Inflation Reduction Act - Hydn'!U57</f>
        <v>0</v>
      </c>
      <c r="V22">
        <f>'Inflation Reduction Act - Hydn'!V57</f>
        <v>0</v>
      </c>
      <c r="W22">
        <f>'Inflation Reduction Act - Hydn'!W57</f>
        <v>0</v>
      </c>
      <c r="X22">
        <f>'Inflation Reduction Act - Hydn'!X57</f>
        <v>0</v>
      </c>
      <c r="Y22">
        <f>'Inflation Reduction Act - Hydn'!Y57</f>
        <v>0</v>
      </c>
      <c r="Z22">
        <f>'Inflation Reduction Act - Hydn'!Z57</f>
        <v>0</v>
      </c>
      <c r="AA22">
        <f>'Inflation Reduction Act - Hydn'!AA57</f>
        <v>0</v>
      </c>
      <c r="AB22">
        <f>'Inflation Reduction Act - Hydn'!AB57</f>
        <v>0</v>
      </c>
      <c r="AC22">
        <f>'Inflation Reduction Act - Hydn'!AC57</f>
        <v>0</v>
      </c>
      <c r="AD22">
        <f>'Inflation Reduction Act - Hydn'!AD57</f>
        <v>0</v>
      </c>
      <c r="AE22">
        <f>'Inflation Reduction Act - Hydn'!AE57</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J12" sqref="A1:AE25"/>
    </sheetView>
  </sheetViews>
  <sheetFormatPr defaultColWidth="9.26953125" defaultRowHeight="14.5" x14ac:dyDescent="0.35"/>
  <cols>
    <col min="1" max="1" width="32.453125" customWidth="1"/>
  </cols>
  <sheetData>
    <row r="1" spans="1:33"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3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3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35">
      <c r="A5" t="s">
        <v>40</v>
      </c>
      <c r="B5" s="19">
        <f>Calculations!D39</f>
        <v>0</v>
      </c>
      <c r="C5" s="19">
        <f>Calculations!E39</f>
        <v>1.5544356062906066</v>
      </c>
      <c r="D5" s="19">
        <f>Calculations!F39</f>
        <v>1.5311670156123991</v>
      </c>
      <c r="E5" s="19">
        <f>'Inflation Reduction Act - elec'!C129</f>
        <v>13.875</v>
      </c>
      <c r="F5" s="19">
        <f>'Inflation Reduction Act - elec'!D129</f>
        <v>13.875</v>
      </c>
      <c r="G5" s="19">
        <f>'Inflation Reduction Act - elec'!E129</f>
        <v>13.875</v>
      </c>
      <c r="H5" s="19">
        <f>'Inflation Reduction Act - elec'!F129</f>
        <v>13.875</v>
      </c>
      <c r="I5" s="19">
        <f>'Inflation Reduction Act - elec'!G129</f>
        <v>13.875</v>
      </c>
      <c r="J5" s="19">
        <f>'Inflation Reduction Act - elec'!H129</f>
        <v>13.875</v>
      </c>
      <c r="K5" s="19">
        <f>'Inflation Reduction Act - elec'!I129</f>
        <v>13.875</v>
      </c>
      <c r="L5" s="19">
        <f>'Inflation Reduction Act - elec'!J129</f>
        <v>13.875</v>
      </c>
      <c r="M5" s="19">
        <f>'Inflation Reduction Act - elec'!K129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35">
      <c r="A6" t="s">
        <v>24</v>
      </c>
      <c r="B6">
        <f>'Subsidies Paid'!L5*About!$A$78*1000</f>
        <v>0</v>
      </c>
      <c r="C6">
        <f>'Subsidies Paid'!M5*About!$A$78*1000</f>
        <v>0</v>
      </c>
      <c r="D6">
        <f>'Subsidies Paid'!N5*About!$A$78*1000</f>
        <v>0</v>
      </c>
      <c r="E6">
        <f>'Subsidies Paid'!O5*About!$A$78*1000</f>
        <v>0</v>
      </c>
      <c r="F6">
        <f>'Subsidies Paid'!P5*About!$A$78*1000</f>
        <v>0</v>
      </c>
      <c r="G6">
        <f>'Subsidies Paid'!Q5*About!$A$78*1000</f>
        <v>0</v>
      </c>
      <c r="H6">
        <f>'Subsidies Paid'!R5*About!$A$78*1000</f>
        <v>0</v>
      </c>
      <c r="I6">
        <f>'Subsidies Paid'!S5*About!$A$78*1000</f>
        <v>0</v>
      </c>
      <c r="J6">
        <f>'Subsidies Paid'!T5*About!$A$78*1000</f>
        <v>0</v>
      </c>
      <c r="K6">
        <f>'Subsidies Paid'!U5*About!$A$78*1000</f>
        <v>0</v>
      </c>
      <c r="L6">
        <f>'Subsidies Paid'!V5*About!$A$78*1000</f>
        <v>0</v>
      </c>
      <c r="M6">
        <f>'Subsidies Paid'!W5*About!$A$78*1000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35">
      <c r="A7" t="s">
        <v>508</v>
      </c>
      <c r="B7">
        <f>-PV('Wind PV Calcs'!$B$5,'Wind PV Calcs'!$B$1,'Subsidies Paid'!M10*About!$A$82*1000*'Monetizing Tax Credit Penalty'!$A$30*'Wind PV Calcs'!$B$6*'Wind PV Calcs'!$B$3)/('Wind PV Calcs'!$B$3*'Wind PV Calcs'!$B$6*'Wind PV Calcs'!$B$2)</f>
        <v>2.5662975615208952</v>
      </c>
      <c r="C7">
        <f>-PV('Wind PV Calcs'!$B$5,'Wind PV Calcs'!$B$1,'Subsidies Paid'!N10*About!$A$82*1000*'Monetizing Tax Credit Penalty'!$A$30*'Wind PV Calcs'!$B$6*'Wind PV Calcs'!$B$3)/('Wind PV Calcs'!$B$3*'Wind PV Calcs'!$B$6*'Wind PV Calcs'!$B$2)</f>
        <v>2.5662975615208952</v>
      </c>
      <c r="D7" s="4">
        <f>'Inflation Reduction Act - elec'!B112</f>
        <v>21.848852583482621</v>
      </c>
      <c r="E7" s="4">
        <f>'Inflation Reduction Act - elec'!C112</f>
        <v>21.848852583482621</v>
      </c>
      <c r="F7" s="4">
        <f>'Inflation Reduction Act - elec'!D112</f>
        <v>21.848852583482621</v>
      </c>
      <c r="G7" s="4">
        <f>'Inflation Reduction Act - elec'!E112</f>
        <v>21.848852583482621</v>
      </c>
      <c r="H7" s="4">
        <f>'Inflation Reduction Act - elec'!F112</f>
        <v>21.848852583482621</v>
      </c>
      <c r="I7" s="4">
        <f>'Inflation Reduction Act - elec'!G112</f>
        <v>21.848852583482621</v>
      </c>
      <c r="J7" s="4">
        <f>'Inflation Reduction Act - elec'!H112</f>
        <v>21.848852583482621</v>
      </c>
      <c r="K7" s="4">
        <f>'Inflation Reduction Act - elec'!I112</f>
        <v>21.848852583482621</v>
      </c>
      <c r="L7" s="4">
        <f>'Inflation Reduction Act - elec'!J112</f>
        <v>21.848852583482621</v>
      </c>
      <c r="M7" s="4">
        <f>'Inflation Reduction Act - elec'!K112</f>
        <v>21.848852583482621</v>
      </c>
      <c r="N7" s="4">
        <f>'Inflation Reduction Act - elec'!L112</f>
        <v>21.848852583482621</v>
      </c>
      <c r="O7" s="4">
        <f>'Inflation Reduction Act - elec'!M112</f>
        <v>21.848852583482621</v>
      </c>
      <c r="P7" s="4">
        <f>'Inflation Reduction Act - elec'!N112</f>
        <v>21.848852583482621</v>
      </c>
      <c r="Q7" s="4">
        <f>'Inflation Reduction Act - elec'!O112</f>
        <v>21.848852583482621</v>
      </c>
      <c r="R7" s="4">
        <f>'Inflation Reduction Act - elec'!P112</f>
        <v>21.848852583482621</v>
      </c>
      <c r="S7" s="4">
        <f>'Inflation Reduction Act - elec'!Q112</f>
        <v>21.848852583482621</v>
      </c>
      <c r="T7" s="4">
        <f>'Inflation Reduction Act - elec'!R112</f>
        <v>21.848852583482621</v>
      </c>
      <c r="U7" s="4">
        <f>'Inflation Reduction Act - elec'!S112</f>
        <v>21.848852583482621</v>
      </c>
      <c r="V7" s="4">
        <f>'Inflation Reduction Act - elec'!T112</f>
        <v>21.848852583482621</v>
      </c>
      <c r="W7" s="4">
        <f>'Inflation Reduction Act - elec'!U112</f>
        <v>16.386639437611965</v>
      </c>
      <c r="X7" s="4">
        <f>'Inflation Reduction Act - elec'!V112</f>
        <v>10.924426291741311</v>
      </c>
      <c r="Y7" s="4">
        <f>'Inflation Reduction Act - elec'!W112</f>
        <v>0</v>
      </c>
      <c r="Z7" s="4">
        <f>'Inflation Reduction Act - elec'!X112</f>
        <v>0</v>
      </c>
      <c r="AA7" s="4">
        <f>'Inflation Reduction Act - elec'!Y112</f>
        <v>0</v>
      </c>
      <c r="AB7" s="4">
        <f>'Inflation Reduction Act - elec'!Z112</f>
        <v>0</v>
      </c>
      <c r="AC7" s="4">
        <f>'Inflation Reduction Act - elec'!AA112</f>
        <v>0</v>
      </c>
      <c r="AD7" s="4">
        <f>'Inflation Reduction Act - elec'!AB112</f>
        <v>0</v>
      </c>
      <c r="AE7" s="4">
        <f>'Inflation Reduction Act - elec'!AC112</f>
        <v>0</v>
      </c>
    </row>
    <row r="8" spans="1:33" x14ac:dyDescent="0.35">
      <c r="A8" t="s">
        <v>801</v>
      </c>
      <c r="B8" s="4">
        <v>0</v>
      </c>
      <c r="C8" s="4">
        <v>0</v>
      </c>
      <c r="D8" s="4">
        <f>'Inflation Reduction Act - elec'!B115</f>
        <v>21.092049369375573</v>
      </c>
      <c r="E8" s="4">
        <f>'Inflation Reduction Act - elec'!C115</f>
        <v>21.092049369375573</v>
      </c>
      <c r="F8" s="4">
        <f>'Inflation Reduction Act - elec'!D115</f>
        <v>21.092049369375573</v>
      </c>
      <c r="G8" s="4">
        <f>'Inflation Reduction Act - elec'!E115</f>
        <v>21.212665122239411</v>
      </c>
      <c r="H8" s="4">
        <f>'Inflation Reduction Act - elec'!F115</f>
        <v>21.333280875103252</v>
      </c>
      <c r="I8" s="4">
        <f>'Inflation Reduction Act - elec'!G115</f>
        <v>21.328900603055423</v>
      </c>
      <c r="J8" s="4">
        <f>'Inflation Reduction Act - elec'!H115</f>
        <v>21.325396385417164</v>
      </c>
      <c r="K8" s="4">
        <f>'Inflation Reduction Act - elec'!I115</f>
        <v>21.322529298258587</v>
      </c>
      <c r="L8" s="4">
        <f>'Inflation Reduction Act - elec'!J115</f>
        <v>21.322529298258587</v>
      </c>
      <c r="M8" s="4">
        <f>'Inflation Reduction Act - elec'!K115</f>
        <v>21.322529298258587</v>
      </c>
      <c r="N8" s="4">
        <f>'Inflation Reduction Act - elec'!L115</f>
        <v>21.322529298258587</v>
      </c>
      <c r="O8" s="4">
        <f>'Inflation Reduction Act - elec'!M115</f>
        <v>21.322529298258587</v>
      </c>
      <c r="P8" s="4">
        <f>'Inflation Reduction Act - elec'!N115</f>
        <v>21.322529298258587</v>
      </c>
      <c r="Q8" s="4">
        <f>'Inflation Reduction Act - elec'!O115</f>
        <v>21.322529298258587</v>
      </c>
      <c r="R8" s="4">
        <f>'Inflation Reduction Act - elec'!P115</f>
        <v>21.322529298258587</v>
      </c>
      <c r="S8" s="4">
        <f>'Inflation Reduction Act - elec'!Q115</f>
        <v>21.322529298258587</v>
      </c>
      <c r="T8" s="4">
        <f>'Inflation Reduction Act - elec'!R115</f>
        <v>21.322529298258587</v>
      </c>
      <c r="U8" s="4">
        <f>'Inflation Reduction Act - elec'!S115</f>
        <v>21.322529298258587</v>
      </c>
      <c r="V8" s="4">
        <f>'Inflation Reduction Act - elec'!T115</f>
        <v>21.322529298258587</v>
      </c>
      <c r="W8" s="4">
        <f>'Inflation Reduction Act - elec'!U115</f>
        <v>15.99189697369394</v>
      </c>
      <c r="X8" s="4">
        <f>'Inflation Reduction Act - elec'!V115</f>
        <v>10.661264649129294</v>
      </c>
      <c r="Y8" s="4">
        <f>'Inflation Reduction Act - elec'!W115</f>
        <v>0</v>
      </c>
      <c r="Z8" s="4">
        <f>'Inflation Reduction Act - elec'!X115</f>
        <v>0</v>
      </c>
      <c r="AA8" s="4">
        <f>'Inflation Reduction Act - elec'!Y115</f>
        <v>0</v>
      </c>
      <c r="AB8" s="4">
        <f>'Inflation Reduction Act - elec'!Z115</f>
        <v>0</v>
      </c>
      <c r="AC8" s="4">
        <f>'Inflation Reduction Act - elec'!AA115</f>
        <v>0</v>
      </c>
      <c r="AD8" s="4">
        <f>'Inflation Reduction Act - elec'!AB115</f>
        <v>0</v>
      </c>
      <c r="AE8" s="4">
        <f>'Inflation Reduction Act - elec'!AC115</f>
        <v>0</v>
      </c>
    </row>
    <row r="9" spans="1:33" x14ac:dyDescent="0.3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35">
      <c r="A10" t="s">
        <v>25</v>
      </c>
      <c r="B10" s="19">
        <f>'Subsidies Paid'!L2*About!$A$78*1000</f>
        <v>0</v>
      </c>
      <c r="C10" s="19">
        <f>'Subsidies Paid'!M2*About!$A$78*1000</f>
        <v>0</v>
      </c>
      <c r="D10" s="19">
        <f>'Subsidies Paid'!N2*About!$A$78*1000</f>
        <v>0</v>
      </c>
      <c r="E10" s="19">
        <f>'Subsidies Paid'!O2*About!$A$78*1000</f>
        <v>0</v>
      </c>
      <c r="F10" s="19">
        <f>'Subsidies Paid'!P2*About!$A$78*1000</f>
        <v>0</v>
      </c>
      <c r="G10" s="19">
        <f>'Subsidies Paid'!Q2*About!$A$78*1000</f>
        <v>0</v>
      </c>
      <c r="H10" s="19">
        <f>'Subsidies Paid'!R2*About!$A$78*1000</f>
        <v>0</v>
      </c>
      <c r="I10" s="19">
        <f>'Subsidies Paid'!S2*About!$A$78*1000</f>
        <v>0</v>
      </c>
      <c r="J10" s="19">
        <f>'Subsidies Paid'!T2*About!$A$78*1000</f>
        <v>0</v>
      </c>
      <c r="K10" s="19">
        <f>'Subsidies Paid'!U2*About!$A$78*1000</f>
        <v>0</v>
      </c>
      <c r="L10" s="19">
        <f>'Subsidies Paid'!V2*About!$A$78*1000</f>
        <v>0</v>
      </c>
      <c r="M10" s="19">
        <f>'Subsidies Paid'!W2*About!$A$78*1000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3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3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3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3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3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3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3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35">
      <c r="A18" t="s">
        <v>503</v>
      </c>
      <c r="B18">
        <v>0</v>
      </c>
      <c r="C18">
        <v>0</v>
      </c>
      <c r="D18" s="4">
        <f>'Inflation Reduction Act - elec'!B126</f>
        <v>21.848852583482621</v>
      </c>
      <c r="E18" s="4">
        <f>'Inflation Reduction Act - elec'!C126</f>
        <v>21.848852583482621</v>
      </c>
      <c r="F18" s="4">
        <f>'Inflation Reduction Act - elec'!D126</f>
        <v>21.848852583482621</v>
      </c>
      <c r="G18" s="4">
        <f>'Inflation Reduction Act - elec'!E126</f>
        <v>21.848852583482621</v>
      </c>
      <c r="H18" s="4">
        <f>'Inflation Reduction Act - elec'!F126</f>
        <v>21.848852583482621</v>
      </c>
      <c r="I18" s="4">
        <f>'Inflation Reduction Act - elec'!G126</f>
        <v>21.848852583482621</v>
      </c>
      <c r="J18" s="4">
        <f>'Inflation Reduction Act - elec'!H126</f>
        <v>21.848852583482621</v>
      </c>
      <c r="K18" s="4">
        <f>'Inflation Reduction Act - elec'!I126</f>
        <v>21.848852583482621</v>
      </c>
      <c r="L18" s="4">
        <f>'Inflation Reduction Act - elec'!J126</f>
        <v>21.848852583482621</v>
      </c>
      <c r="M18" s="4">
        <f>'Inflation Reduction Act - elec'!K126</f>
        <v>21.848852583482621</v>
      </c>
      <c r="N18" s="4">
        <f>'Inflation Reduction Act - elec'!L126</f>
        <v>21.848852583482621</v>
      </c>
      <c r="O18" s="4">
        <f>'Inflation Reduction Act - elec'!M126</f>
        <v>21.848852583482621</v>
      </c>
      <c r="P18" s="4">
        <f>'Inflation Reduction Act - elec'!N126</f>
        <v>21.848852583482621</v>
      </c>
      <c r="Q18" s="4">
        <f>'Inflation Reduction Act - elec'!O126</f>
        <v>21.848852583482621</v>
      </c>
      <c r="R18" s="4">
        <f>'Inflation Reduction Act - elec'!P126</f>
        <v>21.848852583482621</v>
      </c>
      <c r="S18" s="4">
        <f>'Inflation Reduction Act - elec'!Q126</f>
        <v>21.848852583482621</v>
      </c>
      <c r="T18" s="4">
        <f>'Inflation Reduction Act - elec'!R126</f>
        <v>23.620381171332561</v>
      </c>
      <c r="U18" s="4">
        <f>'Inflation Reduction Act - elec'!S126</f>
        <v>23.620381171332561</v>
      </c>
      <c r="V18" s="4">
        <f>'Inflation Reduction Act - elec'!T126</f>
        <v>23.620381171332561</v>
      </c>
      <c r="W18" s="4">
        <f>'Inflation Reduction Act - elec'!U126</f>
        <v>17.715285878499422</v>
      </c>
      <c r="X18" s="4">
        <f>'Inflation Reduction Act - elec'!V126</f>
        <v>11.81019058566628</v>
      </c>
      <c r="Y18" s="4">
        <f>'Inflation Reduction Act - elec'!W126</f>
        <v>0</v>
      </c>
      <c r="Z18" s="4">
        <f>'Inflation Reduction Act - elec'!X126</f>
        <v>0</v>
      </c>
      <c r="AA18" s="4">
        <f>'Inflation Reduction Act - elec'!Y126</f>
        <v>0</v>
      </c>
      <c r="AB18" s="4">
        <f>'Inflation Reduction Act - elec'!Z126</f>
        <v>0</v>
      </c>
      <c r="AC18" s="4">
        <f>'Inflation Reduction Act - elec'!AA126</f>
        <v>0</v>
      </c>
      <c r="AD18" s="4">
        <f>'Inflation Reduction Act - elec'!AB126</f>
        <v>0</v>
      </c>
      <c r="AE18" s="4">
        <f>'Inflation Reduction Act - elec'!AC126</f>
        <v>0</v>
      </c>
    </row>
    <row r="19" spans="1:31" x14ac:dyDescent="0.3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3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3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3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3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3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3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4.5" x14ac:dyDescent="0.35"/>
  <cols>
    <col min="1" max="1" width="32.7265625" customWidth="1"/>
  </cols>
  <sheetData>
    <row r="1" spans="1:33" x14ac:dyDescent="0.3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3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3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3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3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3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3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3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35">
      <c r="A9" t="s">
        <v>802</v>
      </c>
      <c r="B9" s="19">
        <f>Calculations!D19</f>
        <v>0.20099999999999998</v>
      </c>
      <c r="C9" s="19">
        <f>Calculations!E19</f>
        <v>0.17419999999999999</v>
      </c>
      <c r="D9" s="19">
        <f>'Inflation Reduction Act - elec'!B149</f>
        <v>0.41625000000000001</v>
      </c>
      <c r="E9" s="19">
        <f>'Inflation Reduction Act - elec'!C149</f>
        <v>0.41625000000000001</v>
      </c>
      <c r="F9" s="19">
        <f>'Inflation Reduction Act - elec'!D149</f>
        <v>0.41625000000000001</v>
      </c>
      <c r="G9" s="19">
        <f>'Inflation Reduction Act - elec'!E149</f>
        <v>0.41625000000000001</v>
      </c>
      <c r="H9" s="19">
        <f>'Inflation Reduction Act - elec'!F149</f>
        <v>0.41625000000000001</v>
      </c>
      <c r="I9" s="19">
        <f>'Inflation Reduction Act - elec'!G149</f>
        <v>0.41625000000000001</v>
      </c>
      <c r="J9" s="19">
        <f>'Inflation Reduction Act - elec'!H149</f>
        <v>0.41625000000000001</v>
      </c>
      <c r="K9" s="19">
        <f>'Inflation Reduction Act - elec'!I149</f>
        <v>0.41625000000000001</v>
      </c>
      <c r="L9" s="19">
        <f>'Inflation Reduction Act - elec'!J149</f>
        <v>0.41625000000000001</v>
      </c>
      <c r="M9" s="19">
        <f>'Inflation Reduction Act - elec'!K149</f>
        <v>0.41625000000000001</v>
      </c>
      <c r="N9" s="19">
        <f>'Inflation Reduction Act - elec'!L149</f>
        <v>0.41625000000000001</v>
      </c>
      <c r="O9" s="19">
        <f>'Inflation Reduction Act - elec'!M149</f>
        <v>0.41625000000000001</v>
      </c>
      <c r="P9" s="19">
        <f>'Inflation Reduction Act - elec'!N149</f>
        <v>0.41625000000000001</v>
      </c>
      <c r="Q9" s="19">
        <f>'Inflation Reduction Act - elec'!O149</f>
        <v>0.41625000000000001</v>
      </c>
      <c r="R9" s="19">
        <f>'Inflation Reduction Act - elec'!P149</f>
        <v>0.41625000000000001</v>
      </c>
      <c r="S9" s="19">
        <f>'Inflation Reduction Act - elec'!Q149</f>
        <v>0.41625000000000001</v>
      </c>
      <c r="T9" s="19">
        <f>'Inflation Reduction Act - elec'!R149</f>
        <v>0.41625000000000001</v>
      </c>
      <c r="U9" s="19">
        <f>'Inflation Reduction Act - elec'!S149</f>
        <v>0.41625000000000001</v>
      </c>
      <c r="V9" s="19">
        <f>'Inflation Reduction Act - elec'!T149</f>
        <v>0.41625000000000001</v>
      </c>
      <c r="W9" s="19">
        <f>'Inflation Reduction Act - elec'!U149</f>
        <v>0.31218750000000001</v>
      </c>
      <c r="X9" s="19">
        <f>'Inflation Reduction Act - elec'!V149</f>
        <v>0.208125</v>
      </c>
      <c r="Y9" s="19">
        <f>'Inflation Reduction Act - elec'!W149</f>
        <v>0</v>
      </c>
      <c r="Z9" s="19">
        <f>'Inflation Reduction Act - elec'!X149</f>
        <v>0</v>
      </c>
      <c r="AA9" s="19">
        <f>'Inflation Reduction Act - elec'!Y149</f>
        <v>0</v>
      </c>
      <c r="AB9" s="19">
        <f>'Inflation Reduction Act - elec'!Z149</f>
        <v>0</v>
      </c>
      <c r="AC9" s="19">
        <f>'Inflation Reduction Act - elec'!AA149</f>
        <v>0</v>
      </c>
      <c r="AD9" s="19">
        <f>'Inflation Reduction Act - elec'!AB149</f>
        <v>0</v>
      </c>
      <c r="AE9" s="19">
        <f>'Inflation Reduction Act - elec'!AC149</f>
        <v>0</v>
      </c>
      <c r="AF9" s="20"/>
      <c r="AG9" s="20"/>
    </row>
    <row r="10" spans="1:33" x14ac:dyDescent="0.3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35">
      <c r="A11" t="s">
        <v>301</v>
      </c>
      <c r="B11" s="19">
        <f>Calculations!D26</f>
        <v>6.699999999999999E-2</v>
      </c>
      <c r="C11" s="19">
        <f>Calculations!E26</f>
        <v>6.699999999999999E-2</v>
      </c>
      <c r="D11" s="19">
        <f>'Inflation Reduction Act - elec'!B152</f>
        <v>0.41625000000000001</v>
      </c>
      <c r="E11" s="19">
        <f>'Inflation Reduction Act - elec'!C152</f>
        <v>0.41625000000000001</v>
      </c>
      <c r="F11" s="19">
        <f>'Inflation Reduction Act - elec'!D152</f>
        <v>0.41625000000000001</v>
      </c>
      <c r="G11" s="19">
        <f>'Inflation Reduction Act - elec'!E152</f>
        <v>0.41625000000000001</v>
      </c>
      <c r="H11" s="19">
        <f>'Inflation Reduction Act - elec'!F152</f>
        <v>0.41625000000000001</v>
      </c>
      <c r="I11" s="19">
        <f>'Inflation Reduction Act - elec'!G152</f>
        <v>0.41625000000000001</v>
      </c>
      <c r="J11" s="19">
        <f>'Inflation Reduction Act - elec'!H152</f>
        <v>0.41625000000000001</v>
      </c>
      <c r="K11" s="19">
        <f>'Inflation Reduction Act - elec'!I152</f>
        <v>0.41625000000000001</v>
      </c>
      <c r="L11" s="19">
        <f>'Inflation Reduction Act - elec'!J152</f>
        <v>0.41625000000000001</v>
      </c>
      <c r="M11" s="19">
        <f>'Inflation Reduction Act - elec'!K152</f>
        <v>0.41625000000000001</v>
      </c>
      <c r="N11" s="19">
        <f>'Inflation Reduction Act - elec'!L152</f>
        <v>0.41625000000000001</v>
      </c>
      <c r="O11" s="19">
        <f>'Inflation Reduction Act - elec'!M152</f>
        <v>0.41625000000000001</v>
      </c>
      <c r="P11" s="19">
        <f>'Inflation Reduction Act - elec'!N152</f>
        <v>0.41625000000000001</v>
      </c>
      <c r="Q11" s="19">
        <f>'Inflation Reduction Act - elec'!O152</f>
        <v>0.41625000000000001</v>
      </c>
      <c r="R11" s="19">
        <f>'Inflation Reduction Act - elec'!P152</f>
        <v>0.41625000000000001</v>
      </c>
      <c r="S11" s="19">
        <f>'Inflation Reduction Act - elec'!Q152</f>
        <v>0.41625000000000001</v>
      </c>
      <c r="T11" s="19">
        <f>'Inflation Reduction Act - elec'!R152</f>
        <v>0.41625000000000001</v>
      </c>
      <c r="U11" s="19">
        <f>'Inflation Reduction Act - elec'!S152</f>
        <v>0.41625000000000001</v>
      </c>
      <c r="V11" s="19">
        <f>'Inflation Reduction Act - elec'!T152</f>
        <v>0.41625000000000001</v>
      </c>
      <c r="W11" s="19">
        <f>'Inflation Reduction Act - elec'!U152</f>
        <v>0.31218750000000001</v>
      </c>
      <c r="X11" s="19">
        <f>'Inflation Reduction Act - elec'!V152</f>
        <v>0.208125</v>
      </c>
      <c r="Y11" s="19">
        <f>'Inflation Reduction Act - elec'!W152</f>
        <v>0</v>
      </c>
      <c r="Z11" s="19">
        <f>'Inflation Reduction Act - elec'!X152</f>
        <v>0</v>
      </c>
      <c r="AA11" s="19">
        <f>'Inflation Reduction Act - elec'!Y152</f>
        <v>0</v>
      </c>
      <c r="AB11" s="19">
        <f>'Inflation Reduction Act - elec'!Z152</f>
        <v>0</v>
      </c>
      <c r="AC11" s="19">
        <f>'Inflation Reduction Act - elec'!AA152</f>
        <v>0</v>
      </c>
      <c r="AD11" s="19">
        <f>'Inflation Reduction Act - elec'!AB152</f>
        <v>0</v>
      </c>
      <c r="AE11" s="19">
        <f>'Inflation Reduction Act - elec'!AC152</f>
        <v>0</v>
      </c>
      <c r="AF11" s="20"/>
      <c r="AG11" s="20"/>
    </row>
    <row r="12" spans="1:33" x14ac:dyDescent="0.3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3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3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35">
      <c r="A15" t="s">
        <v>509</v>
      </c>
      <c r="B15" s="19">
        <f>Calculations!D12</f>
        <v>0.20099999999999998</v>
      </c>
      <c r="C15" s="19">
        <f>Calculations!E12</f>
        <v>0.20099999999999998</v>
      </c>
      <c r="D15" s="19">
        <f>'Inflation Reduction Act - elec'!B155</f>
        <v>0.41625000000000001</v>
      </c>
      <c r="E15" s="19">
        <f>'Inflation Reduction Act - elec'!C155</f>
        <v>0.41625000000000001</v>
      </c>
      <c r="F15" s="19">
        <f>'Inflation Reduction Act - elec'!D155</f>
        <v>0.41625000000000001</v>
      </c>
      <c r="G15" s="19">
        <f>'Inflation Reduction Act - elec'!E155</f>
        <v>0.41625000000000001</v>
      </c>
      <c r="H15" s="19">
        <f>'Inflation Reduction Act - elec'!F155</f>
        <v>0.41625000000000001</v>
      </c>
      <c r="I15" s="19">
        <f>'Inflation Reduction Act - elec'!G155</f>
        <v>0.41625000000000001</v>
      </c>
      <c r="J15" s="19">
        <f>'Inflation Reduction Act - elec'!H155</f>
        <v>0.41625000000000001</v>
      </c>
      <c r="K15" s="19">
        <f>'Inflation Reduction Act - elec'!I155</f>
        <v>0.41625000000000001</v>
      </c>
      <c r="L15" s="19">
        <f>'Inflation Reduction Act - elec'!J155</f>
        <v>0.41625000000000001</v>
      </c>
      <c r="M15" s="19">
        <f>'Inflation Reduction Act - elec'!K155</f>
        <v>0.41625000000000001</v>
      </c>
      <c r="N15" s="19">
        <f>'Inflation Reduction Act - elec'!L155</f>
        <v>0.41625000000000001</v>
      </c>
      <c r="O15" s="19">
        <f>'Inflation Reduction Act - elec'!M155</f>
        <v>0.41625000000000001</v>
      </c>
      <c r="P15" s="19">
        <f>'Inflation Reduction Act - elec'!N155</f>
        <v>0.41625000000000001</v>
      </c>
      <c r="Q15" s="19">
        <f>'Inflation Reduction Act - elec'!O155</f>
        <v>0.41625000000000001</v>
      </c>
      <c r="R15" s="19">
        <f>'Inflation Reduction Act - elec'!P155</f>
        <v>0.41625000000000001</v>
      </c>
      <c r="S15" s="19">
        <f>'Inflation Reduction Act - elec'!Q155</f>
        <v>0.41625000000000001</v>
      </c>
      <c r="T15" s="19">
        <f>'Inflation Reduction Act - elec'!R155</f>
        <v>0.41625000000000001</v>
      </c>
      <c r="U15" s="19">
        <f>'Inflation Reduction Act - elec'!S155</f>
        <v>0.41625000000000001</v>
      </c>
      <c r="V15" s="19">
        <f>'Inflation Reduction Act - elec'!T155</f>
        <v>0.41625000000000001</v>
      </c>
      <c r="W15" s="19">
        <f>'Inflation Reduction Act - elec'!U155</f>
        <v>0.31218750000000001</v>
      </c>
      <c r="X15" s="19">
        <f>'Inflation Reduction Act - elec'!V155</f>
        <v>0.208125</v>
      </c>
      <c r="Y15" s="19">
        <f>'Inflation Reduction Act - elec'!W155</f>
        <v>0</v>
      </c>
      <c r="Z15" s="19">
        <f>'Inflation Reduction Act - elec'!X155</f>
        <v>0</v>
      </c>
      <c r="AA15" s="19">
        <f>'Inflation Reduction Act - elec'!Y155</f>
        <v>0</v>
      </c>
      <c r="AB15" s="19">
        <f>'Inflation Reduction Act - elec'!Z155</f>
        <v>0</v>
      </c>
      <c r="AC15" s="19">
        <f>'Inflation Reduction Act - elec'!AA155</f>
        <v>0</v>
      </c>
      <c r="AD15" s="19">
        <f>'Inflation Reduction Act - elec'!AB155</f>
        <v>0</v>
      </c>
      <c r="AE15" s="19">
        <f>'Inflation Reduction Act - elec'!AC155</f>
        <v>0</v>
      </c>
      <c r="AF15" s="20"/>
      <c r="AG15" s="20"/>
    </row>
    <row r="16" spans="1:33" x14ac:dyDescent="0.3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3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3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3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3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3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3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3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3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3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4.5" x14ac:dyDescent="0.35"/>
  <sheetData>
    <row r="1" spans="1:31" x14ac:dyDescent="0.3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3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3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3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3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3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3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3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3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3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3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3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3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3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3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3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3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3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3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3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3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3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3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3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3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6953125" defaultRowHeight="14.5" x14ac:dyDescent="0.35"/>
  <cols>
    <col min="1" max="1" width="32.453125" customWidth="1"/>
    <col min="2" max="2" width="87.7265625" customWidth="1"/>
    <col min="13" max="13" width="11.54296875" customWidth="1"/>
  </cols>
  <sheetData>
    <row r="1" spans="1:14" x14ac:dyDescent="0.35">
      <c r="A1" t="s">
        <v>5</v>
      </c>
    </row>
    <row r="2" spans="1:14" x14ac:dyDescent="0.35">
      <c r="A2" s="1" t="s">
        <v>166</v>
      </c>
    </row>
    <row r="3" spans="1:14" x14ac:dyDescent="0.35">
      <c r="A3" t="s">
        <v>7</v>
      </c>
    </row>
    <row r="4" spans="1:14" x14ac:dyDescent="0.35">
      <c r="A4" t="s">
        <v>13</v>
      </c>
    </row>
    <row r="5" spans="1:14" x14ac:dyDescent="0.35">
      <c r="A5" t="s">
        <v>14</v>
      </c>
    </row>
    <row r="7" spans="1:14" x14ac:dyDescent="0.35">
      <c r="B7" s="1"/>
      <c r="C7" s="1" t="s">
        <v>8</v>
      </c>
      <c r="D7" s="1"/>
      <c r="E7" s="1"/>
      <c r="F7" s="1"/>
      <c r="G7" s="1"/>
      <c r="H7" s="1" t="s">
        <v>9</v>
      </c>
      <c r="I7" s="1"/>
      <c r="J7" s="1"/>
      <c r="K7" s="1"/>
      <c r="L7" s="1"/>
      <c r="M7" s="1" t="s">
        <v>11</v>
      </c>
    </row>
    <row r="8" spans="1:14" x14ac:dyDescent="0.35">
      <c r="A8" s="1" t="s">
        <v>34</v>
      </c>
      <c r="B8" s="1" t="s">
        <v>6</v>
      </c>
      <c r="C8" s="1">
        <v>2014</v>
      </c>
      <c r="D8" s="1">
        <v>2015</v>
      </c>
      <c r="E8" s="1">
        <v>2016</v>
      </c>
      <c r="F8" s="1">
        <v>2017</v>
      </c>
      <c r="G8" s="1">
        <v>2018</v>
      </c>
      <c r="H8" s="1">
        <v>2014</v>
      </c>
      <c r="I8" s="1">
        <v>2015</v>
      </c>
      <c r="J8" s="1">
        <v>2016</v>
      </c>
      <c r="K8" s="1">
        <v>2017</v>
      </c>
      <c r="L8" s="1">
        <v>2018</v>
      </c>
      <c r="M8" s="3" t="s">
        <v>12</v>
      </c>
    </row>
    <row r="9" spans="1:14" x14ac:dyDescent="0.3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35">
      <c r="A10" s="7" t="s">
        <v>22</v>
      </c>
      <c r="B10" s="7" t="s">
        <v>15</v>
      </c>
      <c r="C10" s="23">
        <v>0.4</v>
      </c>
      <c r="D10" s="23">
        <v>0.4</v>
      </c>
      <c r="E10" s="23">
        <v>0.4</v>
      </c>
      <c r="F10" s="23">
        <v>0.4</v>
      </c>
      <c r="G10" s="23">
        <v>0.3</v>
      </c>
      <c r="H10" s="23">
        <v>0.1</v>
      </c>
      <c r="I10" s="23">
        <v>0.1</v>
      </c>
      <c r="J10" s="23">
        <v>0.1</v>
      </c>
      <c r="K10" s="23">
        <v>0.1</v>
      </c>
      <c r="L10" s="23">
        <v>0.1</v>
      </c>
      <c r="M10" s="23">
        <v>2.9</v>
      </c>
    </row>
    <row r="11" spans="1:14" x14ac:dyDescent="0.3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3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3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35">
      <c r="A14" s="7" t="s">
        <v>25</v>
      </c>
      <c r="B14" s="7" t="s">
        <v>19</v>
      </c>
      <c r="C14" s="23">
        <v>0.3</v>
      </c>
      <c r="D14" s="23">
        <v>0.4</v>
      </c>
      <c r="E14" s="23">
        <v>0.4</v>
      </c>
      <c r="F14" s="23">
        <v>0.4</v>
      </c>
      <c r="G14" s="23">
        <v>0.4</v>
      </c>
      <c r="H14" s="24"/>
      <c r="I14" s="24"/>
      <c r="J14" s="24"/>
      <c r="K14" s="24"/>
      <c r="L14" s="24"/>
      <c r="M14" s="23">
        <v>1.9</v>
      </c>
    </row>
    <row r="15" spans="1:14" x14ac:dyDescent="0.35">
      <c r="A15" s="7" t="s">
        <v>26</v>
      </c>
      <c r="B15" s="7" t="s">
        <v>20</v>
      </c>
      <c r="C15" s="23">
        <v>0.2</v>
      </c>
      <c r="D15" s="23">
        <v>0.2</v>
      </c>
      <c r="E15" s="23">
        <v>0.2</v>
      </c>
      <c r="F15" s="23">
        <v>0.2</v>
      </c>
      <c r="G15" s="23">
        <v>0.2</v>
      </c>
      <c r="H15" s="23"/>
      <c r="I15" s="23"/>
      <c r="J15" s="23"/>
      <c r="K15" s="23"/>
      <c r="L15" s="23"/>
      <c r="M15" s="23">
        <v>1</v>
      </c>
    </row>
    <row r="16" spans="1:14" x14ac:dyDescent="0.3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3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 x14ac:dyDescent="0.35">
      <c r="A18" s="7" t="s">
        <v>42</v>
      </c>
      <c r="B18" s="7" t="s">
        <v>29</v>
      </c>
      <c r="C18" s="23">
        <v>0.9</v>
      </c>
      <c r="D18" s="23">
        <v>0.9</v>
      </c>
      <c r="E18" s="23">
        <v>0.9</v>
      </c>
      <c r="F18" s="23">
        <v>1</v>
      </c>
      <c r="G18" s="23">
        <v>1</v>
      </c>
      <c r="H18" s="23">
        <v>0.2</v>
      </c>
      <c r="I18" s="23">
        <v>0.2</v>
      </c>
      <c r="J18" s="23">
        <v>0.3</v>
      </c>
      <c r="K18" s="23">
        <v>0.3</v>
      </c>
      <c r="L18" s="23">
        <v>0.3</v>
      </c>
      <c r="M18" s="23">
        <v>6</v>
      </c>
    </row>
    <row r="19" spans="1:14" x14ac:dyDescent="0.35">
      <c r="A19" s="7" t="s">
        <v>26</v>
      </c>
      <c r="B19" s="7" t="s">
        <v>265</v>
      </c>
      <c r="C19" s="23">
        <v>0.1</v>
      </c>
      <c r="D19" s="23">
        <v>0.1</v>
      </c>
      <c r="E19" s="23">
        <v>0.1</v>
      </c>
      <c r="F19" s="23">
        <v>0.1</v>
      </c>
      <c r="G19" s="23">
        <v>0.1</v>
      </c>
      <c r="H19" s="23">
        <v>0</v>
      </c>
      <c r="I19" s="23">
        <v>0</v>
      </c>
      <c r="J19" s="23">
        <v>0</v>
      </c>
      <c r="K19" s="23">
        <v>0</v>
      </c>
      <c r="L19" s="23">
        <v>0</v>
      </c>
      <c r="M19" s="23">
        <v>0.5</v>
      </c>
      <c r="N19" t="s">
        <v>266</v>
      </c>
    </row>
    <row r="20" spans="1:14" ht="29" x14ac:dyDescent="0.3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 x14ac:dyDescent="0.3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35">
      <c r="A22" s="7" t="s">
        <v>26</v>
      </c>
      <c r="B22" s="8" t="s">
        <v>32</v>
      </c>
      <c r="C22" s="23">
        <v>0.4</v>
      </c>
      <c r="D22" s="23">
        <v>0.4</v>
      </c>
      <c r="E22" s="23">
        <v>0.4</v>
      </c>
      <c r="F22" s="23">
        <v>0.3</v>
      </c>
      <c r="G22" s="23">
        <v>0.3</v>
      </c>
      <c r="H22" s="23"/>
      <c r="I22" s="23"/>
      <c r="J22" s="23"/>
      <c r="K22" s="23"/>
      <c r="L22" s="23"/>
      <c r="M22" s="23">
        <v>1.8</v>
      </c>
    </row>
    <row r="23" spans="1:14" x14ac:dyDescent="0.35">
      <c r="A23" s="6" t="s">
        <v>33</v>
      </c>
      <c r="B23" s="6" t="s">
        <v>35</v>
      </c>
      <c r="C23" s="22">
        <v>0.3</v>
      </c>
      <c r="D23" s="22">
        <v>0.3</v>
      </c>
      <c r="E23" s="22">
        <v>0.3</v>
      </c>
      <c r="F23" s="22">
        <v>0.3</v>
      </c>
      <c r="G23" s="22">
        <v>0.2</v>
      </c>
      <c r="H23" s="25"/>
      <c r="I23" s="25"/>
      <c r="J23" s="25"/>
      <c r="K23" s="25"/>
      <c r="L23" s="25"/>
      <c r="M23" s="22">
        <v>1.4</v>
      </c>
      <c r="N23" t="s">
        <v>241</v>
      </c>
    </row>
    <row r="24" spans="1:14" x14ac:dyDescent="0.35">
      <c r="A24" s="6" t="s">
        <v>37</v>
      </c>
      <c r="B24" s="6" t="s">
        <v>36</v>
      </c>
      <c r="C24" s="22">
        <v>0.2</v>
      </c>
      <c r="D24" s="22">
        <v>0.2</v>
      </c>
      <c r="E24" s="22">
        <v>0.2</v>
      </c>
      <c r="F24" s="22">
        <v>0.1</v>
      </c>
      <c r="G24" s="22">
        <v>0.1</v>
      </c>
      <c r="H24" s="22"/>
      <c r="I24" s="22"/>
      <c r="J24" s="22"/>
      <c r="K24" s="22"/>
      <c r="L24" s="22"/>
      <c r="M24" s="22">
        <v>0.8</v>
      </c>
      <c r="N24" t="s">
        <v>245</v>
      </c>
    </row>
    <row r="25" spans="1:14" ht="29" x14ac:dyDescent="0.35">
      <c r="A25" s="7" t="s">
        <v>42</v>
      </c>
      <c r="B25" s="7" t="s">
        <v>38</v>
      </c>
      <c r="C25" s="23"/>
      <c r="D25" s="23"/>
      <c r="E25" s="23"/>
      <c r="F25" s="23"/>
      <c r="G25" s="23"/>
      <c r="H25" s="23">
        <v>1.1000000000000001</v>
      </c>
      <c r="I25" s="23">
        <v>1.1000000000000001</v>
      </c>
      <c r="J25" s="23">
        <v>1.2</v>
      </c>
      <c r="K25" s="23">
        <v>1.2</v>
      </c>
      <c r="L25" s="23">
        <v>1.2</v>
      </c>
      <c r="M25" s="23">
        <v>5.8</v>
      </c>
    </row>
    <row r="26" spans="1:14" x14ac:dyDescent="0.35">
      <c r="A26" s="7" t="s">
        <v>40</v>
      </c>
      <c r="B26" s="7" t="s">
        <v>39</v>
      </c>
      <c r="C26" s="23">
        <v>0.2</v>
      </c>
      <c r="D26" s="23">
        <v>0.2</v>
      </c>
      <c r="E26" s="23">
        <v>0.2</v>
      </c>
      <c r="F26" s="23">
        <v>0.3</v>
      </c>
      <c r="G26" s="23">
        <v>0.3</v>
      </c>
      <c r="H26" s="23"/>
      <c r="I26" s="23"/>
      <c r="J26" s="23"/>
      <c r="K26" s="23"/>
      <c r="L26" s="23"/>
      <c r="M26" s="23">
        <v>1.2</v>
      </c>
    </row>
    <row r="27" spans="1:14" ht="29" x14ac:dyDescent="0.35">
      <c r="A27" s="6" t="s">
        <v>42</v>
      </c>
      <c r="B27" s="6" t="s">
        <v>41</v>
      </c>
      <c r="C27" s="22"/>
      <c r="D27" s="22"/>
      <c r="E27" s="22"/>
      <c r="F27" s="22"/>
      <c r="G27" s="22"/>
      <c r="H27" s="22">
        <v>0.1</v>
      </c>
      <c r="I27" s="22">
        <v>0.1</v>
      </c>
      <c r="J27" s="22">
        <v>0.1</v>
      </c>
      <c r="K27" s="22">
        <v>0.1</v>
      </c>
      <c r="L27" s="22">
        <v>0.1</v>
      </c>
      <c r="M27" s="22">
        <v>0.5</v>
      </c>
      <c r="N27" t="s">
        <v>246</v>
      </c>
    </row>
    <row r="29" spans="1:14" x14ac:dyDescent="0.35">
      <c r="A29" s="26" t="s">
        <v>113</v>
      </c>
    </row>
    <row r="30" spans="1:14" x14ac:dyDescent="0.35">
      <c r="A30" t="s">
        <v>114</v>
      </c>
    </row>
    <row r="31" spans="1:14" x14ac:dyDescent="0.3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1</vt:i4>
      </vt:variant>
    </vt:vector>
  </HeadingPairs>
  <TitlesOfParts>
    <vt:vector size="28" baseType="lpstr">
      <vt:lpstr>About</vt:lpstr>
      <vt:lpstr>Inflation Reduction Act - elec</vt:lpstr>
      <vt:lpstr>Inflation Reduction Act - Hydn</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BS-BSfTFpEUP-transportation</vt:lpstr>
      <vt:lpstr>BS-BSfTFpEUP-electricity</vt:lpstr>
      <vt:lpstr>BS-BSfTFpEUP-res-bldgs</vt:lpstr>
      <vt:lpstr>BS-BSfTFpEUP-com-bldgs</vt:lpstr>
      <vt:lpstr>BS-BSfTFpEUP-industry</vt:lpstr>
      <vt:lpstr>BS-BSfTFpEUP-dist-heat-hydgn</vt:lpstr>
      <vt:lpstr>BS-BSfTFpEUP-geoeng</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2014-08-21T02:04:37Z</dcterms:created>
  <dcterms:modified xsi:type="dcterms:W3CDTF">2025-06-20T16:32:35Z</dcterms:modified>
</cp:coreProperties>
</file>