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6A4E71CE-07F5-4894-9A57-09AB10541665}" xr6:coauthVersionLast="47" xr6:coauthVersionMax="47" xr10:uidLastSave="{00000000-0000-0000-0000-000000000000}"/>
  <bookViews>
    <workbookView xWindow="-26220" yWindow="1020" windowWidth="25275" windowHeight="12525" tabRatio="811" firstSheet="18" activeTab="23" xr2:uid="{00000000-000D-0000-FFFF-FFFF00000000}"/>
  </bookViews>
  <sheets>
    <sheet name="About" sheetId="1" r:id="rId1"/>
    <sheet name="Inflation Reduction Act - elec" sheetId="24" r:id="rId2"/>
    <sheet name="Inflation Reduction Act - Hydn" sheetId="35" r:id="rId3"/>
    <sheet name="Tax Credits" sheetId="25" r:id="rId4"/>
    <sheet name="Solar - Utility PV" sheetId="27" r:id="rId5"/>
    <sheet name="Land-Based Wind" sheetId="26" r:id="rId6"/>
    <sheet name="Subsidies Paid" sheetId="12" r:id="rId7"/>
    <sheet name="AEO 2022 Table 1" sheetId="3" r:id="rId8"/>
    <sheet name="AEO 2023 Table 1" sheetId="21" r:id="rId9"/>
    <sheet name="AEO 2022 Table 8" sheetId="9" r:id="rId10"/>
    <sheet name="AEO 2023 Table 8" sheetId="22" r:id="rId11"/>
    <sheet name="AEO 2022 Table 11" sheetId="6" r:id="rId12"/>
    <sheet name="AEO 2023 Table 11" sheetId="23" r:id="rId13"/>
    <sheet name="Calculations" sheetId="14" r:id="rId14"/>
    <sheet name="Wind PV Calcs" sheetId="20" r:id="rId15"/>
    <sheet name="Monetizing Tax Credit Penalty" sheetId="17" r:id="rId16"/>
    <sheet name="BS-BSfTFpEUP-transportation" sheetId="10" r:id="rId17"/>
    <sheet name="BS-BSfTFpEUP-electricity" sheetId="29" r:id="rId18"/>
    <sheet name="BS-BSfTFpEUP-res-bldgs" sheetId="30" r:id="rId19"/>
    <sheet name="BS-BSfTFpEUP-com-bldgs" sheetId="31" r:id="rId20"/>
    <sheet name="BS-BSfTFpEUP-industry" sheetId="32" r:id="rId21"/>
    <sheet name="BS-BSfTFpEUP-dist-heat-hydgn" sheetId="33" r:id="rId22"/>
    <sheet name="BS-BSfTFpEUP-geoeng" sheetId="34" r:id="rId23"/>
    <sheet name="BS-BSpUEO" sheetId="19" r:id="rId24"/>
    <sheet name="BS-BSpUECB" sheetId="16" r:id="rId25"/>
    <sheet name="BS-DoSpUEO" sheetId="28" r:id="rId26"/>
    <sheet name="JCT Table 1_Notes" sheetId="15" r:id="rId27"/>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22" i="24" l="1"/>
  <c r="AB122" i="24"/>
  <c r="AA122" i="24"/>
  <c r="Z122" i="24"/>
  <c r="Y122" i="24"/>
  <c r="X122" i="24"/>
  <c r="W122" i="24"/>
  <c r="V122" i="24"/>
  <c r="U122" i="24"/>
  <c r="T122" i="24"/>
  <c r="S122" i="24"/>
  <c r="R122" i="24"/>
  <c r="Q122" i="24"/>
  <c r="P122" i="24"/>
  <c r="O122" i="24"/>
  <c r="N122" i="24"/>
  <c r="M122" i="24"/>
  <c r="L122" i="24"/>
  <c r="K122" i="24"/>
  <c r="J122" i="24"/>
  <c r="I122" i="24"/>
  <c r="H122" i="24"/>
  <c r="G122" i="24"/>
  <c r="F122" i="24"/>
  <c r="D122" i="24"/>
  <c r="C122" i="24"/>
  <c r="B122" i="24"/>
  <c r="E122" i="24"/>
  <c r="AC114" i="24"/>
  <c r="AB114" i="24"/>
  <c r="AA114" i="24"/>
  <c r="Z114" i="24"/>
  <c r="Y114" i="24"/>
  <c r="X114" i="24"/>
  <c r="W114" i="24"/>
  <c r="V114" i="24"/>
  <c r="U114" i="24"/>
  <c r="W8" i="19" s="1"/>
  <c r="T114" i="24"/>
  <c r="V8" i="19" s="1"/>
  <c r="S114" i="24"/>
  <c r="S163" i="24" s="1"/>
  <c r="R114" i="24"/>
  <c r="T8" i="19" s="1"/>
  <c r="Q114" i="24"/>
  <c r="S8" i="19" s="1"/>
  <c r="P114" i="24"/>
  <c r="R8" i="19" s="1"/>
  <c r="O114" i="24"/>
  <c r="O163" i="24" s="1"/>
  <c r="N114" i="24"/>
  <c r="N163" i="24" s="1"/>
  <c r="M114" i="24"/>
  <c r="O8" i="19" s="1"/>
  <c r="L114" i="24"/>
  <c r="N8" i="19" s="1"/>
  <c r="K114" i="24"/>
  <c r="M8" i="19" s="1"/>
  <c r="J114" i="24"/>
  <c r="L8" i="19" s="1"/>
  <c r="I114" i="24"/>
  <c r="K8" i="19" s="1"/>
  <c r="H114" i="24"/>
  <c r="J8" i="19" s="1"/>
  <c r="G114" i="24"/>
  <c r="F114" i="24"/>
  <c r="E114" i="24"/>
  <c r="G8" i="19" s="1"/>
  <c r="Z163" i="24"/>
  <c r="AE8" i="19"/>
  <c r="AD8" i="19"/>
  <c r="AC8" i="19"/>
  <c r="AA8" i="19"/>
  <c r="Z8" i="19"/>
  <c r="Y8" i="19"/>
  <c r="X8" i="19"/>
  <c r="I8" i="19"/>
  <c r="H8" i="19"/>
  <c r="F8" i="19"/>
  <c r="E8" i="19"/>
  <c r="D8" i="19"/>
  <c r="G7" i="19"/>
  <c r="AC170" i="24"/>
  <c r="AB170" i="24"/>
  <c r="AA170" i="24"/>
  <c r="Z170" i="24"/>
  <c r="Y170" i="24"/>
  <c r="X170" i="24"/>
  <c r="W170" i="24"/>
  <c r="V170" i="24"/>
  <c r="U170" i="24"/>
  <c r="T170" i="24"/>
  <c r="S170" i="24"/>
  <c r="R170" i="24"/>
  <c r="Q170" i="24"/>
  <c r="P170" i="24"/>
  <c r="O170" i="24"/>
  <c r="N170" i="24"/>
  <c r="M170" i="24"/>
  <c r="L170" i="24"/>
  <c r="K170" i="24"/>
  <c r="J170" i="24"/>
  <c r="I170" i="24"/>
  <c r="H170" i="24"/>
  <c r="G170" i="24"/>
  <c r="F170" i="24"/>
  <c r="E170" i="24"/>
  <c r="D170" i="24"/>
  <c r="C170" i="24"/>
  <c r="B170" i="24"/>
  <c r="AC166" i="24"/>
  <c r="AB166" i="24"/>
  <c r="AA166" i="24"/>
  <c r="Z166" i="24"/>
  <c r="Y166" i="24"/>
  <c r="X166" i="24"/>
  <c r="W166" i="24"/>
  <c r="V166" i="24"/>
  <c r="U166" i="24"/>
  <c r="T166" i="24"/>
  <c r="S166" i="24"/>
  <c r="R166" i="24"/>
  <c r="Q166" i="24"/>
  <c r="P166" i="24"/>
  <c r="O166" i="24"/>
  <c r="N166" i="24"/>
  <c r="M166" i="24"/>
  <c r="L166" i="24"/>
  <c r="K166" i="24"/>
  <c r="J166" i="24"/>
  <c r="I166" i="24"/>
  <c r="H166" i="24"/>
  <c r="G166" i="24"/>
  <c r="F166" i="24"/>
  <c r="E166" i="24"/>
  <c r="D166" i="24"/>
  <c r="C166" i="24"/>
  <c r="B166" i="24"/>
  <c r="AC163" i="24"/>
  <c r="AB163" i="24"/>
  <c r="AA163" i="24"/>
  <c r="Y163" i="24"/>
  <c r="X163" i="24"/>
  <c r="W163" i="24"/>
  <c r="V163" i="24"/>
  <c r="U163" i="24"/>
  <c r="T163" i="24"/>
  <c r="G163" i="24"/>
  <c r="F163" i="24"/>
  <c r="D163" i="24"/>
  <c r="C163" i="24"/>
  <c r="B163" i="24"/>
  <c r="B162" i="24"/>
  <c r="AC159" i="24"/>
  <c r="AB159" i="24"/>
  <c r="AA159" i="24"/>
  <c r="Z159" i="24"/>
  <c r="Y159" i="24"/>
  <c r="X159" i="24"/>
  <c r="W159" i="24"/>
  <c r="V159" i="24"/>
  <c r="U159" i="24"/>
  <c r="T159" i="24"/>
  <c r="S159" i="24"/>
  <c r="R159" i="24"/>
  <c r="Q159" i="24"/>
  <c r="P159" i="24"/>
  <c r="O159" i="24"/>
  <c r="N159" i="24"/>
  <c r="M159" i="24"/>
  <c r="L159" i="24"/>
  <c r="K159" i="24"/>
  <c r="J159" i="24"/>
  <c r="I159" i="24"/>
  <c r="H159" i="24"/>
  <c r="G159" i="24"/>
  <c r="F159" i="24"/>
  <c r="E159" i="24"/>
  <c r="D159" i="24"/>
  <c r="C159" i="24"/>
  <c r="B159" i="24"/>
  <c r="AC162" i="24"/>
  <c r="AB162" i="24"/>
  <c r="AA162" i="24"/>
  <c r="Z162" i="24"/>
  <c r="Y162" i="24"/>
  <c r="X162" i="24"/>
  <c r="W162" i="24"/>
  <c r="V162" i="24"/>
  <c r="U162" i="24"/>
  <c r="T162" i="24"/>
  <c r="S162" i="24"/>
  <c r="R162" i="24"/>
  <c r="Q162" i="24"/>
  <c r="P162" i="24"/>
  <c r="O162" i="24"/>
  <c r="N162" i="24"/>
  <c r="M162" i="24"/>
  <c r="L162" i="24"/>
  <c r="K162" i="24"/>
  <c r="J162" i="24"/>
  <c r="I162" i="24"/>
  <c r="H162" i="24"/>
  <c r="G162" i="24"/>
  <c r="F162" i="24"/>
  <c r="E162" i="24"/>
  <c r="D162" i="24"/>
  <c r="C162" i="24"/>
  <c r="K163" i="24" l="1"/>
  <c r="L163" i="24"/>
  <c r="M163" i="24"/>
  <c r="Q8" i="19"/>
  <c r="P163" i="24"/>
  <c r="P171" i="24" s="1"/>
  <c r="Q163" i="24"/>
  <c r="Q171" i="24" s="1"/>
  <c r="P8" i="19"/>
  <c r="R163" i="24"/>
  <c r="U8" i="19"/>
  <c r="E163" i="24"/>
  <c r="E171" i="24" s="1"/>
  <c r="H163" i="24"/>
  <c r="H171" i="24" s="1"/>
  <c r="AB8" i="19"/>
  <c r="I163" i="24"/>
  <c r="I171" i="24" s="1"/>
  <c r="J163" i="24"/>
  <c r="J171" i="24" s="1"/>
  <c r="Y171" i="24"/>
  <c r="V171" i="24"/>
  <c r="G171" i="24"/>
  <c r="AC171" i="24"/>
  <c r="X171" i="24"/>
  <c r="Z171" i="24"/>
  <c r="AA171" i="24"/>
  <c r="R171" i="24"/>
  <c r="S171" i="24"/>
  <c r="T171" i="24"/>
  <c r="U171" i="24"/>
  <c r="F171" i="24"/>
  <c r="K171" i="24"/>
  <c r="L171" i="24"/>
  <c r="M171" i="24"/>
  <c r="W171" i="24"/>
  <c r="C171" i="24"/>
  <c r="N171" i="24"/>
  <c r="B171" i="24"/>
  <c r="D171" i="24"/>
  <c r="AB171" i="24"/>
  <c r="O171" i="24"/>
  <c r="AA172" i="24" l="1"/>
  <c r="AA173" i="24"/>
  <c r="Z172" i="24"/>
  <c r="Z175" i="24" s="1"/>
  <c r="Z173" i="24"/>
  <c r="AA175" i="24"/>
  <c r="K173" i="24"/>
  <c r="K172" i="24"/>
  <c r="K175" i="24" s="1"/>
  <c r="F173" i="24"/>
  <c r="F172" i="24"/>
  <c r="F175" i="24" s="1"/>
  <c r="AC172" i="24"/>
  <c r="AC175" i="24" s="1"/>
  <c r="AC173" i="24"/>
  <c r="B172" i="24"/>
  <c r="B175" i="24" s="1"/>
  <c r="B173" i="24"/>
  <c r="H175" i="24"/>
  <c r="I173" i="24"/>
  <c r="I172" i="24"/>
  <c r="I175" i="24" s="1"/>
  <c r="X172" i="24"/>
  <c r="X175" i="24" s="1"/>
  <c r="X173" i="24"/>
  <c r="AB173" i="24"/>
  <c r="AB172" i="24"/>
  <c r="AB175" i="24" s="1"/>
  <c r="T173" i="24"/>
  <c r="T172" i="24"/>
  <c r="T175" i="24" s="1"/>
  <c r="Q173" i="24"/>
  <c r="Q172" i="24"/>
  <c r="Q175" i="24" s="1"/>
  <c r="H173" i="24"/>
  <c r="H172" i="24"/>
  <c r="P172" i="24"/>
  <c r="P175" i="24" s="1"/>
  <c r="J173" i="24"/>
  <c r="J172" i="24"/>
  <c r="J175" i="24" s="1"/>
  <c r="L173" i="24"/>
  <c r="L172" i="24"/>
  <c r="L175" i="24" s="1"/>
  <c r="E172" i="24"/>
  <c r="E175" i="24" s="1"/>
  <c r="E173" i="24"/>
  <c r="O172" i="24"/>
  <c r="O175" i="24" s="1"/>
  <c r="O173" i="24"/>
  <c r="U172" i="24"/>
  <c r="U175" i="24" s="1"/>
  <c r="U173" i="24"/>
  <c r="V173" i="24"/>
  <c r="V172" i="24"/>
  <c r="V175" i="24" s="1"/>
  <c r="D172" i="24"/>
  <c r="D175" i="24" s="1"/>
  <c r="D173" i="24"/>
  <c r="Y173" i="24"/>
  <c r="Y172" i="24"/>
  <c r="Y175" i="24" s="1"/>
  <c r="S172" i="24"/>
  <c r="S175" i="24" s="1"/>
  <c r="S173" i="24"/>
  <c r="N172" i="24"/>
  <c r="N175" i="24" s="1"/>
  <c r="N173" i="24"/>
  <c r="C173" i="24"/>
  <c r="C172" i="24"/>
  <c r="C175" i="24" s="1"/>
  <c r="W173" i="24"/>
  <c r="W172" i="24"/>
  <c r="W175" i="24" s="1"/>
  <c r="G173" i="24"/>
  <c r="G172" i="24"/>
  <c r="P173" i="24"/>
  <c r="G175" i="24"/>
  <c r="M173" i="24"/>
  <c r="M172" i="24"/>
  <c r="M175" i="24" s="1"/>
  <c r="R172" i="24"/>
  <c r="R175" i="24" s="1"/>
  <c r="R173" i="24"/>
  <c r="N5" i="19" l="1"/>
  <c r="M5" i="19"/>
  <c r="AC128" i="24"/>
  <c r="AE5" i="19" s="1"/>
  <c r="AB128" i="24"/>
  <c r="AB129" i="24" s="1"/>
  <c r="AA128" i="24"/>
  <c r="AA129" i="24" s="1"/>
  <c r="Z128" i="24"/>
  <c r="AB5" i="19" s="1"/>
  <c r="Y128" i="24"/>
  <c r="AA5" i="19" s="1"/>
  <c r="X128" i="24"/>
  <c r="Z5" i="19" s="1"/>
  <c r="W128" i="24"/>
  <c r="Y5" i="19" s="1"/>
  <c r="V128" i="24"/>
  <c r="X5" i="19" s="1"/>
  <c r="U128" i="24"/>
  <c r="U129" i="24" s="1"/>
  <c r="T128" i="24"/>
  <c r="T129" i="24" s="1"/>
  <c r="S128" i="24"/>
  <c r="S129" i="24" s="1"/>
  <c r="R128" i="24"/>
  <c r="R129" i="24" s="1"/>
  <c r="Q128" i="24"/>
  <c r="S5" i="19" s="1"/>
  <c r="P128" i="24"/>
  <c r="P129" i="24" s="1"/>
  <c r="O128" i="24"/>
  <c r="O129" i="24" s="1"/>
  <c r="N128" i="24"/>
  <c r="N129" i="24" s="1"/>
  <c r="M128" i="24"/>
  <c r="M129" i="24" s="1"/>
  <c r="L128" i="24"/>
  <c r="L129" i="24" s="1"/>
  <c r="K128" i="24"/>
  <c r="J128" i="24"/>
  <c r="L5" i="19" s="1"/>
  <c r="I128" i="24"/>
  <c r="K5" i="19" s="1"/>
  <c r="H128" i="24"/>
  <c r="J5" i="19" s="1"/>
  <c r="G128" i="24"/>
  <c r="I5" i="19" s="1"/>
  <c r="F128" i="24"/>
  <c r="H5" i="19" s="1"/>
  <c r="E128" i="24"/>
  <c r="G5" i="19" s="1"/>
  <c r="D128" i="24"/>
  <c r="F5" i="19" s="1"/>
  <c r="C128" i="24"/>
  <c r="E5" i="19" s="1"/>
  <c r="B128" i="24"/>
  <c r="D5" i="19" s="1"/>
  <c r="AE22" i="34"/>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33"/>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1"/>
  <c r="AD22" i="31"/>
  <c r="AC22" i="31"/>
  <c r="AB22" i="31"/>
  <c r="AA22" i="31"/>
  <c r="Z22" i="31"/>
  <c r="Y22" i="31"/>
  <c r="X22" i="31"/>
  <c r="W22" i="31"/>
  <c r="V22" i="31"/>
  <c r="U22" i="31"/>
  <c r="T22" i="31"/>
  <c r="S22" i="31"/>
  <c r="R22" i="31"/>
  <c r="Q22" i="31"/>
  <c r="P22" i="31"/>
  <c r="O22" i="31"/>
  <c r="N22" i="31"/>
  <c r="M22" i="31"/>
  <c r="L22" i="31"/>
  <c r="K22" i="31"/>
  <c r="J22" i="31"/>
  <c r="I22" i="31"/>
  <c r="H22" i="31"/>
  <c r="G22" i="31"/>
  <c r="F22" i="31"/>
  <c r="E22" i="31"/>
  <c r="D22" i="31"/>
  <c r="C22" i="31"/>
  <c r="B22" i="31"/>
  <c r="AE22" i="30"/>
  <c r="AD22" i="30"/>
  <c r="AC22" i="30"/>
  <c r="AB22" i="30"/>
  <c r="AA22" i="30"/>
  <c r="Z22" i="30"/>
  <c r="Y22" i="30"/>
  <c r="X22" i="30"/>
  <c r="W22" i="30"/>
  <c r="V22" i="30"/>
  <c r="U22" i="30"/>
  <c r="T22" i="30"/>
  <c r="S22" i="30"/>
  <c r="R22" i="30"/>
  <c r="Q22" i="30"/>
  <c r="P22" i="30"/>
  <c r="O22" i="30"/>
  <c r="N22" i="30"/>
  <c r="M22" i="30"/>
  <c r="L22" i="30"/>
  <c r="K22" i="30"/>
  <c r="J22" i="30"/>
  <c r="I22" i="30"/>
  <c r="H22" i="30"/>
  <c r="G22" i="30"/>
  <c r="F22" i="30"/>
  <c r="E22" i="30"/>
  <c r="D22" i="30"/>
  <c r="C22" i="30"/>
  <c r="B22" i="3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D58" i="35"/>
  <c r="D57" i="35"/>
  <c r="B53" i="35"/>
  <c r="B47" i="35"/>
  <c r="D7" i="35"/>
  <c r="C7" i="35"/>
  <c r="E28" i="35" s="1"/>
  <c r="B7" i="35"/>
  <c r="D6" i="35"/>
  <c r="C6" i="35"/>
  <c r="E27" i="35" s="1"/>
  <c r="B6" i="35"/>
  <c r="D27" i="35"/>
  <c r="AE59" i="35"/>
  <c r="AD59" i="35"/>
  <c r="AC59" i="35"/>
  <c r="AB59" i="35"/>
  <c r="AA59" i="35"/>
  <c r="Z59" i="35"/>
  <c r="Y59" i="35"/>
  <c r="X59" i="35"/>
  <c r="W59" i="35"/>
  <c r="V59" i="35"/>
  <c r="U59" i="35"/>
  <c r="T59" i="35"/>
  <c r="S59" i="35"/>
  <c r="R59" i="35"/>
  <c r="Q59" i="35"/>
  <c r="P59" i="35"/>
  <c r="O59" i="35"/>
  <c r="N59" i="35"/>
  <c r="AE58" i="35"/>
  <c r="AD58" i="35"/>
  <c r="AC58" i="35"/>
  <c r="AB58" i="35"/>
  <c r="AA58" i="35"/>
  <c r="Z58" i="35"/>
  <c r="Y58" i="35"/>
  <c r="X58" i="35"/>
  <c r="W58" i="35"/>
  <c r="V58" i="35"/>
  <c r="U58" i="35"/>
  <c r="T58" i="35"/>
  <c r="S58" i="35"/>
  <c r="R58" i="35"/>
  <c r="Q58" i="35"/>
  <c r="P58" i="35"/>
  <c r="O58" i="35"/>
  <c r="N58" i="35"/>
  <c r="AE57" i="35"/>
  <c r="AD57" i="35"/>
  <c r="AC57" i="35"/>
  <c r="AB57" i="35"/>
  <c r="AA57" i="35"/>
  <c r="Z57" i="35"/>
  <c r="Y57" i="35"/>
  <c r="X57" i="35"/>
  <c r="W57" i="35"/>
  <c r="V57" i="35"/>
  <c r="U57" i="35"/>
  <c r="T57" i="35"/>
  <c r="S57" i="35"/>
  <c r="R57" i="35"/>
  <c r="Q57" i="35"/>
  <c r="P57" i="35"/>
  <c r="O57" i="35"/>
  <c r="N57" i="35"/>
  <c r="B52" i="35"/>
  <c r="B46" i="35"/>
  <c r="F28" i="35"/>
  <c r="D28" i="35"/>
  <c r="F27"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D17" i="34"/>
  <c r="V17" i="34"/>
  <c r="N17" i="34"/>
  <c r="F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E17" i="34" s="1"/>
  <c r="AD3" i="34"/>
  <c r="AC3" i="34"/>
  <c r="AC17" i="34" s="1"/>
  <c r="AB3" i="34"/>
  <c r="AB17" i="34" s="1"/>
  <c r="AA3" i="34"/>
  <c r="AA17" i="34" s="1"/>
  <c r="Z3" i="34"/>
  <c r="Z17" i="34" s="1"/>
  <c r="Y3" i="34"/>
  <c r="Y17" i="34" s="1"/>
  <c r="X3" i="34"/>
  <c r="X17" i="34" s="1"/>
  <c r="W3" i="34"/>
  <c r="W17" i="34" s="1"/>
  <c r="V3" i="34"/>
  <c r="U3" i="34"/>
  <c r="U17" i="34" s="1"/>
  <c r="T3" i="34"/>
  <c r="T17" i="34" s="1"/>
  <c r="S3" i="34"/>
  <c r="S17" i="34" s="1"/>
  <c r="R3" i="34"/>
  <c r="R17" i="34" s="1"/>
  <c r="Q3" i="34"/>
  <c r="Q17" i="34" s="1"/>
  <c r="P3" i="34"/>
  <c r="P17" i="34" s="1"/>
  <c r="O3" i="34"/>
  <c r="O17" i="34" s="1"/>
  <c r="N3" i="34"/>
  <c r="M3" i="34"/>
  <c r="M17" i="34" s="1"/>
  <c r="L3" i="34"/>
  <c r="L17" i="34" s="1"/>
  <c r="K3" i="34"/>
  <c r="K17" i="34" s="1"/>
  <c r="J3" i="34"/>
  <c r="J17" i="34" s="1"/>
  <c r="I3" i="34"/>
  <c r="I17" i="34" s="1"/>
  <c r="H3" i="34"/>
  <c r="H17" i="34" s="1"/>
  <c r="G3" i="34"/>
  <c r="G17" i="34" s="1"/>
  <c r="F3" i="34"/>
  <c r="E3" i="34"/>
  <c r="E17" i="34" s="1"/>
  <c r="D3" i="34"/>
  <c r="D17" i="34" s="1"/>
  <c r="C3" i="34"/>
  <c r="C17" i="34" s="1"/>
  <c r="B3" i="34"/>
  <c r="B17" i="34" s="1"/>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X17" i="33"/>
  <c r="P17" i="33"/>
  <c r="H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E17" i="33" s="1"/>
  <c r="AD3" i="33"/>
  <c r="AD17" i="33" s="1"/>
  <c r="AC3" i="33"/>
  <c r="AC17" i="33" s="1"/>
  <c r="AB3" i="33"/>
  <c r="AB17" i="33" s="1"/>
  <c r="AA3" i="33"/>
  <c r="AA17" i="33" s="1"/>
  <c r="Z3" i="33"/>
  <c r="Z17" i="33" s="1"/>
  <c r="Y3" i="33"/>
  <c r="Y17" i="33" s="1"/>
  <c r="X3" i="33"/>
  <c r="W3" i="33"/>
  <c r="W17" i="33" s="1"/>
  <c r="V3" i="33"/>
  <c r="V17" i="33" s="1"/>
  <c r="U3" i="33"/>
  <c r="U17" i="33" s="1"/>
  <c r="T3" i="33"/>
  <c r="T17" i="33" s="1"/>
  <c r="S3" i="33"/>
  <c r="S17" i="33" s="1"/>
  <c r="R3" i="33"/>
  <c r="R17" i="33" s="1"/>
  <c r="Q3" i="33"/>
  <c r="Q17" i="33" s="1"/>
  <c r="P3" i="33"/>
  <c r="O3" i="33"/>
  <c r="O17" i="33" s="1"/>
  <c r="N3" i="33"/>
  <c r="N17" i="33" s="1"/>
  <c r="M3" i="33"/>
  <c r="M17" i="33" s="1"/>
  <c r="L3" i="33"/>
  <c r="L17" i="33" s="1"/>
  <c r="K3" i="33"/>
  <c r="K17" i="33" s="1"/>
  <c r="J3" i="33"/>
  <c r="J17" i="33" s="1"/>
  <c r="I3" i="33"/>
  <c r="I17" i="33" s="1"/>
  <c r="H3" i="33"/>
  <c r="G3" i="33"/>
  <c r="G17" i="33" s="1"/>
  <c r="F3" i="33"/>
  <c r="F17" i="33" s="1"/>
  <c r="E3" i="33"/>
  <c r="E17" i="33" s="1"/>
  <c r="D3" i="33"/>
  <c r="D17" i="33" s="1"/>
  <c r="C3" i="33"/>
  <c r="C17" i="33" s="1"/>
  <c r="B3" i="33"/>
  <c r="B17" i="33" s="1"/>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Z17" i="32"/>
  <c r="R17" i="32"/>
  <c r="J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E17" i="32" s="1"/>
  <c r="AD3" i="32"/>
  <c r="AD17" i="32" s="1"/>
  <c r="AC3" i="32"/>
  <c r="AC17" i="32" s="1"/>
  <c r="AB3" i="32"/>
  <c r="AB17" i="32" s="1"/>
  <c r="AA3" i="32"/>
  <c r="AA17" i="32" s="1"/>
  <c r="Z3" i="32"/>
  <c r="Y3" i="32"/>
  <c r="Y17" i="32" s="1"/>
  <c r="X3" i="32"/>
  <c r="X17" i="32" s="1"/>
  <c r="W3" i="32"/>
  <c r="W17" i="32" s="1"/>
  <c r="V3" i="32"/>
  <c r="V17" i="32" s="1"/>
  <c r="U3" i="32"/>
  <c r="U17" i="32" s="1"/>
  <c r="T3" i="32"/>
  <c r="T17" i="32" s="1"/>
  <c r="S3" i="32"/>
  <c r="S17" i="32" s="1"/>
  <c r="R3" i="32"/>
  <c r="Q3" i="32"/>
  <c r="Q17" i="32" s="1"/>
  <c r="P3" i="32"/>
  <c r="P17" i="32" s="1"/>
  <c r="O3" i="32"/>
  <c r="O17" i="32" s="1"/>
  <c r="N3" i="32"/>
  <c r="N17" i="32" s="1"/>
  <c r="M3" i="32"/>
  <c r="M17" i="32" s="1"/>
  <c r="L3" i="32"/>
  <c r="L17" i="32" s="1"/>
  <c r="K3" i="32"/>
  <c r="K17" i="32" s="1"/>
  <c r="J3" i="32"/>
  <c r="I3" i="32"/>
  <c r="I17" i="32" s="1"/>
  <c r="H3" i="32"/>
  <c r="H17" i="32" s="1"/>
  <c r="G3" i="32"/>
  <c r="G17" i="32" s="1"/>
  <c r="F3" i="32"/>
  <c r="F17" i="32" s="1"/>
  <c r="E3" i="32"/>
  <c r="E17" i="32" s="1"/>
  <c r="D3" i="32"/>
  <c r="D17" i="32" s="1"/>
  <c r="C3" i="32"/>
  <c r="C17" i="32" s="1"/>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D17" i="31"/>
  <c r="V17" i="31"/>
  <c r="N17" i="31"/>
  <c r="F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E17" i="31" s="1"/>
  <c r="AD3" i="31"/>
  <c r="AC3" i="31"/>
  <c r="AC17" i="31" s="1"/>
  <c r="AB3" i="31"/>
  <c r="AB17" i="31" s="1"/>
  <c r="AA3" i="31"/>
  <c r="AA17" i="31" s="1"/>
  <c r="Z3" i="31"/>
  <c r="Z17" i="31" s="1"/>
  <c r="Y3" i="31"/>
  <c r="Y17" i="31" s="1"/>
  <c r="X3" i="31"/>
  <c r="X17" i="31" s="1"/>
  <c r="W3" i="31"/>
  <c r="W17" i="31" s="1"/>
  <c r="V3" i="31"/>
  <c r="U3" i="31"/>
  <c r="U17" i="31" s="1"/>
  <c r="T3" i="31"/>
  <c r="T17" i="31" s="1"/>
  <c r="S3" i="31"/>
  <c r="S17" i="31" s="1"/>
  <c r="R3" i="31"/>
  <c r="R17" i="31" s="1"/>
  <c r="Q3" i="31"/>
  <c r="Q17" i="31" s="1"/>
  <c r="P3" i="31"/>
  <c r="P17" i="31" s="1"/>
  <c r="O3" i="31"/>
  <c r="O17" i="31" s="1"/>
  <c r="N3" i="31"/>
  <c r="M3" i="31"/>
  <c r="M17" i="31" s="1"/>
  <c r="L3" i="31"/>
  <c r="L17" i="31" s="1"/>
  <c r="K3" i="31"/>
  <c r="K17" i="31" s="1"/>
  <c r="J3" i="31"/>
  <c r="J17" i="31" s="1"/>
  <c r="I3" i="31"/>
  <c r="I17" i="31" s="1"/>
  <c r="H3" i="31"/>
  <c r="H17" i="31" s="1"/>
  <c r="G3" i="31"/>
  <c r="G17" i="31" s="1"/>
  <c r="F3" i="31"/>
  <c r="E3" i="31"/>
  <c r="E17" i="31" s="1"/>
  <c r="D3" i="31"/>
  <c r="D17" i="31" s="1"/>
  <c r="C3" i="31"/>
  <c r="C17" i="31" s="1"/>
  <c r="B3" i="31"/>
  <c r="B17" i="31" s="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B17" i="30"/>
  <c r="AA17" i="30"/>
  <c r="X17" i="30"/>
  <c r="W17" i="30"/>
  <c r="T17" i="30"/>
  <c r="S17" i="30"/>
  <c r="P17" i="30"/>
  <c r="O17" i="30"/>
  <c r="L17" i="30"/>
  <c r="K17" i="30"/>
  <c r="H17" i="30"/>
  <c r="G17" i="30"/>
  <c r="D17" i="30"/>
  <c r="C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D17" i="30" s="1"/>
  <c r="AC3" i="30"/>
  <c r="AC17" i="30" s="1"/>
  <c r="AB3" i="30"/>
  <c r="AA3" i="30"/>
  <c r="Z3" i="30"/>
  <c r="Z17" i="30" s="1"/>
  <c r="Y3" i="30"/>
  <c r="Y17" i="30" s="1"/>
  <c r="X3" i="30"/>
  <c r="W3" i="30"/>
  <c r="V3" i="30"/>
  <c r="V17" i="30" s="1"/>
  <c r="U3" i="30"/>
  <c r="U17" i="30" s="1"/>
  <c r="T3" i="30"/>
  <c r="S3" i="30"/>
  <c r="R3" i="30"/>
  <c r="R17" i="30" s="1"/>
  <c r="Q3" i="30"/>
  <c r="Q17" i="30" s="1"/>
  <c r="P3" i="30"/>
  <c r="O3" i="30"/>
  <c r="N3" i="30"/>
  <c r="N17" i="30" s="1"/>
  <c r="M3" i="30"/>
  <c r="M17" i="30" s="1"/>
  <c r="L3" i="30"/>
  <c r="K3" i="30"/>
  <c r="J3" i="30"/>
  <c r="J17" i="30" s="1"/>
  <c r="I3" i="30"/>
  <c r="I17" i="30" s="1"/>
  <c r="H3" i="30"/>
  <c r="G3" i="30"/>
  <c r="F3" i="30"/>
  <c r="F17" i="30" s="1"/>
  <c r="E3" i="30"/>
  <c r="E17" i="30" s="1"/>
  <c r="D3" i="30"/>
  <c r="C3" i="30"/>
  <c r="B3" i="30"/>
  <c r="B17" i="30" s="1"/>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S17" i="29"/>
  <c r="K17" i="29"/>
  <c r="C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R3" i="29"/>
  <c r="R17" i="29" s="1"/>
  <c r="Q3" i="29"/>
  <c r="Q17" i="29" s="1"/>
  <c r="P3" i="29"/>
  <c r="P17" i="29" s="1"/>
  <c r="O3" i="29"/>
  <c r="O17" i="29" s="1"/>
  <c r="N3" i="29"/>
  <c r="N17" i="29" s="1"/>
  <c r="M3" i="29"/>
  <c r="M17" i="29" s="1"/>
  <c r="L3" i="29"/>
  <c r="L17" i="29" s="1"/>
  <c r="K3" i="29"/>
  <c r="J3" i="29"/>
  <c r="J17" i="29" s="1"/>
  <c r="I3" i="29"/>
  <c r="I17" i="29" s="1"/>
  <c r="H3" i="29"/>
  <c r="H17" i="29" s="1"/>
  <c r="G3" i="29"/>
  <c r="G17" i="29" s="1"/>
  <c r="F3" i="29"/>
  <c r="F17" i="29" s="1"/>
  <c r="E3" i="29"/>
  <c r="E17" i="29" s="1"/>
  <c r="D3" i="29"/>
  <c r="D17" i="29" s="1"/>
  <c r="C3" i="29"/>
  <c r="B3" i="29"/>
  <c r="B17" i="29" s="1"/>
  <c r="W133" i="24"/>
  <c r="X133" i="24"/>
  <c r="Y133" i="24"/>
  <c r="Z133" i="24"/>
  <c r="AA133" i="24"/>
  <c r="AB133" i="24"/>
  <c r="AC133" i="24"/>
  <c r="AD133" i="24"/>
  <c r="V129" i="24"/>
  <c r="X129" i="24"/>
  <c r="Y129" i="24"/>
  <c r="Z129" i="24"/>
  <c r="AC129" i="24"/>
  <c r="V133" i="24"/>
  <c r="D133" i="24"/>
  <c r="E133" i="24"/>
  <c r="F133" i="24"/>
  <c r="G133" i="24"/>
  <c r="H133" i="24"/>
  <c r="I133" i="24"/>
  <c r="J133" i="24"/>
  <c r="K133" i="24"/>
  <c r="L133" i="24"/>
  <c r="M133" i="24"/>
  <c r="N133" i="24"/>
  <c r="O133" i="24"/>
  <c r="P133" i="24"/>
  <c r="Q133" i="24"/>
  <c r="R133" i="24"/>
  <c r="S133" i="24"/>
  <c r="T133" i="24"/>
  <c r="U133" i="24"/>
  <c r="C133" i="24"/>
  <c r="B244" i="24"/>
  <c r="B238" i="24"/>
  <c r="B155" i="24" l="1"/>
  <c r="B152" i="24"/>
  <c r="B149" i="24"/>
  <c r="T149" i="24"/>
  <c r="T155" i="24"/>
  <c r="T152" i="24"/>
  <c r="S152" i="24"/>
  <c r="S149" i="24"/>
  <c r="S155" i="24"/>
  <c r="W129" i="24"/>
  <c r="C155" i="24"/>
  <c r="C152" i="24"/>
  <c r="C149" i="24"/>
  <c r="O155" i="24"/>
  <c r="O152" i="24"/>
  <c r="O149" i="24"/>
  <c r="Z152" i="24"/>
  <c r="Z155" i="24"/>
  <c r="Z149" i="24"/>
  <c r="AA149" i="24"/>
  <c r="AA155" i="24"/>
  <c r="AA152" i="24"/>
  <c r="N155" i="24"/>
  <c r="N149" i="24"/>
  <c r="N152" i="24"/>
  <c r="L149" i="24"/>
  <c r="L155" i="24"/>
  <c r="L152" i="24"/>
  <c r="X149" i="24"/>
  <c r="X152" i="24"/>
  <c r="X155" i="24"/>
  <c r="P5" i="19"/>
  <c r="U149" i="24"/>
  <c r="U155" i="24"/>
  <c r="U152" i="24"/>
  <c r="AB149" i="24"/>
  <c r="AB152" i="24"/>
  <c r="AB155" i="24"/>
  <c r="Y155" i="24"/>
  <c r="Y149" i="24"/>
  <c r="Y152" i="24"/>
  <c r="K155" i="24"/>
  <c r="K149" i="24"/>
  <c r="K152" i="24"/>
  <c r="W152" i="24"/>
  <c r="W149" i="24"/>
  <c r="W155" i="24"/>
  <c r="J152" i="24"/>
  <c r="J155" i="24"/>
  <c r="J149" i="24"/>
  <c r="V152" i="24"/>
  <c r="V155" i="24"/>
  <c r="V149" i="24"/>
  <c r="I152" i="24"/>
  <c r="I155" i="24"/>
  <c r="I149" i="24"/>
  <c r="E155" i="24"/>
  <c r="E152" i="24"/>
  <c r="E149" i="24"/>
  <c r="AC152" i="24"/>
  <c r="AC149" i="24"/>
  <c r="AC155" i="24"/>
  <c r="P152" i="24"/>
  <c r="P155" i="24"/>
  <c r="P149" i="24"/>
  <c r="M155" i="24"/>
  <c r="M149" i="24"/>
  <c r="M152" i="24"/>
  <c r="H155" i="24"/>
  <c r="H149" i="24"/>
  <c r="H152" i="24"/>
  <c r="Q152" i="24"/>
  <c r="Q149" i="24"/>
  <c r="Q155" i="24"/>
  <c r="G149" i="24"/>
  <c r="G155" i="24"/>
  <c r="G152" i="24"/>
  <c r="D149" i="24"/>
  <c r="D155" i="24"/>
  <c r="D152" i="24"/>
  <c r="R152" i="24"/>
  <c r="R149" i="24"/>
  <c r="R155" i="24"/>
  <c r="F155" i="24"/>
  <c r="F152" i="24"/>
  <c r="F149" i="24"/>
  <c r="E129" i="24"/>
  <c r="O5" i="19"/>
  <c r="Q5" i="19"/>
  <c r="R5" i="19"/>
  <c r="W5" i="19"/>
  <c r="U5" i="19"/>
  <c r="AC5" i="19"/>
  <c r="V5" i="19"/>
  <c r="AD5" i="19"/>
  <c r="Q129" i="24"/>
  <c r="T5" i="19"/>
  <c r="K58" i="35"/>
  <c r="K59" i="35" s="1"/>
  <c r="G57" i="35"/>
  <c r="J58" i="35"/>
  <c r="J59" i="35" s="1"/>
  <c r="F57" i="35"/>
  <c r="I58" i="35"/>
  <c r="I59" i="35" s="1"/>
  <c r="M57" i="35"/>
  <c r="E57" i="35"/>
  <c r="F58" i="35"/>
  <c r="F59" i="35" s="1"/>
  <c r="J57" i="35"/>
  <c r="H58" i="35"/>
  <c r="H59" i="35" s="1"/>
  <c r="L57" i="35"/>
  <c r="G58" i="35"/>
  <c r="G59" i="35" s="1"/>
  <c r="K57" i="35"/>
  <c r="M58" i="35"/>
  <c r="M59" i="35" s="1"/>
  <c r="E58" i="35"/>
  <c r="E59" i="35" s="1"/>
  <c r="I57" i="35"/>
  <c r="L58" i="35"/>
  <c r="L59" i="35" s="1"/>
  <c r="D59" i="35"/>
  <c r="H57" i="35"/>
  <c r="K257" i="24"/>
  <c r="H257" i="24"/>
  <c r="G257" i="24"/>
  <c r="I257" i="24"/>
  <c r="D257" i="24"/>
  <c r="F257" i="24"/>
  <c r="E257" i="24"/>
  <c r="J257" i="24"/>
  <c r="M257" i="24"/>
  <c r="L257" i="24"/>
  <c r="B9" i="16" l="1"/>
  <c r="C8" i="16" l="1"/>
  <c r="B8" i="16"/>
  <c r="AE271" i="24"/>
  <c r="AF271" i="24"/>
  <c r="E271" i="24"/>
  <c r="F271" i="24"/>
  <c r="G271" i="24"/>
  <c r="H271" i="24"/>
  <c r="I271" i="24"/>
  <c r="J271" i="24"/>
  <c r="K271" i="24"/>
  <c r="L271" i="24"/>
  <c r="M271" i="24"/>
  <c r="N271" i="24"/>
  <c r="O271" i="24"/>
  <c r="P271" i="24"/>
  <c r="Q271" i="24"/>
  <c r="R271" i="24"/>
  <c r="S271" i="24"/>
  <c r="T271" i="24"/>
  <c r="U271" i="24"/>
  <c r="V271" i="24"/>
  <c r="W271" i="24"/>
  <c r="X271" i="24"/>
  <c r="Y271" i="24"/>
  <c r="Z271" i="24"/>
  <c r="AA271" i="24"/>
  <c r="AB271" i="24"/>
  <c r="AC271" i="24"/>
  <c r="AD271" i="24"/>
  <c r="B96" i="24"/>
  <c r="B43" i="24" l="1"/>
  <c r="A8" i="24"/>
  <c r="C15" i="16" l="1"/>
  <c r="B15" i="16"/>
  <c r="C11" i="16"/>
  <c r="B11" i="16"/>
  <c r="C9" i="16"/>
  <c r="C129" i="24"/>
  <c r="D129" i="24"/>
  <c r="F129" i="24"/>
  <c r="G129" i="24"/>
  <c r="H129" i="24"/>
  <c r="I129" i="24"/>
  <c r="J129" i="24"/>
  <c r="K129" i="24"/>
  <c r="B129" i="24"/>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Y11" i="16" l="1"/>
  <c r="C5" i="19"/>
  <c r="B5" i="19"/>
  <c r="Y15" i="16"/>
  <c r="X15" i="16"/>
  <c r="W15" i="16"/>
  <c r="V15" i="16"/>
  <c r="U15" i="16"/>
  <c r="T15" i="16"/>
  <c r="S15" i="16"/>
  <c r="R15" i="16"/>
  <c r="Q15" i="16"/>
  <c r="P15" i="16"/>
  <c r="O15" i="16"/>
  <c r="N15" i="16"/>
  <c r="M15" i="16"/>
  <c r="L15" i="16"/>
  <c r="K15" i="16"/>
  <c r="J15" i="16"/>
  <c r="I15" i="16"/>
  <c r="H15" i="16"/>
  <c r="G15" i="16"/>
  <c r="F15" i="16"/>
  <c r="X11" i="16"/>
  <c r="W11" i="16"/>
  <c r="V11" i="16"/>
  <c r="U11" i="16"/>
  <c r="T11" i="16"/>
  <c r="S11" i="16"/>
  <c r="R11" i="16"/>
  <c r="Q11" i="16"/>
  <c r="P11" i="16"/>
  <c r="O11" i="16"/>
  <c r="N11" i="16"/>
  <c r="M11" i="16"/>
  <c r="L11" i="16"/>
  <c r="K11" i="16"/>
  <c r="J11" i="16"/>
  <c r="I11" i="16"/>
  <c r="H11" i="16"/>
  <c r="G11" i="16"/>
  <c r="Y9" i="16"/>
  <c r="X9" i="16"/>
  <c r="W9" i="16"/>
  <c r="V9" i="16"/>
  <c r="U9" i="16"/>
  <c r="T9" i="16"/>
  <c r="S9" i="16"/>
  <c r="R9" i="16"/>
  <c r="Q9" i="16"/>
  <c r="P9" i="16"/>
  <c r="O9" i="16"/>
  <c r="N9" i="16"/>
  <c r="M9" i="16"/>
  <c r="L9" i="16"/>
  <c r="K9" i="16"/>
  <c r="J9" i="16"/>
  <c r="I9" i="16"/>
  <c r="H9" i="16"/>
  <c r="G9" i="16"/>
  <c r="F9" i="16"/>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F11" i="16"/>
  <c r="AG14" i="14"/>
  <c r="AC14" i="14"/>
  <c r="V14" i="14"/>
  <c r="AD14" i="14"/>
  <c r="W14" i="14"/>
  <c r="AE14" i="14"/>
  <c r="X14" i="14"/>
  <c r="AF14" i="14"/>
  <c r="Y14" i="14"/>
  <c r="Z14" i="14"/>
  <c r="AA14" i="14"/>
  <c r="AB14" i="14"/>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F118" i="24"/>
  <c r="N118" i="24"/>
  <c r="G118" i="24"/>
  <c r="O118" i="24"/>
  <c r="E111" i="24"/>
  <c r="E112" i="24" s="1"/>
  <c r="K118" i="24"/>
  <c r="H118" i="24"/>
  <c r="P118" i="24"/>
  <c r="F111" i="24"/>
  <c r="F112" i="24" s="1"/>
  <c r="D118" i="24"/>
  <c r="G111" i="24"/>
  <c r="G112" i="24" s="1"/>
  <c r="J126" i="24"/>
  <c r="I118" i="24"/>
  <c r="Q118" i="24"/>
  <c r="J118" i="24"/>
  <c r="L118" i="24"/>
  <c r="E118" i="24"/>
  <c r="M118" i="24"/>
  <c r="B70" i="24"/>
  <c r="B67" i="24"/>
  <c r="H76" i="24" s="1"/>
  <c r="R76" i="24" s="1"/>
  <c r="R77" i="24" s="1"/>
  <c r="Q146" i="24" s="1"/>
  <c r="K14" i="14"/>
  <c r="S14" i="14"/>
  <c r="Q14" i="14"/>
  <c r="R14" i="14"/>
  <c r="L14" i="14"/>
  <c r="M14" i="14"/>
  <c r="U14" i="14"/>
  <c r="J14" i="14"/>
  <c r="N14" i="14"/>
  <c r="P14" i="14"/>
  <c r="T14" i="14"/>
  <c r="O14" i="14"/>
  <c r="H14" i="14"/>
  <c r="I14" i="14"/>
  <c r="R118" i="24"/>
  <c r="E9" i="16"/>
  <c r="B76" i="24"/>
  <c r="B77" i="24" s="1"/>
  <c r="E15" i="16"/>
  <c r="V118" i="24"/>
  <c r="U118" i="24"/>
  <c r="W118" i="24"/>
  <c r="X118" i="24"/>
  <c r="Y118" i="24"/>
  <c r="S118" i="24"/>
  <c r="T118"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O18" i="19" s="1"/>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Z9" i="16"/>
  <c r="Z11" i="16"/>
  <c r="Z15" i="16"/>
  <c r="F7" i="19"/>
  <c r="C70" i="24"/>
  <c r="H70" i="24"/>
  <c r="K7" i="19"/>
  <c r="D11" i="16"/>
  <c r="E11" i="16"/>
  <c r="X7" i="19"/>
  <c r="T7" i="19"/>
  <c r="N7" i="19"/>
  <c r="Y7" i="19"/>
  <c r="O7" i="19"/>
  <c r="S115" i="24"/>
  <c r="X76" i="24"/>
  <c r="X77" i="24" s="1"/>
  <c r="W146" i="24" s="1"/>
  <c r="W76" i="24"/>
  <c r="W77" i="24" s="1"/>
  <c r="V146" i="24" s="1"/>
  <c r="Y76" i="24"/>
  <c r="Y77" i="24" s="1"/>
  <c r="X146" i="24" s="1"/>
  <c r="L76" i="24"/>
  <c r="L77" i="24" s="1"/>
  <c r="Z76" i="24"/>
  <c r="Z77" i="24" s="1"/>
  <c r="Y146" i="24" s="1"/>
  <c r="V76" i="24"/>
  <c r="V77" i="24" s="1"/>
  <c r="U146" i="24" s="1"/>
  <c r="O76" i="24"/>
  <c r="O77" i="24" s="1"/>
  <c r="N146" i="24" s="1"/>
  <c r="D9" i="16"/>
  <c r="C76" i="24"/>
  <c r="C77" i="24" s="1"/>
  <c r="B146" i="24" s="1"/>
  <c r="D8" i="16" s="1"/>
  <c r="T76" i="24"/>
  <c r="T77" i="24" s="1"/>
  <c r="S146" i="24" s="1"/>
  <c r="AD76" i="24"/>
  <c r="AD77" i="24" s="1"/>
  <c r="AC146" i="24" s="1"/>
  <c r="I76" i="24"/>
  <c r="I77" i="24" s="1"/>
  <c r="H146" i="24" s="1"/>
  <c r="U76" i="24"/>
  <c r="U77" i="24" s="1"/>
  <c r="T146" i="24" s="1"/>
  <c r="Q76" i="24"/>
  <c r="Q77" i="24" s="1"/>
  <c r="AB76" i="24"/>
  <c r="AB77" i="24" s="1"/>
  <c r="AA146" i="24" s="1"/>
  <c r="J76" i="24"/>
  <c r="J77" i="24" s="1"/>
  <c r="M76" i="24"/>
  <c r="M77" i="24" s="1"/>
  <c r="L146" i="24" s="1"/>
  <c r="K76" i="24"/>
  <c r="K77" i="24" s="1"/>
  <c r="AC76" i="24"/>
  <c r="AC77" i="24" s="1"/>
  <c r="AB146" i="24" s="1"/>
  <c r="H77" i="24"/>
  <c r="S76" i="24"/>
  <c r="S77" i="24" s="1"/>
  <c r="R146" i="24" s="1"/>
  <c r="N76" i="24"/>
  <c r="N77" i="24" s="1"/>
  <c r="M146" i="24" s="1"/>
  <c r="P76" i="24"/>
  <c r="P77" i="24" s="1"/>
  <c r="AA76" i="24"/>
  <c r="AA77" i="24" s="1"/>
  <c r="Z146" i="24" s="1"/>
  <c r="R7" i="19"/>
  <c r="V7" i="19"/>
  <c r="AA7" i="19"/>
  <c r="I7" i="19"/>
  <c r="W7" i="19"/>
  <c r="P7" i="19"/>
  <c r="U7" i="19"/>
  <c r="M7" i="19"/>
  <c r="Z7" i="19"/>
  <c r="H7" i="19"/>
  <c r="J7" i="19"/>
  <c r="D15" i="16"/>
  <c r="L7" i="19"/>
  <c r="S7" i="19"/>
  <c r="Q7" i="19"/>
  <c r="C125" i="24"/>
  <c r="C118" i="24"/>
  <c r="D46" i="14"/>
  <c r="I115" i="24" l="1"/>
  <c r="G146" i="24"/>
  <c r="K115" i="24"/>
  <c r="I146" i="24"/>
  <c r="M115" i="24"/>
  <c r="K146" i="24"/>
  <c r="R115" i="24"/>
  <c r="P146" i="24"/>
  <c r="L115" i="24"/>
  <c r="J146" i="24"/>
  <c r="Q115" i="24"/>
  <c r="O146" i="24"/>
  <c r="C123" i="24"/>
  <c r="C119" i="24"/>
  <c r="C120" i="24"/>
  <c r="C126" i="24"/>
  <c r="E18" i="19" s="1"/>
  <c r="B111" i="24"/>
  <c r="B112" i="24" s="1"/>
  <c r="C112" i="24"/>
  <c r="E7" i="19" s="1"/>
  <c r="AA9" i="16"/>
  <c r="AA11" i="16"/>
  <c r="AA15" i="16"/>
  <c r="Z118" i="24"/>
  <c r="Z120" i="24" s="1"/>
  <c r="Z126" i="24"/>
  <c r="Z123" i="24"/>
  <c r="Z111" i="24"/>
  <c r="T115" i="24"/>
  <c r="V115" i="24"/>
  <c r="W115" i="24"/>
  <c r="X115" i="24"/>
  <c r="Y115" i="24"/>
  <c r="Z115" i="24"/>
  <c r="U115" i="24"/>
  <c r="D115" i="24"/>
  <c r="N115" i="24"/>
  <c r="O115" i="24"/>
  <c r="P115" i="24"/>
  <c r="J115" i="24"/>
  <c r="G14" i="14"/>
  <c r="F14" i="14"/>
  <c r="D76" i="24"/>
  <c r="D77" i="24" s="1"/>
  <c r="B118" i="24"/>
  <c r="B125" i="24"/>
  <c r="A30" i="17"/>
  <c r="E115" i="24" l="1"/>
  <c r="C146" i="24"/>
  <c r="E8" i="16" s="1"/>
  <c r="B126" i="24"/>
  <c r="B123" i="24"/>
  <c r="B120" i="24"/>
  <c r="B119" i="24"/>
  <c r="Z112" i="24"/>
  <c r="AB7" i="19" s="1"/>
  <c r="AB18" i="19"/>
  <c r="Z119" i="24"/>
  <c r="AB9" i="16"/>
  <c r="AB15" i="16"/>
  <c r="AB11" i="16"/>
  <c r="AA123" i="24"/>
  <c r="AA118" i="24"/>
  <c r="AA120" i="24" s="1"/>
  <c r="AA126" i="24"/>
  <c r="AA111" i="24"/>
  <c r="AA115" i="24"/>
  <c r="E76" i="24"/>
  <c r="F76" i="24" s="1"/>
  <c r="C115" i="24"/>
  <c r="D7" i="19"/>
  <c r="D18" i="19"/>
  <c r="D14" i="14"/>
  <c r="G11" i="12"/>
  <c r="H11" i="12"/>
  <c r="I11" i="12"/>
  <c r="F11" i="12"/>
  <c r="N10" i="12"/>
  <c r="M10" i="12"/>
  <c r="L10" i="12"/>
  <c r="AA112" i="24" l="1"/>
  <c r="AC7" i="19" s="1"/>
  <c r="AA119" i="24"/>
  <c r="AC18" i="19"/>
  <c r="AC15" i="16"/>
  <c r="AC9" i="16"/>
  <c r="AC11" i="16"/>
  <c r="AB111" i="24"/>
  <c r="AB118" i="24"/>
  <c r="AB120" i="24" s="1"/>
  <c r="AB126" i="24"/>
  <c r="AB123" i="24"/>
  <c r="AB115" i="24"/>
  <c r="E77" i="24"/>
  <c r="B115" i="24"/>
  <c r="F77" i="24"/>
  <c r="G76" i="24"/>
  <c r="G77" i="24" s="1"/>
  <c r="M11" i="12"/>
  <c r="L11" i="12"/>
  <c r="H115" i="24" l="1"/>
  <c r="F146" i="24"/>
  <c r="G115" i="24"/>
  <c r="E146" i="24"/>
  <c r="F115" i="24"/>
  <c r="D146" i="24"/>
  <c r="F8" i="16" s="1"/>
  <c r="AB112" i="24"/>
  <c r="AD7" i="19" s="1"/>
  <c r="AD18" i="19"/>
  <c r="AB119" i="24"/>
  <c r="AD15" i="16"/>
  <c r="AD11" i="16"/>
  <c r="AD9" i="16"/>
  <c r="AC123" i="24"/>
  <c r="AC118" i="24"/>
  <c r="AC120" i="24" s="1"/>
  <c r="AC126" i="24"/>
  <c r="AC111" i="24"/>
  <c r="AC115" i="24"/>
  <c r="B16" i="16"/>
  <c r="B17" i="16"/>
  <c r="AC112" i="24" l="1"/>
  <c r="AE7" i="19" s="1"/>
  <c r="AC119" i="24"/>
  <c r="AE18" i="19"/>
  <c r="AE15" i="16"/>
  <c r="AE11" i="16"/>
  <c r="AE9" i="16"/>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<sst xmlns="http://schemas.openxmlformats.org/spreadsheetml/2006/main" count="3663" uniqueCount="1103">
  <si>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</si>
  <si>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</si>
  <si>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</si>
  <si>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</si>
  <si>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</si>
  <si>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</si>
  <si>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</si>
  <si>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</si>
  <si>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</si>
  <si>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</si>
  <si>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</si>
  <si>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</si>
  <si>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</si>
  <si>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</si>
  <si>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</si>
  <si>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</si>
  <si>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</si>
  <si>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</si>
  <si>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</si>
  <si>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</si>
  <si>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</si>
  <si>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</si>
  <si>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</si>
  <si>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</si>
  <si>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</si>
  <si>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</si>
  <si>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</si>
  <si>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</si>
  <si>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</si>
  <si>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</si>
  <si>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</si>
  <si>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</si>
  <si>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</si>
  <si>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</si>
  <si>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</si>
  <si>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</si>
  <si>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</si>
  <si>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</si>
  <si>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</si>
  <si>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</si>
  <si>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</si>
  <si>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</si>
  <si>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</si>
  <si>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</si>
  <si>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</si>
  <si>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</si>
  <si>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</si>
  <si>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</si>
  <si>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</si>
  <si>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</si>
  <si>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</si>
  <si>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</si>
  <si>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</si>
  <si>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</si>
  <si>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</si>
  <si>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</si>
  <si>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</si>
  <si>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</si>
  <si>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</si>
  <si>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</si>
  <si>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</si>
  <si>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</si>
  <si>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</si>
  <si>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</si>
  <si>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</si>
  <si>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</si>
  <si>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</si>
  <si>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</si>
  <si>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</si>
  <si>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</si>
  <si>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</si>
  <si>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</si>
  <si>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</si>
  <si>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</si>
  <si>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</si>
  <si>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</si>
  <si>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</si>
  <si>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</si>
  <si>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</si>
  <si>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</si>
  <si>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</si>
  <si>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</si>
  <si>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</si>
  <si>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</si>
  <si>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</si>
  <si>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</si>
  <si>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</si>
  <si>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</si>
  <si>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</si>
  <si>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</si>
  <si>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</si>
  <si>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</si>
  <si>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</si>
  <si>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</si>
  <si>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</si>
  <si>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</si>
  <si>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</si>
  <si>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</si>
  <si>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</si>
  <si>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</si>
  <si>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</si>
  <si>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</si>
  <si>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</si>
  <si>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</si>
  <si>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</si>
  <si>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</si>
  <si>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</si>
  <si>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</si>
  <si>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</si>
  <si>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</si>
  <si>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</si>
  <si>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</si>
  <si>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</si>
  <si>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</si>
  <si>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</si>
  <si>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</si>
  <si>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</si>
  <si>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</si>
  <si>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</si>
  <si>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</si>
  <si>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</si>
  <si>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</si>
  <si>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</si>
  <si>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</si>
  <si>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</si>
  <si>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</si>
  <si>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</si>
  <si>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</si>
  <si>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</si>
  <si>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</si>
  <si>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</si>
  <si>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</si>
  <si>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</si>
  <si>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</si>
  <si>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</si>
  <si>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</si>
  <si>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</si>
  <si>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</si>
  <si>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</si>
  <si>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</si>
  <si>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</si>
  <si>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</si>
  <si>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</si>
  <si>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</si>
  <si>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</si>
  <si>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</si>
  <si>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</si>
  <si>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</si>
  <si>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</si>
  <si>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</si>
  <si>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</si>
  <si>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</si>
  <si>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</si>
  <si>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</si>
  <si>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</si>
  <si>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</si>
  <si>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</si>
  <si>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</si>
  <si>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</si>
  <si>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</si>
  <si>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</si>
  <si>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</si>
  <si>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</si>
  <si>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</si>
  <si>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</si>
  <si>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</si>
  <si>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</si>
  <si>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</si>
  <si>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</si>
  <si>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</si>
  <si>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</si>
  <si>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</si>
  <si>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</si>
  <si>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</si>
  <si>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</si>
  <si>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</si>
  <si>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</si>
  <si>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</si>
  <si>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</si>
  <si>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</si>
  <si>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</si>
  <si>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</si>
  <si>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</si>
  <si>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</si>
  <si>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</si>
  <si>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</si>
  <si>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</si>
  <si>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</si>
  <si>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</si>
  <si>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</si>
  <si>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</si>
  <si>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</si>
  <si>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</si>
  <si>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</si>
  <si>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</si>
  <si>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</si>
  <si>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</si>
  <si>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</si>
  <si>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</si>
  <si>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</si>
  <si>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</si>
  <si>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</si>
  <si>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</si>
  <si>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</si>
  <si>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</si>
  <si>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</si>
  <si>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</si>
  <si>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</si>
  <si>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</si>
  <si>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</si>
  <si>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</si>
  <si>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</si>
  <si>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</si>
  <si>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</si>
  <si>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</si>
  <si>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</si>
  <si>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</si>
  <si>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</si>
  <si>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</si>
  <si>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</si>
  <si>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</si>
  <si>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</si>
  <si>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</si>
  <si>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</si>
  <si>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</si>
  <si>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</si>
  <si>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</si>
  <si>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</si>
  <si>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</si>
  <si>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</si>
  <si>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</si>
  <si>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</si>
  <si>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</si>
  <si>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</si>
  <si>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</si>
  <si>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</si>
  <si>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</si>
  <si>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</si>
  <si>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</si>
  <si>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</si>
  <si>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</si>
  <si>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</si>
  <si>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</si>
  <si>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</si>
  <si>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</si>
  <si>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</si>
  <si>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</si>
  <si>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</si>
  <si>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</si>
  <si>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</si>
  <si>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</si>
  <si>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</si>
  <si>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</si>
  <si>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</si>
  <si>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</si>
  <si>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</si>
  <si>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</si>
  <si>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</si>
  <si>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</si>
  <si>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</si>
  <si>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</si>
  <si>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</si>
  <si>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</si>
  <si>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</si>
  <si>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</si>
  <si>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</si>
  <si>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</si>
  <si>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</si>
  <si>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</si>
  <si>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</si>
  <si>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</si>
  <si>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</si>
  <si>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</si>
  <si>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</si>
  <si>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</si>
  <si>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</si>
  <si>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</si>
  <si>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</si>
  <si>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</si>
  <si>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</si>
  <si>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</si>
  <si>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</si>
  <si>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</si>
  <si>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</si>
  <si>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</si>
  <si>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</si>
  <si>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</si>
  <si>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</si>
  <si>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</si>
  <si>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</si>
  <si>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</si>
  <si>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</si>
  <si>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</si>
  <si>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</si>
  <si>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</si>
  <si>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</si>
  <si>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</si>
  <si>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</si>
  <si>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</si>
  <si>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</si>
  <si>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</si>
  <si>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</si>
  <si>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</si>
  <si>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</si>
  <si>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</si>
  <si>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</si>
  <si>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</si>
  <si>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</si>
  <si>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</si>
  <si>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</si>
  <si>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</si>
  <si>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</si>
  <si>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</si>
  <si>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</si>
  <si>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</si>
  <si>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</si>
  <si>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</si>
  <si>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</si>
  <si>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</si>
  <si>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</si>
  <si>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</si>
  <si>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</si>
  <si>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</si>
  <si>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</si>
  <si>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</si>
  <si>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</si>
  <si>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</si>
  <si>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</si>
  <si>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</si>
  <si>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</si>
  <si>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</si>
  <si>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</si>
  <si>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</si>
  <si>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</si>
  <si>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</si>
  <si>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</si>
  <si>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</si>
  <si>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</si>
  <si>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</si>
  <si>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</si>
  <si>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</si>
  <si>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</si>
  <si>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</si>
  <si>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</si>
  <si>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</si>
  <si>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</si>
  <si>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</si>
  <si>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</si>
  <si>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</si>
  <si>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</si>
  <si>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</si>
  <si>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</si>
  <si>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</si>
  <si>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</si>
  <si>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</si>
  <si>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</si>
  <si>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</si>
  <si>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</si>
  <si>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</si>
  <si>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</si>
  <si>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</si>
  <si>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</si>
  <si>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</si>
  <si>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</si>
  <si>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</si>
  <si>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</si>
  <si>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</si>
  <si>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</si>
  <si>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</si>
  <si>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</si>
  <si>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</si>
  <si>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</si>
  <si>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</si>
  <si>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</si>
  <si>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</si>
  <si>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</si>
  <si>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</si>
  <si>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</si>
  <si>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</si>
  <si>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</si>
  <si>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</si>
  <si>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</si>
  <si>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</si>
  <si>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</si>
  <si>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</si>
  <si>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</si>
  <si>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</si>
  <si>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</si>
  <si>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</si>
  <si>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</si>
  <si>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</si>
  <si>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</si>
  <si>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</si>
  <si>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</si>
  <si>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</si>
  <si>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</si>
  <si>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</si>
  <si>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</si>
  <si>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</si>
  <si>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</si>
  <si>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</si>
  <si>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</si>
  <si>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</si>
  <si>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</si>
  <si>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</si>
  <si>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</si>
  <si>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</si>
  <si>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</si>
  <si>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</si>
  <si>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</si>
  <si>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</si>
  <si>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</si>
  <si>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</si>
  <si>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</si>
  <si>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</si>
  <si>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</si>
  <si>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</si>
  <si>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</si>
  <si>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</si>
  <si>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</si>
  <si>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</si>
  <si>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</si>
  <si>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</si>
  <si>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</si>
  <si>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</si>
  <si>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</si>
  <si>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</si>
  <si>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</si>
  <si>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</si>
  <si>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</si>
  <si>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</si>
  <si>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</si>
  <si>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</si>
  <si>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</si>
  <si>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</si>
  <si>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</si>
  <si>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</si>
  <si>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</si>
  <si>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</si>
  <si>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</si>
  <si>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</si>
  <si>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</si>
  <si>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</si>
  <si>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</si>
  <si>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</si>
  <si>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</si>
  <si>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</si>
  <si>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</si>
  <si>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</si>
  <si>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</si>
  <si>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</si>
  <si>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</si>
  <si>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</si>
  <si>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</si>
  <si>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</si>
  <si>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</si>
  <si>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</si>
  <si>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</si>
  <si>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</si>
  <si>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</si>
  <si>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</si>
  <si>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</si>
  <si>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</si>
  <si>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</si>
  <si>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</si>
  <si>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</si>
  <si>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</si>
  <si>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</si>
  <si>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</si>
  <si>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</si>
  <si>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</si>
  <si>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</si>
  <si>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</si>
  <si>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</si>
  <si>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</si>
  <si>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</si>
  <si>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</si>
  <si>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</si>
  <si>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</si>
  <si>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</si>
  <si>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</si>
  <si>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</si>
  <si>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</si>
  <si>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</si>
  <si>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</si>
  <si>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</si>
  <si>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</si>
  <si>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</si>
  <si>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</si>
  <si>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</si>
  <si>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</si>
  <si>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</si>
  <si>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</si>
  <si>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</si>
  <si>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</si>
  <si>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</si>
  <si>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</si>
  <si>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</si>
  <si>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</si>
  <si>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</si>
  <si>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</si>
  <si>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</si>
  <si>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</si>
  <si>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</si>
  <si>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</si>
  <si>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</si>
  <si>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</si>
  <si>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</si>
  <si>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</si>
  <si>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</si>
  <si>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</si>
  <si>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</si>
  <si>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</si>
  <si>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</si>
  <si>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</si>
  <si>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</si>
  <si>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</si>
  <si>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</si>
  <si>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</si>
  <si>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</si>
  <si>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</si>
  <si>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</si>
  <si>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</si>
  <si>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</si>
  <si>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</si>
  <si>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</si>
  <si>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</si>
  <si>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</si>
  <si>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</si>
  <si>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</si>
  <si>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</si>
  <si>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</si>
  <si>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</si>
  <si>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</si>
  <si>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</si>
  <si>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</si>
  <si>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</si>
  <si>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</si>
  <si>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</si>
  <si>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</si>
  <si>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</si>
  <si>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</si>
  <si>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</si>
  <si>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</si>
  <si>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</si>
  <si>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</si>
  <si>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</si>
  <si>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</si>
  <si>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</si>
  <si>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</si>
  <si>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</si>
  <si>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</si>
  <si>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</si>
  <si>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</si>
  <si>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</si>
  <si>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</si>
  <si>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</si>
  <si>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</si>
  <si>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</si>
  <si>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</si>
  <si>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</si>
  <si>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</si>
  <si>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</si>
  <si>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</si>
  <si>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</si>
  <si>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</si>
  <si>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</si>
  <si>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</si>
  <si>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</si>
  <si>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</si>
  <si>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</si>
  <si>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</si>
  <si>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</si>
  <si>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</si>
  <si>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</si>
  <si>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</si>
  <si>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</si>
  <si>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</si>
  <si>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</si>
  <si>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</si>
  <si>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</si>
  <si>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</si>
  <si>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</si>
  <si>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</si>
  <si>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</si>
  <si>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</si>
  <si>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</si>
  <si>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</si>
  <si>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</si>
  <si>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</si>
  <si>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</si>
  <si>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</si>
  <si>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</si>
  <si>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</si>
  <si>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</si>
  <si>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</si>
  <si>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</si>
  <si>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</si>
  <si>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</si>
  <si>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</si>
  <si>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</si>
  <si>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</si>
  <si>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</si>
  <si>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</si>
  <si>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</si>
  <si>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</si>
  <si>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</si>
  <si>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</si>
  <si>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</si>
  <si>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</si>
  <si>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</si>
  <si>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</si>
  <si>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</si>
  <si>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</si>
  <si>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</si>
  <si>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</si>
  <si>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</si>
  <si>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</si>
  <si>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</si>
  <si>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</si>
  <si>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</si>
  <si>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</si>
  <si>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</si>
  <si>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</si>
  <si>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</si>
  <si>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</si>
  <si>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</si>
  <si>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</si>
  <si>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</si>
  <si>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</si>
  <si>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</si>
  <si>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</si>
  <si>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</si>
  <si>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</si>
  <si>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</si>
  <si>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</si>
  <si>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</si>
  <si>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</si>
  <si>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</si>
  <si>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</si>
  <si>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</si>
  <si>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</si>
  <si>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</si>
  <si>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</si>
  <si>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</si>
  <si>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</si>
  <si>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</si>
  <si>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</si>
  <si>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</si>
  <si>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</si>
  <si>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</si>
  <si>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</si>
  <si>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</si>
  <si>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</si>
  <si>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</si>
  <si>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</si>
  <si>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</si>
  <si>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</si>
  <si>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</si>
  <si>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</si>
  <si>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</si>
  <si>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</si>
  <si>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</si>
  <si>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</si>
  <si>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</si>
  <si>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</si>
  <si>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</si>
  <si>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</si>
  <si>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</si>
  <si>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</si>
  <si>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</si>
  <si>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</si>
  <si>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</si>
  <si>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</si>
  <si>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</si>
  <si>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</si>
  <si>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</si>
  <si>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</si>
  <si>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</si>
  <si>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</si>
  <si>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</si>
  <si>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</si>
  <si>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</si>
  <si>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</si>
  <si>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</si>
  <si>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</si>
  <si>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</si>
  <si>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</si>
  <si>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</si>
  <si>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</si>
  <si>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</si>
  <si>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</si>
  <si>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</si>
  <si>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</si>
  <si>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</si>
  <si>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</si>
  <si>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</si>
  <si>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</si>
  <si>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</si>
  <si>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</si>
  <si>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</si>
  <si>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</si>
  <si>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</si>
  <si>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</si>
  <si>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</si>
  <si>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</si>
  <si>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</si>
  <si>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</si>
  <si>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</si>
  <si>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</si>
  <si>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</si>
  <si>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</si>
  <si>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</si>
  <si>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</si>
  <si>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</si>
  <si>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</si>
  <si>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</si>
  <si>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</si>
  <si>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</si>
  <si>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</si>
  <si>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</si>
  <si>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</si>
  <si>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</si>
  <si>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</si>
  <si>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</si>
  <si>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</si>
  <si>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</si>
  <si>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</si>
  <si>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</si>
  <si>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</si>
  <si>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</si>
  <si>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</si>
  <si>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</si>
  <si>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</si>
  <si>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</si>
  <si>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</si>
  <si>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</si>
  <si>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</si>
  <si>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</si>
  <si>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</si>
  <si>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</si>
  <si>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</si>
  <si>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</si>
  <si>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</si>
  <si>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</si>
  <si>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</si>
  <si>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</si>
  <si>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</si>
  <si>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</si>
  <si>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</si>
  <si>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</si>
  <si>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</si>
  <si>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</si>
  <si>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</si>
  <si>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</si>
  <si>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</si>
  <si>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</si>
  <si>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</si>
  <si>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</si>
  <si>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</si>
  <si>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</si>
  <si>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</si>
  <si>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</si>
  <si>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</si>
  <si>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</si>
  <si>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</si>
  <si>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</si>
  <si>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</si>
  <si>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</si>
  <si>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</si>
  <si>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</si>
  <si>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</si>
  <si>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</si>
  <si>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</si>
  <si>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</si>
  <si>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</si>
  <si>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</si>
  <si>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</si>
  <si>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</si>
  <si>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</si>
  <si>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</si>
  <si>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</si>
  <si>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</si>
  <si>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</si>
  <si>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</si>
  <si>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</si>
  <si>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</si>
  <si>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</si>
  <si>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</si>
  <si>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</si>
  <si>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</si>
  <si>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</si>
  <si>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</si>
  <si>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</si>
  <si>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</si>
  <si>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</si>
  <si>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</si>
  <si>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</si>
  <si>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</si>
  <si>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</si>
  <si>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</si>
  <si>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</si>
  <si>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</si>
  <si>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</si>
  <si>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</si>
  <si>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</si>
  <si>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</si>
  <si>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</si>
  <si>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</si>
  <si>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</si>
  <si>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</si>
  <si>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</si>
  <si>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</si>
  <si>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</si>
  <si>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</si>
  <si>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</si>
  <si>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</si>
  <si>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</si>
  <si>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</si>
  <si>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</si>
  <si>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</si>
  <si>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</si>
  <si>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</si>
  <si>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</si>
  <si>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</si>
  <si>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</si>
  <si>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</si>
  <si>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</si>
  <si>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</si>
  <si>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</si>
  <si>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</si>
  <si>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</si>
  <si>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</si>
  <si>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</si>
  <si>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</si>
  <si>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</si>
  <si>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</si>
  <si>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</si>
  <si>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</si>
  <si>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</si>
  <si>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</si>
  <si>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</si>
  <si>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</si>
  <si>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</si>
  <si>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</si>
  <si>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</si>
  <si>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</si>
  <si>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</si>
  <si>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</si>
  <si>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</si>
  <si>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</si>
  <si>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</si>
  <si>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</si>
  <si>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</si>
  <si>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</si>
  <si>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</si>
  <si>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</si>
  <si>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</si>
  <si>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</si>
  <si>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</si>
  <si>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</si>
  <si>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</si>
  <si>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</si>
  <si>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</si>
  <si>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</si>
  <si>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</si>
  <si>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</si>
  <si>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</si>
  <si>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</si>
  <si>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</si>
  <si>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</si>
  <si>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</si>
  <si>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</si>
  <si>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</si>
  <si>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</si>
  <si>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</si>
  <si>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</si>
  <si>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</si>
  <si>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</si>
  <si>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</si>
  <si>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</si>
  <si>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</si>
  <si>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</si>
  <si>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</si>
  <si>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</si>
  <si>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</si>
  <si>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</si>
  <si>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</si>
  <si>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</si>
  <si>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</si>
  <si>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</si>
  <si>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</si>
  <si>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</si>
  <si>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</si>
  <si>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</si>
  <si>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</si>
  <si>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</si>
  <si>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</si>
  <si>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</si>
  <si>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</si>
  <si>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</si>
  <si>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</si>
  <si>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</si>
  <si>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</si>
  <si>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</si>
  <si>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</si>
  <si>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</si>
  <si>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</si>
  <si>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</si>
  <si>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</si>
  <si>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</si>
  <si>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</si>
  <si>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</si>
  <si>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</si>
  <si>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</si>
  <si>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</si>
  <si>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</si>
  <si>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</si>
  <si>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</si>
  <si>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</si>
  <si>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</si>
  <si>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</si>
  <si>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</si>
  <si>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</si>
  <si>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</si>
  <si>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</si>
  <si>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</si>
  <si>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</si>
  <si>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</si>
  <si>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</si>
  <si>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</si>
  <si>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</si>
  <si>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</si>
  <si>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</si>
  <si>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</si>
  <si>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</si>
  <si>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</si>
  <si>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</si>
  <si>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</si>
  <si>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</si>
  <si>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</si>
  <si>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</si>
  <si>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</si>
  <si>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</si>
  <si>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</si>
  <si>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</si>
  <si>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</si>
  <si>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</si>
  <si>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</si>
  <si>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</si>
  <si>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</si>
  <si>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</si>
  <si>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</si>
  <si>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</si>
  <si>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</si>
  <si>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</si>
  <si>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</si>
  <si>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</si>
  <si>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</si>
  <si>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</si>
  <si>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</si>
  <si>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</si>
  <si>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</si>
  <si>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</si>
  <si>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</si>
  <si>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</si>
  <si>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</si>
  <si>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</si>
  <si>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</si>
  <si>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</si>
  <si>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</si>
  <si>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</si>
  <si>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</si>
  <si>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</si>
  <si>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</si>
  <si>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</si>
  <si>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</si>
  <si>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</si>
  <si>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</si>
  <si>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</si>
  <si>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</si>
  <si>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</si>
  <si>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</si>
  <si>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</si>
  <si>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</si>
  <si>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</si>
  <si>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</si>
  <si>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</si>
  <si>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</si>
  <si>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</si>
  <si>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</si>
  <si>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</si>
  <si>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</si>
  <si>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</si>
  <si>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</si>
  <si>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</si>
  <si>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</si>
  <si>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</si>
  <si>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</si>
  <si>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</si>
  <si>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</si>
  <si>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</si>
  <si>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</si>
  <si>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</si>
  <si>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</si>
  <si>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</si>
  <si>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</si>
  <si>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</si>
  <si>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</si>
  <si>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</si>
  <si>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</si>
  <si>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</si>
  <si>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</si>
  <si>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</si>
  <si>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</si>
  <si>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</si>
  <si>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</si>
  <si>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</si>
  <si>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</si>
  <si>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</si>
  <si>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</si>
  <si>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</si>
  <si>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</si>
  <si>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</si>
  <si>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</si>
  <si>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</si>
  <si>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</si>
  <si>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</si>
  <si>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</si>
  <si>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</si>
  <si>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</si>
  <si>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</si>
  <si>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</si>
  <si>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</si>
  <si>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</si>
  <si>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</si>
  <si>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</si>
  <si>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</si>
  <si>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</si>
  <si>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</si>
  <si>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</si>
  <si>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</si>
  <si>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</si>
  <si>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</si>
  <si>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</si>
  <si>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</si>
  <si>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</si>
  <si>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</si>
  <si>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</si>
  <si>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</si>
  <si>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</si>
  <si>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</si>
  <si>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</si>
  <si>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</si>
  <si>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</si>
  <si>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</si>
  <si>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</si>
  <si>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</si>
  <si>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</si>
  <si>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</si>
  <si>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</si>
  <si>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</si>
  <si>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</si>
  <si>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</si>
  <si>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</si>
  <si>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</si>
  <si>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</si>
  <si>
    <t>BNEF Projections, 2022 $</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</si>
  <si>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</si>
  <si>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</si>
  <si>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</si>
  <si>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</si>
  <si>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</si>
  <si>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</si>
  <si>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</si>
  <si>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</si>
  <si>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</si>
  <si>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</si>
  <si>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</si>
  <si>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</si>
  <si>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</si>
  <si>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</si>
  <si>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</si>
  <si>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</si>
  <si>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</si>
  <si>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</si>
  <si>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</si>
  <si>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Hydrogen Subsidies</t>
  </si>
  <si>
    <t>Industry Sector Subsidy</t>
  </si>
  <si>
    <t>Electricity Sector Subsidy</t>
  </si>
  <si>
    <t>Transportation Sector Price</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</si>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</sst>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2">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7" borderId="0" xfId="0" applyFont="1" applyFill="1"/>
    <xf numFmtId="0" fontId="0" fillId="27" borderId="0" xfId="0" applyFill="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40" fillId="16" borderId="0" xfId="0" applyFont="1" applyFill="1" applyAlignment="1">
      <alignment horizontal="center"/>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3" borderId="0" xfId="0" applyFont="1" applyFill="1" applyAlignment="1">
      <alignment horizontal="center" vertical="center" wrapText="1"/>
    </xf>
    <xf numFmtId="0" fontId="49" fillId="21" borderId="0" xfId="0" applyFont="1" applyFill="1" applyAlignment="1">
      <alignment horizontal="center" vertical="center" textRotation="90" wrapText="1"/>
    </xf>
    <xf numFmtId="0" fontId="40" fillId="13" borderId="67" xfId="0" applyFont="1" applyFill="1" applyBorder="1" applyAlignment="1">
      <alignment horizontal="center" vertical="center"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6" borderId="0" xfId="0" applyFont="1" applyFill="1" applyAlignment="1">
      <alignment horizontal="center" vertical="center" textRotation="90"/>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6"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2" fontId="27" fillId="0" borderId="0" xfId="26" applyNumberFormat="1" applyFont="1"/>
    <xf numFmtId="0" fontId="27" fillId="0" borderId="0" xfId="8" applyNumberFormat="1" applyFont="1"/>
    <xf numFmtId="6" fontId="27" fillId="0" borderId="0" xfId="26" applyNumberFormat="1" applyFont="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310</v>
      </c>
    </row>
    <row r="4" spans="1:2" x14ac:dyDescent="0.25">
      <c r="A4" s="1" t="s">
        <v>1063</v>
      </c>
    </row>
    <row r="6" spans="1:2" x14ac:dyDescent="0.25">
      <c r="A6" s="1" t="s">
        <v>0</v>
      </c>
      <c r="B6" s="27" t="s">
        <v>115</v>
      </c>
    </row>
    <row r="7" spans="1:2" x14ac:dyDescent="0.25">
      <c r="B7" t="s">
        <v>1</v>
      </c>
    </row>
    <row r="8" spans="1:2" x14ac:dyDescent="0.25">
      <c r="B8" s="2">
        <v>2014</v>
      </c>
    </row>
    <row r="9" spans="1:2" x14ac:dyDescent="0.25">
      <c r="B9" t="s">
        <v>2</v>
      </c>
    </row>
    <row r="10" spans="1:2" x14ac:dyDescent="0.25">
      <c r="B10" s="28" t="s">
        <v>3</v>
      </c>
    </row>
    <row r="11" spans="1:2" x14ac:dyDescent="0.25">
      <c r="B11" t="s">
        <v>4</v>
      </c>
    </row>
    <row r="13" spans="1:2" x14ac:dyDescent="0.25">
      <c r="B13" s="27" t="s">
        <v>256</v>
      </c>
    </row>
    <row r="14" spans="1:2" x14ac:dyDescent="0.25">
      <c r="B14" t="s">
        <v>288</v>
      </c>
    </row>
    <row r="15" spans="1:2" x14ac:dyDescent="0.25">
      <c r="B15" s="2">
        <v>2015</v>
      </c>
    </row>
    <row r="16" spans="1:2" x14ac:dyDescent="0.25">
      <c r="B16" t="s">
        <v>289</v>
      </c>
    </row>
    <row r="17" spans="2:2" x14ac:dyDescent="0.25">
      <c r="B17" s="28" t="s">
        <v>230</v>
      </c>
    </row>
    <row r="19" spans="2:2" x14ac:dyDescent="0.25">
      <c r="B19" s="27" t="s">
        <v>290</v>
      </c>
    </row>
    <row r="20" spans="2:2" x14ac:dyDescent="0.25">
      <c r="B20" t="s">
        <v>521</v>
      </c>
    </row>
    <row r="21" spans="2:2" x14ac:dyDescent="0.25">
      <c r="B21" s="2">
        <v>2020</v>
      </c>
    </row>
    <row r="22" spans="2:2" x14ac:dyDescent="0.25">
      <c r="B22" t="s">
        <v>520</v>
      </c>
    </row>
    <row r="23" spans="2:2" x14ac:dyDescent="0.25">
      <c r="B23" s="28" t="s">
        <v>519</v>
      </c>
    </row>
    <row r="25" spans="2:2" x14ac:dyDescent="0.25">
      <c r="B25" s="27" t="s">
        <v>291</v>
      </c>
    </row>
    <row r="26" spans="2:2" x14ac:dyDescent="0.25">
      <c r="B26" t="s">
        <v>292</v>
      </c>
    </row>
    <row r="27" spans="2:2" x14ac:dyDescent="0.25">
      <c r="B27" s="2">
        <v>2015</v>
      </c>
    </row>
    <row r="28" spans="2:2" x14ac:dyDescent="0.25">
      <c r="B28" t="s">
        <v>293</v>
      </c>
    </row>
    <row r="29" spans="2:2" x14ac:dyDescent="0.25">
      <c r="B29" s="28" t="s">
        <v>224</v>
      </c>
    </row>
    <row r="31" spans="2:2" x14ac:dyDescent="0.25">
      <c r="B31" s="27" t="s">
        <v>297</v>
      </c>
    </row>
    <row r="32" spans="2:2" x14ac:dyDescent="0.25">
      <c r="B32" t="s">
        <v>294</v>
      </c>
    </row>
    <row r="33" spans="2:2" x14ac:dyDescent="0.25">
      <c r="B33" s="2">
        <v>2015</v>
      </c>
    </row>
    <row r="34" spans="2:2" x14ac:dyDescent="0.25">
      <c r="B34" t="s">
        <v>295</v>
      </c>
    </row>
    <row r="35" spans="2:2" x14ac:dyDescent="0.25">
      <c r="B35" s="28" t="s">
        <v>235</v>
      </c>
    </row>
    <row r="36" spans="2:2" x14ac:dyDescent="0.25">
      <c r="B36" t="s">
        <v>296</v>
      </c>
    </row>
    <row r="38" spans="2:2" x14ac:dyDescent="0.25">
      <c r="B38" s="27" t="s">
        <v>167</v>
      </c>
    </row>
    <row r="39" spans="2:2" x14ac:dyDescent="0.25">
      <c r="B39" t="s">
        <v>168</v>
      </c>
    </row>
    <row r="40" spans="2:2" x14ac:dyDescent="0.25">
      <c r="B40" s="2" t="s">
        <v>636</v>
      </c>
    </row>
    <row r="41" spans="2:2" x14ac:dyDescent="0.25">
      <c r="B41" t="s">
        <v>637</v>
      </c>
    </row>
    <row r="42" spans="2:2" x14ac:dyDescent="0.25">
      <c r="B42" s="28" t="s">
        <v>587</v>
      </c>
    </row>
    <row r="43" spans="2:2" x14ac:dyDescent="0.25">
      <c r="B43" t="s">
        <v>635</v>
      </c>
    </row>
    <row r="45" spans="2:2" x14ac:dyDescent="0.25">
      <c r="B45" s="27" t="s">
        <v>526</v>
      </c>
    </row>
    <row r="46" spans="2:2" x14ac:dyDescent="0.25">
      <c r="B46" t="s">
        <v>522</v>
      </c>
    </row>
    <row r="47" spans="2:2" x14ac:dyDescent="0.25">
      <c r="B47" s="2">
        <v>2020</v>
      </c>
    </row>
    <row r="48" spans="2:2" x14ac:dyDescent="0.25">
      <c r="B48" t="s">
        <v>523</v>
      </c>
    </row>
    <row r="49" spans="1:2" x14ac:dyDescent="0.25">
      <c r="B49" s="28" t="s">
        <v>517</v>
      </c>
    </row>
    <row r="51" spans="1:2" x14ac:dyDescent="0.25">
      <c r="B51" s="27" t="s">
        <v>533</v>
      </c>
    </row>
    <row r="52" spans="1:2" x14ac:dyDescent="0.25">
      <c r="B52" t="s">
        <v>527</v>
      </c>
    </row>
    <row r="53" spans="1:2" x14ac:dyDescent="0.25">
      <c r="B53" s="2">
        <v>2020</v>
      </c>
    </row>
    <row r="54" spans="1:2" x14ac:dyDescent="0.25">
      <c r="B54" t="s">
        <v>528</v>
      </c>
    </row>
    <row r="55" spans="1:2" x14ac:dyDescent="0.25">
      <c r="B55" t="s">
        <v>529</v>
      </c>
    </row>
    <row r="56" spans="1:2" x14ac:dyDescent="0.25">
      <c r="B56" t="s">
        <v>534</v>
      </c>
    </row>
    <row r="59" spans="1:2" x14ac:dyDescent="0.25">
      <c r="A59" s="1" t="s">
        <v>169</v>
      </c>
    </row>
    <row r="60" spans="1:2" x14ac:dyDescent="0.25">
      <c r="A60" t="s">
        <v>1064</v>
      </c>
    </row>
    <row r="61" spans="1:2" x14ac:dyDescent="0.25">
      <c r="A61" t="s">
        <v>1065</v>
      </c>
    </row>
    <row r="62" spans="1:2" x14ac:dyDescent="0.25">
      <c r="A62" s="1"/>
    </row>
    <row r="63" spans="1:2" x14ac:dyDescent="0.25">
      <c r="A63" t="s">
        <v>670</v>
      </c>
    </row>
    <row r="64" spans="1:2" x14ac:dyDescent="0.25">
      <c r="A64" t="s">
        <v>671</v>
      </c>
    </row>
    <row r="65" spans="1:1" x14ac:dyDescent="0.25">
      <c r="A65" s="1"/>
    </row>
    <row r="66" spans="1:1" x14ac:dyDescent="0.25">
      <c r="A66" t="s">
        <v>170</v>
      </c>
    </row>
    <row r="67" spans="1:1" x14ac:dyDescent="0.25">
      <c r="A67" t="s">
        <v>171</v>
      </c>
    </row>
    <row r="69" spans="1:1" x14ac:dyDescent="0.25">
      <c r="A69" t="s">
        <v>174</v>
      </c>
    </row>
    <row r="70" spans="1:1" x14ac:dyDescent="0.25">
      <c r="A70" t="s">
        <v>175</v>
      </c>
    </row>
    <row r="71" spans="1:1" x14ac:dyDescent="0.25">
      <c r="A71" t="s">
        <v>176</v>
      </c>
    </row>
    <row r="72" spans="1:1" x14ac:dyDescent="0.25">
      <c r="A72" t="s">
        <v>177</v>
      </c>
    </row>
    <row r="74" spans="1:1" x14ac:dyDescent="0.25">
      <c r="A74" t="s">
        <v>186</v>
      </c>
    </row>
    <row r="75" spans="1:1" x14ac:dyDescent="0.25">
      <c r="A75" t="s">
        <v>187</v>
      </c>
    </row>
    <row r="76" spans="1:1" x14ac:dyDescent="0.25">
      <c r="A76" t="s">
        <v>188</v>
      </c>
    </row>
    <row r="77" spans="1:1" x14ac:dyDescent="0.25">
      <c r="A77" t="s">
        <v>190</v>
      </c>
    </row>
    <row r="78" spans="1:1" x14ac:dyDescent="0.25">
      <c r="A78">
        <v>0.97099999999999997</v>
      </c>
    </row>
    <row r="79" spans="1:1" x14ac:dyDescent="0.25">
      <c r="A79" t="s">
        <v>189</v>
      </c>
    </row>
    <row r="81" spans="1:5" x14ac:dyDescent="0.25">
      <c r="A81" t="s">
        <v>524</v>
      </c>
    </row>
    <row r="82" spans="1:5" x14ac:dyDescent="0.25">
      <c r="A82">
        <v>0.89805481563188172</v>
      </c>
    </row>
    <row r="83" spans="1:5" x14ac:dyDescent="0.25">
      <c r="A83" t="s">
        <v>189</v>
      </c>
    </row>
    <row r="84" spans="1:5" x14ac:dyDescent="0.25">
      <c r="A84">
        <v>0.88711067149387013</v>
      </c>
      <c r="B84" t="s">
        <v>536</v>
      </c>
      <c r="E84" s="19"/>
    </row>
    <row r="85" spans="1:5" x14ac:dyDescent="0.25">
      <c r="A85">
        <v>0.78452102304761584</v>
      </c>
      <c r="B85" t="s">
        <v>826</v>
      </c>
      <c r="E85"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58"/>
  <sheetViews>
    <sheetView topLeftCell="A109" zoomScale="85" zoomScaleNormal="85" workbookViewId="0">
      <selection activeCell="M133" sqref="M133"/>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0.75</v>
      </c>
      <c r="R107" s="117">
        <v>0.5</v>
      </c>
      <c r="S107" s="117">
        <v>0</v>
      </c>
      <c r="T107" s="117">
        <v>0</v>
      </c>
      <c r="U107" s="117">
        <v>0</v>
      </c>
      <c r="V107" s="117">
        <v>0</v>
      </c>
      <c r="W107" s="117">
        <v>0</v>
      </c>
      <c r="X107" s="117">
        <v>0</v>
      </c>
      <c r="Y107" s="117">
        <v>0</v>
      </c>
      <c r="Z107" s="117">
        <v>0</v>
      </c>
      <c r="AA107" s="117">
        <v>0</v>
      </c>
      <c r="AB107" s="117">
        <v>0</v>
      </c>
      <c r="AC107" s="117">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17.715285878499422</v>
      </c>
      <c r="R111" s="118">
        <f t="shared" si="4"/>
        <v>11.81019058566628</v>
      </c>
      <c r="S111" s="118">
        <f t="shared" si="4"/>
        <v>0</v>
      </c>
      <c r="T111" s="118">
        <f t="shared" si="4"/>
        <v>0</v>
      </c>
      <c r="U111" s="118">
        <f t="shared" si="4"/>
        <v>0</v>
      </c>
      <c r="V111" s="118">
        <f t="shared" si="4"/>
        <v>0</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2.75" x14ac:dyDescent="0.2">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16.386639437611965</v>
      </c>
      <c r="R112" s="118">
        <f t="shared" si="5"/>
        <v>10.924426291741311</v>
      </c>
      <c r="S112" s="118">
        <f t="shared" si="5"/>
        <v>0</v>
      </c>
      <c r="T112" s="118">
        <f t="shared" si="5"/>
        <v>0</v>
      </c>
      <c r="U112" s="118">
        <f t="shared" si="5"/>
        <v>0</v>
      </c>
      <c r="V112" s="118">
        <f t="shared" si="5"/>
        <v>0</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v>0</v>
      </c>
      <c r="C114" s="118">
        <v>0</v>
      </c>
      <c r="D114" s="118">
        <v>0</v>
      </c>
      <c r="E114" s="118">
        <f>((($B$97*F47+$B$96*(1-F47))*(1+($B$99*F77)))+(($B$97*F47+$B$96*(1-F47))*$B$102*$B$103))*E107*(1-$B$101)</f>
        <v>22.91774335994446</v>
      </c>
      <c r="F114" s="118">
        <f t="shared" ref="F114:AC114" si="6">((($B$97*G47+$B$96*(1-G47))*(1+($B$99*G77)))+(($B$97*G47+$B$96*(1-G47))*$B$102*$B$103))*F107*(1-$B$101)</f>
        <v>22.913007930703568</v>
      </c>
      <c r="G114" s="118">
        <f t="shared" si="6"/>
        <v>22.90913348859738</v>
      </c>
      <c r="H114" s="118">
        <f t="shared" si="6"/>
        <v>22.90913348859738</v>
      </c>
      <c r="I114" s="118">
        <f t="shared" si="6"/>
        <v>22.90913348859738</v>
      </c>
      <c r="J114" s="118">
        <f t="shared" si="6"/>
        <v>22.90913348859738</v>
      </c>
      <c r="K114" s="118">
        <f t="shared" si="6"/>
        <v>22.90913348859738</v>
      </c>
      <c r="L114" s="118">
        <f t="shared" si="6"/>
        <v>22.90913348859738</v>
      </c>
      <c r="M114" s="118">
        <f t="shared" si="6"/>
        <v>22.90913348859738</v>
      </c>
      <c r="N114" s="118">
        <f t="shared" si="6"/>
        <v>22.90913348859738</v>
      </c>
      <c r="O114" s="118">
        <f t="shared" si="6"/>
        <v>22.90913348859738</v>
      </c>
      <c r="P114" s="118">
        <f t="shared" si="6"/>
        <v>22.90913348859738</v>
      </c>
      <c r="Q114" s="118">
        <f t="shared" si="6"/>
        <v>17.181850116448036</v>
      </c>
      <c r="R114" s="118">
        <f t="shared" si="6"/>
        <v>11.45456674429869</v>
      </c>
      <c r="S114" s="118">
        <f t="shared" si="6"/>
        <v>0</v>
      </c>
      <c r="T114" s="118">
        <f t="shared" si="6"/>
        <v>0</v>
      </c>
      <c r="U114" s="118">
        <f t="shared" si="6"/>
        <v>0</v>
      </c>
      <c r="V114" s="118">
        <f t="shared" si="6"/>
        <v>0</v>
      </c>
      <c r="W114" s="118">
        <f t="shared" si="6"/>
        <v>0</v>
      </c>
      <c r="X114" s="118">
        <f t="shared" si="6"/>
        <v>0</v>
      </c>
      <c r="Y114" s="118">
        <f t="shared" si="6"/>
        <v>0</v>
      </c>
      <c r="Z114" s="118">
        <f t="shared" si="6"/>
        <v>0</v>
      </c>
      <c r="AA114" s="118">
        <f t="shared" si="6"/>
        <v>0</v>
      </c>
      <c r="AB114" s="118">
        <f t="shared" si="6"/>
        <v>0</v>
      </c>
      <c r="AC114" s="118">
        <f t="shared" si="6"/>
        <v>0</v>
      </c>
      <c r="AD114" s="103"/>
      <c r="AE114" s="103"/>
      <c r="AF114" s="77"/>
      <c r="AG114" s="77"/>
      <c r="AH114" s="77"/>
      <c r="AI114" s="77"/>
      <c r="AJ114" s="77"/>
    </row>
    <row r="115" spans="1:36" ht="12.75" x14ac:dyDescent="0.2">
      <c r="A115" s="103" t="s">
        <v>1058</v>
      </c>
      <c r="B115" s="118">
        <f>B114*(1-$B$101)</f>
        <v>0</v>
      </c>
      <c r="C115" s="118">
        <f t="shared" ref="C115:AC115" si="7">C114*(1-$B$101)</f>
        <v>0</v>
      </c>
      <c r="D115" s="118">
        <f t="shared" si="7"/>
        <v>0</v>
      </c>
      <c r="E115" s="118">
        <f t="shared" si="7"/>
        <v>21.198912607948625</v>
      </c>
      <c r="F115" s="118">
        <f t="shared" si="7"/>
        <v>21.194532335900803</v>
      </c>
      <c r="G115" s="118">
        <f t="shared" si="7"/>
        <v>21.190948476952578</v>
      </c>
      <c r="H115" s="118">
        <f t="shared" si="7"/>
        <v>21.190948476952578</v>
      </c>
      <c r="I115" s="118">
        <f t="shared" si="7"/>
        <v>21.190948476952578</v>
      </c>
      <c r="J115" s="118">
        <f t="shared" si="7"/>
        <v>21.190948476952578</v>
      </c>
      <c r="K115" s="118">
        <f t="shared" si="7"/>
        <v>21.190948476952578</v>
      </c>
      <c r="L115" s="118">
        <f t="shared" si="7"/>
        <v>21.190948476952578</v>
      </c>
      <c r="M115" s="118">
        <f t="shared" si="7"/>
        <v>21.190948476952578</v>
      </c>
      <c r="N115" s="118">
        <f t="shared" si="7"/>
        <v>21.190948476952578</v>
      </c>
      <c r="O115" s="118">
        <f t="shared" si="7"/>
        <v>21.190948476952578</v>
      </c>
      <c r="P115" s="118">
        <f t="shared" si="7"/>
        <v>21.190948476952578</v>
      </c>
      <c r="Q115" s="118">
        <f t="shared" si="7"/>
        <v>15.893211357714433</v>
      </c>
      <c r="R115" s="118">
        <f t="shared" si="7"/>
        <v>10.595474238476289</v>
      </c>
      <c r="S115" s="118">
        <f t="shared" si="7"/>
        <v>0</v>
      </c>
      <c r="T115" s="118">
        <f t="shared" si="7"/>
        <v>0</v>
      </c>
      <c r="U115" s="118">
        <f t="shared" si="7"/>
        <v>0</v>
      </c>
      <c r="V115" s="118">
        <f t="shared" si="7"/>
        <v>0</v>
      </c>
      <c r="W115" s="118">
        <f t="shared" si="7"/>
        <v>0</v>
      </c>
      <c r="X115" s="118">
        <f t="shared" si="7"/>
        <v>0</v>
      </c>
      <c r="Y115" s="118">
        <f t="shared" si="7"/>
        <v>0</v>
      </c>
      <c r="Z115" s="118">
        <f t="shared" si="7"/>
        <v>0</v>
      </c>
      <c r="AA115" s="118">
        <f t="shared" si="7"/>
        <v>0</v>
      </c>
      <c r="AB115" s="118">
        <f t="shared" si="7"/>
        <v>0</v>
      </c>
      <c r="AC115" s="118">
        <f t="shared" si="7"/>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8">C118</f>
        <v>23.620381171332561</v>
      </c>
      <c r="C118" s="118">
        <f t="shared" si="8"/>
        <v>23.620381171332561</v>
      </c>
      <c r="D118" s="118">
        <f t="shared" ref="D118:Q118" si="9">((($B$97*C47+$B$96*(1-C47))*(1+($B$99*C79+$B$98*(1-C79))))+(($B$97*C47+$B$96*(1-C47))*$B$102*$B$103))*D107*(1-$B$101)</f>
        <v>23.620381171332561</v>
      </c>
      <c r="E118" s="118">
        <f t="shared" si="9"/>
        <v>23.620381171332561</v>
      </c>
      <c r="F118" s="118">
        <f t="shared" si="9"/>
        <v>23.620381171332561</v>
      </c>
      <c r="G118" s="118">
        <f t="shared" si="9"/>
        <v>23.620381171332561</v>
      </c>
      <c r="H118" s="118">
        <f t="shared" si="9"/>
        <v>23.620381171332561</v>
      </c>
      <c r="I118" s="118">
        <f t="shared" si="9"/>
        <v>23.620381171332561</v>
      </c>
      <c r="J118" s="118">
        <f t="shared" si="9"/>
        <v>23.620381171332561</v>
      </c>
      <c r="K118" s="118">
        <f t="shared" si="9"/>
        <v>23.620381171332561</v>
      </c>
      <c r="L118" s="118">
        <f t="shared" si="9"/>
        <v>23.620381171332561</v>
      </c>
      <c r="M118" s="118">
        <f t="shared" si="9"/>
        <v>23.620381171332561</v>
      </c>
      <c r="N118" s="118">
        <f t="shared" si="9"/>
        <v>23.620381171332561</v>
      </c>
      <c r="O118" s="118">
        <f t="shared" si="9"/>
        <v>23.620381171332561</v>
      </c>
      <c r="P118" s="118">
        <f t="shared" si="9"/>
        <v>23.620381171332561</v>
      </c>
      <c r="Q118" s="118">
        <f t="shared" si="9"/>
        <v>17.715285878499422</v>
      </c>
      <c r="R118" s="118">
        <f t="shared" ref="R118:AC118" si="10">((($B$97*Q47+$B$96*(1-Q47))*(1+($B$99*Q79+$B$98*(1-Q79))))+(($B$97*Q47+$B$96*(1-Q47))*$B$102*$B$103))*R107*(1-P101)</f>
        <v>12.767773606125708</v>
      </c>
      <c r="S118" s="118">
        <f t="shared" si="10"/>
        <v>0</v>
      </c>
      <c r="T118" s="118">
        <f t="shared" si="10"/>
        <v>0</v>
      </c>
      <c r="U118" s="118">
        <f t="shared" si="10"/>
        <v>0</v>
      </c>
      <c r="V118" s="118">
        <f t="shared" si="10"/>
        <v>0</v>
      </c>
      <c r="W118" s="118">
        <f t="shared" si="10"/>
        <v>0</v>
      </c>
      <c r="X118" s="118">
        <f t="shared" si="10"/>
        <v>0</v>
      </c>
      <c r="Y118" s="118">
        <f t="shared" si="10"/>
        <v>0</v>
      </c>
      <c r="Z118" s="118">
        <f t="shared" si="10"/>
        <v>0</v>
      </c>
      <c r="AA118" s="118">
        <f t="shared" si="10"/>
        <v>0</v>
      </c>
      <c r="AB118" s="118">
        <f t="shared" si="10"/>
        <v>0</v>
      </c>
      <c r="AC118" s="118">
        <f t="shared" si="10"/>
        <v>0</v>
      </c>
      <c r="AD118" s="103"/>
      <c r="AE118" s="103"/>
      <c r="AF118" s="77"/>
      <c r="AG118" s="77"/>
      <c r="AH118" s="77"/>
      <c r="AI118" s="77"/>
      <c r="AJ118" s="77"/>
    </row>
    <row r="119" spans="1:36" ht="12.75" x14ac:dyDescent="0.2">
      <c r="A119" s="103" t="s">
        <v>736</v>
      </c>
      <c r="B119" s="118">
        <f>B118*(1-$B$101)</f>
        <v>21.848852583482621</v>
      </c>
      <c r="C119" s="118">
        <f t="shared" ref="C119:AC119" si="11">C118*(1-$B$101)</f>
        <v>21.848852583482621</v>
      </c>
      <c r="D119" s="118">
        <f t="shared" si="11"/>
        <v>21.848852583482621</v>
      </c>
      <c r="E119" s="118">
        <f t="shared" si="11"/>
        <v>21.848852583482621</v>
      </c>
      <c r="F119" s="118">
        <f t="shared" si="11"/>
        <v>21.848852583482621</v>
      </c>
      <c r="G119" s="118">
        <f t="shared" si="11"/>
        <v>21.848852583482621</v>
      </c>
      <c r="H119" s="118">
        <f t="shared" si="11"/>
        <v>21.848852583482621</v>
      </c>
      <c r="I119" s="118">
        <f t="shared" si="11"/>
        <v>21.848852583482621</v>
      </c>
      <c r="J119" s="118">
        <f t="shared" si="11"/>
        <v>21.848852583482621</v>
      </c>
      <c r="K119" s="118">
        <f t="shared" si="11"/>
        <v>21.848852583482621</v>
      </c>
      <c r="L119" s="118">
        <f t="shared" si="11"/>
        <v>21.848852583482621</v>
      </c>
      <c r="M119" s="118">
        <f t="shared" si="11"/>
        <v>21.848852583482621</v>
      </c>
      <c r="N119" s="118">
        <f t="shared" si="11"/>
        <v>21.848852583482621</v>
      </c>
      <c r="O119" s="118">
        <f t="shared" si="11"/>
        <v>21.848852583482621</v>
      </c>
      <c r="P119" s="118">
        <f t="shared" si="11"/>
        <v>21.848852583482621</v>
      </c>
      <c r="Q119" s="118">
        <f t="shared" si="11"/>
        <v>16.386639437611965</v>
      </c>
      <c r="R119" s="118">
        <f t="shared" si="11"/>
        <v>11.81019058566628</v>
      </c>
      <c r="S119" s="118">
        <f t="shared" si="11"/>
        <v>0</v>
      </c>
      <c r="T119" s="118">
        <f t="shared" si="11"/>
        <v>0</v>
      </c>
      <c r="U119" s="118">
        <f t="shared" si="11"/>
        <v>0</v>
      </c>
      <c r="V119" s="118">
        <f t="shared" si="11"/>
        <v>0</v>
      </c>
      <c r="W119" s="118">
        <f t="shared" si="11"/>
        <v>0</v>
      </c>
      <c r="X119" s="118">
        <f t="shared" si="11"/>
        <v>0</v>
      </c>
      <c r="Y119" s="118">
        <f t="shared" si="11"/>
        <v>0</v>
      </c>
      <c r="Z119" s="118">
        <f t="shared" si="11"/>
        <v>0</v>
      </c>
      <c r="AA119" s="118">
        <f t="shared" si="11"/>
        <v>0</v>
      </c>
      <c r="AB119" s="118">
        <f t="shared" si="11"/>
        <v>0</v>
      </c>
      <c r="AC119" s="118">
        <f t="shared" si="11"/>
        <v>0</v>
      </c>
      <c r="AD119" s="103"/>
      <c r="AE119" s="103"/>
      <c r="AF119" s="77"/>
      <c r="AG119" s="77"/>
      <c r="AH119" s="77"/>
      <c r="AI119" s="77"/>
      <c r="AJ119" s="77"/>
    </row>
    <row r="120" spans="1:36" ht="12.75" x14ac:dyDescent="0.2">
      <c r="A120" s="103" t="s">
        <v>1059</v>
      </c>
      <c r="B120" s="118">
        <f>B118*(1-$B$101)</f>
        <v>21.848852583482621</v>
      </c>
      <c r="C120" s="118">
        <f t="shared" ref="C120:AC120" si="12">C118*(1-$B$101)</f>
        <v>21.848852583482621</v>
      </c>
      <c r="D120" s="118">
        <f t="shared" si="12"/>
        <v>21.848852583482621</v>
      </c>
      <c r="E120" s="118">
        <f t="shared" si="12"/>
        <v>21.848852583482621</v>
      </c>
      <c r="F120" s="118">
        <f t="shared" si="12"/>
        <v>21.848852583482621</v>
      </c>
      <c r="G120" s="118">
        <f t="shared" si="12"/>
        <v>21.848852583482621</v>
      </c>
      <c r="H120" s="118">
        <f t="shared" si="12"/>
        <v>21.848852583482621</v>
      </c>
      <c r="I120" s="118">
        <f t="shared" si="12"/>
        <v>21.848852583482621</v>
      </c>
      <c r="J120" s="118">
        <f t="shared" si="12"/>
        <v>21.848852583482621</v>
      </c>
      <c r="K120" s="118">
        <f t="shared" si="12"/>
        <v>21.848852583482621</v>
      </c>
      <c r="L120" s="118">
        <f t="shared" si="12"/>
        <v>21.848852583482621</v>
      </c>
      <c r="M120" s="118">
        <f t="shared" si="12"/>
        <v>21.848852583482621</v>
      </c>
      <c r="N120" s="118">
        <f t="shared" si="12"/>
        <v>21.848852583482621</v>
      </c>
      <c r="O120" s="118">
        <f t="shared" si="12"/>
        <v>21.848852583482621</v>
      </c>
      <c r="P120" s="118">
        <f t="shared" si="12"/>
        <v>21.848852583482621</v>
      </c>
      <c r="Q120" s="118">
        <f t="shared" si="12"/>
        <v>16.386639437611965</v>
      </c>
      <c r="R120" s="118">
        <f t="shared" si="12"/>
        <v>11.81019058566628</v>
      </c>
      <c r="S120" s="118">
        <f t="shared" si="12"/>
        <v>0</v>
      </c>
      <c r="T120" s="118">
        <f t="shared" si="12"/>
        <v>0</v>
      </c>
      <c r="U120" s="118">
        <f t="shared" si="12"/>
        <v>0</v>
      </c>
      <c r="V120" s="118">
        <f t="shared" si="12"/>
        <v>0</v>
      </c>
      <c r="W120" s="118">
        <f t="shared" si="12"/>
        <v>0</v>
      </c>
      <c r="X120" s="118">
        <f t="shared" si="12"/>
        <v>0</v>
      </c>
      <c r="Y120" s="118">
        <f t="shared" si="12"/>
        <v>0</v>
      </c>
      <c r="Z120" s="118">
        <f t="shared" si="12"/>
        <v>0</v>
      </c>
      <c r="AA120" s="118">
        <f t="shared" si="12"/>
        <v>0</v>
      </c>
      <c r="AB120" s="118">
        <f t="shared" si="12"/>
        <v>0</v>
      </c>
      <c r="AC120" s="118">
        <f t="shared" si="12"/>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E122" si="13">((($B$97*C47+$B$96*(1-C47))*(1+($B$99*C79)))+(($B$97*C47+$B$96*(1-C47))*$B$102*$B$103))*B107*(1-$B$101)</f>
        <v>23.620381171332561</v>
      </c>
      <c r="C122" s="118">
        <f t="shared" si="13"/>
        <v>23.620381171332561</v>
      </c>
      <c r="D122" s="118">
        <f t="shared" si="13"/>
        <v>23.620381171332561</v>
      </c>
      <c r="E122" s="118">
        <f>((($B$97*F47+$B$96*(1-F47))*(1+($B$99*F79)))+(($B$97*F47+$B$96*(1-F47))*$B$102*$B$103))*E107*(1-$B$101)</f>
        <v>23.620381171332561</v>
      </c>
      <c r="F122" s="118">
        <f t="shared" ref="F122:AC122" si="14">((($B$97*G47+$B$96*(1-G47))*(1+($B$99*G79)))+(($B$97*G47+$B$96*(1-G47))*$B$102*$B$103))*F107*(1-$B$101)</f>
        <v>23.620381171332561</v>
      </c>
      <c r="G122" s="118">
        <f t="shared" si="14"/>
        <v>23.620381171332561</v>
      </c>
      <c r="H122" s="118">
        <f t="shared" si="14"/>
        <v>23.620381171332561</v>
      </c>
      <c r="I122" s="118">
        <f t="shared" si="14"/>
        <v>23.620381171332561</v>
      </c>
      <c r="J122" s="118">
        <f t="shared" si="14"/>
        <v>23.620381171332561</v>
      </c>
      <c r="K122" s="118">
        <f t="shared" si="14"/>
        <v>23.620381171332561</v>
      </c>
      <c r="L122" s="118">
        <f t="shared" si="14"/>
        <v>23.620381171332561</v>
      </c>
      <c r="M122" s="118">
        <f t="shared" si="14"/>
        <v>23.620381171332561</v>
      </c>
      <c r="N122" s="118">
        <f t="shared" si="14"/>
        <v>23.620381171332561</v>
      </c>
      <c r="O122" s="118">
        <f t="shared" si="14"/>
        <v>23.620381171332561</v>
      </c>
      <c r="P122" s="118">
        <f t="shared" si="14"/>
        <v>23.620381171332561</v>
      </c>
      <c r="Q122" s="118">
        <f t="shared" si="14"/>
        <v>17.715285878499422</v>
      </c>
      <c r="R122" s="118">
        <f t="shared" si="14"/>
        <v>11.81019058566628</v>
      </c>
      <c r="S122" s="118">
        <f t="shared" si="14"/>
        <v>0</v>
      </c>
      <c r="T122" s="118">
        <f t="shared" si="14"/>
        <v>0</v>
      </c>
      <c r="U122" s="118">
        <f t="shared" si="14"/>
        <v>0</v>
      </c>
      <c r="V122" s="118">
        <f t="shared" si="14"/>
        <v>0</v>
      </c>
      <c r="W122" s="118">
        <f t="shared" si="14"/>
        <v>0</v>
      </c>
      <c r="X122" s="118">
        <f t="shared" si="14"/>
        <v>0</v>
      </c>
      <c r="Y122" s="118">
        <f t="shared" si="14"/>
        <v>0</v>
      </c>
      <c r="Z122" s="118">
        <f t="shared" si="14"/>
        <v>0</v>
      </c>
      <c r="AA122" s="118">
        <f t="shared" si="14"/>
        <v>0</v>
      </c>
      <c r="AB122" s="118">
        <f t="shared" si="14"/>
        <v>0</v>
      </c>
      <c r="AC122" s="118">
        <f t="shared" si="14"/>
        <v>0</v>
      </c>
      <c r="AD122" s="103"/>
      <c r="AE122" s="103"/>
      <c r="AF122" s="77"/>
      <c r="AG122" s="77"/>
      <c r="AH122" s="77"/>
      <c r="AI122" s="77"/>
      <c r="AJ122" s="77"/>
    </row>
    <row r="123" spans="1:36" ht="12.75" x14ac:dyDescent="0.2">
      <c r="A123" s="103" t="s">
        <v>1060</v>
      </c>
      <c r="B123" s="118">
        <f t="shared" ref="B123:AC123" si="15">B122*(1-$B$101)</f>
        <v>21.848852583482621</v>
      </c>
      <c r="C123" s="118">
        <f t="shared" si="15"/>
        <v>21.848852583482621</v>
      </c>
      <c r="D123" s="118">
        <f t="shared" si="15"/>
        <v>21.848852583482621</v>
      </c>
      <c r="E123" s="118">
        <f t="shared" si="15"/>
        <v>21.848852583482621</v>
      </c>
      <c r="F123" s="118">
        <f t="shared" si="15"/>
        <v>21.848852583482621</v>
      </c>
      <c r="G123" s="118">
        <f t="shared" si="15"/>
        <v>21.848852583482621</v>
      </c>
      <c r="H123" s="118">
        <f t="shared" si="15"/>
        <v>21.848852583482621</v>
      </c>
      <c r="I123" s="118">
        <f t="shared" si="15"/>
        <v>21.848852583482621</v>
      </c>
      <c r="J123" s="118">
        <f t="shared" si="15"/>
        <v>21.848852583482621</v>
      </c>
      <c r="K123" s="118">
        <f t="shared" si="15"/>
        <v>21.848852583482621</v>
      </c>
      <c r="L123" s="118">
        <f t="shared" si="15"/>
        <v>21.848852583482621</v>
      </c>
      <c r="M123" s="118">
        <f t="shared" si="15"/>
        <v>21.848852583482621</v>
      </c>
      <c r="N123" s="118">
        <f t="shared" si="15"/>
        <v>21.848852583482621</v>
      </c>
      <c r="O123" s="118">
        <f t="shared" si="15"/>
        <v>21.848852583482621</v>
      </c>
      <c r="P123" s="118">
        <f t="shared" si="15"/>
        <v>21.848852583482621</v>
      </c>
      <c r="Q123" s="118">
        <f t="shared" si="15"/>
        <v>16.386639437611965</v>
      </c>
      <c r="R123" s="118">
        <f t="shared" si="15"/>
        <v>10.924426291741311</v>
      </c>
      <c r="S123" s="118">
        <f t="shared" si="15"/>
        <v>0</v>
      </c>
      <c r="T123" s="118">
        <f t="shared" si="15"/>
        <v>0</v>
      </c>
      <c r="U123" s="118">
        <f t="shared" si="15"/>
        <v>0</v>
      </c>
      <c r="V123" s="118">
        <f t="shared" si="15"/>
        <v>0</v>
      </c>
      <c r="W123" s="118">
        <f t="shared" si="15"/>
        <v>0</v>
      </c>
      <c r="X123" s="118">
        <f t="shared" si="15"/>
        <v>0</v>
      </c>
      <c r="Y123" s="118">
        <f t="shared" si="15"/>
        <v>0</v>
      </c>
      <c r="Z123" s="118">
        <f t="shared" si="15"/>
        <v>0</v>
      </c>
      <c r="AA123" s="118">
        <f t="shared" si="15"/>
        <v>0</v>
      </c>
      <c r="AB123" s="118">
        <f t="shared" si="15"/>
        <v>0</v>
      </c>
      <c r="AC123" s="118">
        <f t="shared" si="15"/>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6">C125</f>
        <v>0</v>
      </c>
      <c r="C125" s="118">
        <f t="shared" si="16"/>
        <v>0</v>
      </c>
      <c r="D125" s="118">
        <v>0</v>
      </c>
      <c r="E125" s="118">
        <v>0</v>
      </c>
      <c r="F125" s="118">
        <v>0</v>
      </c>
      <c r="G125" s="118">
        <v>0</v>
      </c>
      <c r="H125" s="118">
        <v>0</v>
      </c>
      <c r="I125" s="118">
        <v>0</v>
      </c>
      <c r="J125" s="118">
        <v>0</v>
      </c>
      <c r="K125" s="118">
        <v>0</v>
      </c>
      <c r="L125" s="118">
        <v>0</v>
      </c>
      <c r="M125" s="118">
        <v>0</v>
      </c>
      <c r="N125" s="118">
        <v>0</v>
      </c>
      <c r="O125" s="118">
        <v>0</v>
      </c>
      <c r="P125" s="118">
        <v>0</v>
      </c>
      <c r="Q125" s="118">
        <v>0</v>
      </c>
      <c r="R125" s="118">
        <v>0</v>
      </c>
      <c r="S125" s="118">
        <v>0</v>
      </c>
      <c r="T125" s="118">
        <v>0</v>
      </c>
      <c r="U125" s="118">
        <v>0</v>
      </c>
      <c r="V125" s="118">
        <v>0</v>
      </c>
      <c r="W125" s="118">
        <v>0</v>
      </c>
      <c r="X125" s="118">
        <v>0</v>
      </c>
      <c r="Y125" s="118">
        <v>0</v>
      </c>
      <c r="Z125" s="118">
        <v>0</v>
      </c>
      <c r="AA125" s="118">
        <v>0</v>
      </c>
      <c r="AB125" s="118">
        <v>0</v>
      </c>
      <c r="AC125" s="118">
        <v>0</v>
      </c>
      <c r="AD125" s="103"/>
      <c r="AE125" s="103"/>
      <c r="AF125" s="77"/>
      <c r="AG125" s="77"/>
      <c r="AH125" s="77"/>
      <c r="AI125" s="77"/>
      <c r="AJ125" s="77"/>
    </row>
    <row r="126" spans="1:36" ht="12.75" x14ac:dyDescent="0.2">
      <c r="A126" s="103" t="s">
        <v>1061</v>
      </c>
      <c r="B126" s="118">
        <f t="shared" ref="B126:AC126" si="17">B125*(1-$B$101)</f>
        <v>0</v>
      </c>
      <c r="C126" s="118">
        <f t="shared" si="17"/>
        <v>0</v>
      </c>
      <c r="D126" s="118">
        <f t="shared" si="17"/>
        <v>0</v>
      </c>
      <c r="E126" s="118">
        <f t="shared" si="17"/>
        <v>0</v>
      </c>
      <c r="F126" s="118">
        <f t="shared" si="17"/>
        <v>0</v>
      </c>
      <c r="G126" s="118">
        <f t="shared" si="17"/>
        <v>0</v>
      </c>
      <c r="H126" s="118">
        <f t="shared" si="17"/>
        <v>0</v>
      </c>
      <c r="I126" s="118">
        <f t="shared" si="17"/>
        <v>0</v>
      </c>
      <c r="J126" s="118">
        <f t="shared" si="17"/>
        <v>0</v>
      </c>
      <c r="K126" s="118">
        <f t="shared" si="17"/>
        <v>0</v>
      </c>
      <c r="L126" s="118">
        <f t="shared" si="17"/>
        <v>0</v>
      </c>
      <c r="M126" s="118">
        <f t="shared" si="17"/>
        <v>0</v>
      </c>
      <c r="N126" s="118">
        <f t="shared" si="17"/>
        <v>0</v>
      </c>
      <c r="O126" s="118">
        <f t="shared" si="17"/>
        <v>0</v>
      </c>
      <c r="P126" s="118">
        <f t="shared" si="17"/>
        <v>0</v>
      </c>
      <c r="Q126" s="118">
        <f t="shared" si="17"/>
        <v>0</v>
      </c>
      <c r="R126" s="118">
        <f t="shared" si="17"/>
        <v>0</v>
      </c>
      <c r="S126" s="118">
        <f t="shared" si="17"/>
        <v>0</v>
      </c>
      <c r="T126" s="118">
        <f t="shared" si="17"/>
        <v>0</v>
      </c>
      <c r="U126" s="118">
        <f t="shared" si="17"/>
        <v>0</v>
      </c>
      <c r="V126" s="118">
        <f t="shared" si="17"/>
        <v>0</v>
      </c>
      <c r="W126" s="118">
        <f t="shared" si="17"/>
        <v>0</v>
      </c>
      <c r="X126" s="118">
        <f t="shared" si="17"/>
        <v>0</v>
      </c>
      <c r="Y126" s="118">
        <f t="shared" si="17"/>
        <v>0</v>
      </c>
      <c r="Z126" s="118">
        <f t="shared" si="17"/>
        <v>0</v>
      </c>
      <c r="AA126" s="118">
        <f t="shared" si="17"/>
        <v>0</v>
      </c>
      <c r="AB126" s="118">
        <f t="shared" si="17"/>
        <v>0</v>
      </c>
      <c r="AC126" s="118">
        <f t="shared" si="17"/>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15*$B$93</f>
        <v>13.306660072408052</v>
      </c>
      <c r="C128" s="118">
        <f t="shared" ref="C128:AC128" si="18">15*$B$93</f>
        <v>13.306660072408052</v>
      </c>
      <c r="D128" s="118">
        <f t="shared" si="18"/>
        <v>13.306660072408052</v>
      </c>
      <c r="E128" s="118">
        <f t="shared" si="18"/>
        <v>13.306660072408052</v>
      </c>
      <c r="F128" s="118">
        <f t="shared" si="18"/>
        <v>13.306660072408052</v>
      </c>
      <c r="G128" s="118">
        <f t="shared" si="18"/>
        <v>13.306660072408052</v>
      </c>
      <c r="H128" s="118">
        <f t="shared" si="18"/>
        <v>13.306660072408052</v>
      </c>
      <c r="I128" s="118">
        <f t="shared" si="18"/>
        <v>13.306660072408052</v>
      </c>
      <c r="J128" s="118">
        <f t="shared" si="18"/>
        <v>13.306660072408052</v>
      </c>
      <c r="K128" s="118">
        <f t="shared" si="18"/>
        <v>13.306660072408052</v>
      </c>
      <c r="L128" s="118">
        <f t="shared" si="18"/>
        <v>13.306660072408052</v>
      </c>
      <c r="M128" s="118">
        <f t="shared" si="18"/>
        <v>13.306660072408052</v>
      </c>
      <c r="N128" s="118">
        <f t="shared" si="18"/>
        <v>13.306660072408052</v>
      </c>
      <c r="O128" s="118">
        <f t="shared" si="18"/>
        <v>13.306660072408052</v>
      </c>
      <c r="P128" s="118">
        <f t="shared" si="18"/>
        <v>13.306660072408052</v>
      </c>
      <c r="Q128" s="118">
        <f t="shared" si="18"/>
        <v>13.306660072408052</v>
      </c>
      <c r="R128" s="118">
        <f t="shared" si="18"/>
        <v>13.306660072408052</v>
      </c>
      <c r="S128" s="118">
        <f t="shared" si="18"/>
        <v>13.306660072408052</v>
      </c>
      <c r="T128" s="118">
        <f t="shared" si="18"/>
        <v>13.306660072408052</v>
      </c>
      <c r="U128" s="118">
        <f t="shared" si="18"/>
        <v>13.306660072408052</v>
      </c>
      <c r="V128" s="118">
        <f t="shared" si="18"/>
        <v>13.306660072408052</v>
      </c>
      <c r="W128" s="118">
        <f t="shared" si="18"/>
        <v>13.306660072408052</v>
      </c>
      <c r="X128" s="118">
        <f t="shared" si="18"/>
        <v>13.306660072408052</v>
      </c>
      <c r="Y128" s="118">
        <f t="shared" si="18"/>
        <v>13.306660072408052</v>
      </c>
      <c r="Z128" s="118">
        <f t="shared" si="18"/>
        <v>13.306660072408052</v>
      </c>
      <c r="AA128" s="118">
        <f t="shared" si="18"/>
        <v>13.306660072408052</v>
      </c>
      <c r="AB128" s="118">
        <f t="shared" si="18"/>
        <v>13.306660072408052</v>
      </c>
      <c r="AC128" s="118">
        <f t="shared" si="18"/>
        <v>13.306660072408052</v>
      </c>
      <c r="AD128" s="103"/>
      <c r="AE128" s="103"/>
      <c r="AF128" s="77"/>
      <c r="AG128" s="77"/>
      <c r="AH128" s="77"/>
      <c r="AI128" s="77"/>
      <c r="AJ128" s="77"/>
    </row>
    <row r="129" spans="1:36" ht="12.75" x14ac:dyDescent="0.2">
      <c r="A129" s="103" t="s">
        <v>1062</v>
      </c>
      <c r="B129" s="118">
        <f>B128*(1-$B$101)</f>
        <v>12.308660566977448</v>
      </c>
      <c r="C129" s="118">
        <f t="shared" ref="C129:AC129" si="19">C128*(1-$B$101)</f>
        <v>12.308660566977448</v>
      </c>
      <c r="D129" s="118">
        <f t="shared" si="19"/>
        <v>12.308660566977448</v>
      </c>
      <c r="E129" s="118">
        <f>E128*(1-$B$101)</f>
        <v>12.308660566977448</v>
      </c>
      <c r="F129" s="118">
        <f t="shared" si="19"/>
        <v>12.308660566977448</v>
      </c>
      <c r="G129" s="118">
        <f t="shared" si="19"/>
        <v>12.308660566977448</v>
      </c>
      <c r="H129" s="118">
        <f t="shared" si="19"/>
        <v>12.308660566977448</v>
      </c>
      <c r="I129" s="118">
        <f t="shared" si="19"/>
        <v>12.308660566977448</v>
      </c>
      <c r="J129" s="118">
        <f t="shared" si="19"/>
        <v>12.308660566977448</v>
      </c>
      <c r="K129" s="118">
        <f t="shared" si="19"/>
        <v>12.308660566977448</v>
      </c>
      <c r="L129" s="118">
        <f t="shared" si="19"/>
        <v>12.308660566977448</v>
      </c>
      <c r="M129" s="118">
        <f t="shared" si="19"/>
        <v>12.308660566977448</v>
      </c>
      <c r="N129" s="118">
        <f t="shared" si="19"/>
        <v>12.308660566977448</v>
      </c>
      <c r="O129" s="118">
        <f t="shared" si="19"/>
        <v>12.308660566977448</v>
      </c>
      <c r="P129" s="118">
        <f t="shared" si="19"/>
        <v>12.308660566977448</v>
      </c>
      <c r="Q129" s="118">
        <f t="shared" si="19"/>
        <v>12.308660566977448</v>
      </c>
      <c r="R129" s="118">
        <f t="shared" si="19"/>
        <v>12.308660566977448</v>
      </c>
      <c r="S129" s="118">
        <f t="shared" si="19"/>
        <v>12.308660566977448</v>
      </c>
      <c r="T129" s="118">
        <f t="shared" si="19"/>
        <v>12.308660566977448</v>
      </c>
      <c r="U129" s="118">
        <f t="shared" si="19"/>
        <v>12.308660566977448</v>
      </c>
      <c r="V129" s="118">
        <f t="shared" si="19"/>
        <v>12.308660566977448</v>
      </c>
      <c r="W129" s="118">
        <f t="shared" si="19"/>
        <v>12.308660566977448</v>
      </c>
      <c r="X129" s="118">
        <f t="shared" si="19"/>
        <v>12.308660566977448</v>
      </c>
      <c r="Y129" s="118">
        <f t="shared" si="19"/>
        <v>12.308660566977448</v>
      </c>
      <c r="Z129" s="118">
        <f t="shared" si="19"/>
        <v>12.308660566977448</v>
      </c>
      <c r="AA129" s="118">
        <f t="shared" si="19"/>
        <v>12.308660566977448</v>
      </c>
      <c r="AB129" s="118">
        <f t="shared" si="19"/>
        <v>12.308660566977448</v>
      </c>
      <c r="AC129" s="118">
        <f t="shared" si="19"/>
        <v>12.308660566977448</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0">B107</f>
        <v>1</v>
      </c>
      <c r="D133" s="117">
        <f t="shared" si="20"/>
        <v>1</v>
      </c>
      <c r="E133" s="117">
        <f t="shared" si="20"/>
        <v>1</v>
      </c>
      <c r="F133" s="117">
        <f t="shared" si="20"/>
        <v>1</v>
      </c>
      <c r="G133" s="117">
        <f t="shared" si="20"/>
        <v>1</v>
      </c>
      <c r="H133" s="117">
        <f t="shared" si="20"/>
        <v>1</v>
      </c>
      <c r="I133" s="117">
        <f t="shared" si="20"/>
        <v>1</v>
      </c>
      <c r="J133" s="117">
        <f t="shared" si="20"/>
        <v>1</v>
      </c>
      <c r="K133" s="117">
        <f t="shared" si="20"/>
        <v>1</v>
      </c>
      <c r="L133" s="117">
        <f t="shared" si="20"/>
        <v>1</v>
      </c>
      <c r="M133" s="117">
        <f t="shared" si="20"/>
        <v>1</v>
      </c>
      <c r="N133" s="117">
        <f t="shared" si="20"/>
        <v>1</v>
      </c>
      <c r="O133" s="117">
        <f t="shared" si="20"/>
        <v>1</v>
      </c>
      <c r="P133" s="117">
        <f t="shared" si="20"/>
        <v>1</v>
      </c>
      <c r="Q133" s="117">
        <f t="shared" si="20"/>
        <v>1</v>
      </c>
      <c r="R133" s="117">
        <f t="shared" si="20"/>
        <v>0.75</v>
      </c>
      <c r="S133" s="117">
        <f t="shared" si="20"/>
        <v>0.5</v>
      </c>
      <c r="T133" s="117">
        <f t="shared" si="20"/>
        <v>0</v>
      </c>
      <c r="U133" s="117">
        <f t="shared" si="20"/>
        <v>0</v>
      </c>
      <c r="V133" s="117">
        <f t="shared" si="20"/>
        <v>0</v>
      </c>
      <c r="W133" s="117">
        <f t="shared" si="20"/>
        <v>0</v>
      </c>
      <c r="X133" s="117">
        <f t="shared" si="20"/>
        <v>0</v>
      </c>
      <c r="Y133" s="117">
        <f t="shared" si="20"/>
        <v>0</v>
      </c>
      <c r="Z133" s="117">
        <f t="shared" si="20"/>
        <v>0</v>
      </c>
      <c r="AA133" s="117">
        <f t="shared" si="20"/>
        <v>0</v>
      </c>
      <c r="AB133" s="117">
        <f t="shared" si="20"/>
        <v>0</v>
      </c>
      <c r="AC133" s="117">
        <f t="shared" si="20"/>
        <v>0</v>
      </c>
      <c r="AD133" s="117">
        <f t="shared" si="20"/>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74" ht="12.75" x14ac:dyDescent="0.2">
      <c r="A145" s="103"/>
      <c r="B145" s="103">
        <v>2025</v>
      </c>
      <c r="C145" s="103">
        <v>2025</v>
      </c>
      <c r="D145" s="103">
        <v>2025</v>
      </c>
      <c r="E145" s="103">
        <v>2025</v>
      </c>
      <c r="F145" s="103">
        <v>2025</v>
      </c>
      <c r="G145" s="103">
        <v>2025</v>
      </c>
      <c r="H145" s="103">
        <v>2025</v>
      </c>
      <c r="I145" s="103">
        <v>2025</v>
      </c>
      <c r="J145" s="103">
        <v>2025</v>
      </c>
      <c r="K145" s="103">
        <v>2025</v>
      </c>
      <c r="L145" s="103">
        <v>2025</v>
      </c>
      <c r="M145" s="103">
        <v>2025</v>
      </c>
      <c r="N145" s="103">
        <v>2025</v>
      </c>
      <c r="O145" s="103">
        <v>2025</v>
      </c>
      <c r="P145" s="103">
        <v>2025</v>
      </c>
      <c r="Q145" s="103">
        <v>2025</v>
      </c>
      <c r="R145" s="103">
        <v>2025</v>
      </c>
      <c r="S145" s="103">
        <v>2025</v>
      </c>
      <c r="T145" s="103">
        <v>2025</v>
      </c>
      <c r="U145" s="103">
        <v>2025</v>
      </c>
      <c r="V145" s="103">
        <v>2025</v>
      </c>
      <c r="W145" s="103">
        <v>2025</v>
      </c>
      <c r="X145" s="103">
        <v>2025</v>
      </c>
      <c r="Y145" s="103">
        <v>2025</v>
      </c>
      <c r="Z145" s="103">
        <v>2025</v>
      </c>
      <c r="AA145" s="103">
        <v>2025</v>
      </c>
      <c r="AB145" s="103">
        <v>2025</v>
      </c>
      <c r="AC145" s="103">
        <v>2025</v>
      </c>
      <c r="AD145" s="103"/>
      <c r="AE145" s="103"/>
      <c r="AF145" s="77"/>
      <c r="AG145" s="77"/>
      <c r="AH145" s="77"/>
      <c r="AI145" s="77"/>
      <c r="AJ145" s="77"/>
    </row>
    <row r="146" spans="1:74" ht="12.75" x14ac:dyDescent="0.2">
      <c r="A146" s="77" t="s">
        <v>745</v>
      </c>
      <c r="B146" s="118">
        <f t="shared" ref="B146:D146" si="21">(($B$136*C47+$B$135*(1-C47))+($B$138*C77)+($B$140*$B$141))*(1-$B$139)*C133</f>
        <v>0.37019212259371836</v>
      </c>
      <c r="C146" s="118">
        <f t="shared" si="21"/>
        <v>0.37753261144883488</v>
      </c>
      <c r="D146" s="118">
        <f>(($B$136*E47+$B$135*(1-E47))+($B$138*E77)+($B$140*$B$141))*(1-$B$139)*E133</f>
        <v>0.38487310030395139</v>
      </c>
      <c r="E146" s="118">
        <f t="shared" ref="E146:AC146" si="22">(($B$136*F47+$B$135*(1-F47))+($B$138*F77)+($B$140*$B$141))*(1-$B$139)*F133</f>
        <v>0.38460652369694925</v>
      </c>
      <c r="F146" s="118">
        <f t="shared" si="22"/>
        <v>0.38439326241134752</v>
      </c>
      <c r="G146" s="118">
        <f t="shared" si="22"/>
        <v>0.38421877590494613</v>
      </c>
      <c r="H146" s="118">
        <f t="shared" si="22"/>
        <v>0.38421877590494613</v>
      </c>
      <c r="I146" s="118">
        <f t="shared" si="22"/>
        <v>0.38421877590494613</v>
      </c>
      <c r="J146" s="118">
        <f t="shared" si="22"/>
        <v>0.38421877590494613</v>
      </c>
      <c r="K146" s="118">
        <f t="shared" si="22"/>
        <v>0.38421877590494613</v>
      </c>
      <c r="L146" s="118">
        <f t="shared" si="22"/>
        <v>0.38421877590494613</v>
      </c>
      <c r="M146" s="118">
        <f t="shared" si="22"/>
        <v>0.38421877590494613</v>
      </c>
      <c r="N146" s="118">
        <f t="shared" si="22"/>
        <v>0.38421877590494613</v>
      </c>
      <c r="O146" s="118">
        <f t="shared" si="22"/>
        <v>0.38421877590494613</v>
      </c>
      <c r="P146" s="118">
        <f t="shared" si="22"/>
        <v>0.38421877590494613</v>
      </c>
      <c r="Q146" s="118">
        <f t="shared" si="22"/>
        <v>0.28816408192870957</v>
      </c>
      <c r="R146" s="118">
        <f t="shared" si="22"/>
        <v>0.19210938795247307</v>
      </c>
      <c r="S146" s="118">
        <f t="shared" si="22"/>
        <v>0</v>
      </c>
      <c r="T146" s="118">
        <f t="shared" si="22"/>
        <v>0</v>
      </c>
      <c r="U146" s="118">
        <f t="shared" si="22"/>
        <v>0</v>
      </c>
      <c r="V146" s="118">
        <f t="shared" si="22"/>
        <v>0</v>
      </c>
      <c r="W146" s="118">
        <f t="shared" si="22"/>
        <v>0</v>
      </c>
      <c r="X146" s="118">
        <f t="shared" si="22"/>
        <v>0</v>
      </c>
      <c r="Y146" s="118">
        <f t="shared" si="22"/>
        <v>0</v>
      </c>
      <c r="Z146" s="118">
        <f t="shared" si="22"/>
        <v>0</v>
      </c>
      <c r="AA146" s="118">
        <f t="shared" si="22"/>
        <v>0</v>
      </c>
      <c r="AB146" s="118">
        <f t="shared" si="22"/>
        <v>0</v>
      </c>
      <c r="AC146" s="118">
        <f t="shared" si="22"/>
        <v>0</v>
      </c>
      <c r="AD146" s="103"/>
      <c r="AE146" s="103"/>
      <c r="AF146" s="77"/>
      <c r="AG146" s="77"/>
      <c r="AH146" s="77"/>
      <c r="AI146" s="77"/>
      <c r="AJ146" s="77"/>
    </row>
    <row r="147" spans="1:74"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03"/>
      <c r="AE147" s="103"/>
      <c r="AF147" s="77"/>
      <c r="AG147" s="77"/>
      <c r="AH147" s="77"/>
      <c r="AI147" s="77"/>
      <c r="AJ147" s="77"/>
    </row>
    <row r="148" spans="1:74" ht="12.75" x14ac:dyDescent="0.2">
      <c r="A148" s="103"/>
      <c r="B148" s="118">
        <v>2025</v>
      </c>
      <c r="C148" s="118">
        <v>2025</v>
      </c>
      <c r="D148" s="118">
        <v>2025</v>
      </c>
      <c r="E148" s="118">
        <v>2025</v>
      </c>
      <c r="F148" s="118">
        <v>2025</v>
      </c>
      <c r="G148" s="118">
        <v>2025</v>
      </c>
      <c r="H148" s="118">
        <v>2025</v>
      </c>
      <c r="I148" s="118">
        <v>2025</v>
      </c>
      <c r="J148" s="118">
        <v>2025</v>
      </c>
      <c r="K148" s="118">
        <v>2025</v>
      </c>
      <c r="L148" s="118">
        <v>2025</v>
      </c>
      <c r="M148" s="118">
        <v>2025</v>
      </c>
      <c r="N148" s="118">
        <v>2025</v>
      </c>
      <c r="O148" s="118">
        <v>2025</v>
      </c>
      <c r="P148" s="118">
        <v>2025</v>
      </c>
      <c r="Q148" s="118">
        <v>2025</v>
      </c>
      <c r="R148" s="118">
        <v>2025</v>
      </c>
      <c r="S148" s="118">
        <v>2025</v>
      </c>
      <c r="T148" s="118">
        <v>2025</v>
      </c>
      <c r="U148" s="118">
        <v>2025</v>
      </c>
      <c r="V148" s="118">
        <v>2025</v>
      </c>
      <c r="W148" s="118">
        <v>2025</v>
      </c>
      <c r="X148" s="118">
        <v>2025</v>
      </c>
      <c r="Y148" s="118">
        <v>2025</v>
      </c>
      <c r="Z148" s="118">
        <v>2025</v>
      </c>
      <c r="AA148" s="118">
        <v>2025</v>
      </c>
      <c r="AB148" s="118">
        <v>2025</v>
      </c>
      <c r="AC148" s="118">
        <v>2025</v>
      </c>
      <c r="AD148" s="103"/>
      <c r="AE148" s="103"/>
      <c r="AF148" s="77"/>
      <c r="AG148" s="77"/>
      <c r="AH148" s="77"/>
      <c r="AI148" s="77"/>
      <c r="AJ148" s="77"/>
    </row>
    <row r="149" spans="1:74" ht="12.75" x14ac:dyDescent="0.2">
      <c r="A149" s="77" t="s">
        <v>746</v>
      </c>
      <c r="B149" s="118">
        <f t="shared" ref="B149:D149" si="23">(($B$136*C47+$B$135*(1-C47))+($B$138*C79)+($B$140*$B$141))*(1-$B$139)*C133</f>
        <v>0.41625000000000001</v>
      </c>
      <c r="C149" s="118">
        <f t="shared" si="23"/>
        <v>0.41625000000000001</v>
      </c>
      <c r="D149" s="118">
        <f>(($B$136*E47+$B$135*(1-E47))+($B$138*E79)+($B$140*$B$141))*(1-$B$139)*E133</f>
        <v>0.41625000000000001</v>
      </c>
      <c r="E149" s="118">
        <f t="shared" ref="E149:AC149" si="24">(($B$136*F47+$B$135*(1-F47))+($B$138*F79)+($B$140*$B$141))*(1-$B$139)*F133</f>
        <v>0.41625000000000001</v>
      </c>
      <c r="F149" s="118">
        <f t="shared" si="24"/>
        <v>0.41625000000000001</v>
      </c>
      <c r="G149" s="118">
        <f t="shared" si="24"/>
        <v>0.41625000000000001</v>
      </c>
      <c r="H149" s="118">
        <f t="shared" si="24"/>
        <v>0.41625000000000001</v>
      </c>
      <c r="I149" s="118">
        <f t="shared" si="24"/>
        <v>0.41625000000000001</v>
      </c>
      <c r="J149" s="118">
        <f t="shared" si="24"/>
        <v>0.41625000000000001</v>
      </c>
      <c r="K149" s="118">
        <f t="shared" si="24"/>
        <v>0.41625000000000001</v>
      </c>
      <c r="L149" s="118">
        <f t="shared" si="24"/>
        <v>0.41625000000000001</v>
      </c>
      <c r="M149" s="118">
        <f t="shared" si="24"/>
        <v>0.41625000000000001</v>
      </c>
      <c r="N149" s="118">
        <f t="shared" si="24"/>
        <v>0.41625000000000001</v>
      </c>
      <c r="O149" s="118">
        <f t="shared" si="24"/>
        <v>0.41625000000000001</v>
      </c>
      <c r="P149" s="118">
        <f t="shared" si="24"/>
        <v>0.41625000000000001</v>
      </c>
      <c r="Q149" s="118">
        <f t="shared" si="24"/>
        <v>0.31218750000000001</v>
      </c>
      <c r="R149" s="118">
        <f t="shared" si="24"/>
        <v>0.208125</v>
      </c>
      <c r="S149" s="118">
        <f t="shared" si="24"/>
        <v>0</v>
      </c>
      <c r="T149" s="118">
        <f t="shared" si="24"/>
        <v>0</v>
      </c>
      <c r="U149" s="118">
        <f t="shared" si="24"/>
        <v>0</v>
      </c>
      <c r="V149" s="118">
        <f t="shared" si="24"/>
        <v>0</v>
      </c>
      <c r="W149" s="118">
        <f t="shared" si="24"/>
        <v>0</v>
      </c>
      <c r="X149" s="118">
        <f t="shared" si="24"/>
        <v>0</v>
      </c>
      <c r="Y149" s="118">
        <f t="shared" si="24"/>
        <v>0</v>
      </c>
      <c r="Z149" s="118">
        <f t="shared" si="24"/>
        <v>0</v>
      </c>
      <c r="AA149" s="118">
        <f t="shared" si="24"/>
        <v>0</v>
      </c>
      <c r="AB149" s="118">
        <f t="shared" si="24"/>
        <v>0</v>
      </c>
      <c r="AC149" s="118">
        <f t="shared" si="24"/>
        <v>0</v>
      </c>
      <c r="AD149" s="103"/>
      <c r="AE149" s="103"/>
      <c r="AF149" s="77"/>
      <c r="AG149" s="77"/>
      <c r="AH149" s="77"/>
      <c r="AI149" s="77"/>
      <c r="AJ149" s="77"/>
    </row>
    <row r="150" spans="1:74"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03"/>
      <c r="AE150" s="103"/>
      <c r="AF150" s="77"/>
      <c r="AG150" s="77"/>
      <c r="AH150" s="77"/>
      <c r="AI150" s="77"/>
      <c r="AJ150" s="77"/>
    </row>
    <row r="151" spans="1:74" ht="12.75" x14ac:dyDescent="0.2">
      <c r="A151" s="103"/>
      <c r="B151" s="118">
        <v>2025</v>
      </c>
      <c r="C151" s="118">
        <v>2025</v>
      </c>
      <c r="D151" s="118">
        <v>2025</v>
      </c>
      <c r="E151" s="118">
        <v>2025</v>
      </c>
      <c r="F151" s="118">
        <v>2025</v>
      </c>
      <c r="G151" s="118">
        <v>2025</v>
      </c>
      <c r="H151" s="118">
        <v>2025</v>
      </c>
      <c r="I151" s="118">
        <v>2025</v>
      </c>
      <c r="J151" s="118">
        <v>2025</v>
      </c>
      <c r="K151" s="118">
        <v>2025</v>
      </c>
      <c r="L151" s="118">
        <v>2025</v>
      </c>
      <c r="M151" s="118">
        <v>2025</v>
      </c>
      <c r="N151" s="118">
        <v>2025</v>
      </c>
      <c r="O151" s="118">
        <v>2025</v>
      </c>
      <c r="P151" s="118">
        <v>2025</v>
      </c>
      <c r="Q151" s="118">
        <v>2025</v>
      </c>
      <c r="R151" s="118">
        <v>2025</v>
      </c>
      <c r="S151" s="118">
        <v>2025</v>
      </c>
      <c r="T151" s="118">
        <v>2025</v>
      </c>
      <c r="U151" s="118">
        <v>2025</v>
      </c>
      <c r="V151" s="118">
        <v>2025</v>
      </c>
      <c r="W151" s="118">
        <v>2025</v>
      </c>
      <c r="X151" s="118">
        <v>2025</v>
      </c>
      <c r="Y151" s="118">
        <v>2025</v>
      </c>
      <c r="Z151" s="118">
        <v>2025</v>
      </c>
      <c r="AA151" s="118">
        <v>2025</v>
      </c>
      <c r="AB151" s="118">
        <v>2025</v>
      </c>
      <c r="AC151" s="118">
        <v>2025</v>
      </c>
      <c r="AD151" s="103"/>
      <c r="AE151" s="103"/>
      <c r="AF151" s="77"/>
      <c r="AG151" s="77"/>
      <c r="AH151" s="77"/>
      <c r="AI151" s="77"/>
      <c r="AJ151" s="77"/>
    </row>
    <row r="152" spans="1:74" ht="12.75" x14ac:dyDescent="0.2">
      <c r="A152" s="77" t="s">
        <v>747</v>
      </c>
      <c r="B152" s="118">
        <f t="shared" ref="B152:D152" si="25">(($B$136*C47+$B$135*(1-C47))+($B$138*C79)+($B$140*$B$141))*(1-$B$139)*C133</f>
        <v>0.41625000000000001</v>
      </c>
      <c r="C152" s="118">
        <f t="shared" si="25"/>
        <v>0.41625000000000001</v>
      </c>
      <c r="D152" s="118">
        <f>(($B$136*E47+$B$135*(1-E47))+($B$138*E79)+($B$140*$B$141))*(1-$B$139)*E133</f>
        <v>0.41625000000000001</v>
      </c>
      <c r="E152" s="118">
        <f t="shared" ref="E152:AC152" si="26">(($B$136*F47+$B$135*(1-F47))+($B$138*F79)+($B$140*$B$141))*(1-$B$139)*F133</f>
        <v>0.41625000000000001</v>
      </c>
      <c r="F152" s="118">
        <f t="shared" si="26"/>
        <v>0.41625000000000001</v>
      </c>
      <c r="G152" s="118">
        <f t="shared" si="26"/>
        <v>0.41625000000000001</v>
      </c>
      <c r="H152" s="118">
        <f t="shared" si="26"/>
        <v>0.41625000000000001</v>
      </c>
      <c r="I152" s="118">
        <f t="shared" si="26"/>
        <v>0.41625000000000001</v>
      </c>
      <c r="J152" s="118">
        <f t="shared" si="26"/>
        <v>0.41625000000000001</v>
      </c>
      <c r="K152" s="118">
        <f t="shared" si="26"/>
        <v>0.41625000000000001</v>
      </c>
      <c r="L152" s="118">
        <f t="shared" si="26"/>
        <v>0.41625000000000001</v>
      </c>
      <c r="M152" s="118">
        <f t="shared" si="26"/>
        <v>0.41625000000000001</v>
      </c>
      <c r="N152" s="118">
        <f t="shared" si="26"/>
        <v>0.41625000000000001</v>
      </c>
      <c r="O152" s="118">
        <f t="shared" si="26"/>
        <v>0.41625000000000001</v>
      </c>
      <c r="P152" s="118">
        <f t="shared" si="26"/>
        <v>0.41625000000000001</v>
      </c>
      <c r="Q152" s="118">
        <f t="shared" si="26"/>
        <v>0.31218750000000001</v>
      </c>
      <c r="R152" s="118">
        <f t="shared" si="26"/>
        <v>0.208125</v>
      </c>
      <c r="S152" s="118">
        <f t="shared" si="26"/>
        <v>0</v>
      </c>
      <c r="T152" s="118">
        <f t="shared" si="26"/>
        <v>0</v>
      </c>
      <c r="U152" s="118">
        <f t="shared" si="26"/>
        <v>0</v>
      </c>
      <c r="V152" s="118">
        <f t="shared" si="26"/>
        <v>0</v>
      </c>
      <c r="W152" s="118">
        <f t="shared" si="26"/>
        <v>0</v>
      </c>
      <c r="X152" s="118">
        <f t="shared" si="26"/>
        <v>0</v>
      </c>
      <c r="Y152" s="118">
        <f t="shared" si="26"/>
        <v>0</v>
      </c>
      <c r="Z152" s="118">
        <f t="shared" si="26"/>
        <v>0</v>
      </c>
      <c r="AA152" s="118">
        <f t="shared" si="26"/>
        <v>0</v>
      </c>
      <c r="AB152" s="118">
        <f t="shared" si="26"/>
        <v>0</v>
      </c>
      <c r="AC152" s="118">
        <f t="shared" si="26"/>
        <v>0</v>
      </c>
      <c r="AD152" s="103"/>
      <c r="AE152" s="103"/>
      <c r="AF152" s="77"/>
      <c r="AG152" s="77"/>
      <c r="AH152" s="77"/>
      <c r="AI152" s="77"/>
      <c r="AJ152" s="77"/>
    </row>
    <row r="153" spans="1:74"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03"/>
      <c r="AE153" s="103"/>
      <c r="AF153" s="77"/>
      <c r="AG153" s="77"/>
      <c r="AH153" s="77"/>
      <c r="AI153" s="77"/>
      <c r="AJ153" s="77"/>
    </row>
    <row r="154" spans="1:74" ht="12.75" x14ac:dyDescent="0.2">
      <c r="A154" s="103"/>
      <c r="B154" s="118">
        <v>2025</v>
      </c>
      <c r="C154" s="118">
        <v>2025</v>
      </c>
      <c r="D154" s="118">
        <v>2025</v>
      </c>
      <c r="E154" s="118">
        <v>2025</v>
      </c>
      <c r="F154" s="118">
        <v>2025</v>
      </c>
      <c r="G154" s="118">
        <v>2025</v>
      </c>
      <c r="H154" s="118">
        <v>2025</v>
      </c>
      <c r="I154" s="118">
        <v>2025</v>
      </c>
      <c r="J154" s="118">
        <v>2025</v>
      </c>
      <c r="K154" s="118">
        <v>2025</v>
      </c>
      <c r="L154" s="118">
        <v>2025</v>
      </c>
      <c r="M154" s="118">
        <v>2025</v>
      </c>
      <c r="N154" s="118">
        <v>2025</v>
      </c>
      <c r="O154" s="118">
        <v>2025</v>
      </c>
      <c r="P154" s="118">
        <v>2025</v>
      </c>
      <c r="Q154" s="118">
        <v>2025</v>
      </c>
      <c r="R154" s="118">
        <v>2025</v>
      </c>
      <c r="S154" s="118">
        <v>2025</v>
      </c>
      <c r="T154" s="118">
        <v>2025</v>
      </c>
      <c r="U154" s="118">
        <v>2025</v>
      </c>
      <c r="V154" s="118">
        <v>2025</v>
      </c>
      <c r="W154" s="118">
        <v>2025</v>
      </c>
      <c r="X154" s="118">
        <v>2025</v>
      </c>
      <c r="Y154" s="118">
        <v>2025</v>
      </c>
      <c r="Z154" s="118">
        <v>2025</v>
      </c>
      <c r="AA154" s="118">
        <v>2025</v>
      </c>
      <c r="AB154" s="118">
        <v>2025</v>
      </c>
      <c r="AC154" s="118">
        <v>2025</v>
      </c>
      <c r="AD154" s="103"/>
      <c r="AE154" s="103"/>
      <c r="AF154" s="77"/>
      <c r="AG154" s="77"/>
      <c r="AH154" s="77"/>
      <c r="AI154" s="77"/>
      <c r="AJ154" s="77"/>
    </row>
    <row r="155" spans="1:74" ht="12.75" x14ac:dyDescent="0.2">
      <c r="A155" s="77" t="s">
        <v>748</v>
      </c>
      <c r="B155" s="118">
        <f t="shared" ref="B155:D155" si="27">(($B$136*C47+$B$135*(1-C47))+($B$138*C79)+($B$140*$B$141))*(1-$B$139)*C133</f>
        <v>0.41625000000000001</v>
      </c>
      <c r="C155" s="118">
        <f t="shared" si="27"/>
        <v>0.41625000000000001</v>
      </c>
      <c r="D155" s="118">
        <f>(($B$136*E47+$B$135*(1-E47))+($B$138*E79)+($B$140*$B$141))*(1-$B$139)*E133</f>
        <v>0.41625000000000001</v>
      </c>
      <c r="E155" s="118">
        <f t="shared" ref="E155:AC155" si="28">(($B$136*F47+$B$135*(1-F47))+($B$138*F79)+($B$140*$B$141))*(1-$B$139)*F133</f>
        <v>0.41625000000000001</v>
      </c>
      <c r="F155" s="118">
        <f t="shared" si="28"/>
        <v>0.41625000000000001</v>
      </c>
      <c r="G155" s="118">
        <f t="shared" si="28"/>
        <v>0.41625000000000001</v>
      </c>
      <c r="H155" s="118">
        <f t="shared" si="28"/>
        <v>0.41625000000000001</v>
      </c>
      <c r="I155" s="118">
        <f t="shared" si="28"/>
        <v>0.41625000000000001</v>
      </c>
      <c r="J155" s="118">
        <f t="shared" si="28"/>
        <v>0.41625000000000001</v>
      </c>
      <c r="K155" s="118">
        <f t="shared" si="28"/>
        <v>0.41625000000000001</v>
      </c>
      <c r="L155" s="118">
        <f t="shared" si="28"/>
        <v>0.41625000000000001</v>
      </c>
      <c r="M155" s="118">
        <f t="shared" si="28"/>
        <v>0.41625000000000001</v>
      </c>
      <c r="N155" s="118">
        <f t="shared" si="28"/>
        <v>0.41625000000000001</v>
      </c>
      <c r="O155" s="118">
        <f t="shared" si="28"/>
        <v>0.41625000000000001</v>
      </c>
      <c r="P155" s="118">
        <f t="shared" si="28"/>
        <v>0.41625000000000001</v>
      </c>
      <c r="Q155" s="118">
        <f t="shared" si="28"/>
        <v>0.31218750000000001</v>
      </c>
      <c r="R155" s="118">
        <f t="shared" si="28"/>
        <v>0.208125</v>
      </c>
      <c r="S155" s="118">
        <f t="shared" si="28"/>
        <v>0</v>
      </c>
      <c r="T155" s="118">
        <f t="shared" si="28"/>
        <v>0</v>
      </c>
      <c r="U155" s="118">
        <f t="shared" si="28"/>
        <v>0</v>
      </c>
      <c r="V155" s="118">
        <f t="shared" si="28"/>
        <v>0</v>
      </c>
      <c r="W155" s="118">
        <f t="shared" si="28"/>
        <v>0</v>
      </c>
      <c r="X155" s="118">
        <f t="shared" si="28"/>
        <v>0</v>
      </c>
      <c r="Y155" s="118">
        <f t="shared" si="28"/>
        <v>0</v>
      </c>
      <c r="Z155" s="118">
        <f t="shared" si="28"/>
        <v>0</v>
      </c>
      <c r="AA155" s="118">
        <f t="shared" si="28"/>
        <v>0</v>
      </c>
      <c r="AB155" s="118">
        <f t="shared" si="28"/>
        <v>0</v>
      </c>
      <c r="AC155" s="118">
        <f t="shared" si="28"/>
        <v>0</v>
      </c>
      <c r="AD155" s="103"/>
      <c r="AE155" s="103"/>
      <c r="AF155" s="77"/>
      <c r="AG155" s="77"/>
      <c r="AH155" s="77"/>
      <c r="AI155" s="77"/>
      <c r="AJ155" s="77"/>
    </row>
    <row r="156" spans="1:74"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74" s="116" customFormat="1" ht="12.75" x14ac:dyDescent="0.2">
      <c r="A157" s="113" t="s">
        <v>1091</v>
      </c>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4"/>
      <c r="AE157" s="114"/>
      <c r="AF157" s="115"/>
      <c r="AG157" s="115"/>
      <c r="AH157" s="115"/>
      <c r="AI157" s="115"/>
      <c r="AJ157" s="115"/>
    </row>
    <row r="158" spans="1:74" ht="12.75" x14ac:dyDescent="0.2">
      <c r="A158" s="77"/>
      <c r="B158" s="77">
        <v>2023</v>
      </c>
      <c r="C158" s="77">
        <v>2024</v>
      </c>
      <c r="D158" s="77">
        <v>2025</v>
      </c>
      <c r="E158" s="77">
        <v>2026</v>
      </c>
      <c r="F158" s="77">
        <v>2027</v>
      </c>
      <c r="G158" s="77">
        <v>2028</v>
      </c>
      <c r="H158" s="77">
        <v>2029</v>
      </c>
      <c r="I158" s="77">
        <v>2030</v>
      </c>
      <c r="J158" s="77">
        <v>2031</v>
      </c>
      <c r="K158" s="77">
        <v>2032</v>
      </c>
      <c r="L158" s="77">
        <v>2033</v>
      </c>
      <c r="M158" s="77">
        <v>2034</v>
      </c>
      <c r="N158" s="77">
        <v>2035</v>
      </c>
      <c r="O158" s="77">
        <v>2036</v>
      </c>
      <c r="P158" s="77">
        <v>2037</v>
      </c>
      <c r="Q158" s="77">
        <v>2038</v>
      </c>
      <c r="R158" s="77">
        <v>2039</v>
      </c>
      <c r="S158" s="77">
        <v>2040</v>
      </c>
      <c r="T158" s="77">
        <v>2041</v>
      </c>
      <c r="U158" s="77">
        <v>2042</v>
      </c>
      <c r="V158" s="77">
        <v>2043</v>
      </c>
      <c r="W158" s="77">
        <v>2044</v>
      </c>
      <c r="X158" s="77">
        <v>2045</v>
      </c>
      <c r="Y158" s="77">
        <v>2046</v>
      </c>
      <c r="Z158" s="77">
        <v>2047</v>
      </c>
      <c r="AA158" s="77">
        <v>2048</v>
      </c>
      <c r="AB158" s="77">
        <v>2049</v>
      </c>
      <c r="AC158" s="77">
        <v>2050</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2.75" x14ac:dyDescent="0.2">
      <c r="A159" s="77" t="s">
        <v>1092</v>
      </c>
      <c r="B159" s="479">
        <f>'Solar - Utility PV'!O152/1000</f>
        <v>1.3313527873137889</v>
      </c>
      <c r="C159" s="479">
        <f>'Solar - Utility PV'!P152/1000</f>
        <v>1.2895074168949341</v>
      </c>
      <c r="D159" s="479">
        <f>'Solar - Utility PV'!Q152/1000</f>
        <v>1.2476620464760786</v>
      </c>
      <c r="E159" s="479">
        <f>'Solar - Utility PV'!R152/1000</f>
        <v>1.2058166760572233</v>
      </c>
      <c r="F159" s="479">
        <f>'Solar - Utility PV'!S152/1000</f>
        <v>1.1639713056383683</v>
      </c>
      <c r="G159" s="479">
        <f>'Solar - Utility PV'!T152/1000</f>
        <v>1.122125935219513</v>
      </c>
      <c r="H159" s="479">
        <f>'Solar - Utility PV'!U152/1000</f>
        <v>1.0802805648006577</v>
      </c>
      <c r="I159" s="479">
        <f>'Solar - Utility PV'!V152/1000</f>
        <v>1.0384351943818024</v>
      </c>
      <c r="J159" s="479">
        <f>'Solar - Utility PV'!W152/1000</f>
        <v>0.99658982396294715</v>
      </c>
      <c r="K159" s="479">
        <f>'Solar - Utility PV'!X152/1000</f>
        <v>0.95474445354409199</v>
      </c>
      <c r="L159" s="479">
        <f>'Solar - Utility PV'!Y152/1000</f>
        <v>0.91289908312523671</v>
      </c>
      <c r="M159" s="479">
        <f>'Solar - Utility PV'!Z152/1000</f>
        <v>0.87105371270638143</v>
      </c>
      <c r="N159" s="479">
        <f>'Solar - Utility PV'!AA152/1000</f>
        <v>0.8292083422875256</v>
      </c>
      <c r="O159" s="479">
        <f>'Solar - Utility PV'!AB152/1000</f>
        <v>0.81609242237332258</v>
      </c>
      <c r="P159" s="479">
        <f>'Solar - Utility PV'!AC152/1000</f>
        <v>0.80297650245911978</v>
      </c>
      <c r="Q159" s="479">
        <f>'Solar - Utility PV'!AD152/1000</f>
        <v>0.78986058254491687</v>
      </c>
      <c r="R159" s="479">
        <f>'Solar - Utility PV'!AE152/1000</f>
        <v>0.77674466263071396</v>
      </c>
      <c r="S159" s="479">
        <f>'Solar - Utility PV'!AF152/1000</f>
        <v>0.76362874271651093</v>
      </c>
      <c r="T159" s="479">
        <f>'Solar - Utility PV'!AG152/1000</f>
        <v>0.75051282280230802</v>
      </c>
      <c r="U159" s="479">
        <f>'Solar - Utility PV'!AH152/1000</f>
        <v>0.73739690288810511</v>
      </c>
      <c r="V159" s="479">
        <f>'Solar - Utility PV'!AI152/1000</f>
        <v>0.7242809829739022</v>
      </c>
      <c r="W159" s="479">
        <f>'Solar - Utility PV'!AJ152/1000</f>
        <v>0.7111650630596994</v>
      </c>
      <c r="X159" s="479">
        <f>'Solar - Utility PV'!AK152/1000</f>
        <v>0.69804914314549638</v>
      </c>
      <c r="Y159" s="479">
        <f>'Solar - Utility PV'!AL152/1000</f>
        <v>0.68493322323129346</v>
      </c>
      <c r="Z159" s="479">
        <f>'Solar - Utility PV'!AM152/1000</f>
        <v>0.67181730331709055</v>
      </c>
      <c r="AA159" s="479">
        <f>'Solar - Utility PV'!AN152/1000</f>
        <v>0.65870138340288764</v>
      </c>
      <c r="AB159" s="479">
        <f>'Solar - Utility PV'!AO152/1000</f>
        <v>0.64558546348868484</v>
      </c>
      <c r="AC159" s="479">
        <f>'Solar - Utility PV'!AP152/1000</f>
        <v>0.63246954357448171</v>
      </c>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2.75" x14ac:dyDescent="0.2">
      <c r="A160" s="77" t="s">
        <v>1093</v>
      </c>
      <c r="B160" s="100">
        <v>0.25</v>
      </c>
      <c r="C160" s="100">
        <v>0.25</v>
      </c>
      <c r="D160" s="100">
        <v>0.25</v>
      </c>
      <c r="E160" s="100">
        <v>0.25</v>
      </c>
      <c r="F160" s="100">
        <v>0.25</v>
      </c>
      <c r="G160" s="100">
        <v>0.25</v>
      </c>
      <c r="H160" s="100">
        <v>0.25</v>
      </c>
      <c r="I160" s="100">
        <v>0.25</v>
      </c>
      <c r="J160" s="100">
        <v>0.25</v>
      </c>
      <c r="K160" s="100">
        <v>0.25</v>
      </c>
      <c r="L160" s="100">
        <v>0.25</v>
      </c>
      <c r="M160" s="100">
        <v>0.25</v>
      </c>
      <c r="N160" s="100">
        <v>0.25</v>
      </c>
      <c r="O160" s="100">
        <v>0.25</v>
      </c>
      <c r="P160" s="100">
        <v>0.25</v>
      </c>
      <c r="Q160" s="100">
        <v>0.25</v>
      </c>
      <c r="R160" s="100">
        <v>0.25</v>
      </c>
      <c r="S160" s="100">
        <v>0.25</v>
      </c>
      <c r="T160" s="100">
        <v>0.25</v>
      </c>
      <c r="U160" s="100">
        <v>0.25</v>
      </c>
      <c r="V160" s="100">
        <v>0.25</v>
      </c>
      <c r="W160" s="100">
        <v>0.25</v>
      </c>
      <c r="X160" s="100">
        <v>0.25</v>
      </c>
      <c r="Y160" s="100">
        <v>0.25</v>
      </c>
      <c r="Z160" s="100">
        <v>0.25</v>
      </c>
      <c r="AA160" s="100">
        <v>0.25</v>
      </c>
      <c r="AB160" s="100">
        <v>0.25</v>
      </c>
      <c r="AC160" s="100">
        <v>0.25</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2.75" x14ac:dyDescent="0.2">
      <c r="A161" s="77"/>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2.75" x14ac:dyDescent="0.2">
      <c r="A162" s="77" t="s">
        <v>739</v>
      </c>
      <c r="B162" s="479">
        <f>B146</f>
        <v>0.37019212259371836</v>
      </c>
      <c r="C162" s="479">
        <f t="shared" ref="C162:AC162" si="29">C146</f>
        <v>0.37753261144883488</v>
      </c>
      <c r="D162" s="479">
        <f t="shared" si="29"/>
        <v>0.38487310030395139</v>
      </c>
      <c r="E162" s="479">
        <f t="shared" si="29"/>
        <v>0.38460652369694925</v>
      </c>
      <c r="F162" s="479">
        <f t="shared" si="29"/>
        <v>0.38439326241134752</v>
      </c>
      <c r="G162" s="479">
        <f t="shared" si="29"/>
        <v>0.38421877590494613</v>
      </c>
      <c r="H162" s="479">
        <f t="shared" si="29"/>
        <v>0.38421877590494613</v>
      </c>
      <c r="I162" s="479">
        <f t="shared" si="29"/>
        <v>0.38421877590494613</v>
      </c>
      <c r="J162" s="479">
        <f t="shared" si="29"/>
        <v>0.38421877590494613</v>
      </c>
      <c r="K162" s="479">
        <f t="shared" si="29"/>
        <v>0.38421877590494613</v>
      </c>
      <c r="L162" s="479">
        <f t="shared" si="29"/>
        <v>0.38421877590494613</v>
      </c>
      <c r="M162" s="479">
        <f t="shared" si="29"/>
        <v>0.38421877590494613</v>
      </c>
      <c r="N162" s="479">
        <f t="shared" si="29"/>
        <v>0.38421877590494613</v>
      </c>
      <c r="O162" s="479">
        <f t="shared" si="29"/>
        <v>0.38421877590494613</v>
      </c>
      <c r="P162" s="479">
        <f t="shared" si="29"/>
        <v>0.38421877590494613</v>
      </c>
      <c r="Q162" s="479">
        <f t="shared" si="29"/>
        <v>0.28816408192870957</v>
      </c>
      <c r="R162" s="479">
        <f t="shared" si="29"/>
        <v>0.19210938795247307</v>
      </c>
      <c r="S162" s="479">
        <f t="shared" si="29"/>
        <v>0</v>
      </c>
      <c r="T162" s="479">
        <f t="shared" si="29"/>
        <v>0</v>
      </c>
      <c r="U162" s="479">
        <f t="shared" si="29"/>
        <v>0</v>
      </c>
      <c r="V162" s="479">
        <f t="shared" si="29"/>
        <v>0</v>
      </c>
      <c r="W162" s="479">
        <f t="shared" si="29"/>
        <v>0</v>
      </c>
      <c r="X162" s="479">
        <f t="shared" si="29"/>
        <v>0</v>
      </c>
      <c r="Y162" s="479">
        <f t="shared" si="29"/>
        <v>0</v>
      </c>
      <c r="Z162" s="479">
        <f t="shared" si="29"/>
        <v>0</v>
      </c>
      <c r="AA162" s="479">
        <f t="shared" si="29"/>
        <v>0</v>
      </c>
      <c r="AB162" s="479">
        <f t="shared" si="29"/>
        <v>0</v>
      </c>
      <c r="AC162" s="479">
        <f t="shared" si="29"/>
        <v>0</v>
      </c>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2.75" x14ac:dyDescent="0.2">
      <c r="A163" s="77" t="s">
        <v>729</v>
      </c>
      <c r="B163" s="479">
        <f>B114</f>
        <v>0</v>
      </c>
      <c r="C163" s="479">
        <f t="shared" ref="C163:AC163" si="30">C114</f>
        <v>0</v>
      </c>
      <c r="D163" s="479">
        <f t="shared" si="30"/>
        <v>0</v>
      </c>
      <c r="E163" s="479">
        <f t="shared" si="30"/>
        <v>22.91774335994446</v>
      </c>
      <c r="F163" s="479">
        <f t="shared" si="30"/>
        <v>22.913007930703568</v>
      </c>
      <c r="G163" s="479">
        <f t="shared" si="30"/>
        <v>22.90913348859738</v>
      </c>
      <c r="H163" s="479">
        <f t="shared" si="30"/>
        <v>22.90913348859738</v>
      </c>
      <c r="I163" s="479">
        <f t="shared" si="30"/>
        <v>22.90913348859738</v>
      </c>
      <c r="J163" s="479">
        <f t="shared" si="30"/>
        <v>22.90913348859738</v>
      </c>
      <c r="K163" s="479">
        <f t="shared" si="30"/>
        <v>22.90913348859738</v>
      </c>
      <c r="L163" s="479">
        <f t="shared" si="30"/>
        <v>22.90913348859738</v>
      </c>
      <c r="M163" s="479">
        <f t="shared" si="30"/>
        <v>22.90913348859738</v>
      </c>
      <c r="N163" s="479">
        <f t="shared" si="30"/>
        <v>22.90913348859738</v>
      </c>
      <c r="O163" s="479">
        <f t="shared" si="30"/>
        <v>22.90913348859738</v>
      </c>
      <c r="P163" s="479">
        <f t="shared" si="30"/>
        <v>22.90913348859738</v>
      </c>
      <c r="Q163" s="479">
        <f t="shared" si="30"/>
        <v>17.181850116448036</v>
      </c>
      <c r="R163" s="479">
        <f t="shared" si="30"/>
        <v>11.45456674429869</v>
      </c>
      <c r="S163" s="479">
        <f t="shared" si="30"/>
        <v>0</v>
      </c>
      <c r="T163" s="479">
        <f t="shared" si="30"/>
        <v>0</v>
      </c>
      <c r="U163" s="479">
        <f t="shared" si="30"/>
        <v>0</v>
      </c>
      <c r="V163" s="479">
        <f t="shared" si="30"/>
        <v>0</v>
      </c>
      <c r="W163" s="479">
        <f t="shared" si="30"/>
        <v>0</v>
      </c>
      <c r="X163" s="479">
        <f t="shared" si="30"/>
        <v>0</v>
      </c>
      <c r="Y163" s="479">
        <f t="shared" si="30"/>
        <v>0</v>
      </c>
      <c r="Z163" s="479">
        <f t="shared" si="30"/>
        <v>0</v>
      </c>
      <c r="AA163" s="479">
        <f t="shared" si="30"/>
        <v>0</v>
      </c>
      <c r="AB163" s="479">
        <f t="shared" si="30"/>
        <v>0</v>
      </c>
      <c r="AC163" s="479">
        <f t="shared" si="30"/>
        <v>0</v>
      </c>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2.75" x14ac:dyDescent="0.2">
      <c r="A164" s="77"/>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479"/>
      <c r="AB164" s="479"/>
      <c r="AC164" s="479"/>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2.75" x14ac:dyDescent="0.2">
      <c r="A165" s="77" t="s">
        <v>1094</v>
      </c>
      <c r="B165" s="77">
        <v>100</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2.75" x14ac:dyDescent="0.2">
      <c r="A166" s="77" t="s">
        <v>1095</v>
      </c>
      <c r="B166" s="77">
        <f>$B$165*8760*B160</f>
        <v>219000</v>
      </c>
      <c r="C166" s="77">
        <f t="shared" ref="C166:AC166" si="31">$B$165*8760*C160</f>
        <v>219000</v>
      </c>
      <c r="D166" s="77">
        <f t="shared" si="31"/>
        <v>219000</v>
      </c>
      <c r="E166" s="77">
        <f t="shared" si="31"/>
        <v>219000</v>
      </c>
      <c r="F166" s="77">
        <f t="shared" si="31"/>
        <v>219000</v>
      </c>
      <c r="G166" s="77">
        <f t="shared" si="31"/>
        <v>219000</v>
      </c>
      <c r="H166" s="77">
        <f t="shared" si="31"/>
        <v>219000</v>
      </c>
      <c r="I166" s="77">
        <f t="shared" si="31"/>
        <v>219000</v>
      </c>
      <c r="J166" s="77">
        <f t="shared" si="31"/>
        <v>219000</v>
      </c>
      <c r="K166" s="77">
        <f t="shared" si="31"/>
        <v>219000</v>
      </c>
      <c r="L166" s="77">
        <f t="shared" si="31"/>
        <v>219000</v>
      </c>
      <c r="M166" s="77">
        <f t="shared" si="31"/>
        <v>219000</v>
      </c>
      <c r="N166" s="77">
        <f t="shared" si="31"/>
        <v>219000</v>
      </c>
      <c r="O166" s="77">
        <f t="shared" si="31"/>
        <v>219000</v>
      </c>
      <c r="P166" s="77">
        <f t="shared" si="31"/>
        <v>219000</v>
      </c>
      <c r="Q166" s="77">
        <f t="shared" si="31"/>
        <v>219000</v>
      </c>
      <c r="R166" s="77">
        <f t="shared" si="31"/>
        <v>219000</v>
      </c>
      <c r="S166" s="77">
        <f t="shared" si="31"/>
        <v>219000</v>
      </c>
      <c r="T166" s="77">
        <f t="shared" si="31"/>
        <v>219000</v>
      </c>
      <c r="U166" s="77">
        <f t="shared" si="31"/>
        <v>219000</v>
      </c>
      <c r="V166" s="77">
        <f t="shared" si="31"/>
        <v>219000</v>
      </c>
      <c r="W166" s="77">
        <f t="shared" si="31"/>
        <v>219000</v>
      </c>
      <c r="X166" s="77">
        <f t="shared" si="31"/>
        <v>219000</v>
      </c>
      <c r="Y166" s="77">
        <f t="shared" si="31"/>
        <v>219000</v>
      </c>
      <c r="Z166" s="77">
        <f t="shared" si="31"/>
        <v>219000</v>
      </c>
      <c r="AA166" s="77">
        <f t="shared" si="31"/>
        <v>219000</v>
      </c>
      <c r="AB166" s="77">
        <f t="shared" si="31"/>
        <v>219000</v>
      </c>
      <c r="AC166" s="77">
        <f t="shared" si="31"/>
        <v>219000</v>
      </c>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2.75" x14ac:dyDescent="0.2">
      <c r="A167" s="77" t="s">
        <v>1096</v>
      </c>
      <c r="B167" s="87">
        <v>7.0000000000000007E-2</v>
      </c>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2.75" x14ac:dyDescent="0.2">
      <c r="A168" s="77" t="s">
        <v>1097</v>
      </c>
      <c r="B168" s="480">
        <v>10</v>
      </c>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2.75" x14ac:dyDescent="0.2">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2.75" x14ac:dyDescent="0.2">
      <c r="A170" s="77" t="s">
        <v>1098</v>
      </c>
      <c r="B170" s="481">
        <f>$B$165*10^6*B159*B162</f>
        <v>49285631.425675482</v>
      </c>
      <c r="C170" s="481">
        <f t="shared" ref="C170:AC170" si="32">$B$165*10^6*C159*C162</f>
        <v>48683110.258298583</v>
      </c>
      <c r="D170" s="481">
        <f t="shared" si="32"/>
        <v>48019155.995882109</v>
      </c>
      <c r="E170" s="481">
        <f t="shared" si="32"/>
        <v>46376495.999417908</v>
      </c>
      <c r="F170" s="481">
        <f t="shared" si="32"/>
        <v>44742272.752752811</v>
      </c>
      <c r="G170" s="481">
        <f t="shared" si="32"/>
        <v>43114185.32412342</v>
      </c>
      <c r="H170" s="481">
        <f t="shared" si="32"/>
        <v>41506407.624161258</v>
      </c>
      <c r="I170" s="481">
        <f t="shared" si="32"/>
        <v>39898629.924199089</v>
      </c>
      <c r="J170" s="481">
        <f t="shared" si="32"/>
        <v>38290852.224236928</v>
      </c>
      <c r="K170" s="481">
        <f t="shared" si="32"/>
        <v>36683074.524274774</v>
      </c>
      <c r="L170" s="481">
        <f t="shared" si="32"/>
        <v>35075296.824312612</v>
      </c>
      <c r="M170" s="481">
        <f t="shared" si="32"/>
        <v>33467519.124350447</v>
      </c>
      <c r="N170" s="481">
        <f t="shared" si="32"/>
        <v>31859741.424388263</v>
      </c>
      <c r="O170" s="481">
        <f t="shared" si="32"/>
        <v>31355803.154958025</v>
      </c>
      <c r="P170" s="481">
        <f t="shared" si="32"/>
        <v>30851864.885527793</v>
      </c>
      <c r="Q170" s="481">
        <f t="shared" si="32"/>
        <v>22760944.96207317</v>
      </c>
      <c r="R170" s="481">
        <f t="shared" si="32"/>
        <v>14921994.173333665</v>
      </c>
      <c r="S170" s="481">
        <f t="shared" si="32"/>
        <v>0</v>
      </c>
      <c r="T170" s="481">
        <f t="shared" si="32"/>
        <v>0</v>
      </c>
      <c r="U170" s="481">
        <f t="shared" si="32"/>
        <v>0</v>
      </c>
      <c r="V170" s="481">
        <f t="shared" si="32"/>
        <v>0</v>
      </c>
      <c r="W170" s="481">
        <f t="shared" si="32"/>
        <v>0</v>
      </c>
      <c r="X170" s="481">
        <f t="shared" si="32"/>
        <v>0</v>
      </c>
      <c r="Y170" s="481">
        <f t="shared" si="32"/>
        <v>0</v>
      </c>
      <c r="Z170" s="481">
        <f t="shared" si="32"/>
        <v>0</v>
      </c>
      <c r="AA170" s="481">
        <f t="shared" si="32"/>
        <v>0</v>
      </c>
      <c r="AB170" s="481">
        <f t="shared" si="32"/>
        <v>0</v>
      </c>
      <c r="AC170" s="481">
        <f t="shared" si="32"/>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2.75" x14ac:dyDescent="0.2">
      <c r="A171" s="77" t="s">
        <v>1099</v>
      </c>
      <c r="B171" s="481">
        <f>B166*B163</f>
        <v>0</v>
      </c>
      <c r="C171" s="481">
        <f t="shared" ref="C171:AC171" si="33">C166*C163</f>
        <v>0</v>
      </c>
      <c r="D171" s="481">
        <f t="shared" si="33"/>
        <v>0</v>
      </c>
      <c r="E171" s="481">
        <f t="shared" si="33"/>
        <v>5018985.7958278367</v>
      </c>
      <c r="F171" s="481">
        <f t="shared" si="33"/>
        <v>5017948.7368240813</v>
      </c>
      <c r="G171" s="481">
        <f t="shared" si="33"/>
        <v>5017100.2340028258</v>
      </c>
      <c r="H171" s="481">
        <f t="shared" si="33"/>
        <v>5017100.2340028258</v>
      </c>
      <c r="I171" s="481">
        <f t="shared" si="33"/>
        <v>5017100.2340028258</v>
      </c>
      <c r="J171" s="481">
        <f t="shared" si="33"/>
        <v>5017100.2340028258</v>
      </c>
      <c r="K171" s="481">
        <f t="shared" si="33"/>
        <v>5017100.2340028258</v>
      </c>
      <c r="L171" s="481">
        <f t="shared" si="33"/>
        <v>5017100.2340028258</v>
      </c>
      <c r="M171" s="481">
        <f t="shared" si="33"/>
        <v>5017100.2340028258</v>
      </c>
      <c r="N171" s="481">
        <f t="shared" si="33"/>
        <v>5017100.2340028258</v>
      </c>
      <c r="O171" s="481">
        <f t="shared" si="33"/>
        <v>5017100.2340028258</v>
      </c>
      <c r="P171" s="481">
        <f t="shared" si="33"/>
        <v>5017100.2340028258</v>
      </c>
      <c r="Q171" s="481">
        <f t="shared" si="33"/>
        <v>3762825.1755021201</v>
      </c>
      <c r="R171" s="481">
        <f t="shared" si="33"/>
        <v>2508550.1170014129</v>
      </c>
      <c r="S171" s="481">
        <f t="shared" si="33"/>
        <v>0</v>
      </c>
      <c r="T171" s="481">
        <f t="shared" si="33"/>
        <v>0</v>
      </c>
      <c r="U171" s="481">
        <f t="shared" si="33"/>
        <v>0</v>
      </c>
      <c r="V171" s="481">
        <f t="shared" si="33"/>
        <v>0</v>
      </c>
      <c r="W171" s="481">
        <f t="shared" si="33"/>
        <v>0</v>
      </c>
      <c r="X171" s="481">
        <f t="shared" si="33"/>
        <v>0</v>
      </c>
      <c r="Y171" s="481">
        <f t="shared" si="33"/>
        <v>0</v>
      </c>
      <c r="Z171" s="481">
        <f t="shared" si="33"/>
        <v>0</v>
      </c>
      <c r="AA171" s="481">
        <f t="shared" si="33"/>
        <v>0</v>
      </c>
      <c r="AB171" s="481">
        <f t="shared" si="33"/>
        <v>0</v>
      </c>
      <c r="AC171" s="481">
        <f t="shared" si="33"/>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2.75" x14ac:dyDescent="0.2">
      <c r="A172" s="77" t="s">
        <v>1100</v>
      </c>
      <c r="B172" s="481">
        <f>NPV($B$165,B171*$B$166)</f>
        <v>0</v>
      </c>
      <c r="C172" s="481">
        <f t="shared" ref="C172:AC172" si="34">NPV($B$165,C171*$B$166)</f>
        <v>0</v>
      </c>
      <c r="D172" s="481">
        <f t="shared" si="34"/>
        <v>0</v>
      </c>
      <c r="E172" s="481">
        <f t="shared" si="34"/>
        <v>10882751379.072241</v>
      </c>
      <c r="F172" s="481">
        <f t="shared" si="34"/>
        <v>10880502706.578949</v>
      </c>
      <c r="G172" s="481">
        <f t="shared" si="34"/>
        <v>10878662883.62989</v>
      </c>
      <c r="H172" s="481">
        <f t="shared" si="34"/>
        <v>10878662883.62989</v>
      </c>
      <c r="I172" s="481">
        <f t="shared" si="34"/>
        <v>10878662883.62989</v>
      </c>
      <c r="J172" s="481">
        <f t="shared" si="34"/>
        <v>10878662883.62989</v>
      </c>
      <c r="K172" s="481">
        <f t="shared" si="34"/>
        <v>10878662883.62989</v>
      </c>
      <c r="L172" s="481">
        <f t="shared" si="34"/>
        <v>10878662883.62989</v>
      </c>
      <c r="M172" s="481">
        <f t="shared" si="34"/>
        <v>10878662883.62989</v>
      </c>
      <c r="N172" s="481">
        <f t="shared" si="34"/>
        <v>10878662883.62989</v>
      </c>
      <c r="O172" s="481">
        <f t="shared" si="34"/>
        <v>10878662883.62989</v>
      </c>
      <c r="P172" s="481">
        <f t="shared" si="34"/>
        <v>10878662883.62989</v>
      </c>
      <c r="Q172" s="481">
        <f t="shared" si="34"/>
        <v>8158997162.7224178</v>
      </c>
      <c r="R172" s="481">
        <f t="shared" si="34"/>
        <v>5439331441.8149452</v>
      </c>
      <c r="S172" s="481">
        <f t="shared" si="34"/>
        <v>0</v>
      </c>
      <c r="T172" s="481">
        <f t="shared" si="34"/>
        <v>0</v>
      </c>
      <c r="U172" s="481">
        <f t="shared" si="34"/>
        <v>0</v>
      </c>
      <c r="V172" s="481">
        <f t="shared" si="34"/>
        <v>0</v>
      </c>
      <c r="W172" s="481">
        <f t="shared" si="34"/>
        <v>0</v>
      </c>
      <c r="X172" s="481">
        <f t="shared" si="34"/>
        <v>0</v>
      </c>
      <c r="Y172" s="481">
        <f t="shared" si="34"/>
        <v>0</v>
      </c>
      <c r="Z172" s="481">
        <f t="shared" si="34"/>
        <v>0</v>
      </c>
      <c r="AA172" s="481">
        <f t="shared" si="34"/>
        <v>0</v>
      </c>
      <c r="AB172" s="481">
        <f t="shared" si="34"/>
        <v>0</v>
      </c>
      <c r="AC172" s="481">
        <f t="shared" si="34"/>
        <v>0</v>
      </c>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2.75" x14ac:dyDescent="0.2">
      <c r="A173" s="77" t="s">
        <v>1101</v>
      </c>
      <c r="B173" s="481">
        <f>B171*$B$166</f>
        <v>0</v>
      </c>
      <c r="C173" s="481">
        <f t="shared" ref="C173:AC173" si="35">C171*$B$166</f>
        <v>0</v>
      </c>
      <c r="D173" s="481">
        <f t="shared" si="35"/>
        <v>0</v>
      </c>
      <c r="E173" s="481">
        <f t="shared" si="35"/>
        <v>1099157889286.2963</v>
      </c>
      <c r="F173" s="481">
        <f t="shared" si="35"/>
        <v>1098930773364.4738</v>
      </c>
      <c r="G173" s="481">
        <f t="shared" si="35"/>
        <v>1098744951246.6189</v>
      </c>
      <c r="H173" s="481">
        <f t="shared" si="35"/>
        <v>1098744951246.6189</v>
      </c>
      <c r="I173" s="481">
        <f t="shared" si="35"/>
        <v>1098744951246.6189</v>
      </c>
      <c r="J173" s="481">
        <f t="shared" si="35"/>
        <v>1098744951246.6189</v>
      </c>
      <c r="K173" s="481">
        <f t="shared" si="35"/>
        <v>1098744951246.6189</v>
      </c>
      <c r="L173" s="481">
        <f t="shared" si="35"/>
        <v>1098744951246.6189</v>
      </c>
      <c r="M173" s="481">
        <f t="shared" si="35"/>
        <v>1098744951246.6189</v>
      </c>
      <c r="N173" s="481">
        <f t="shared" si="35"/>
        <v>1098744951246.6189</v>
      </c>
      <c r="O173" s="481">
        <f t="shared" si="35"/>
        <v>1098744951246.6189</v>
      </c>
      <c r="P173" s="481">
        <f t="shared" si="35"/>
        <v>1098744951246.6189</v>
      </c>
      <c r="Q173" s="481">
        <f t="shared" si="35"/>
        <v>824058713434.96423</v>
      </c>
      <c r="R173" s="481">
        <f t="shared" si="35"/>
        <v>549372475623.30945</v>
      </c>
      <c r="S173" s="481">
        <f t="shared" si="35"/>
        <v>0</v>
      </c>
      <c r="T173" s="481">
        <f t="shared" si="35"/>
        <v>0</v>
      </c>
      <c r="U173" s="481">
        <f t="shared" si="35"/>
        <v>0</v>
      </c>
      <c r="V173" s="481">
        <f t="shared" si="35"/>
        <v>0</v>
      </c>
      <c r="W173" s="481">
        <f t="shared" si="35"/>
        <v>0</v>
      </c>
      <c r="X173" s="481">
        <f t="shared" si="35"/>
        <v>0</v>
      </c>
      <c r="Y173" s="481">
        <f t="shared" si="35"/>
        <v>0</v>
      </c>
      <c r="Z173" s="481">
        <f t="shared" si="35"/>
        <v>0</v>
      </c>
      <c r="AA173" s="481">
        <f t="shared" si="35"/>
        <v>0</v>
      </c>
      <c r="AB173" s="481">
        <f t="shared" si="35"/>
        <v>0</v>
      </c>
      <c r="AC173" s="481">
        <f t="shared" si="35"/>
        <v>0</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2.75" x14ac:dyDescent="0.2">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2.75" x14ac:dyDescent="0.2">
      <c r="A175" s="77" t="s">
        <v>1102</v>
      </c>
      <c r="B175" s="77" t="str">
        <f>IF(B170&gt;B172,"ITC","PTC")</f>
        <v>ITC</v>
      </c>
      <c r="C175" s="77" t="str">
        <f t="shared" ref="C175:AC175" si="36">IF(C170&gt;C172,"ITC","PTC")</f>
        <v>ITC</v>
      </c>
      <c r="D175" s="77" t="str">
        <f t="shared" si="36"/>
        <v>ITC</v>
      </c>
      <c r="E175" s="77" t="str">
        <f t="shared" si="36"/>
        <v>PTC</v>
      </c>
      <c r="F175" s="77" t="str">
        <f t="shared" si="36"/>
        <v>PTC</v>
      </c>
      <c r="G175" s="77" t="str">
        <f t="shared" si="36"/>
        <v>PTC</v>
      </c>
      <c r="H175" s="77" t="str">
        <f t="shared" si="36"/>
        <v>PTC</v>
      </c>
      <c r="I175" s="77" t="str">
        <f t="shared" si="36"/>
        <v>PTC</v>
      </c>
      <c r="J175" s="77" t="str">
        <f t="shared" si="36"/>
        <v>PTC</v>
      </c>
      <c r="K175" s="77" t="str">
        <f t="shared" si="36"/>
        <v>PTC</v>
      </c>
      <c r="L175" s="77" t="str">
        <f t="shared" si="36"/>
        <v>PTC</v>
      </c>
      <c r="M175" s="77" t="str">
        <f t="shared" si="36"/>
        <v>PTC</v>
      </c>
      <c r="N175" s="77" t="str">
        <f t="shared" si="36"/>
        <v>PTC</v>
      </c>
      <c r="O175" s="77" t="str">
        <f t="shared" si="36"/>
        <v>PTC</v>
      </c>
      <c r="P175" s="77" t="str">
        <f t="shared" si="36"/>
        <v>PTC</v>
      </c>
      <c r="Q175" s="77" t="str">
        <f t="shared" si="36"/>
        <v>PTC</v>
      </c>
      <c r="R175" s="77" t="str">
        <f t="shared" si="36"/>
        <v>PTC</v>
      </c>
      <c r="S175" s="77" t="str">
        <f t="shared" si="36"/>
        <v>PTC</v>
      </c>
      <c r="T175" s="77" t="str">
        <f t="shared" si="36"/>
        <v>PTC</v>
      </c>
      <c r="U175" s="77" t="str">
        <f t="shared" si="36"/>
        <v>PTC</v>
      </c>
      <c r="V175" s="77" t="str">
        <f t="shared" si="36"/>
        <v>PTC</v>
      </c>
      <c r="W175" s="77" t="str">
        <f t="shared" si="36"/>
        <v>PTC</v>
      </c>
      <c r="X175" s="77" t="str">
        <f t="shared" si="36"/>
        <v>PTC</v>
      </c>
      <c r="Y175" s="77" t="str">
        <f t="shared" si="36"/>
        <v>PTC</v>
      </c>
      <c r="Z175" s="77" t="str">
        <f t="shared" si="36"/>
        <v>PTC</v>
      </c>
      <c r="AA175" s="77" t="str">
        <f t="shared" si="36"/>
        <v>PTC</v>
      </c>
      <c r="AB175" s="77" t="str">
        <f t="shared" si="36"/>
        <v>PTC</v>
      </c>
      <c r="AC175" s="77" t="str">
        <f t="shared" si="36"/>
        <v>PTC</v>
      </c>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2.75" x14ac:dyDescent="0.2">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row>
    <row r="177" spans="1:36" ht="12.75" x14ac:dyDescent="0.2">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row>
    <row r="178" spans="1:36" ht="12.75" x14ac:dyDescent="0.2">
      <c r="A178" s="81" t="s">
        <v>812</v>
      </c>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row>
    <row r="179" spans="1:36" ht="12.75" x14ac:dyDescent="0.2">
      <c r="A179" s="77" t="s">
        <v>814</v>
      </c>
      <c r="B179" s="77">
        <v>2021</v>
      </c>
      <c r="C179" s="77">
        <v>2022</v>
      </c>
      <c r="D179" s="77">
        <v>2023</v>
      </c>
      <c r="E179" s="77">
        <v>2024</v>
      </c>
      <c r="F179" s="77">
        <v>2025</v>
      </c>
      <c r="G179" s="77">
        <v>2026</v>
      </c>
      <c r="H179" s="77">
        <v>2027</v>
      </c>
      <c r="I179" s="77">
        <v>2028</v>
      </c>
      <c r="J179" s="77">
        <v>2029</v>
      </c>
      <c r="K179" s="77">
        <v>2030</v>
      </c>
      <c r="L179" s="77">
        <v>2031</v>
      </c>
      <c r="M179" s="77">
        <v>2032</v>
      </c>
      <c r="N179" s="77">
        <v>2033</v>
      </c>
      <c r="O179" s="77">
        <v>2034</v>
      </c>
      <c r="P179" s="77">
        <v>2035</v>
      </c>
      <c r="Q179" s="77">
        <v>2036</v>
      </c>
      <c r="R179" s="77">
        <v>2037</v>
      </c>
      <c r="S179" s="77">
        <v>2038</v>
      </c>
      <c r="T179" s="77">
        <v>2039</v>
      </c>
      <c r="U179" s="77">
        <v>2040</v>
      </c>
      <c r="V179" s="77">
        <v>2041</v>
      </c>
      <c r="W179" s="77">
        <v>2042</v>
      </c>
      <c r="X179" s="77">
        <v>2043</v>
      </c>
      <c r="Y179" s="77">
        <v>2044</v>
      </c>
      <c r="Z179" s="77">
        <v>2045</v>
      </c>
      <c r="AA179" s="77">
        <v>2046</v>
      </c>
      <c r="AB179" s="77">
        <v>2047</v>
      </c>
      <c r="AC179" s="77">
        <v>2048</v>
      </c>
      <c r="AD179" s="77">
        <v>2049</v>
      </c>
      <c r="AE179" s="77">
        <v>2050</v>
      </c>
      <c r="AF179" s="77">
        <v>2050</v>
      </c>
      <c r="AG179" s="77">
        <v>2050</v>
      </c>
      <c r="AH179" s="77"/>
      <c r="AI179" s="77"/>
      <c r="AJ179" s="77"/>
    </row>
    <row r="180" spans="1:36" ht="12.75" x14ac:dyDescent="0.2">
      <c r="A180" s="77" t="s">
        <v>815</v>
      </c>
      <c r="B180" s="77">
        <v>20</v>
      </c>
      <c r="C180" s="77">
        <v>20</v>
      </c>
      <c r="D180" s="77">
        <v>20</v>
      </c>
      <c r="E180" s="77">
        <v>20</v>
      </c>
      <c r="F180" s="77">
        <v>20</v>
      </c>
      <c r="G180" s="77">
        <v>20</v>
      </c>
      <c r="H180" s="77">
        <v>20</v>
      </c>
      <c r="I180" s="77">
        <v>20</v>
      </c>
      <c r="J180" s="77">
        <v>20</v>
      </c>
      <c r="K180" s="77">
        <v>20</v>
      </c>
      <c r="L180" s="77">
        <v>20</v>
      </c>
      <c r="M180" s="77">
        <v>20</v>
      </c>
      <c r="N180" s="77">
        <v>20</v>
      </c>
      <c r="O180" s="77">
        <v>20</v>
      </c>
      <c r="P180" s="77">
        <v>20</v>
      </c>
      <c r="Q180" s="77">
        <v>20</v>
      </c>
      <c r="R180" s="77">
        <v>20</v>
      </c>
      <c r="S180" s="77">
        <v>20</v>
      </c>
      <c r="T180" s="77">
        <v>20</v>
      </c>
      <c r="U180" s="77">
        <v>20</v>
      </c>
      <c r="V180" s="77">
        <v>20</v>
      </c>
      <c r="W180" s="77">
        <v>20</v>
      </c>
      <c r="X180" s="77">
        <v>20</v>
      </c>
      <c r="Y180" s="77">
        <v>20</v>
      </c>
      <c r="Z180" s="77">
        <v>20</v>
      </c>
      <c r="AA180" s="77">
        <v>20</v>
      </c>
      <c r="AB180" s="77">
        <v>20</v>
      </c>
      <c r="AC180" s="77">
        <v>20</v>
      </c>
      <c r="AD180" s="77">
        <v>20</v>
      </c>
      <c r="AE180" s="77">
        <v>20</v>
      </c>
      <c r="AF180" s="77">
        <v>20</v>
      </c>
      <c r="AG180" s="77">
        <v>20</v>
      </c>
      <c r="AH180" s="77"/>
      <c r="AI180" s="77"/>
      <c r="AJ180" s="77"/>
    </row>
    <row r="181" spans="1:36" ht="12.75" x14ac:dyDescent="0.2">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row>
    <row r="182" spans="1:36" ht="12.75" x14ac:dyDescent="0.2">
      <c r="A182" s="77" t="s">
        <v>749</v>
      </c>
      <c r="B182" s="77">
        <v>2020</v>
      </c>
      <c r="C182" s="77">
        <v>2021</v>
      </c>
      <c r="D182" s="77">
        <v>2022</v>
      </c>
      <c r="E182" s="77">
        <v>2023</v>
      </c>
      <c r="F182" s="77">
        <v>2024</v>
      </c>
      <c r="G182" s="77">
        <v>2025</v>
      </c>
      <c r="H182" s="77">
        <v>2026</v>
      </c>
      <c r="I182" s="77">
        <v>2027</v>
      </c>
      <c r="J182" s="77">
        <v>2028</v>
      </c>
      <c r="K182" s="77">
        <v>2029</v>
      </c>
      <c r="L182" s="77">
        <v>2030</v>
      </c>
      <c r="M182" s="77">
        <v>2031</v>
      </c>
      <c r="N182" s="77">
        <v>2032</v>
      </c>
      <c r="O182" s="77">
        <v>2033</v>
      </c>
      <c r="P182" s="77">
        <v>2034</v>
      </c>
      <c r="Q182" s="77">
        <v>2035</v>
      </c>
      <c r="R182" s="77">
        <v>2036</v>
      </c>
      <c r="S182" s="77">
        <v>2037</v>
      </c>
      <c r="T182" s="77">
        <v>2038</v>
      </c>
      <c r="U182" s="77">
        <v>2039</v>
      </c>
      <c r="V182" s="77">
        <v>2040</v>
      </c>
      <c r="W182" s="77">
        <v>2041</v>
      </c>
      <c r="X182" s="77">
        <v>2042</v>
      </c>
      <c r="Y182" s="77">
        <v>2043</v>
      </c>
      <c r="Z182" s="77">
        <v>2044</v>
      </c>
      <c r="AA182" s="77">
        <v>2045</v>
      </c>
      <c r="AB182" s="77">
        <v>2046</v>
      </c>
      <c r="AC182" s="77">
        <v>2047</v>
      </c>
      <c r="AD182" s="77">
        <v>2048</v>
      </c>
      <c r="AE182" s="77">
        <v>2049</v>
      </c>
      <c r="AF182" s="77">
        <v>2050</v>
      </c>
      <c r="AG182" s="77"/>
      <c r="AH182" s="77"/>
      <c r="AI182" s="77"/>
      <c r="AJ182" s="77"/>
    </row>
    <row r="183" spans="1:36" ht="12.75" x14ac:dyDescent="0.2">
      <c r="A183" s="77" t="s">
        <v>750</v>
      </c>
      <c r="B183" s="77">
        <v>0.44</v>
      </c>
      <c r="C183" s="77">
        <v>0.44</v>
      </c>
      <c r="D183" s="77">
        <v>0.44</v>
      </c>
      <c r="E183" s="77">
        <v>0.44</v>
      </c>
      <c r="F183" s="77">
        <v>0.44</v>
      </c>
      <c r="G183" s="77">
        <v>0.44</v>
      </c>
      <c r="H183" s="77">
        <v>0.44</v>
      </c>
      <c r="I183" s="77">
        <v>0.44</v>
      </c>
      <c r="J183" s="77">
        <v>0.44</v>
      </c>
      <c r="K183" s="77">
        <v>0.44</v>
      </c>
      <c r="L183" s="77">
        <v>0.44</v>
      </c>
      <c r="M183" s="77">
        <v>0.44</v>
      </c>
      <c r="N183" s="77">
        <v>0.44</v>
      </c>
      <c r="O183" s="77">
        <v>0.44</v>
      </c>
      <c r="P183" s="77">
        <v>0.44</v>
      </c>
      <c r="Q183" s="77">
        <v>0.44</v>
      </c>
      <c r="R183" s="77">
        <v>0.44</v>
      </c>
      <c r="S183" s="77">
        <v>0.44</v>
      </c>
      <c r="T183" s="77">
        <v>0.44</v>
      </c>
      <c r="U183" s="77">
        <v>0.44</v>
      </c>
      <c r="V183" s="77">
        <v>0.44</v>
      </c>
      <c r="W183" s="77">
        <v>0.44</v>
      </c>
      <c r="X183" s="77">
        <v>0.44</v>
      </c>
      <c r="Y183" s="77">
        <v>0.44</v>
      </c>
      <c r="Z183" s="77">
        <v>0.44</v>
      </c>
      <c r="AA183" s="77">
        <v>0.44</v>
      </c>
      <c r="AB183" s="77">
        <v>0.44</v>
      </c>
      <c r="AC183" s="77">
        <v>0.44</v>
      </c>
      <c r="AD183" s="77">
        <v>0.44</v>
      </c>
      <c r="AE183" s="77">
        <v>0.44</v>
      </c>
      <c r="AF183" s="77">
        <v>0.44</v>
      </c>
      <c r="AG183" s="77"/>
      <c r="AH183" s="77"/>
      <c r="AI183" s="77"/>
      <c r="AJ183" s="77"/>
    </row>
    <row r="184" spans="1:36" ht="12.75" x14ac:dyDescent="0.2">
      <c r="A184" s="77" t="s">
        <v>751</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752</v>
      </c>
      <c r="B185" s="77">
        <v>0.48399999999999999</v>
      </c>
      <c r="C185" s="77">
        <v>0.48399999999999999</v>
      </c>
      <c r="D185" s="77">
        <v>0.48399999999999999</v>
      </c>
      <c r="E185" s="77">
        <v>0.48399999999999999</v>
      </c>
      <c r="F185" s="77">
        <v>0.48399999999999999</v>
      </c>
      <c r="G185" s="77">
        <v>0.48399999999999999</v>
      </c>
      <c r="H185" s="77">
        <v>0.48399999999999999</v>
      </c>
      <c r="I185" s="77">
        <v>0.48399999999999999</v>
      </c>
      <c r="J185" s="77">
        <v>0.48399999999999999</v>
      </c>
      <c r="K185" s="77">
        <v>0.48399999999999999</v>
      </c>
      <c r="L185" s="77">
        <v>0.48399999999999999</v>
      </c>
      <c r="M185" s="77">
        <v>0.48399999999999999</v>
      </c>
      <c r="N185" s="77">
        <v>0.48399999999999999</v>
      </c>
      <c r="O185" s="77">
        <v>0.48399999999999999</v>
      </c>
      <c r="P185" s="77">
        <v>0.48399999999999999</v>
      </c>
      <c r="Q185" s="77">
        <v>0.48399999999999999</v>
      </c>
      <c r="R185" s="77">
        <v>0.48399999999999999</v>
      </c>
      <c r="S185" s="77">
        <v>0.48399999999999999</v>
      </c>
      <c r="T185" s="77">
        <v>0.48399999999999999</v>
      </c>
      <c r="U185" s="77">
        <v>0.48399999999999999</v>
      </c>
      <c r="V185" s="77">
        <v>0.48399999999999999</v>
      </c>
      <c r="W185" s="77">
        <v>0.48399999999999999</v>
      </c>
      <c r="X185" s="77">
        <v>0.48399999999999999</v>
      </c>
      <c r="Y185" s="77">
        <v>0.48399999999999999</v>
      </c>
      <c r="Z185" s="77">
        <v>0.48399999999999999</v>
      </c>
      <c r="AA185" s="77">
        <v>0.48399999999999999</v>
      </c>
      <c r="AB185" s="77">
        <v>0.48399999999999999</v>
      </c>
      <c r="AC185" s="77">
        <v>0.48399999999999999</v>
      </c>
      <c r="AD185" s="77">
        <v>0.48399999999999999</v>
      </c>
      <c r="AE185" s="77">
        <v>0.48399999999999999</v>
      </c>
      <c r="AF185" s="77">
        <v>0.48399999999999999</v>
      </c>
      <c r="AG185" s="77"/>
      <c r="AH185" s="77"/>
      <c r="AI185" s="77"/>
      <c r="AJ185" s="77"/>
    </row>
    <row r="186" spans="1:36" ht="12.75" x14ac:dyDescent="0.2">
      <c r="A186" s="77" t="s">
        <v>753</v>
      </c>
      <c r="B186" s="77">
        <v>0.14199999999999999</v>
      </c>
      <c r="C186" s="77">
        <v>0.14199999999999999</v>
      </c>
      <c r="D186" s="77">
        <v>0.14199999999999999</v>
      </c>
      <c r="E186" s="77">
        <v>0.14199999999999999</v>
      </c>
      <c r="F186" s="77">
        <v>0.14199999999999999</v>
      </c>
      <c r="G186" s="77">
        <v>0.14199999999999999</v>
      </c>
      <c r="H186" s="77">
        <v>0.14199999999999999</v>
      </c>
      <c r="I186" s="77">
        <v>0.14199999999999999</v>
      </c>
      <c r="J186" s="77">
        <v>0.14199999999999999</v>
      </c>
      <c r="K186" s="77">
        <v>0.14199999999999999</v>
      </c>
      <c r="L186" s="77">
        <v>0.14199999999999999</v>
      </c>
      <c r="M186" s="77">
        <v>0.14199999999999999</v>
      </c>
      <c r="N186" s="77">
        <v>0.14199999999999999</v>
      </c>
      <c r="O186" s="77">
        <v>0.14199999999999999</v>
      </c>
      <c r="P186" s="77">
        <v>0.14199999999999999</v>
      </c>
      <c r="Q186" s="77">
        <v>0.14199999999999999</v>
      </c>
      <c r="R186" s="77">
        <v>0.14199999999999999</v>
      </c>
      <c r="S186" s="77">
        <v>0.14199999999999999</v>
      </c>
      <c r="T186" s="77">
        <v>0.14199999999999999</v>
      </c>
      <c r="U186" s="77">
        <v>0.14199999999999999</v>
      </c>
      <c r="V186" s="77">
        <v>0.14199999999999999</v>
      </c>
      <c r="W186" s="77">
        <v>0.14199999999999999</v>
      </c>
      <c r="X186" s="77">
        <v>0.14199999999999999</v>
      </c>
      <c r="Y186" s="77">
        <v>0.14199999999999999</v>
      </c>
      <c r="Z186" s="77">
        <v>0.14199999999999999</v>
      </c>
      <c r="AA186" s="77">
        <v>0.14199999999999999</v>
      </c>
      <c r="AB186" s="77">
        <v>0.14199999999999999</v>
      </c>
      <c r="AC186" s="77">
        <v>0.14199999999999999</v>
      </c>
      <c r="AD186" s="77">
        <v>0.14199999999999999</v>
      </c>
      <c r="AE186" s="77">
        <v>0.14199999999999999</v>
      </c>
      <c r="AF186" s="77">
        <v>0.14199999999999999</v>
      </c>
      <c r="AG186" s="77"/>
      <c r="AH186" s="77"/>
      <c r="AI186" s="77"/>
      <c r="AJ186" s="77"/>
    </row>
    <row r="187" spans="1:36" ht="12.75" x14ac:dyDescent="0.2">
      <c r="A187" s="77" t="s">
        <v>754</v>
      </c>
      <c r="B187" s="77">
        <v>0.56999999999999995</v>
      </c>
      <c r="C187" s="77">
        <v>0.56999999999999995</v>
      </c>
      <c r="D187" s="77">
        <v>0.56999999999999995</v>
      </c>
      <c r="E187" s="77">
        <v>0.56999999999999995</v>
      </c>
      <c r="F187" s="77">
        <v>0.56999999999999995</v>
      </c>
      <c r="G187" s="77">
        <v>0.56999999999999995</v>
      </c>
      <c r="H187" s="77">
        <v>0.56999999999999995</v>
      </c>
      <c r="I187" s="77">
        <v>0.56999999999999995</v>
      </c>
      <c r="J187" s="77">
        <v>0.56999999999999995</v>
      </c>
      <c r="K187" s="77">
        <v>0.56999999999999995</v>
      </c>
      <c r="L187" s="77">
        <v>0.56999999999999995</v>
      </c>
      <c r="M187" s="77">
        <v>0.56999999999999995</v>
      </c>
      <c r="N187" s="77">
        <v>0.56999999999999995</v>
      </c>
      <c r="O187" s="77">
        <v>0.56999999999999995</v>
      </c>
      <c r="P187" s="77">
        <v>0.56999999999999995</v>
      </c>
      <c r="Q187" s="77">
        <v>0.56999999999999995</v>
      </c>
      <c r="R187" s="77">
        <v>0.56999999999999995</v>
      </c>
      <c r="S187" s="77">
        <v>0.56999999999999995</v>
      </c>
      <c r="T187" s="77">
        <v>0.56999999999999995</v>
      </c>
      <c r="U187" s="77">
        <v>0.56999999999999995</v>
      </c>
      <c r="V187" s="77">
        <v>0.56999999999999995</v>
      </c>
      <c r="W187" s="77">
        <v>0.56999999999999995</v>
      </c>
      <c r="X187" s="77">
        <v>0.56999999999999995</v>
      </c>
      <c r="Y187" s="77">
        <v>0.56999999999999995</v>
      </c>
      <c r="Z187" s="77">
        <v>0.56999999999999995</v>
      </c>
      <c r="AA187" s="77">
        <v>0.56999999999999995</v>
      </c>
      <c r="AB187" s="77">
        <v>0.56999999999999995</v>
      </c>
      <c r="AC187" s="77">
        <v>0.56999999999999995</v>
      </c>
      <c r="AD187" s="77">
        <v>0.56999999999999995</v>
      </c>
      <c r="AE187" s="77">
        <v>0.56999999999999995</v>
      </c>
      <c r="AF187" s="77">
        <v>0.56999999999999995</v>
      </c>
      <c r="AG187" s="77"/>
      <c r="AH187" s="77"/>
      <c r="AI187" s="77"/>
      <c r="AJ187" s="77"/>
    </row>
    <row r="188" spans="1:36" ht="12.75" x14ac:dyDescent="0.2">
      <c r="A188" s="77" t="s">
        <v>755</v>
      </c>
      <c r="B188" s="77">
        <v>0.627</v>
      </c>
      <c r="C188" s="77">
        <v>0.627</v>
      </c>
      <c r="D188" s="77">
        <v>0.627</v>
      </c>
      <c r="E188" s="77">
        <v>0.627</v>
      </c>
      <c r="F188" s="77">
        <v>0.627</v>
      </c>
      <c r="G188" s="77">
        <v>0.627</v>
      </c>
      <c r="H188" s="77">
        <v>0.627</v>
      </c>
      <c r="I188" s="77">
        <v>0.627</v>
      </c>
      <c r="J188" s="77">
        <v>0.627</v>
      </c>
      <c r="K188" s="77">
        <v>0.627</v>
      </c>
      <c r="L188" s="77">
        <v>0.627</v>
      </c>
      <c r="M188" s="77">
        <v>0.627</v>
      </c>
      <c r="N188" s="77">
        <v>0.627</v>
      </c>
      <c r="O188" s="77">
        <v>0.627</v>
      </c>
      <c r="P188" s="77">
        <v>0.627</v>
      </c>
      <c r="Q188" s="77">
        <v>0.627</v>
      </c>
      <c r="R188" s="77">
        <v>0.627</v>
      </c>
      <c r="S188" s="77">
        <v>0.627</v>
      </c>
      <c r="T188" s="77">
        <v>0.627</v>
      </c>
      <c r="U188" s="77">
        <v>0.627</v>
      </c>
      <c r="V188" s="77">
        <v>0.627</v>
      </c>
      <c r="W188" s="77">
        <v>0.627</v>
      </c>
      <c r="X188" s="77">
        <v>0.627</v>
      </c>
      <c r="Y188" s="77">
        <v>0.627</v>
      </c>
      <c r="Z188" s="77">
        <v>0.627</v>
      </c>
      <c r="AA188" s="77">
        <v>0.627</v>
      </c>
      <c r="AB188" s="77">
        <v>0.627</v>
      </c>
      <c r="AC188" s="77">
        <v>0.627</v>
      </c>
      <c r="AD188" s="77">
        <v>0.627</v>
      </c>
      <c r="AE188" s="77">
        <v>0.627</v>
      </c>
      <c r="AF188" s="77">
        <v>0.627</v>
      </c>
      <c r="AG188" s="77"/>
      <c r="AH188" s="77"/>
      <c r="AI188" s="77"/>
      <c r="AJ188" s="77"/>
    </row>
    <row r="189" spans="1:36" ht="12.75" x14ac:dyDescent="0.2">
      <c r="A189" s="77" t="s">
        <v>756</v>
      </c>
      <c r="B189" s="77">
        <v>0.92400000000000004</v>
      </c>
      <c r="C189" s="77">
        <v>0.92400000000000004</v>
      </c>
      <c r="D189" s="77">
        <v>0.92400000000000004</v>
      </c>
      <c r="E189" s="77">
        <v>0.92400000000000004</v>
      </c>
      <c r="F189" s="77">
        <v>0.92400000000000004</v>
      </c>
      <c r="G189" s="77">
        <v>0.92400000000000004</v>
      </c>
      <c r="H189" s="77">
        <v>0.92400000000000004</v>
      </c>
      <c r="I189" s="77">
        <v>0.92400000000000004</v>
      </c>
      <c r="J189" s="77">
        <v>0.92400000000000004</v>
      </c>
      <c r="K189" s="77">
        <v>0.92400000000000004</v>
      </c>
      <c r="L189" s="77">
        <v>0.92400000000000004</v>
      </c>
      <c r="M189" s="77">
        <v>0.92400000000000004</v>
      </c>
      <c r="N189" s="77">
        <v>0.92400000000000004</v>
      </c>
      <c r="O189" s="77">
        <v>0.92400000000000004</v>
      </c>
      <c r="P189" s="77">
        <v>0.92400000000000004</v>
      </c>
      <c r="Q189" s="77">
        <v>0.92400000000000004</v>
      </c>
      <c r="R189" s="77">
        <v>0.92400000000000004</v>
      </c>
      <c r="S189" s="77">
        <v>0.92400000000000004</v>
      </c>
      <c r="T189" s="77">
        <v>0.92400000000000004</v>
      </c>
      <c r="U189" s="77">
        <v>0.92400000000000004</v>
      </c>
      <c r="V189" s="77">
        <v>0.92400000000000004</v>
      </c>
      <c r="W189" s="77">
        <v>0.92400000000000004</v>
      </c>
      <c r="X189" s="77">
        <v>0.92400000000000004</v>
      </c>
      <c r="Y189" s="77">
        <v>0.92400000000000004</v>
      </c>
      <c r="Z189" s="77">
        <v>0.92400000000000004</v>
      </c>
      <c r="AA189" s="77">
        <v>0.92400000000000004</v>
      </c>
      <c r="AB189" s="77">
        <v>0.92400000000000004</v>
      </c>
      <c r="AC189" s="77">
        <v>0.92400000000000004</v>
      </c>
      <c r="AD189" s="77">
        <v>0.92400000000000004</v>
      </c>
      <c r="AE189" s="77">
        <v>0.92400000000000004</v>
      </c>
      <c r="AF189" s="77">
        <v>0.92400000000000004</v>
      </c>
      <c r="AG189" s="77"/>
      <c r="AH189" s="77"/>
      <c r="AI189" s="77"/>
      <c r="AJ189" s="77"/>
    </row>
    <row r="190" spans="1:36" ht="12.75" x14ac:dyDescent="0.2">
      <c r="A190" s="77" t="s">
        <v>757</v>
      </c>
      <c r="B190" s="77">
        <v>0</v>
      </c>
      <c r="C190" s="77">
        <v>0</v>
      </c>
      <c r="D190" s="77">
        <v>0</v>
      </c>
      <c r="E190" s="77">
        <v>0</v>
      </c>
      <c r="F190" s="77">
        <v>0</v>
      </c>
      <c r="G190" s="77">
        <v>0</v>
      </c>
      <c r="H190" s="77">
        <v>0</v>
      </c>
      <c r="I190" s="77">
        <v>0</v>
      </c>
      <c r="J190" s="77">
        <v>0</v>
      </c>
      <c r="K190" s="122">
        <v>0</v>
      </c>
      <c r="L190" s="122">
        <v>0</v>
      </c>
      <c r="M190" s="122">
        <v>0</v>
      </c>
      <c r="N190" s="122">
        <v>0</v>
      </c>
      <c r="O190" s="122">
        <v>0</v>
      </c>
      <c r="P190" s="122">
        <v>0</v>
      </c>
      <c r="Q190" s="122">
        <v>0</v>
      </c>
      <c r="R190" s="122">
        <v>0</v>
      </c>
      <c r="S190" s="122">
        <v>0</v>
      </c>
      <c r="T190" s="122">
        <v>0</v>
      </c>
      <c r="U190" s="122">
        <v>0</v>
      </c>
      <c r="V190" s="122">
        <v>0</v>
      </c>
      <c r="W190" s="122">
        <v>0</v>
      </c>
      <c r="X190" s="122">
        <v>0</v>
      </c>
      <c r="Y190" s="122">
        <v>0</v>
      </c>
      <c r="Z190" s="122">
        <v>0</v>
      </c>
      <c r="AA190" s="122">
        <v>0</v>
      </c>
      <c r="AB190" s="122">
        <v>0</v>
      </c>
      <c r="AC190" s="122">
        <v>0</v>
      </c>
      <c r="AD190" s="122">
        <v>0</v>
      </c>
      <c r="AE190" s="122">
        <v>0</v>
      </c>
      <c r="AF190" s="122">
        <v>0</v>
      </c>
      <c r="AG190" s="122"/>
      <c r="AH190" s="122"/>
      <c r="AI190" s="122"/>
      <c r="AJ190" s="122"/>
    </row>
    <row r="191" spans="1:36" ht="12.75" x14ac:dyDescent="0.2">
      <c r="A191" s="77" t="s">
        <v>758</v>
      </c>
      <c r="B191" s="77">
        <v>0.92400000000000004</v>
      </c>
      <c r="C191" s="77">
        <v>0.92400000000000004</v>
      </c>
      <c r="D191" s="77">
        <v>0.92400000000000004</v>
      </c>
      <c r="E191" s="77">
        <v>0.92400000000000004</v>
      </c>
      <c r="F191" s="77">
        <v>0.92400000000000004</v>
      </c>
      <c r="G191" s="77">
        <v>0.92400000000000004</v>
      </c>
      <c r="H191" s="77">
        <v>0.92400000000000004</v>
      </c>
      <c r="I191" s="77">
        <v>0.92400000000000004</v>
      </c>
      <c r="J191" s="77">
        <v>0.92400000000000004</v>
      </c>
      <c r="K191" s="77">
        <v>0.92400000000000004</v>
      </c>
      <c r="L191" s="77">
        <v>0.92400000000000004</v>
      </c>
      <c r="M191" s="77">
        <v>0.92400000000000004</v>
      </c>
      <c r="N191" s="77">
        <v>0.92400000000000004</v>
      </c>
      <c r="O191" s="77">
        <v>0.92400000000000004</v>
      </c>
      <c r="P191" s="77">
        <v>0.92400000000000004</v>
      </c>
      <c r="Q191" s="77">
        <v>0.92400000000000004</v>
      </c>
      <c r="R191" s="77">
        <v>0.92400000000000004</v>
      </c>
      <c r="S191" s="77">
        <v>0.92400000000000004</v>
      </c>
      <c r="T191" s="77">
        <v>0.92400000000000004</v>
      </c>
      <c r="U191" s="77">
        <v>0.92400000000000004</v>
      </c>
      <c r="V191" s="77">
        <v>0.92400000000000004</v>
      </c>
      <c r="W191" s="77">
        <v>0.92400000000000004</v>
      </c>
      <c r="X191" s="77">
        <v>0.92400000000000004</v>
      </c>
      <c r="Y191" s="77">
        <v>0.92400000000000004</v>
      </c>
      <c r="Z191" s="77">
        <v>0.92400000000000004</v>
      </c>
      <c r="AA191" s="77">
        <v>0.92400000000000004</v>
      </c>
      <c r="AB191" s="77">
        <v>0.92400000000000004</v>
      </c>
      <c r="AC191" s="77">
        <v>0.92400000000000004</v>
      </c>
      <c r="AD191" s="77">
        <v>0.92400000000000004</v>
      </c>
      <c r="AE191" s="77">
        <v>0.92400000000000004</v>
      </c>
      <c r="AF191" s="77">
        <v>0.92400000000000004</v>
      </c>
      <c r="AG191" s="77"/>
      <c r="AH191" s="77"/>
      <c r="AI191" s="77"/>
      <c r="AJ191" s="77"/>
    </row>
    <row r="192" spans="1:36" ht="12.75" x14ac:dyDescent="0.2">
      <c r="A192" s="77" t="s">
        <v>759</v>
      </c>
      <c r="B192" s="77">
        <v>0.40699999999999997</v>
      </c>
      <c r="C192" s="77">
        <v>0.40699999999999997</v>
      </c>
      <c r="D192" s="77">
        <v>0.40699999999999997</v>
      </c>
      <c r="E192" s="77">
        <v>0.40699999999999997</v>
      </c>
      <c r="F192" s="77">
        <v>0.40699999999999997</v>
      </c>
      <c r="G192" s="77">
        <v>0.40699999999999997</v>
      </c>
      <c r="H192" s="77">
        <v>0.40699999999999997</v>
      </c>
      <c r="I192" s="77">
        <v>0.40699999999999997</v>
      </c>
      <c r="J192" s="77">
        <v>0.40699999999999997</v>
      </c>
      <c r="K192" s="77">
        <v>0.40699999999999997</v>
      </c>
      <c r="L192" s="77">
        <v>0.40699999999999997</v>
      </c>
      <c r="M192" s="77">
        <v>0.40699999999999997</v>
      </c>
      <c r="N192" s="77">
        <v>0.40699999999999997</v>
      </c>
      <c r="O192" s="77">
        <v>0.40699999999999997</v>
      </c>
      <c r="P192" s="77">
        <v>0.40699999999999997</v>
      </c>
      <c r="Q192" s="77">
        <v>0.40699999999999997</v>
      </c>
      <c r="R192" s="77">
        <v>0.40699999999999997</v>
      </c>
      <c r="S192" s="77">
        <v>0.40699999999999997</v>
      </c>
      <c r="T192" s="77">
        <v>0.40699999999999997</v>
      </c>
      <c r="U192" s="77">
        <v>0.40699999999999997</v>
      </c>
      <c r="V192" s="77">
        <v>0.40699999999999997</v>
      </c>
      <c r="W192" s="77">
        <v>0.40699999999999997</v>
      </c>
      <c r="X192" s="77">
        <v>0.40699999999999997</v>
      </c>
      <c r="Y192" s="77">
        <v>0.40699999999999997</v>
      </c>
      <c r="Z192" s="77">
        <v>0.40699999999999997</v>
      </c>
      <c r="AA192" s="77">
        <v>0.40699999999999997</v>
      </c>
      <c r="AB192" s="77">
        <v>0.40699999999999997</v>
      </c>
      <c r="AC192" s="77">
        <v>0.40699999999999997</v>
      </c>
      <c r="AD192" s="77">
        <v>0.40699999999999997</v>
      </c>
      <c r="AE192" s="77">
        <v>0.40699999999999997</v>
      </c>
      <c r="AF192" s="77">
        <v>0.40699999999999997</v>
      </c>
      <c r="AG192" s="77"/>
      <c r="AH192" s="77"/>
      <c r="AI192" s="77"/>
      <c r="AJ192" s="77"/>
    </row>
    <row r="193" spans="1:36" ht="12.75" x14ac:dyDescent="0.2">
      <c r="A193" s="77" t="s">
        <v>760</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761</v>
      </c>
      <c r="B194" s="77">
        <v>0.44800000000000001</v>
      </c>
      <c r="C194" s="77">
        <v>0.44800000000000001</v>
      </c>
      <c r="D194" s="77">
        <v>0.44800000000000001</v>
      </c>
      <c r="E194" s="77">
        <v>0.44800000000000001</v>
      </c>
      <c r="F194" s="77">
        <v>0.44800000000000001</v>
      </c>
      <c r="G194" s="77">
        <v>0.44800000000000001</v>
      </c>
      <c r="H194" s="77">
        <v>0.44800000000000001</v>
      </c>
      <c r="I194" s="77">
        <v>0.44800000000000001</v>
      </c>
      <c r="J194" s="77">
        <v>0.44800000000000001</v>
      </c>
      <c r="K194" s="77">
        <v>0.44800000000000001</v>
      </c>
      <c r="L194" s="77">
        <v>0.44800000000000001</v>
      </c>
      <c r="M194" s="77">
        <v>0.44800000000000001</v>
      </c>
      <c r="N194" s="77">
        <v>0.44800000000000001</v>
      </c>
      <c r="O194" s="77">
        <v>0.44800000000000001</v>
      </c>
      <c r="P194" s="77">
        <v>0.44800000000000001</v>
      </c>
      <c r="Q194" s="77">
        <v>0.44800000000000001</v>
      </c>
      <c r="R194" s="77">
        <v>0.44800000000000001</v>
      </c>
      <c r="S194" s="77">
        <v>0.44800000000000001</v>
      </c>
      <c r="T194" s="77">
        <v>0.44800000000000001</v>
      </c>
      <c r="U194" s="77">
        <v>0.44800000000000001</v>
      </c>
      <c r="V194" s="77">
        <v>0.44800000000000001</v>
      </c>
      <c r="W194" s="77">
        <v>0.44800000000000001</v>
      </c>
      <c r="X194" s="77">
        <v>0.44800000000000001</v>
      </c>
      <c r="Y194" s="77">
        <v>0.44800000000000001</v>
      </c>
      <c r="Z194" s="77">
        <v>0.44800000000000001</v>
      </c>
      <c r="AA194" s="77">
        <v>0.44800000000000001</v>
      </c>
      <c r="AB194" s="77">
        <v>0.44800000000000001</v>
      </c>
      <c r="AC194" s="77">
        <v>0.44800000000000001</v>
      </c>
      <c r="AD194" s="77">
        <v>0.44800000000000001</v>
      </c>
      <c r="AE194" s="77">
        <v>0.44800000000000001</v>
      </c>
      <c r="AF194" s="77">
        <v>0.44800000000000001</v>
      </c>
      <c r="AG194" s="77"/>
      <c r="AH194" s="77"/>
      <c r="AI194" s="77"/>
      <c r="AJ194" s="77"/>
    </row>
    <row r="195" spans="1:36" ht="12.75" x14ac:dyDescent="0.2">
      <c r="A195" s="77" t="s">
        <v>762</v>
      </c>
      <c r="B195" s="77">
        <v>0.35299999999999998</v>
      </c>
      <c r="C195" s="77">
        <v>0.35299999999999998</v>
      </c>
      <c r="D195" s="77">
        <v>0.35299999999999998</v>
      </c>
      <c r="E195" s="77">
        <v>0.35299999999999998</v>
      </c>
      <c r="F195" s="77">
        <v>0.35299999999999998</v>
      </c>
      <c r="G195" s="77">
        <v>0.35299999999999998</v>
      </c>
      <c r="H195" s="77">
        <v>0.35299999999999998</v>
      </c>
      <c r="I195" s="77">
        <v>0.35299999999999998</v>
      </c>
      <c r="J195" s="77">
        <v>0.35299999999999998</v>
      </c>
      <c r="K195" s="77">
        <v>0.35299999999999998</v>
      </c>
      <c r="L195" s="77">
        <v>0.35299999999999998</v>
      </c>
      <c r="M195" s="77">
        <v>0.35299999999999998</v>
      </c>
      <c r="N195" s="77">
        <v>0.35299999999999998</v>
      </c>
      <c r="O195" s="77">
        <v>0.35299999999999998</v>
      </c>
      <c r="P195" s="77">
        <v>0.35299999999999998</v>
      </c>
      <c r="Q195" s="77">
        <v>0.35299999999999998</v>
      </c>
      <c r="R195" s="77">
        <v>0.35299999999999998</v>
      </c>
      <c r="S195" s="77">
        <v>0.35299999999999998</v>
      </c>
      <c r="T195" s="77">
        <v>0.35299999999999998</v>
      </c>
      <c r="U195" s="77">
        <v>0.35299999999999998</v>
      </c>
      <c r="V195" s="77">
        <v>0.35299999999999998</v>
      </c>
      <c r="W195" s="77">
        <v>0.35299999999999998</v>
      </c>
      <c r="X195" s="77">
        <v>0.35299999999999998</v>
      </c>
      <c r="Y195" s="77">
        <v>0.35299999999999998</v>
      </c>
      <c r="Z195" s="77">
        <v>0.35299999999999998</v>
      </c>
      <c r="AA195" s="77">
        <v>0.35299999999999998</v>
      </c>
      <c r="AB195" s="77">
        <v>0.35299999999999998</v>
      </c>
      <c r="AC195" s="77">
        <v>0.35299999999999998</v>
      </c>
      <c r="AD195" s="77">
        <v>0.35299999999999998</v>
      </c>
      <c r="AE195" s="77">
        <v>0.35299999999999998</v>
      </c>
      <c r="AF195" s="77">
        <v>0.35299999999999998</v>
      </c>
      <c r="AG195" s="77"/>
      <c r="AH195" s="77"/>
      <c r="AI195" s="77"/>
      <c r="AJ195" s="77"/>
    </row>
    <row r="196" spans="1:36" ht="12.75" x14ac:dyDescent="0.2">
      <c r="A196" s="77" t="s">
        <v>763</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764</v>
      </c>
      <c r="B197" s="77">
        <v>0.40100000000000002</v>
      </c>
      <c r="C197" s="77">
        <v>0.40400000000000003</v>
      </c>
      <c r="D197" s="77">
        <v>0.40699999999999997</v>
      </c>
      <c r="E197" s="77">
        <v>0.41</v>
      </c>
      <c r="F197" s="77">
        <v>0.41299999999999998</v>
      </c>
      <c r="G197" s="77">
        <v>0.41499999999999998</v>
      </c>
      <c r="H197" s="77">
        <v>0.41799999999999998</v>
      </c>
      <c r="I197" s="77">
        <v>0.42099999999999999</v>
      </c>
      <c r="J197" s="77">
        <v>0.42399999999999999</v>
      </c>
      <c r="K197" s="77">
        <v>0.42699999999999999</v>
      </c>
      <c r="L197" s="77">
        <v>0.43</v>
      </c>
      <c r="M197" s="77">
        <v>0.43099999999999999</v>
      </c>
      <c r="N197" s="77">
        <v>0.43099999999999999</v>
      </c>
      <c r="O197" s="77">
        <v>0.432</v>
      </c>
      <c r="P197" s="77">
        <v>0.433</v>
      </c>
      <c r="Q197" s="77">
        <v>0.434</v>
      </c>
      <c r="R197" s="77">
        <v>0.434</v>
      </c>
      <c r="S197" s="77">
        <v>0.435</v>
      </c>
      <c r="T197" s="77">
        <v>0.436</v>
      </c>
      <c r="U197" s="77">
        <v>0.437</v>
      </c>
      <c r="V197" s="77">
        <v>0.437</v>
      </c>
      <c r="W197" s="77">
        <v>0.438</v>
      </c>
      <c r="X197" s="77">
        <v>0.439</v>
      </c>
      <c r="Y197" s="77">
        <v>0.44</v>
      </c>
      <c r="Z197" s="77">
        <v>0.44</v>
      </c>
      <c r="AA197" s="77">
        <v>0.441</v>
      </c>
      <c r="AB197" s="77">
        <v>0.442</v>
      </c>
      <c r="AC197" s="77">
        <v>0.443</v>
      </c>
      <c r="AD197" s="77">
        <v>0.443</v>
      </c>
      <c r="AE197" s="77">
        <v>0.44400000000000001</v>
      </c>
      <c r="AF197" s="77">
        <v>0.44500000000000001</v>
      </c>
      <c r="AG197" s="77"/>
      <c r="AH197" s="77"/>
      <c r="AI197" s="77"/>
      <c r="AJ197" s="77"/>
    </row>
    <row r="198" spans="1:36" ht="12.75" x14ac:dyDescent="0.2">
      <c r="A198" s="77" t="s">
        <v>765</v>
      </c>
      <c r="B198" s="77">
        <v>0.24199999999999999</v>
      </c>
      <c r="C198" s="77">
        <v>0.24199999999999999</v>
      </c>
      <c r="D198" s="77">
        <v>0.24199999999999999</v>
      </c>
      <c r="E198" s="77">
        <v>0.24199999999999999</v>
      </c>
      <c r="F198" s="77">
        <v>0.24199999999999999</v>
      </c>
      <c r="G198" s="77">
        <v>0.24199999999999999</v>
      </c>
      <c r="H198" s="77">
        <v>0.24199999999999999</v>
      </c>
      <c r="I198" s="77">
        <v>0.24199999999999999</v>
      </c>
      <c r="J198" s="77">
        <v>0.24199999999999999</v>
      </c>
      <c r="K198" s="77">
        <v>0.24199999999999999</v>
      </c>
      <c r="L198" s="77">
        <v>0.24199999999999999</v>
      </c>
      <c r="M198" s="77">
        <v>0.24199999999999999</v>
      </c>
      <c r="N198" s="77">
        <v>0.24199999999999999</v>
      </c>
      <c r="O198" s="77">
        <v>0.24199999999999999</v>
      </c>
      <c r="P198" s="77">
        <v>0.24199999999999999</v>
      </c>
      <c r="Q198" s="77">
        <v>0.24199999999999999</v>
      </c>
      <c r="R198" s="77">
        <v>0.24199999999999999</v>
      </c>
      <c r="S198" s="77">
        <v>0.24199999999999999</v>
      </c>
      <c r="T198" s="77">
        <v>0.24199999999999999</v>
      </c>
      <c r="U198" s="77">
        <v>0.24199999999999999</v>
      </c>
      <c r="V198" s="77">
        <v>0.24199999999999999</v>
      </c>
      <c r="W198" s="77">
        <v>0.24199999999999999</v>
      </c>
      <c r="X198" s="77">
        <v>0.24199999999999999</v>
      </c>
      <c r="Y198" s="77">
        <v>0.24199999999999999</v>
      </c>
      <c r="Z198" s="77">
        <v>0.24199999999999999</v>
      </c>
      <c r="AA198" s="77">
        <v>0.24199999999999999</v>
      </c>
      <c r="AB198" s="77">
        <v>0.24199999999999999</v>
      </c>
      <c r="AC198" s="77">
        <v>0.24199999999999999</v>
      </c>
      <c r="AD198" s="77">
        <v>0.24199999999999999</v>
      </c>
      <c r="AE198" s="77">
        <v>0.24199999999999999</v>
      </c>
      <c r="AF198" s="77">
        <v>0.24199999999999999</v>
      </c>
      <c r="AG198" s="77"/>
      <c r="AH198" s="77"/>
      <c r="AI198" s="77"/>
      <c r="AJ198" s="77"/>
    </row>
    <row r="199" spans="1:36" ht="12.75" x14ac:dyDescent="0.2">
      <c r="A199" s="77" t="s">
        <v>766</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767</v>
      </c>
      <c r="B200" s="77">
        <v>0.24299999999999999</v>
      </c>
      <c r="C200" s="77">
        <v>0.245</v>
      </c>
      <c r="D200" s="77">
        <v>0.247</v>
      </c>
      <c r="E200" s="77">
        <v>0.249</v>
      </c>
      <c r="F200" s="77">
        <v>0.252</v>
      </c>
      <c r="G200" s="77">
        <v>0.254</v>
      </c>
      <c r="H200" s="77">
        <v>0.25600000000000001</v>
      </c>
      <c r="I200" s="77">
        <v>0.25900000000000001</v>
      </c>
      <c r="J200" s="77">
        <v>0.26100000000000001</v>
      </c>
      <c r="K200" s="77">
        <v>0.26300000000000001</v>
      </c>
      <c r="L200" s="77">
        <v>0.26600000000000001</v>
      </c>
      <c r="M200" s="77">
        <v>0.26700000000000002</v>
      </c>
      <c r="N200" s="77">
        <v>0.26800000000000002</v>
      </c>
      <c r="O200" s="77">
        <v>0.26900000000000002</v>
      </c>
      <c r="P200" s="77">
        <v>0.27</v>
      </c>
      <c r="Q200" s="77">
        <v>0.27100000000000002</v>
      </c>
      <c r="R200" s="77">
        <v>0.27200000000000002</v>
      </c>
      <c r="S200" s="77">
        <v>0.27300000000000002</v>
      </c>
      <c r="T200" s="77">
        <v>0.27400000000000002</v>
      </c>
      <c r="U200" s="77">
        <v>0.27500000000000002</v>
      </c>
      <c r="V200" s="77">
        <v>0.27600000000000002</v>
      </c>
      <c r="W200" s="77">
        <v>0.27700000000000002</v>
      </c>
      <c r="X200" s="77">
        <v>0.27800000000000002</v>
      </c>
      <c r="Y200" s="77">
        <v>0.27900000000000003</v>
      </c>
      <c r="Z200" s="77">
        <v>0.28000000000000003</v>
      </c>
      <c r="AA200" s="77">
        <v>0.28100000000000003</v>
      </c>
      <c r="AB200" s="77">
        <v>0.28199999999999997</v>
      </c>
      <c r="AC200" s="77">
        <v>0.28299999999999997</v>
      </c>
      <c r="AD200" s="77">
        <v>0.28399999999999997</v>
      </c>
      <c r="AE200" s="77">
        <v>0.28499999999999998</v>
      </c>
      <c r="AF200" s="77">
        <v>0.28599999999999998</v>
      </c>
      <c r="AG200" s="77"/>
      <c r="AH200" s="77"/>
      <c r="AI200" s="77"/>
      <c r="AJ200" s="77"/>
    </row>
    <row r="201" spans="1:36" ht="12.75" x14ac:dyDescent="0.2">
      <c r="A201" s="77" t="s">
        <v>768</v>
      </c>
      <c r="B201" s="77">
        <v>0.20599999999999999</v>
      </c>
      <c r="C201" s="77">
        <v>0.20599999999999999</v>
      </c>
      <c r="D201" s="77">
        <v>0.20599999999999999</v>
      </c>
      <c r="E201" s="77">
        <v>0.20599999999999999</v>
      </c>
      <c r="F201" s="77">
        <v>0.20599999999999999</v>
      </c>
      <c r="G201" s="77">
        <v>0.20599999999999999</v>
      </c>
      <c r="H201" s="77">
        <v>0.20599999999999999</v>
      </c>
      <c r="I201" s="77">
        <v>0.20599999999999999</v>
      </c>
      <c r="J201" s="77">
        <v>0.20599999999999999</v>
      </c>
      <c r="K201" s="77">
        <v>0.20599999999999999</v>
      </c>
      <c r="L201" s="77">
        <v>0.20599999999999999</v>
      </c>
      <c r="M201" s="77">
        <v>0.20599999999999999</v>
      </c>
      <c r="N201" s="77">
        <v>0.20599999999999999</v>
      </c>
      <c r="O201" s="77">
        <v>0.20599999999999999</v>
      </c>
      <c r="P201" s="77">
        <v>0.20599999999999999</v>
      </c>
      <c r="Q201" s="77">
        <v>0.20599999999999999</v>
      </c>
      <c r="R201" s="77">
        <v>0.20599999999999999</v>
      </c>
      <c r="S201" s="77">
        <v>0.20599999999999999</v>
      </c>
      <c r="T201" s="77">
        <v>0.20599999999999999</v>
      </c>
      <c r="U201" s="77">
        <v>0.20599999999999999</v>
      </c>
      <c r="V201" s="77">
        <v>0.20599999999999999</v>
      </c>
      <c r="W201" s="77">
        <v>0.20599999999999999</v>
      </c>
      <c r="X201" s="77">
        <v>0.20599999999999999</v>
      </c>
      <c r="Y201" s="77">
        <v>0.20599999999999999</v>
      </c>
      <c r="Z201" s="77">
        <v>0.20599999999999999</v>
      </c>
      <c r="AA201" s="77">
        <v>0.20599999999999999</v>
      </c>
      <c r="AB201" s="77">
        <v>0.20599999999999999</v>
      </c>
      <c r="AC201" s="77">
        <v>0.20599999999999999</v>
      </c>
      <c r="AD201" s="77">
        <v>0.20599999999999999</v>
      </c>
      <c r="AE201" s="77">
        <v>0.20599999999999999</v>
      </c>
      <c r="AF201" s="77">
        <v>0.20599999999999999</v>
      </c>
      <c r="AG201" s="77"/>
      <c r="AH201" s="77"/>
      <c r="AI201" s="77"/>
      <c r="AJ201" s="77"/>
    </row>
    <row r="202" spans="1:36" ht="12.75" x14ac:dyDescent="0.2">
      <c r="A202" s="77" t="s">
        <v>769</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770</v>
      </c>
      <c r="B203" s="77">
        <v>0.57599999999999996</v>
      </c>
      <c r="C203" s="77">
        <v>0.57599999999999996</v>
      </c>
      <c r="D203" s="77">
        <v>0.57599999999999996</v>
      </c>
      <c r="E203" s="77">
        <v>0.57599999999999996</v>
      </c>
      <c r="F203" s="77">
        <v>0.57599999999999996</v>
      </c>
      <c r="G203" s="77">
        <v>0.57599999999999996</v>
      </c>
      <c r="H203" s="77">
        <v>0.57599999999999996</v>
      </c>
      <c r="I203" s="77">
        <v>0.57599999999999996</v>
      </c>
      <c r="J203" s="77">
        <v>0.57599999999999996</v>
      </c>
      <c r="K203" s="77">
        <v>0.57599999999999996</v>
      </c>
      <c r="L203" s="77">
        <v>0.57599999999999996</v>
      </c>
      <c r="M203" s="77">
        <v>0.57599999999999996</v>
      </c>
      <c r="N203" s="77">
        <v>0.57599999999999996</v>
      </c>
      <c r="O203" s="77">
        <v>0.57599999999999996</v>
      </c>
      <c r="P203" s="77">
        <v>0.57599999999999996</v>
      </c>
      <c r="Q203" s="77">
        <v>0.57599999999999996</v>
      </c>
      <c r="R203" s="77">
        <v>0.57599999999999996</v>
      </c>
      <c r="S203" s="77">
        <v>0.57599999999999996</v>
      </c>
      <c r="T203" s="77">
        <v>0.57599999999999996</v>
      </c>
      <c r="U203" s="77">
        <v>0.57599999999999996</v>
      </c>
      <c r="V203" s="77">
        <v>0.57599999999999996</v>
      </c>
      <c r="W203" s="77">
        <v>0.57599999999999996</v>
      </c>
      <c r="X203" s="77">
        <v>0.57599999999999996</v>
      </c>
      <c r="Y203" s="77">
        <v>0.57599999999999996</v>
      </c>
      <c r="Z203" s="77">
        <v>0.57599999999999996</v>
      </c>
      <c r="AA203" s="77">
        <v>0.57599999999999996</v>
      </c>
      <c r="AB203" s="77">
        <v>0.57599999999999996</v>
      </c>
      <c r="AC203" s="77">
        <v>0.57599999999999996</v>
      </c>
      <c r="AD203" s="77">
        <v>0.57599999999999996</v>
      </c>
      <c r="AE203" s="77">
        <v>0.57599999999999996</v>
      </c>
      <c r="AF203" s="77">
        <v>0.57599999999999996</v>
      </c>
      <c r="AG203" s="77"/>
      <c r="AH203" s="77"/>
      <c r="AI203" s="77"/>
      <c r="AJ203" s="77"/>
    </row>
    <row r="204" spans="1:36" ht="12.75" x14ac:dyDescent="0.2">
      <c r="A204" s="77" t="s">
        <v>771</v>
      </c>
      <c r="B204" s="77">
        <v>0.625</v>
      </c>
      <c r="C204" s="77">
        <v>0.625</v>
      </c>
      <c r="D204" s="77">
        <v>0.625</v>
      </c>
      <c r="E204" s="77">
        <v>0.625</v>
      </c>
      <c r="F204" s="77">
        <v>0.625</v>
      </c>
      <c r="G204" s="77">
        <v>0.625</v>
      </c>
      <c r="H204" s="77">
        <v>0.625</v>
      </c>
      <c r="I204" s="77">
        <v>0.625</v>
      </c>
      <c r="J204" s="77">
        <v>0.625</v>
      </c>
      <c r="K204" s="77">
        <v>0.625</v>
      </c>
      <c r="L204" s="77">
        <v>0.625</v>
      </c>
      <c r="M204" s="77">
        <v>0.625</v>
      </c>
      <c r="N204" s="77">
        <v>0.625</v>
      </c>
      <c r="O204" s="77">
        <v>0.625</v>
      </c>
      <c r="P204" s="77">
        <v>0.625</v>
      </c>
      <c r="Q204" s="77">
        <v>0.625</v>
      </c>
      <c r="R204" s="77">
        <v>0.625</v>
      </c>
      <c r="S204" s="77">
        <v>0.625</v>
      </c>
      <c r="T204" s="77">
        <v>0.625</v>
      </c>
      <c r="U204" s="77">
        <v>0.625</v>
      </c>
      <c r="V204" s="77">
        <v>0.625</v>
      </c>
      <c r="W204" s="77">
        <v>0.625</v>
      </c>
      <c r="X204" s="77">
        <v>0.625</v>
      </c>
      <c r="Y204" s="77">
        <v>0.625</v>
      </c>
      <c r="Z204" s="77">
        <v>0.625</v>
      </c>
      <c r="AA204" s="77">
        <v>0.625</v>
      </c>
      <c r="AB204" s="77">
        <v>0.625</v>
      </c>
      <c r="AC204" s="77">
        <v>0.625</v>
      </c>
      <c r="AD204" s="77">
        <v>0.625</v>
      </c>
      <c r="AE204" s="77">
        <v>0.625</v>
      </c>
      <c r="AF204" s="77">
        <v>0.625</v>
      </c>
      <c r="AG204" s="77"/>
      <c r="AH204" s="77"/>
      <c r="AI204" s="77"/>
      <c r="AJ204" s="77"/>
    </row>
    <row r="205" spans="1:36" ht="12.75" x14ac:dyDescent="0.2">
      <c r="A205" s="77" t="s">
        <v>772</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773</v>
      </c>
      <c r="B206" s="77">
        <v>0.68799999999999994</v>
      </c>
      <c r="C206" s="77">
        <v>0.68799999999999994</v>
      </c>
      <c r="D206" s="77">
        <v>0.68799999999999994</v>
      </c>
      <c r="E206" s="77">
        <v>0.68799999999999994</v>
      </c>
      <c r="F206" s="77">
        <v>0.68799999999999994</v>
      </c>
      <c r="G206" s="77">
        <v>0.68799999999999994</v>
      </c>
      <c r="H206" s="77">
        <v>0.68799999999999994</v>
      </c>
      <c r="I206" s="77">
        <v>0.68799999999999994</v>
      </c>
      <c r="J206" s="77">
        <v>0.68799999999999994</v>
      </c>
      <c r="K206" s="77">
        <v>0.68799999999999994</v>
      </c>
      <c r="L206" s="77">
        <v>0.68799999999999994</v>
      </c>
      <c r="M206" s="77">
        <v>0.68799999999999994</v>
      </c>
      <c r="N206" s="77">
        <v>0.68799999999999994</v>
      </c>
      <c r="O206" s="77">
        <v>0.68799999999999994</v>
      </c>
      <c r="P206" s="77">
        <v>0.68799999999999994</v>
      </c>
      <c r="Q206" s="77">
        <v>0.68799999999999994</v>
      </c>
      <c r="R206" s="77">
        <v>0.68799999999999994</v>
      </c>
      <c r="S206" s="77">
        <v>0.68799999999999994</v>
      </c>
      <c r="T206" s="77">
        <v>0.68799999999999994</v>
      </c>
      <c r="U206" s="77">
        <v>0.68799999999999994</v>
      </c>
      <c r="V206" s="77">
        <v>0.68799999999999994</v>
      </c>
      <c r="W206" s="77">
        <v>0.68799999999999994</v>
      </c>
      <c r="X206" s="77">
        <v>0.68799999999999994</v>
      </c>
      <c r="Y206" s="77">
        <v>0.68799999999999994</v>
      </c>
      <c r="Z206" s="77">
        <v>0.68799999999999994</v>
      </c>
      <c r="AA206" s="77">
        <v>0.68799999999999994</v>
      </c>
      <c r="AB206" s="77">
        <v>0.68799999999999994</v>
      </c>
      <c r="AC206" s="77">
        <v>0.68799999999999994</v>
      </c>
      <c r="AD206" s="77">
        <v>0.68799999999999994</v>
      </c>
      <c r="AE206" s="77">
        <v>0.68799999999999994</v>
      </c>
      <c r="AF206" s="77">
        <v>0.68799999999999994</v>
      </c>
      <c r="AG206" s="77"/>
      <c r="AH206" s="77"/>
      <c r="AI206" s="77"/>
      <c r="AJ206" s="77"/>
    </row>
    <row r="207" spans="1:36" ht="12.75" x14ac:dyDescent="0.2">
      <c r="A207" s="77" t="s">
        <v>774</v>
      </c>
      <c r="B207" s="77">
        <v>0.69099999999999995</v>
      </c>
      <c r="C207" s="77">
        <v>0.69099999999999995</v>
      </c>
      <c r="D207" s="77">
        <v>0.69099999999999995</v>
      </c>
      <c r="E207" s="77">
        <v>0.69099999999999995</v>
      </c>
      <c r="F207" s="77">
        <v>0.69099999999999995</v>
      </c>
      <c r="G207" s="77">
        <v>0.69099999999999995</v>
      </c>
      <c r="H207" s="77">
        <v>0.69099999999999995</v>
      </c>
      <c r="I207" s="77">
        <v>0.69099999999999995</v>
      </c>
      <c r="J207" s="77">
        <v>0.69099999999999995</v>
      </c>
      <c r="K207" s="77">
        <v>0.69099999999999995</v>
      </c>
      <c r="L207" s="77">
        <v>0.69099999999999995</v>
      </c>
      <c r="M207" s="77">
        <v>0.69099999999999995</v>
      </c>
      <c r="N207" s="77">
        <v>0.69099999999999995</v>
      </c>
      <c r="O207" s="77">
        <v>0.69099999999999995</v>
      </c>
      <c r="P207" s="77">
        <v>0.69099999999999995</v>
      </c>
      <c r="Q207" s="77">
        <v>0.69099999999999995</v>
      </c>
      <c r="R207" s="77">
        <v>0.69099999999999995</v>
      </c>
      <c r="S207" s="77">
        <v>0.69099999999999995</v>
      </c>
      <c r="T207" s="77">
        <v>0.69099999999999995</v>
      </c>
      <c r="U207" s="77">
        <v>0.69099999999999995</v>
      </c>
      <c r="V207" s="77">
        <v>0.69099999999999995</v>
      </c>
      <c r="W207" s="77">
        <v>0.69099999999999995</v>
      </c>
      <c r="X207" s="77">
        <v>0.69099999999999995</v>
      </c>
      <c r="Y207" s="77">
        <v>0.69099999999999995</v>
      </c>
      <c r="Z207" s="77">
        <v>0.69099999999999995</v>
      </c>
      <c r="AA207" s="77">
        <v>0.69099999999999995</v>
      </c>
      <c r="AB207" s="77">
        <v>0.69099999999999995</v>
      </c>
      <c r="AC207" s="77">
        <v>0.69099999999999995</v>
      </c>
      <c r="AD207" s="77">
        <v>0.69099999999999995</v>
      </c>
      <c r="AE207" s="77">
        <v>0.69099999999999995</v>
      </c>
      <c r="AF207" s="77">
        <v>0.69099999999999995</v>
      </c>
      <c r="AG207" s="77"/>
      <c r="AH207" s="77"/>
      <c r="AI207" s="77"/>
      <c r="AJ207" s="77"/>
    </row>
    <row r="208" spans="1:36" ht="12.75" x14ac:dyDescent="0.2">
      <c r="A208" s="77" t="s">
        <v>775</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776</v>
      </c>
      <c r="B209" s="77">
        <v>0.76</v>
      </c>
      <c r="C209" s="77">
        <v>0.76</v>
      </c>
      <c r="D209" s="77">
        <v>0.76</v>
      </c>
      <c r="E209" s="77">
        <v>0.76</v>
      </c>
      <c r="F209" s="77">
        <v>0.76</v>
      </c>
      <c r="G209" s="77">
        <v>0.76</v>
      </c>
      <c r="H209" s="77">
        <v>0.76</v>
      </c>
      <c r="I209" s="77">
        <v>0.76</v>
      </c>
      <c r="J209" s="77">
        <v>0.76</v>
      </c>
      <c r="K209" s="77">
        <v>0.76</v>
      </c>
      <c r="L209" s="77">
        <v>0.76</v>
      </c>
      <c r="M209" s="77">
        <v>0.76</v>
      </c>
      <c r="N209" s="77">
        <v>0.76</v>
      </c>
      <c r="O209" s="77">
        <v>0.76</v>
      </c>
      <c r="P209" s="77">
        <v>0.76</v>
      </c>
      <c r="Q209" s="77">
        <v>0.76</v>
      </c>
      <c r="R209" s="77">
        <v>0.76</v>
      </c>
      <c r="S209" s="77">
        <v>0.76</v>
      </c>
      <c r="T209" s="77">
        <v>0.76</v>
      </c>
      <c r="U209" s="77">
        <v>0.76</v>
      </c>
      <c r="V209" s="77">
        <v>0.76</v>
      </c>
      <c r="W209" s="77">
        <v>0.76</v>
      </c>
      <c r="X209" s="77">
        <v>0.76</v>
      </c>
      <c r="Y209" s="77">
        <v>0.76</v>
      </c>
      <c r="Z209" s="77">
        <v>0.76</v>
      </c>
      <c r="AA209" s="77">
        <v>0.76</v>
      </c>
      <c r="AB209" s="77">
        <v>0.76</v>
      </c>
      <c r="AC209" s="77">
        <v>0.76</v>
      </c>
      <c r="AD209" s="77">
        <v>0.76</v>
      </c>
      <c r="AE209" s="77">
        <v>0.76</v>
      </c>
      <c r="AF209" s="77">
        <v>0.76</v>
      </c>
      <c r="AG209" s="77"/>
      <c r="AH209" s="77"/>
      <c r="AI209" s="77"/>
      <c r="AJ209" s="77"/>
    </row>
    <row r="210" spans="1:36" ht="12.75" x14ac:dyDescent="0.2">
      <c r="A210" s="77" t="s">
        <v>777</v>
      </c>
      <c r="B210" s="77">
        <v>5.6000000000000001E-2</v>
      </c>
      <c r="C210" s="77">
        <v>5.6000000000000001E-2</v>
      </c>
      <c r="D210" s="77">
        <v>5.6000000000000001E-2</v>
      </c>
      <c r="E210" s="77">
        <v>5.6000000000000001E-2</v>
      </c>
      <c r="F210" s="77">
        <v>5.6000000000000001E-2</v>
      </c>
      <c r="G210" s="77">
        <v>5.6000000000000001E-2</v>
      </c>
      <c r="H210" s="77">
        <v>5.6000000000000001E-2</v>
      </c>
      <c r="I210" s="77">
        <v>5.6000000000000001E-2</v>
      </c>
      <c r="J210" s="77">
        <v>5.6000000000000001E-2</v>
      </c>
      <c r="K210" s="77">
        <v>5.6000000000000001E-2</v>
      </c>
      <c r="L210" s="77">
        <v>5.6000000000000001E-2</v>
      </c>
      <c r="M210" s="77">
        <v>5.6000000000000001E-2</v>
      </c>
      <c r="N210" s="77">
        <v>5.6000000000000001E-2</v>
      </c>
      <c r="O210" s="77">
        <v>5.6000000000000001E-2</v>
      </c>
      <c r="P210" s="77">
        <v>5.6000000000000001E-2</v>
      </c>
      <c r="Q210" s="77">
        <v>5.6000000000000001E-2</v>
      </c>
      <c r="R210" s="77">
        <v>5.6000000000000001E-2</v>
      </c>
      <c r="S210" s="77">
        <v>5.6000000000000001E-2</v>
      </c>
      <c r="T210" s="77">
        <v>5.6000000000000001E-2</v>
      </c>
      <c r="U210" s="77">
        <v>5.6000000000000001E-2</v>
      </c>
      <c r="V210" s="77">
        <v>5.6000000000000001E-2</v>
      </c>
      <c r="W210" s="77">
        <v>5.6000000000000001E-2</v>
      </c>
      <c r="X210" s="77">
        <v>5.6000000000000001E-2</v>
      </c>
      <c r="Y210" s="77">
        <v>5.6000000000000001E-2</v>
      </c>
      <c r="Z210" s="77">
        <v>5.6000000000000001E-2</v>
      </c>
      <c r="AA210" s="77">
        <v>5.6000000000000001E-2</v>
      </c>
      <c r="AB210" s="77">
        <v>5.6000000000000001E-2</v>
      </c>
      <c r="AC210" s="77">
        <v>5.6000000000000001E-2</v>
      </c>
      <c r="AD210" s="77">
        <v>5.6000000000000001E-2</v>
      </c>
      <c r="AE210" s="77">
        <v>5.6000000000000001E-2</v>
      </c>
      <c r="AF210" s="77">
        <v>5.6000000000000001E-2</v>
      </c>
      <c r="AG210" s="77"/>
      <c r="AH210" s="77"/>
      <c r="AI210" s="77"/>
      <c r="AJ210" s="77"/>
    </row>
    <row r="211" spans="1:36" ht="12.75" x14ac:dyDescent="0.2">
      <c r="A211" s="77" t="s">
        <v>778</v>
      </c>
      <c r="B211" s="77">
        <v>0</v>
      </c>
      <c r="C211" s="77">
        <v>0</v>
      </c>
      <c r="D211" s="77">
        <v>0</v>
      </c>
      <c r="E211" s="77">
        <v>0</v>
      </c>
      <c r="F211" s="77">
        <v>0</v>
      </c>
      <c r="G211" s="77">
        <v>0</v>
      </c>
      <c r="H211" s="77">
        <v>0</v>
      </c>
      <c r="I211" s="77">
        <v>0</v>
      </c>
      <c r="J211" s="77">
        <v>0</v>
      </c>
      <c r="K211" s="77">
        <v>0</v>
      </c>
      <c r="L211" s="77">
        <v>0</v>
      </c>
      <c r="M211" s="77">
        <v>0</v>
      </c>
      <c r="N211" s="77">
        <v>0</v>
      </c>
      <c r="O211" s="77">
        <v>0</v>
      </c>
      <c r="P211" s="77">
        <v>0</v>
      </c>
      <c r="Q211" s="77">
        <v>0</v>
      </c>
      <c r="R211" s="77">
        <v>0</v>
      </c>
      <c r="S211" s="77">
        <v>0</v>
      </c>
      <c r="T211" s="77">
        <v>0</v>
      </c>
      <c r="U211" s="77">
        <v>0</v>
      </c>
      <c r="V211" s="77">
        <v>0</v>
      </c>
      <c r="W211" s="77">
        <v>0</v>
      </c>
      <c r="X211" s="77">
        <v>0</v>
      </c>
      <c r="Y211" s="77">
        <v>0</v>
      </c>
      <c r="Z211" s="77">
        <v>0</v>
      </c>
      <c r="AA211" s="77">
        <v>0</v>
      </c>
      <c r="AB211" s="77">
        <v>0</v>
      </c>
      <c r="AC211" s="77">
        <v>0</v>
      </c>
      <c r="AD211" s="77">
        <v>0</v>
      </c>
      <c r="AE211" s="77">
        <v>0</v>
      </c>
      <c r="AF211" s="77">
        <v>0</v>
      </c>
      <c r="AG211" s="77"/>
      <c r="AH211" s="77"/>
      <c r="AI211" s="77"/>
      <c r="AJ211" s="77"/>
    </row>
    <row r="212" spans="1:36" ht="12.75" x14ac:dyDescent="0.2">
      <c r="A212" s="77" t="s">
        <v>779</v>
      </c>
      <c r="B212" s="77">
        <v>6.2E-2</v>
      </c>
      <c r="C212" s="77">
        <v>6.2E-2</v>
      </c>
      <c r="D212" s="77">
        <v>6.2E-2</v>
      </c>
      <c r="E212" s="77">
        <v>6.2E-2</v>
      </c>
      <c r="F212" s="77">
        <v>6.2E-2</v>
      </c>
      <c r="G212" s="77">
        <v>6.2E-2</v>
      </c>
      <c r="H212" s="77">
        <v>6.2E-2</v>
      </c>
      <c r="I212" s="77">
        <v>6.2E-2</v>
      </c>
      <c r="J212" s="77">
        <v>6.2E-2</v>
      </c>
      <c r="K212" s="77">
        <v>6.2E-2</v>
      </c>
      <c r="L212" s="77">
        <v>6.2E-2</v>
      </c>
      <c r="M212" s="77">
        <v>6.2E-2</v>
      </c>
      <c r="N212" s="77">
        <v>6.2E-2</v>
      </c>
      <c r="O212" s="77">
        <v>6.2E-2</v>
      </c>
      <c r="P212" s="77">
        <v>6.2E-2</v>
      </c>
      <c r="Q212" s="77">
        <v>6.2E-2</v>
      </c>
      <c r="R212" s="77">
        <v>6.2E-2</v>
      </c>
      <c r="S212" s="77">
        <v>6.2E-2</v>
      </c>
      <c r="T212" s="77">
        <v>6.2E-2</v>
      </c>
      <c r="U212" s="77">
        <v>6.2E-2</v>
      </c>
      <c r="V212" s="77">
        <v>6.2E-2</v>
      </c>
      <c r="W212" s="77">
        <v>6.2E-2</v>
      </c>
      <c r="X212" s="77">
        <v>6.2E-2</v>
      </c>
      <c r="Y212" s="77">
        <v>6.2E-2</v>
      </c>
      <c r="Z212" s="77">
        <v>6.2E-2</v>
      </c>
      <c r="AA212" s="77">
        <v>6.2E-2</v>
      </c>
      <c r="AB212" s="77">
        <v>6.2E-2</v>
      </c>
      <c r="AC212" s="77">
        <v>6.2E-2</v>
      </c>
      <c r="AD212" s="77">
        <v>6.2E-2</v>
      </c>
      <c r="AE212" s="77">
        <v>6.2E-2</v>
      </c>
      <c r="AF212" s="77">
        <v>6.2E-2</v>
      </c>
      <c r="AG212" s="77"/>
      <c r="AH212" s="77"/>
      <c r="AI212" s="77"/>
      <c r="AJ212" s="77"/>
    </row>
    <row r="213" spans="1:36" ht="12.75" x14ac:dyDescent="0.2">
      <c r="A213" s="77" t="s">
        <v>780</v>
      </c>
      <c r="B213" s="77">
        <v>0.13300000000000001</v>
      </c>
      <c r="C213" s="77">
        <v>0.13300000000000001</v>
      </c>
      <c r="D213" s="77">
        <v>0.13300000000000001</v>
      </c>
      <c r="E213" s="77">
        <v>0.13300000000000001</v>
      </c>
      <c r="F213" s="77">
        <v>0.13300000000000001</v>
      </c>
      <c r="G213" s="77">
        <v>0.13300000000000001</v>
      </c>
      <c r="H213" s="77">
        <v>0.13300000000000001</v>
      </c>
      <c r="I213" s="77">
        <v>0.13300000000000001</v>
      </c>
      <c r="J213" s="77">
        <v>0.13300000000000001</v>
      </c>
      <c r="K213" s="77">
        <v>0.13300000000000001</v>
      </c>
      <c r="L213" s="77">
        <v>0.13300000000000001</v>
      </c>
      <c r="M213" s="77">
        <v>0.13300000000000001</v>
      </c>
      <c r="N213" s="77">
        <v>0.13300000000000001</v>
      </c>
      <c r="O213" s="77">
        <v>0.13300000000000001</v>
      </c>
      <c r="P213" s="77">
        <v>0.13300000000000001</v>
      </c>
      <c r="Q213" s="77">
        <v>0.13300000000000001</v>
      </c>
      <c r="R213" s="77">
        <v>0.13300000000000001</v>
      </c>
      <c r="S213" s="77">
        <v>0.13300000000000001</v>
      </c>
      <c r="T213" s="77">
        <v>0.13300000000000001</v>
      </c>
      <c r="U213" s="77">
        <v>0.13300000000000001</v>
      </c>
      <c r="V213" s="77">
        <v>0.13300000000000001</v>
      </c>
      <c r="W213" s="77">
        <v>0.13300000000000001</v>
      </c>
      <c r="X213" s="77">
        <v>0.13300000000000001</v>
      </c>
      <c r="Y213" s="77">
        <v>0.13300000000000001</v>
      </c>
      <c r="Z213" s="77">
        <v>0.13300000000000001</v>
      </c>
      <c r="AA213" s="77">
        <v>0.13300000000000001</v>
      </c>
      <c r="AB213" s="77">
        <v>0.13300000000000001</v>
      </c>
      <c r="AC213" s="77">
        <v>0.13300000000000001</v>
      </c>
      <c r="AD213" s="77">
        <v>0.13300000000000001</v>
      </c>
      <c r="AE213" s="77">
        <v>0.13300000000000001</v>
      </c>
      <c r="AF213" s="77">
        <v>0.13300000000000001</v>
      </c>
      <c r="AG213" s="77"/>
      <c r="AH213" s="77"/>
      <c r="AI213" s="77"/>
      <c r="AJ213" s="77"/>
    </row>
    <row r="214" spans="1:36" ht="12.75" x14ac:dyDescent="0.2">
      <c r="A214" s="77" t="s">
        <v>781</v>
      </c>
      <c r="B214" s="77">
        <v>0</v>
      </c>
      <c r="C214" s="77">
        <v>0</v>
      </c>
      <c r="D214" s="77">
        <v>0</v>
      </c>
      <c r="E214" s="77">
        <v>0</v>
      </c>
      <c r="F214" s="77">
        <v>0</v>
      </c>
      <c r="G214" s="77">
        <v>0</v>
      </c>
      <c r="H214" s="77">
        <v>0</v>
      </c>
      <c r="I214" s="77">
        <v>0</v>
      </c>
      <c r="J214" s="77">
        <v>0</v>
      </c>
      <c r="K214" s="77">
        <v>0</v>
      </c>
      <c r="L214" s="77">
        <v>0</v>
      </c>
      <c r="M214" s="77">
        <v>0</v>
      </c>
      <c r="N214" s="77">
        <v>0</v>
      </c>
      <c r="O214" s="77">
        <v>0</v>
      </c>
      <c r="P214" s="77">
        <v>0</v>
      </c>
      <c r="Q214" s="77">
        <v>0</v>
      </c>
      <c r="R214" s="77">
        <v>0</v>
      </c>
      <c r="S214" s="77">
        <v>0</v>
      </c>
      <c r="T214" s="77">
        <v>0</v>
      </c>
      <c r="U214" s="77">
        <v>0</v>
      </c>
      <c r="V214" s="77">
        <v>0</v>
      </c>
      <c r="W214" s="77">
        <v>0</v>
      </c>
      <c r="X214" s="77">
        <v>0</v>
      </c>
      <c r="Y214" s="77">
        <v>0</v>
      </c>
      <c r="Z214" s="77">
        <v>0</v>
      </c>
      <c r="AA214" s="77">
        <v>0</v>
      </c>
      <c r="AB214" s="77">
        <v>0</v>
      </c>
      <c r="AC214" s="77">
        <v>0</v>
      </c>
      <c r="AD214" s="77">
        <v>0</v>
      </c>
      <c r="AE214" s="77">
        <v>0</v>
      </c>
      <c r="AF214" s="77">
        <v>0</v>
      </c>
      <c r="AG214" s="77"/>
      <c r="AH214" s="77"/>
      <c r="AI214" s="77"/>
      <c r="AJ214" s="77"/>
    </row>
    <row r="215" spans="1:36" ht="12.75" x14ac:dyDescent="0.2">
      <c r="A215" s="77" t="s">
        <v>782</v>
      </c>
      <c r="B215" s="77">
        <v>0.14599999999999999</v>
      </c>
      <c r="C215" s="77">
        <v>0.14599999999999999</v>
      </c>
      <c r="D215" s="77">
        <v>0.14599999999999999</v>
      </c>
      <c r="E215" s="77">
        <v>0.14599999999999999</v>
      </c>
      <c r="F215" s="77">
        <v>0.14599999999999999</v>
      </c>
      <c r="G215" s="77">
        <v>0.14599999999999999</v>
      </c>
      <c r="H215" s="77">
        <v>0.14599999999999999</v>
      </c>
      <c r="I215" s="77">
        <v>0.14599999999999999</v>
      </c>
      <c r="J215" s="77">
        <v>0.14599999999999999</v>
      </c>
      <c r="K215" s="77">
        <v>0.14599999999999999</v>
      </c>
      <c r="L215" s="77">
        <v>0.14599999999999999</v>
      </c>
      <c r="M215" s="77">
        <v>0.14599999999999999</v>
      </c>
      <c r="N215" s="77">
        <v>0.14599999999999999</v>
      </c>
      <c r="O215" s="77">
        <v>0.14599999999999999</v>
      </c>
      <c r="P215" s="77">
        <v>0.14599999999999999</v>
      </c>
      <c r="Q215" s="77">
        <v>0.14599999999999999</v>
      </c>
      <c r="R215" s="77">
        <v>0.14599999999999999</v>
      </c>
      <c r="S215" s="77">
        <v>0.14599999999999999</v>
      </c>
      <c r="T215" s="77">
        <v>0.14599999999999999</v>
      </c>
      <c r="U215" s="77">
        <v>0.14599999999999999</v>
      </c>
      <c r="V215" s="77">
        <v>0.14599999999999999</v>
      </c>
      <c r="W215" s="77">
        <v>0.14599999999999999</v>
      </c>
      <c r="X215" s="77">
        <v>0.14599999999999999</v>
      </c>
      <c r="Y215" s="77">
        <v>0.14599999999999999</v>
      </c>
      <c r="Z215" s="77">
        <v>0.14599999999999999</v>
      </c>
      <c r="AA215" s="77">
        <v>0.14599999999999999</v>
      </c>
      <c r="AB215" s="77">
        <v>0.14599999999999999</v>
      </c>
      <c r="AC215" s="77">
        <v>0.14599999999999999</v>
      </c>
      <c r="AD215" s="77">
        <v>0.14599999999999999</v>
      </c>
      <c r="AE215" s="77">
        <v>0.14599999999999999</v>
      </c>
      <c r="AF215" s="77">
        <v>0.14599999999999999</v>
      </c>
      <c r="AG215" s="77"/>
      <c r="AH215" s="77"/>
      <c r="AI215" s="77"/>
      <c r="AJ215" s="77"/>
    </row>
    <row r="216" spans="1:36" ht="12.75" x14ac:dyDescent="0.2">
      <c r="A216" s="77" t="s">
        <v>783</v>
      </c>
      <c r="B216" s="77">
        <v>0.75800000000000001</v>
      </c>
      <c r="C216" s="77">
        <v>0.75800000000000001</v>
      </c>
      <c r="D216" s="77">
        <v>0.75800000000000001</v>
      </c>
      <c r="E216" s="77">
        <v>0.75800000000000001</v>
      </c>
      <c r="F216" s="77">
        <v>0.75800000000000001</v>
      </c>
      <c r="G216" s="77">
        <v>0.75800000000000001</v>
      </c>
      <c r="H216" s="77">
        <v>0.75800000000000001</v>
      </c>
      <c r="I216" s="77">
        <v>0.75800000000000001</v>
      </c>
      <c r="J216" s="77">
        <v>0.75800000000000001</v>
      </c>
      <c r="K216" s="77">
        <v>0.75800000000000001</v>
      </c>
      <c r="L216" s="77">
        <v>0.75800000000000001</v>
      </c>
      <c r="M216" s="77">
        <v>0.75800000000000001</v>
      </c>
      <c r="N216" s="77">
        <v>0.75800000000000001</v>
      </c>
      <c r="O216" s="77">
        <v>0.75800000000000001</v>
      </c>
      <c r="P216" s="77">
        <v>0.75800000000000001</v>
      </c>
      <c r="Q216" s="77">
        <v>0.75800000000000001</v>
      </c>
      <c r="R216" s="77">
        <v>0.75800000000000001</v>
      </c>
      <c r="S216" s="77">
        <v>0.75800000000000001</v>
      </c>
      <c r="T216" s="77">
        <v>0.75800000000000001</v>
      </c>
      <c r="U216" s="77">
        <v>0.75800000000000001</v>
      </c>
      <c r="V216" s="77">
        <v>0.75800000000000001</v>
      </c>
      <c r="W216" s="77">
        <v>0.75800000000000001</v>
      </c>
      <c r="X216" s="77">
        <v>0.75800000000000001</v>
      </c>
      <c r="Y216" s="77">
        <v>0.75800000000000001</v>
      </c>
      <c r="Z216" s="77">
        <v>0.75800000000000001</v>
      </c>
      <c r="AA216" s="77">
        <v>0.75800000000000001</v>
      </c>
      <c r="AB216" s="77">
        <v>0.75800000000000001</v>
      </c>
      <c r="AC216" s="77">
        <v>0.75800000000000001</v>
      </c>
      <c r="AD216" s="77">
        <v>0.75800000000000001</v>
      </c>
      <c r="AE216" s="77">
        <v>0.75800000000000001</v>
      </c>
      <c r="AF216" s="77">
        <v>0.75800000000000001</v>
      </c>
      <c r="AG216" s="77"/>
      <c r="AH216" s="77"/>
      <c r="AI216" s="77"/>
      <c r="AJ216" s="77"/>
    </row>
    <row r="217" spans="1:36" ht="12.75" x14ac:dyDescent="0.2">
      <c r="A217" s="77" t="s">
        <v>784</v>
      </c>
      <c r="B217" s="77">
        <v>0</v>
      </c>
      <c r="C217" s="77">
        <v>0</v>
      </c>
      <c r="D217" s="77">
        <v>0</v>
      </c>
      <c r="E217" s="77">
        <v>0</v>
      </c>
      <c r="F217" s="77">
        <v>0</v>
      </c>
      <c r="G217" s="77">
        <v>0</v>
      </c>
      <c r="H217" s="77">
        <v>0</v>
      </c>
      <c r="I217" s="77">
        <v>0</v>
      </c>
      <c r="J217" s="77">
        <v>0</v>
      </c>
      <c r="K217" s="77">
        <v>0</v>
      </c>
      <c r="L217" s="77">
        <v>0</v>
      </c>
      <c r="M217" s="77">
        <v>0</v>
      </c>
      <c r="N217" s="77">
        <v>0</v>
      </c>
      <c r="O217" s="77">
        <v>0</v>
      </c>
      <c r="P217" s="77">
        <v>0</v>
      </c>
      <c r="Q217" s="77">
        <v>0</v>
      </c>
      <c r="R217" s="77">
        <v>0</v>
      </c>
      <c r="S217" s="77">
        <v>0</v>
      </c>
      <c r="T217" s="77">
        <v>0</v>
      </c>
      <c r="U217" s="77">
        <v>0</v>
      </c>
      <c r="V217" s="77">
        <v>0</v>
      </c>
      <c r="W217" s="77">
        <v>0</v>
      </c>
      <c r="X217" s="77">
        <v>0</v>
      </c>
      <c r="Y217" s="77">
        <v>0</v>
      </c>
      <c r="Z217" s="77">
        <v>0</v>
      </c>
      <c r="AA217" s="77">
        <v>0</v>
      </c>
      <c r="AB217" s="77">
        <v>0</v>
      </c>
      <c r="AC217" s="77">
        <v>0</v>
      </c>
      <c r="AD217" s="77">
        <v>0</v>
      </c>
      <c r="AE217" s="77">
        <v>0</v>
      </c>
      <c r="AF217" s="77">
        <v>0</v>
      </c>
      <c r="AG217" s="77"/>
      <c r="AH217" s="77"/>
      <c r="AI217" s="77"/>
      <c r="AJ217" s="77"/>
    </row>
    <row r="218" spans="1:36" ht="12.75" x14ac:dyDescent="0.2">
      <c r="A218" s="77" t="s">
        <v>785</v>
      </c>
      <c r="B218" s="77">
        <v>0.83399999999999996</v>
      </c>
      <c r="C218" s="77">
        <v>0.83399999999999996</v>
      </c>
      <c r="D218" s="77">
        <v>0.83399999999999996</v>
      </c>
      <c r="E218" s="77">
        <v>0.83399999999999996</v>
      </c>
      <c r="F218" s="77">
        <v>0.83399999999999996</v>
      </c>
      <c r="G218" s="77">
        <v>0.83399999999999996</v>
      </c>
      <c r="H218" s="77">
        <v>0.83399999999999996</v>
      </c>
      <c r="I218" s="77">
        <v>0.83399999999999996</v>
      </c>
      <c r="J218" s="77">
        <v>0.83399999999999996</v>
      </c>
      <c r="K218" s="77">
        <v>0.83399999999999996</v>
      </c>
      <c r="L218" s="77">
        <v>0.83399999999999996</v>
      </c>
      <c r="M218" s="77">
        <v>0.83399999999999996</v>
      </c>
      <c r="N218" s="77">
        <v>0.83399999999999996</v>
      </c>
      <c r="O218" s="77">
        <v>0.83399999999999996</v>
      </c>
      <c r="P218" s="77">
        <v>0.83399999999999996</v>
      </c>
      <c r="Q218" s="77">
        <v>0.83399999999999996</v>
      </c>
      <c r="R218" s="77">
        <v>0.83399999999999996</v>
      </c>
      <c r="S218" s="77">
        <v>0.83399999999999996</v>
      </c>
      <c r="T218" s="77">
        <v>0.83399999999999996</v>
      </c>
      <c r="U218" s="77">
        <v>0.83399999999999996</v>
      </c>
      <c r="V218" s="77">
        <v>0.83399999999999996</v>
      </c>
      <c r="W218" s="77">
        <v>0.83399999999999996</v>
      </c>
      <c r="X218" s="77">
        <v>0.83399999999999996</v>
      </c>
      <c r="Y218" s="77">
        <v>0.83399999999999996</v>
      </c>
      <c r="Z218" s="77">
        <v>0.83399999999999996</v>
      </c>
      <c r="AA218" s="77">
        <v>0.83399999999999996</v>
      </c>
      <c r="AB218" s="77">
        <v>0.83399999999999996</v>
      </c>
      <c r="AC218" s="77">
        <v>0.83399999999999996</v>
      </c>
      <c r="AD218" s="77">
        <v>0.83399999999999996</v>
      </c>
      <c r="AE218" s="77">
        <v>0.83399999999999996</v>
      </c>
      <c r="AF218" s="77">
        <v>0.83399999999999996</v>
      </c>
      <c r="AG218" s="77"/>
      <c r="AH218" s="77"/>
      <c r="AI218" s="77"/>
      <c r="AJ218" s="77"/>
    </row>
    <row r="219" spans="1:36" ht="12.75" x14ac:dyDescent="0.2">
      <c r="A219" s="77" t="s">
        <v>786</v>
      </c>
      <c r="B219" s="77">
        <v>0.49199999999999999</v>
      </c>
      <c r="C219" s="77">
        <v>0.49199999999999999</v>
      </c>
      <c r="D219" s="77">
        <v>0.49199999999999999</v>
      </c>
      <c r="E219" s="77">
        <v>0.49199999999999999</v>
      </c>
      <c r="F219" s="77">
        <v>0.49199999999999999</v>
      </c>
      <c r="G219" s="77">
        <v>0.49199999999999999</v>
      </c>
      <c r="H219" s="77">
        <v>0.49199999999999999</v>
      </c>
      <c r="I219" s="77">
        <v>0.49199999999999999</v>
      </c>
      <c r="J219" s="77">
        <v>0.49199999999999999</v>
      </c>
      <c r="K219" s="77">
        <v>0.49199999999999999</v>
      </c>
      <c r="L219" s="77">
        <v>0.49199999999999999</v>
      </c>
      <c r="M219" s="77">
        <v>0.49199999999999999</v>
      </c>
      <c r="N219" s="77">
        <v>0.49199999999999999</v>
      </c>
      <c r="O219" s="77">
        <v>0.49199999999999999</v>
      </c>
      <c r="P219" s="77">
        <v>0.49199999999999999</v>
      </c>
      <c r="Q219" s="77">
        <v>0.49199999999999999</v>
      </c>
      <c r="R219" s="77">
        <v>0.49199999999999999</v>
      </c>
      <c r="S219" s="77">
        <v>0.49199999999999999</v>
      </c>
      <c r="T219" s="77">
        <v>0.49199999999999999</v>
      </c>
      <c r="U219" s="77">
        <v>0.49199999999999999</v>
      </c>
      <c r="V219" s="77">
        <v>0.49199999999999999</v>
      </c>
      <c r="W219" s="77">
        <v>0.49199999999999999</v>
      </c>
      <c r="X219" s="77">
        <v>0.49199999999999999</v>
      </c>
      <c r="Y219" s="77">
        <v>0.49199999999999999</v>
      </c>
      <c r="Z219" s="77">
        <v>0.49199999999999999</v>
      </c>
      <c r="AA219" s="77">
        <v>0.49199999999999999</v>
      </c>
      <c r="AB219" s="77">
        <v>0.49199999999999999</v>
      </c>
      <c r="AC219" s="77">
        <v>0.49199999999999999</v>
      </c>
      <c r="AD219" s="77">
        <v>0.49199999999999999</v>
      </c>
      <c r="AE219" s="77">
        <v>0.49199999999999999</v>
      </c>
      <c r="AF219" s="77">
        <v>0.49199999999999999</v>
      </c>
      <c r="AG219" s="77"/>
      <c r="AH219" s="77"/>
      <c r="AI219" s="77"/>
      <c r="AJ219" s="77"/>
    </row>
    <row r="220" spans="1:36" ht="12.75" x14ac:dyDescent="0.2">
      <c r="A220" s="77" t="s">
        <v>787</v>
      </c>
      <c r="B220" s="77">
        <v>0</v>
      </c>
      <c r="C220" s="77">
        <v>0</v>
      </c>
      <c r="D220" s="77">
        <v>0</v>
      </c>
      <c r="E220" s="77">
        <v>0</v>
      </c>
      <c r="F220" s="77">
        <v>0</v>
      </c>
      <c r="G220" s="77">
        <v>0</v>
      </c>
      <c r="H220" s="77">
        <v>0</v>
      </c>
      <c r="I220" s="77">
        <v>0</v>
      </c>
      <c r="J220" s="77">
        <v>0</v>
      </c>
      <c r="K220" s="77">
        <v>0</v>
      </c>
      <c r="L220" s="77">
        <v>0</v>
      </c>
      <c r="M220" s="77">
        <v>0</v>
      </c>
      <c r="N220" s="77">
        <v>0</v>
      </c>
      <c r="O220" s="77">
        <v>0</v>
      </c>
      <c r="P220" s="77">
        <v>0</v>
      </c>
      <c r="Q220" s="77">
        <v>0</v>
      </c>
      <c r="R220" s="77">
        <v>0</v>
      </c>
      <c r="S220" s="77">
        <v>0</v>
      </c>
      <c r="T220" s="77">
        <v>0</v>
      </c>
      <c r="U220" s="77">
        <v>0</v>
      </c>
      <c r="V220" s="77">
        <v>0</v>
      </c>
      <c r="W220" s="77">
        <v>0</v>
      </c>
      <c r="X220" s="77">
        <v>0</v>
      </c>
      <c r="Y220" s="77">
        <v>0</v>
      </c>
      <c r="Z220" s="77">
        <v>0</v>
      </c>
      <c r="AA220" s="77">
        <v>0</v>
      </c>
      <c r="AB220" s="77">
        <v>0</v>
      </c>
      <c r="AC220" s="77">
        <v>0</v>
      </c>
      <c r="AD220" s="77">
        <v>0</v>
      </c>
      <c r="AE220" s="77">
        <v>0</v>
      </c>
      <c r="AF220" s="77">
        <v>0</v>
      </c>
      <c r="AG220" s="77"/>
      <c r="AH220" s="77"/>
      <c r="AI220" s="77"/>
      <c r="AJ220" s="77"/>
    </row>
    <row r="221" spans="1:36" ht="12.75" x14ac:dyDescent="0.2">
      <c r="A221" s="77" t="s">
        <v>788</v>
      </c>
      <c r="B221" s="77">
        <v>0.49199999999999999</v>
      </c>
      <c r="C221" s="77">
        <v>0.498</v>
      </c>
      <c r="D221" s="77">
        <v>0.503</v>
      </c>
      <c r="E221" s="77">
        <v>0.50800000000000001</v>
      </c>
      <c r="F221" s="77">
        <v>0.51200000000000001</v>
      </c>
      <c r="G221" s="77">
        <v>0.51700000000000002</v>
      </c>
      <c r="H221" s="77">
        <v>0.52100000000000002</v>
      </c>
      <c r="I221" s="77">
        <v>0.52500000000000002</v>
      </c>
      <c r="J221" s="77">
        <v>0.52900000000000003</v>
      </c>
      <c r="K221" s="77">
        <v>0.53300000000000003</v>
      </c>
      <c r="L221" s="77">
        <v>0.53700000000000003</v>
      </c>
      <c r="M221" s="77">
        <v>0.53800000000000003</v>
      </c>
      <c r="N221" s="77">
        <v>0.54</v>
      </c>
      <c r="O221" s="77">
        <v>0.54200000000000004</v>
      </c>
      <c r="P221" s="77">
        <v>0.54300000000000004</v>
      </c>
      <c r="Q221" s="77">
        <v>0.54500000000000004</v>
      </c>
      <c r="R221" s="77">
        <v>0.54600000000000004</v>
      </c>
      <c r="S221" s="77">
        <v>0.54800000000000004</v>
      </c>
      <c r="T221" s="77">
        <v>0.54900000000000004</v>
      </c>
      <c r="U221" s="77">
        <v>0.55100000000000005</v>
      </c>
      <c r="V221" s="77">
        <v>0.55200000000000005</v>
      </c>
      <c r="W221" s="77">
        <v>0.55400000000000005</v>
      </c>
      <c r="X221" s="77">
        <v>0.55500000000000005</v>
      </c>
      <c r="Y221" s="77">
        <v>0.55700000000000005</v>
      </c>
      <c r="Z221" s="77">
        <v>0.55800000000000005</v>
      </c>
      <c r="AA221" s="77">
        <v>0.55900000000000005</v>
      </c>
      <c r="AB221" s="77">
        <v>0.56100000000000005</v>
      </c>
      <c r="AC221" s="77">
        <v>0.56200000000000006</v>
      </c>
      <c r="AD221" s="77">
        <v>0.56299999999999994</v>
      </c>
      <c r="AE221" s="77">
        <v>0.56499999999999995</v>
      </c>
      <c r="AF221" s="77">
        <v>0.56599999999999995</v>
      </c>
      <c r="AG221" s="77"/>
      <c r="AH221" s="77"/>
      <c r="AI221" s="77"/>
      <c r="AJ221" s="77"/>
    </row>
    <row r="222" spans="1:36" ht="12.75" x14ac:dyDescent="0.2">
      <c r="A222" s="77" t="s">
        <v>789</v>
      </c>
      <c r="B222" s="77">
        <v>5.6000000000000001E-2</v>
      </c>
      <c r="C222" s="77">
        <v>5.6000000000000001E-2</v>
      </c>
      <c r="D222" s="77">
        <v>5.6000000000000001E-2</v>
      </c>
      <c r="E222" s="77">
        <v>5.6000000000000001E-2</v>
      </c>
      <c r="F222" s="77">
        <v>5.6000000000000001E-2</v>
      </c>
      <c r="G222" s="77">
        <v>5.6000000000000001E-2</v>
      </c>
      <c r="H222" s="77">
        <v>5.6000000000000001E-2</v>
      </c>
      <c r="I222" s="77">
        <v>5.6000000000000001E-2</v>
      </c>
      <c r="J222" s="77">
        <v>5.6000000000000001E-2</v>
      </c>
      <c r="K222" s="77">
        <v>5.6000000000000001E-2</v>
      </c>
      <c r="L222" s="77">
        <v>5.6000000000000001E-2</v>
      </c>
      <c r="M222" s="77">
        <v>5.6000000000000001E-2</v>
      </c>
      <c r="N222" s="77">
        <v>5.6000000000000001E-2</v>
      </c>
      <c r="O222" s="77">
        <v>5.6000000000000001E-2</v>
      </c>
      <c r="P222" s="77">
        <v>5.6000000000000001E-2</v>
      </c>
      <c r="Q222" s="77">
        <v>5.6000000000000001E-2</v>
      </c>
      <c r="R222" s="77">
        <v>5.6000000000000001E-2</v>
      </c>
      <c r="S222" s="77">
        <v>5.6000000000000001E-2</v>
      </c>
      <c r="T222" s="77">
        <v>5.6000000000000001E-2</v>
      </c>
      <c r="U222" s="77">
        <v>5.6000000000000001E-2</v>
      </c>
      <c r="V222" s="77">
        <v>5.6000000000000001E-2</v>
      </c>
      <c r="W222" s="77">
        <v>5.6000000000000001E-2</v>
      </c>
      <c r="X222" s="77">
        <v>5.6000000000000001E-2</v>
      </c>
      <c r="Y222" s="77">
        <v>5.6000000000000001E-2</v>
      </c>
      <c r="Z222" s="77">
        <v>5.6000000000000001E-2</v>
      </c>
      <c r="AA222" s="77">
        <v>5.6000000000000001E-2</v>
      </c>
      <c r="AB222" s="77">
        <v>5.6000000000000001E-2</v>
      </c>
      <c r="AC222" s="77">
        <v>5.6000000000000001E-2</v>
      </c>
      <c r="AD222" s="77">
        <v>5.6000000000000001E-2</v>
      </c>
      <c r="AE222" s="77">
        <v>5.6000000000000001E-2</v>
      </c>
      <c r="AF222" s="77">
        <v>5.6000000000000001E-2</v>
      </c>
      <c r="AG222" s="77"/>
      <c r="AH222" s="77"/>
      <c r="AI222" s="77"/>
      <c r="AJ222" s="77"/>
    </row>
    <row r="223" spans="1:36" ht="12.75" x14ac:dyDescent="0.2">
      <c r="A223" s="77" t="s">
        <v>790</v>
      </c>
      <c r="B223" s="77">
        <v>0</v>
      </c>
      <c r="C223" s="77">
        <v>0</v>
      </c>
      <c r="D223" s="77">
        <v>0</v>
      </c>
      <c r="E223" s="77">
        <v>0</v>
      </c>
      <c r="F223" s="77">
        <v>0</v>
      </c>
      <c r="G223" s="77">
        <v>0</v>
      </c>
      <c r="H223" s="77">
        <v>0</v>
      </c>
      <c r="I223" s="77">
        <v>0</v>
      </c>
      <c r="J223" s="77">
        <v>0</v>
      </c>
      <c r="K223" s="77">
        <v>0</v>
      </c>
      <c r="L223" s="77">
        <v>0</v>
      </c>
      <c r="M223" s="77">
        <v>0</v>
      </c>
      <c r="N223" s="77">
        <v>0</v>
      </c>
      <c r="O223" s="77">
        <v>0</v>
      </c>
      <c r="P223" s="77">
        <v>0</v>
      </c>
      <c r="Q223" s="77">
        <v>0</v>
      </c>
      <c r="R223" s="77">
        <v>0</v>
      </c>
      <c r="S223" s="77">
        <v>0</v>
      </c>
      <c r="T223" s="77">
        <v>0</v>
      </c>
      <c r="U223" s="77">
        <v>0</v>
      </c>
      <c r="V223" s="77">
        <v>0</v>
      </c>
      <c r="W223" s="77">
        <v>0</v>
      </c>
      <c r="X223" s="77">
        <v>0</v>
      </c>
      <c r="Y223" s="77">
        <v>0</v>
      </c>
      <c r="Z223" s="77">
        <v>0</v>
      </c>
      <c r="AA223" s="77">
        <v>0</v>
      </c>
      <c r="AB223" s="77">
        <v>0</v>
      </c>
      <c r="AC223" s="77">
        <v>0</v>
      </c>
      <c r="AD223" s="77">
        <v>0</v>
      </c>
      <c r="AE223" s="77">
        <v>0</v>
      </c>
      <c r="AF223" s="77">
        <v>0</v>
      </c>
      <c r="AG223" s="77"/>
      <c r="AH223" s="77"/>
      <c r="AI223" s="77"/>
      <c r="AJ223" s="77"/>
    </row>
    <row r="224" spans="1:36" ht="12.75" x14ac:dyDescent="0.2">
      <c r="A224" s="77" t="s">
        <v>791</v>
      </c>
      <c r="B224" s="77">
        <v>6.2E-2</v>
      </c>
      <c r="C224" s="77">
        <v>6.2E-2</v>
      </c>
      <c r="D224" s="77">
        <v>6.2E-2</v>
      </c>
      <c r="E224" s="77">
        <v>6.2E-2</v>
      </c>
      <c r="F224" s="77">
        <v>6.2E-2</v>
      </c>
      <c r="G224" s="77">
        <v>6.2E-2</v>
      </c>
      <c r="H224" s="77">
        <v>6.2E-2</v>
      </c>
      <c r="I224" s="77">
        <v>6.2E-2</v>
      </c>
      <c r="J224" s="77">
        <v>6.2E-2</v>
      </c>
      <c r="K224" s="77">
        <v>6.2E-2</v>
      </c>
      <c r="L224" s="77">
        <v>6.2E-2</v>
      </c>
      <c r="M224" s="77">
        <v>6.2E-2</v>
      </c>
      <c r="N224" s="77">
        <v>6.2E-2</v>
      </c>
      <c r="O224" s="77">
        <v>6.2E-2</v>
      </c>
      <c r="P224" s="77">
        <v>6.2E-2</v>
      </c>
      <c r="Q224" s="77">
        <v>6.2E-2</v>
      </c>
      <c r="R224" s="77">
        <v>6.2E-2</v>
      </c>
      <c r="S224" s="77">
        <v>6.2E-2</v>
      </c>
      <c r="T224" s="77">
        <v>6.2E-2</v>
      </c>
      <c r="U224" s="77">
        <v>6.2E-2</v>
      </c>
      <c r="V224" s="77">
        <v>6.2E-2</v>
      </c>
      <c r="W224" s="77">
        <v>6.2E-2</v>
      </c>
      <c r="X224" s="77">
        <v>6.2E-2</v>
      </c>
      <c r="Y224" s="77">
        <v>6.2E-2</v>
      </c>
      <c r="Z224" s="77">
        <v>6.2E-2</v>
      </c>
      <c r="AA224" s="77">
        <v>6.2E-2</v>
      </c>
      <c r="AB224" s="77">
        <v>6.2E-2</v>
      </c>
      <c r="AC224" s="77">
        <v>6.2E-2</v>
      </c>
      <c r="AD224" s="77">
        <v>6.2E-2</v>
      </c>
      <c r="AE224" s="77">
        <v>6.2E-2</v>
      </c>
      <c r="AF224" s="77">
        <v>6.2E-2</v>
      </c>
      <c r="AG224" s="77"/>
      <c r="AH224" s="77"/>
      <c r="AI224" s="77"/>
      <c r="AJ224" s="77"/>
    </row>
    <row r="225" spans="1:36" ht="12.75" x14ac:dyDescent="0.2">
      <c r="A225" s="77" t="s">
        <v>792</v>
      </c>
      <c r="B225" s="77">
        <v>5.6000000000000001E-2</v>
      </c>
      <c r="C225" s="77">
        <v>5.6000000000000001E-2</v>
      </c>
      <c r="D225" s="77">
        <v>5.6000000000000001E-2</v>
      </c>
      <c r="E225" s="77">
        <v>5.6000000000000001E-2</v>
      </c>
      <c r="F225" s="77">
        <v>5.6000000000000001E-2</v>
      </c>
      <c r="G225" s="77">
        <v>5.6000000000000001E-2</v>
      </c>
      <c r="H225" s="77">
        <v>5.6000000000000001E-2</v>
      </c>
      <c r="I225" s="77">
        <v>5.6000000000000001E-2</v>
      </c>
      <c r="J225" s="77">
        <v>5.6000000000000001E-2</v>
      </c>
      <c r="K225" s="77">
        <v>5.6000000000000001E-2</v>
      </c>
      <c r="L225" s="77">
        <v>5.6000000000000001E-2</v>
      </c>
      <c r="M225" s="77">
        <v>5.6000000000000001E-2</v>
      </c>
      <c r="N225" s="77">
        <v>5.6000000000000001E-2</v>
      </c>
      <c r="O225" s="77">
        <v>5.6000000000000001E-2</v>
      </c>
      <c r="P225" s="77">
        <v>5.6000000000000001E-2</v>
      </c>
      <c r="Q225" s="77">
        <v>5.6000000000000001E-2</v>
      </c>
      <c r="R225" s="77">
        <v>5.6000000000000001E-2</v>
      </c>
      <c r="S225" s="77">
        <v>5.6000000000000001E-2</v>
      </c>
      <c r="T225" s="77">
        <v>5.6000000000000001E-2</v>
      </c>
      <c r="U225" s="77">
        <v>5.6000000000000001E-2</v>
      </c>
      <c r="V225" s="77">
        <v>5.6000000000000001E-2</v>
      </c>
      <c r="W225" s="77">
        <v>5.6000000000000001E-2</v>
      </c>
      <c r="X225" s="77">
        <v>5.6000000000000001E-2</v>
      </c>
      <c r="Y225" s="77">
        <v>5.6000000000000001E-2</v>
      </c>
      <c r="Z225" s="77">
        <v>5.6000000000000001E-2</v>
      </c>
      <c r="AA225" s="77">
        <v>5.6000000000000001E-2</v>
      </c>
      <c r="AB225" s="77">
        <v>5.6000000000000001E-2</v>
      </c>
      <c r="AC225" s="77">
        <v>5.6000000000000001E-2</v>
      </c>
      <c r="AD225" s="77">
        <v>5.6000000000000001E-2</v>
      </c>
      <c r="AE225" s="77">
        <v>5.6000000000000001E-2</v>
      </c>
      <c r="AF225" s="77">
        <v>5.6000000000000001E-2</v>
      </c>
      <c r="AG225" s="77"/>
      <c r="AH225" s="77"/>
      <c r="AI225" s="77"/>
      <c r="AJ225" s="77"/>
    </row>
    <row r="226" spans="1:36" ht="12.75" x14ac:dyDescent="0.2">
      <c r="A226" s="77" t="s">
        <v>793</v>
      </c>
      <c r="B226" s="77">
        <v>0</v>
      </c>
      <c r="C226" s="77">
        <v>0</v>
      </c>
      <c r="D226" s="77">
        <v>0</v>
      </c>
      <c r="E226" s="77">
        <v>0</v>
      </c>
      <c r="F226" s="77">
        <v>0</v>
      </c>
      <c r="G226" s="77">
        <v>0</v>
      </c>
      <c r="H226" s="77">
        <v>0</v>
      </c>
      <c r="I226" s="77">
        <v>0</v>
      </c>
      <c r="J226" s="77">
        <v>0</v>
      </c>
      <c r="K226" s="77">
        <v>0</v>
      </c>
      <c r="L226" s="77">
        <v>0</v>
      </c>
      <c r="M226" s="77">
        <v>0</v>
      </c>
      <c r="N226" s="77">
        <v>0</v>
      </c>
      <c r="O226" s="77">
        <v>0</v>
      </c>
      <c r="P226" s="77">
        <v>0</v>
      </c>
      <c r="Q226" s="77">
        <v>0</v>
      </c>
      <c r="R226" s="77">
        <v>0</v>
      </c>
      <c r="S226" s="77">
        <v>0</v>
      </c>
      <c r="T226" s="77">
        <v>0</v>
      </c>
      <c r="U226" s="77">
        <v>0</v>
      </c>
      <c r="V226" s="77">
        <v>0</v>
      </c>
      <c r="W226" s="77">
        <v>0</v>
      </c>
      <c r="X226" s="77">
        <v>0</v>
      </c>
      <c r="Y226" s="77">
        <v>0</v>
      </c>
      <c r="Z226" s="77">
        <v>0</v>
      </c>
      <c r="AA226" s="77">
        <v>0</v>
      </c>
      <c r="AB226" s="77">
        <v>0</v>
      </c>
      <c r="AC226" s="77">
        <v>0</v>
      </c>
      <c r="AD226" s="77">
        <v>0</v>
      </c>
      <c r="AE226" s="77">
        <v>0</v>
      </c>
      <c r="AF226" s="77">
        <v>0</v>
      </c>
      <c r="AG226" s="77"/>
      <c r="AH226" s="77"/>
      <c r="AI226" s="77"/>
      <c r="AJ226" s="77"/>
    </row>
    <row r="227" spans="1:36" ht="12.75" x14ac:dyDescent="0.2">
      <c r="A227" s="77" t="s">
        <v>794</v>
      </c>
      <c r="B227" s="77">
        <v>6.2E-2</v>
      </c>
      <c r="C227" s="77">
        <v>6.2E-2</v>
      </c>
      <c r="D227" s="77">
        <v>6.2E-2</v>
      </c>
      <c r="E227" s="77">
        <v>6.2E-2</v>
      </c>
      <c r="F227" s="77">
        <v>6.2E-2</v>
      </c>
      <c r="G227" s="77">
        <v>6.2E-2</v>
      </c>
      <c r="H227" s="77">
        <v>6.2E-2</v>
      </c>
      <c r="I227" s="77">
        <v>6.2E-2</v>
      </c>
      <c r="J227" s="77">
        <v>6.2E-2</v>
      </c>
      <c r="K227" s="77">
        <v>6.2E-2</v>
      </c>
      <c r="L227" s="77">
        <v>6.2E-2</v>
      </c>
      <c r="M227" s="77">
        <v>6.2E-2</v>
      </c>
      <c r="N227" s="77">
        <v>6.2E-2</v>
      </c>
      <c r="O227" s="77">
        <v>6.2E-2</v>
      </c>
      <c r="P227" s="77">
        <v>6.2E-2</v>
      </c>
      <c r="Q227" s="77">
        <v>6.2E-2</v>
      </c>
      <c r="R227" s="77">
        <v>6.2E-2</v>
      </c>
      <c r="S227" s="77">
        <v>6.2E-2</v>
      </c>
      <c r="T227" s="77">
        <v>6.2E-2</v>
      </c>
      <c r="U227" s="77">
        <v>6.2E-2</v>
      </c>
      <c r="V227" s="77">
        <v>6.2E-2</v>
      </c>
      <c r="W227" s="77">
        <v>6.2E-2</v>
      </c>
      <c r="X227" s="77">
        <v>6.2E-2</v>
      </c>
      <c r="Y227" s="77">
        <v>6.2E-2</v>
      </c>
      <c r="Z227" s="77">
        <v>6.2E-2</v>
      </c>
      <c r="AA227" s="77">
        <v>6.2E-2</v>
      </c>
      <c r="AB227" s="77">
        <v>6.2E-2</v>
      </c>
      <c r="AC227" s="77">
        <v>6.2E-2</v>
      </c>
      <c r="AD227" s="77">
        <v>6.2E-2</v>
      </c>
      <c r="AE227" s="77">
        <v>6.2E-2</v>
      </c>
      <c r="AF227" s="77">
        <v>6.2E-2</v>
      </c>
      <c r="AG227" s="77"/>
      <c r="AH227" s="77"/>
      <c r="AI227" s="77"/>
      <c r="AJ227" s="77"/>
    </row>
    <row r="228" spans="1:36" ht="12.75" x14ac:dyDescent="0.2">
      <c r="A228" s="77" t="s">
        <v>795</v>
      </c>
      <c r="B228" s="77">
        <v>0.64600000000000002</v>
      </c>
      <c r="C228" s="77">
        <v>0.64600000000000002</v>
      </c>
      <c r="D228" s="77">
        <v>0.64600000000000002</v>
      </c>
      <c r="E228" s="77">
        <v>0.64600000000000002</v>
      </c>
      <c r="F228" s="77">
        <v>0.64600000000000002</v>
      </c>
      <c r="G228" s="77">
        <v>0.64600000000000002</v>
      </c>
      <c r="H228" s="77">
        <v>0.64600000000000002</v>
      </c>
      <c r="I228" s="77">
        <v>0.64600000000000002</v>
      </c>
      <c r="J228" s="77">
        <v>0.64600000000000002</v>
      </c>
      <c r="K228" s="77">
        <v>0.64600000000000002</v>
      </c>
      <c r="L228" s="77">
        <v>0.64600000000000002</v>
      </c>
      <c r="M228" s="77">
        <v>0.64600000000000002</v>
      </c>
      <c r="N228" s="77">
        <v>0.64600000000000002</v>
      </c>
      <c r="O228" s="77">
        <v>0.64600000000000002</v>
      </c>
      <c r="P228" s="77">
        <v>0.64600000000000002</v>
      </c>
      <c r="Q228" s="77">
        <v>0.64600000000000002</v>
      </c>
      <c r="R228" s="77">
        <v>0.64600000000000002</v>
      </c>
      <c r="S228" s="77">
        <v>0.64600000000000002</v>
      </c>
      <c r="T228" s="77">
        <v>0.64600000000000002</v>
      </c>
      <c r="U228" s="77">
        <v>0.64600000000000002</v>
      </c>
      <c r="V228" s="77">
        <v>0.64600000000000002</v>
      </c>
      <c r="W228" s="77">
        <v>0.64600000000000002</v>
      </c>
      <c r="X228" s="77">
        <v>0.64600000000000002</v>
      </c>
      <c r="Y228" s="77">
        <v>0.64600000000000002</v>
      </c>
      <c r="Z228" s="77">
        <v>0.64600000000000002</v>
      </c>
      <c r="AA228" s="77">
        <v>0.64600000000000002</v>
      </c>
      <c r="AB228" s="77">
        <v>0.64600000000000002</v>
      </c>
      <c r="AC228" s="77">
        <v>0.64600000000000002</v>
      </c>
      <c r="AD228" s="77">
        <v>0.64600000000000002</v>
      </c>
      <c r="AE228" s="77">
        <v>0.64600000000000002</v>
      </c>
      <c r="AF228" s="77">
        <v>0.64600000000000002</v>
      </c>
      <c r="AG228" s="77"/>
      <c r="AH228" s="77"/>
      <c r="AI228" s="77"/>
      <c r="AJ228" s="77"/>
    </row>
    <row r="229" spans="1:36" ht="12.75" x14ac:dyDescent="0.2">
      <c r="A229" s="77" t="s">
        <v>796</v>
      </c>
      <c r="B229" s="77">
        <v>0</v>
      </c>
      <c r="C229" s="77">
        <v>0</v>
      </c>
      <c r="D229" s="77">
        <v>0</v>
      </c>
      <c r="E229" s="77">
        <v>0</v>
      </c>
      <c r="F229" s="77">
        <v>0</v>
      </c>
      <c r="G229" s="77">
        <v>0</v>
      </c>
      <c r="H229" s="77">
        <v>0</v>
      </c>
      <c r="I229" s="77">
        <v>0</v>
      </c>
      <c r="J229" s="77">
        <v>0</v>
      </c>
      <c r="K229" s="77">
        <v>0</v>
      </c>
      <c r="L229" s="77">
        <v>0</v>
      </c>
      <c r="M229" s="77">
        <v>0</v>
      </c>
      <c r="N229" s="77">
        <v>0</v>
      </c>
      <c r="O229" s="77">
        <v>0</v>
      </c>
      <c r="P229" s="77">
        <v>0</v>
      </c>
      <c r="Q229" s="77">
        <v>0</v>
      </c>
      <c r="R229" s="77">
        <v>0</v>
      </c>
      <c r="S229" s="77">
        <v>0</v>
      </c>
      <c r="T229" s="77">
        <v>0</v>
      </c>
      <c r="U229" s="77">
        <v>0</v>
      </c>
      <c r="V229" s="77">
        <v>0</v>
      </c>
      <c r="W229" s="77">
        <v>0</v>
      </c>
      <c r="X229" s="77">
        <v>0</v>
      </c>
      <c r="Y229" s="77">
        <v>0</v>
      </c>
      <c r="Z229" s="77">
        <v>0</v>
      </c>
      <c r="AA229" s="77">
        <v>0</v>
      </c>
      <c r="AB229" s="77">
        <v>0</v>
      </c>
      <c r="AC229" s="77">
        <v>0</v>
      </c>
      <c r="AD229" s="77">
        <v>0</v>
      </c>
      <c r="AE229" s="77">
        <v>0</v>
      </c>
      <c r="AF229" s="77">
        <v>0</v>
      </c>
      <c r="AG229" s="77"/>
      <c r="AH229" s="77"/>
      <c r="AI229" s="77"/>
      <c r="AJ229" s="77"/>
    </row>
    <row r="230" spans="1:36" ht="12.75" x14ac:dyDescent="0.2">
      <c r="A230" s="77" t="s">
        <v>797</v>
      </c>
      <c r="B230" s="77">
        <v>0.71099999999999997</v>
      </c>
      <c r="C230" s="77">
        <v>0.71099999999999997</v>
      </c>
      <c r="D230" s="77">
        <v>0.71099999999999997</v>
      </c>
      <c r="E230" s="77">
        <v>0.71099999999999997</v>
      </c>
      <c r="F230" s="77">
        <v>0.71099999999999997</v>
      </c>
      <c r="G230" s="77">
        <v>0.71099999999999997</v>
      </c>
      <c r="H230" s="77">
        <v>0.71099999999999997</v>
      </c>
      <c r="I230" s="77">
        <v>0.71099999999999997</v>
      </c>
      <c r="J230" s="77">
        <v>0.71099999999999997</v>
      </c>
      <c r="K230" s="77">
        <v>0.71099999999999997</v>
      </c>
      <c r="L230" s="77">
        <v>0.71099999999999997</v>
      </c>
      <c r="M230" s="77">
        <v>0.71099999999999997</v>
      </c>
      <c r="N230" s="77">
        <v>0.71099999999999997</v>
      </c>
      <c r="O230" s="77">
        <v>0.71099999999999997</v>
      </c>
      <c r="P230" s="77">
        <v>0.71099999999999997</v>
      </c>
      <c r="Q230" s="77">
        <v>0.71099999999999997</v>
      </c>
      <c r="R230" s="77">
        <v>0.71099999999999997</v>
      </c>
      <c r="S230" s="77">
        <v>0.71099999999999997</v>
      </c>
      <c r="T230" s="77">
        <v>0.71099999999999997</v>
      </c>
      <c r="U230" s="77">
        <v>0.71099999999999997</v>
      </c>
      <c r="V230" s="77">
        <v>0.71099999999999997</v>
      </c>
      <c r="W230" s="77">
        <v>0.71099999999999997</v>
      </c>
      <c r="X230" s="77">
        <v>0.71099999999999997</v>
      </c>
      <c r="Y230" s="77">
        <v>0.71099999999999997</v>
      </c>
      <c r="Z230" s="77">
        <v>0.71099999999999997</v>
      </c>
      <c r="AA230" s="77">
        <v>0.71099999999999997</v>
      </c>
      <c r="AB230" s="77">
        <v>0.71099999999999997</v>
      </c>
      <c r="AC230" s="77">
        <v>0.71099999999999997</v>
      </c>
      <c r="AD230" s="77">
        <v>0.71099999999999997</v>
      </c>
      <c r="AE230" s="77">
        <v>0.71099999999999997</v>
      </c>
      <c r="AF230" s="77">
        <v>0.71099999999999997</v>
      </c>
      <c r="AG230" s="77"/>
      <c r="AH230" s="77"/>
      <c r="AI230" s="77"/>
      <c r="AJ230" s="77"/>
    </row>
    <row r="231" spans="1:36" ht="12.75" x14ac:dyDescent="0.2">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row>
    <row r="232" spans="1:36" ht="12.75" x14ac:dyDescent="0.2">
      <c r="A232" s="81" t="s">
        <v>821</v>
      </c>
      <c r="B232" s="81"/>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row>
    <row r="233" spans="1:36" ht="15" x14ac:dyDescent="0.25">
      <c r="A233" s="1" t="s">
        <v>821</v>
      </c>
      <c r="B233"/>
      <c r="C233"/>
      <c r="D233"/>
      <c r="E233"/>
      <c r="F233"/>
      <c r="G233"/>
      <c r="H233"/>
      <c r="I233"/>
      <c r="J233"/>
      <c r="K233"/>
      <c r="L233"/>
      <c r="M233"/>
      <c r="N233"/>
      <c r="O233"/>
      <c r="P233"/>
      <c r="Q233"/>
      <c r="R233"/>
      <c r="S233"/>
      <c r="T233"/>
      <c r="U233"/>
      <c r="V233"/>
      <c r="W233"/>
      <c r="X233"/>
      <c r="Y233"/>
      <c r="Z233"/>
      <c r="AA233"/>
      <c r="AB233"/>
      <c r="AC233"/>
      <c r="AD233"/>
      <c r="AE233"/>
      <c r="AF233" s="77"/>
      <c r="AG233" s="77"/>
      <c r="AH233" s="77"/>
      <c r="AI233" s="77"/>
      <c r="AJ233" s="77"/>
    </row>
    <row r="234" spans="1:36" ht="15" x14ac:dyDescent="0.25">
      <c r="A234" s="1"/>
      <c r="B234"/>
      <c r="C234"/>
      <c r="D234"/>
      <c r="E234"/>
      <c r="F234"/>
      <c r="G234"/>
      <c r="H234"/>
      <c r="I234"/>
      <c r="J234"/>
      <c r="K234"/>
      <c r="L234"/>
      <c r="M234"/>
      <c r="N234"/>
      <c r="O234"/>
      <c r="P234"/>
      <c r="Q234"/>
      <c r="R234"/>
      <c r="S234"/>
      <c r="T234"/>
      <c r="U234"/>
      <c r="V234"/>
      <c r="W234"/>
      <c r="X234"/>
      <c r="Y234"/>
      <c r="Z234"/>
      <c r="AA234"/>
      <c r="AB234"/>
      <c r="AC234"/>
      <c r="AD234"/>
      <c r="AE234"/>
      <c r="AF234" s="77"/>
      <c r="AG234" s="77"/>
      <c r="AH234" s="77"/>
      <c r="AI234" s="77"/>
      <c r="AJ234" s="77"/>
    </row>
    <row r="235" spans="1:36" ht="15" x14ac:dyDescent="0.25">
      <c r="A235" t="s">
        <v>1044</v>
      </c>
      <c r="B235">
        <v>3</v>
      </c>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36" ht="15" x14ac:dyDescent="0.25">
      <c r="A236" t="s">
        <v>822</v>
      </c>
      <c r="B236">
        <v>61127.365236523648</v>
      </c>
      <c r="C236"/>
      <c r="D236"/>
      <c r="E236"/>
      <c r="F236"/>
      <c r="G236"/>
      <c r="H236"/>
      <c r="I236"/>
      <c r="J236"/>
      <c r="K236"/>
      <c r="L236"/>
      <c r="M236"/>
      <c r="N236"/>
      <c r="O236"/>
      <c r="P236"/>
      <c r="Q236"/>
      <c r="R236"/>
      <c r="S236"/>
      <c r="T236"/>
      <c r="U236"/>
      <c r="V236"/>
      <c r="W236"/>
      <c r="X236"/>
      <c r="Y236"/>
      <c r="Z236"/>
      <c r="AA236"/>
      <c r="AB236"/>
      <c r="AC236"/>
      <c r="AD236"/>
      <c r="AE236"/>
      <c r="AF236" s="77"/>
      <c r="AG236" s="77"/>
      <c r="AH236" s="77"/>
      <c r="AI236" s="77"/>
      <c r="AJ236" s="77"/>
    </row>
    <row r="237" spans="1:36" ht="15" x14ac:dyDescent="0.25">
      <c r="A237" t="s">
        <v>824</v>
      </c>
      <c r="B237">
        <v>2.2046199999999998</v>
      </c>
      <c r="C237"/>
      <c r="D237"/>
      <c r="E237"/>
      <c r="F237"/>
      <c r="G237"/>
      <c r="H237"/>
      <c r="I237"/>
      <c r="J237"/>
      <c r="K237"/>
      <c r="L237"/>
      <c r="M237"/>
      <c r="N237"/>
      <c r="O237"/>
      <c r="P237"/>
      <c r="Q237"/>
      <c r="R237"/>
      <c r="S237"/>
      <c r="T237"/>
      <c r="U237"/>
      <c r="V237"/>
      <c r="W237"/>
      <c r="X237"/>
      <c r="Y237"/>
      <c r="Z237"/>
      <c r="AA237"/>
      <c r="AB237"/>
      <c r="AC237"/>
      <c r="AD237"/>
      <c r="AE237"/>
      <c r="AF237" s="77"/>
      <c r="AG237" s="77"/>
      <c r="AH237" s="77"/>
      <c r="AI237" s="77"/>
      <c r="AJ237" s="77"/>
    </row>
    <row r="238" spans="1:36" ht="15" x14ac:dyDescent="0.25">
      <c r="A238" t="s">
        <v>825</v>
      </c>
      <c r="B238">
        <f>B236*B237</f>
        <v>134762.61194774476</v>
      </c>
      <c r="C238"/>
      <c r="D238"/>
      <c r="E238"/>
      <c r="F238"/>
      <c r="G238"/>
      <c r="H238"/>
      <c r="I238"/>
      <c r="J238"/>
      <c r="K238"/>
      <c r="L238"/>
      <c r="M238"/>
      <c r="N238"/>
      <c r="O238"/>
      <c r="P238"/>
      <c r="Q238"/>
      <c r="R238"/>
      <c r="S238"/>
      <c r="T238"/>
      <c r="U238"/>
      <c r="V238"/>
      <c r="W238"/>
      <c r="X238"/>
      <c r="Y238"/>
      <c r="Z238"/>
      <c r="AA238"/>
      <c r="AB238"/>
      <c r="AC238"/>
      <c r="AD238"/>
      <c r="AE238"/>
      <c r="AF238" s="77"/>
      <c r="AG238" s="77"/>
      <c r="AH238" s="77"/>
      <c r="AI238" s="77"/>
      <c r="AJ238" s="77"/>
    </row>
    <row r="239" spans="1:36" ht="15" x14ac:dyDescent="0.25">
      <c r="A239" t="s">
        <v>823</v>
      </c>
      <c r="B239">
        <v>1.7475173313746466E-5</v>
      </c>
      <c r="C239"/>
      <c r="D239"/>
      <c r="E239"/>
      <c r="F239"/>
      <c r="G239"/>
      <c r="H239"/>
      <c r="I239"/>
      <c r="J239"/>
      <c r="K239"/>
      <c r="L239"/>
      <c r="M239"/>
      <c r="N239"/>
      <c r="O239"/>
      <c r="P239"/>
      <c r="Q239"/>
      <c r="R239"/>
      <c r="S239"/>
      <c r="T239"/>
      <c r="U239"/>
      <c r="V239"/>
      <c r="W239"/>
      <c r="X239"/>
      <c r="Y239"/>
      <c r="Z239"/>
      <c r="AA239"/>
      <c r="AB239"/>
      <c r="AC239"/>
      <c r="AD239"/>
      <c r="AE239"/>
      <c r="AF239" s="77"/>
      <c r="AG239" s="77"/>
      <c r="AH239" s="77"/>
      <c r="AI239" s="77"/>
      <c r="AJ239" s="77"/>
    </row>
    <row r="240" spans="1:36" ht="15" x14ac:dyDescent="0.25">
      <c r="A240"/>
      <c r="B240"/>
      <c r="C240"/>
      <c r="D240"/>
      <c r="E240"/>
      <c r="F240"/>
      <c r="G240"/>
      <c r="H240"/>
      <c r="I240"/>
      <c r="J240"/>
      <c r="K240"/>
      <c r="L240"/>
      <c r="M240"/>
      <c r="N240"/>
      <c r="O240"/>
      <c r="P240"/>
      <c r="Q240"/>
      <c r="R240"/>
      <c r="S240"/>
      <c r="T240"/>
      <c r="U240"/>
      <c r="V240"/>
      <c r="W240"/>
      <c r="X240"/>
      <c r="Y240"/>
      <c r="Z240"/>
      <c r="AA240"/>
      <c r="AB240"/>
      <c r="AC240"/>
      <c r="AD240"/>
      <c r="AE240"/>
      <c r="AF240" s="77"/>
      <c r="AG240" s="77"/>
      <c r="AH240" s="77"/>
      <c r="AI240" s="77"/>
      <c r="AJ240" s="77"/>
    </row>
    <row r="241" spans="1:36" ht="15" x14ac:dyDescent="0.25">
      <c r="A241" t="s">
        <v>1045</v>
      </c>
      <c r="B241">
        <v>1.5</v>
      </c>
      <c r="C241"/>
      <c r="D241"/>
      <c r="E241"/>
      <c r="F241"/>
      <c r="G241"/>
      <c r="H241"/>
      <c r="I241"/>
      <c r="J241"/>
      <c r="K241"/>
      <c r="L241"/>
      <c r="M241"/>
      <c r="N241"/>
      <c r="O241"/>
      <c r="P241"/>
      <c r="Q241"/>
      <c r="R241"/>
      <c r="S241"/>
      <c r="T241"/>
      <c r="U241"/>
      <c r="V241"/>
      <c r="W241"/>
      <c r="X241"/>
      <c r="Y241"/>
      <c r="Z241"/>
      <c r="AA241"/>
      <c r="AB241"/>
      <c r="AC241"/>
      <c r="AD241"/>
      <c r="AE241"/>
      <c r="AF241" s="77"/>
      <c r="AG241" s="77"/>
      <c r="AH241" s="77"/>
      <c r="AI241" s="77"/>
      <c r="AJ241" s="77"/>
    </row>
    <row r="242" spans="1:36" ht="15" x14ac:dyDescent="0.25">
      <c r="A242" t="s">
        <v>822</v>
      </c>
      <c r="B242">
        <v>61127.365236523648</v>
      </c>
      <c r="C242"/>
      <c r="D242"/>
      <c r="E242"/>
      <c r="F242"/>
      <c r="G242"/>
      <c r="H242"/>
      <c r="I242"/>
      <c r="J242"/>
      <c r="K242"/>
      <c r="L242"/>
      <c r="M242"/>
      <c r="N242"/>
      <c r="O242"/>
      <c r="P242"/>
      <c r="Q242"/>
      <c r="R242"/>
      <c r="S242"/>
      <c r="T242"/>
      <c r="U242"/>
      <c r="V242"/>
      <c r="W242"/>
      <c r="X242"/>
      <c r="Y242"/>
      <c r="Z242"/>
      <c r="AA242"/>
      <c r="AB242"/>
      <c r="AC242"/>
      <c r="AD242"/>
      <c r="AE242"/>
      <c r="AF242" s="77"/>
      <c r="AG242" s="77"/>
      <c r="AH242" s="77"/>
      <c r="AI242" s="77"/>
      <c r="AJ242" s="77"/>
    </row>
    <row r="243" spans="1:36" ht="15" x14ac:dyDescent="0.25">
      <c r="A243" t="s">
        <v>824</v>
      </c>
      <c r="B243">
        <v>2.2046199999999998</v>
      </c>
      <c r="C243"/>
      <c r="D243"/>
      <c r="E243"/>
      <c r="F243"/>
      <c r="G243"/>
      <c r="H243"/>
      <c r="I243"/>
      <c r="J243"/>
      <c r="K243"/>
      <c r="L243"/>
      <c r="M243"/>
      <c r="N243"/>
      <c r="O243"/>
      <c r="P243"/>
      <c r="Q243"/>
      <c r="R243"/>
      <c r="S243"/>
      <c r="T243"/>
      <c r="U243"/>
      <c r="V243"/>
      <c r="W243"/>
      <c r="X243"/>
      <c r="Y243"/>
      <c r="Z243"/>
      <c r="AA243"/>
      <c r="AB243"/>
      <c r="AC243"/>
      <c r="AD243"/>
      <c r="AE243"/>
      <c r="AF243" s="77"/>
      <c r="AG243" s="77"/>
      <c r="AH243" s="77"/>
      <c r="AI243" s="77"/>
      <c r="AJ243" s="77"/>
    </row>
    <row r="244" spans="1:36" ht="15" x14ac:dyDescent="0.25">
      <c r="A244" t="s">
        <v>825</v>
      </c>
      <c r="B244">
        <f>B242*B243</f>
        <v>134762.61194774476</v>
      </c>
      <c r="C244"/>
      <c r="D244"/>
      <c r="E244"/>
      <c r="F244"/>
      <c r="G244"/>
      <c r="H244"/>
      <c r="I244"/>
      <c r="J244"/>
      <c r="K244"/>
      <c r="L244"/>
      <c r="M244"/>
      <c r="N244"/>
      <c r="O244"/>
      <c r="P244"/>
      <c r="Q244"/>
      <c r="R244"/>
      <c r="S244"/>
      <c r="T244"/>
      <c r="U244"/>
      <c r="V244"/>
      <c r="W244"/>
      <c r="X244"/>
      <c r="Y244"/>
      <c r="Z244"/>
      <c r="AA244"/>
      <c r="AB244"/>
      <c r="AC244"/>
      <c r="AD244"/>
      <c r="AE244"/>
      <c r="AF244" s="77"/>
      <c r="AG244" s="77"/>
      <c r="AH244" s="77"/>
      <c r="AI244" s="77"/>
      <c r="AJ244" s="77"/>
    </row>
    <row r="245" spans="1:36" ht="15" x14ac:dyDescent="0.25">
      <c r="A245" t="s">
        <v>823</v>
      </c>
      <c r="B245">
        <v>8.7375866568732332E-6</v>
      </c>
      <c r="C245"/>
      <c r="D245"/>
      <c r="E245"/>
      <c r="F245"/>
      <c r="G245"/>
      <c r="H245"/>
      <c r="I245"/>
      <c r="J245"/>
      <c r="K245"/>
      <c r="L245"/>
      <c r="M245"/>
      <c r="N245"/>
      <c r="O245"/>
      <c r="P245"/>
      <c r="Q245"/>
      <c r="R245"/>
      <c r="S245"/>
      <c r="T245"/>
      <c r="U245"/>
      <c r="V245"/>
      <c r="W245"/>
      <c r="X245"/>
      <c r="Y245"/>
      <c r="Z245"/>
      <c r="AA245"/>
      <c r="AB245"/>
      <c r="AC245"/>
      <c r="AD245"/>
      <c r="AE245"/>
      <c r="AF245" s="77"/>
      <c r="AG245" s="77"/>
      <c r="AH245" s="77"/>
      <c r="AI245" s="77"/>
      <c r="AJ245" s="77"/>
    </row>
    <row r="246" spans="1:36" ht="15" x14ac:dyDescent="0.25">
      <c r="A246"/>
      <c r="B246"/>
      <c r="C246"/>
      <c r="D246"/>
      <c r="E246"/>
      <c r="F246"/>
      <c r="G246"/>
      <c r="H246"/>
      <c r="I246"/>
      <c r="J246"/>
      <c r="K246"/>
      <c r="L246"/>
      <c r="M246"/>
      <c r="N246"/>
      <c r="O246"/>
      <c r="P246"/>
      <c r="Q246"/>
      <c r="R246"/>
      <c r="S246"/>
      <c r="T246"/>
      <c r="U246"/>
      <c r="V246"/>
      <c r="W246"/>
      <c r="X246"/>
      <c r="Y246"/>
      <c r="Z246"/>
      <c r="AA246"/>
      <c r="AB246"/>
      <c r="AC246"/>
      <c r="AD246"/>
      <c r="AE246"/>
      <c r="AF246" s="77"/>
      <c r="AG246" s="77"/>
      <c r="AH246" s="77"/>
      <c r="AI246" s="77"/>
      <c r="AJ246" s="77"/>
    </row>
    <row r="247" spans="1:36" ht="15" x14ac:dyDescent="0.25">
      <c r="A247" s="1" t="s">
        <v>1046</v>
      </c>
      <c r="B247"/>
      <c r="C247"/>
      <c r="D247"/>
      <c r="E247"/>
      <c r="F247"/>
      <c r="G247"/>
      <c r="H247"/>
      <c r="I247"/>
      <c r="J247"/>
      <c r="K247"/>
      <c r="L247"/>
      <c r="M247"/>
      <c r="N247"/>
      <c r="O247"/>
      <c r="P247"/>
      <c r="Q247"/>
      <c r="R247"/>
      <c r="S247"/>
      <c r="T247"/>
      <c r="U247"/>
      <c r="V247"/>
      <c r="W247"/>
      <c r="X247"/>
      <c r="Y247"/>
      <c r="Z247"/>
      <c r="AA247"/>
      <c r="AB247"/>
      <c r="AC247"/>
      <c r="AD247"/>
      <c r="AE247"/>
      <c r="AF247" s="77"/>
      <c r="AG247" s="77"/>
      <c r="AH247" s="77"/>
      <c r="AI247" s="77"/>
      <c r="AJ247" s="77"/>
    </row>
    <row r="248" spans="1:36" ht="15" x14ac:dyDescent="0.25">
      <c r="A248" t="s">
        <v>1047</v>
      </c>
      <c r="B248" s="345">
        <v>2021</v>
      </c>
      <c r="C248">
        <v>2022</v>
      </c>
      <c r="D248" s="345">
        <v>2023</v>
      </c>
      <c r="E248">
        <v>2024</v>
      </c>
      <c r="F248" s="345">
        <v>2025</v>
      </c>
      <c r="G248">
        <v>2026</v>
      </c>
      <c r="H248" s="345">
        <v>2027</v>
      </c>
      <c r="I248">
        <v>2028</v>
      </c>
      <c r="J248" s="345">
        <v>2029</v>
      </c>
      <c r="K248">
        <v>2030</v>
      </c>
      <c r="L248" s="345">
        <v>2031</v>
      </c>
      <c r="M248">
        <v>2032</v>
      </c>
      <c r="N248" s="345">
        <v>2033</v>
      </c>
      <c r="O248">
        <v>2034</v>
      </c>
      <c r="P248" s="345">
        <v>2035</v>
      </c>
      <c r="Q248">
        <v>2036</v>
      </c>
      <c r="R248" s="345">
        <v>2037</v>
      </c>
      <c r="S248">
        <v>2038</v>
      </c>
      <c r="T248" s="345">
        <v>2039</v>
      </c>
      <c r="U248">
        <v>2040</v>
      </c>
      <c r="V248" s="345">
        <v>2041</v>
      </c>
      <c r="W248">
        <v>2042</v>
      </c>
      <c r="X248" s="345">
        <v>2043</v>
      </c>
      <c r="Y248">
        <v>2044</v>
      </c>
      <c r="Z248" s="345">
        <v>2045</v>
      </c>
      <c r="AA248">
        <v>2046</v>
      </c>
      <c r="AB248" s="345">
        <v>2047</v>
      </c>
      <c r="AC248">
        <v>2048</v>
      </c>
      <c r="AD248" s="345">
        <v>2049</v>
      </c>
      <c r="AE248">
        <v>2050</v>
      </c>
      <c r="AF248" s="77"/>
      <c r="AG248" s="77"/>
      <c r="AH248" s="77"/>
      <c r="AI248" s="77"/>
      <c r="AJ248" s="77"/>
    </row>
    <row r="249" spans="1:36" ht="15" x14ac:dyDescent="0.25">
      <c r="A249" t="s">
        <v>1048</v>
      </c>
      <c r="B249" s="19">
        <v>0.05</v>
      </c>
      <c r="C249" s="19">
        <v>0.05</v>
      </c>
      <c r="D249" s="19">
        <v>0.05</v>
      </c>
      <c r="E249" s="19">
        <v>0.05</v>
      </c>
      <c r="F249" s="19">
        <v>0.05</v>
      </c>
      <c r="G249" s="19">
        <v>0.05</v>
      </c>
      <c r="H249" s="19">
        <v>0.05</v>
      </c>
      <c r="I249" s="19">
        <v>0.05</v>
      </c>
      <c r="J249" s="19">
        <v>0.05</v>
      </c>
      <c r="K249" s="19">
        <v>0.05</v>
      </c>
      <c r="L249" s="19">
        <v>0.05</v>
      </c>
      <c r="M249" s="19">
        <v>0.05</v>
      </c>
      <c r="N249" s="19">
        <v>0.05</v>
      </c>
      <c r="O249" s="19">
        <v>0.05</v>
      </c>
      <c r="P249" s="19">
        <v>0.05</v>
      </c>
      <c r="Q249" s="19">
        <v>0.05</v>
      </c>
      <c r="R249" s="19">
        <v>0.05</v>
      </c>
      <c r="S249" s="19">
        <v>0.05</v>
      </c>
      <c r="T249" s="19">
        <v>0.05</v>
      </c>
      <c r="U249" s="19">
        <v>0.05</v>
      </c>
      <c r="V249" s="19">
        <v>0.05</v>
      </c>
      <c r="W249" s="19">
        <v>0.05</v>
      </c>
      <c r="X249" s="19">
        <v>0.05</v>
      </c>
      <c r="Y249" s="19">
        <v>0.05</v>
      </c>
      <c r="Z249" s="19">
        <v>0.05</v>
      </c>
      <c r="AA249" s="19">
        <v>0.05</v>
      </c>
      <c r="AB249" s="19">
        <v>0.05</v>
      </c>
      <c r="AC249" s="19">
        <v>0.05</v>
      </c>
      <c r="AD249" s="19">
        <v>0.05</v>
      </c>
      <c r="AE249" s="19">
        <v>0.05</v>
      </c>
      <c r="AF249" s="77"/>
      <c r="AG249" s="77"/>
      <c r="AH249" s="77"/>
      <c r="AI249" s="77"/>
      <c r="AJ249" s="77"/>
    </row>
    <row r="250" spans="1:36" ht="15" x14ac:dyDescent="0.25">
      <c r="A250" t="s">
        <v>1049</v>
      </c>
      <c r="B250" s="19">
        <v>0.95</v>
      </c>
      <c r="C250" s="19">
        <v>0.86309999999999998</v>
      </c>
      <c r="D250" s="19">
        <v>0.77789999999999992</v>
      </c>
      <c r="E250" s="19">
        <v>0.69279999999999997</v>
      </c>
      <c r="F250" s="19">
        <v>0.60829999999999995</v>
      </c>
      <c r="G250" s="19">
        <v>0.52400000000000002</v>
      </c>
      <c r="H250" s="19">
        <v>0.43959999999999999</v>
      </c>
      <c r="I250" s="19">
        <v>0.35619999999999996</v>
      </c>
      <c r="J250" s="19">
        <v>0.27269999999999994</v>
      </c>
      <c r="K250" s="19">
        <v>0.18999999999999995</v>
      </c>
      <c r="L250" s="19">
        <v>0.19289999999999996</v>
      </c>
      <c r="M250" s="19">
        <v>0.19439999999999991</v>
      </c>
      <c r="N250" s="19">
        <v>0.19579999999999997</v>
      </c>
      <c r="O250" s="19">
        <v>0.19739999999999991</v>
      </c>
      <c r="P250" s="19">
        <v>0.19989999999999997</v>
      </c>
      <c r="Q250" s="19">
        <v>0.2014999999999999</v>
      </c>
      <c r="R250" s="19">
        <v>0.20289999999999997</v>
      </c>
      <c r="S250" s="19">
        <v>0.2044999999999999</v>
      </c>
      <c r="T250" s="19">
        <v>0.2056</v>
      </c>
      <c r="U250" s="19">
        <v>0.20649999999999991</v>
      </c>
      <c r="V250" s="19">
        <v>0.20699999999999996</v>
      </c>
      <c r="W250" s="19">
        <v>0.20799999999999996</v>
      </c>
      <c r="X250" s="19">
        <v>0.2107</v>
      </c>
      <c r="Y250" s="19">
        <v>0.21189999999999998</v>
      </c>
      <c r="Z250" s="19">
        <v>0.21429999999999993</v>
      </c>
      <c r="AA250" s="19">
        <v>0.2155999999999999</v>
      </c>
      <c r="AB250" s="19">
        <v>0.21589999999999998</v>
      </c>
      <c r="AC250" s="19">
        <v>0.21739999999999993</v>
      </c>
      <c r="AD250" s="19">
        <v>0.21899999999999997</v>
      </c>
      <c r="AE250" s="19">
        <v>0.22039999999999993</v>
      </c>
      <c r="AF250" s="77"/>
      <c r="AG250" s="77"/>
      <c r="AH250" s="77"/>
      <c r="AI250" s="77"/>
      <c r="AJ250" s="77"/>
    </row>
    <row r="251" spans="1:36" ht="15" x14ac:dyDescent="0.25">
      <c r="A251" t="s">
        <v>1050</v>
      </c>
      <c r="B251" s="19">
        <v>0</v>
      </c>
      <c r="C251" s="19">
        <v>0</v>
      </c>
      <c r="D251" s="19">
        <v>0</v>
      </c>
      <c r="E251" s="19">
        <v>0</v>
      </c>
      <c r="F251" s="19">
        <v>0</v>
      </c>
      <c r="G251" s="19">
        <v>0</v>
      </c>
      <c r="H251" s="19">
        <v>0</v>
      </c>
      <c r="I251" s="19">
        <v>0</v>
      </c>
      <c r="J251" s="19">
        <v>0</v>
      </c>
      <c r="K251" s="19">
        <v>0</v>
      </c>
      <c r="L251" s="19">
        <v>0</v>
      </c>
      <c r="M251" s="19">
        <v>0</v>
      </c>
      <c r="N251" s="19">
        <v>0</v>
      </c>
      <c r="O251" s="19">
        <v>0</v>
      </c>
      <c r="P251" s="19">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77"/>
      <c r="AG251" s="77"/>
      <c r="AH251" s="77"/>
      <c r="AI251" s="77"/>
      <c r="AJ251" s="77"/>
    </row>
    <row r="252" spans="1:36" ht="15" x14ac:dyDescent="0.25">
      <c r="A252" t="s">
        <v>1051</v>
      </c>
      <c r="B252" s="19">
        <v>0</v>
      </c>
      <c r="C252" s="19">
        <v>0</v>
      </c>
      <c r="D252" s="19">
        <v>0</v>
      </c>
      <c r="E252" s="19">
        <v>0</v>
      </c>
      <c r="F252" s="19">
        <v>0</v>
      </c>
      <c r="G252" s="19">
        <v>0</v>
      </c>
      <c r="H252" s="19">
        <v>0</v>
      </c>
      <c r="I252" s="19">
        <v>0</v>
      </c>
      <c r="J252" s="19">
        <v>0</v>
      </c>
      <c r="K252" s="19">
        <v>0</v>
      </c>
      <c r="L252" s="19">
        <v>0</v>
      </c>
      <c r="M252" s="19">
        <v>0</v>
      </c>
      <c r="N252" s="19">
        <v>0</v>
      </c>
      <c r="O252" s="19">
        <v>0</v>
      </c>
      <c r="P252" s="19">
        <v>0</v>
      </c>
      <c r="Q252" s="19">
        <v>0</v>
      </c>
      <c r="R252" s="19">
        <v>0</v>
      </c>
      <c r="S252" s="19">
        <v>0</v>
      </c>
      <c r="T252" s="19">
        <v>0</v>
      </c>
      <c r="U252" s="19">
        <v>0</v>
      </c>
      <c r="V252" s="19">
        <v>0</v>
      </c>
      <c r="W252" s="19">
        <v>0</v>
      </c>
      <c r="X252" s="19">
        <v>0</v>
      </c>
      <c r="Y252" s="19">
        <v>0</v>
      </c>
      <c r="Z252" s="19">
        <v>0</v>
      </c>
      <c r="AA252" s="19">
        <v>0</v>
      </c>
      <c r="AB252" s="19">
        <v>0</v>
      </c>
      <c r="AC252" s="19">
        <v>0</v>
      </c>
      <c r="AD252" s="19">
        <v>0</v>
      </c>
      <c r="AE252" s="19">
        <v>0</v>
      </c>
      <c r="AF252" s="77"/>
      <c r="AG252" s="77"/>
      <c r="AH252" s="77"/>
      <c r="AI252" s="77"/>
      <c r="AJ252" s="77"/>
    </row>
    <row r="253" spans="1:36" ht="15" x14ac:dyDescent="0.25">
      <c r="A253" t="s">
        <v>1052</v>
      </c>
      <c r="B253" s="19">
        <v>0</v>
      </c>
      <c r="C253" s="19">
        <v>0</v>
      </c>
      <c r="D253" s="19">
        <v>0</v>
      </c>
      <c r="E253" s="19">
        <v>0</v>
      </c>
      <c r="F253" s="19">
        <v>0</v>
      </c>
      <c r="G253" s="19">
        <v>0</v>
      </c>
      <c r="H253" s="19">
        <v>0</v>
      </c>
      <c r="I253" s="19">
        <v>0</v>
      </c>
      <c r="J253" s="19">
        <v>0</v>
      </c>
      <c r="K253" s="19">
        <v>0</v>
      </c>
      <c r="L253" s="19">
        <v>0</v>
      </c>
      <c r="M253" s="19">
        <v>0</v>
      </c>
      <c r="N253" s="19">
        <v>0</v>
      </c>
      <c r="O253" s="19">
        <v>0</v>
      </c>
      <c r="P253" s="19">
        <v>0</v>
      </c>
      <c r="Q253" s="19">
        <v>0</v>
      </c>
      <c r="R253" s="19">
        <v>0</v>
      </c>
      <c r="S253" s="19">
        <v>0</v>
      </c>
      <c r="T253" s="19">
        <v>0</v>
      </c>
      <c r="U253" s="19">
        <v>0</v>
      </c>
      <c r="V253" s="19">
        <v>0</v>
      </c>
      <c r="W253" s="19">
        <v>0</v>
      </c>
      <c r="X253" s="19">
        <v>0</v>
      </c>
      <c r="Y253" s="19">
        <v>0</v>
      </c>
      <c r="Z253" s="19">
        <v>0</v>
      </c>
      <c r="AA253" s="19">
        <v>0</v>
      </c>
      <c r="AB253" s="19">
        <v>0</v>
      </c>
      <c r="AC253" s="19">
        <v>0</v>
      </c>
      <c r="AD253" s="19">
        <v>0</v>
      </c>
      <c r="AE253" s="19">
        <v>0</v>
      </c>
      <c r="AF253" s="77"/>
      <c r="AG253" s="77"/>
      <c r="AH253" s="77"/>
      <c r="AI253" s="77"/>
      <c r="AJ253" s="77"/>
    </row>
    <row r="254" spans="1:36" ht="15" x14ac:dyDescent="0.25">
      <c r="A254" t="s">
        <v>1053</v>
      </c>
      <c r="B254" s="19">
        <v>0</v>
      </c>
      <c r="C254" s="19">
        <v>8.6900000000000005E-2</v>
      </c>
      <c r="D254" s="19">
        <v>0.1721</v>
      </c>
      <c r="E254" s="19">
        <v>0.25719999999999998</v>
      </c>
      <c r="F254" s="19">
        <v>0.3417</v>
      </c>
      <c r="G254" s="19">
        <v>0.42599999999999999</v>
      </c>
      <c r="H254" s="19">
        <v>0.51039999999999996</v>
      </c>
      <c r="I254" s="19">
        <v>0.59379999999999999</v>
      </c>
      <c r="J254" s="19">
        <v>0.67730000000000001</v>
      </c>
      <c r="K254" s="19">
        <v>0.76</v>
      </c>
      <c r="L254" s="19">
        <v>0.7571</v>
      </c>
      <c r="M254" s="19">
        <v>0.75560000000000005</v>
      </c>
      <c r="N254" s="19">
        <v>0.75419999999999998</v>
      </c>
      <c r="O254" s="19">
        <v>0.75260000000000005</v>
      </c>
      <c r="P254" s="19">
        <v>0.75009999999999999</v>
      </c>
      <c r="Q254" s="19">
        <v>0.74850000000000005</v>
      </c>
      <c r="R254" s="19">
        <v>0.74709999999999999</v>
      </c>
      <c r="S254" s="19">
        <v>0.74550000000000005</v>
      </c>
      <c r="T254" s="19">
        <v>0.74439999999999995</v>
      </c>
      <c r="U254" s="19">
        <v>0.74350000000000005</v>
      </c>
      <c r="V254" s="19">
        <v>0.74299999999999999</v>
      </c>
      <c r="W254" s="19">
        <v>0.74199999999999999</v>
      </c>
      <c r="X254" s="19">
        <v>0.73929999999999996</v>
      </c>
      <c r="Y254" s="19">
        <v>0.73809999999999998</v>
      </c>
      <c r="Z254" s="19">
        <v>0.73570000000000002</v>
      </c>
      <c r="AA254" s="19">
        <v>0.73440000000000005</v>
      </c>
      <c r="AB254" s="19">
        <v>0.73409999999999997</v>
      </c>
      <c r="AC254" s="19">
        <v>0.73260000000000003</v>
      </c>
      <c r="AD254" s="19">
        <v>0.73099999999999998</v>
      </c>
      <c r="AE254" s="19">
        <v>0.72960000000000003</v>
      </c>
      <c r="AF254" s="77"/>
      <c r="AG254" s="77"/>
      <c r="AH254" s="77"/>
      <c r="AI254" s="77"/>
      <c r="AJ254" s="77"/>
    </row>
    <row r="255" spans="1:36" ht="15" x14ac:dyDescent="0.25">
      <c r="A255" t="s">
        <v>1054</v>
      </c>
      <c r="B255" s="19">
        <v>0</v>
      </c>
      <c r="C255" s="19">
        <v>0</v>
      </c>
      <c r="D255" s="19">
        <v>0</v>
      </c>
      <c r="E255" s="19">
        <v>0</v>
      </c>
      <c r="F255" s="19">
        <v>0</v>
      </c>
      <c r="G255" s="19">
        <v>0</v>
      </c>
      <c r="H255" s="19">
        <v>0</v>
      </c>
      <c r="I255" s="19">
        <v>0</v>
      </c>
      <c r="J255" s="19">
        <v>0</v>
      </c>
      <c r="K255" s="19">
        <v>0</v>
      </c>
      <c r="L255" s="19">
        <v>0</v>
      </c>
      <c r="M255" s="19">
        <v>0</v>
      </c>
      <c r="N255" s="19">
        <v>0</v>
      </c>
      <c r="O255" s="19">
        <v>0</v>
      </c>
      <c r="P255" s="19">
        <v>0</v>
      </c>
      <c r="Q255" s="19">
        <v>0</v>
      </c>
      <c r="R255" s="19">
        <v>0</v>
      </c>
      <c r="S255" s="19">
        <v>0</v>
      </c>
      <c r="T255" s="19">
        <v>0</v>
      </c>
      <c r="U255" s="19">
        <v>0</v>
      </c>
      <c r="V255" s="19">
        <v>0</v>
      </c>
      <c r="W255" s="19">
        <v>0</v>
      </c>
      <c r="X255" s="19">
        <v>0</v>
      </c>
      <c r="Y255" s="19">
        <v>0</v>
      </c>
      <c r="Z255" s="19">
        <v>0</v>
      </c>
      <c r="AA255" s="19">
        <v>0</v>
      </c>
      <c r="AB255" s="19">
        <v>0</v>
      </c>
      <c r="AC255" s="19">
        <v>0</v>
      </c>
      <c r="AD255" s="19">
        <v>0</v>
      </c>
      <c r="AE255" s="19">
        <v>0</v>
      </c>
      <c r="AF255" s="77"/>
      <c r="AG255" s="77"/>
      <c r="AH255" s="77"/>
      <c r="AI255" s="77"/>
      <c r="AJ255" s="77"/>
    </row>
    <row r="256" spans="1:36" ht="15" x14ac:dyDescent="0.25">
      <c r="A256"/>
      <c r="B256"/>
      <c r="C256"/>
      <c r="D256"/>
      <c r="E256"/>
      <c r="F256"/>
      <c r="G256"/>
      <c r="H256"/>
      <c r="I256"/>
      <c r="J256"/>
      <c r="K256"/>
      <c r="L256"/>
      <c r="M256"/>
      <c r="N256"/>
      <c r="O256"/>
      <c r="P256"/>
      <c r="Q256"/>
      <c r="R256"/>
      <c r="S256"/>
      <c r="T256"/>
      <c r="U256"/>
      <c r="V256"/>
      <c r="W256"/>
      <c r="X256"/>
      <c r="Y256"/>
      <c r="Z256"/>
      <c r="AA256"/>
      <c r="AB256"/>
      <c r="AC256"/>
      <c r="AD256"/>
      <c r="AE256"/>
      <c r="AF256" s="77"/>
      <c r="AG256" s="77"/>
      <c r="AH256" s="77"/>
      <c r="AI256" s="77"/>
      <c r="AJ256" s="77"/>
    </row>
    <row r="257" spans="1:74" ht="15" x14ac:dyDescent="0.25">
      <c r="A257" s="1" t="s">
        <v>1055</v>
      </c>
      <c r="B257" s="19">
        <v>0</v>
      </c>
      <c r="C257" s="19">
        <v>0</v>
      </c>
      <c r="D257" s="5">
        <f>SUM(D249,D254)/SUM(D249:D255)*$B$239+D250/SUM(D249:D255)*$B$245</f>
        <v>1.0678204653364778E-5</v>
      </c>
      <c r="E257" s="5">
        <f t="shared" ref="E257:M257" si="37">SUM(E249,E254)/SUM(E249:E255)*$B$239+E250/SUM(E249:E255)*$B$245</f>
        <v>1.1421773277864689E-5</v>
      </c>
      <c r="F257" s="5">
        <f t="shared" si="37"/>
        <v>1.2160099350370479E-5</v>
      </c>
      <c r="G257" s="5">
        <f t="shared" si="37"/>
        <v>1.2896677905544892E-5</v>
      </c>
      <c r="H257" s="5">
        <f t="shared" si="37"/>
        <v>1.3634130219384993E-5</v>
      </c>
      <c r="I257" s="5">
        <f t="shared" si="37"/>
        <v>1.436284494656822E-5</v>
      </c>
      <c r="J257" s="5">
        <f t="shared" si="37"/>
        <v>1.5092433432417136E-5</v>
      </c>
      <c r="K257" s="5">
        <f t="shared" si="37"/>
        <v>1.5815031848940552E-5</v>
      </c>
      <c r="L257" s="5">
        <f t="shared" si="37"/>
        <v>1.5789692847635622E-5</v>
      </c>
      <c r="M257" s="5">
        <f t="shared" si="37"/>
        <v>1.5776586467650311E-5</v>
      </c>
      <c r="N257" s="19">
        <v>0</v>
      </c>
      <c r="O257" s="19">
        <v>0</v>
      </c>
      <c r="P257" s="19">
        <v>0</v>
      </c>
      <c r="Q257" s="19">
        <v>0</v>
      </c>
      <c r="R257" s="19">
        <v>0</v>
      </c>
      <c r="S257" s="19">
        <v>0</v>
      </c>
      <c r="T257" s="19">
        <v>0</v>
      </c>
      <c r="U257" s="19">
        <v>0</v>
      </c>
      <c r="V257" s="19">
        <v>0</v>
      </c>
      <c r="W257" s="19">
        <v>0</v>
      </c>
      <c r="X257" s="19">
        <v>0</v>
      </c>
      <c r="Y257" s="19">
        <v>0</v>
      </c>
      <c r="Z257" s="19">
        <v>0</v>
      </c>
      <c r="AA257" s="19">
        <v>0</v>
      </c>
      <c r="AB257" s="19">
        <v>0</v>
      </c>
      <c r="AC257" s="19">
        <v>0</v>
      </c>
      <c r="AD257" s="19">
        <v>0</v>
      </c>
      <c r="AE257" s="19">
        <v>0</v>
      </c>
      <c r="AF257" s="77"/>
      <c r="AG257" s="77"/>
      <c r="AH257" s="77"/>
      <c r="AI257" s="77"/>
      <c r="AJ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row>
    <row r="259" spans="1:74" ht="12.75" x14ac:dyDescent="0.2">
      <c r="A259" s="125" t="s">
        <v>838</v>
      </c>
      <c r="B259" s="125"/>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77"/>
      <c r="AH259" s="77"/>
      <c r="AI259" s="77"/>
      <c r="AJ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t="s">
        <v>842</v>
      </c>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t="s">
        <v>749</v>
      </c>
      <c r="B262" s="77">
        <v>2021</v>
      </c>
      <c r="C262" s="77">
        <v>2022</v>
      </c>
      <c r="D262" s="77">
        <v>2023</v>
      </c>
      <c r="E262" s="77">
        <v>2024</v>
      </c>
      <c r="F262" s="77">
        <v>2025</v>
      </c>
      <c r="G262" s="77">
        <v>2026</v>
      </c>
      <c r="H262" s="77">
        <v>2027</v>
      </c>
      <c r="I262" s="77">
        <v>2028</v>
      </c>
      <c r="J262" s="77">
        <v>2029</v>
      </c>
      <c r="K262" s="77">
        <v>2030</v>
      </c>
      <c r="L262" s="77">
        <v>2031</v>
      </c>
      <c r="M262" s="77">
        <v>2032</v>
      </c>
      <c r="N262" s="77">
        <v>2033</v>
      </c>
      <c r="O262" s="77">
        <v>2034</v>
      </c>
      <c r="P262" s="77">
        <v>2035</v>
      </c>
      <c r="Q262" s="77">
        <v>2036</v>
      </c>
      <c r="R262" s="77">
        <v>2037</v>
      </c>
      <c r="S262" s="77">
        <v>2038</v>
      </c>
      <c r="T262" s="77">
        <v>2039</v>
      </c>
      <c r="U262" s="77">
        <v>2040</v>
      </c>
      <c r="V262" s="77">
        <v>2041</v>
      </c>
      <c r="W262" s="77">
        <v>2042</v>
      </c>
      <c r="X262" s="77">
        <v>2043</v>
      </c>
      <c r="Y262" s="77">
        <v>2044</v>
      </c>
      <c r="Z262" s="77">
        <v>2045</v>
      </c>
      <c r="AA262" s="77">
        <v>2046</v>
      </c>
      <c r="AB262" s="77">
        <v>2047</v>
      </c>
      <c r="AC262" s="77">
        <v>2048</v>
      </c>
      <c r="AD262" s="77">
        <v>2049</v>
      </c>
      <c r="AE262" s="77">
        <v>2050</v>
      </c>
      <c r="AF262" s="77">
        <v>2050</v>
      </c>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t="s">
        <v>841</v>
      </c>
      <c r="B263" s="77">
        <v>55.752400000000002</v>
      </c>
      <c r="C263" s="77">
        <v>53.080800000000004</v>
      </c>
      <c r="D263" s="77">
        <v>35.336100000000002</v>
      </c>
      <c r="E263" s="77">
        <v>32.708399999999997</v>
      </c>
      <c r="F263" s="77">
        <v>29.970099999999999</v>
      </c>
      <c r="G263" s="77">
        <v>27.5809</v>
      </c>
      <c r="H263" s="77">
        <v>25.226600000000001</v>
      </c>
      <c r="I263" s="77">
        <v>23.170400000000001</v>
      </c>
      <c r="J263" s="77">
        <v>21.188199999999998</v>
      </c>
      <c r="K263" s="77">
        <v>19.2439</v>
      </c>
      <c r="L263" s="77">
        <v>18.0886</v>
      </c>
      <c r="M263" s="77">
        <v>17.2057</v>
      </c>
      <c r="N263" s="77">
        <v>16.649100000000001</v>
      </c>
      <c r="O263" s="77">
        <v>16.277100000000001</v>
      </c>
      <c r="P263" s="77">
        <v>15.7676</v>
      </c>
      <c r="Q263" s="77">
        <v>15.270300000000001</v>
      </c>
      <c r="R263" s="77">
        <v>14.748900000000001</v>
      </c>
      <c r="S263" s="77">
        <v>14.2789</v>
      </c>
      <c r="T263" s="77">
        <v>13.9671</v>
      </c>
      <c r="U263" s="77">
        <v>13.742699999999999</v>
      </c>
      <c r="V263" s="77">
        <v>13.6432</v>
      </c>
      <c r="W263" s="77">
        <v>13.4938</v>
      </c>
      <c r="X263" s="77">
        <v>13.180400000000001</v>
      </c>
      <c r="Y263" s="77">
        <v>12.9552</v>
      </c>
      <c r="Z263" s="77">
        <v>12.834899999999999</v>
      </c>
      <c r="AA263" s="77">
        <v>12.4894</v>
      </c>
      <c r="AB263" s="77">
        <v>12.160399999999999</v>
      </c>
      <c r="AC263" s="77">
        <v>11.8597</v>
      </c>
      <c r="AD263" s="77">
        <v>11.572100000000001</v>
      </c>
      <c r="AE263" s="77">
        <v>11.3109</v>
      </c>
      <c r="AF263" s="77">
        <v>16.479299999999999</v>
      </c>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t="s">
        <v>839</v>
      </c>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t="s">
        <v>749</v>
      </c>
      <c r="B266" s="77">
        <v>2021</v>
      </c>
      <c r="C266" s="77">
        <v>2022</v>
      </c>
      <c r="D266" s="77">
        <v>2023</v>
      </c>
      <c r="E266" s="77">
        <v>2024</v>
      </c>
      <c r="F266" s="77">
        <v>2025</v>
      </c>
      <c r="G266" s="77">
        <v>2026</v>
      </c>
      <c r="H266" s="77">
        <v>2027</v>
      </c>
      <c r="I266" s="77">
        <v>2028</v>
      </c>
      <c r="J266" s="77">
        <v>2029</v>
      </c>
      <c r="K266" s="77">
        <v>2030</v>
      </c>
      <c r="L266" s="77">
        <v>2031</v>
      </c>
      <c r="M266" s="77">
        <v>2032</v>
      </c>
      <c r="N266" s="77">
        <v>2033</v>
      </c>
      <c r="O266" s="77">
        <v>2034</v>
      </c>
      <c r="P266" s="77">
        <v>2035</v>
      </c>
      <c r="Q266" s="77">
        <v>2036</v>
      </c>
      <c r="R266" s="77">
        <v>2037</v>
      </c>
      <c r="S266" s="77">
        <v>2038</v>
      </c>
      <c r="T266" s="77">
        <v>2039</v>
      </c>
      <c r="U266" s="77">
        <v>2040</v>
      </c>
      <c r="V266" s="77">
        <v>2041</v>
      </c>
      <c r="W266" s="77">
        <v>2042</v>
      </c>
      <c r="X266" s="77">
        <v>2043</v>
      </c>
      <c r="Y266" s="77">
        <v>2044</v>
      </c>
      <c r="Z266" s="77">
        <v>2045</v>
      </c>
      <c r="AA266" s="77">
        <v>2046</v>
      </c>
      <c r="AB266" s="77">
        <v>2047</v>
      </c>
      <c r="AC266" s="77">
        <v>2048</v>
      </c>
      <c r="AD266" s="77">
        <v>2049</v>
      </c>
      <c r="AE266" s="77">
        <v>2050</v>
      </c>
      <c r="AF266" s="77">
        <v>2050</v>
      </c>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t="s">
        <v>841</v>
      </c>
      <c r="B267" s="77">
        <v>46.671500000000002</v>
      </c>
      <c r="C267" s="77">
        <v>45.652999999999999</v>
      </c>
      <c r="D267" s="77">
        <v>35.264800000000001</v>
      </c>
      <c r="E267" s="77">
        <v>33.564799999999998</v>
      </c>
      <c r="F267" s="77">
        <v>31.793299999999999</v>
      </c>
      <c r="G267" s="77">
        <v>30.118400000000001</v>
      </c>
      <c r="H267" s="77">
        <v>28.4361</v>
      </c>
      <c r="I267" s="77">
        <v>27.102</v>
      </c>
      <c r="J267" s="77">
        <v>25.794699999999999</v>
      </c>
      <c r="K267" s="77">
        <v>24.5245</v>
      </c>
      <c r="L267" s="77">
        <v>23.755600000000001</v>
      </c>
      <c r="M267" s="77">
        <v>23.119700000000002</v>
      </c>
      <c r="N267" s="77">
        <v>22.690300000000001</v>
      </c>
      <c r="O267" s="77">
        <v>22.3383</v>
      </c>
      <c r="P267" s="77">
        <v>22.022300000000001</v>
      </c>
      <c r="Q267" s="77">
        <v>21.8232</v>
      </c>
      <c r="R267" s="77">
        <v>21.582899999999999</v>
      </c>
      <c r="S267" s="77">
        <v>21.334499999999998</v>
      </c>
      <c r="T267" s="77">
        <v>21.081600000000002</v>
      </c>
      <c r="U267" s="77">
        <v>20.8202</v>
      </c>
      <c r="V267" s="77">
        <v>20.532900000000001</v>
      </c>
      <c r="W267" s="77">
        <v>20.2607</v>
      </c>
      <c r="X267" s="77">
        <v>19.997599999999998</v>
      </c>
      <c r="Y267" s="77">
        <v>19.743200000000002</v>
      </c>
      <c r="Z267" s="77">
        <v>19.502700000000001</v>
      </c>
      <c r="AA267" s="77">
        <v>19.268799999999999</v>
      </c>
      <c r="AB267" s="77">
        <v>19.0518</v>
      </c>
      <c r="AC267" s="77">
        <v>18.849499999999999</v>
      </c>
      <c r="AD267" s="77">
        <v>18.651599999999998</v>
      </c>
      <c r="AE267" s="77">
        <v>18.467600000000001</v>
      </c>
      <c r="AF267" s="77">
        <v>16.521100000000001</v>
      </c>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t="s">
        <v>840</v>
      </c>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t="s">
        <v>749</v>
      </c>
      <c r="B270" s="77"/>
      <c r="C270" s="77"/>
      <c r="D270" s="77"/>
      <c r="E270" s="77">
        <v>2023</v>
      </c>
      <c r="F270" s="77">
        <v>2024</v>
      </c>
      <c r="G270" s="77">
        <v>2025</v>
      </c>
      <c r="H270" s="77">
        <v>2026</v>
      </c>
      <c r="I270" s="77">
        <v>2027</v>
      </c>
      <c r="J270" s="77">
        <v>2028</v>
      </c>
      <c r="K270" s="77">
        <v>2029</v>
      </c>
      <c r="L270" s="77">
        <v>2030</v>
      </c>
      <c r="M270" s="77">
        <v>2031</v>
      </c>
      <c r="N270" s="77">
        <v>2032</v>
      </c>
      <c r="O270" s="77">
        <v>2033</v>
      </c>
      <c r="P270" s="77">
        <v>2034</v>
      </c>
      <c r="Q270" s="77">
        <v>2035</v>
      </c>
      <c r="R270" s="77">
        <v>2036</v>
      </c>
      <c r="S270" s="77">
        <v>2037</v>
      </c>
      <c r="T270" s="77">
        <v>2038</v>
      </c>
      <c r="U270" s="77">
        <v>2039</v>
      </c>
      <c r="V270" s="77">
        <v>2040</v>
      </c>
      <c r="W270" s="77">
        <v>2041</v>
      </c>
      <c r="X270" s="77">
        <v>2042</v>
      </c>
      <c r="Y270" s="77">
        <v>2043</v>
      </c>
      <c r="Z270" s="77">
        <v>2044</v>
      </c>
      <c r="AA270" s="77">
        <v>2045</v>
      </c>
      <c r="AB270" s="77">
        <v>2046</v>
      </c>
      <c r="AC270" s="77">
        <v>2047</v>
      </c>
      <c r="AD270" s="77">
        <v>2048</v>
      </c>
      <c r="AE270" s="77">
        <v>2049</v>
      </c>
      <c r="AF270" s="77">
        <v>2050</v>
      </c>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t="s">
        <v>841</v>
      </c>
      <c r="B271" s="77"/>
      <c r="C271" s="77"/>
      <c r="D271" s="77"/>
      <c r="E271" s="77" t="str">
        <f t="shared" ref="E271:AF271" si="38">IF(E263&lt;E267,"PTC","ITC")</f>
        <v>PTC</v>
      </c>
      <c r="F271" s="77" t="str">
        <f t="shared" si="38"/>
        <v>PTC</v>
      </c>
      <c r="G271" s="77" t="str">
        <f t="shared" si="38"/>
        <v>PTC</v>
      </c>
      <c r="H271" s="77" t="str">
        <f t="shared" si="38"/>
        <v>PTC</v>
      </c>
      <c r="I271" s="77" t="str">
        <f t="shared" si="38"/>
        <v>PTC</v>
      </c>
      <c r="J271" s="77" t="str">
        <f t="shared" si="38"/>
        <v>PTC</v>
      </c>
      <c r="K271" s="77" t="str">
        <f t="shared" si="38"/>
        <v>PTC</v>
      </c>
      <c r="L271" s="77" t="str">
        <f t="shared" si="38"/>
        <v>PTC</v>
      </c>
      <c r="M271" s="77" t="str">
        <f t="shared" si="38"/>
        <v>PTC</v>
      </c>
      <c r="N271" s="77" t="str">
        <f t="shared" si="38"/>
        <v>PTC</v>
      </c>
      <c r="O271" s="77" t="str">
        <f t="shared" si="38"/>
        <v>PTC</v>
      </c>
      <c r="P271" s="77" t="str">
        <f t="shared" si="38"/>
        <v>PTC</v>
      </c>
      <c r="Q271" s="77" t="str">
        <f t="shared" si="38"/>
        <v>PTC</v>
      </c>
      <c r="R271" s="77" t="str">
        <f t="shared" si="38"/>
        <v>PTC</v>
      </c>
      <c r="S271" s="77" t="str">
        <f t="shared" si="38"/>
        <v>PTC</v>
      </c>
      <c r="T271" s="77" t="str">
        <f t="shared" si="38"/>
        <v>PTC</v>
      </c>
      <c r="U271" s="77" t="str">
        <f t="shared" si="38"/>
        <v>PTC</v>
      </c>
      <c r="V271" s="77" t="str">
        <f t="shared" si="38"/>
        <v>PTC</v>
      </c>
      <c r="W271" s="77" t="str">
        <f t="shared" si="38"/>
        <v>PTC</v>
      </c>
      <c r="X271" s="77" t="str">
        <f t="shared" si="38"/>
        <v>PTC</v>
      </c>
      <c r="Y271" s="77" t="str">
        <f t="shared" si="38"/>
        <v>PTC</v>
      </c>
      <c r="Z271" s="77" t="str">
        <f t="shared" si="38"/>
        <v>PTC</v>
      </c>
      <c r="AA271" s="77" t="str">
        <f t="shared" si="38"/>
        <v>PTC</v>
      </c>
      <c r="AB271" s="77" t="str">
        <f t="shared" si="38"/>
        <v>PTC</v>
      </c>
      <c r="AC271" s="77" t="str">
        <f t="shared" si="38"/>
        <v>PTC</v>
      </c>
      <c r="AD271" s="77" t="str">
        <f t="shared" si="38"/>
        <v>PTC</v>
      </c>
      <c r="AE271" s="77" t="str">
        <f t="shared" si="38"/>
        <v>PTC</v>
      </c>
      <c r="AF271" s="77" t="str">
        <f t="shared" si="38"/>
        <v>PTC</v>
      </c>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c r="AS427" s="77"/>
      <c r="AT427" s="77"/>
      <c r="AU427" s="77"/>
      <c r="AV427" s="77"/>
      <c r="AW427" s="77"/>
      <c r="AX427" s="77"/>
      <c r="AY427" s="77"/>
      <c r="AZ427" s="77"/>
      <c r="BA427" s="77"/>
      <c r="BB427" s="77"/>
      <c r="BC427" s="77"/>
      <c r="BD427" s="77"/>
      <c r="BE427" s="77"/>
      <c r="BF427" s="77"/>
      <c r="BG427" s="77"/>
      <c r="BH427" s="77"/>
      <c r="BI427" s="77"/>
      <c r="BJ427" s="77"/>
      <c r="BK427" s="77"/>
      <c r="BL427" s="77"/>
      <c r="BM427" s="77"/>
      <c r="BN427" s="77"/>
      <c r="BO427" s="77"/>
      <c r="BP427" s="77"/>
      <c r="BQ427" s="77"/>
      <c r="BR427" s="77"/>
      <c r="BS427" s="77"/>
      <c r="BT427" s="77"/>
      <c r="BU427" s="77"/>
      <c r="BV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c r="AS428" s="77"/>
      <c r="AT428" s="77"/>
      <c r="AU428" s="77"/>
      <c r="AV428" s="77"/>
      <c r="AW428" s="77"/>
      <c r="AX428" s="77"/>
      <c r="AY428" s="77"/>
      <c r="AZ428" s="77"/>
      <c r="BA428" s="77"/>
      <c r="BB428" s="77"/>
      <c r="BC428" s="77"/>
      <c r="BD428" s="77"/>
      <c r="BE428" s="77"/>
      <c r="BF428" s="77"/>
      <c r="BG428" s="77"/>
      <c r="BH428" s="77"/>
      <c r="BI428" s="77"/>
      <c r="BJ428" s="77"/>
      <c r="BK428" s="77"/>
      <c r="BL428" s="77"/>
      <c r="BM428" s="77"/>
      <c r="BN428" s="77"/>
      <c r="BO428" s="77"/>
      <c r="BP428" s="77"/>
      <c r="BQ428" s="77"/>
      <c r="BR428" s="77"/>
      <c r="BS428" s="77"/>
      <c r="BT428" s="77"/>
      <c r="BU428" s="77"/>
      <c r="BV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c r="AS429" s="77"/>
      <c r="AT429" s="77"/>
      <c r="AU429" s="77"/>
      <c r="AV429" s="77"/>
      <c r="AW429" s="77"/>
      <c r="AX429" s="77"/>
      <c r="AY429" s="77"/>
      <c r="AZ429" s="77"/>
      <c r="BA429" s="77"/>
      <c r="BB429" s="77"/>
      <c r="BC429" s="77"/>
      <c r="BD429" s="77"/>
      <c r="BE429" s="77"/>
      <c r="BF429" s="77"/>
      <c r="BG429" s="77"/>
      <c r="BH429" s="77"/>
      <c r="BI429" s="77"/>
      <c r="BJ429" s="77"/>
      <c r="BK429" s="77"/>
      <c r="BL429" s="77"/>
      <c r="BM429" s="77"/>
      <c r="BN429" s="77"/>
      <c r="BO429" s="77"/>
      <c r="BP429" s="77"/>
      <c r="BQ429" s="77"/>
      <c r="BR429" s="77"/>
      <c r="BS429" s="77"/>
      <c r="BT429" s="77"/>
      <c r="BU429" s="77"/>
      <c r="BV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c r="AS430" s="77"/>
      <c r="AT430" s="77"/>
      <c r="AU430" s="77"/>
      <c r="AV430" s="77"/>
      <c r="AW430" s="77"/>
      <c r="AX430" s="77"/>
      <c r="AY430" s="77"/>
      <c r="AZ430" s="77"/>
      <c r="BA430" s="77"/>
      <c r="BB430" s="77"/>
      <c r="BC430" s="77"/>
      <c r="BD430" s="77"/>
      <c r="BE430" s="77"/>
      <c r="BF430" s="77"/>
      <c r="BG430" s="77"/>
      <c r="BH430" s="77"/>
      <c r="BI430" s="77"/>
      <c r="BJ430" s="77"/>
      <c r="BK430" s="77"/>
      <c r="BL430" s="77"/>
      <c r="BM430" s="77"/>
      <c r="BN430" s="77"/>
      <c r="BO430" s="77"/>
      <c r="BP430" s="77"/>
      <c r="BQ430" s="77"/>
      <c r="BR430" s="77"/>
      <c r="BS430" s="77"/>
      <c r="BT430" s="77"/>
      <c r="BU430" s="77"/>
      <c r="BV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c r="AS431" s="77"/>
      <c r="AT431" s="77"/>
      <c r="AU431" s="77"/>
      <c r="AV431" s="77"/>
      <c r="AW431" s="77"/>
      <c r="AX431" s="77"/>
      <c r="AY431" s="77"/>
      <c r="AZ431" s="77"/>
      <c r="BA431" s="77"/>
      <c r="BB431" s="77"/>
      <c r="BC431" s="77"/>
      <c r="BD431" s="77"/>
      <c r="BE431" s="77"/>
      <c r="BF431" s="77"/>
      <c r="BG431" s="77"/>
      <c r="BH431" s="77"/>
      <c r="BI431" s="77"/>
      <c r="BJ431" s="77"/>
      <c r="BK431" s="77"/>
      <c r="BL431" s="77"/>
      <c r="BM431" s="77"/>
      <c r="BN431" s="77"/>
      <c r="BO431" s="77"/>
      <c r="BP431" s="77"/>
      <c r="BQ431" s="77"/>
      <c r="BR431" s="77"/>
      <c r="BS431" s="77"/>
      <c r="BT431" s="77"/>
      <c r="BU431" s="77"/>
      <c r="BV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c r="AS432" s="77"/>
      <c r="AT432" s="77"/>
      <c r="AU432" s="77"/>
      <c r="AV432" s="77"/>
      <c r="AW432" s="77"/>
      <c r="AX432" s="77"/>
      <c r="AY432" s="77"/>
      <c r="AZ432" s="77"/>
      <c r="BA432" s="77"/>
      <c r="BB432" s="77"/>
      <c r="BC432" s="77"/>
      <c r="BD432" s="77"/>
      <c r="BE432" s="77"/>
      <c r="BF432" s="77"/>
      <c r="BG432" s="77"/>
      <c r="BH432" s="77"/>
      <c r="BI432" s="77"/>
      <c r="BJ432" s="77"/>
      <c r="BK432" s="77"/>
      <c r="BL432" s="77"/>
      <c r="BM432" s="77"/>
      <c r="BN432" s="77"/>
      <c r="BO432" s="77"/>
      <c r="BP432" s="77"/>
      <c r="BQ432" s="77"/>
      <c r="BR432" s="77"/>
      <c r="BS432" s="77"/>
      <c r="BT432" s="77"/>
      <c r="BU432" s="77"/>
      <c r="BV432" s="77"/>
    </row>
    <row r="433" spans="1:74"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c r="AS433" s="77"/>
      <c r="AT433" s="77"/>
      <c r="AU433" s="77"/>
      <c r="AV433" s="77"/>
      <c r="AW433" s="77"/>
      <c r="AX433" s="77"/>
      <c r="AY433" s="77"/>
      <c r="AZ433" s="77"/>
      <c r="BA433" s="77"/>
      <c r="BB433" s="77"/>
      <c r="BC433" s="77"/>
      <c r="BD433" s="77"/>
      <c r="BE433" s="77"/>
      <c r="BF433" s="77"/>
      <c r="BG433" s="77"/>
      <c r="BH433" s="77"/>
      <c r="BI433" s="77"/>
      <c r="BJ433" s="77"/>
      <c r="BK433" s="77"/>
      <c r="BL433" s="77"/>
      <c r="BM433" s="77"/>
      <c r="BN433" s="77"/>
      <c r="BO433" s="77"/>
      <c r="BP433" s="77"/>
      <c r="BQ433" s="77"/>
      <c r="BR433" s="77"/>
      <c r="BS433" s="77"/>
      <c r="BT433" s="77"/>
      <c r="BU433" s="77"/>
      <c r="BV433" s="77"/>
    </row>
    <row r="434" spans="1:74"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c r="AK434" s="77"/>
      <c r="AL434" s="77"/>
      <c r="AM434" s="77"/>
      <c r="AN434" s="77"/>
      <c r="AO434" s="77"/>
      <c r="AP434" s="77"/>
      <c r="AQ434" s="77"/>
      <c r="AR434" s="77"/>
      <c r="AS434" s="77"/>
      <c r="AT434" s="77"/>
      <c r="AU434" s="77"/>
      <c r="AV434" s="77"/>
      <c r="AW434" s="77"/>
      <c r="AX434" s="77"/>
      <c r="AY434" s="77"/>
      <c r="AZ434" s="77"/>
      <c r="BA434" s="77"/>
      <c r="BB434" s="77"/>
      <c r="BC434" s="77"/>
      <c r="BD434" s="77"/>
      <c r="BE434" s="77"/>
      <c r="BF434" s="77"/>
      <c r="BG434" s="77"/>
      <c r="BH434" s="77"/>
      <c r="BI434" s="77"/>
      <c r="BJ434" s="77"/>
      <c r="BK434" s="77"/>
      <c r="BL434" s="77"/>
      <c r="BM434" s="77"/>
      <c r="BN434" s="77"/>
      <c r="BO434" s="77"/>
      <c r="BP434" s="77"/>
      <c r="BQ434" s="77"/>
      <c r="BR434" s="77"/>
      <c r="BS434" s="77"/>
      <c r="BT434" s="77"/>
      <c r="BU434" s="77"/>
      <c r="BV434" s="77"/>
    </row>
    <row r="435" spans="1:74"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c r="AK435" s="77"/>
      <c r="AL435" s="77"/>
      <c r="AM435" s="77"/>
      <c r="AN435" s="77"/>
      <c r="AO435" s="77"/>
      <c r="AP435" s="77"/>
      <c r="AQ435" s="77"/>
      <c r="AR435" s="77"/>
      <c r="AS435" s="77"/>
      <c r="AT435" s="77"/>
      <c r="AU435" s="77"/>
      <c r="AV435" s="77"/>
      <c r="AW435" s="77"/>
      <c r="AX435" s="77"/>
      <c r="AY435" s="77"/>
      <c r="AZ435" s="77"/>
      <c r="BA435" s="77"/>
      <c r="BB435" s="77"/>
      <c r="BC435" s="77"/>
      <c r="BD435" s="77"/>
      <c r="BE435" s="77"/>
      <c r="BF435" s="77"/>
      <c r="BG435" s="77"/>
      <c r="BH435" s="77"/>
      <c r="BI435" s="77"/>
      <c r="BJ435" s="77"/>
      <c r="BK435" s="77"/>
      <c r="BL435" s="77"/>
      <c r="BM435" s="77"/>
      <c r="BN435" s="77"/>
      <c r="BO435" s="77"/>
      <c r="BP435" s="77"/>
      <c r="BQ435" s="77"/>
      <c r="BR435" s="77"/>
      <c r="BS435" s="77"/>
      <c r="BT435" s="77"/>
      <c r="BU435" s="77"/>
      <c r="BV435" s="77"/>
    </row>
    <row r="436" spans="1:74"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c r="AK436" s="77"/>
      <c r="AL436" s="77"/>
      <c r="AM436" s="77"/>
      <c r="AN436" s="77"/>
      <c r="AO436" s="77"/>
      <c r="AP436" s="77"/>
      <c r="AQ436" s="77"/>
      <c r="AR436" s="77"/>
      <c r="AS436" s="77"/>
      <c r="AT436" s="77"/>
      <c r="AU436" s="77"/>
      <c r="AV436" s="77"/>
      <c r="AW436" s="77"/>
      <c r="AX436" s="77"/>
      <c r="AY436" s="77"/>
      <c r="AZ436" s="77"/>
      <c r="BA436" s="77"/>
      <c r="BB436" s="77"/>
      <c r="BC436" s="77"/>
      <c r="BD436" s="77"/>
      <c r="BE436" s="77"/>
      <c r="BF436" s="77"/>
      <c r="BG436" s="77"/>
      <c r="BH436" s="77"/>
      <c r="BI436" s="77"/>
      <c r="BJ436" s="77"/>
      <c r="BK436" s="77"/>
      <c r="BL436" s="77"/>
      <c r="BM436" s="77"/>
      <c r="BN436" s="77"/>
      <c r="BO436" s="77"/>
      <c r="BP436" s="77"/>
      <c r="BQ436" s="77"/>
      <c r="BR436" s="77"/>
      <c r="BS436" s="77"/>
      <c r="BT436" s="77"/>
      <c r="BU436" s="77"/>
      <c r="BV436" s="77"/>
    </row>
    <row r="437" spans="1:74"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c r="AK437" s="77"/>
      <c r="AL437" s="77"/>
      <c r="AM437" s="77"/>
      <c r="AN437" s="77"/>
      <c r="AO437" s="77"/>
      <c r="AP437" s="77"/>
      <c r="AQ437" s="77"/>
      <c r="AR437" s="77"/>
      <c r="AS437" s="77"/>
      <c r="AT437" s="77"/>
      <c r="AU437" s="77"/>
      <c r="AV437" s="77"/>
      <c r="AW437" s="77"/>
      <c r="AX437" s="77"/>
      <c r="AY437" s="77"/>
      <c r="AZ437" s="77"/>
      <c r="BA437" s="77"/>
      <c r="BB437" s="77"/>
      <c r="BC437" s="77"/>
      <c r="BD437" s="77"/>
      <c r="BE437" s="77"/>
      <c r="BF437" s="77"/>
      <c r="BG437" s="77"/>
      <c r="BH437" s="77"/>
      <c r="BI437" s="77"/>
      <c r="BJ437" s="77"/>
      <c r="BK437" s="77"/>
      <c r="BL437" s="77"/>
      <c r="BM437" s="77"/>
      <c r="BN437" s="77"/>
      <c r="BO437" s="77"/>
      <c r="BP437" s="77"/>
      <c r="BQ437" s="77"/>
      <c r="BR437" s="77"/>
      <c r="BS437" s="77"/>
      <c r="BT437" s="77"/>
      <c r="BU437" s="77"/>
      <c r="BV437" s="77"/>
    </row>
    <row r="438" spans="1:74" ht="12.75" x14ac:dyDescent="0.2">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c r="AK438" s="77"/>
      <c r="AL438" s="77"/>
      <c r="AM438" s="77"/>
      <c r="AN438" s="77"/>
      <c r="AO438" s="77"/>
      <c r="AP438" s="77"/>
      <c r="AQ438" s="77"/>
      <c r="AR438" s="77"/>
      <c r="AS438" s="77"/>
      <c r="AT438" s="77"/>
      <c r="AU438" s="77"/>
      <c r="AV438" s="77"/>
      <c r="AW438" s="77"/>
      <c r="AX438" s="77"/>
      <c r="AY438" s="77"/>
      <c r="AZ438" s="77"/>
      <c r="BA438" s="77"/>
      <c r="BB438" s="77"/>
      <c r="BC438" s="77"/>
      <c r="BD438" s="77"/>
      <c r="BE438" s="77"/>
      <c r="BF438" s="77"/>
      <c r="BG438" s="77"/>
      <c r="BH438" s="77"/>
      <c r="BI438" s="77"/>
      <c r="BJ438" s="77"/>
      <c r="BK438" s="77"/>
      <c r="BL438" s="77"/>
      <c r="BM438" s="77"/>
      <c r="BN438" s="77"/>
      <c r="BO438" s="77"/>
      <c r="BP438" s="77"/>
      <c r="BQ438" s="77"/>
      <c r="BR438" s="77"/>
      <c r="BS438" s="77"/>
      <c r="BT438" s="77"/>
      <c r="BU438" s="77"/>
      <c r="BV438" s="77"/>
    </row>
    <row r="439" spans="1:74" ht="12.75" x14ac:dyDescent="0.2">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c r="AK439" s="77"/>
      <c r="AL439" s="77"/>
      <c r="AM439" s="77"/>
      <c r="AN439" s="77"/>
      <c r="AO439" s="77"/>
      <c r="AP439" s="77"/>
      <c r="AQ439" s="77"/>
      <c r="AR439" s="77"/>
      <c r="AS439" s="77"/>
      <c r="AT439" s="77"/>
      <c r="AU439" s="77"/>
      <c r="AV439" s="77"/>
      <c r="AW439" s="77"/>
      <c r="AX439" s="77"/>
      <c r="AY439" s="77"/>
      <c r="AZ439" s="77"/>
      <c r="BA439" s="77"/>
      <c r="BB439" s="77"/>
      <c r="BC439" s="77"/>
      <c r="BD439" s="77"/>
      <c r="BE439" s="77"/>
      <c r="BF439" s="77"/>
      <c r="BG439" s="77"/>
      <c r="BH439" s="77"/>
      <c r="BI439" s="77"/>
      <c r="BJ439" s="77"/>
      <c r="BK439" s="77"/>
      <c r="BL439" s="77"/>
      <c r="BM439" s="77"/>
      <c r="BN439" s="77"/>
      <c r="BO439" s="77"/>
      <c r="BP439" s="77"/>
      <c r="BQ439" s="77"/>
      <c r="BR439" s="77"/>
      <c r="BS439" s="77"/>
      <c r="BT439" s="77"/>
      <c r="BU439" s="77"/>
      <c r="BV439" s="77"/>
    </row>
    <row r="440" spans="1:74" ht="12.75" x14ac:dyDescent="0.2">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c r="AK440" s="77"/>
      <c r="AL440" s="77"/>
      <c r="AM440" s="77"/>
      <c r="AN440" s="77"/>
      <c r="AO440" s="77"/>
      <c r="AP440" s="77"/>
      <c r="AQ440" s="77"/>
      <c r="AR440" s="77"/>
      <c r="AS440" s="77"/>
      <c r="AT440" s="77"/>
      <c r="AU440" s="77"/>
      <c r="AV440" s="77"/>
      <c r="AW440" s="77"/>
      <c r="AX440" s="77"/>
      <c r="AY440" s="77"/>
      <c r="AZ440" s="77"/>
      <c r="BA440" s="77"/>
      <c r="BB440" s="77"/>
      <c r="BC440" s="77"/>
      <c r="BD440" s="77"/>
      <c r="BE440" s="77"/>
      <c r="BF440" s="77"/>
      <c r="BG440" s="77"/>
      <c r="BH440" s="77"/>
      <c r="BI440" s="77"/>
      <c r="BJ440" s="77"/>
      <c r="BK440" s="77"/>
      <c r="BL440" s="77"/>
      <c r="BM440" s="77"/>
      <c r="BN440" s="77"/>
      <c r="BO440" s="77"/>
      <c r="BP440" s="77"/>
      <c r="BQ440" s="77"/>
      <c r="BR440" s="77"/>
      <c r="BS440" s="77"/>
      <c r="BT440" s="77"/>
      <c r="BU440" s="77"/>
      <c r="BV440" s="77"/>
    </row>
    <row r="441" spans="1:74" ht="12.75" x14ac:dyDescent="0.2">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c r="AK441" s="77"/>
      <c r="AL441" s="77"/>
      <c r="AM441" s="77"/>
      <c r="AN441" s="77"/>
      <c r="AO441" s="77"/>
      <c r="AP441" s="77"/>
      <c r="AQ441" s="77"/>
      <c r="AR441" s="77"/>
      <c r="AS441" s="77"/>
      <c r="AT441" s="77"/>
      <c r="AU441" s="77"/>
      <c r="AV441" s="77"/>
      <c r="AW441" s="77"/>
      <c r="AX441" s="77"/>
      <c r="AY441" s="77"/>
      <c r="AZ441" s="77"/>
      <c r="BA441" s="77"/>
      <c r="BB441" s="77"/>
      <c r="BC441" s="77"/>
      <c r="BD441" s="77"/>
      <c r="BE441" s="77"/>
      <c r="BF441" s="77"/>
      <c r="BG441" s="77"/>
      <c r="BH441" s="77"/>
      <c r="BI441" s="77"/>
      <c r="BJ441" s="77"/>
      <c r="BK441" s="77"/>
      <c r="BL441" s="77"/>
      <c r="BM441" s="77"/>
      <c r="BN441" s="77"/>
      <c r="BO441" s="77"/>
      <c r="BP441" s="77"/>
      <c r="BQ441" s="77"/>
      <c r="BR441" s="77"/>
      <c r="BS441" s="77"/>
      <c r="BT441" s="77"/>
      <c r="BU441" s="77"/>
      <c r="BV441" s="77"/>
    </row>
    <row r="442" spans="1:74" ht="12.75" x14ac:dyDescent="0.2">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c r="AK442" s="77"/>
      <c r="AL442" s="77"/>
      <c r="AM442" s="77"/>
      <c r="AN442" s="77"/>
      <c r="AO442" s="77"/>
      <c r="AP442" s="77"/>
      <c r="AQ442" s="77"/>
      <c r="AR442" s="77"/>
      <c r="AS442" s="77"/>
      <c r="AT442" s="77"/>
      <c r="AU442" s="77"/>
      <c r="AV442" s="77"/>
      <c r="AW442" s="77"/>
      <c r="AX442" s="77"/>
      <c r="AY442" s="77"/>
      <c r="AZ442" s="77"/>
      <c r="BA442" s="77"/>
      <c r="BB442" s="77"/>
      <c r="BC442" s="77"/>
      <c r="BD442" s="77"/>
      <c r="BE442" s="77"/>
      <c r="BF442" s="77"/>
      <c r="BG442" s="77"/>
      <c r="BH442" s="77"/>
      <c r="BI442" s="77"/>
      <c r="BJ442" s="77"/>
      <c r="BK442" s="77"/>
      <c r="BL442" s="77"/>
      <c r="BM442" s="77"/>
      <c r="BN442" s="77"/>
      <c r="BO442" s="77"/>
      <c r="BP442" s="77"/>
      <c r="BQ442" s="77"/>
      <c r="BR442" s="77"/>
      <c r="BS442" s="77"/>
      <c r="BT442" s="77"/>
      <c r="BU442" s="77"/>
      <c r="BV442" s="77"/>
    </row>
    <row r="443" spans="1:74" ht="12.75" x14ac:dyDescent="0.2">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c r="AK443" s="77"/>
      <c r="AL443" s="77"/>
      <c r="AM443" s="77"/>
      <c r="AN443" s="77"/>
      <c r="AO443" s="77"/>
      <c r="AP443" s="77"/>
      <c r="AQ443" s="77"/>
      <c r="AR443" s="77"/>
      <c r="AS443" s="77"/>
      <c r="AT443" s="77"/>
      <c r="AU443" s="77"/>
      <c r="AV443" s="77"/>
      <c r="AW443" s="77"/>
      <c r="AX443" s="77"/>
      <c r="AY443" s="77"/>
      <c r="AZ443" s="77"/>
      <c r="BA443" s="77"/>
      <c r="BB443" s="77"/>
      <c r="BC443" s="77"/>
      <c r="BD443" s="77"/>
      <c r="BE443" s="77"/>
      <c r="BF443" s="77"/>
      <c r="BG443" s="77"/>
      <c r="BH443" s="77"/>
      <c r="BI443" s="77"/>
      <c r="BJ443" s="77"/>
      <c r="BK443" s="77"/>
      <c r="BL443" s="77"/>
      <c r="BM443" s="77"/>
      <c r="BN443" s="77"/>
      <c r="BO443" s="77"/>
      <c r="BP443" s="77"/>
      <c r="BQ443" s="77"/>
      <c r="BR443" s="77"/>
      <c r="BS443" s="77"/>
      <c r="BT443" s="77"/>
      <c r="BU443" s="77"/>
      <c r="BV443" s="77"/>
    </row>
    <row r="444" spans="1:74" ht="12.75" x14ac:dyDescent="0.2">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c r="AK444" s="77"/>
      <c r="AL444" s="77"/>
      <c r="AM444" s="77"/>
      <c r="AN444" s="77"/>
      <c r="AO444" s="77"/>
      <c r="AP444" s="77"/>
      <c r="AQ444" s="77"/>
      <c r="AR444" s="77"/>
      <c r="AS444" s="77"/>
      <c r="AT444" s="77"/>
      <c r="AU444" s="77"/>
      <c r="AV444" s="77"/>
      <c r="AW444" s="77"/>
      <c r="AX444" s="77"/>
      <c r="AY444" s="77"/>
      <c r="AZ444" s="77"/>
      <c r="BA444" s="77"/>
      <c r="BB444" s="77"/>
      <c r="BC444" s="77"/>
      <c r="BD444" s="77"/>
      <c r="BE444" s="77"/>
      <c r="BF444" s="77"/>
      <c r="BG444" s="77"/>
      <c r="BH444" s="77"/>
      <c r="BI444" s="77"/>
      <c r="BJ444" s="77"/>
      <c r="BK444" s="77"/>
      <c r="BL444" s="77"/>
      <c r="BM444" s="77"/>
      <c r="BN444" s="77"/>
      <c r="BO444" s="77"/>
      <c r="BP444" s="77"/>
      <c r="BQ444" s="77"/>
      <c r="BR444" s="77"/>
      <c r="BS444" s="77"/>
      <c r="BT444" s="77"/>
      <c r="BU444" s="77"/>
      <c r="BV444" s="77"/>
    </row>
    <row r="445" spans="1:74" ht="12.75" x14ac:dyDescent="0.2">
      <c r="A445" s="77"/>
      <c r="B445" s="77"/>
      <c r="C445" s="77"/>
      <c r="D445" s="77"/>
      <c r="E445" s="77"/>
      <c r="F445" s="77"/>
      <c r="G445" s="77"/>
      <c r="H445" s="77"/>
      <c r="I445" s="77"/>
      <c r="J445" s="77"/>
      <c r="K445" s="77"/>
      <c r="L445" s="77"/>
      <c r="M445" s="77"/>
      <c r="N445" s="77"/>
      <c r="O445" s="77"/>
      <c r="P445" s="77"/>
      <c r="Q445" s="77"/>
      <c r="R445" s="77"/>
      <c r="S445" s="77"/>
      <c r="T445" s="77"/>
      <c r="U445" s="77"/>
      <c r="V445" s="77"/>
      <c r="W445" s="77"/>
      <c r="X445" s="77"/>
      <c r="Y445" s="77"/>
      <c r="Z445" s="77"/>
      <c r="AA445" s="77"/>
      <c r="AB445" s="77"/>
      <c r="AC445" s="77"/>
      <c r="AD445" s="77"/>
      <c r="AE445" s="77"/>
      <c r="AF445" s="77"/>
      <c r="AG445" s="77"/>
      <c r="AH445" s="77"/>
      <c r="AI445" s="77"/>
      <c r="AJ445" s="77"/>
      <c r="AK445" s="77"/>
      <c r="AL445" s="77"/>
      <c r="AM445" s="77"/>
      <c r="AN445" s="77"/>
      <c r="AO445" s="77"/>
      <c r="AP445" s="77"/>
      <c r="AQ445" s="77"/>
      <c r="AR445" s="77"/>
      <c r="AS445" s="77"/>
      <c r="AT445" s="77"/>
      <c r="AU445" s="77"/>
      <c r="AV445" s="77"/>
      <c r="AW445" s="77"/>
      <c r="AX445" s="77"/>
      <c r="AY445" s="77"/>
      <c r="AZ445" s="77"/>
      <c r="BA445" s="77"/>
      <c r="BB445" s="77"/>
      <c r="BC445" s="77"/>
      <c r="BD445" s="77"/>
      <c r="BE445" s="77"/>
      <c r="BF445" s="77"/>
      <c r="BG445" s="77"/>
      <c r="BH445" s="77"/>
      <c r="BI445" s="77"/>
      <c r="BJ445" s="77"/>
      <c r="BK445" s="77"/>
      <c r="BL445" s="77"/>
      <c r="BM445" s="77"/>
      <c r="BN445" s="77"/>
      <c r="BO445" s="77"/>
      <c r="BP445" s="77"/>
      <c r="BQ445" s="77"/>
      <c r="BR445" s="77"/>
      <c r="BS445" s="77"/>
      <c r="BT445" s="77"/>
      <c r="BU445" s="77"/>
      <c r="BV445" s="77"/>
    </row>
    <row r="446" spans="1:74" ht="12.75" x14ac:dyDescent="0.2">
      <c r="A446" s="77"/>
      <c r="B446" s="77"/>
      <c r="C446" s="77"/>
      <c r="D446" s="77"/>
      <c r="E446" s="77"/>
      <c r="F446" s="77"/>
      <c r="G446" s="77"/>
      <c r="H446" s="77"/>
      <c r="I446" s="77"/>
      <c r="J446" s="77"/>
      <c r="K446" s="77"/>
      <c r="L446" s="77"/>
      <c r="M446" s="77"/>
      <c r="N446" s="77"/>
      <c r="O446" s="77"/>
      <c r="P446" s="77"/>
      <c r="Q446" s="77"/>
      <c r="R446" s="77"/>
      <c r="S446" s="77"/>
      <c r="T446" s="77"/>
      <c r="U446" s="77"/>
      <c r="V446" s="77"/>
      <c r="W446" s="77"/>
      <c r="X446" s="77"/>
      <c r="Y446" s="77"/>
      <c r="Z446" s="77"/>
      <c r="AA446" s="77"/>
      <c r="AB446" s="77"/>
      <c r="AC446" s="77"/>
      <c r="AD446" s="77"/>
      <c r="AE446" s="77"/>
      <c r="AF446" s="77"/>
      <c r="AG446" s="77"/>
      <c r="AH446" s="77"/>
      <c r="AI446" s="77"/>
      <c r="AJ446" s="77"/>
      <c r="AK446" s="77"/>
      <c r="AL446" s="77"/>
      <c r="AM446" s="77"/>
      <c r="AN446" s="77"/>
      <c r="AO446" s="77"/>
      <c r="AP446" s="77"/>
      <c r="AQ446" s="77"/>
      <c r="AR446" s="77"/>
      <c r="AS446" s="77"/>
      <c r="AT446" s="77"/>
      <c r="AU446" s="77"/>
      <c r="AV446" s="77"/>
      <c r="AW446" s="77"/>
      <c r="AX446" s="77"/>
      <c r="AY446" s="77"/>
      <c r="AZ446" s="77"/>
      <c r="BA446" s="77"/>
      <c r="BB446" s="77"/>
      <c r="BC446" s="77"/>
      <c r="BD446" s="77"/>
      <c r="BE446" s="77"/>
      <c r="BF446" s="77"/>
      <c r="BG446" s="77"/>
      <c r="BH446" s="77"/>
      <c r="BI446" s="77"/>
      <c r="BJ446" s="77"/>
      <c r="BK446" s="77"/>
      <c r="BL446" s="77"/>
      <c r="BM446" s="77"/>
      <c r="BN446" s="77"/>
      <c r="BO446" s="77"/>
      <c r="BP446" s="77"/>
      <c r="BQ446" s="77"/>
      <c r="BR446" s="77"/>
      <c r="BS446" s="77"/>
      <c r="BT446" s="77"/>
      <c r="BU446" s="77"/>
      <c r="BV446" s="77"/>
    </row>
    <row r="447" spans="1:74" ht="12.75" x14ac:dyDescent="0.2">
      <c r="A447" s="77"/>
      <c r="B447" s="77"/>
      <c r="C447" s="77"/>
      <c r="D447" s="77"/>
      <c r="E447" s="77"/>
      <c r="F447" s="77"/>
      <c r="G447" s="77"/>
      <c r="H447" s="77"/>
      <c r="I447" s="77"/>
      <c r="J447" s="77"/>
      <c r="K447" s="77"/>
      <c r="L447" s="77"/>
      <c r="M447" s="77"/>
      <c r="N447" s="77"/>
      <c r="O447" s="77"/>
      <c r="P447" s="77"/>
      <c r="Q447" s="77"/>
      <c r="R447" s="77"/>
      <c r="S447" s="77"/>
      <c r="T447" s="77"/>
      <c r="U447" s="77"/>
      <c r="V447" s="77"/>
      <c r="W447" s="77"/>
      <c r="X447" s="77"/>
      <c r="Y447" s="77"/>
      <c r="Z447" s="77"/>
      <c r="AA447" s="77"/>
      <c r="AB447" s="77"/>
      <c r="AC447" s="77"/>
      <c r="AD447" s="77"/>
      <c r="AE447" s="77"/>
      <c r="AF447" s="77"/>
      <c r="AG447" s="77"/>
      <c r="AH447" s="77"/>
      <c r="AI447" s="77"/>
      <c r="AJ447" s="77"/>
      <c r="AK447" s="77"/>
      <c r="AL447" s="77"/>
      <c r="AM447" s="77"/>
      <c r="AN447" s="77"/>
      <c r="AO447" s="77"/>
      <c r="AP447" s="77"/>
      <c r="AQ447" s="77"/>
      <c r="AR447" s="77"/>
      <c r="AS447" s="77"/>
      <c r="AT447" s="77"/>
      <c r="AU447" s="77"/>
      <c r="AV447" s="77"/>
      <c r="AW447" s="77"/>
      <c r="AX447" s="77"/>
      <c r="AY447" s="77"/>
      <c r="AZ447" s="77"/>
      <c r="BA447" s="77"/>
      <c r="BB447" s="77"/>
      <c r="BC447" s="77"/>
      <c r="BD447" s="77"/>
      <c r="BE447" s="77"/>
      <c r="BF447" s="77"/>
      <c r="BG447" s="77"/>
      <c r="BH447" s="77"/>
      <c r="BI447" s="77"/>
      <c r="BJ447" s="77"/>
      <c r="BK447" s="77"/>
      <c r="BL447" s="77"/>
      <c r="BM447" s="77"/>
      <c r="BN447" s="77"/>
      <c r="BO447" s="77"/>
      <c r="BP447" s="77"/>
      <c r="BQ447" s="77"/>
      <c r="BR447" s="77"/>
      <c r="BS447" s="77"/>
      <c r="BT447" s="77"/>
      <c r="BU447" s="77"/>
      <c r="BV447" s="77"/>
    </row>
    <row r="448" spans="1:74" ht="12.75" x14ac:dyDescent="0.2">
      <c r="A448" s="77"/>
      <c r="B448" s="77"/>
      <c r="C448" s="77"/>
      <c r="D448" s="77"/>
      <c r="E448" s="77"/>
      <c r="F448" s="77"/>
      <c r="G448" s="77"/>
      <c r="H448" s="77"/>
      <c r="I448" s="77"/>
      <c r="J448" s="77"/>
      <c r="K448" s="77"/>
      <c r="L448" s="77"/>
      <c r="M448" s="77"/>
      <c r="N448" s="77"/>
      <c r="O448" s="77"/>
      <c r="P448" s="77"/>
      <c r="Q448" s="77"/>
      <c r="R448" s="77"/>
      <c r="S448" s="77"/>
      <c r="T448" s="77"/>
      <c r="U448" s="77"/>
      <c r="V448" s="77"/>
      <c r="W448" s="77"/>
      <c r="X448" s="77"/>
      <c r="Y448" s="77"/>
      <c r="Z448" s="77"/>
      <c r="AA448" s="77"/>
      <c r="AB448" s="77"/>
      <c r="AC448" s="77"/>
      <c r="AD448" s="77"/>
      <c r="AE448" s="77"/>
      <c r="AF448" s="77"/>
      <c r="AG448" s="77"/>
      <c r="AH448" s="77"/>
      <c r="AI448" s="77"/>
      <c r="AJ448" s="77"/>
    </row>
    <row r="449" spans="1:36" ht="12.75" x14ac:dyDescent="0.2">
      <c r="A449" s="77"/>
      <c r="B449" s="77"/>
      <c r="C449" s="77"/>
      <c r="D449" s="77"/>
      <c r="E449" s="77"/>
      <c r="F449" s="77"/>
      <c r="G449" s="77"/>
      <c r="H449" s="77"/>
      <c r="I449" s="77"/>
      <c r="J449" s="77"/>
      <c r="K449" s="77"/>
      <c r="L449" s="77"/>
      <c r="M449" s="77"/>
      <c r="N449" s="77"/>
      <c r="O449" s="77"/>
      <c r="P449" s="77"/>
      <c r="Q449" s="77"/>
      <c r="R449" s="77"/>
      <c r="S449" s="77"/>
      <c r="T449" s="77"/>
      <c r="U449" s="77"/>
      <c r="V449" s="77"/>
      <c r="W449" s="77"/>
      <c r="X449" s="77"/>
      <c r="Y449" s="77"/>
      <c r="Z449" s="77"/>
      <c r="AA449" s="77"/>
      <c r="AB449" s="77"/>
      <c r="AC449" s="77"/>
      <c r="AD449" s="77"/>
      <c r="AE449" s="77"/>
      <c r="AF449" s="77"/>
      <c r="AG449" s="77"/>
      <c r="AH449" s="77"/>
      <c r="AI449" s="77"/>
      <c r="AJ449" s="77"/>
    </row>
    <row r="450" spans="1:36" ht="12.75" x14ac:dyDescent="0.2">
      <c r="A450" s="77"/>
      <c r="B450" s="77"/>
      <c r="C450" s="77"/>
      <c r="D450" s="77"/>
      <c r="E450" s="77"/>
      <c r="F450" s="77"/>
      <c r="G450" s="77"/>
      <c r="H450" s="77"/>
      <c r="I450" s="77"/>
      <c r="J450" s="77"/>
      <c r="K450" s="77"/>
      <c r="L450" s="77"/>
      <c r="M450" s="77"/>
      <c r="N450" s="77"/>
      <c r="O450" s="77"/>
      <c r="P450" s="77"/>
      <c r="Q450" s="77"/>
      <c r="R450" s="77"/>
      <c r="S450" s="77"/>
      <c r="T450" s="77"/>
      <c r="U450" s="77"/>
      <c r="V450" s="77"/>
      <c r="W450" s="77"/>
      <c r="X450" s="77"/>
      <c r="Y450" s="77"/>
      <c r="Z450" s="77"/>
      <c r="AA450" s="77"/>
      <c r="AB450" s="77"/>
      <c r="AC450" s="77"/>
      <c r="AD450" s="77"/>
      <c r="AE450" s="77"/>
      <c r="AF450" s="77"/>
      <c r="AG450" s="77"/>
      <c r="AH450" s="77"/>
      <c r="AI450" s="77"/>
      <c r="AJ450" s="77"/>
    </row>
    <row r="451" spans="1:36" ht="12.75" x14ac:dyDescent="0.2">
      <c r="A451" s="77"/>
      <c r="B451" s="77"/>
      <c r="C451" s="77"/>
      <c r="D451" s="77"/>
      <c r="E451" s="77"/>
      <c r="F451" s="77"/>
      <c r="G451" s="77"/>
      <c r="H451" s="77"/>
      <c r="I451" s="77"/>
      <c r="J451" s="77"/>
      <c r="K451" s="77"/>
      <c r="L451" s="77"/>
      <c r="M451" s="77"/>
      <c r="N451" s="77"/>
      <c r="O451" s="77"/>
      <c r="P451" s="77"/>
      <c r="Q451" s="77"/>
      <c r="R451" s="77"/>
      <c r="S451" s="77"/>
      <c r="T451" s="77"/>
      <c r="U451" s="77"/>
      <c r="V451" s="77"/>
      <c r="W451" s="77"/>
      <c r="X451" s="77"/>
      <c r="Y451" s="77"/>
      <c r="Z451" s="77"/>
      <c r="AA451" s="77"/>
      <c r="AB451" s="77"/>
      <c r="AC451" s="77"/>
      <c r="AD451" s="77"/>
      <c r="AE451" s="77"/>
      <c r="AF451" s="77"/>
      <c r="AG451" s="77"/>
      <c r="AH451" s="77"/>
      <c r="AI451" s="77"/>
      <c r="AJ451" s="77"/>
    </row>
    <row r="452" spans="1:36" ht="12.75" x14ac:dyDescent="0.2">
      <c r="A452" s="77"/>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c r="AH452" s="77"/>
      <c r="AI452" s="77"/>
      <c r="AJ452" s="77"/>
    </row>
    <row r="453" spans="1:36" ht="12.75" x14ac:dyDescent="0.2">
      <c r="A453" s="77"/>
      <c r="B453" s="77"/>
      <c r="C453" s="77"/>
      <c r="D453" s="77"/>
      <c r="E453" s="77"/>
      <c r="F453" s="77"/>
      <c r="G453" s="77"/>
      <c r="H453" s="77"/>
      <c r="I453" s="77"/>
      <c r="J453" s="77"/>
      <c r="K453" s="77"/>
      <c r="L453" s="77"/>
      <c r="M453" s="77"/>
      <c r="N453" s="77"/>
      <c r="O453" s="77"/>
      <c r="P453" s="77"/>
      <c r="Q453" s="77"/>
      <c r="R453" s="77"/>
      <c r="S453" s="77"/>
      <c r="T453" s="77"/>
      <c r="U453" s="77"/>
      <c r="V453" s="77"/>
      <c r="W453" s="77"/>
      <c r="X453" s="77"/>
      <c r="Y453" s="77"/>
      <c r="Z453" s="77"/>
      <c r="AA453" s="77"/>
      <c r="AB453" s="77"/>
      <c r="AC453" s="77"/>
      <c r="AD453" s="77"/>
      <c r="AE453" s="77"/>
      <c r="AF453" s="77"/>
      <c r="AG453" s="77"/>
      <c r="AH453" s="77"/>
      <c r="AI453" s="77"/>
      <c r="AJ453" s="77"/>
    </row>
    <row r="454" spans="1:36" ht="12.75" x14ac:dyDescent="0.2">
      <c r="A454" s="77"/>
      <c r="B454" s="77"/>
      <c r="C454" s="77"/>
      <c r="D454" s="77"/>
      <c r="E454" s="77"/>
      <c r="F454" s="77"/>
      <c r="G454" s="77"/>
      <c r="H454" s="77"/>
      <c r="I454" s="77"/>
      <c r="J454" s="77"/>
      <c r="K454" s="77"/>
      <c r="L454" s="77"/>
      <c r="M454" s="77"/>
      <c r="N454" s="77"/>
      <c r="O454" s="77"/>
      <c r="P454" s="77"/>
      <c r="Q454" s="77"/>
      <c r="R454" s="77"/>
      <c r="S454" s="77"/>
      <c r="T454" s="77"/>
      <c r="U454" s="77"/>
      <c r="V454" s="77"/>
      <c r="W454" s="77"/>
      <c r="X454" s="77"/>
      <c r="Y454" s="77"/>
      <c r="Z454" s="77"/>
      <c r="AA454" s="77"/>
      <c r="AB454" s="77"/>
      <c r="AC454" s="77"/>
      <c r="AD454" s="77"/>
      <c r="AE454" s="77"/>
      <c r="AF454" s="77"/>
      <c r="AG454" s="77"/>
      <c r="AH454" s="77"/>
      <c r="AI454" s="77"/>
      <c r="AJ454" s="77"/>
    </row>
    <row r="455" spans="1:36" ht="12.75" x14ac:dyDescent="0.2">
      <c r="A455" s="77"/>
      <c r="B455" s="77"/>
      <c r="C455" s="77"/>
      <c r="D455" s="77"/>
      <c r="E455" s="77"/>
      <c r="F455" s="77"/>
      <c r="G455" s="77"/>
      <c r="H455" s="77"/>
      <c r="I455" s="77"/>
      <c r="J455" s="77"/>
      <c r="K455" s="77"/>
      <c r="L455" s="77"/>
      <c r="M455" s="77"/>
      <c r="N455" s="77"/>
      <c r="O455" s="77"/>
      <c r="P455" s="77"/>
      <c r="Q455" s="77"/>
      <c r="R455" s="77"/>
      <c r="S455" s="77"/>
      <c r="T455" s="77"/>
      <c r="U455" s="77"/>
      <c r="V455" s="77"/>
      <c r="W455" s="77"/>
      <c r="X455" s="77"/>
      <c r="Y455" s="77"/>
      <c r="Z455" s="77"/>
      <c r="AA455" s="77"/>
      <c r="AB455" s="77"/>
      <c r="AC455" s="77"/>
      <c r="AD455" s="77"/>
      <c r="AE455" s="77"/>
      <c r="AF455" s="77"/>
      <c r="AG455" s="77"/>
      <c r="AH455" s="77"/>
      <c r="AI455" s="77"/>
      <c r="AJ455" s="77"/>
    </row>
    <row r="456" spans="1:36" ht="12.75" x14ac:dyDescent="0.2">
      <c r="A456" s="77"/>
      <c r="B456" s="77"/>
      <c r="C456" s="77"/>
      <c r="D456" s="77"/>
      <c r="E456" s="77"/>
      <c r="F456" s="77"/>
      <c r="G456" s="77"/>
      <c r="H456" s="77"/>
      <c r="I456" s="77"/>
      <c r="J456" s="77"/>
      <c r="K456" s="77"/>
      <c r="L456" s="77"/>
      <c r="M456" s="77"/>
      <c r="N456" s="77"/>
      <c r="O456" s="77"/>
      <c r="P456" s="77"/>
      <c r="Q456" s="77"/>
      <c r="R456" s="77"/>
      <c r="S456" s="77"/>
      <c r="T456" s="77"/>
      <c r="U456" s="77"/>
      <c r="V456" s="77"/>
      <c r="W456" s="77"/>
      <c r="X456" s="77"/>
      <c r="Y456" s="77"/>
      <c r="Z456" s="77"/>
      <c r="AA456" s="77"/>
      <c r="AB456" s="77"/>
      <c r="AC456" s="77"/>
      <c r="AD456" s="77"/>
      <c r="AE456" s="77"/>
      <c r="AF456" s="77"/>
      <c r="AG456" s="77"/>
      <c r="AH456" s="77"/>
      <c r="AI456" s="77"/>
      <c r="AJ456" s="77"/>
    </row>
    <row r="457" spans="1:36" ht="12.75" x14ac:dyDescent="0.2">
      <c r="A457" s="77"/>
      <c r="B457" s="77"/>
      <c r="C457" s="77"/>
      <c r="D457" s="77"/>
      <c r="E457" s="77"/>
      <c r="F457" s="77"/>
      <c r="G457" s="77"/>
      <c r="H457" s="77"/>
      <c r="I457" s="77"/>
      <c r="J457" s="77"/>
      <c r="K457" s="77"/>
      <c r="L457" s="77"/>
      <c r="M457" s="77"/>
      <c r="N457" s="77"/>
      <c r="O457" s="77"/>
      <c r="P457" s="77"/>
      <c r="Q457" s="77"/>
      <c r="R457" s="77"/>
      <c r="S457" s="77"/>
      <c r="T457" s="77"/>
      <c r="U457" s="77"/>
      <c r="V457" s="77"/>
      <c r="W457" s="77"/>
      <c r="X457" s="77"/>
      <c r="Y457" s="77"/>
      <c r="Z457" s="77"/>
      <c r="AA457" s="77"/>
      <c r="AB457" s="77"/>
      <c r="AC457" s="77"/>
      <c r="AD457" s="77"/>
      <c r="AE457" s="77"/>
      <c r="AF457" s="77"/>
      <c r="AG457" s="77"/>
      <c r="AH457" s="77"/>
      <c r="AI457" s="77"/>
      <c r="AJ457" s="77"/>
    </row>
    <row r="458" spans="1:36" ht="12.75" x14ac:dyDescent="0.2">
      <c r="A458" s="77"/>
      <c r="B458" s="77"/>
      <c r="C458" s="77"/>
      <c r="D458" s="77"/>
      <c r="E458" s="77"/>
      <c r="F458" s="77"/>
      <c r="G458" s="77"/>
      <c r="H458" s="77"/>
      <c r="I458" s="77"/>
      <c r="J458" s="77"/>
      <c r="K458" s="77"/>
      <c r="L458" s="77"/>
      <c r="M458" s="77"/>
      <c r="N458" s="77"/>
      <c r="O458" s="77"/>
      <c r="P458" s="77"/>
      <c r="Q458" s="77"/>
      <c r="R458" s="77"/>
      <c r="S458" s="77"/>
      <c r="T458" s="77"/>
      <c r="U458" s="77"/>
      <c r="V458" s="77"/>
      <c r="W458" s="77"/>
      <c r="X458" s="77"/>
      <c r="Y458" s="77"/>
      <c r="Z458" s="77"/>
      <c r="AA458" s="77"/>
      <c r="AB458" s="77"/>
      <c r="AC458" s="77"/>
      <c r="AD458" s="77"/>
      <c r="AE458" s="77"/>
      <c r="AF458" s="77"/>
      <c r="AG458" s="77"/>
      <c r="AH458" s="77"/>
      <c r="AI458" s="77"/>
      <c r="AJ458"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9EFD-0133-474B-8C5E-97075999C76A}">
  <sheetPr>
    <tabColor rgb="FF00B050"/>
  </sheetPr>
  <dimension ref="A1:AI59"/>
  <sheetViews>
    <sheetView topLeftCell="A19" zoomScale="85" zoomScaleNormal="85" workbookViewId="0">
      <selection activeCell="J49" sqref="J49"/>
    </sheetView>
  </sheetViews>
  <sheetFormatPr defaultRowHeight="15" x14ac:dyDescent="0.25"/>
  <cols>
    <col min="1" max="1" width="45.85546875" customWidth="1"/>
    <col min="2" max="2" width="18.85546875" customWidth="1"/>
    <col min="3" max="3" width="15.42578125" customWidth="1"/>
    <col min="4" max="4" width="12" bestFit="1" customWidth="1"/>
    <col min="5" max="5" width="9.5703125" customWidth="1"/>
    <col min="6" max="6" width="12" customWidth="1"/>
  </cols>
  <sheetData>
    <row r="1" spans="1:12" x14ac:dyDescent="0.25">
      <c r="A1" s="1" t="s">
        <v>1067</v>
      </c>
      <c r="B1">
        <v>2023</v>
      </c>
      <c r="C1">
        <v>2030</v>
      </c>
      <c r="D1">
        <v>2050</v>
      </c>
    </row>
    <row r="2" spans="1:12" x14ac:dyDescent="0.25">
      <c r="A2" s="1" t="s">
        <v>1068</v>
      </c>
      <c r="B2" s="346">
        <v>4.8</v>
      </c>
      <c r="C2" s="346">
        <v>2.08</v>
      </c>
      <c r="D2" s="346">
        <v>0.82</v>
      </c>
    </row>
    <row r="3" spans="1:12" x14ac:dyDescent="0.25">
      <c r="A3" s="1" t="s">
        <v>1069</v>
      </c>
      <c r="B3" s="346">
        <v>2.5</v>
      </c>
      <c r="C3" s="346">
        <v>2.4500000000000002</v>
      </c>
      <c r="D3" s="346">
        <v>2.41</v>
      </c>
    </row>
    <row r="5" spans="1:12" x14ac:dyDescent="0.25">
      <c r="A5" s="1" t="s">
        <v>1070</v>
      </c>
      <c r="B5">
        <v>2023</v>
      </c>
      <c r="C5">
        <v>2030</v>
      </c>
      <c r="D5">
        <v>2050</v>
      </c>
    </row>
    <row r="6" spans="1:12" x14ac:dyDescent="0.25">
      <c r="A6" s="1" t="s">
        <v>1068</v>
      </c>
      <c r="B6" s="346">
        <f>B2*About!$A$84</f>
        <v>4.2581312231705768</v>
      </c>
      <c r="C6" s="346">
        <f>C2*About!$A$84</f>
        <v>1.8451901967072499</v>
      </c>
      <c r="D6" s="346">
        <f>D2*About!$A$84</f>
        <v>0.72743075062497342</v>
      </c>
      <c r="E6" s="346"/>
      <c r="F6" s="346"/>
      <c r="G6" s="346"/>
      <c r="H6" s="346"/>
      <c r="I6" s="346"/>
      <c r="J6" s="346"/>
      <c r="K6" s="346"/>
      <c r="L6" s="346"/>
    </row>
    <row r="7" spans="1:12" x14ac:dyDescent="0.25">
      <c r="A7" s="1" t="s">
        <v>1069</v>
      </c>
      <c r="B7" s="346">
        <f>B3*About!$A$84</f>
        <v>2.2177766787346753</v>
      </c>
      <c r="C7" s="346">
        <f>C3*About!$A$84</f>
        <v>2.1734211451599821</v>
      </c>
      <c r="D7" s="346">
        <f>D3*About!$A$84</f>
        <v>2.1379367183002271</v>
      </c>
    </row>
    <row r="9" spans="1:12" x14ac:dyDescent="0.25">
      <c r="A9" s="1" t="s">
        <v>1071</v>
      </c>
    </row>
    <row r="10" spans="1:12" x14ac:dyDescent="0.25">
      <c r="A10">
        <v>61013</v>
      </c>
      <c r="B10" t="s">
        <v>1072</v>
      </c>
    </row>
    <row r="11" spans="1:12" x14ac:dyDescent="0.25">
      <c r="A11" s="15" t="s">
        <v>1073</v>
      </c>
    </row>
    <row r="13" spans="1:12" x14ac:dyDescent="0.25">
      <c r="A13" s="1" t="s">
        <v>1074</v>
      </c>
    </row>
    <row r="14" spans="1:12" x14ac:dyDescent="0.25">
      <c r="A14">
        <v>2.2046199999999998</v>
      </c>
      <c r="B14" t="s">
        <v>1075</v>
      </c>
    </row>
    <row r="16" spans="1:12" x14ac:dyDescent="0.25">
      <c r="A16" t="s">
        <v>1076</v>
      </c>
    </row>
    <row r="17" spans="1:35" x14ac:dyDescent="0.25">
      <c r="A17" t="s">
        <v>1077</v>
      </c>
    </row>
    <row r="18" spans="1:35" x14ac:dyDescent="0.25">
      <c r="A18" t="s">
        <v>1078</v>
      </c>
    </row>
    <row r="20" spans="1:35" x14ac:dyDescent="0.25">
      <c r="A20" t="s">
        <v>1079</v>
      </c>
    </row>
    <row r="21" spans="1:35" x14ac:dyDescent="0.25">
      <c r="A21" t="s">
        <v>1080</v>
      </c>
    </row>
    <row r="22" spans="1:35" x14ac:dyDescent="0.25">
      <c r="A22" t="s">
        <v>1081</v>
      </c>
    </row>
    <row r="23" spans="1:35" x14ac:dyDescent="0.25">
      <c r="A23" t="s">
        <v>1082</v>
      </c>
    </row>
    <row r="24" spans="1:35" x14ac:dyDescent="0.25">
      <c r="A24" t="s">
        <v>1083</v>
      </c>
    </row>
    <row r="26" spans="1:35" x14ac:dyDescent="0.25">
      <c r="A26" t="s">
        <v>1084</v>
      </c>
      <c r="D26">
        <v>2023</v>
      </c>
      <c r="E26">
        <v>2030</v>
      </c>
      <c r="F26">
        <v>2050</v>
      </c>
    </row>
    <row r="27" spans="1:35" x14ac:dyDescent="0.25">
      <c r="A27" t="s">
        <v>1085</v>
      </c>
      <c r="D27" s="5">
        <f>B6/$A$14/$A$10</f>
        <v>3.1656501569774988E-5</v>
      </c>
      <c r="E27" s="5">
        <f t="shared" ref="E27:F28" si="0">C6/$A$14/$A$10</f>
        <v>1.3717817346902493E-5</v>
      </c>
      <c r="F27" s="5">
        <f t="shared" si="0"/>
        <v>5.4079856848365593E-6</v>
      </c>
    </row>
    <row r="28" spans="1:35" x14ac:dyDescent="0.25">
      <c r="A28" t="s">
        <v>1086</v>
      </c>
      <c r="D28" s="5">
        <f>B7/$A$14/$A$10</f>
        <v>1.6487761234257805E-5</v>
      </c>
      <c r="E28" s="5">
        <f t="shared" si="0"/>
        <v>1.6158006009572651E-5</v>
      </c>
      <c r="F28" s="5">
        <f t="shared" si="0"/>
        <v>1.5894201829824525E-5</v>
      </c>
      <c r="G28" s="5"/>
    </row>
    <row r="30" spans="1:35" x14ac:dyDescent="0.25">
      <c r="A30" s="347" t="s">
        <v>1046</v>
      </c>
      <c r="B30" s="348"/>
      <c r="C30" s="348"/>
      <c r="D30" s="348"/>
      <c r="E30" s="348"/>
      <c r="F30" s="348"/>
      <c r="G30" s="348"/>
      <c r="H30" s="348"/>
      <c r="I30" s="348"/>
      <c r="J30" s="348"/>
      <c r="K30" s="348"/>
      <c r="L30" s="348"/>
      <c r="M30" s="348"/>
      <c r="N30" s="348"/>
      <c r="O30" s="348"/>
      <c r="P30" s="348"/>
      <c r="Q30" s="348"/>
      <c r="R30" s="348"/>
      <c r="S30" s="348"/>
      <c r="T30" s="348"/>
      <c r="U30" s="348"/>
      <c r="V30" s="348"/>
      <c r="W30" s="348"/>
      <c r="X30" s="348"/>
      <c r="Y30" s="348"/>
      <c r="Z30" s="348"/>
      <c r="AA30" s="348"/>
      <c r="AB30" s="348"/>
      <c r="AC30" s="348"/>
      <c r="AD30" s="348"/>
      <c r="AE30" s="348"/>
      <c r="AF30" s="348"/>
      <c r="AG30" s="348"/>
      <c r="AH30" s="348"/>
      <c r="AI30" s="348"/>
    </row>
    <row r="31" spans="1:35" x14ac:dyDescent="0.25">
      <c r="A31" s="1" t="s">
        <v>1047</v>
      </c>
      <c r="B31" s="345">
        <v>2021</v>
      </c>
      <c r="C31">
        <v>2022</v>
      </c>
      <c r="D31" s="345">
        <v>2023</v>
      </c>
      <c r="E31">
        <v>2024</v>
      </c>
      <c r="F31" s="345">
        <v>2025</v>
      </c>
      <c r="G31">
        <v>2026</v>
      </c>
      <c r="H31" s="345">
        <v>2027</v>
      </c>
      <c r="I31">
        <v>2028</v>
      </c>
      <c r="J31" s="345">
        <v>2029</v>
      </c>
      <c r="K31">
        <v>2030</v>
      </c>
      <c r="L31" s="345">
        <v>2031</v>
      </c>
      <c r="M31">
        <v>2032</v>
      </c>
      <c r="N31" s="345">
        <v>2033</v>
      </c>
      <c r="O31">
        <v>2034</v>
      </c>
      <c r="P31" s="345">
        <v>2035</v>
      </c>
      <c r="Q31">
        <v>2036</v>
      </c>
      <c r="R31" s="345">
        <v>2037</v>
      </c>
      <c r="S31">
        <v>2038</v>
      </c>
      <c r="T31" s="345">
        <v>2039</v>
      </c>
      <c r="U31">
        <v>2040</v>
      </c>
      <c r="V31" s="345">
        <v>2041</v>
      </c>
      <c r="W31">
        <v>2042</v>
      </c>
      <c r="X31" s="345">
        <v>2043</v>
      </c>
      <c r="Y31">
        <v>2044</v>
      </c>
      <c r="Z31" s="345">
        <v>2045</v>
      </c>
      <c r="AA31">
        <v>2046</v>
      </c>
      <c r="AB31" s="345">
        <v>2047</v>
      </c>
      <c r="AC31">
        <v>2048</v>
      </c>
      <c r="AD31" s="345">
        <v>2049</v>
      </c>
      <c r="AE31">
        <v>2050</v>
      </c>
    </row>
    <row r="32" spans="1:35" x14ac:dyDescent="0.25">
      <c r="A32" t="s">
        <v>1048</v>
      </c>
      <c r="B32" s="19">
        <v>0.05</v>
      </c>
      <c r="C32" s="19">
        <v>0.05</v>
      </c>
      <c r="D32" s="19">
        <v>0.05</v>
      </c>
      <c r="E32" s="19">
        <v>0.05</v>
      </c>
      <c r="F32" s="19">
        <v>0.05</v>
      </c>
      <c r="G32" s="19">
        <v>0.05</v>
      </c>
      <c r="H32" s="19">
        <v>0.05</v>
      </c>
      <c r="I32" s="19">
        <v>0.05</v>
      </c>
      <c r="J32" s="19">
        <v>0.05</v>
      </c>
      <c r="K32" s="19">
        <v>0.05</v>
      </c>
      <c r="L32" s="19">
        <v>0.05</v>
      </c>
      <c r="M32" s="19">
        <v>0.05</v>
      </c>
      <c r="N32" s="19">
        <v>0.05</v>
      </c>
      <c r="O32" s="19">
        <v>0.05</v>
      </c>
      <c r="P32" s="19">
        <v>0.05</v>
      </c>
      <c r="Q32" s="19">
        <v>0.05</v>
      </c>
      <c r="R32" s="19">
        <v>0.05</v>
      </c>
      <c r="S32" s="19">
        <v>0.05</v>
      </c>
      <c r="T32" s="19">
        <v>0.05</v>
      </c>
      <c r="U32" s="19">
        <v>0.05</v>
      </c>
      <c r="V32" s="19">
        <v>0.05</v>
      </c>
      <c r="W32" s="19">
        <v>0.05</v>
      </c>
      <c r="X32" s="19">
        <v>0.05</v>
      </c>
      <c r="Y32" s="19">
        <v>0.05</v>
      </c>
      <c r="Z32" s="19">
        <v>0.05</v>
      </c>
      <c r="AA32" s="19">
        <v>0.05</v>
      </c>
      <c r="AB32" s="19">
        <v>0.05</v>
      </c>
      <c r="AC32" s="19">
        <v>0.05</v>
      </c>
      <c r="AD32" s="19">
        <v>0.05</v>
      </c>
      <c r="AE32" s="19">
        <v>0.05</v>
      </c>
    </row>
    <row r="33" spans="1:35" x14ac:dyDescent="0.25">
      <c r="A33" t="s">
        <v>1049</v>
      </c>
      <c r="B33" s="19">
        <v>0.95</v>
      </c>
      <c r="C33" s="19">
        <v>0.86309999999999998</v>
      </c>
      <c r="D33" s="19">
        <v>0.77789999999999992</v>
      </c>
      <c r="E33" s="19">
        <v>0.69279999999999997</v>
      </c>
      <c r="F33" s="19">
        <v>0.60829999999999995</v>
      </c>
      <c r="G33" s="19">
        <v>0.52400000000000002</v>
      </c>
      <c r="H33" s="19">
        <v>0.43959999999999999</v>
      </c>
      <c r="I33" s="19">
        <v>0.35619999999999996</v>
      </c>
      <c r="J33" s="19">
        <v>0.27269999999999994</v>
      </c>
      <c r="K33" s="19">
        <v>0.18999999999999995</v>
      </c>
      <c r="L33" s="19">
        <v>0.19289999999999996</v>
      </c>
      <c r="M33" s="19">
        <v>0.19439999999999991</v>
      </c>
      <c r="N33" s="19">
        <v>0.19579999999999997</v>
      </c>
      <c r="O33" s="19">
        <v>0.19739999999999991</v>
      </c>
      <c r="P33" s="19">
        <v>0.19989999999999997</v>
      </c>
      <c r="Q33" s="19">
        <v>0.2014999999999999</v>
      </c>
      <c r="R33" s="19">
        <v>0.20289999999999997</v>
      </c>
      <c r="S33" s="19">
        <v>0.2044999999999999</v>
      </c>
      <c r="T33" s="19">
        <v>0.2056</v>
      </c>
      <c r="U33" s="19">
        <v>0.20649999999999991</v>
      </c>
      <c r="V33" s="19">
        <v>0.20699999999999996</v>
      </c>
      <c r="W33" s="19">
        <v>0.20799999999999996</v>
      </c>
      <c r="X33" s="19">
        <v>0.2107</v>
      </c>
      <c r="Y33" s="19">
        <v>0.21189999999999998</v>
      </c>
      <c r="Z33" s="19">
        <v>0.21429999999999993</v>
      </c>
      <c r="AA33" s="19">
        <v>0.2155999999999999</v>
      </c>
      <c r="AB33" s="19">
        <v>0.21589999999999998</v>
      </c>
      <c r="AC33" s="19">
        <v>0.21739999999999993</v>
      </c>
      <c r="AD33" s="19">
        <v>0.21899999999999997</v>
      </c>
      <c r="AE33" s="19">
        <v>0.22039999999999993</v>
      </c>
    </row>
    <row r="34" spans="1:35" x14ac:dyDescent="0.25">
      <c r="A34" t="s">
        <v>1050</v>
      </c>
      <c r="B34" s="19">
        <v>0</v>
      </c>
      <c r="C34" s="19">
        <v>0</v>
      </c>
      <c r="D34" s="19">
        <v>0</v>
      </c>
      <c r="E34" s="19">
        <v>0</v>
      </c>
      <c r="F34" s="19">
        <v>0</v>
      </c>
      <c r="G34" s="19">
        <v>0</v>
      </c>
      <c r="H34" s="19">
        <v>0</v>
      </c>
      <c r="I34" s="19">
        <v>0</v>
      </c>
      <c r="J34" s="19">
        <v>0</v>
      </c>
      <c r="K34" s="19">
        <v>0</v>
      </c>
      <c r="L34" s="19">
        <v>0</v>
      </c>
      <c r="M34" s="19">
        <v>0</v>
      </c>
      <c r="N34" s="19">
        <v>0</v>
      </c>
      <c r="O34" s="19">
        <v>0</v>
      </c>
      <c r="P34" s="19">
        <v>0</v>
      </c>
      <c r="Q34" s="19">
        <v>0</v>
      </c>
      <c r="R34" s="19">
        <v>0</v>
      </c>
      <c r="S34" s="19">
        <v>0</v>
      </c>
      <c r="T34" s="19">
        <v>0</v>
      </c>
      <c r="U34" s="19">
        <v>0</v>
      </c>
      <c r="V34" s="19">
        <v>0</v>
      </c>
      <c r="W34" s="19">
        <v>0</v>
      </c>
      <c r="X34" s="19">
        <v>0</v>
      </c>
      <c r="Y34" s="19">
        <v>0</v>
      </c>
      <c r="Z34" s="19">
        <v>0</v>
      </c>
      <c r="AA34" s="19">
        <v>0</v>
      </c>
      <c r="AB34" s="19">
        <v>0</v>
      </c>
      <c r="AC34" s="19">
        <v>0</v>
      </c>
      <c r="AD34" s="19">
        <v>0</v>
      </c>
      <c r="AE34" s="19">
        <v>0</v>
      </c>
    </row>
    <row r="35" spans="1:35" x14ac:dyDescent="0.25">
      <c r="A35" t="s">
        <v>1051</v>
      </c>
      <c r="B35" s="19">
        <v>0</v>
      </c>
      <c r="C35" s="19">
        <v>0</v>
      </c>
      <c r="D35" s="19">
        <v>0</v>
      </c>
      <c r="E35" s="19">
        <v>0</v>
      </c>
      <c r="F35" s="19">
        <v>0</v>
      </c>
      <c r="G35" s="19">
        <v>0</v>
      </c>
      <c r="H35" s="19">
        <v>0</v>
      </c>
      <c r="I35" s="19">
        <v>0</v>
      </c>
      <c r="J35" s="19">
        <v>0</v>
      </c>
      <c r="K35" s="19">
        <v>0</v>
      </c>
      <c r="L35" s="19">
        <v>0</v>
      </c>
      <c r="M35" s="19">
        <v>0</v>
      </c>
      <c r="N35" s="19">
        <v>0</v>
      </c>
      <c r="O35" s="19">
        <v>0</v>
      </c>
      <c r="P35" s="19">
        <v>0</v>
      </c>
      <c r="Q35" s="19">
        <v>0</v>
      </c>
      <c r="R35" s="19">
        <v>0</v>
      </c>
      <c r="S35" s="19">
        <v>0</v>
      </c>
      <c r="T35" s="19">
        <v>0</v>
      </c>
      <c r="U35" s="19">
        <v>0</v>
      </c>
      <c r="V35" s="19">
        <v>0</v>
      </c>
      <c r="W35" s="19">
        <v>0</v>
      </c>
      <c r="X35" s="19">
        <v>0</v>
      </c>
      <c r="Y35" s="19">
        <v>0</v>
      </c>
      <c r="Z35" s="19">
        <v>0</v>
      </c>
      <c r="AA35" s="19">
        <v>0</v>
      </c>
      <c r="AB35" s="19">
        <v>0</v>
      </c>
      <c r="AC35" s="19">
        <v>0</v>
      </c>
      <c r="AD35" s="19">
        <v>0</v>
      </c>
      <c r="AE35" s="19">
        <v>0</v>
      </c>
    </row>
    <row r="36" spans="1:35" x14ac:dyDescent="0.25">
      <c r="A36" t="s">
        <v>1052</v>
      </c>
      <c r="B36" s="19">
        <v>0</v>
      </c>
      <c r="C36" s="19">
        <v>0</v>
      </c>
      <c r="D36" s="19">
        <v>0</v>
      </c>
      <c r="E36" s="19">
        <v>0</v>
      </c>
      <c r="F36" s="19">
        <v>0</v>
      </c>
      <c r="G36" s="19">
        <v>0</v>
      </c>
      <c r="H36" s="19">
        <v>0</v>
      </c>
      <c r="I36" s="19">
        <v>0</v>
      </c>
      <c r="J36" s="19">
        <v>0</v>
      </c>
      <c r="K36" s="19">
        <v>0</v>
      </c>
      <c r="L36" s="19">
        <v>0</v>
      </c>
      <c r="M36" s="19">
        <v>0</v>
      </c>
      <c r="N36" s="19">
        <v>0</v>
      </c>
      <c r="O36" s="19">
        <v>0</v>
      </c>
      <c r="P36" s="19">
        <v>0</v>
      </c>
      <c r="Q36" s="19">
        <v>0</v>
      </c>
      <c r="R36" s="19">
        <v>0</v>
      </c>
      <c r="S36" s="19">
        <v>0</v>
      </c>
      <c r="T36" s="19">
        <v>0</v>
      </c>
      <c r="U36" s="19">
        <v>0</v>
      </c>
      <c r="V36" s="19">
        <v>0</v>
      </c>
      <c r="W36" s="19">
        <v>0</v>
      </c>
      <c r="X36" s="19">
        <v>0</v>
      </c>
      <c r="Y36" s="19">
        <v>0</v>
      </c>
      <c r="Z36" s="19">
        <v>0</v>
      </c>
      <c r="AA36" s="19">
        <v>0</v>
      </c>
      <c r="AB36" s="19">
        <v>0</v>
      </c>
      <c r="AC36" s="19">
        <v>0</v>
      </c>
      <c r="AD36" s="19">
        <v>0</v>
      </c>
      <c r="AE36" s="19">
        <v>0</v>
      </c>
    </row>
    <row r="37" spans="1:35" x14ac:dyDescent="0.25">
      <c r="A37" t="s">
        <v>1053</v>
      </c>
      <c r="B37" s="19">
        <v>0</v>
      </c>
      <c r="C37" s="19">
        <v>8.6900000000000005E-2</v>
      </c>
      <c r="D37" s="19">
        <v>0.1721</v>
      </c>
      <c r="E37" s="19">
        <v>0.25719999999999998</v>
      </c>
      <c r="F37" s="19">
        <v>0.3417</v>
      </c>
      <c r="G37" s="19">
        <v>0.42599999999999999</v>
      </c>
      <c r="H37" s="19">
        <v>0.51039999999999996</v>
      </c>
      <c r="I37" s="19">
        <v>0.59379999999999999</v>
      </c>
      <c r="J37" s="19">
        <v>0.67730000000000001</v>
      </c>
      <c r="K37" s="19">
        <v>0.76</v>
      </c>
      <c r="L37" s="19">
        <v>0.7571</v>
      </c>
      <c r="M37" s="19">
        <v>0.75560000000000005</v>
      </c>
      <c r="N37" s="19">
        <v>0.75419999999999998</v>
      </c>
      <c r="O37" s="19">
        <v>0.75260000000000005</v>
      </c>
      <c r="P37" s="19">
        <v>0.75009999999999999</v>
      </c>
      <c r="Q37" s="19">
        <v>0.74850000000000005</v>
      </c>
      <c r="R37" s="19">
        <v>0.74709999999999999</v>
      </c>
      <c r="S37" s="19">
        <v>0.74550000000000005</v>
      </c>
      <c r="T37" s="19">
        <v>0.74439999999999995</v>
      </c>
      <c r="U37" s="19">
        <v>0.74350000000000005</v>
      </c>
      <c r="V37" s="19">
        <v>0.74299999999999999</v>
      </c>
      <c r="W37" s="19">
        <v>0.74199999999999999</v>
      </c>
      <c r="X37" s="19">
        <v>0.73929999999999996</v>
      </c>
      <c r="Y37" s="19">
        <v>0.73809999999999998</v>
      </c>
      <c r="Z37" s="19">
        <v>0.73570000000000002</v>
      </c>
      <c r="AA37" s="19">
        <v>0.73440000000000005</v>
      </c>
      <c r="AB37" s="19">
        <v>0.73409999999999997</v>
      </c>
      <c r="AC37" s="19">
        <v>0.73260000000000003</v>
      </c>
      <c r="AD37" s="19">
        <v>0.73099999999999998</v>
      </c>
      <c r="AE37" s="19">
        <v>0.72960000000000003</v>
      </c>
    </row>
    <row r="38" spans="1:35" x14ac:dyDescent="0.25">
      <c r="A38" t="s">
        <v>1054</v>
      </c>
      <c r="B38" s="19">
        <v>0</v>
      </c>
      <c r="C38" s="19">
        <v>0</v>
      </c>
      <c r="D38" s="19">
        <v>0</v>
      </c>
      <c r="E38" s="19">
        <v>0</v>
      </c>
      <c r="F38" s="19">
        <v>0</v>
      </c>
      <c r="G38" s="19">
        <v>0</v>
      </c>
      <c r="H38" s="19">
        <v>0</v>
      </c>
      <c r="I38" s="19">
        <v>0</v>
      </c>
      <c r="J38" s="19">
        <v>0</v>
      </c>
      <c r="K38" s="19">
        <v>0</v>
      </c>
      <c r="L38" s="19">
        <v>0</v>
      </c>
      <c r="M38" s="19">
        <v>0</v>
      </c>
      <c r="N38" s="19">
        <v>0</v>
      </c>
      <c r="O38" s="19">
        <v>0</v>
      </c>
      <c r="P38" s="19">
        <v>0</v>
      </c>
      <c r="Q38" s="19">
        <v>0</v>
      </c>
      <c r="R38" s="19">
        <v>0</v>
      </c>
      <c r="S38" s="19">
        <v>0</v>
      </c>
      <c r="T38" s="19">
        <v>0</v>
      </c>
      <c r="U38" s="19">
        <v>0</v>
      </c>
      <c r="V38" s="19">
        <v>0</v>
      </c>
      <c r="W38" s="19">
        <v>0</v>
      </c>
      <c r="X38" s="19">
        <v>0</v>
      </c>
      <c r="Y38" s="19">
        <v>0</v>
      </c>
      <c r="Z38" s="19">
        <v>0</v>
      </c>
      <c r="AA38" s="19">
        <v>0</v>
      </c>
      <c r="AB38" s="19">
        <v>0</v>
      </c>
      <c r="AC38" s="19">
        <v>0</v>
      </c>
      <c r="AD38" s="19">
        <v>0</v>
      </c>
      <c r="AE38" s="19">
        <v>0</v>
      </c>
    </row>
    <row r="40" spans="1:35" x14ac:dyDescent="0.25">
      <c r="A40" s="347" t="s">
        <v>1087</v>
      </c>
      <c r="B40" s="348"/>
      <c r="C40" s="348"/>
      <c r="D40" s="348"/>
      <c r="E40" s="348"/>
      <c r="F40" s="348"/>
      <c r="G40" s="348"/>
      <c r="H40" s="348"/>
      <c r="I40" s="348"/>
      <c r="J40" s="348"/>
      <c r="K40" s="348"/>
      <c r="L40" s="348"/>
      <c r="M40" s="348"/>
      <c r="N40" s="348"/>
      <c r="O40" s="348"/>
      <c r="P40" s="348"/>
      <c r="Q40" s="348"/>
      <c r="R40" s="348"/>
      <c r="S40" s="348"/>
      <c r="T40" s="348"/>
      <c r="U40" s="348"/>
      <c r="V40" s="348"/>
      <c r="W40" s="348"/>
      <c r="X40" s="348"/>
      <c r="Y40" s="348"/>
      <c r="Z40" s="348"/>
      <c r="AA40" s="348"/>
      <c r="AB40" s="348"/>
      <c r="AC40" s="348"/>
      <c r="AD40" s="348"/>
      <c r="AE40" s="348"/>
      <c r="AF40" s="348"/>
      <c r="AG40" s="348"/>
      <c r="AH40" s="348"/>
      <c r="AI40" s="348"/>
    </row>
    <row r="41" spans="1:35" x14ac:dyDescent="0.25">
      <c r="A41" s="1" t="s">
        <v>821</v>
      </c>
      <c r="E41" s="1"/>
    </row>
    <row r="42" spans="1:35" x14ac:dyDescent="0.25">
      <c r="A42" s="1"/>
    </row>
    <row r="43" spans="1:35" x14ac:dyDescent="0.25">
      <c r="A43" t="s">
        <v>1044</v>
      </c>
      <c r="B43">
        <v>3</v>
      </c>
    </row>
    <row r="44" spans="1:35" x14ac:dyDescent="0.25">
      <c r="A44" t="s">
        <v>822</v>
      </c>
      <c r="B44">
        <v>61127.365236523648</v>
      </c>
    </row>
    <row r="45" spans="1:35" x14ac:dyDescent="0.25">
      <c r="A45" t="s">
        <v>824</v>
      </c>
      <c r="B45">
        <v>2.2046199999999998</v>
      </c>
    </row>
    <row r="46" spans="1:35" x14ac:dyDescent="0.25">
      <c r="A46" t="s">
        <v>825</v>
      </c>
      <c r="B46">
        <f>B44*B45</f>
        <v>134762.61194774476</v>
      </c>
    </row>
    <row r="47" spans="1:35" x14ac:dyDescent="0.25">
      <c r="A47" t="s">
        <v>823</v>
      </c>
      <c r="B47">
        <f>B43/B46*About!$A$84</f>
        <v>1.9748296474941895E-5</v>
      </c>
    </row>
    <row r="49" spans="1:31" x14ac:dyDescent="0.25">
      <c r="A49" t="s">
        <v>1045</v>
      </c>
      <c r="B49">
        <v>0.75</v>
      </c>
    </row>
    <row r="50" spans="1:31" x14ac:dyDescent="0.25">
      <c r="A50" t="s">
        <v>822</v>
      </c>
      <c r="B50">
        <v>61127.365236523648</v>
      </c>
    </row>
    <row r="51" spans="1:31" x14ac:dyDescent="0.25">
      <c r="A51" t="s">
        <v>824</v>
      </c>
      <c r="B51">
        <v>2.2046199999999998</v>
      </c>
    </row>
    <row r="52" spans="1:31" x14ac:dyDescent="0.25">
      <c r="A52" t="s">
        <v>825</v>
      </c>
      <c r="B52">
        <f>B50*B51</f>
        <v>134762.61194774476</v>
      </c>
    </row>
    <row r="53" spans="1:31" x14ac:dyDescent="0.25">
      <c r="A53" t="s">
        <v>823</v>
      </c>
      <c r="B53">
        <f>B49/B52*About!$A$84</f>
        <v>4.9370741187354737E-6</v>
      </c>
    </row>
    <row r="56" spans="1:31" x14ac:dyDescent="0.25">
      <c r="B56">
        <v>2021</v>
      </c>
      <c r="C56">
        <v>2022</v>
      </c>
      <c r="D56">
        <v>2023</v>
      </c>
      <c r="E56">
        <v>2024</v>
      </c>
      <c r="F56">
        <v>2025</v>
      </c>
      <c r="G56">
        <v>2026</v>
      </c>
      <c r="H56">
        <v>2027</v>
      </c>
      <c r="I56">
        <v>2028</v>
      </c>
      <c r="J56">
        <v>2029</v>
      </c>
      <c r="K56">
        <v>2030</v>
      </c>
      <c r="L56">
        <v>2031</v>
      </c>
      <c r="M56">
        <v>2032</v>
      </c>
      <c r="N56">
        <v>2033</v>
      </c>
      <c r="O56">
        <v>2034</v>
      </c>
      <c r="P56">
        <v>2035</v>
      </c>
      <c r="Q56">
        <v>2036</v>
      </c>
      <c r="R56">
        <v>2037</v>
      </c>
      <c r="S56">
        <v>2038</v>
      </c>
      <c r="T56">
        <v>2039</v>
      </c>
      <c r="U56">
        <v>2040</v>
      </c>
      <c r="V56">
        <v>2041</v>
      </c>
      <c r="W56">
        <v>2042</v>
      </c>
      <c r="X56">
        <v>2043</v>
      </c>
      <c r="Y56">
        <v>2044</v>
      </c>
      <c r="Z56">
        <v>2045</v>
      </c>
      <c r="AA56">
        <v>2046</v>
      </c>
      <c r="AB56">
        <v>2047</v>
      </c>
      <c r="AC56">
        <v>2048</v>
      </c>
      <c r="AD56">
        <v>2049</v>
      </c>
      <c r="AE56">
        <v>2050</v>
      </c>
    </row>
    <row r="57" spans="1:31" x14ac:dyDescent="0.25">
      <c r="A57" s="1" t="s">
        <v>1088</v>
      </c>
      <c r="B57">
        <v>0</v>
      </c>
      <c r="C57">
        <v>0</v>
      </c>
      <c r="D57" s="5">
        <f>SUM(B32,B37)*$B$47+SUM(B33:B36,B38)*$B$53</f>
        <v>5.677635236545795E-6</v>
      </c>
      <c r="E57" s="5">
        <f t="shared" ref="E57:M58" si="1">SUM(C32,C37)*$B$47+SUM(C33:C36,C38)*$B$53</f>
        <v>6.9647304593001326E-6</v>
      </c>
      <c r="F57" s="5">
        <f t="shared" si="1"/>
        <v>8.2266466040489198E-6</v>
      </c>
      <c r="G57" s="5">
        <f t="shared" si="1"/>
        <v>9.4870816265620862E-6</v>
      </c>
      <c r="H57" s="5">
        <f t="shared" si="1"/>
        <v>1.0738629915661529E-5</v>
      </c>
      <c r="I57" s="5">
        <f t="shared" si="1"/>
        <v>1.198721596028973E-5</v>
      </c>
      <c r="J57" s="5">
        <f t="shared" si="1"/>
        <v>1.3237283127153553E-5</v>
      </c>
      <c r="K57" s="5">
        <f t="shared" si="1"/>
        <v>1.4472539071661168E-5</v>
      </c>
      <c r="L57" s="5">
        <f t="shared" si="1"/>
        <v>1.5709276138404404E-5</v>
      </c>
      <c r="M57" s="5">
        <f>SUM(K32,K37)*$B$47+SUM(K33:K36,K38)*$B$53</f>
        <v>1.6934164227262676E-5</v>
      </c>
      <c r="N57">
        <f t="shared" ref="N57:AE59" si="2">N51</f>
        <v>0</v>
      </c>
      <c r="O57">
        <f t="shared" si="2"/>
        <v>0</v>
      </c>
      <c r="P57">
        <f t="shared" si="2"/>
        <v>0</v>
      </c>
      <c r="Q57">
        <f t="shared" si="2"/>
        <v>0</v>
      </c>
      <c r="R57">
        <f t="shared" si="2"/>
        <v>0</v>
      </c>
      <c r="S57">
        <f t="shared" si="2"/>
        <v>0</v>
      </c>
      <c r="T57">
        <f t="shared" si="2"/>
        <v>0</v>
      </c>
      <c r="U57">
        <f t="shared" si="2"/>
        <v>0</v>
      </c>
      <c r="V57">
        <f t="shared" si="2"/>
        <v>0</v>
      </c>
      <c r="W57">
        <f t="shared" si="2"/>
        <v>0</v>
      </c>
      <c r="X57">
        <f t="shared" si="2"/>
        <v>0</v>
      </c>
      <c r="Y57">
        <f t="shared" si="2"/>
        <v>0</v>
      </c>
      <c r="Z57">
        <f t="shared" si="2"/>
        <v>0</v>
      </c>
      <c r="AA57">
        <f t="shared" si="2"/>
        <v>0</v>
      </c>
      <c r="AB57">
        <f t="shared" si="2"/>
        <v>0</v>
      </c>
      <c r="AC57">
        <f t="shared" si="2"/>
        <v>0</v>
      </c>
      <c r="AD57">
        <f t="shared" si="2"/>
        <v>0</v>
      </c>
      <c r="AE57">
        <f t="shared" si="2"/>
        <v>0</v>
      </c>
    </row>
    <row r="58" spans="1:31" x14ac:dyDescent="0.25">
      <c r="A58" s="1" t="s">
        <v>1089</v>
      </c>
      <c r="B58">
        <v>0</v>
      </c>
      <c r="C58">
        <v>0</v>
      </c>
      <c r="D58" s="5">
        <f>SUM(B33,B38)*$B$47+SUM(B34:B37,B39)*$B$53</f>
        <v>1.87608816511948E-5</v>
      </c>
      <c r="E58" s="5">
        <f t="shared" si="1"/>
        <v>1.7473786428440463E-5</v>
      </c>
      <c r="F58" s="5">
        <f t="shared" si="1"/>
        <v>1.6211870283691674E-5</v>
      </c>
      <c r="G58" s="5">
        <f t="shared" si="1"/>
        <v>1.4951435261178508E-5</v>
      </c>
      <c r="H58" s="5">
        <f t="shared" si="1"/>
        <v>1.3699886972079065E-5</v>
      </c>
      <c r="I58" s="5">
        <f t="shared" si="1"/>
        <v>1.2451300927450864E-5</v>
      </c>
      <c r="J58" s="5">
        <f t="shared" si="1"/>
        <v>1.1201233760587042E-5</v>
      </c>
      <c r="K58" s="5">
        <f t="shared" si="1"/>
        <v>9.9659778160794271E-6</v>
      </c>
      <c r="L58" s="5">
        <f t="shared" si="1"/>
        <v>8.7292407493361896E-6</v>
      </c>
      <c r="M58" s="5">
        <f t="shared" si="1"/>
        <v>7.5043526604779192E-6</v>
      </c>
      <c r="N58">
        <f t="shared" si="2"/>
        <v>0</v>
      </c>
      <c r="O58">
        <f t="shared" si="2"/>
        <v>0</v>
      </c>
      <c r="P58">
        <f t="shared" si="2"/>
        <v>0</v>
      </c>
      <c r="Q58">
        <f t="shared" si="2"/>
        <v>0</v>
      </c>
      <c r="R58">
        <f t="shared" si="2"/>
        <v>0</v>
      </c>
      <c r="S58">
        <f t="shared" si="2"/>
        <v>0</v>
      </c>
      <c r="T58">
        <f t="shared" si="2"/>
        <v>0</v>
      </c>
      <c r="U58">
        <f t="shared" si="2"/>
        <v>0</v>
      </c>
      <c r="V58">
        <f t="shared" si="2"/>
        <v>0</v>
      </c>
      <c r="W58">
        <f t="shared" si="2"/>
        <v>0</v>
      </c>
      <c r="X58">
        <f t="shared" si="2"/>
        <v>0</v>
      </c>
      <c r="Y58">
        <f t="shared" si="2"/>
        <v>0</v>
      </c>
      <c r="Z58">
        <f t="shared" si="2"/>
        <v>0</v>
      </c>
      <c r="AA58">
        <f t="shared" si="2"/>
        <v>0</v>
      </c>
      <c r="AB58">
        <f t="shared" si="2"/>
        <v>0</v>
      </c>
      <c r="AC58">
        <f t="shared" si="2"/>
        <v>0</v>
      </c>
      <c r="AD58">
        <f t="shared" si="2"/>
        <v>0</v>
      </c>
      <c r="AE58">
        <f t="shared" si="2"/>
        <v>0</v>
      </c>
    </row>
    <row r="59" spans="1:31" x14ac:dyDescent="0.25">
      <c r="A59" s="1" t="s">
        <v>1090</v>
      </c>
      <c r="B59">
        <v>0</v>
      </c>
      <c r="C59">
        <v>0</v>
      </c>
      <c r="D59" s="5">
        <f>D58</f>
        <v>1.87608816511948E-5</v>
      </c>
      <c r="E59" s="5">
        <f t="shared" ref="E59:M59" si="3">E58</f>
        <v>1.7473786428440463E-5</v>
      </c>
      <c r="F59" s="5">
        <f t="shared" si="3"/>
        <v>1.6211870283691674E-5</v>
      </c>
      <c r="G59" s="5">
        <f t="shared" si="3"/>
        <v>1.4951435261178508E-5</v>
      </c>
      <c r="H59" s="5">
        <f t="shared" si="3"/>
        <v>1.3699886972079065E-5</v>
      </c>
      <c r="I59" s="5">
        <f t="shared" si="3"/>
        <v>1.2451300927450864E-5</v>
      </c>
      <c r="J59" s="5">
        <f t="shared" si="3"/>
        <v>1.1201233760587042E-5</v>
      </c>
      <c r="K59" s="5">
        <f t="shared" si="3"/>
        <v>9.9659778160794271E-6</v>
      </c>
      <c r="L59" s="5">
        <f t="shared" si="3"/>
        <v>8.7292407493361896E-6</v>
      </c>
      <c r="M59" s="5">
        <f t="shared" si="3"/>
        <v>7.5043526604779192E-6</v>
      </c>
      <c r="N59">
        <f t="shared" si="2"/>
        <v>0</v>
      </c>
      <c r="O59">
        <f t="shared" si="2"/>
        <v>0</v>
      </c>
      <c r="P59">
        <f t="shared" si="2"/>
        <v>0</v>
      </c>
      <c r="Q59">
        <f t="shared" si="2"/>
        <v>0</v>
      </c>
      <c r="R59">
        <f t="shared" si="2"/>
        <v>0</v>
      </c>
      <c r="S59">
        <f t="shared" si="2"/>
        <v>0</v>
      </c>
      <c r="T59">
        <f t="shared" si="2"/>
        <v>0</v>
      </c>
      <c r="U59">
        <f t="shared" si="2"/>
        <v>0</v>
      </c>
      <c r="V59">
        <f t="shared" si="2"/>
        <v>0</v>
      </c>
      <c r="W59">
        <f t="shared" si="2"/>
        <v>0</v>
      </c>
      <c r="X59">
        <f t="shared" si="2"/>
        <v>0</v>
      </c>
      <c r="Y59">
        <f t="shared" si="2"/>
        <v>0</v>
      </c>
      <c r="Z59">
        <f t="shared" si="2"/>
        <v>0</v>
      </c>
      <c r="AA59">
        <f t="shared" si="2"/>
        <v>0</v>
      </c>
      <c r="AB59">
        <f t="shared" si="2"/>
        <v>0</v>
      </c>
      <c r="AC59">
        <f t="shared" si="2"/>
        <v>0</v>
      </c>
      <c r="AD59">
        <f t="shared" si="2"/>
        <v>0</v>
      </c>
      <c r="AE59">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49"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50"/>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49"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50"/>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50"/>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140" activePane="bottomRight" state="frozen"/>
      <selection pane="topRight" activeCell="T89" sqref="T89"/>
      <selection pane="bottomLeft" activeCell="T89" sqref="T89"/>
      <selection pane="bottomRight" activeCell="O154" sqref="O154"/>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351" t="s">
        <v>1014</v>
      </c>
      <c r="B1" s="351"/>
      <c r="C1" s="351"/>
      <c r="D1" s="351"/>
      <c r="E1" s="351"/>
      <c r="F1" s="351"/>
      <c r="G1" s="351"/>
      <c r="H1" s="351"/>
      <c r="I1" s="351"/>
      <c r="J1" s="351"/>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352" t="s">
        <v>877</v>
      </c>
    </row>
    <row r="5" spans="1:108" ht="14.25" customHeight="1" x14ac:dyDescent="0.2">
      <c r="U5" s="353"/>
    </row>
    <row r="7" spans="1:108" ht="14.25" customHeight="1" x14ac:dyDescent="0.25">
      <c r="B7" s="141" t="s">
        <v>878</v>
      </c>
      <c r="G7" s="354" t="s">
        <v>944</v>
      </c>
      <c r="H7" s="355"/>
      <c r="I7" s="355"/>
      <c r="J7" s="355"/>
      <c r="K7" s="355"/>
      <c r="L7" s="355"/>
      <c r="M7" s="355"/>
      <c r="N7" s="355"/>
      <c r="O7" s="355"/>
      <c r="P7" s="355"/>
      <c r="Q7" s="355"/>
      <c r="R7" s="355"/>
      <c r="S7" s="355"/>
      <c r="T7" s="355"/>
      <c r="U7" s="355"/>
      <c r="V7" s="355"/>
      <c r="W7" s="355"/>
      <c r="X7" s="355"/>
      <c r="Y7" s="355"/>
    </row>
    <row r="8" spans="1:108" ht="14.25" customHeight="1" thickBot="1" x14ac:dyDescent="0.25">
      <c r="G8" s="143"/>
      <c r="U8" s="144"/>
    </row>
    <row r="9" spans="1:108" ht="14.25" customHeight="1" thickBot="1" x14ac:dyDescent="0.3">
      <c r="A9"/>
      <c r="G9" s="143"/>
      <c r="H9" s="356" t="s">
        <v>880</v>
      </c>
      <c r="J9" s="358" t="s">
        <v>881</v>
      </c>
      <c r="K9" s="359"/>
      <c r="L9" s="360"/>
      <c r="M9" s="361">
        <v>2021</v>
      </c>
      <c r="N9" s="362"/>
      <c r="O9" s="362"/>
      <c r="P9" s="362"/>
      <c r="Q9" s="363"/>
      <c r="R9" s="364"/>
    </row>
    <row r="10" spans="1:108" ht="14.25" customHeight="1" thickBot="1" x14ac:dyDescent="0.25">
      <c r="G10" s="143"/>
      <c r="H10" s="357"/>
      <c r="J10" s="146" t="s">
        <v>882</v>
      </c>
      <c r="K10" s="271"/>
      <c r="L10" s="271"/>
      <c r="M10" s="271"/>
      <c r="N10" s="271"/>
      <c r="O10" s="271"/>
      <c r="P10" s="272"/>
      <c r="Q10" s="271"/>
      <c r="R10" s="273"/>
    </row>
    <row r="11" spans="1:108" ht="13.5" customHeight="1" thickBot="1" x14ac:dyDescent="0.3">
      <c r="G11" s="143"/>
      <c r="H11" s="357"/>
      <c r="J11" s="365" t="s">
        <v>1016</v>
      </c>
      <c r="K11" s="366"/>
      <c r="L11" s="366"/>
      <c r="M11" s="366"/>
      <c r="N11" s="366"/>
      <c r="O11" s="366"/>
      <c r="P11" s="366"/>
      <c r="Q11" s="366"/>
      <c r="R11" s="367"/>
      <c r="W11" s="274"/>
      <c r="X11" s="275"/>
      <c r="Y11" s="275"/>
      <c r="Z11" s="275"/>
      <c r="AA11" s="275"/>
    </row>
    <row r="12" spans="1:108" ht="13.5" customHeight="1" thickBot="1" x14ac:dyDescent="0.3">
      <c r="G12" s="143"/>
      <c r="H12" s="357"/>
      <c r="J12" s="368" t="s">
        <v>1017</v>
      </c>
      <c r="K12" s="369"/>
      <c r="L12" s="369"/>
      <c r="M12" s="369"/>
      <c r="N12" s="369"/>
      <c r="O12" s="369"/>
      <c r="P12" s="369"/>
      <c r="Q12" s="369"/>
      <c r="R12" s="370"/>
      <c r="W12" s="274"/>
      <c r="X12" s="275"/>
      <c r="Y12" s="275"/>
      <c r="Z12" s="275"/>
      <c r="AA12" s="275"/>
    </row>
    <row r="13" spans="1:108" ht="13.5" customHeight="1" thickBot="1" x14ac:dyDescent="0.3">
      <c r="G13" s="143"/>
      <c r="H13" s="357"/>
      <c r="J13" s="368" t="s">
        <v>1018</v>
      </c>
      <c r="K13" s="369"/>
      <c r="L13" s="369"/>
      <c r="M13" s="369"/>
      <c r="N13" s="369"/>
      <c r="O13" s="369"/>
      <c r="P13" s="369"/>
      <c r="Q13" s="369"/>
      <c r="R13" s="370"/>
      <c r="W13" s="274"/>
      <c r="X13" s="275"/>
      <c r="Y13" s="275"/>
      <c r="Z13" s="275"/>
      <c r="AA13" s="275"/>
    </row>
    <row r="14" spans="1:108" ht="13.5" customHeight="1" thickBot="1" x14ac:dyDescent="0.3">
      <c r="G14" s="143"/>
      <c r="H14" s="357"/>
      <c r="J14" s="368" t="s">
        <v>1019</v>
      </c>
      <c r="K14" s="369"/>
      <c r="L14" s="369"/>
      <c r="M14" s="369"/>
      <c r="N14" s="369"/>
      <c r="O14" s="369"/>
      <c r="P14" s="369"/>
      <c r="Q14" s="369"/>
      <c r="R14" s="370"/>
      <c r="W14" s="275"/>
      <c r="X14" s="275"/>
      <c r="Y14" s="275"/>
      <c r="Z14" s="275"/>
      <c r="AA14" s="275"/>
    </row>
    <row r="15" spans="1:108" ht="14.25" customHeight="1" thickBot="1" x14ac:dyDescent="0.3">
      <c r="G15" s="143"/>
      <c r="H15" s="357"/>
      <c r="J15" s="371" t="s">
        <v>1020</v>
      </c>
      <c r="K15" s="372"/>
      <c r="L15" s="372"/>
      <c r="M15" s="372"/>
      <c r="N15" s="372"/>
      <c r="O15" s="372"/>
      <c r="P15" s="372"/>
      <c r="Q15" s="372"/>
      <c r="R15" s="373"/>
      <c r="W15" s="275"/>
      <c r="X15" s="275"/>
      <c r="Y15" s="275"/>
      <c r="Z15" s="275"/>
      <c r="AA15" s="275"/>
    </row>
    <row r="16" spans="1:108" ht="14.25" customHeight="1" thickTop="1" x14ac:dyDescent="0.25">
      <c r="G16" s="143"/>
      <c r="H16" s="357"/>
      <c r="J16" s="374" t="s">
        <v>1021</v>
      </c>
      <c r="K16" s="375"/>
      <c r="L16" s="375"/>
      <c r="M16" s="375"/>
      <c r="N16" s="375"/>
      <c r="O16" s="375"/>
      <c r="P16" s="375"/>
      <c r="Q16" s="375"/>
      <c r="R16" s="376"/>
      <c r="W16" s="275"/>
      <c r="X16" s="275"/>
      <c r="Y16" s="275"/>
      <c r="Z16" s="275"/>
      <c r="AA16" s="275"/>
    </row>
    <row r="17" spans="7:27" ht="14.25" customHeight="1" x14ac:dyDescent="0.25">
      <c r="G17" s="143"/>
      <c r="H17" s="357"/>
      <c r="J17" s="377"/>
      <c r="K17" s="378"/>
      <c r="L17" s="378"/>
      <c r="M17" s="378"/>
      <c r="N17" s="378"/>
      <c r="O17" s="378"/>
      <c r="P17" s="378"/>
      <c r="Q17" s="378"/>
      <c r="R17" s="379"/>
      <c r="W17" s="275"/>
      <c r="X17" s="275"/>
      <c r="Y17" s="275"/>
      <c r="Z17" s="275"/>
      <c r="AA17" s="275"/>
    </row>
    <row r="18" spans="7:27" ht="14.25" customHeight="1" thickBot="1" x14ac:dyDescent="0.3">
      <c r="G18" s="143"/>
      <c r="H18" s="357"/>
      <c r="J18" s="380"/>
      <c r="K18" s="381"/>
      <c r="L18" s="381"/>
      <c r="M18" s="381"/>
      <c r="N18" s="381"/>
      <c r="O18" s="381"/>
      <c r="P18" s="381"/>
      <c r="Q18" s="381"/>
      <c r="R18" s="382"/>
      <c r="W18" s="275"/>
      <c r="X18" s="275"/>
      <c r="Y18" s="275"/>
      <c r="Z18" s="275"/>
      <c r="AA18" s="275"/>
    </row>
    <row r="19" spans="7:27" ht="24" customHeight="1" thickTop="1" thickBot="1" x14ac:dyDescent="0.3">
      <c r="G19" s="143"/>
      <c r="H19" s="357"/>
      <c r="J19" s="383">
        <v>118918</v>
      </c>
      <c r="K19" s="384"/>
      <c r="L19" s="384"/>
      <c r="M19" s="384"/>
      <c r="N19" s="384"/>
      <c r="O19" s="384"/>
      <c r="P19" s="384"/>
      <c r="Q19" s="384"/>
      <c r="R19" s="385"/>
      <c r="W19" s="275"/>
      <c r="X19" s="275"/>
      <c r="Y19" s="275"/>
      <c r="Z19" s="275"/>
      <c r="AA19" s="275"/>
    </row>
    <row r="20" spans="7:27" ht="14.25" customHeight="1" thickTop="1" x14ac:dyDescent="0.25">
      <c r="G20" s="143"/>
      <c r="H20" s="357"/>
      <c r="J20" s="276"/>
      <c r="K20" s="277"/>
      <c r="L20" s="278"/>
      <c r="M20" s="386" t="s">
        <v>1022</v>
      </c>
      <c r="N20" s="387"/>
      <c r="O20" s="387"/>
      <c r="P20" s="387"/>
      <c r="Q20" s="387"/>
      <c r="R20" s="388"/>
      <c r="V20" s="279"/>
      <c r="W20" s="275"/>
      <c r="X20" s="275"/>
      <c r="Y20" s="275"/>
      <c r="Z20" s="275"/>
      <c r="AA20" s="275"/>
    </row>
    <row r="21" spans="7:27" ht="14.25" customHeight="1" x14ac:dyDescent="0.25">
      <c r="G21" s="143"/>
      <c r="H21" s="357"/>
      <c r="J21" s="280"/>
      <c r="M21" s="389"/>
      <c r="N21" s="390"/>
      <c r="O21" s="390"/>
      <c r="P21" s="390"/>
      <c r="Q21" s="390"/>
      <c r="R21" s="391"/>
      <c r="S21"/>
      <c r="V21" s="279"/>
      <c r="W21" s="275"/>
      <c r="X21" s="275"/>
      <c r="Y21" s="275"/>
      <c r="Z21" s="275"/>
      <c r="AA21" s="275"/>
    </row>
    <row r="22" spans="7:27" ht="14.25" customHeight="1" x14ac:dyDescent="0.25">
      <c r="G22" s="143"/>
      <c r="H22" s="357"/>
      <c r="J22" s="280"/>
      <c r="M22" s="389"/>
      <c r="N22" s="390"/>
      <c r="O22" s="390"/>
      <c r="P22" s="390"/>
      <c r="Q22" s="390"/>
      <c r="R22" s="391"/>
      <c r="S22"/>
      <c r="V22" s="279"/>
      <c r="W22" s="275"/>
      <c r="X22" s="275"/>
      <c r="Y22" s="275"/>
      <c r="Z22" s="275"/>
      <c r="AA22" s="275"/>
    </row>
    <row r="23" spans="7:27" ht="14.25" customHeight="1" x14ac:dyDescent="0.25">
      <c r="G23" s="143"/>
      <c r="H23" s="357"/>
      <c r="J23" s="280"/>
      <c r="M23" s="389"/>
      <c r="N23" s="390"/>
      <c r="O23" s="390"/>
      <c r="P23" s="390"/>
      <c r="Q23" s="390"/>
      <c r="R23" s="391"/>
      <c r="S23"/>
      <c r="V23" s="279"/>
      <c r="W23" s="275"/>
      <c r="X23" s="275"/>
      <c r="Y23" s="275"/>
      <c r="Z23" s="275"/>
      <c r="AA23" s="275"/>
    </row>
    <row r="24" spans="7:27" ht="14.25" customHeight="1" thickBot="1" x14ac:dyDescent="0.3">
      <c r="G24" s="143"/>
      <c r="H24" s="357"/>
      <c r="J24" s="282"/>
      <c r="K24" s="283"/>
      <c r="M24" s="392"/>
      <c r="N24" s="393"/>
      <c r="O24" s="393"/>
      <c r="P24" s="393"/>
      <c r="Q24" s="393"/>
      <c r="R24" s="394"/>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95"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95"/>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95"/>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95"/>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95"/>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95"/>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95"/>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95"/>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95"/>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95"/>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95"/>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98" t="s">
        <v>932</v>
      </c>
      <c r="J38" s="400" t="s">
        <v>933</v>
      </c>
      <c r="K38" s="401"/>
      <c r="L38" s="401"/>
      <c r="M38" s="401"/>
      <c r="N38" s="401"/>
      <c r="O38" s="402"/>
      <c r="U38" s="275"/>
      <c r="W38" s="275"/>
      <c r="X38" s="275"/>
      <c r="Y38" s="275"/>
      <c r="Z38" s="275"/>
      <c r="AA38" s="275"/>
    </row>
    <row r="39" spans="6:27" ht="14.25" customHeight="1" thickBot="1" x14ac:dyDescent="0.3">
      <c r="G39" s="143"/>
      <c r="H39" s="399"/>
      <c r="J39" s="403" t="s">
        <v>935</v>
      </c>
      <c r="K39" s="404"/>
      <c r="L39" s="404"/>
      <c r="M39" s="404"/>
      <c r="N39" s="404"/>
      <c r="O39" s="290">
        <v>20</v>
      </c>
      <c r="P39" s="291"/>
      <c r="Q39" s="135" t="s">
        <v>931</v>
      </c>
      <c r="S39" s="162" t="s">
        <v>1043</v>
      </c>
      <c r="U39" s="275"/>
    </row>
    <row r="40" spans="6:27" ht="14.25" customHeight="1" x14ac:dyDescent="0.25">
      <c r="G40" s="143"/>
      <c r="H40" s="399"/>
      <c r="J40" s="168" t="s">
        <v>936</v>
      </c>
      <c r="K40" s="169"/>
      <c r="L40" s="169"/>
      <c r="M40" s="169"/>
      <c r="N40" s="169"/>
      <c r="O40" s="170">
        <v>5</v>
      </c>
      <c r="Q40" s="135" t="s">
        <v>934</v>
      </c>
      <c r="S40" s="163">
        <v>20</v>
      </c>
      <c r="U40" s="275"/>
    </row>
    <row r="41" spans="6:27" ht="14.65" customHeight="1" thickBot="1" x14ac:dyDescent="0.25">
      <c r="F41" s="143"/>
      <c r="G41" s="143"/>
      <c r="H41" s="399"/>
      <c r="J41" s="292" t="s">
        <v>937</v>
      </c>
      <c r="K41" s="293"/>
      <c r="L41" s="293"/>
      <c r="M41" s="293"/>
      <c r="N41" s="293"/>
      <c r="O41" s="171">
        <v>0.02</v>
      </c>
      <c r="Z41" s="294"/>
      <c r="AA41" s="294"/>
    </row>
    <row r="42" spans="6:27" ht="15" customHeight="1" x14ac:dyDescent="0.2">
      <c r="F42" s="143"/>
      <c r="G42" s="143"/>
      <c r="H42" s="399"/>
      <c r="J42" s="295" t="s">
        <v>938</v>
      </c>
      <c r="K42" s="296"/>
      <c r="L42" s="296"/>
      <c r="M42" s="296"/>
      <c r="N42" s="296"/>
      <c r="O42" s="175">
        <v>1</v>
      </c>
    </row>
    <row r="43" spans="6:27" ht="15" customHeight="1" x14ac:dyDescent="0.25">
      <c r="G43" s="143"/>
      <c r="H43" s="399"/>
      <c r="J43" s="297" t="s">
        <v>172</v>
      </c>
      <c r="K43" s="298" t="s">
        <v>939</v>
      </c>
      <c r="L43" s="405" t="s">
        <v>940</v>
      </c>
      <c r="M43" s="408" t="s">
        <v>941</v>
      </c>
      <c r="O43"/>
    </row>
    <row r="44" spans="6:27" ht="15" customHeight="1" x14ac:dyDescent="0.25">
      <c r="G44" s="143"/>
      <c r="H44" s="399"/>
      <c r="J44" s="299" t="s">
        <v>942</v>
      </c>
      <c r="K44" s="145" t="s">
        <v>943</v>
      </c>
      <c r="L44" s="406"/>
      <c r="M44" s="409"/>
      <c r="O44"/>
    </row>
    <row r="45" spans="6:27" ht="15" customHeight="1" x14ac:dyDescent="0.25">
      <c r="G45" s="143"/>
      <c r="H45" s="399"/>
      <c r="J45" s="299"/>
      <c r="K45" s="145"/>
      <c r="L45" s="406"/>
      <c r="M45" s="409"/>
      <c r="O45"/>
    </row>
    <row r="46" spans="6:27" ht="15" customHeight="1" x14ac:dyDescent="0.25">
      <c r="G46" s="143"/>
      <c r="H46" s="399"/>
      <c r="J46" s="299"/>
      <c r="K46" s="145"/>
      <c r="L46" s="407"/>
      <c r="M46" s="410"/>
      <c r="O46"/>
    </row>
    <row r="47" spans="6:27" ht="14.25" customHeight="1" x14ac:dyDescent="0.2">
      <c r="G47" s="143"/>
      <c r="H47" s="399"/>
      <c r="J47" s="180">
        <v>0</v>
      </c>
      <c r="K47" s="181">
        <v>1</v>
      </c>
      <c r="L47" s="181">
        <v>0.8</v>
      </c>
      <c r="M47" s="300">
        <v>0.19999999999999996</v>
      </c>
      <c r="O47" s="185"/>
    </row>
    <row r="48" spans="6:27" ht="14.25" customHeight="1" x14ac:dyDescent="0.2">
      <c r="G48" s="143"/>
      <c r="H48" s="399"/>
      <c r="J48" s="183">
        <v>1</v>
      </c>
      <c r="K48" s="184">
        <v>0</v>
      </c>
      <c r="L48" s="184">
        <v>0.8</v>
      </c>
      <c r="M48" s="301">
        <v>0.19999999999999996</v>
      </c>
      <c r="O48" s="185"/>
    </row>
    <row r="49" spans="7:42" ht="14.25" customHeight="1" thickBot="1" x14ac:dyDescent="0.25">
      <c r="G49" s="143"/>
      <c r="H49" s="399"/>
      <c r="J49" s="186">
        <v>2</v>
      </c>
      <c r="K49" s="187">
        <v>0</v>
      </c>
      <c r="L49" s="187">
        <v>0.8</v>
      </c>
      <c r="M49" s="302">
        <v>0.19999999999999996</v>
      </c>
    </row>
    <row r="50" spans="7:42" ht="14.25" customHeight="1" x14ac:dyDescent="0.2">
      <c r="G50" s="143"/>
      <c r="H50" s="399"/>
      <c r="J50" s="303"/>
      <c r="K50" s="303"/>
      <c r="L50" s="303"/>
      <c r="M50" s="303"/>
      <c r="N50" s="185"/>
      <c r="O50" s="294"/>
    </row>
    <row r="51" spans="7:42" ht="14.25" customHeight="1" x14ac:dyDescent="0.2">
      <c r="G51" s="143"/>
      <c r="H51" s="399"/>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99"/>
      <c r="J52" s="395"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99"/>
      <c r="J53" s="395"/>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99"/>
      <c r="J54" s="395"/>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99"/>
      <c r="J55" s="395"/>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99"/>
      <c r="J56" s="395"/>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99"/>
      <c r="J57" s="395"/>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99"/>
      <c r="J58" s="395"/>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99"/>
      <c r="J59" s="395"/>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99"/>
      <c r="J60" s="395"/>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99"/>
      <c r="J61" s="395"/>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99"/>
      <c r="J62" s="395"/>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99"/>
      <c r="J63" s="395"/>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99"/>
      <c r="J64" s="395"/>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99"/>
      <c r="J65" s="395"/>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99"/>
      <c r="J66" s="395"/>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99"/>
      <c r="J67" s="395"/>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99"/>
      <c r="J68" s="395"/>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99"/>
      <c r="J69" s="395"/>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99"/>
      <c r="J70" s="395"/>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99"/>
      <c r="J71" s="395"/>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99"/>
      <c r="J72" s="395"/>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99"/>
      <c r="J73" s="395"/>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99"/>
      <c r="J74" s="395"/>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99"/>
      <c r="J75" s="395"/>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99"/>
      <c r="J76" s="395"/>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99"/>
      <c r="J77" s="395"/>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99"/>
      <c r="J78" s="395"/>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99"/>
      <c r="J79" s="395"/>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99"/>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99"/>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54" t="s">
        <v>961</v>
      </c>
      <c r="H84" s="354"/>
      <c r="I84" s="354"/>
      <c r="J84" s="354"/>
      <c r="K84" s="354"/>
      <c r="L84" s="354"/>
      <c r="M84" s="354"/>
      <c r="N84" s="354"/>
      <c r="O84" s="354"/>
      <c r="P84" s="354"/>
      <c r="Q84" s="354"/>
      <c r="R84" s="354"/>
      <c r="S84" s="354"/>
      <c r="T84" s="354"/>
      <c r="U84" s="354"/>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96" t="s">
        <v>963</v>
      </c>
      <c r="J87" s="349"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96"/>
      <c r="J88" s="350"/>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96"/>
      <c r="J89" s="350"/>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96"/>
      <c r="J90" s="350"/>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96"/>
      <c r="J91" s="350"/>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96"/>
      <c r="J92" s="350"/>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96"/>
      <c r="J93" s="350"/>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96"/>
      <c r="J94" s="350"/>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96"/>
      <c r="J95" s="350"/>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96"/>
      <c r="J96" s="350"/>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96"/>
      <c r="J97" s="350"/>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96"/>
      <c r="J98" s="350"/>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96"/>
      <c r="J99" s="350"/>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96"/>
      <c r="J100" s="350"/>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96"/>
      <c r="J101" s="350"/>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96"/>
      <c r="J102" s="350"/>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96"/>
      <c r="J103" s="350"/>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96"/>
      <c r="J104" s="350"/>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96"/>
      <c r="J105" s="350"/>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96"/>
      <c r="J106" s="350"/>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96"/>
      <c r="J107" s="350"/>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96"/>
      <c r="J108" s="350"/>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96"/>
      <c r="J109" s="350"/>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96"/>
      <c r="J110" s="350"/>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96"/>
      <c r="J111" s="350"/>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96"/>
      <c r="J112" s="350"/>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96"/>
      <c r="J113" s="350"/>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96"/>
      <c r="J114" s="350"/>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96"/>
      <c r="J115" s="350"/>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96"/>
      <c r="J116" s="397"/>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96"/>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96"/>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96"/>
      <c r="J119" s="349"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96"/>
      <c r="J120" s="350"/>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96"/>
      <c r="J121" s="350"/>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96"/>
      <c r="J122" s="350"/>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96"/>
      <c r="J123" s="350"/>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96"/>
      <c r="J124" s="350"/>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96"/>
      <c r="J125" s="350"/>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96"/>
      <c r="J126" s="350"/>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96"/>
      <c r="J127" s="350"/>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96"/>
      <c r="J128" s="350"/>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96"/>
      <c r="J129" s="350"/>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96"/>
      <c r="J130" s="350"/>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96"/>
      <c r="J131" s="350"/>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96"/>
      <c r="J132" s="350"/>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96"/>
      <c r="J133" s="350"/>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96"/>
      <c r="J134" s="350"/>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96"/>
      <c r="J135" s="350"/>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96"/>
      <c r="J136" s="350"/>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96"/>
      <c r="J137" s="350"/>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96"/>
      <c r="J138" s="350"/>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96"/>
      <c r="J139" s="350"/>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96"/>
      <c r="J140" s="350"/>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96"/>
      <c r="J141" s="350"/>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96"/>
      <c r="J142" s="350"/>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96"/>
      <c r="J143" s="350"/>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96"/>
      <c r="J144" s="350"/>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96"/>
      <c r="J145" s="350"/>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96"/>
      <c r="J146" s="350"/>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96"/>
      <c r="J147" s="350"/>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96"/>
      <c r="J148" s="397"/>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96"/>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96"/>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96"/>
      <c r="J151" s="349"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96"/>
      <c r="J152" s="350"/>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96"/>
      <c r="J153" s="350"/>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96"/>
      <c r="J154" s="350"/>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96"/>
      <c r="J155" s="350"/>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96"/>
      <c r="J156" s="350"/>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96"/>
      <c r="J157" s="350"/>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96"/>
      <c r="I158" s="135"/>
      <c r="J158" s="350"/>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96"/>
      <c r="I159" s="135"/>
      <c r="J159" s="350"/>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96"/>
      <c r="J160" s="350"/>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96"/>
      <c r="I161" s="135"/>
      <c r="J161" s="350"/>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96"/>
      <c r="I162" s="135"/>
      <c r="J162" s="350"/>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96"/>
      <c r="J163" s="350"/>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96"/>
      <c r="I164" s="135"/>
      <c r="J164" s="350"/>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96"/>
      <c r="I165" s="135"/>
      <c r="J165" s="350"/>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96"/>
      <c r="J166" s="350"/>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96"/>
      <c r="J167" s="350"/>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96"/>
      <c r="J168" s="350"/>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96"/>
      <c r="J169" s="350"/>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96"/>
      <c r="J170" s="350"/>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96"/>
      <c r="J171" s="350"/>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96"/>
      <c r="J172" s="350"/>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96"/>
      <c r="I173" s="135"/>
      <c r="J173" s="350"/>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96"/>
      <c r="I174" s="135"/>
      <c r="J174" s="350"/>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96"/>
      <c r="J175" s="350"/>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96"/>
      <c r="I176" s="135"/>
      <c r="J176" s="350"/>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96"/>
      <c r="I177" s="135"/>
      <c r="J177" s="350"/>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96"/>
      <c r="J178" s="350"/>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96"/>
      <c r="I179" s="135"/>
      <c r="J179" s="350"/>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96"/>
      <c r="I180" s="135"/>
      <c r="J180" s="397"/>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96"/>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96"/>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96"/>
      <c r="J183" s="349"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96"/>
      <c r="J184" s="350"/>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96"/>
      <c r="J185" s="350"/>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96"/>
      <c r="J186" s="350"/>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96"/>
      <c r="J187" s="350"/>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96"/>
      <c r="J188" s="350"/>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96"/>
      <c r="J189" s="350"/>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96"/>
      <c r="I190" s="135"/>
      <c r="J190" s="350"/>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96"/>
      <c r="I191" s="135"/>
      <c r="J191" s="350"/>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96"/>
      <c r="J192" s="350"/>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96"/>
      <c r="I193" s="135"/>
      <c r="J193" s="350"/>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96"/>
      <c r="I194" s="135"/>
      <c r="J194" s="350"/>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96"/>
      <c r="J195" s="350"/>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96"/>
      <c r="J196" s="350"/>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96"/>
      <c r="J197" s="350"/>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96"/>
      <c r="J198" s="350"/>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96"/>
      <c r="J199" s="350"/>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96"/>
      <c r="J200" s="350"/>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96"/>
      <c r="J201" s="350"/>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96"/>
      <c r="J202" s="350"/>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96"/>
      <c r="J203" s="350"/>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96"/>
      <c r="J204" s="350"/>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96"/>
      <c r="I205" s="135"/>
      <c r="J205" s="350"/>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96"/>
      <c r="I206" s="135"/>
      <c r="J206" s="350"/>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96"/>
      <c r="J207" s="350"/>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96"/>
      <c r="I208" s="135"/>
      <c r="J208" s="350"/>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96"/>
      <c r="I209" s="135"/>
      <c r="J209" s="350"/>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96"/>
      <c r="J210" s="350"/>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96"/>
      <c r="J211" s="350"/>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96"/>
      <c r="J212" s="397"/>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96"/>
      <c r="J213" s="206"/>
      <c r="K213" s="140"/>
      <c r="L213" s="140"/>
    </row>
    <row r="214" spans="1:89" ht="14.25" customHeight="1" x14ac:dyDescent="0.2">
      <c r="G214" s="143"/>
      <c r="H214" s="396"/>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96"/>
      <c r="J215" s="349"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96"/>
      <c r="J216" s="350"/>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96"/>
      <c r="J217" s="350"/>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96"/>
      <c r="J218" s="350"/>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96"/>
      <c r="J219" s="350"/>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96"/>
      <c r="J220" s="350"/>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96"/>
      <c r="J221" s="350"/>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96"/>
      <c r="I222" s="135"/>
      <c r="J222" s="350"/>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96"/>
      <c r="I223" s="135"/>
      <c r="J223" s="350"/>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96"/>
      <c r="J224" s="350"/>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96"/>
      <c r="I225" s="135"/>
      <c r="J225" s="350"/>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96"/>
      <c r="I226" s="135"/>
      <c r="J226" s="350"/>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96"/>
      <c r="J227" s="350"/>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96"/>
      <c r="J228" s="350"/>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96"/>
      <c r="J229" s="350"/>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96"/>
      <c r="J230" s="350"/>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96"/>
      <c r="J231" s="350"/>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96"/>
      <c r="J232" s="350"/>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96"/>
      <c r="J233" s="350"/>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96"/>
      <c r="J234" s="350"/>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96"/>
      <c r="J235" s="350"/>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96"/>
      <c r="J236" s="350"/>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96"/>
      <c r="I237" s="135"/>
      <c r="J237" s="350"/>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96"/>
      <c r="I238" s="135"/>
      <c r="J238" s="350"/>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96"/>
      <c r="J239" s="350"/>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96"/>
      <c r="I240" s="135"/>
      <c r="J240" s="350"/>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96"/>
      <c r="I241" s="135"/>
      <c r="J241" s="350"/>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96"/>
      <c r="J242" s="350"/>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96"/>
      <c r="J243" s="350"/>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96"/>
      <c r="J244" s="397"/>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96"/>
      <c r="J245" s="206"/>
      <c r="K245" s="140"/>
      <c r="L245" s="140"/>
      <c r="AX245"/>
      <c r="AY245"/>
    </row>
    <row r="246" spans="1:97" ht="14.25" customHeight="1" x14ac:dyDescent="0.2">
      <c r="G246" s="143"/>
      <c r="H246" s="396"/>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96"/>
      <c r="J247" s="349"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96"/>
      <c r="J248" s="350"/>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96"/>
      <c r="J249" s="350"/>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96"/>
      <c r="J250" s="350"/>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96"/>
      <c r="J251" s="350"/>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96"/>
      <c r="J252" s="350"/>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96"/>
      <c r="J253" s="350"/>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96"/>
      <c r="J254" s="350"/>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96"/>
      <c r="J255" s="350"/>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96"/>
      <c r="J256" s="350"/>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96"/>
      <c r="J257" s="350"/>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96"/>
      <c r="J258" s="350"/>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96"/>
      <c r="J259" s="350"/>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96"/>
      <c r="J260" s="350"/>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96"/>
      <c r="J261" s="350"/>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96"/>
      <c r="J262" s="350"/>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96"/>
      <c r="J263" s="350"/>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96"/>
      <c r="J264" s="350"/>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96"/>
      <c r="J265" s="350"/>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96"/>
      <c r="J266" s="350"/>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96"/>
      <c r="J267" s="350"/>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96"/>
      <c r="J268" s="350"/>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96"/>
      <c r="J269" s="350"/>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96"/>
      <c r="J270" s="350"/>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96"/>
      <c r="J271" s="350"/>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96"/>
      <c r="J272" s="350"/>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96"/>
      <c r="J273" s="350"/>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96"/>
      <c r="J274" s="350"/>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96"/>
      <c r="J275" s="350"/>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96"/>
      <c r="J276" s="397"/>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96"/>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96"/>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96"/>
      <c r="J279" s="349"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96"/>
      <c r="J280" s="350"/>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96"/>
      <c r="J281" s="350"/>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96"/>
      <c r="J282" s="350"/>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96"/>
      <c r="J283" s="350"/>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96"/>
      <c r="J284" s="350"/>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96"/>
      <c r="J285" s="350"/>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96"/>
      <c r="J286" s="350"/>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96"/>
      <c r="J287" s="350"/>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96"/>
      <c r="J288" s="350"/>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96"/>
      <c r="J289" s="350"/>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96"/>
      <c r="J290" s="350"/>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96"/>
      <c r="J291" s="350"/>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96"/>
      <c r="J292" s="350"/>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96"/>
      <c r="J293" s="350"/>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96"/>
      <c r="J294" s="350"/>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96"/>
      <c r="J295" s="350"/>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96"/>
      <c r="J296" s="350"/>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96"/>
      <c r="J297" s="350"/>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96"/>
      <c r="J298" s="350"/>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96"/>
      <c r="J299" s="350"/>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96"/>
      <c r="J300" s="350"/>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96"/>
      <c r="J301" s="350"/>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96"/>
      <c r="J302" s="350"/>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96"/>
      <c r="J303" s="350"/>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96"/>
      <c r="J304" s="350"/>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96"/>
      <c r="J305" s="350"/>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96"/>
      <c r="J306" s="350"/>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96"/>
      <c r="J307" s="350"/>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96"/>
      <c r="J308" s="397"/>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411" t="s">
        <v>971</v>
      </c>
      <c r="J314" s="349"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411"/>
      <c r="J315" s="350"/>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411"/>
      <c r="J316" s="350"/>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411"/>
      <c r="J317" s="350"/>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411"/>
      <c r="J318" s="350"/>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411"/>
      <c r="J319" s="350"/>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411"/>
      <c r="J320" s="350"/>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411"/>
      <c r="J321" s="350"/>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411"/>
      <c r="J322" s="350"/>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411"/>
      <c r="J323" s="350"/>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411"/>
      <c r="J324" s="350"/>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411"/>
      <c r="J325" s="350"/>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411"/>
      <c r="J326" s="350"/>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411"/>
      <c r="J327" s="350"/>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411"/>
      <c r="J328" s="350"/>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411"/>
      <c r="J329" s="350"/>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411"/>
      <c r="J330" s="350"/>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411"/>
      <c r="J331" s="350"/>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411"/>
      <c r="J332" s="350"/>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411"/>
      <c r="J333" s="350"/>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411"/>
      <c r="J334" s="350"/>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411"/>
      <c r="J335" s="350"/>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411"/>
      <c r="J336" s="350"/>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411"/>
      <c r="J337" s="350"/>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411"/>
      <c r="J338" s="350"/>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411"/>
      <c r="J339" s="350"/>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411"/>
      <c r="J340" s="350"/>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411"/>
      <c r="J341" s="350"/>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411"/>
      <c r="J342" s="350"/>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411"/>
      <c r="J343" s="397"/>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412" t="s">
        <v>973</v>
      </c>
      <c r="J347" s="395"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412"/>
      <c r="J348" s="395"/>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412"/>
      <c r="J349" s="395"/>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412"/>
      <c r="J350" s="395"/>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412"/>
      <c r="J351" s="395"/>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412"/>
      <c r="J352" s="395"/>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412"/>
      <c r="J353" s="395"/>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412"/>
      <c r="J354" s="395"/>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412"/>
      <c r="J355" s="395"/>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412"/>
      <c r="J356" s="395"/>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412"/>
      <c r="J357" s="395"/>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412"/>
      <c r="J358" s="395"/>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412"/>
      <c r="J359" s="395"/>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412"/>
      <c r="J360" s="395"/>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412"/>
      <c r="J361" s="395"/>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412"/>
      <c r="J362" s="395"/>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412"/>
      <c r="J363" s="395"/>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412"/>
      <c r="J364" s="395"/>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412"/>
      <c r="J365" s="395"/>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412"/>
      <c r="J366" s="395"/>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412"/>
      <c r="J367" s="395"/>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412"/>
      <c r="J368" s="395"/>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412"/>
      <c r="J369" s="395"/>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412"/>
      <c r="J370" s="395"/>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412"/>
      <c r="J371" s="395"/>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412"/>
      <c r="J372" s="395"/>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412"/>
      <c r="J373" s="395"/>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412"/>
      <c r="J374" s="395"/>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412"/>
      <c r="J375" s="395"/>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413"/>
      <c r="J376" s="414"/>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415" t="s">
        <v>975</v>
      </c>
      <c r="J379" s="349"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415"/>
      <c r="J380" s="350"/>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415"/>
      <c r="J381" s="350"/>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415"/>
      <c r="J382" s="350"/>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415"/>
      <c r="J383" s="350"/>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415"/>
      <c r="J384" s="350"/>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415"/>
      <c r="J385" s="350"/>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415"/>
      <c r="J386" s="350"/>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415"/>
      <c r="J387" s="350"/>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415"/>
      <c r="J388" s="350"/>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415"/>
      <c r="J389" s="350"/>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415"/>
      <c r="J390" s="350"/>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415"/>
      <c r="J391" s="350"/>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49"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50"/>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50"/>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416" t="s">
        <v>994</v>
      </c>
      <c r="H433" s="354"/>
      <c r="I433" s="354"/>
      <c r="J433" s="354"/>
      <c r="K433" s="354"/>
      <c r="L433" s="354"/>
      <c r="M433" s="354"/>
      <c r="N433" s="354"/>
      <c r="O433" s="354"/>
      <c r="P433" s="354"/>
      <c r="Q433" s="354"/>
      <c r="R433" s="354"/>
      <c r="S433" s="354"/>
      <c r="T433" s="354"/>
      <c r="U433" s="354"/>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417" t="s">
        <v>995</v>
      </c>
      <c r="I435" s="418"/>
      <c r="J435" s="418"/>
      <c r="K435" s="418"/>
      <c r="L435" s="418"/>
      <c r="M435" s="418"/>
      <c r="N435" s="419" t="s">
        <v>996</v>
      </c>
      <c r="O435" s="420"/>
      <c r="P435" s="420"/>
      <c r="Q435" s="420"/>
      <c r="R435" s="421"/>
      <c r="S435" s="316" t="s">
        <v>997</v>
      </c>
      <c r="T435" s="316" t="s">
        <v>998</v>
      </c>
      <c r="U435" s="317"/>
      <c r="V435" s="318"/>
      <c r="W435" s="318"/>
      <c r="X435" s="318"/>
      <c r="Y435" s="318"/>
      <c r="Z435" s="318"/>
      <c r="AA435" s="318"/>
      <c r="AB435" s="319"/>
    </row>
    <row r="436" spans="3:29" ht="14.25" customHeight="1" x14ac:dyDescent="0.25">
      <c r="H436" s="422" t="s">
        <v>1021</v>
      </c>
      <c r="I436" s="423"/>
      <c r="J436" s="423"/>
      <c r="K436" s="423"/>
      <c r="L436" s="423"/>
      <c r="M436" s="424"/>
      <c r="N436" s="425" t="s">
        <v>1034</v>
      </c>
      <c r="O436" s="426"/>
      <c r="P436" s="426"/>
      <c r="Q436" s="426"/>
      <c r="R436" s="426"/>
      <c r="S436" s="320"/>
      <c r="T436" s="320"/>
      <c r="U436" s="321"/>
      <c r="V436" s="321"/>
      <c r="W436" s="321"/>
      <c r="X436" s="321"/>
      <c r="Y436" s="321"/>
      <c r="Z436" s="321"/>
      <c r="AA436" s="321"/>
      <c r="AB436" s="322"/>
      <c r="AC436" s="135" t="s">
        <v>1035</v>
      </c>
    </row>
    <row r="437" spans="3:29" ht="14.25" customHeight="1" x14ac:dyDescent="0.2">
      <c r="H437" s="422" t="s">
        <v>964</v>
      </c>
      <c r="I437" s="423"/>
      <c r="J437" s="423"/>
      <c r="K437" s="423"/>
      <c r="L437" s="423"/>
      <c r="M437" s="424"/>
      <c r="N437" s="428" t="s">
        <v>1036</v>
      </c>
      <c r="O437" s="429"/>
      <c r="P437" s="429"/>
      <c r="Q437" s="429"/>
      <c r="R437" s="429"/>
      <c r="S437" s="323"/>
      <c r="T437" s="323"/>
      <c r="U437" s="324"/>
      <c r="V437" s="324"/>
      <c r="W437" s="324"/>
      <c r="X437" s="324"/>
      <c r="Y437" s="324"/>
      <c r="Z437" s="324"/>
      <c r="AA437" s="324"/>
      <c r="AB437" s="325"/>
    </row>
    <row r="438" spans="3:29" ht="30.4" customHeight="1" x14ac:dyDescent="0.25">
      <c r="H438" s="422" t="s">
        <v>968</v>
      </c>
      <c r="I438" s="423"/>
      <c r="J438" s="423"/>
      <c r="K438" s="423"/>
      <c r="L438" s="423"/>
      <c r="M438" s="424"/>
      <c r="N438" s="430" t="s">
        <v>1037</v>
      </c>
      <c r="O438" s="431"/>
      <c r="P438" s="431"/>
      <c r="Q438" s="431"/>
      <c r="R438" s="432"/>
      <c r="S438" s="326"/>
      <c r="T438" s="326"/>
      <c r="U438" s="327"/>
      <c r="V438" s="327"/>
      <c r="W438" s="327"/>
      <c r="X438" s="327"/>
      <c r="Y438" s="327"/>
      <c r="Z438" s="327"/>
      <c r="AA438" s="327"/>
      <c r="AB438" s="328"/>
      <c r="AC438" s="135" t="s">
        <v>1038</v>
      </c>
    </row>
    <row r="439" spans="3:29" ht="32.65" customHeight="1" x14ac:dyDescent="0.25">
      <c r="H439" s="422" t="s">
        <v>1003</v>
      </c>
      <c r="I439" s="423"/>
      <c r="J439" s="423"/>
      <c r="K439" s="423"/>
      <c r="L439" s="423"/>
      <c r="M439" s="424"/>
      <c r="N439" s="430" t="s">
        <v>1037</v>
      </c>
      <c r="O439" s="431"/>
      <c r="P439" s="431"/>
      <c r="Q439" s="431"/>
      <c r="R439" s="432"/>
      <c r="S439" s="329"/>
      <c r="T439" s="329"/>
      <c r="U439" s="330"/>
      <c r="V439" s="330"/>
      <c r="W439" s="330"/>
      <c r="X439" s="330"/>
      <c r="Y439" s="330"/>
      <c r="Z439" s="330"/>
      <c r="AA439" s="330"/>
      <c r="AB439" s="331"/>
      <c r="AC439" s="135" t="s">
        <v>1038</v>
      </c>
    </row>
    <row r="440" spans="3:29" ht="14.25" customHeight="1" x14ac:dyDescent="0.2">
      <c r="H440" s="422" t="s">
        <v>1004</v>
      </c>
      <c r="I440" s="423"/>
      <c r="J440" s="423"/>
      <c r="K440" s="423"/>
      <c r="L440" s="423"/>
      <c r="M440" s="424"/>
      <c r="N440" s="433" t="s">
        <v>1005</v>
      </c>
      <c r="O440" s="434"/>
      <c r="P440" s="434"/>
      <c r="Q440" s="434"/>
      <c r="R440" s="434"/>
      <c r="S440" s="332"/>
      <c r="T440" s="332"/>
      <c r="U440" s="333"/>
      <c r="V440" s="333"/>
      <c r="W440" s="333"/>
      <c r="X440" s="333"/>
      <c r="Y440" s="333"/>
      <c r="Z440" s="333"/>
      <c r="AA440" s="333"/>
      <c r="AB440" s="334"/>
    </row>
    <row r="441" spans="3:29" ht="14.25" customHeight="1" thickBot="1" x14ac:dyDescent="0.25">
      <c r="H441" s="435" t="s">
        <v>1006</v>
      </c>
      <c r="I441" s="436"/>
      <c r="J441" s="436"/>
      <c r="K441" s="436"/>
      <c r="L441" s="436"/>
      <c r="M441" s="437"/>
      <c r="N441" s="438" t="s">
        <v>1005</v>
      </c>
      <c r="O441" s="439"/>
      <c r="P441" s="439"/>
      <c r="Q441" s="439"/>
      <c r="R441" s="439"/>
      <c r="S441" s="335"/>
      <c r="T441" s="336"/>
      <c r="U441" s="336"/>
      <c r="V441" s="337"/>
      <c r="W441" s="337"/>
      <c r="X441" s="337"/>
      <c r="Y441" s="337"/>
      <c r="Z441" s="337"/>
      <c r="AA441" s="337"/>
      <c r="AB441" s="338"/>
    </row>
    <row r="442" spans="3:29" ht="14.25" customHeight="1" thickBot="1" x14ac:dyDescent="0.25">
      <c r="H442" s="440"/>
      <c r="I442" s="440"/>
      <c r="J442" s="440"/>
      <c r="K442" s="440"/>
      <c r="L442" s="440"/>
      <c r="M442" s="440"/>
      <c r="N442" s="339"/>
      <c r="O442" s="339"/>
      <c r="P442" s="339"/>
      <c r="Q442" s="339"/>
      <c r="R442" s="339"/>
      <c r="S442" s="339"/>
      <c r="T442" s="339"/>
      <c r="U442" s="340"/>
      <c r="V442" s="340"/>
      <c r="W442" s="340"/>
      <c r="X442" s="340"/>
      <c r="Y442" s="340"/>
      <c r="Z442" s="340"/>
      <c r="AA442" s="340"/>
      <c r="AB442" s="340"/>
    </row>
    <row r="443" spans="3:29" ht="14.25" customHeight="1" x14ac:dyDescent="0.2">
      <c r="H443" s="417" t="s">
        <v>1007</v>
      </c>
      <c r="I443" s="418"/>
      <c r="J443" s="418"/>
      <c r="K443" s="418"/>
      <c r="L443" s="418"/>
      <c r="M443" s="427"/>
      <c r="N443" s="419" t="s">
        <v>996</v>
      </c>
      <c r="O443" s="420"/>
      <c r="P443" s="420"/>
      <c r="Q443" s="420"/>
      <c r="R443" s="421"/>
      <c r="S443" s="316" t="s">
        <v>997</v>
      </c>
      <c r="T443" s="316" t="s">
        <v>998</v>
      </c>
      <c r="U443" s="341"/>
      <c r="V443" s="341"/>
      <c r="W443" s="341"/>
      <c r="X443" s="341"/>
      <c r="Y443" s="341"/>
      <c r="Z443" s="341"/>
      <c r="AA443" s="341"/>
      <c r="AB443" s="342"/>
    </row>
    <row r="444" spans="3:29" ht="14.25" customHeight="1" x14ac:dyDescent="0.2">
      <c r="H444" s="422" t="s">
        <v>964</v>
      </c>
      <c r="I444" s="423"/>
      <c r="J444" s="423"/>
      <c r="K444" s="423"/>
      <c r="L444" s="423"/>
      <c r="M444" s="424"/>
      <c r="N444" s="441" t="s">
        <v>1039</v>
      </c>
      <c r="O444" s="442"/>
      <c r="P444" s="442"/>
      <c r="Q444" s="442"/>
      <c r="R444" s="442"/>
      <c r="S444" s="332"/>
      <c r="T444" s="332"/>
      <c r="U444" s="333"/>
      <c r="V444" s="333"/>
      <c r="W444" s="333"/>
      <c r="X444" s="333"/>
      <c r="Y444" s="333"/>
      <c r="Z444" s="333"/>
      <c r="AA444" s="333"/>
      <c r="AB444" s="343"/>
    </row>
    <row r="445" spans="3:29" ht="14.25" customHeight="1" x14ac:dyDescent="0.2">
      <c r="H445" s="422" t="s">
        <v>968</v>
      </c>
      <c r="I445" s="423"/>
      <c r="J445" s="423"/>
      <c r="K445" s="423"/>
      <c r="L445" s="423"/>
      <c r="M445" s="424"/>
      <c r="N445" s="441" t="s">
        <v>1040</v>
      </c>
      <c r="O445" s="442"/>
      <c r="P445" s="442"/>
      <c r="Q445" s="442"/>
      <c r="R445" s="442"/>
      <c r="S445" s="332"/>
      <c r="T445" s="332"/>
      <c r="U445" s="333"/>
      <c r="V445" s="333"/>
      <c r="W445" s="333"/>
      <c r="X445" s="333"/>
      <c r="Y445" s="333"/>
      <c r="Z445" s="333"/>
      <c r="AA445" s="333"/>
      <c r="AB445" s="343"/>
    </row>
    <row r="446" spans="3:29" ht="30.4" customHeight="1" x14ac:dyDescent="0.25">
      <c r="H446" s="443" t="s">
        <v>1010</v>
      </c>
      <c r="I446" s="444"/>
      <c r="J446" s="444"/>
      <c r="K446" s="444"/>
      <c r="L446" s="444"/>
      <c r="M446" s="445"/>
      <c r="N446" s="430" t="s">
        <v>1037</v>
      </c>
      <c r="O446" s="431"/>
      <c r="P446" s="431"/>
      <c r="Q446" s="431"/>
      <c r="R446" s="432"/>
      <c r="S446" s="259"/>
      <c r="T446" s="266"/>
      <c r="U446" s="259"/>
      <c r="V446" s="259"/>
      <c r="W446" s="259"/>
      <c r="X446" s="259"/>
      <c r="Y446" s="259"/>
      <c r="Z446" s="259"/>
      <c r="AA446" s="259"/>
      <c r="AB446" s="260"/>
    </row>
    <row r="447" spans="3:29" ht="30.75" customHeight="1" x14ac:dyDescent="0.2">
      <c r="H447" s="422" t="s">
        <v>1003</v>
      </c>
      <c r="I447" s="423"/>
      <c r="J447" s="423"/>
      <c r="K447" s="423"/>
      <c r="L447" s="423"/>
      <c r="M447" s="424"/>
      <c r="N447" s="441" t="s">
        <v>1040</v>
      </c>
      <c r="O447" s="442"/>
      <c r="P447" s="442"/>
      <c r="Q447" s="442"/>
      <c r="R447" s="442"/>
      <c r="S447" s="332"/>
      <c r="T447" s="332"/>
      <c r="U447" s="333"/>
      <c r="V447" s="333"/>
      <c r="W447" s="333"/>
      <c r="X447" s="333"/>
      <c r="Y447" s="333"/>
      <c r="Z447" s="333"/>
      <c r="AA447" s="333"/>
      <c r="AB447" s="343"/>
    </row>
    <row r="448" spans="3:29" ht="13.5" customHeight="1" x14ac:dyDescent="0.2">
      <c r="H448" s="422" t="s">
        <v>1004</v>
      </c>
      <c r="I448" s="423"/>
      <c r="J448" s="423"/>
      <c r="K448" s="423"/>
      <c r="L448" s="423"/>
      <c r="M448" s="424"/>
      <c r="N448" s="433" t="s">
        <v>1005</v>
      </c>
      <c r="O448" s="434"/>
      <c r="P448" s="434"/>
      <c r="Q448" s="434"/>
      <c r="R448" s="434"/>
      <c r="S448" s="332"/>
      <c r="T448" s="332"/>
      <c r="U448" s="333"/>
      <c r="V448" s="333"/>
      <c r="W448" s="333"/>
      <c r="X448" s="333"/>
      <c r="Y448" s="333"/>
      <c r="Z448" s="333"/>
      <c r="AA448" s="333"/>
      <c r="AB448" s="343"/>
    </row>
    <row r="449" spans="8:28" ht="14.25" customHeight="1" thickBot="1" x14ac:dyDescent="0.25">
      <c r="H449" s="435" t="s">
        <v>1012</v>
      </c>
      <c r="I449" s="436"/>
      <c r="J449" s="436"/>
      <c r="K449" s="436"/>
      <c r="L449" s="436"/>
      <c r="M449" s="437"/>
      <c r="N449" s="438" t="s">
        <v>1005</v>
      </c>
      <c r="O449" s="439"/>
      <c r="P449" s="439"/>
      <c r="Q449" s="439"/>
      <c r="R449" s="439"/>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352" t="s">
        <v>877</v>
      </c>
    </row>
    <row r="5" spans="1:110" ht="14.25" customHeight="1" x14ac:dyDescent="0.2">
      <c r="U5" s="353"/>
    </row>
    <row r="7" spans="1:110" ht="14.25" customHeight="1" x14ac:dyDescent="0.25">
      <c r="B7" s="141" t="s">
        <v>878</v>
      </c>
      <c r="G7" s="354" t="s">
        <v>879</v>
      </c>
      <c r="H7" s="446"/>
      <c r="I7" s="446"/>
      <c r="J7" s="446"/>
      <c r="K7" s="446"/>
      <c r="L7" s="446"/>
      <c r="M7" s="446"/>
      <c r="N7" s="446"/>
      <c r="O7" s="446"/>
      <c r="P7" s="446"/>
      <c r="Q7" s="446"/>
      <c r="R7" s="446"/>
      <c r="S7" s="446"/>
      <c r="T7" s="446"/>
      <c r="U7" s="446"/>
      <c r="V7" s="446"/>
      <c r="W7" s="446"/>
      <c r="X7" s="447"/>
    </row>
    <row r="8" spans="1:110" ht="14.25" customHeight="1" thickBot="1" x14ac:dyDescent="0.25">
      <c r="G8" s="143"/>
      <c r="X8" s="144"/>
    </row>
    <row r="9" spans="1:110" ht="14.25" customHeight="1" thickBot="1" x14ac:dyDescent="0.25">
      <c r="G9" s="143"/>
      <c r="H9" s="448" t="s">
        <v>880</v>
      </c>
      <c r="J9" s="358" t="s">
        <v>881</v>
      </c>
      <c r="K9" s="359"/>
      <c r="L9" s="360"/>
      <c r="M9" s="450">
        <v>2021</v>
      </c>
      <c r="N9" s="451"/>
      <c r="O9" s="451"/>
      <c r="P9" s="452"/>
      <c r="R9" s="145"/>
      <c r="X9" s="144"/>
    </row>
    <row r="10" spans="1:110" ht="14.25" customHeight="1" thickBot="1" x14ac:dyDescent="0.3">
      <c r="G10" s="143"/>
      <c r="H10" s="449"/>
      <c r="J10" s="146" t="s">
        <v>882</v>
      </c>
      <c r="P10" s="144"/>
      <c r="R10"/>
      <c r="S10"/>
      <c r="T10"/>
      <c r="U10"/>
      <c r="V10"/>
      <c r="X10" s="144"/>
      <c r="AB10"/>
      <c r="AC10"/>
    </row>
    <row r="11" spans="1:110" ht="14.25" customHeight="1" x14ac:dyDescent="0.25">
      <c r="G11" s="143"/>
      <c r="H11" s="449"/>
      <c r="J11" s="147" t="s">
        <v>883</v>
      </c>
      <c r="K11" s="148"/>
      <c r="L11" s="148"/>
      <c r="M11" s="148"/>
      <c r="N11" s="148"/>
      <c r="P11"/>
      <c r="Q11"/>
      <c r="R11"/>
      <c r="S11"/>
      <c r="T11"/>
      <c r="X11" s="144"/>
    </row>
    <row r="12" spans="1:110" ht="13.5" customHeight="1" thickBot="1" x14ac:dyDescent="0.25">
      <c r="G12" s="143"/>
      <c r="H12" s="449"/>
      <c r="X12" s="144"/>
    </row>
    <row r="13" spans="1:110" ht="45.75" customHeight="1" thickBot="1" x14ac:dyDescent="0.25">
      <c r="G13" s="143"/>
      <c r="H13" s="449"/>
      <c r="J13" s="395"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49"/>
      <c r="J14" s="395"/>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49"/>
      <c r="J15" s="395"/>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49"/>
      <c r="J16" s="395"/>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49"/>
      <c r="J17" s="395"/>
      <c r="K17" s="154" t="s">
        <v>906</v>
      </c>
      <c r="L17" s="154" t="s">
        <v>894</v>
      </c>
      <c r="M17" s="154" t="s">
        <v>907</v>
      </c>
      <c r="N17" s="154" t="s">
        <v>896</v>
      </c>
      <c r="O17" s="154" t="s">
        <v>897</v>
      </c>
      <c r="P17" s="154" t="s">
        <v>907</v>
      </c>
      <c r="Q17" s="154" t="s">
        <v>908</v>
      </c>
      <c r="R17" s="155">
        <v>8.5</v>
      </c>
      <c r="X17" s="144"/>
    </row>
    <row r="18" spans="7:29" ht="14.25" customHeight="1" x14ac:dyDescent="0.2">
      <c r="G18" s="143"/>
      <c r="H18" s="449"/>
      <c r="J18" s="395"/>
      <c r="K18" s="156" t="s">
        <v>909</v>
      </c>
      <c r="L18" s="156" t="s">
        <v>894</v>
      </c>
      <c r="M18" s="156" t="s">
        <v>910</v>
      </c>
      <c r="N18" s="156" t="s">
        <v>896</v>
      </c>
      <c r="O18" s="156" t="s">
        <v>897</v>
      </c>
      <c r="P18" s="156" t="s">
        <v>910</v>
      </c>
      <c r="Q18" s="156" t="s">
        <v>911</v>
      </c>
      <c r="R18" s="157">
        <v>8.1999999999999993</v>
      </c>
    </row>
    <row r="19" spans="7:29" ht="14.25" customHeight="1" x14ac:dyDescent="0.2">
      <c r="G19" s="143"/>
      <c r="H19" s="449"/>
      <c r="J19" s="395"/>
      <c r="K19" s="158" t="s">
        <v>912</v>
      </c>
      <c r="L19" s="158" t="s">
        <v>894</v>
      </c>
      <c r="M19" s="158" t="s">
        <v>913</v>
      </c>
      <c r="N19" s="158" t="s">
        <v>896</v>
      </c>
      <c r="O19" s="158" t="s">
        <v>897</v>
      </c>
      <c r="P19" s="158" t="s">
        <v>913</v>
      </c>
      <c r="Q19" s="158" t="s">
        <v>914</v>
      </c>
      <c r="R19" s="159">
        <v>7.8</v>
      </c>
    </row>
    <row r="20" spans="7:29" ht="14.25" customHeight="1" x14ac:dyDescent="0.2">
      <c r="G20" s="143"/>
      <c r="H20" s="449"/>
      <c r="J20" s="395"/>
      <c r="K20" s="156" t="s">
        <v>915</v>
      </c>
      <c r="L20" s="156" t="s">
        <v>894</v>
      </c>
      <c r="M20" s="156" t="s">
        <v>916</v>
      </c>
      <c r="N20" s="156" t="s">
        <v>896</v>
      </c>
      <c r="O20" s="156" t="s">
        <v>897</v>
      </c>
      <c r="P20" s="156" t="s">
        <v>916</v>
      </c>
      <c r="Q20" s="156" t="s">
        <v>917</v>
      </c>
      <c r="R20" s="157">
        <v>7.4</v>
      </c>
    </row>
    <row r="21" spans="7:29" ht="14.25" customHeight="1" x14ac:dyDescent="0.2">
      <c r="G21" s="143"/>
      <c r="H21" s="449"/>
      <c r="J21" s="395"/>
      <c r="K21" s="154" t="s">
        <v>918</v>
      </c>
      <c r="L21" s="154" t="s">
        <v>919</v>
      </c>
      <c r="M21" s="154" t="s">
        <v>920</v>
      </c>
      <c r="N21" s="154" t="s">
        <v>896</v>
      </c>
      <c r="O21" s="154" t="s">
        <v>897</v>
      </c>
      <c r="P21" s="154" t="s">
        <v>920</v>
      </c>
      <c r="Q21" s="154" t="s">
        <v>921</v>
      </c>
      <c r="R21" s="155">
        <v>6.8</v>
      </c>
    </row>
    <row r="22" spans="7:29" ht="14.25" customHeight="1" x14ac:dyDescent="0.2">
      <c r="G22" s="143"/>
      <c r="H22" s="449"/>
      <c r="J22" s="395"/>
      <c r="K22" s="156" t="s">
        <v>922</v>
      </c>
      <c r="L22" s="156" t="s">
        <v>923</v>
      </c>
      <c r="M22" s="156" t="s">
        <v>924</v>
      </c>
      <c r="N22" s="156" t="s">
        <v>896</v>
      </c>
      <c r="O22" s="156" t="s">
        <v>897</v>
      </c>
      <c r="P22" s="156" t="s">
        <v>924</v>
      </c>
      <c r="Q22" s="156" t="s">
        <v>925</v>
      </c>
      <c r="R22" s="157">
        <v>6.2</v>
      </c>
    </row>
    <row r="23" spans="7:29" ht="14.25" customHeight="1" thickBot="1" x14ac:dyDescent="0.25">
      <c r="G23" s="143"/>
      <c r="H23" s="449"/>
      <c r="J23" s="395"/>
      <c r="K23" s="160" t="s">
        <v>926</v>
      </c>
      <c r="L23" s="160" t="s">
        <v>927</v>
      </c>
      <c r="M23" s="160" t="s">
        <v>928</v>
      </c>
      <c r="N23" s="160" t="s">
        <v>896</v>
      </c>
      <c r="O23" s="160" t="s">
        <v>897</v>
      </c>
      <c r="P23" s="160" t="s">
        <v>928</v>
      </c>
      <c r="Q23" s="160" t="s">
        <v>929</v>
      </c>
      <c r="R23" s="161">
        <v>5.2</v>
      </c>
    </row>
    <row r="24" spans="7:29" ht="14.25" customHeight="1" x14ac:dyDescent="0.2">
      <c r="G24" s="143"/>
      <c r="H24" s="449"/>
      <c r="J24" s="395"/>
    </row>
    <row r="25" spans="7:29" ht="14.25" customHeight="1" x14ac:dyDescent="0.2">
      <c r="G25" s="143"/>
      <c r="H25" s="449"/>
      <c r="J25" s="395"/>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53" t="s">
        <v>932</v>
      </c>
      <c r="J28" s="400" t="s">
        <v>933</v>
      </c>
      <c r="K28" s="401"/>
      <c r="L28" s="401"/>
      <c r="M28" s="401"/>
      <c r="N28" s="401"/>
      <c r="O28" s="402"/>
      <c r="Q28" s="135" t="s">
        <v>934</v>
      </c>
      <c r="S28" s="163">
        <v>20</v>
      </c>
    </row>
    <row r="29" spans="7:29" ht="14.25" customHeight="1" thickBot="1" x14ac:dyDescent="0.25">
      <c r="G29" s="143"/>
      <c r="H29" s="454"/>
      <c r="J29" s="164" t="s">
        <v>935</v>
      </c>
      <c r="K29" s="165"/>
      <c r="L29" s="165"/>
      <c r="M29" s="165"/>
      <c r="N29" s="165"/>
      <c r="O29" s="166">
        <v>20</v>
      </c>
      <c r="Z29" s="167"/>
      <c r="AA29" s="167"/>
      <c r="AB29" s="167"/>
      <c r="AC29" s="167"/>
    </row>
    <row r="30" spans="7:29" ht="14.25" customHeight="1" x14ac:dyDescent="0.2">
      <c r="G30" s="143"/>
      <c r="H30" s="454"/>
      <c r="J30" s="168" t="s">
        <v>936</v>
      </c>
      <c r="K30" s="169"/>
      <c r="L30" s="169"/>
      <c r="M30" s="169"/>
      <c r="N30" s="169"/>
      <c r="O30" s="170">
        <v>5</v>
      </c>
    </row>
    <row r="31" spans="7:29" ht="14.25" customHeight="1" thickBot="1" x14ac:dyDescent="0.25">
      <c r="G31" s="143"/>
      <c r="H31" s="454"/>
      <c r="J31" s="455" t="s">
        <v>937</v>
      </c>
      <c r="K31" s="456"/>
      <c r="L31" s="456"/>
      <c r="M31" s="456"/>
      <c r="N31" s="456"/>
      <c r="O31" s="171">
        <v>0.02</v>
      </c>
    </row>
    <row r="32" spans="7:29" ht="14.25" customHeight="1" x14ac:dyDescent="0.2">
      <c r="G32" s="143"/>
      <c r="H32" s="454"/>
      <c r="J32" s="172" t="s">
        <v>938</v>
      </c>
      <c r="K32" s="173"/>
      <c r="L32" s="173"/>
      <c r="N32" s="174"/>
      <c r="O32" s="175">
        <v>3</v>
      </c>
    </row>
    <row r="33" spans="7:42" ht="26.25" customHeight="1" x14ac:dyDescent="0.2">
      <c r="G33" s="143"/>
      <c r="H33" s="454"/>
      <c r="J33" s="176" t="s">
        <v>172</v>
      </c>
      <c r="K33" s="177" t="s">
        <v>939</v>
      </c>
      <c r="L33" s="457" t="s">
        <v>940</v>
      </c>
      <c r="M33" s="459" t="s">
        <v>941</v>
      </c>
    </row>
    <row r="34" spans="7:42" ht="26.25" customHeight="1" x14ac:dyDescent="0.2">
      <c r="G34" s="143"/>
      <c r="H34" s="454"/>
      <c r="J34" s="178" t="s">
        <v>942</v>
      </c>
      <c r="K34" s="179" t="s">
        <v>943</v>
      </c>
      <c r="L34" s="458"/>
      <c r="M34" s="460"/>
    </row>
    <row r="35" spans="7:42" ht="14.25" customHeight="1" x14ac:dyDescent="0.2">
      <c r="G35" s="143"/>
      <c r="H35" s="454"/>
      <c r="J35" s="180">
        <v>0</v>
      </c>
      <c r="K35" s="181">
        <v>0.8</v>
      </c>
      <c r="L35" s="181">
        <v>0.8</v>
      </c>
      <c r="M35" s="182">
        <v>0.19999999999999996</v>
      </c>
    </row>
    <row r="36" spans="7:42" ht="14.25" customHeight="1" x14ac:dyDescent="0.2">
      <c r="G36" s="143"/>
      <c r="H36" s="454"/>
      <c r="J36" s="183">
        <v>1</v>
      </c>
      <c r="K36" s="184">
        <v>0.1</v>
      </c>
      <c r="L36" s="184">
        <v>0.8</v>
      </c>
      <c r="M36" s="182">
        <v>0.19999999999999996</v>
      </c>
      <c r="O36" s="185"/>
    </row>
    <row r="37" spans="7:42" ht="14.25" customHeight="1" thickBot="1" x14ac:dyDescent="0.25">
      <c r="G37" s="143"/>
      <c r="H37" s="454"/>
      <c r="J37" s="186">
        <v>2</v>
      </c>
      <c r="K37" s="187">
        <v>0.1</v>
      </c>
      <c r="L37" s="187">
        <v>0.8</v>
      </c>
      <c r="M37" s="188">
        <v>0.19999999999999996</v>
      </c>
    </row>
    <row r="38" spans="7:42" ht="14.25" customHeight="1" x14ac:dyDescent="0.2">
      <c r="G38" s="143"/>
      <c r="H38" s="454"/>
      <c r="M38" s="189"/>
    </row>
    <row r="39" spans="7:42" ht="14.25" customHeight="1" x14ac:dyDescent="0.25">
      <c r="H39" s="454"/>
      <c r="P39"/>
      <c r="Q39"/>
      <c r="R39"/>
      <c r="S39"/>
      <c r="T39"/>
    </row>
    <row r="40" spans="7:42" ht="14.25" customHeight="1" x14ac:dyDescent="0.2">
      <c r="H40" s="454"/>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54"/>
      <c r="J41" s="395"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54"/>
      <c r="J42" s="395"/>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54"/>
      <c r="J43" s="395"/>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54"/>
      <c r="J44" s="395"/>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54"/>
      <c r="J45" s="395"/>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54"/>
      <c r="J46" s="395"/>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54"/>
      <c r="J47" s="395"/>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54"/>
      <c r="J48" s="395"/>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54"/>
      <c r="J49" s="395"/>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54"/>
      <c r="J50" s="395"/>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54"/>
      <c r="J51" s="395"/>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54"/>
      <c r="J52" s="395"/>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54"/>
      <c r="J53" s="395"/>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54"/>
      <c r="J54" s="395"/>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54"/>
      <c r="J55" s="395"/>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54"/>
      <c r="J56" s="395"/>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54"/>
      <c r="J57" s="395"/>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54"/>
      <c r="J58" s="395"/>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54"/>
      <c r="J59" s="395"/>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54"/>
      <c r="J60" s="395"/>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54"/>
      <c r="J61" s="395"/>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54"/>
      <c r="J62" s="395"/>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54"/>
      <c r="J63" s="395"/>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54"/>
      <c r="J64" s="395"/>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54"/>
      <c r="J65" s="395"/>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54"/>
      <c r="J66" s="395"/>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54"/>
      <c r="J67" s="395"/>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54"/>
      <c r="J68" s="395"/>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54"/>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54"/>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54" t="s">
        <v>961</v>
      </c>
      <c r="H73" s="354"/>
      <c r="I73" s="354"/>
      <c r="J73" s="354"/>
      <c r="K73" s="354"/>
      <c r="L73" s="354"/>
      <c r="M73" s="354"/>
      <c r="N73" s="354"/>
      <c r="O73" s="354"/>
      <c r="P73" s="354"/>
      <c r="Q73" s="354"/>
      <c r="R73" s="354"/>
      <c r="S73" s="354"/>
      <c r="T73" s="354"/>
      <c r="U73" s="354"/>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96" t="s">
        <v>963</v>
      </c>
      <c r="J76" s="349"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96"/>
      <c r="J77" s="350"/>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96"/>
      <c r="J78" s="350"/>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96"/>
      <c r="J79" s="350"/>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96"/>
      <c r="J80" s="350"/>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96"/>
      <c r="J81" s="350"/>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96"/>
      <c r="J82" s="350"/>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96"/>
      <c r="J83" s="350"/>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96"/>
      <c r="J84" s="350"/>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96"/>
      <c r="J85" s="350"/>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96"/>
      <c r="J86" s="350"/>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96"/>
      <c r="J87" s="350"/>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96"/>
      <c r="J88" s="350"/>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96"/>
      <c r="J89" s="350"/>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96"/>
      <c r="J90" s="350"/>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96"/>
      <c r="J91" s="350"/>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96"/>
      <c r="J92" s="350"/>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96"/>
      <c r="J93" s="350"/>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96"/>
      <c r="J94" s="350"/>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96"/>
      <c r="J95" s="350"/>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96"/>
      <c r="J96" s="350"/>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96"/>
      <c r="J97" s="350"/>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96"/>
      <c r="J98" s="350"/>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96"/>
      <c r="J99" s="350"/>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96"/>
      <c r="J100" s="350"/>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96"/>
      <c r="J101" s="350"/>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96"/>
      <c r="J102" s="350"/>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96"/>
      <c r="J103" s="350"/>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96"/>
      <c r="J104" s="350"/>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96"/>
      <c r="J105" s="397"/>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96"/>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96"/>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96"/>
      <c r="J108" s="349"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96"/>
      <c r="J109" s="350"/>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96"/>
      <c r="J110" s="350"/>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96"/>
      <c r="J111" s="350"/>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96"/>
      <c r="J112" s="350"/>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96"/>
      <c r="J113" s="350"/>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96"/>
      <c r="J114" s="350"/>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96"/>
      <c r="J115" s="350"/>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96"/>
      <c r="J116" s="350"/>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96"/>
      <c r="J117" s="350"/>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96"/>
      <c r="J118" s="350"/>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96"/>
      <c r="J119" s="350"/>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96"/>
      <c r="J120" s="350"/>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96"/>
      <c r="J121" s="350"/>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96"/>
      <c r="J122" s="350"/>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96"/>
      <c r="J123" s="350"/>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96"/>
      <c r="I124" s="135"/>
      <c r="J124" s="350"/>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96"/>
      <c r="I125" s="135"/>
      <c r="J125" s="350"/>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96"/>
      <c r="J126" s="350"/>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96"/>
      <c r="J127" s="350"/>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96"/>
      <c r="J128" s="350"/>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96"/>
      <c r="J129" s="350"/>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96"/>
      <c r="J130" s="350"/>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96"/>
      <c r="J131" s="350"/>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96"/>
      <c r="J132" s="350"/>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96"/>
      <c r="J133" s="350"/>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96"/>
      <c r="J134" s="350"/>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96"/>
      <c r="J135" s="350"/>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96"/>
      <c r="J136" s="350"/>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96"/>
      <c r="J137" s="397"/>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96"/>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96"/>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96"/>
      <c r="J140" s="349"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96"/>
      <c r="J141" s="350"/>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96"/>
      <c r="J142" s="350"/>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96"/>
      <c r="J143" s="350"/>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96"/>
      <c r="J144" s="350"/>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96"/>
      <c r="J145" s="350"/>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96"/>
      <c r="J146" s="350"/>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96"/>
      <c r="J147" s="350"/>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96"/>
      <c r="J148" s="350"/>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96"/>
      <c r="J149" s="350"/>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96"/>
      <c r="J150" s="350"/>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96"/>
      <c r="J151" s="350"/>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96"/>
      <c r="J152" s="350"/>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96"/>
      <c r="J153" s="350"/>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96"/>
      <c r="J154" s="350"/>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96"/>
      <c r="J155" s="350"/>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96"/>
      <c r="J156" s="350"/>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96"/>
      <c r="J157" s="350"/>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96"/>
      <c r="J158" s="350"/>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96"/>
      <c r="J159" s="350"/>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96"/>
      <c r="J160" s="350"/>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96"/>
      <c r="J161" s="350"/>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96"/>
      <c r="J162" s="350"/>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96"/>
      <c r="J163" s="350"/>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96"/>
      <c r="J164" s="350"/>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96"/>
      <c r="J165" s="350"/>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96"/>
      <c r="J166" s="350"/>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96"/>
      <c r="J167" s="350"/>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96"/>
      <c r="J168" s="350"/>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96"/>
      <c r="J169" s="397"/>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96"/>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96"/>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96"/>
      <c r="J172" s="349"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96"/>
      <c r="J173" s="350"/>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96"/>
      <c r="J174" s="350"/>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96"/>
      <c r="J175" s="350"/>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96"/>
      <c r="J176" s="350"/>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96"/>
      <c r="J177" s="350"/>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96"/>
      <c r="J178" s="350"/>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96"/>
      <c r="J179" s="350"/>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96"/>
      <c r="J180" s="350"/>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96"/>
      <c r="J181" s="350"/>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96"/>
      <c r="J182" s="350"/>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96"/>
      <c r="J183" s="350"/>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96"/>
      <c r="J184" s="350"/>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96"/>
      <c r="J185" s="350"/>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96"/>
      <c r="J186" s="350"/>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96"/>
      <c r="J187" s="350"/>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96"/>
      <c r="J188" s="350"/>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96"/>
      <c r="J189" s="350"/>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96"/>
      <c r="J190" s="350"/>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96"/>
      <c r="J191" s="350"/>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96"/>
      <c r="J192" s="350"/>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96"/>
      <c r="J193" s="350"/>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96"/>
      <c r="J194" s="350"/>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96"/>
      <c r="J195" s="350"/>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96"/>
      <c r="J196" s="350"/>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96"/>
      <c r="J197" s="350"/>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96"/>
      <c r="J198" s="350"/>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96"/>
      <c r="J199" s="350"/>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96"/>
      <c r="J200" s="350"/>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96"/>
      <c r="J201" s="397"/>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96"/>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96"/>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96"/>
      <c r="J204" s="349"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96"/>
      <c r="J205" s="350"/>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96"/>
      <c r="J206" s="350"/>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96"/>
      <c r="J207" s="350"/>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96"/>
      <c r="J208" s="350"/>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96"/>
      <c r="J209" s="350"/>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96"/>
      <c r="J210" s="350"/>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96"/>
      <c r="J211" s="350"/>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96"/>
      <c r="J212" s="350"/>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96"/>
      <c r="J213" s="350"/>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96"/>
      <c r="J214" s="350"/>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96"/>
      <c r="J215" s="350"/>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96"/>
      <c r="J216" s="350"/>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96"/>
      <c r="J217" s="350"/>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96"/>
      <c r="J218" s="350"/>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96"/>
      <c r="J219" s="350"/>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96"/>
      <c r="J220" s="350"/>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96"/>
      <c r="J221" s="350"/>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96"/>
      <c r="J222" s="350"/>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96"/>
      <c r="J223" s="350"/>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96"/>
      <c r="J224" s="350"/>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96"/>
      <c r="J225" s="350"/>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96"/>
      <c r="J226" s="350"/>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96"/>
      <c r="J227" s="350"/>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96"/>
      <c r="J228" s="350"/>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96"/>
      <c r="J229" s="350"/>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96"/>
      <c r="J230" s="350"/>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96"/>
      <c r="J231" s="350"/>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96"/>
      <c r="J232" s="350"/>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96"/>
      <c r="J233" s="397"/>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96"/>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96"/>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96"/>
      <c r="J236" s="349"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96"/>
      <c r="J237" s="350"/>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96"/>
      <c r="J238" s="350"/>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96"/>
      <c r="J239" s="350"/>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96"/>
      <c r="J240" s="350"/>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96"/>
      <c r="J241" s="350"/>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96"/>
      <c r="J242" s="350"/>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96"/>
      <c r="J243" s="350"/>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96"/>
      <c r="J244" s="350"/>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96"/>
      <c r="J245" s="350"/>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96"/>
      <c r="J246" s="350"/>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96"/>
      <c r="J247" s="350"/>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96"/>
      <c r="J248" s="350"/>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96"/>
      <c r="J249" s="350"/>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96"/>
      <c r="J250" s="350"/>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96"/>
      <c r="J251" s="350"/>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96"/>
      <c r="J252" s="350"/>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96"/>
      <c r="J253" s="350"/>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96"/>
      <c r="J254" s="350"/>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96"/>
      <c r="J255" s="350"/>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96"/>
      <c r="J256" s="350"/>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96"/>
      <c r="J257" s="350"/>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96"/>
      <c r="J258" s="350"/>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96"/>
      <c r="J259" s="350"/>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96"/>
      <c r="J260" s="350"/>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96"/>
      <c r="J261" s="350"/>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96"/>
      <c r="J262" s="350"/>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96"/>
      <c r="J263" s="350"/>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96"/>
      <c r="J264" s="350"/>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96"/>
      <c r="J265" s="397"/>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96"/>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96"/>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96"/>
      <c r="J268" s="349"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96"/>
      <c r="J269" s="350"/>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96"/>
      <c r="J270" s="350"/>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96"/>
      <c r="J271" s="350"/>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96"/>
      <c r="J272" s="350"/>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96"/>
      <c r="J273" s="350"/>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96"/>
      <c r="J274" s="350"/>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96"/>
      <c r="J275" s="350"/>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96"/>
      <c r="J276" s="350"/>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96"/>
      <c r="J277" s="350"/>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96"/>
      <c r="J278" s="350"/>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96"/>
      <c r="J279" s="350"/>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96"/>
      <c r="J280" s="350"/>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96"/>
      <c r="J281" s="350"/>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96"/>
      <c r="J282" s="350"/>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96"/>
      <c r="J283" s="350"/>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96"/>
      <c r="J284" s="350"/>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96"/>
      <c r="J285" s="350"/>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96"/>
      <c r="J286" s="350"/>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96"/>
      <c r="J287" s="350"/>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96"/>
      <c r="J288" s="350"/>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96"/>
      <c r="J289" s="350"/>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96"/>
      <c r="J290" s="350"/>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96"/>
      <c r="J291" s="350"/>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96"/>
      <c r="J292" s="350"/>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96"/>
      <c r="J293" s="350"/>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96"/>
      <c r="J294" s="350"/>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96"/>
      <c r="J295" s="350"/>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96"/>
      <c r="J296" s="350"/>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96"/>
      <c r="J297" s="397"/>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63" t="s">
        <v>971</v>
      </c>
      <c r="J301" s="349"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63"/>
      <c r="J302" s="350"/>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63"/>
      <c r="J303" s="350"/>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63"/>
      <c r="J304" s="350"/>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63"/>
      <c r="J305" s="350"/>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63"/>
      <c r="J306" s="350"/>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63"/>
      <c r="J307" s="350"/>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63"/>
      <c r="J308" s="350"/>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63"/>
      <c r="J309" s="350"/>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63"/>
      <c r="J310" s="350"/>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63"/>
      <c r="J311" s="350"/>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63"/>
      <c r="J312" s="350"/>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63"/>
      <c r="J313" s="350"/>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63"/>
      <c r="J314" s="350"/>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63"/>
      <c r="J315" s="350"/>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63"/>
      <c r="J316" s="350"/>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63"/>
      <c r="J317" s="350"/>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63"/>
      <c r="J318" s="350"/>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63"/>
      <c r="J319" s="350"/>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63"/>
      <c r="J320" s="350"/>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63"/>
      <c r="J321" s="350"/>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63"/>
      <c r="J322" s="350"/>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63"/>
      <c r="J323" s="350"/>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63"/>
      <c r="J324" s="350"/>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63"/>
      <c r="J325" s="350"/>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63"/>
      <c r="J326" s="350"/>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63"/>
      <c r="J327" s="350"/>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63"/>
      <c r="J328" s="350"/>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63"/>
      <c r="J329" s="350"/>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63"/>
      <c r="J330" s="397"/>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412" t="s">
        <v>973</v>
      </c>
      <c r="J334" s="349"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412"/>
      <c r="J335" s="350"/>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412"/>
      <c r="J336" s="350"/>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412"/>
      <c r="J337" s="350"/>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412"/>
      <c r="J338" s="350"/>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412"/>
      <c r="J339" s="350"/>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412"/>
      <c r="J340" s="350"/>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412"/>
      <c r="J341" s="350"/>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412"/>
      <c r="J342" s="350"/>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412"/>
      <c r="J343" s="350"/>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412"/>
      <c r="J344" s="350"/>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412"/>
      <c r="J345" s="350"/>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412"/>
      <c r="J346" s="350"/>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412"/>
      <c r="J347" s="350"/>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412"/>
      <c r="J348" s="350"/>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412"/>
      <c r="J349" s="350"/>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412"/>
      <c r="J350" s="350"/>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412"/>
      <c r="J351" s="350"/>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412"/>
      <c r="J352" s="350"/>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412"/>
      <c r="J353" s="350"/>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412"/>
      <c r="J354" s="350"/>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412"/>
      <c r="J355" s="350"/>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412"/>
      <c r="J356" s="350"/>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412"/>
      <c r="J357" s="350"/>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412"/>
      <c r="J358" s="350"/>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412"/>
      <c r="J359" s="350"/>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412"/>
      <c r="J360" s="350"/>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412"/>
      <c r="J361" s="350"/>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412"/>
      <c r="J362" s="350"/>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412"/>
      <c r="J363" s="397"/>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415" t="s">
        <v>975</v>
      </c>
      <c r="J367" s="349"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415"/>
      <c r="J368" s="350"/>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415"/>
      <c r="J369" s="350"/>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415"/>
      <c r="J370" s="350"/>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415"/>
      <c r="J371" s="350"/>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415"/>
      <c r="J372" s="350"/>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415"/>
      <c r="J373" s="350"/>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64"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64"/>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64"/>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64"/>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64"/>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64"/>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64"/>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49"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50"/>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50"/>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416" t="s">
        <v>994</v>
      </c>
      <c r="H420" s="354"/>
      <c r="I420" s="354"/>
      <c r="J420" s="354"/>
      <c r="K420" s="354"/>
      <c r="L420" s="354"/>
      <c r="M420" s="354"/>
      <c r="N420" s="354"/>
      <c r="O420" s="354"/>
      <c r="P420" s="354"/>
      <c r="Q420" s="354"/>
      <c r="R420" s="354"/>
      <c r="S420" s="354"/>
      <c r="T420" s="354"/>
      <c r="U420" s="354"/>
      <c r="V420" s="142"/>
      <c r="W420" s="142"/>
      <c r="X420" s="142"/>
      <c r="Y420" s="142"/>
      <c r="Z420" s="142"/>
      <c r="AA420" s="142"/>
      <c r="AB420" s="142"/>
    </row>
    <row r="422" spans="3:42" ht="14.25" customHeight="1" x14ac:dyDescent="0.2">
      <c r="H422" s="465" t="s">
        <v>995</v>
      </c>
      <c r="I422" s="466"/>
      <c r="J422" s="466"/>
      <c r="K422" s="466"/>
      <c r="L422" s="466"/>
      <c r="M422" s="466"/>
      <c r="N422" s="467" t="s">
        <v>996</v>
      </c>
      <c r="O422" s="468"/>
      <c r="P422" s="468"/>
      <c r="Q422" s="468"/>
      <c r="R422" s="469"/>
      <c r="S422" s="258" t="s">
        <v>997</v>
      </c>
      <c r="T422" s="258" t="s">
        <v>998</v>
      </c>
      <c r="U422" s="259"/>
      <c r="V422" s="259"/>
      <c r="W422" s="259"/>
      <c r="X422" s="259"/>
      <c r="Y422" s="259"/>
      <c r="Z422" s="259"/>
      <c r="AA422" s="259"/>
      <c r="AB422" s="260"/>
    </row>
    <row r="423" spans="3:42" ht="14.25" customHeight="1" x14ac:dyDescent="0.25">
      <c r="H423" s="461" t="s">
        <v>999</v>
      </c>
      <c r="I423" s="423"/>
      <c r="J423" s="423"/>
      <c r="K423" s="423"/>
      <c r="L423" s="423"/>
      <c r="M423" s="423"/>
      <c r="N423" s="462" t="s">
        <v>1000</v>
      </c>
      <c r="O423" s="431"/>
      <c r="P423" s="431"/>
      <c r="Q423" s="431"/>
      <c r="R423" s="431"/>
      <c r="S423" s="262"/>
      <c r="T423" s="262"/>
      <c r="U423" s="263"/>
      <c r="V423" s="263"/>
      <c r="W423" s="263"/>
      <c r="X423" s="263"/>
      <c r="Y423" s="263"/>
      <c r="Z423" s="263"/>
      <c r="AA423" s="263"/>
      <c r="AB423" s="264"/>
    </row>
    <row r="424" spans="3:42" ht="14.25" customHeight="1" x14ac:dyDescent="0.25">
      <c r="H424" s="461" t="s">
        <v>964</v>
      </c>
      <c r="I424" s="423"/>
      <c r="J424" s="423"/>
      <c r="K424" s="423"/>
      <c r="L424" s="423"/>
      <c r="M424" s="423"/>
      <c r="N424" s="462" t="s">
        <v>1001</v>
      </c>
      <c r="O424" s="431"/>
      <c r="P424" s="431"/>
      <c r="Q424" s="431"/>
      <c r="R424" s="431"/>
      <c r="S424" s="262"/>
      <c r="T424" s="262"/>
      <c r="U424" s="263"/>
      <c r="V424" s="263"/>
      <c r="W424" s="263"/>
      <c r="X424" s="263"/>
      <c r="Y424" s="263"/>
      <c r="Z424" s="263"/>
      <c r="AA424" s="263"/>
      <c r="AB424" s="264"/>
    </row>
    <row r="425" spans="3:42" ht="14.25" customHeight="1" x14ac:dyDescent="0.25">
      <c r="H425" s="461" t="s">
        <v>968</v>
      </c>
      <c r="I425" s="423"/>
      <c r="J425" s="423"/>
      <c r="K425" s="423"/>
      <c r="L425" s="423"/>
      <c r="M425" s="423"/>
      <c r="N425" s="462" t="s">
        <v>1002</v>
      </c>
      <c r="O425" s="431"/>
      <c r="P425" s="431"/>
      <c r="Q425" s="431"/>
      <c r="R425" s="431"/>
      <c r="S425" s="262"/>
      <c r="T425" s="262"/>
      <c r="U425" s="263"/>
      <c r="V425" s="263"/>
      <c r="W425" s="263"/>
      <c r="X425" s="263"/>
      <c r="Y425" s="263"/>
      <c r="Z425" s="263"/>
      <c r="AA425" s="263"/>
      <c r="AB425" s="264"/>
    </row>
    <row r="426" spans="3:42" ht="14.25" customHeight="1" x14ac:dyDescent="0.25">
      <c r="H426" s="461" t="s">
        <v>1003</v>
      </c>
      <c r="I426" s="423"/>
      <c r="J426" s="423"/>
      <c r="K426" s="423"/>
      <c r="L426" s="423"/>
      <c r="M426" s="423"/>
      <c r="N426" s="462" t="s">
        <v>1002</v>
      </c>
      <c r="O426" s="431"/>
      <c r="P426" s="431"/>
      <c r="Q426" s="431"/>
      <c r="R426" s="431"/>
      <c r="S426" s="265"/>
      <c r="T426" s="265"/>
      <c r="U426"/>
      <c r="V426"/>
      <c r="W426"/>
      <c r="X426"/>
      <c r="Y426"/>
      <c r="Z426"/>
      <c r="AA426"/>
      <c r="AB426"/>
    </row>
    <row r="427" spans="3:42" ht="14.25" customHeight="1" x14ac:dyDescent="0.2">
      <c r="H427" s="461" t="s">
        <v>1004</v>
      </c>
      <c r="I427" s="423"/>
      <c r="J427" s="423"/>
      <c r="K427" s="423"/>
      <c r="L427" s="423"/>
      <c r="M427" s="423"/>
      <c r="N427" s="470" t="s">
        <v>1005</v>
      </c>
      <c r="O427" s="471"/>
      <c r="P427" s="471"/>
      <c r="Q427" s="471"/>
      <c r="R427" s="471"/>
      <c r="S427" s="266"/>
      <c r="T427" s="266"/>
      <c r="U427" s="259"/>
      <c r="V427" s="259"/>
      <c r="W427" s="259"/>
      <c r="X427" s="259"/>
      <c r="Y427" s="259"/>
      <c r="Z427" s="259"/>
      <c r="AA427" s="259"/>
      <c r="AB427" s="260"/>
    </row>
    <row r="428" spans="3:42" ht="14.25" customHeight="1" x14ac:dyDescent="0.2">
      <c r="H428" s="461" t="s">
        <v>1006</v>
      </c>
      <c r="I428" s="423"/>
      <c r="J428" s="423"/>
      <c r="K428" s="423"/>
      <c r="L428" s="423"/>
      <c r="M428" s="423"/>
      <c r="N428" s="470" t="s">
        <v>1005</v>
      </c>
      <c r="O428" s="471"/>
      <c r="P428" s="471"/>
      <c r="Q428" s="471"/>
      <c r="R428" s="471"/>
      <c r="S428" s="266"/>
      <c r="T428" s="266"/>
      <c r="U428" s="259"/>
      <c r="V428" s="259"/>
      <c r="W428" s="259"/>
      <c r="X428" s="259"/>
      <c r="Y428" s="259"/>
      <c r="Z428" s="259"/>
      <c r="AA428" s="259"/>
      <c r="AB428" s="260"/>
    </row>
    <row r="429" spans="3:42" ht="14.25" customHeight="1" x14ac:dyDescent="0.2">
      <c r="H429" s="472"/>
      <c r="I429" s="472"/>
      <c r="J429" s="472"/>
      <c r="K429" s="472"/>
      <c r="L429" s="472"/>
      <c r="M429" s="472"/>
      <c r="O429" s="259"/>
      <c r="P429" s="259"/>
      <c r="Q429" s="259"/>
      <c r="R429" s="259"/>
      <c r="S429" s="259"/>
      <c r="T429" s="259"/>
      <c r="U429" s="259"/>
      <c r="V429" s="259"/>
      <c r="W429" s="259"/>
      <c r="X429" s="259"/>
      <c r="Y429" s="259"/>
      <c r="Z429" s="259"/>
      <c r="AA429" s="259"/>
      <c r="AB429" s="260"/>
    </row>
    <row r="430" spans="3:42" ht="14.25" customHeight="1" x14ac:dyDescent="0.2">
      <c r="H430" s="465" t="s">
        <v>1007</v>
      </c>
      <c r="I430" s="466"/>
      <c r="J430" s="466"/>
      <c r="K430" s="466"/>
      <c r="L430" s="466"/>
      <c r="M430" s="466"/>
      <c r="N430" s="467" t="s">
        <v>996</v>
      </c>
      <c r="O430" s="468"/>
      <c r="P430" s="468"/>
      <c r="Q430" s="468"/>
      <c r="R430" s="469"/>
      <c r="S430" s="258" t="s">
        <v>997</v>
      </c>
      <c r="T430" s="258" t="s">
        <v>998</v>
      </c>
      <c r="U430" s="259"/>
      <c r="V430" s="259"/>
      <c r="W430" s="259"/>
      <c r="X430" s="259"/>
      <c r="Y430" s="259"/>
      <c r="Z430" s="259"/>
      <c r="AA430" s="259"/>
      <c r="AB430" s="260"/>
    </row>
    <row r="431" spans="3:42" ht="14.25" customHeight="1" x14ac:dyDescent="0.25">
      <c r="H431" s="461" t="s">
        <v>964</v>
      </c>
      <c r="I431" s="423"/>
      <c r="J431" s="423"/>
      <c r="K431" s="423"/>
      <c r="L431" s="423"/>
      <c r="M431" s="424"/>
      <c r="N431" s="462" t="s">
        <v>1001</v>
      </c>
      <c r="O431" s="431"/>
      <c r="P431" s="431"/>
      <c r="Q431" s="431"/>
      <c r="R431" s="431"/>
      <c r="S431" s="262"/>
      <c r="T431" s="262"/>
      <c r="U431" s="263"/>
      <c r="V431" s="263"/>
      <c r="W431" s="263"/>
      <c r="X431" s="263"/>
      <c r="Y431" s="263"/>
      <c r="Z431" s="263"/>
      <c r="AA431" s="263"/>
      <c r="AB431" s="264"/>
    </row>
    <row r="432" spans="3:42" ht="14.25" customHeight="1" x14ac:dyDescent="0.25">
      <c r="H432" s="461" t="s">
        <v>968</v>
      </c>
      <c r="I432" s="423"/>
      <c r="J432" s="423"/>
      <c r="K432" s="423"/>
      <c r="L432" s="423"/>
      <c r="M432" s="424"/>
      <c r="N432" s="261" t="s">
        <v>1008</v>
      </c>
      <c r="Q432" s="267" t="s">
        <v>1009</v>
      </c>
      <c r="R432" s="259"/>
      <c r="S432" s="266"/>
      <c r="T432" s="266"/>
      <c r="U432" s="259"/>
      <c r="V432" s="259"/>
      <c r="W432" s="259"/>
      <c r="X432" s="259"/>
      <c r="Y432" s="259"/>
      <c r="Z432" s="259"/>
      <c r="AA432" s="259"/>
      <c r="AB432" s="260"/>
    </row>
    <row r="433" spans="8:28" ht="14.25" customHeight="1" x14ac:dyDescent="0.25">
      <c r="H433" s="443" t="s">
        <v>1010</v>
      </c>
      <c r="I433" s="444"/>
      <c r="J433" s="444"/>
      <c r="K433" s="444"/>
      <c r="L433" s="444"/>
      <c r="M433" s="445"/>
      <c r="N433" s="268"/>
      <c r="O433" s="269"/>
      <c r="P433" s="269"/>
      <c r="Q433" s="259"/>
      <c r="R433" s="260"/>
      <c r="S433" s="259"/>
      <c r="T433" s="266"/>
      <c r="U433" s="259"/>
      <c r="V433" s="259"/>
      <c r="W433" s="259"/>
      <c r="X433" s="259"/>
      <c r="Y433" s="259"/>
      <c r="Z433" s="259"/>
      <c r="AA433" s="259"/>
      <c r="AB433" s="260"/>
    </row>
    <row r="434" spans="8:28" ht="14.25" customHeight="1" x14ac:dyDescent="0.25">
      <c r="H434" s="461" t="s">
        <v>1003</v>
      </c>
      <c r="I434" s="423"/>
      <c r="J434" s="423"/>
      <c r="K434" s="423"/>
      <c r="L434" s="423"/>
      <c r="M434" s="424"/>
      <c r="N434" s="462" t="s">
        <v>1011</v>
      </c>
      <c r="O434" s="431"/>
      <c r="P434" s="431"/>
      <c r="Q434" s="431"/>
      <c r="R434" s="431"/>
      <c r="S434" s="262"/>
      <c r="T434" s="262"/>
      <c r="U434" s="263"/>
      <c r="V434" s="263"/>
      <c r="W434" s="263"/>
      <c r="X434" s="263"/>
      <c r="Y434" s="263"/>
      <c r="Z434" s="263"/>
      <c r="AA434" s="263"/>
      <c r="AB434" s="264"/>
    </row>
    <row r="435" spans="8:28" ht="14.25" customHeight="1" x14ac:dyDescent="0.2">
      <c r="H435" s="461" t="s">
        <v>1004</v>
      </c>
      <c r="I435" s="423"/>
      <c r="J435" s="423"/>
      <c r="K435" s="423"/>
      <c r="L435" s="423"/>
      <c r="M435" s="424"/>
      <c r="N435" s="470" t="s">
        <v>1005</v>
      </c>
      <c r="O435" s="471"/>
      <c r="P435" s="471"/>
      <c r="Q435" s="471"/>
      <c r="R435" s="471"/>
      <c r="S435" s="266"/>
      <c r="T435" s="266"/>
      <c r="U435" s="259"/>
      <c r="V435" s="259"/>
      <c r="W435" s="259"/>
      <c r="X435" s="259"/>
      <c r="Y435" s="259"/>
      <c r="Z435" s="259"/>
      <c r="AA435" s="259"/>
      <c r="AB435" s="260"/>
    </row>
    <row r="436" spans="8:28" ht="14.25" customHeight="1" x14ac:dyDescent="0.2">
      <c r="H436" s="461" t="s">
        <v>1012</v>
      </c>
      <c r="I436" s="423"/>
      <c r="J436" s="423"/>
      <c r="K436" s="423"/>
      <c r="L436" s="423"/>
      <c r="M436" s="424"/>
      <c r="N436" s="470" t="s">
        <v>1005</v>
      </c>
      <c r="O436" s="471"/>
      <c r="P436" s="471"/>
      <c r="Q436" s="471"/>
      <c r="R436" s="471"/>
      <c r="S436" s="266"/>
      <c r="T436" s="266"/>
      <c r="U436" s="259"/>
      <c r="V436" s="259"/>
      <c r="W436" s="259"/>
      <c r="X436" s="259"/>
      <c r="Y436" s="259"/>
      <c r="Z436" s="259"/>
      <c r="AA436" s="259"/>
      <c r="AB436" s="260"/>
    </row>
    <row r="437" spans="8:28" ht="14.25" customHeight="1" x14ac:dyDescent="0.2">
      <c r="H437" s="461" t="s">
        <v>1006</v>
      </c>
      <c r="I437" s="423"/>
      <c r="J437" s="423"/>
      <c r="K437" s="423"/>
      <c r="L437" s="423"/>
      <c r="M437" s="424"/>
      <c r="N437" s="470" t="s">
        <v>1005</v>
      </c>
      <c r="O437" s="471"/>
      <c r="P437" s="471"/>
      <c r="Q437" s="471"/>
      <c r="R437" s="471"/>
      <c r="S437" s="266"/>
      <c r="T437" s="266"/>
      <c r="U437" s="259"/>
      <c r="V437" s="259"/>
      <c r="W437" s="259"/>
      <c r="X437" s="259"/>
      <c r="Y437" s="259"/>
      <c r="Z437" s="259"/>
      <c r="AA437" s="259"/>
      <c r="AB437" s="260"/>
    </row>
    <row r="438" spans="8:28" ht="14.25" customHeight="1" x14ac:dyDescent="0.2">
      <c r="H438" s="135" t="s">
        <v>1013</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row r="2838" spans="2:33" ht="15" customHeight="1" x14ac:dyDescent="0.2"/>
    <row r="2839" spans="2:33" ht="15" customHeight="1" x14ac:dyDescent="0.2"/>
    <row r="2840" spans="2:33" ht="15" customHeight="1" x14ac:dyDescent="0.2"/>
    <row r="2841" spans="2:33" ht="15" customHeight="1" x14ac:dyDescent="0.2"/>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4" t="s">
        <v>568</v>
      </c>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5" t="s">
        <v>651</v>
      </c>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4" t="s">
        <v>568</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2">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2">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2">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5" t="s">
        <v>586</v>
      </c>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4" t="s">
        <v>649</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2">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2">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2">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E5" sqref="E5"/>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77" t="s">
        <v>596</v>
      </c>
      <c r="D6" s="477"/>
      <c r="E6" s="477"/>
      <c r="F6" s="477"/>
      <c r="G6" s="477"/>
      <c r="H6" s="477"/>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78" t="s">
        <v>597</v>
      </c>
      <c r="J13" s="478"/>
      <c r="K13" s="478"/>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77" t="s">
        <v>596</v>
      </c>
      <c r="E20" s="477"/>
      <c r="F20" s="477"/>
      <c r="G20" s="477"/>
      <c r="H20" s="477"/>
      <c r="I20" s="477"/>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E17" sqref="E17"/>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6F24-DEA7-4FC7-BEBE-5441FDAAB378}">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406D-9D89-4235-A6A8-57135D307482}">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085C-8B0D-4480-8D0D-AEF323DCFAA7}">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A330-FD18-416B-AA6D-360F0C219193}">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6C2F1-523D-4736-A503-3B1D52B316C6}">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4AC6-D687-4A93-A85A-0FC1E714B69A}">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tabSelected="1" workbookViewId="0">
      <selection activeCell="G8" sqref="G8"/>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'Inflation Reduction Act - elec'!B128</f>
        <v>13.306660072408052</v>
      </c>
      <c r="E5" s="19">
        <f>'Inflation Reduction Act - elec'!C128</f>
        <v>13.306660072408052</v>
      </c>
      <c r="F5" s="19">
        <f>'Inflation Reduction Act - elec'!D128</f>
        <v>13.306660072408052</v>
      </c>
      <c r="G5" s="19">
        <f>'Inflation Reduction Act - elec'!E128</f>
        <v>13.306660072408052</v>
      </c>
      <c r="H5" s="19">
        <f>'Inflation Reduction Act - elec'!F128</f>
        <v>13.306660072408052</v>
      </c>
      <c r="I5" s="19">
        <f>'Inflation Reduction Act - elec'!G128</f>
        <v>13.306660072408052</v>
      </c>
      <c r="J5" s="19">
        <f>'Inflation Reduction Act - elec'!H128</f>
        <v>13.306660072408052</v>
      </c>
      <c r="K5" s="19">
        <f>'Inflation Reduction Act - elec'!I128</f>
        <v>13.306660072408052</v>
      </c>
      <c r="L5" s="19">
        <f>'Inflation Reduction Act - elec'!J128</f>
        <v>13.306660072408052</v>
      </c>
      <c r="M5" s="19">
        <f>'Inflation Reduction Act - elec'!K128</f>
        <v>13.306660072408052</v>
      </c>
      <c r="N5" s="19">
        <f>'Inflation Reduction Act - elec'!L128</f>
        <v>13.306660072408052</v>
      </c>
      <c r="O5" s="19">
        <f>'Inflation Reduction Act - elec'!M128</f>
        <v>13.306660072408052</v>
      </c>
      <c r="P5" s="19">
        <f>'Inflation Reduction Act - elec'!N128</f>
        <v>13.306660072408052</v>
      </c>
      <c r="Q5" s="19">
        <f>'Inflation Reduction Act - elec'!O128</f>
        <v>13.306660072408052</v>
      </c>
      <c r="R5" s="19">
        <f>'Inflation Reduction Act - elec'!P128</f>
        <v>13.306660072408052</v>
      </c>
      <c r="S5" s="19">
        <f>'Inflation Reduction Act - elec'!Q128</f>
        <v>13.306660072408052</v>
      </c>
      <c r="T5" s="19">
        <f>'Inflation Reduction Act - elec'!R128</f>
        <v>13.306660072408052</v>
      </c>
      <c r="U5" s="19">
        <f>'Inflation Reduction Act - elec'!S128</f>
        <v>13.306660072408052</v>
      </c>
      <c r="V5" s="19">
        <f>'Inflation Reduction Act - elec'!T128</f>
        <v>13.306660072408052</v>
      </c>
      <c r="W5" s="19">
        <f>'Inflation Reduction Act - elec'!U128</f>
        <v>13.306660072408052</v>
      </c>
      <c r="X5" s="19">
        <f>'Inflation Reduction Act - elec'!V128</f>
        <v>13.306660072408052</v>
      </c>
      <c r="Y5" s="19">
        <f>'Inflation Reduction Act - elec'!W128</f>
        <v>13.306660072408052</v>
      </c>
      <c r="Z5" s="19">
        <f>'Inflation Reduction Act - elec'!X128</f>
        <v>13.306660072408052</v>
      </c>
      <c r="AA5" s="19">
        <f>'Inflation Reduction Act - elec'!Y128</f>
        <v>13.306660072408052</v>
      </c>
      <c r="AB5" s="19">
        <f>'Inflation Reduction Act - elec'!Z128</f>
        <v>13.306660072408052</v>
      </c>
      <c r="AC5" s="19">
        <f>'Inflation Reduction Act - elec'!AA128</f>
        <v>13.306660072408052</v>
      </c>
      <c r="AD5" s="19">
        <f>'Inflation Reduction Act - elec'!AB128</f>
        <v>13.306660072408052</v>
      </c>
      <c r="AE5" s="19">
        <f>'Inflation Reduction Act - elec'!AC128</f>
        <v>13.306660072408052</v>
      </c>
      <c r="AF5" s="19"/>
      <c r="AG5" s="19"/>
    </row>
    <row r="6" spans="1:33" x14ac:dyDescent="0.2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elec'!B112</f>
        <v>21.848852583482621</v>
      </c>
      <c r="E7" s="4">
        <f>'Inflation Reduction Act - elec'!C112</f>
        <v>21.848852583482621</v>
      </c>
      <c r="F7" s="4">
        <f>'Inflation Reduction Act - elec'!D112</f>
        <v>21.848852583482621</v>
      </c>
      <c r="G7" s="4">
        <f>'Inflation Reduction Act - elec'!E112</f>
        <v>21.848852583482621</v>
      </c>
      <c r="H7" s="4">
        <f>'Inflation Reduction Act - elec'!F112</f>
        <v>21.848852583482621</v>
      </c>
      <c r="I7" s="4">
        <f>'Inflation Reduction Act - elec'!G112</f>
        <v>21.848852583482621</v>
      </c>
      <c r="J7" s="4">
        <f>'Inflation Reduction Act - elec'!H112</f>
        <v>21.848852583482621</v>
      </c>
      <c r="K7" s="4">
        <f>'Inflation Reduction Act - elec'!I112</f>
        <v>21.848852583482621</v>
      </c>
      <c r="L7" s="4">
        <f>'Inflation Reduction Act - elec'!J112</f>
        <v>21.848852583482621</v>
      </c>
      <c r="M7" s="4">
        <f>'Inflation Reduction Act - elec'!K112</f>
        <v>21.848852583482621</v>
      </c>
      <c r="N7" s="4">
        <f>'Inflation Reduction Act - elec'!L112</f>
        <v>21.848852583482621</v>
      </c>
      <c r="O7" s="4">
        <f>'Inflation Reduction Act - elec'!M112</f>
        <v>21.848852583482621</v>
      </c>
      <c r="P7" s="4">
        <f>'Inflation Reduction Act - elec'!N112</f>
        <v>21.848852583482621</v>
      </c>
      <c r="Q7" s="4">
        <f>'Inflation Reduction Act - elec'!O112</f>
        <v>21.848852583482621</v>
      </c>
      <c r="R7" s="4">
        <f>'Inflation Reduction Act - elec'!P112</f>
        <v>21.848852583482621</v>
      </c>
      <c r="S7" s="4">
        <f>'Inflation Reduction Act - elec'!Q112</f>
        <v>16.386639437611965</v>
      </c>
      <c r="T7" s="4">
        <f>'Inflation Reduction Act - elec'!R112</f>
        <v>10.924426291741311</v>
      </c>
      <c r="U7" s="4">
        <f>'Inflation Reduction Act - elec'!S112</f>
        <v>0</v>
      </c>
      <c r="V7" s="4">
        <f>'Inflation Reduction Act - elec'!T112</f>
        <v>0</v>
      </c>
      <c r="W7" s="4">
        <f>'Inflation Reduction Act - elec'!U112</f>
        <v>0</v>
      </c>
      <c r="X7" s="4">
        <f>'Inflation Reduction Act - elec'!V112</f>
        <v>0</v>
      </c>
      <c r="Y7" s="4">
        <f>'Inflation Reduction Act - elec'!W112</f>
        <v>0</v>
      </c>
      <c r="Z7" s="4">
        <f>'Inflation Reduction Act - elec'!X112</f>
        <v>0</v>
      </c>
      <c r="AA7" s="4">
        <f>'Inflation Reduction Act - elec'!Y112</f>
        <v>0</v>
      </c>
      <c r="AB7" s="4">
        <f>'Inflation Reduction Act - elec'!Z112</f>
        <v>0</v>
      </c>
      <c r="AC7" s="4">
        <f>'Inflation Reduction Act - elec'!AA112</f>
        <v>0</v>
      </c>
      <c r="AD7" s="4">
        <f>'Inflation Reduction Act - elec'!AB112</f>
        <v>0</v>
      </c>
      <c r="AE7" s="4">
        <f>'Inflation Reduction Act - elec'!AC112</f>
        <v>0</v>
      </c>
    </row>
    <row r="8" spans="1:33" x14ac:dyDescent="0.25">
      <c r="A8" t="s">
        <v>801</v>
      </c>
      <c r="B8" s="4">
        <v>0</v>
      </c>
      <c r="C8" s="4">
        <v>0</v>
      </c>
      <c r="D8" s="4">
        <f>'Inflation Reduction Act - elec'!B114</f>
        <v>0</v>
      </c>
      <c r="E8" s="4">
        <f>'Inflation Reduction Act - elec'!C114</f>
        <v>0</v>
      </c>
      <c r="F8" s="4">
        <f>'Inflation Reduction Act - elec'!D114</f>
        <v>0</v>
      </c>
      <c r="G8" s="4">
        <f>'Inflation Reduction Act - elec'!E114</f>
        <v>22.91774335994446</v>
      </c>
      <c r="H8" s="4">
        <f>'Inflation Reduction Act - elec'!F114</f>
        <v>22.913007930703568</v>
      </c>
      <c r="I8" s="4">
        <f>'Inflation Reduction Act - elec'!G114</f>
        <v>22.90913348859738</v>
      </c>
      <c r="J8" s="4">
        <f>'Inflation Reduction Act - elec'!H114</f>
        <v>22.90913348859738</v>
      </c>
      <c r="K8" s="4">
        <f>'Inflation Reduction Act - elec'!I114</f>
        <v>22.90913348859738</v>
      </c>
      <c r="L8" s="4">
        <f>'Inflation Reduction Act - elec'!J114</f>
        <v>22.90913348859738</v>
      </c>
      <c r="M8" s="4">
        <f>'Inflation Reduction Act - elec'!K114</f>
        <v>22.90913348859738</v>
      </c>
      <c r="N8" s="4">
        <f>'Inflation Reduction Act - elec'!L114</f>
        <v>22.90913348859738</v>
      </c>
      <c r="O8" s="4">
        <f>'Inflation Reduction Act - elec'!M114</f>
        <v>22.90913348859738</v>
      </c>
      <c r="P8" s="4">
        <f>'Inflation Reduction Act - elec'!N114</f>
        <v>22.90913348859738</v>
      </c>
      <c r="Q8" s="4">
        <f>'Inflation Reduction Act - elec'!O114</f>
        <v>22.90913348859738</v>
      </c>
      <c r="R8" s="4">
        <f>'Inflation Reduction Act - elec'!P114</f>
        <v>22.90913348859738</v>
      </c>
      <c r="S8" s="4">
        <f>'Inflation Reduction Act - elec'!Q114</f>
        <v>17.181850116448036</v>
      </c>
      <c r="T8" s="4">
        <f>'Inflation Reduction Act - elec'!R114</f>
        <v>11.45456674429869</v>
      </c>
      <c r="U8" s="4">
        <f>'Inflation Reduction Act - elec'!S114</f>
        <v>0</v>
      </c>
      <c r="V8" s="4">
        <f>'Inflation Reduction Act - elec'!T114</f>
        <v>0</v>
      </c>
      <c r="W8" s="4">
        <f>'Inflation Reduction Act - elec'!U114</f>
        <v>0</v>
      </c>
      <c r="X8" s="4">
        <f>'Inflation Reduction Act - elec'!V114</f>
        <v>0</v>
      </c>
      <c r="Y8" s="4">
        <f>'Inflation Reduction Act - elec'!W114</f>
        <v>0</v>
      </c>
      <c r="Z8" s="4">
        <f>'Inflation Reduction Act - elec'!X114</f>
        <v>0</v>
      </c>
      <c r="AA8" s="4">
        <f>'Inflation Reduction Act - elec'!Y114</f>
        <v>0</v>
      </c>
      <c r="AB8" s="4">
        <f>'Inflation Reduction Act - elec'!Z114</f>
        <v>0</v>
      </c>
      <c r="AC8" s="4">
        <f>'Inflation Reduction Act - elec'!AA114</f>
        <v>0</v>
      </c>
      <c r="AD8" s="4">
        <f>'Inflation Reduction Act - elec'!AB114</f>
        <v>0</v>
      </c>
      <c r="AE8" s="4">
        <f>'Inflation Reduction Act - elec'!AC114</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 - elec'!B126</f>
        <v>0</v>
      </c>
      <c r="E18" s="4">
        <f>'Inflation Reduction Act - elec'!C126</f>
        <v>0</v>
      </c>
      <c r="F18" s="4">
        <f>'Inflation Reduction Act - elec'!D126</f>
        <v>0</v>
      </c>
      <c r="G18" s="4">
        <f>'Inflation Reduction Act - elec'!E126</f>
        <v>0</v>
      </c>
      <c r="H18" s="4">
        <f>'Inflation Reduction Act - elec'!F126</f>
        <v>0</v>
      </c>
      <c r="I18" s="4">
        <f>'Inflation Reduction Act - elec'!G126</f>
        <v>0</v>
      </c>
      <c r="J18" s="4">
        <f>'Inflation Reduction Act - elec'!H126</f>
        <v>0</v>
      </c>
      <c r="K18" s="4">
        <f>'Inflation Reduction Act - elec'!I126</f>
        <v>0</v>
      </c>
      <c r="L18" s="4">
        <f>'Inflation Reduction Act - elec'!J126</f>
        <v>0</v>
      </c>
      <c r="M18" s="4">
        <f>'Inflation Reduction Act - elec'!K126</f>
        <v>0</v>
      </c>
      <c r="N18" s="4">
        <f>'Inflation Reduction Act - elec'!L126</f>
        <v>0</v>
      </c>
      <c r="O18" s="4">
        <f>'Inflation Reduction Act - elec'!M126</f>
        <v>0</v>
      </c>
      <c r="P18" s="4">
        <f>'Inflation Reduction Act - elec'!N126</f>
        <v>0</v>
      </c>
      <c r="Q18" s="4">
        <f>'Inflation Reduction Act - elec'!O126</f>
        <v>0</v>
      </c>
      <c r="R18" s="4">
        <f>'Inflation Reduction Act - elec'!P126</f>
        <v>0</v>
      </c>
      <c r="S18" s="4">
        <f>'Inflation Reduction Act - elec'!Q126</f>
        <v>0</v>
      </c>
      <c r="T18" s="4">
        <f>'Inflation Reduction Act - elec'!R126</f>
        <v>0</v>
      </c>
      <c r="U18" s="4">
        <f>'Inflation Reduction Act - elec'!S126</f>
        <v>0</v>
      </c>
      <c r="V18" s="4">
        <f>'Inflation Reduction Act - elec'!T126</f>
        <v>0</v>
      </c>
      <c r="W18" s="4">
        <f>'Inflation Reduction Act - elec'!U126</f>
        <v>0</v>
      </c>
      <c r="X18" s="4">
        <f>'Inflation Reduction Act - elec'!V126</f>
        <v>0</v>
      </c>
      <c r="Y18" s="4">
        <f>'Inflation Reduction Act - elec'!W126</f>
        <v>0</v>
      </c>
      <c r="Z18" s="4">
        <f>'Inflation Reduction Act - elec'!X126</f>
        <v>0</v>
      </c>
      <c r="AA18" s="4">
        <f>'Inflation Reduction Act - elec'!Y126</f>
        <v>0</v>
      </c>
      <c r="AB18" s="4">
        <f>'Inflation Reduction Act - elec'!Z126</f>
        <v>0</v>
      </c>
      <c r="AC18" s="4">
        <f>'Inflation Reduction Act - elec'!AA126</f>
        <v>0</v>
      </c>
      <c r="AD18" s="4">
        <f>'Inflation Reduction Act - elec'!AB126</f>
        <v>0</v>
      </c>
      <c r="AE18" s="4">
        <f>'Inflation Reduction Act - elec'!AC126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f>'Inflation Reduction Act - elec'!B146</f>
        <v>0.37019212259371836</v>
      </c>
      <c r="E8" s="19">
        <f>'Inflation Reduction Act - elec'!C146</f>
        <v>0.37753261144883488</v>
      </c>
      <c r="F8" s="19">
        <f>'Inflation Reduction Act - elec'!D146</f>
        <v>0.38487310030395139</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 - elec'!B149</f>
        <v>0.41625000000000001</v>
      </c>
      <c r="E9" s="19">
        <f>'Inflation Reduction Act - elec'!C149</f>
        <v>0.41625000000000001</v>
      </c>
      <c r="F9" s="19">
        <f>'Inflation Reduction Act - elec'!D149</f>
        <v>0.41625000000000001</v>
      </c>
      <c r="G9" s="19">
        <f>'Inflation Reduction Act - elec'!E149</f>
        <v>0.41625000000000001</v>
      </c>
      <c r="H9" s="19">
        <f>'Inflation Reduction Act - elec'!F149</f>
        <v>0.41625000000000001</v>
      </c>
      <c r="I9" s="19">
        <f>'Inflation Reduction Act - elec'!G149</f>
        <v>0.41625000000000001</v>
      </c>
      <c r="J9" s="19">
        <f>'Inflation Reduction Act - elec'!H149</f>
        <v>0.41625000000000001</v>
      </c>
      <c r="K9" s="19">
        <f>'Inflation Reduction Act - elec'!I149</f>
        <v>0.41625000000000001</v>
      </c>
      <c r="L9" s="19">
        <f>'Inflation Reduction Act - elec'!J149</f>
        <v>0.41625000000000001</v>
      </c>
      <c r="M9" s="19">
        <f>'Inflation Reduction Act - elec'!K149</f>
        <v>0.41625000000000001</v>
      </c>
      <c r="N9" s="19">
        <f>'Inflation Reduction Act - elec'!L149</f>
        <v>0.41625000000000001</v>
      </c>
      <c r="O9" s="19">
        <f>'Inflation Reduction Act - elec'!M149</f>
        <v>0.41625000000000001</v>
      </c>
      <c r="P9" s="19">
        <f>'Inflation Reduction Act - elec'!N149</f>
        <v>0.41625000000000001</v>
      </c>
      <c r="Q9" s="19">
        <f>'Inflation Reduction Act - elec'!O149</f>
        <v>0.41625000000000001</v>
      </c>
      <c r="R9" s="19">
        <f>'Inflation Reduction Act - elec'!P149</f>
        <v>0.41625000000000001</v>
      </c>
      <c r="S9" s="19">
        <f>'Inflation Reduction Act - elec'!Q149</f>
        <v>0.31218750000000001</v>
      </c>
      <c r="T9" s="19">
        <f>'Inflation Reduction Act - elec'!R149</f>
        <v>0.208125</v>
      </c>
      <c r="U9" s="19">
        <f>'Inflation Reduction Act - elec'!S149</f>
        <v>0</v>
      </c>
      <c r="V9" s="19">
        <f>'Inflation Reduction Act - elec'!T149</f>
        <v>0</v>
      </c>
      <c r="W9" s="19">
        <f>'Inflation Reduction Act - elec'!U149</f>
        <v>0</v>
      </c>
      <c r="X9" s="19">
        <f>'Inflation Reduction Act - elec'!V149</f>
        <v>0</v>
      </c>
      <c r="Y9" s="19">
        <f>'Inflation Reduction Act - elec'!W149</f>
        <v>0</v>
      </c>
      <c r="Z9" s="19">
        <f>'Inflation Reduction Act - elec'!X149</f>
        <v>0</v>
      </c>
      <c r="AA9" s="19">
        <f>'Inflation Reduction Act - elec'!Y149</f>
        <v>0</v>
      </c>
      <c r="AB9" s="19">
        <f>'Inflation Reduction Act - elec'!Z149</f>
        <v>0</v>
      </c>
      <c r="AC9" s="19">
        <f>'Inflation Reduction Act - elec'!AA149</f>
        <v>0</v>
      </c>
      <c r="AD9" s="19">
        <f>'Inflation Reduction Act - elec'!AB149</f>
        <v>0</v>
      </c>
      <c r="AE9" s="19">
        <f>'Inflation Reduction Act - elec'!AC149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 - elec'!B152</f>
        <v>0.41625000000000001</v>
      </c>
      <c r="E11" s="19">
        <f>'Inflation Reduction Act - elec'!C152</f>
        <v>0.41625000000000001</v>
      </c>
      <c r="F11" s="19">
        <f>'Inflation Reduction Act - elec'!D152</f>
        <v>0.41625000000000001</v>
      </c>
      <c r="G11" s="19">
        <f>'Inflation Reduction Act - elec'!E152</f>
        <v>0.41625000000000001</v>
      </c>
      <c r="H11" s="19">
        <f>'Inflation Reduction Act - elec'!F152</f>
        <v>0.41625000000000001</v>
      </c>
      <c r="I11" s="19">
        <f>'Inflation Reduction Act - elec'!G152</f>
        <v>0.41625000000000001</v>
      </c>
      <c r="J11" s="19">
        <f>'Inflation Reduction Act - elec'!H152</f>
        <v>0.41625000000000001</v>
      </c>
      <c r="K11" s="19">
        <f>'Inflation Reduction Act - elec'!I152</f>
        <v>0.41625000000000001</v>
      </c>
      <c r="L11" s="19">
        <f>'Inflation Reduction Act - elec'!J152</f>
        <v>0.41625000000000001</v>
      </c>
      <c r="M11" s="19">
        <f>'Inflation Reduction Act - elec'!K152</f>
        <v>0.41625000000000001</v>
      </c>
      <c r="N11" s="19">
        <f>'Inflation Reduction Act - elec'!L152</f>
        <v>0.41625000000000001</v>
      </c>
      <c r="O11" s="19">
        <f>'Inflation Reduction Act - elec'!M152</f>
        <v>0.41625000000000001</v>
      </c>
      <c r="P11" s="19">
        <f>'Inflation Reduction Act - elec'!N152</f>
        <v>0.41625000000000001</v>
      </c>
      <c r="Q11" s="19">
        <f>'Inflation Reduction Act - elec'!O152</f>
        <v>0.41625000000000001</v>
      </c>
      <c r="R11" s="19">
        <f>'Inflation Reduction Act - elec'!P152</f>
        <v>0.41625000000000001</v>
      </c>
      <c r="S11" s="19">
        <f>'Inflation Reduction Act - elec'!Q152</f>
        <v>0.31218750000000001</v>
      </c>
      <c r="T11" s="19">
        <f>'Inflation Reduction Act - elec'!R152</f>
        <v>0.208125</v>
      </c>
      <c r="U11" s="19">
        <f>'Inflation Reduction Act - elec'!S152</f>
        <v>0</v>
      </c>
      <c r="V11" s="19">
        <f>'Inflation Reduction Act - elec'!T152</f>
        <v>0</v>
      </c>
      <c r="W11" s="19">
        <f>'Inflation Reduction Act - elec'!U152</f>
        <v>0</v>
      </c>
      <c r="X11" s="19">
        <f>'Inflation Reduction Act - elec'!V152</f>
        <v>0</v>
      </c>
      <c r="Y11" s="19">
        <f>'Inflation Reduction Act - elec'!W152</f>
        <v>0</v>
      </c>
      <c r="Z11" s="19">
        <f>'Inflation Reduction Act - elec'!X152</f>
        <v>0</v>
      </c>
      <c r="AA11" s="19">
        <f>'Inflation Reduction Act - elec'!Y152</f>
        <v>0</v>
      </c>
      <c r="AB11" s="19">
        <f>'Inflation Reduction Act - elec'!Z152</f>
        <v>0</v>
      </c>
      <c r="AC11" s="19">
        <f>'Inflation Reduction Act - elec'!AA152</f>
        <v>0</v>
      </c>
      <c r="AD11" s="19">
        <f>'Inflation Reduction Act - elec'!AB152</f>
        <v>0</v>
      </c>
      <c r="AE11" s="19">
        <f>'Inflation Reduction Act - elec'!AC152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 - elec'!B155</f>
        <v>0.41625000000000001</v>
      </c>
      <c r="E15" s="19">
        <f>'Inflation Reduction Act - elec'!C155</f>
        <v>0.41625000000000001</v>
      </c>
      <c r="F15" s="19">
        <f>'Inflation Reduction Act - elec'!D155</f>
        <v>0.41625000000000001</v>
      </c>
      <c r="G15" s="19">
        <f>'Inflation Reduction Act - elec'!E155</f>
        <v>0.41625000000000001</v>
      </c>
      <c r="H15" s="19">
        <f>'Inflation Reduction Act - elec'!F155</f>
        <v>0.41625000000000001</v>
      </c>
      <c r="I15" s="19">
        <f>'Inflation Reduction Act - elec'!G155</f>
        <v>0.41625000000000001</v>
      </c>
      <c r="J15" s="19">
        <f>'Inflation Reduction Act - elec'!H155</f>
        <v>0.41625000000000001</v>
      </c>
      <c r="K15" s="19">
        <f>'Inflation Reduction Act - elec'!I155</f>
        <v>0.41625000000000001</v>
      </c>
      <c r="L15" s="19">
        <f>'Inflation Reduction Act - elec'!J155</f>
        <v>0.41625000000000001</v>
      </c>
      <c r="M15" s="19">
        <f>'Inflation Reduction Act - elec'!K155</f>
        <v>0.41625000000000001</v>
      </c>
      <c r="N15" s="19">
        <f>'Inflation Reduction Act - elec'!L155</f>
        <v>0.41625000000000001</v>
      </c>
      <c r="O15" s="19">
        <f>'Inflation Reduction Act - elec'!M155</f>
        <v>0.41625000000000001</v>
      </c>
      <c r="P15" s="19">
        <f>'Inflation Reduction Act - elec'!N155</f>
        <v>0.41625000000000001</v>
      </c>
      <c r="Q15" s="19">
        <f>'Inflation Reduction Act - elec'!O155</f>
        <v>0.41625000000000001</v>
      </c>
      <c r="R15" s="19">
        <f>'Inflation Reduction Act - elec'!P155</f>
        <v>0.41625000000000001</v>
      </c>
      <c r="S15" s="19">
        <f>'Inflation Reduction Act - elec'!Q155</f>
        <v>0.31218750000000001</v>
      </c>
      <c r="T15" s="19">
        <f>'Inflation Reduction Act - elec'!R155</f>
        <v>0.208125</v>
      </c>
      <c r="U15" s="19">
        <f>'Inflation Reduction Act - elec'!S155</f>
        <v>0</v>
      </c>
      <c r="V15" s="19">
        <f>'Inflation Reduction Act - elec'!T155</f>
        <v>0</v>
      </c>
      <c r="W15" s="19">
        <f>'Inflation Reduction Act - elec'!U155</f>
        <v>0</v>
      </c>
      <c r="X15" s="19">
        <f>'Inflation Reduction Act - elec'!V155</f>
        <v>0</v>
      </c>
      <c r="Y15" s="19">
        <f>'Inflation Reduction Act - elec'!W155</f>
        <v>0</v>
      </c>
      <c r="Z15" s="19">
        <f>'Inflation Reduction Act - elec'!X155</f>
        <v>0</v>
      </c>
      <c r="AA15" s="19">
        <f>'Inflation Reduction Act - elec'!Y155</f>
        <v>0</v>
      </c>
      <c r="AB15" s="19">
        <f>'Inflation Reduction Act - elec'!Z155</f>
        <v>0</v>
      </c>
      <c r="AC15" s="19">
        <f>'Inflation Reduction Act - elec'!AA155</f>
        <v>0</v>
      </c>
      <c r="AD15" s="19">
        <f>'Inflation Reduction Act - elec'!AB155</f>
        <v>0</v>
      </c>
      <c r="AE15" s="19">
        <f>'Inflation Reduction Act - elec'!AC155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About</vt:lpstr>
      <vt:lpstr>Inflation Reduction Act - elec</vt:lpstr>
      <vt:lpstr>Inflation Reduction Act - Hydn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2025-07-28T16:36:57Z</dcterms:modified>
</cp:coreProperties>
</file>