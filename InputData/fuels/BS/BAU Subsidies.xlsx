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fuels\BS\"/>
    </mc:Choice>
  </mc:AlternateContent>
  <xr:revisionPtr revIDLastSave="0" documentId="13_ncr:1_{A6FC87E7-7ABE-4708-96DA-57889297B7ED}" xr6:coauthVersionLast="47" xr6:coauthVersionMax="47" xr10:uidLastSave="{00000000-0000-0000-0000-000000000000}"/>
  <bookViews>
    <workbookView xWindow="-98" yWindow="-98" windowWidth="21795" windowHeight="12975" tabRatio="813" firstSheet="20" activeTab="20"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2" l="1"/>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<sst xmlns="http://schemas.openxmlformats.org/spreadsheetml/2006/main" count="5115" uniqueCount="1823">
  <si>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</si>
  <si>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</si>
  <si>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</si>
  <si>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</si>
  <si>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</si>
  <si>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</si>
  <si>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</si>
  <si>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</si>
  <si>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</si>
  <si>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</si>
  <si>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</si>
  <si>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</si>
  <si>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</si>
  <si>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</si>
  <si>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</si>
  <si>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</si>
  <si>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</si>
  <si>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</si>
  <si>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</si>
  <si>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</si>
  <si>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</si>
  <si>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</si>
  <si>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</si>
  <si>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</si>
  <si>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</si>
  <si>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</si>
  <si>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</si>
  <si>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</si>
  <si>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</si>
  <si>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</si>
  <si>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</si>
  <si>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</si>
  <si>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</si>
  <si>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</si>
  <si>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</si>
  <si>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</si>
  <si>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</si>
  <si>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</si>
  <si>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</si>
  <si>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</si>
  <si>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</si>
  <si>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</si>
  <si>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</si>
  <si>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</si>
  <si>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</si>
  <si>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</si>
  <si>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</si>
  <si>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</si>
  <si>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</si>
  <si>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</si>
  <si>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</si>
  <si>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</si>
  <si>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</si>
  <si>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</si>
  <si>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</si>
  <si>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</si>
  <si>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</si>
  <si>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</si>
  <si>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</si>
  <si>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</si>
  <si>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</si>
  <si>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</si>
  <si>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</si>
  <si>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</si>
  <si>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</si>
  <si>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</si>
  <si>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</si>
  <si>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</si>
  <si>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</si>
  <si>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</si>
  <si>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</si>
  <si>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</si>
  <si>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</si>
  <si>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</si>
  <si>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</si>
  <si>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</si>
  <si>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</si>
  <si>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</si>
  <si>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</si>
  <si>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</si>
  <si>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</si>
  <si>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</si>
  <si>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</si>
  <si>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</si>
  <si>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</si>
  <si>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</si>
  <si>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</si>
  <si>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</si>
  <si>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</si>
  <si>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</si>
  <si>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</si>
  <si>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</si>
  <si>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</si>
  <si>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</si>
  <si>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</si>
  <si>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</si>
  <si>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</si>
  <si>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</si>
  <si>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</si>
  <si>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</si>
  <si>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</si>
  <si>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</si>
  <si>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</si>
  <si>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</si>
  <si>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</si>
  <si>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</si>
  <si>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</si>
  <si>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</si>
  <si>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</si>
  <si>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</si>
  <si>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</si>
  <si>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</si>
  <si>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</si>
  <si>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</si>
  <si>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</si>
  <si>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</si>
  <si>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</si>
  <si>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</si>
  <si>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</si>
  <si>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</si>
  <si>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</si>
  <si>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</si>
  <si>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</si>
  <si>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</si>
  <si>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</si>
  <si>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</si>
  <si>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</si>
  <si>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</si>
  <si>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</si>
  <si>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</si>
  <si>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</si>
  <si>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</si>
  <si>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</si>
  <si>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</si>
  <si>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</si>
  <si>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</si>
  <si>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</si>
  <si>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</si>
  <si>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</si>
  <si>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</si>
  <si>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</si>
  <si>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</si>
  <si>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</si>
  <si>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</si>
  <si>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</si>
  <si>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</si>
  <si>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</si>
  <si>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</si>
  <si>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</si>
  <si>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</si>
  <si>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</si>
  <si>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</si>
  <si>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</si>
  <si>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</si>
  <si>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</si>
  <si>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</si>
  <si>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</si>
  <si>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</si>
  <si>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</si>
  <si>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</si>
  <si>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</si>
  <si>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</si>
  <si>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</si>
  <si>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</si>
  <si>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</si>
  <si>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</si>
  <si>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</si>
  <si>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</si>
  <si>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</si>
  <si>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</si>
  <si>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</si>
  <si>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</si>
  <si>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</si>
  <si>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</si>
  <si>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</si>
  <si>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</si>
  <si>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</si>
  <si>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</si>
  <si>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</si>
  <si>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</si>
  <si>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</si>
  <si>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</si>
  <si>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</si>
  <si>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</si>
  <si>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</si>
  <si>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</si>
  <si>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</si>
  <si>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</si>
  <si>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</si>
  <si>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</si>
  <si>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</si>
  <si>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</si>
  <si>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</si>
  <si>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</si>
  <si>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</si>
  <si>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</si>
  <si>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</si>
  <si>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</si>
  <si>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</si>
  <si>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</si>
  <si>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</si>
  <si>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</si>
  <si>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</si>
  <si>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</si>
  <si>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</si>
  <si>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</si>
  <si>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</si>
  <si>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</si>
  <si>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</si>
  <si>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</si>
  <si>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</si>
  <si>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</si>
  <si>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</si>
  <si>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</si>
  <si>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</si>
  <si>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</si>
  <si>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</si>
  <si>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</si>
  <si>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</si>
  <si>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</si>
  <si>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</si>
  <si>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</si>
  <si>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</si>
  <si>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</si>
  <si>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</si>
  <si>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</si>
  <si>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</si>
  <si>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</si>
  <si>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</si>
  <si>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</si>
  <si>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</si>
  <si>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</si>
  <si>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</si>
  <si>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</si>
  <si>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</si>
  <si>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</si>
  <si>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</si>
  <si>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</si>
  <si>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</si>
  <si>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</si>
  <si>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</si>
  <si>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</si>
  <si>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</si>
  <si>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</si>
  <si>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</si>
  <si>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</si>
  <si>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</si>
  <si>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</si>
  <si>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</si>
  <si>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</si>
  <si>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</si>
  <si>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</si>
  <si>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</si>
  <si>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</si>
  <si>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</si>
  <si>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</si>
  <si>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</si>
  <si>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</si>
  <si>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</si>
  <si>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</si>
  <si>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</si>
  <si>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</si>
  <si>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</si>
  <si>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</si>
  <si>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</si>
  <si>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</si>
  <si>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</si>
  <si>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</si>
  <si>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</si>
  <si>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</si>
  <si>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</si>
  <si>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</si>
  <si>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</si>
  <si>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</si>
  <si>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</si>
  <si>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</si>
  <si>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</si>
  <si>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</si>
  <si>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</si>
  <si>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</si>
  <si>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</si>
  <si>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</si>
  <si>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</si>
  <si>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</si>
  <si>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</si>
  <si>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</si>
  <si>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</si>
  <si>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</si>
  <si>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</si>
  <si>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</si>
  <si>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</si>
  <si>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</si>
  <si>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</si>
  <si>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</si>
  <si>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</si>
  <si>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</si>
  <si>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</si>
  <si>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</si>
  <si>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</si>
  <si>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</si>
  <si>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</si>
  <si>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</si>
  <si>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</si>
  <si>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</si>
  <si>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</si>
  <si>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</si>
  <si>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</si>
  <si>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</si>
  <si>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</si>
  <si>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</si>
  <si>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</si>
  <si>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</si>
  <si>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</si>
  <si>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</si>
  <si>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</si>
  <si>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</si>
  <si>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</si>
  <si>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</si>
  <si>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</si>
  <si>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</si>
  <si>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</si>
  <si>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</si>
  <si>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</si>
  <si>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</si>
  <si>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</si>
  <si>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</si>
  <si>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</si>
  <si>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</si>
  <si>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</si>
  <si>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</si>
  <si>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</si>
  <si>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</si>
  <si>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</si>
  <si>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</si>
  <si>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</si>
  <si>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</si>
  <si>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</si>
  <si>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</si>
  <si>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</si>
  <si>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</si>
  <si>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</si>
  <si>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</si>
  <si>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</si>
  <si>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</si>
  <si>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</si>
  <si>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</si>
  <si>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</si>
  <si>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</si>
  <si>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</si>
  <si>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</si>
  <si>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</si>
  <si>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</si>
  <si>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</si>
  <si>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</si>
  <si>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</si>
  <si>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</si>
  <si>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</si>
  <si>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</si>
  <si>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</si>
  <si>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</si>
  <si>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</si>
  <si>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</si>
  <si>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</si>
  <si>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</si>
  <si>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</si>
  <si>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</si>
  <si>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</si>
  <si>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</si>
  <si>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</si>
  <si>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</si>
  <si>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</si>
  <si>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</si>
  <si>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</si>
  <si>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</si>
  <si>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</si>
  <si>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</si>
  <si>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</si>
  <si>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</si>
  <si>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</si>
  <si>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</si>
  <si>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</si>
  <si>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</si>
  <si>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</si>
  <si>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</si>
  <si>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</si>
  <si>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</si>
  <si>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</si>
  <si>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</si>
  <si>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</si>
  <si>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</si>
  <si>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</si>
  <si>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</si>
  <si>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</si>
  <si>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</si>
  <si>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</si>
  <si>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</si>
  <si>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</si>
  <si>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</si>
  <si>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</si>
  <si>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</si>
  <si>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</si>
  <si>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</si>
  <si>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</si>
  <si>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</si>
  <si>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</si>
  <si>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</si>
  <si>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</si>
  <si>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</si>
  <si>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</si>
  <si>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</si>
  <si>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</si>
  <si>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</si>
  <si>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</si>
  <si>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</si>
  <si>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</si>
  <si>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</si>
  <si>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</si>
  <si>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</si>
  <si>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</si>
  <si>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</si>
  <si>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</si>
  <si>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</si>
  <si>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</si>
  <si>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</si>
  <si>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</si>
  <si>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</si>
  <si>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</si>
  <si>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</si>
  <si>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</si>
  <si>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</si>
  <si>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</si>
  <si>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</si>
  <si>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</si>
  <si>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</si>
  <si>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</si>
  <si>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</si>
  <si>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</si>
  <si>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</si>
  <si>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</si>
  <si>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</si>
  <si>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</si>
  <si>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</si>
  <si>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</si>
  <si>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</si>
  <si>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</si>
  <si>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</si>
  <si>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</si>
  <si>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</si>
  <si>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</si>
  <si>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</si>
  <si>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</si>
  <si>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</si>
  <si>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</si>
  <si>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</si>
  <si>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</si>
  <si>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</si>
  <si>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</si>
  <si>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</si>
  <si>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</si>
  <si>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</si>
  <si>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</si>
  <si>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</si>
  <si>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</si>
  <si>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</si>
  <si>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</si>
  <si>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</si>
  <si>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</si>
  <si>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</si>
  <si>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</si>
  <si>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</si>
  <si>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</si>
  <si>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</si>
  <si>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</si>
  <si>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</si>
  <si>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</si>
  <si>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</si>
  <si>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</si>
  <si>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</si>
  <si>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</si>
  <si>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</si>
  <si>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</si>
  <si>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</si>
  <si>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</si>
  <si>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</si>
  <si>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</si>
  <si>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</si>
  <si>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</si>
  <si>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</si>
  <si>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</si>
  <si>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</si>
  <si>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</si>
  <si>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</si>
  <si>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</si>
  <si>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</si>
  <si>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</si>
  <si>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</si>
  <si>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</si>
  <si>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</si>
  <si>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</si>
  <si>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</si>
  <si>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</si>
  <si>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</si>
  <si>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</si>
  <si>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</si>
  <si>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</si>
  <si>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</si>
  <si>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</si>
  <si>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</si>
  <si>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</si>
  <si>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</si>
  <si>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</si>
  <si>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</si>
  <si>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</si>
  <si>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</si>
  <si>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</si>
  <si>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</si>
  <si>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</si>
  <si>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</si>
  <si>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</si>
  <si>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</si>
  <si>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</si>
  <si>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</si>
  <si>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</si>
  <si>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</si>
  <si>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</si>
  <si>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</si>
  <si>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</si>
  <si>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</si>
  <si>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</si>
  <si>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</si>
  <si>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</si>
  <si>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</si>
  <si>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</si>
  <si>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</si>
  <si>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</si>
  <si>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</si>
  <si>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</si>
  <si>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</si>
  <si>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</si>
  <si>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</si>
  <si>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</si>
  <si>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</si>
  <si>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</si>
  <si>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</si>
  <si>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</si>
  <si>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</si>
  <si>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</si>
  <si>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</si>
  <si>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</si>
  <si>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</si>
  <si>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</si>
  <si>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</si>
  <si>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</si>
  <si>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</si>
  <si>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</si>
  <si>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</si>
  <si>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</si>
  <si>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</si>
  <si>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</si>
  <si>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</si>
  <si>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</si>
  <si>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</si>
  <si>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</si>
  <si>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</si>
  <si>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</si>
  <si>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</si>
  <si>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</si>
  <si>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</si>
  <si>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</si>
  <si>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</si>
  <si>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</si>
  <si>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</si>
  <si>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</si>
  <si>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</si>
  <si>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</si>
  <si>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</si>
  <si>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</si>
  <si>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</si>
  <si>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</si>
  <si>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</si>
  <si>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</si>
  <si>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</si>
  <si>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</si>
  <si>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</si>
  <si>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</si>
  <si>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</si>
  <si>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</si>
  <si>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</si>
  <si>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</si>
  <si>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</si>
  <si>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</si>
  <si>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</si>
  <si>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</si>
  <si>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</si>
  <si>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</si>
  <si>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</si>
  <si>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</si>
  <si>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</si>
  <si>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</si>
  <si>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</si>
  <si>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</si>
  <si>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</si>
  <si>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</si>
  <si>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</si>
  <si>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</si>
  <si>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</si>
  <si>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</si>
  <si>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</si>
  <si>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</si>
  <si>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</si>
  <si>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</si>
  <si>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</si>
  <si>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</si>
  <si>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</si>
  <si>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</si>
  <si>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</si>
  <si>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</si>
  <si>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</si>
  <si>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</si>
  <si>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</si>
  <si>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</si>
  <si>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</si>
  <si>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</si>
  <si>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</si>
  <si>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</si>
  <si>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</si>
  <si>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</si>
  <si>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</si>
  <si>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</si>
  <si>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</si>
  <si>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</si>
  <si>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</si>
  <si>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</si>
  <si>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</si>
  <si>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</si>
  <si>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</si>
  <si>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</si>
  <si>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</si>
  <si>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</si>
  <si>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</si>
  <si>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</si>
  <si>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</si>
  <si>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</si>
  <si>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</si>
  <si>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</si>
  <si>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</si>
  <si>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</si>
  <si>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</si>
  <si>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</si>
  <si>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</si>
  <si>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</si>
  <si>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</si>
  <si>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</si>
  <si>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</si>
  <si>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</si>
  <si>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</si>
  <si>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</si>
  <si>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</si>
  <si>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</si>
  <si>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</si>
  <si>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</si>
  <si>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</si>
  <si>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</si>
  <si>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</si>
  <si>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</si>
  <si>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</si>
  <si>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</si>
  <si>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</si>
  <si>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</si>
  <si>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</si>
  <si>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</si>
  <si>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</si>
  <si>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</si>
  <si>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</si>
  <si>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</si>
  <si>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</si>
  <si>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</si>
  <si>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</si>
  <si>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</si>
  <si>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</si>
  <si>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</si>
  <si>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</si>
  <si>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</si>
  <si>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</si>
  <si>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</si>
  <si>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</si>
  <si>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</si>
  <si>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</si>
  <si>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</si>
  <si>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</si>
  <si>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</si>
  <si>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</si>
  <si>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</si>
  <si>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</si>
  <si>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</si>
  <si>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</si>
  <si>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</si>
  <si>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</si>
  <si>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</si>
  <si>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</si>
  <si>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</si>
  <si>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</si>
  <si>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</si>
  <si>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</si>
  <si>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</si>
  <si>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</si>
  <si>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</si>
  <si>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</si>
  <si>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</si>
  <si>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</si>
  <si>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</si>
  <si>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</si>
  <si>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</si>
  <si>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</si>
  <si>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</si>
  <si>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</si>
  <si>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</si>
  <si>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</si>
  <si>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</si>
  <si>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</si>
  <si>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</si>
  <si>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</si>
  <si>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</si>
  <si>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</si>
  <si>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</si>
  <si>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</si>
  <si>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</si>
  <si>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</si>
  <si>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</si>
  <si>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</si>
  <si>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</si>
  <si>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</si>
  <si>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</si>
  <si>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</si>
  <si>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</si>
  <si>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</si>
  <si>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</si>
  <si>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</si>
  <si>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</si>
  <si>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</si>
  <si>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</si>
  <si>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</si>
  <si>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</si>
  <si>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</si>
  <si>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</si>
  <si>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</si>
  <si>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</si>
  <si>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</si>
  <si>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</si>
  <si>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</si>
  <si>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</si>
  <si>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</si>
  <si>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</si>
  <si>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</si>
  <si>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</si>
  <si>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</si>
  <si>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</si>
  <si>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</si>
  <si>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</si>
  <si>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</si>
  <si>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</si>
  <si>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</si>
  <si>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</si>
  <si>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</si>
  <si>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</si>
  <si>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</si>
  <si>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</si>
  <si>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</si>
  <si>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</si>
  <si>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</si>
  <si>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</si>
  <si>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</si>
  <si>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</si>
  <si>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</si>
  <si>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</si>
  <si>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</si>
  <si>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</si>
  <si>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</si>
  <si>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</si>
  <si>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</si>
  <si>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</si>
  <si>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</si>
  <si>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</si>
  <si>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</si>
  <si>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</si>
  <si>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</si>
  <si>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</si>
  <si>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</si>
  <si>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</si>
  <si>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</si>
  <si>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</si>
  <si>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</si>
  <si>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</si>
  <si>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</si>
  <si>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</si>
  <si>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</si>
  <si>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</si>
  <si>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</si>
  <si>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</si>
  <si>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</si>
  <si>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</si>
  <si>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</si>
  <si>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</si>
  <si>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</si>
  <si>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</si>
  <si>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</si>
  <si>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</si>
  <si>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</si>
  <si>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</si>
  <si>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</si>
  <si>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</si>
  <si>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</si>
  <si>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</si>
  <si>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</si>
  <si>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</si>
  <si>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</si>
  <si>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</si>
  <si>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</si>
  <si>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</si>
  <si>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</si>
  <si>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</si>
  <si>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</si>
  <si>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</si>
  <si>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</si>
  <si>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</si>
  <si>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</si>
  <si>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</si>
  <si>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</si>
  <si>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</si>
  <si>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</si>
  <si>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</si>
  <si>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</si>
  <si>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</si>
  <si>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</si>
  <si>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</si>
  <si>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</si>
  <si>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</si>
  <si>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</si>
  <si>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</si>
  <si>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</si>
  <si>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</si>
  <si>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</si>
  <si>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</si>
  <si>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</si>
  <si>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</si>
  <si>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</si>
  <si>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</si>
  <si>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</si>
  <si>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</si>
  <si>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</si>
  <si>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</si>
  <si>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</si>
  <si>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</si>
  <si>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</si>
  <si>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</si>
  <si>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</si>
  <si>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</si>
  <si>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</si>
  <si>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</si>
  <si>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</si>
  <si>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</si>
  <si>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</si>
  <si>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</si>
  <si>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</si>
  <si>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</si>
  <si>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</si>
  <si>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</si>
  <si>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</si>
  <si>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</si>
  <si>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</si>
  <si>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</si>
  <si>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</si>
  <si>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</si>
  <si>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</si>
  <si>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</si>
  <si>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</si>
  <si>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</si>
  <si>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</si>
  <si>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</si>
  <si>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</si>
  <si>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</si>
  <si>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</si>
  <si>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</si>
  <si>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</si>
  <si>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</si>
  <si>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</si>
  <si>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</si>
  <si>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</si>
  <si>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</si>
  <si>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</si>
  <si>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</si>
  <si>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</si>
  <si>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</si>
  <si>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</si>
  <si>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</si>
  <si>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</si>
  <si>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</si>
  <si>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</si>
  <si>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</si>
  <si>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</si>
  <si>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</si>
  <si>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</si>
  <si>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</si>
  <si>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</si>
  <si>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</si>
  <si>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</si>
  <si>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</si>
  <si>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</si>
  <si>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</si>
  <si>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</si>
  <si>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</si>
  <si>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</si>
  <si>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</si>
  <si>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</si>
  <si>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</si>
  <si>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</si>
  <si>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</si>
  <si>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</si>
  <si>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</si>
  <si>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</si>
  <si>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</si>
  <si>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</si>
  <si>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</si>
  <si>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</si>
  <si>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</si>
  <si>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</si>
  <si>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</si>
  <si>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</si>
  <si>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</si>
  <si>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</si>
  <si>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</si>
  <si>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</si>
  <si>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</si>
  <si>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</si>
  <si>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</si>
  <si>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</si>
  <si>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</si>
  <si>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</si>
  <si>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</si>
  <si>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</si>
  <si>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</si>
  <si>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</si>
  <si>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</si>
  <si>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</si>
  <si>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</si>
  <si>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</si>
  <si>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</si>
  <si>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</si>
  <si>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</si>
  <si>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</si>
  <si>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</si>
  <si>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</si>
  <si>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</si>
  <si>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</si>
  <si>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</si>
  <si>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</si>
  <si>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</si>
  <si>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</si>
  <si>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</si>
  <si>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</si>
  <si>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</si>
  <si>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</si>
  <si>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</si>
  <si>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</si>
  <si>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</si>
  <si>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</si>
  <si>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</si>
  <si>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</si>
  <si>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</si>
  <si>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</si>
  <si>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</si>
  <si>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</si>
  <si>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</si>
  <si>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</si>
  <si>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</si>
  <si>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</si>
  <si>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</si>
  <si>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</si>
  <si>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</si>
  <si>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</si>
  <si>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</si>
  <si>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</si>
  <si>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</si>
  <si>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</si>
  <si>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</si>
  <si>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</si>
  <si>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</si>
  <si>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</si>
  <si>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</si>
  <si>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</si>
  <si>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</si>
  <si>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</si>
  <si>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</si>
  <si>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</si>
  <si>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</si>
  <si>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</si>
  <si>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</si>
  <si>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</si>
  <si>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</si>
  <si>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</si>
  <si>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</si>
  <si>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</si>
  <si>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</si>
  <si>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</si>
  <si>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</si>
  <si>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</si>
  <si>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</si>
  <si>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</si>
  <si>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</si>
  <si>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</si>
  <si>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</si>
  <si>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</si>
  <si>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</si>
  <si>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</si>
  <si>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</si>
  <si>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</si>
  <si>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</si>
  <si>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</si>
  <si>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</si>
  <si>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</si>
  <si>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</si>
  <si>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</si>
  <si>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</si>
  <si>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</si>
  <si>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</si>
  <si>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</si>
  <si>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</si>
  <si>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</si>
  <si>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</si>
  <si>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</si>
  <si>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</si>
  <si>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</si>
  <si>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</si>
  <si>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</si>
  <si>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</si>
  <si>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</si>
  <si>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</si>
  <si>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</si>
  <si>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</si>
  <si>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</si>
  <si>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</si>
  <si>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</si>
  <si>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</si>
  <si>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</si>
  <si>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</si>
  <si>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</si>
  <si>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</si>
  <si>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</si>
  <si>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</si>
  <si>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</si>
  <si>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</si>
  <si>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</si>
  <si>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</si>
  <si>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</si>
  <si>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</si>
  <si>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</si>
  <si>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</si>
  <si>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</si>
  <si>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</si>
  <si>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</si>
  <si>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</si>
  <si>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</si>
  <si>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</si>
  <si>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</si>
  <si>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</si>
  <si>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</si>
  <si>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</si>
  <si>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</si>
  <si>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</si>
  <si>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</si>
  <si>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</si>
  <si>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</si>
  <si>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</si>
  <si>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</si>
  <si>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</si>
  <si>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</si>
  <si>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</si>
  <si>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</si>
  <si>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</si>
  <si>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</si>
  <si>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</si>
  <si>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</si>
  <si>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</si>
  <si>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</si>
  <si>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</si>
  <si>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</si>
  <si>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</si>
  <si>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</si>
  <si>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</si>
  <si>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</si>
  <si>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</si>
  <si>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</si>
  <si>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</si>
  <si>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</si>
  <si>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</si>
  <si>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</si>
  <si>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</si>
  <si>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</si>
  <si>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</si>
  <si>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</si>
  <si>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</si>
  <si>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</si>
  <si>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</si>
  <si>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</si>
  <si>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</si>
  <si>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</si>
  <si>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</si>
  <si>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</si>
  <si>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</si>
  <si>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</si>
  <si>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</si>
  <si>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</si>
  <si>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</si>
  <si>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</si>
  <si>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</si>
  <si>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</si>
  <si>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</si>
  <si>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</si>
  <si>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</si>
  <si>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</si>
  <si>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</si>
  <si>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</si>
  <si>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</si>
  <si>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</si>
  <si>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</si>
  <si>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</si>
  <si>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</si>
  <si>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</si>
  <si>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</si>
  <si>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</si>
  <si>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</si>
  <si>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</si>
  <si>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</si>
  <si>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</si>
  <si>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</si>
  <si>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</si>
  <si>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</si>
  <si>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</si>
  <si>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</si>
  <si>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</si>
  <si>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</si>
  <si>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</si>
  <si>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</si>
  <si>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</si>
  <si>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</si>
  <si>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</si>
  <si>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</si>
  <si>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</si>
  <si>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</si>
  <si>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</si>
  <si>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</si>
  <si>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</si>
  <si>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</si>
  <si>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</si>
  <si>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</si>
  <si>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</si>
  <si>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</si>
  <si>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</si>
  <si>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</si>
  <si>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</si>
  <si>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</si>
  <si>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</si>
  <si>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</si>
  <si>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</si>
  <si>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</si>
  <si>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</si>
  <si>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</si>
  <si>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</si>
  <si>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</si>
  <si>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</si>
  <si>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</si>
  <si>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</si>
  <si>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</si>
  <si>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</si>
  <si>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</si>
  <si>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</si>
  <si>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</si>
  <si>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</si>
  <si>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</si>
  <si>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</si>
  <si>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</si>
  <si>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</si>
  <si>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</si>
  <si>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</si>
  <si>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</si>
  <si>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</si>
  <si>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</si>
  <si>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</si>
  <si>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</si>
  <si>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</si>
  <si>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</si>
  <si>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</si>
  <si>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</si>
  <si>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</si>
  <si>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</si>
  <si>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</si>
  <si>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</si>
  <si>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</si>
  <si>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</si>
  <si>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</si>
  <si>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</si>
  <si>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</si>
  <si>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</si>
  <si>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</si>
  <si>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</si>
  <si>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</si>
  <si>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</si>
  <si>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</si>
  <si>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</si>
  <si>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</si>
  <si>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</si>
  <si>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</si>
  <si>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</si>
  <si>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</si>
  <si>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</si>
  <si>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</si>
  <si>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</si>
  <si>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</si>
  <si>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</si>
  <si>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</si>
  <si>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</si>
  <si>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</si>
  <si>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</si>
  <si>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</si>
  <si>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</si>
  <si>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</si>
  <si>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</si>
  <si>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</si>
  <si>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</si>
  <si>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</si>
  <si>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</si>
  <si>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</si>
  <si>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</si>
  <si>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</si>
  <si>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</si>
  <si>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</si>
  <si>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</si>
  <si>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</si>
  <si>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</si>
  <si>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</si>
  <si>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</si>
  <si>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</si>
  <si>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</si>
  <si>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</si>
  <si>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</si>
  <si>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</si>
  <si>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</si>
  <si>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</si>
  <si>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</si>
  <si>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</si>
  <si>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</si>
  <si>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</si>
  <si>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</si>
  <si>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</si>
  <si>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</si>
  <si>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</si>
  <si>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</si>
  <si>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</si>
  <si>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</si>
  <si>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</si>
  <si>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</si>
  <si>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</si>
  <si>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</si>
  <si>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</si>
  <si>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</si>
  <si>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</si>
  <si>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</si>
  <si>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</si>
  <si>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</si>
  <si>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</si>
  <si>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</si>
  <si>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</si>
  <si>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</si>
  <si>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</si>
  <si>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</si>
  <si>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</si>
  <si>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</si>
  <si>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</si>
  <si>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</si>
  <si>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</si>
  <si>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</si>
  <si>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</si>
  <si>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</si>
  <si>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</si>
  <si>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</si>
  <si>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</si>
  <si>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</si>
  <si>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</si>
  <si>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</si>
  <si>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</si>
  <si>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</si>
  <si>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</si>
  <si>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</si>
  <si>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</si>
  <si>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</si>
  <si>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</si>
  <si>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</si>
  <si>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</si>
  <si>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</si>
  <si>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</si>
  <si>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</si>
  <si>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</si>
  <si>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</si>
  <si>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</si>
  <si>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</si>
  <si>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</si>
  <si>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</si>
  <si>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</si>
  <si>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</si>
  <si>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</si>
  <si>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</si>
  <si>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</si>
  <si>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</si>
  <si>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</si>
  <si>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</si>
  <si>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</si>
  <si>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</si>
  <si>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</si>
  <si>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</si>
  <si>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</si>
  <si>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</si>
  <si>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</si>
  <si>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</si>
  <si>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</si>
  <si>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</si>
  <si>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</si>
  <si>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</si>
  <si>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</si>
  <si>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</si>
  <si>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</si>
  <si>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</si>
  <si>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</si>
  <si>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</si>
  <si>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</si>
  <si>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</si>
  <si>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</si>
  <si>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</si>
  <si>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</si>
  <si>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</si>
  <si>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</si>
  <si>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</si>
  <si>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</si>
  <si>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</si>
  <si>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</si>
  <si>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</si>
  <si>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</si>
  <si>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</si>
  <si>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</si>
  <si>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</si>
  <si>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</si>
  <si>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</si>
  <si>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</si>
  <si>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</si>
  <si>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</si>
  <si>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</si>
  <si>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</si>
  <si>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</si>
  <si>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</si>
  <si>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</si>
  <si>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</si>
  <si>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</si>
  <si>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</si>
  <si>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</si>
  <si>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</si>
  <si>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</si>
  <si>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</si>
  <si>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</si>
  <si>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</si>
  <si>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</si>
  <si>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</si>
  <si>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</si>
  <si>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</si>
  <si>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</si>
  <si>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</si>
  <si>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</si>
  <si>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</si>
  <si>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</si>
  <si>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</si>
  <si>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</si>
  <si>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</si>
  <si>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</si>
  <si>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</si>
  <si>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</si>
  <si>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</si>
  <si>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</si>
  <si>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</si>
  <si>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</si>
  <si>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</si>
  <si>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</si>
  <si>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</si>
  <si>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</si>
  <si>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</si>
  <si>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</si>
  <si>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</si>
  <si>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</si>
  <si>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</si>
  <si>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</si>
  <si>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</si>
  <si>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</si>
  <si>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</si>
  <si>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</si>
  <si>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</si>
  <si>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</si>
  <si>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</si>
  <si>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</si>
  <si>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</si>
  <si>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</si>
  <si>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</si>
  <si>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</si>
  <si>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</si>
  <si>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</si>
  <si>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</si>
  <si>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</si>
  <si>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</si>
  <si>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</si>
  <si>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</si>
  <si>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</si>
  <si>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</si>
  <si>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</si>
  <si>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</si>
  <si>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</si>
  <si>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</si>
  <si>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</si>
  <si>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</si>
  <si>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</si>
  <si>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</si>
  <si>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</si>
  <si>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</si>
  <si>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</si>
  <si>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</si>
  <si>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</si>
  <si>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</si>
  <si>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</si>
  <si>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</si>
  <si>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</si>
  <si>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</si>
  <si>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</si>
  <si>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</si>
  <si>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</si>
  <si>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</si>
  <si>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</si>
  <si>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</si>
  <si>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</si>
  <si>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</si>
  <si>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</si>
  <si>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</si>
  <si>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</si>
  <si>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</si>
  <si>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</si>
  <si>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</si>
  <si>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</si>
  <si>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</si>
  <si>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</si>
  <si>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</si>
  <si>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</si>
  <si>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</si>
  <si>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</si>
  <si>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</si>
  <si>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</si>
  <si>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</si>
  <si>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</si>
  <si>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</si>
  <si>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</si>
  <si>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</si>
  <si>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</si>
  <si>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</si>
  <si>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</si>
  <si>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</si>
  <si>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</si>
  <si>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</si>
  <si>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</si>
  <si>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</si>
  <si>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</si>
  <si>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</si>
  <si>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</si>
  <si>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</si>
  <si>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</si>
  <si>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</si>
  <si>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</si>
  <si>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</si>
  <si>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</si>
  <si>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</si>
  <si>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</si>
  <si>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</si>
  <si>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</si>
  <si>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</si>
  <si>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</si>
  <si>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</si>
  <si>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</si>
  <si>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</si>
  <si>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</si>
  <si>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</si>
  <si>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</si>
  <si>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</si>
  <si>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</si>
  <si>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</si>
  <si>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</si>
  <si>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</si>
  <si>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</si>
  <si>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</si>
  <si>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</si>
  <si>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</si>
  <si>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</si>
  <si>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</si>
  <si>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</si>
  <si>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</si>
  <si>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</si>
  <si>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</si>
  <si>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</si>
  <si>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</si>
  <si>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</si>
  <si>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</si>
  <si>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</si>
  <si>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</si>
  <si>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</si>
  <si>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</si>
  <si>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</si>
  <si>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</si>
  <si>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</si>
  <si>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</si>
  <si>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</si>
  <si>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</si>
  <si>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</si>
  <si>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</si>
  <si>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</si>
  <si>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</si>
  <si>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</si>
  <si>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</si>
  <si>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</si>
  <si>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</si>
  <si>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</si>
  <si>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</si>
  <si>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</si>
  <si>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</si>
  <si>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</si>
  <si>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</si>
  <si>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</si>
  <si>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</si>
  <si>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</si>
  <si>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</si>
  <si>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</si>
  <si>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</si>
  <si>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</si>
  <si>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</si>
  <si>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</si>
  <si>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</si>
  <si>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</si>
  <si>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</si>
  <si>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</si>
  <si>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</si>
  <si>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</si>
  <si>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</si>
  <si>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</si>
  <si>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</si>
  <si>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</si>
  <si>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</si>
  <si>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</si>
  <si>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</si>
  <si>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</si>
  <si>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</si>
  <si>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</si>
  <si>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</si>
  <si>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</si>
  <si>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</si>
  <si>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</si>
  <si>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</si>
  <si>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</si>
  <si>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</si>
  <si>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</si>
  <si>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</si>
  <si>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</si>
  <si>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</si>
  <si>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</si>
  <si>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</si>
  <si>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</si>
  <si>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</si>
  <si>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</si>
  <si>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</si>
  <si>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</si>
  <si>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</si>
  <si>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</si>
  <si>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</si>
  <si>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</si>
  <si>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</si>
  <si>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</si>
  <si>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</si>
  <si>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</si>
  <si>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</si>
  <si>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</si>
  <si>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</si>
  <si>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</si>
  <si>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</si>
  <si>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</si>
  <si>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</si>
  <si>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</si>
  <si>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</si>
  <si>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</si>
  <si>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</si>
  <si>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</si>
  <si>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</si>
  <si>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</si>
  <si>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</si>
  <si>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</si>
  <si>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</si>
  <si>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</si>
  <si>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</si>
  <si>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</si>
  <si>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</si>
  <si>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</si>
  <si>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</si>
  <si>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</si>
  <si>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</si>
  <si>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</si>
  <si>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</si>
  <si>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</si>
  <si>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</si>
  <si>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</si>
  <si>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</si>
  <si>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</si>
  <si>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</si>
  <si>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</si>
  <si>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</si>
  <si>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</si>
  <si>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</si>
  <si>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</si>
  <si>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</si>
  <si>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</si>
  <si>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</si>
  <si>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</si>
  <si>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</si>
  <si>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</si>
  <si>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</si>
  <si>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</si>
  <si>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</si>
  <si>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</si>
  <si>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</si>
  <si>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</si>
  <si>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</si>
  <si>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</si>
  <si>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</si>
  <si>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</si>
  <si>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</si>
  <si>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</si>
  <si>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</si>
  <si>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</si>
  <si>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</si>
  <si>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</si>
  <si>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</si>
  <si>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</si>
  <si>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</si>
  <si>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</si>
  <si>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</si>
  <si>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</si>
  <si>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</si>
  <si>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</si>
  <si>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</si>
  <si>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</si>
  <si>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</si>
  <si>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</si>
  <si>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</si>
  <si>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</si>
  <si>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</si>
  <si>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</si>
  <si>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</si>
  <si>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</si>
  <si>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</si>
  <si>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</si>
  <si>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</si>
  <si>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</si>
  <si>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</si>
  <si>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</si>
  <si>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</si>
  <si>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</si>
  <si>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</si>
  <si>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</si>
  <si>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</si>
  <si>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</si>
  <si>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</si>
  <si>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</si>
  <si>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</si>
  <si>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</si>
  <si>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</si>
  <si>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</si>
  <si>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</si>
  <si>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</si>
  <si>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</si>
  <si>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</si>
  <si>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</si>
  <si>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</si>
  <si>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</si>
  <si>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</si>
  <si>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</si>
  <si>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</si>
  <si>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</si>
  <si>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</si>
  <si>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</si>
  <si>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</si>
  <si>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</si>
  <si>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</si>
  <si>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</si>
  <si>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</si>
  <si>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</si>
  <si>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</si>
  <si>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</si>
  <si>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</si>
  <si>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</si>
  <si>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</si>
  <si>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</si>
  <si>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</si>
  <si>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</si>
  <si>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</si>
  <si>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</si>
  <si>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</si>
  <si>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</si>
  <si>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</si>
  <si>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</si>
  <si>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</si>
  <si>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</si>
  <si>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</si>
  <si>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</si>
  <si>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</si>
  <si>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</si>
  <si>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</si>
  <si>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</si>
  <si>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</si>
  <si>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</si>
  <si>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</si>
  <si>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</si>
  <si>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</si>
  <si>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</si>
  <si>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</si>
  <si>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</si>
  <si>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</si>
  <si>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</si>
  <si>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</si>
  <si>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</si>
  <si>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</si>
  <si>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</si>
  <si>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</si>
  <si>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</si>
  <si>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</si>
  <si>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</si>
  <si>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</si>
  <si>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</si>
  <si>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</si>
  <si>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</si>
  <si>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</si>
  <si>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</si>
  <si>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</si>
  <si>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</si>
  <si>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</si>
  <si>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</si>
  <si>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</si>
  <si>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</si>
  <si>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</si>
  <si>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</si>
  <si>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</si>
  <si>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</si>
  <si>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</si>
  <si>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</si>
  <si>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</si>
  <si>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</si>
  <si>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</si>
  <si>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</si>
  <si>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</si>
  <si>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</si>
  <si>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</si>
  <si>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</si>
  <si>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</si>
  <si>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</si>
  <si>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</si>
  <si>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</si>
  <si>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</si>
  <si>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</si>
  <si>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</si>
  <si>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</si>
  <si>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</si>
  <si>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</si>
  <si>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</si>
  <si>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</si>
  <si>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</si>
  <si>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</si>
  <si>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</si>
  <si>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</si>
  <si>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</si>
  <si>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</si>
  <si>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</si>
  <si>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</si>
  <si>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</si>
  <si>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</si>
  <si>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</si>
  <si>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</si>
  <si>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</si>
  <si>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</si>
  <si>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</si>
  <si>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</si>
  <si>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</si>
  <si>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</si>
  <si>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</si>
  <si>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</si>
  <si>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</si>
  <si>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</si>
  <si>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</si>
  <si>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</si>
  <si>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</si>
  <si>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</si>
  <si>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</si>
  <si>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</si>
  <si>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</si>
  <si>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</si>
  <si>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</si>
  <si>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</si>
  <si>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</si>
  <si>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</si>
  <si>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</si>
  <si>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</si>
  <si>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</si>
  <si>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</si>
  <si>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</si>
  <si>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</si>
  <si>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t>*the safe harbor deadline to qualify for the more relaxed safe harbor restrictions is July 4, 2026. We can't assign half year values, therefore we assume 100% through 2026 with a 4 year window, meaning projects finishing construction by the end of calendar year 2030 can claim the credit.</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</si>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</sst>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6">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0" fillId="2" borderId="0" xfId="0" applyFill="1"/>
    <xf numFmtId="0" fontId="0" fillId="0" borderId="0" xfId="0"/>
    <xf numFmtId="0" fontId="13" fillId="2" borderId="0" xfId="0" applyFont="1" applyFill="1" applyAlignment="1">
      <alignment horizontal="center"/>
    </xf>
    <xf numFmtId="0" fontId="38" fillId="12" borderId="15" xfId="0" applyFont="1" applyFill="1" applyBorder="1" applyAlignment="1">
      <alignment horizontal="center" vertical="center" wrapText="1"/>
    </xf>
    <xf numFmtId="0" fontId="0" fillId="0" borderId="16" xfId="0" applyBorder="1"/>
    <xf numFmtId="0" fontId="30" fillId="0" borderId="76" xfId="0" applyFont="1" applyBorder="1" applyAlignment="1">
      <alignment horizontal="center" vertical="top" wrapText="1"/>
    </xf>
    <xf numFmtId="0" fontId="0" fillId="0" borderId="77"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93" xfId="0" applyBorder="1"/>
    <xf numFmtId="0" fontId="0" fillId="0" borderId="100" xfId="0" applyBorder="1"/>
    <xf numFmtId="0" fontId="38" fillId="12" borderId="136" xfId="0" applyFont="1" applyFill="1" applyBorder="1" applyAlignment="1">
      <alignment horizontal="center" vertical="center" wrapText="1"/>
    </xf>
    <xf numFmtId="0" fontId="0" fillId="0" borderId="66"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0" fillId="0" borderId="131" xfId="0" applyFont="1" applyBorder="1"/>
    <xf numFmtId="0" fontId="0" fillId="0" borderId="78" xfId="0" applyBorder="1"/>
    <xf numFmtId="0" fontId="38" fillId="23" borderId="0" xfId="0" applyFont="1" applyFill="1" applyAlignment="1">
      <alignment horizontal="center" vertical="center" textRotation="90" wrapText="1"/>
    </xf>
    <xf numFmtId="0" fontId="30" fillId="0" borderId="0" xfId="0" applyFont="1"/>
    <xf numFmtId="0" fontId="2" fillId="0" borderId="79" xfId="1" applyBorder="1" applyAlignment="1">
      <alignment horizontal="center" wrapText="1"/>
    </xf>
    <xf numFmtId="0" fontId="40" fillId="0" borderId="17" xfId="0" applyFont="1" applyBorder="1"/>
    <xf numFmtId="0" fontId="0" fillId="0" borderId="17" xfId="0" applyBorder="1"/>
    <xf numFmtId="0" fontId="38" fillId="15" borderId="24" xfId="0" applyFont="1" applyFill="1" applyBorder="1" applyAlignment="1">
      <alignment horizontal="center"/>
    </xf>
    <xf numFmtId="0" fontId="30" fillId="0" borderId="132" xfId="0" applyFont="1" applyBorder="1"/>
    <xf numFmtId="0" fontId="0" fillId="0" borderId="133" xfId="0" applyBorder="1"/>
    <xf numFmtId="0" fontId="0" fillId="0" borderId="124" xfId="0" applyBorder="1"/>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35" xfId="0" applyBorder="1"/>
    <xf numFmtId="0" fontId="0" fillId="0" borderId="129" xfId="0" applyBorder="1"/>
    <xf numFmtId="0" fontId="32" fillId="0" borderId="122" xfId="0" applyFont="1" applyBorder="1" applyAlignment="1">
      <alignment horizontal="center" vertical="top"/>
    </xf>
    <xf numFmtId="0" fontId="0" fillId="0" borderId="119" xfId="0" applyBorder="1"/>
    <xf numFmtId="0" fontId="38" fillId="15" borderId="0" xfId="0" applyFont="1" applyFill="1" applyAlignment="1">
      <alignment horizontal="center"/>
    </xf>
    <xf numFmtId="0" fontId="30" fillId="0" borderId="76" xfId="0" applyFont="1" applyBorder="1" applyAlignment="1">
      <alignment horizontal="center" vertical="top"/>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38" fillId="12" borderId="0" xfId="0" applyFont="1" applyFill="1" applyAlignment="1">
      <alignment horizontal="center" vertical="center" wrapText="1"/>
    </xf>
    <xf numFmtId="0" fontId="30" fillId="0" borderId="125" xfId="0" applyFont="1" applyBorder="1" applyAlignment="1">
      <alignment horizontal="center" vertical="top"/>
    </xf>
    <xf numFmtId="0" fontId="0" fillId="0" borderId="123" xfId="0" applyBorder="1"/>
    <xf numFmtId="0" fontId="32" fillId="25" borderId="0" xfId="0" applyFont="1" applyFill="1" applyAlignment="1">
      <alignment horizontal="center" vertical="center" textRotation="90"/>
    </xf>
    <xf numFmtId="0" fontId="32" fillId="0" borderId="116" xfId="0" applyFont="1" applyBorder="1" applyAlignment="1">
      <alignment horizontal="left" vertical="center"/>
    </xf>
    <xf numFmtId="0" fontId="49" fillId="0" borderId="145" xfId="0" applyFont="1" applyBorder="1" applyAlignment="1">
      <alignment horizontal="center" vertical="top" wrapText="1"/>
    </xf>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32" fillId="22" borderId="70" xfId="0" applyFont="1" applyFill="1" applyBorder="1" applyAlignment="1">
      <alignment horizontal="center" vertical="center" textRotation="90"/>
    </xf>
    <xf numFmtId="0" fontId="0" fillId="0" borderId="70" xfId="0" applyBorder="1"/>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8" fillId="12" borderId="70" xfId="0" applyFont="1" applyFill="1" applyBorder="1" applyAlignment="1">
      <alignment horizontal="center" vertical="center" wrapText="1"/>
    </xf>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8" fillId="19" borderId="0" xfId="0" applyFont="1" applyFill="1" applyAlignment="1">
      <alignment horizontal="center" vertical="center" textRotation="90"/>
    </xf>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32" fillId="0" borderId="137" xfId="0" applyFont="1" applyBorder="1" applyAlignment="1">
      <alignment horizontal="center"/>
    </xf>
    <xf numFmtId="0" fontId="0" fillId="0" borderId="38" xfId="0" applyBorder="1"/>
    <xf numFmtId="0" fontId="0" fillId="0" borderId="39" xfId="0" applyBorder="1"/>
    <xf numFmtId="0" fontId="30" fillId="0" borderId="76" xfId="0" applyFont="1" applyBorder="1"/>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76" xfId="0" applyFont="1" applyBorder="1" applyAlignment="1">
      <alignment horizontal="center"/>
    </xf>
    <xf numFmtId="0" fontId="30" fillId="0" borderId="79" xfId="0" applyFont="1" applyBorder="1"/>
    <xf numFmtId="0" fontId="30" fillId="0" borderId="77" xfId="0" applyFont="1" applyBorder="1" applyAlignment="1">
      <alignment horizontal="center" vertical="center" wrapText="1"/>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8" fillId="15" borderId="23" xfId="0" applyFont="1" applyFill="1" applyBorder="1" applyAlignment="1">
      <alignment horizontal="center"/>
    </xf>
    <xf numFmtId="0" fontId="0" fillId="0" borderId="23" xfId="0"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16" fillId="0" borderId="0" xfId="9"/>
    <xf numFmtId="0" fontId="7" fillId="0" borderId="0" xfId="9" applyFont="1"/>
    <xf numFmtId="0" fontId="23" fillId="0" borderId="5" xfId="10" applyFont="1">
      <alignment wrapText="1"/>
    </xf>
    <xf numFmtId="0" fontId="0" fillId="0" borderId="5" xfId="0" applyBorder="1"/>
    <xf numFmtId="0" fontId="0" fillId="0" borderId="0" xfId="0" applyNumberFormat="1"/>
    <xf numFmtId="0" fontId="36" fillId="0" borderId="0" xfId="0" applyNumberFormat="1" applyFont="1" applyAlignment="1">
      <alignment vertic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30" workbookViewId="0">
      <selection activeCell="B43" sqref="B43"/>
    </sheetView>
  </sheetViews>
  <sheetFormatPr defaultColWidth="9.265625" defaultRowHeight="14.25" x14ac:dyDescent="0.45"/>
  <cols>
    <col min="2" max="2" width="83.265625" customWidth="1"/>
  </cols>
  <sheetData>
    <row r="1" spans="1:2" x14ac:dyDescent="0.45">
      <c r="A1" s="1" t="s">
        <v>0</v>
      </c>
    </row>
    <row r="2" spans="1:2" x14ac:dyDescent="0.45">
      <c r="A2" s="1" t="s">
        <v>1</v>
      </c>
    </row>
    <row r="3" spans="1:2" x14ac:dyDescent="0.45">
      <c r="A3" s="1" t="s">
        <v>2</v>
      </c>
    </row>
    <row r="4" spans="1:2" x14ac:dyDescent="0.45">
      <c r="A4" s="1" t="s">
        <v>3</v>
      </c>
    </row>
    <row r="5" spans="1:2" x14ac:dyDescent="0.45">
      <c r="A5" s="1" t="s">
        <v>4</v>
      </c>
    </row>
    <row r="7" spans="1:2" x14ac:dyDescent="0.45">
      <c r="A7" s="1" t="s">
        <v>5</v>
      </c>
      <c r="B7" s="27" t="s">
        <v>6</v>
      </c>
    </row>
    <row r="8" spans="1:2" x14ac:dyDescent="0.45">
      <c r="B8" t="s">
        <v>7</v>
      </c>
    </row>
    <row r="9" spans="1:2" x14ac:dyDescent="0.45">
      <c r="B9" s="2">
        <v>2014</v>
      </c>
    </row>
    <row r="10" spans="1:2" x14ac:dyDescent="0.45">
      <c r="B10" t="s">
        <v>8</v>
      </c>
    </row>
    <row r="11" spans="1:2" x14ac:dyDescent="0.45">
      <c r="B11" s="17" t="s">
        <v>9</v>
      </c>
    </row>
    <row r="12" spans="1:2" x14ac:dyDescent="0.45">
      <c r="B12" t="s">
        <v>10</v>
      </c>
    </row>
    <row r="14" spans="1:2" x14ac:dyDescent="0.45">
      <c r="B14" s="27" t="s">
        <v>11</v>
      </c>
    </row>
    <row r="15" spans="1:2" x14ac:dyDescent="0.45">
      <c r="B15" t="s">
        <v>12</v>
      </c>
    </row>
    <row r="16" spans="1:2" x14ac:dyDescent="0.45">
      <c r="B16" s="2">
        <v>2015</v>
      </c>
    </row>
    <row r="17" spans="2:2" x14ac:dyDescent="0.45">
      <c r="B17" t="s">
        <v>13</v>
      </c>
    </row>
    <row r="18" spans="2:2" x14ac:dyDescent="0.45">
      <c r="B18" s="17" t="s">
        <v>14</v>
      </c>
    </row>
    <row r="20" spans="2:2" x14ac:dyDescent="0.45">
      <c r="B20" s="27" t="s">
        <v>15</v>
      </c>
    </row>
    <row r="21" spans="2:2" x14ac:dyDescent="0.45">
      <c r="B21" t="s">
        <v>16</v>
      </c>
    </row>
    <row r="22" spans="2:2" x14ac:dyDescent="0.45">
      <c r="B22" s="2">
        <v>2020</v>
      </c>
    </row>
    <row r="23" spans="2:2" x14ac:dyDescent="0.45">
      <c r="B23" t="s">
        <v>17</v>
      </c>
    </row>
    <row r="24" spans="2:2" x14ac:dyDescent="0.45">
      <c r="B24" s="17" t="s">
        <v>18</v>
      </c>
    </row>
    <row r="26" spans="2:2" x14ac:dyDescent="0.45">
      <c r="B26" s="27" t="s">
        <v>19</v>
      </c>
    </row>
    <row r="27" spans="2:2" x14ac:dyDescent="0.45">
      <c r="B27" t="s">
        <v>20</v>
      </c>
    </row>
    <row r="28" spans="2:2" x14ac:dyDescent="0.45">
      <c r="B28" s="2">
        <v>2015</v>
      </c>
    </row>
    <row r="29" spans="2:2" x14ac:dyDescent="0.45">
      <c r="B29" t="s">
        <v>21</v>
      </c>
    </row>
    <row r="30" spans="2:2" x14ac:dyDescent="0.45">
      <c r="B30" s="17" t="s">
        <v>22</v>
      </c>
    </row>
    <row r="32" spans="2:2" x14ac:dyDescent="0.45">
      <c r="B32" s="27" t="s">
        <v>23</v>
      </c>
    </row>
    <row r="33" spans="2:2" x14ac:dyDescent="0.45">
      <c r="B33" t="s">
        <v>24</v>
      </c>
    </row>
    <row r="34" spans="2:2" x14ac:dyDescent="0.45">
      <c r="B34" s="2">
        <v>2015</v>
      </c>
    </row>
    <row r="35" spans="2:2" x14ac:dyDescent="0.45">
      <c r="B35" t="s">
        <v>25</v>
      </c>
    </row>
    <row r="36" spans="2:2" x14ac:dyDescent="0.45">
      <c r="B36" s="17" t="s">
        <v>26</v>
      </c>
    </row>
    <row r="37" spans="2:2" x14ac:dyDescent="0.45">
      <c r="B37" t="s">
        <v>27</v>
      </c>
    </row>
    <row r="39" spans="2:2" x14ac:dyDescent="0.45">
      <c r="B39" s="27" t="s">
        <v>28</v>
      </c>
    </row>
    <row r="40" spans="2:2" x14ac:dyDescent="0.45">
      <c r="B40" t="s">
        <v>29</v>
      </c>
    </row>
    <row r="41" spans="2:2" x14ac:dyDescent="0.45">
      <c r="B41" s="2" t="s">
        <v>1818</v>
      </c>
    </row>
    <row r="42" spans="2:2" x14ac:dyDescent="0.45">
      <c r="B42" t="s">
        <v>1819</v>
      </c>
    </row>
    <row r="43" spans="2:2" x14ac:dyDescent="0.45">
      <c r="B43" s="17" t="s">
        <v>30</v>
      </c>
    </row>
    <row r="44" spans="2:2" x14ac:dyDescent="0.45">
      <c r="B44" t="s">
        <v>31</v>
      </c>
    </row>
    <row r="46" spans="2:2" x14ac:dyDescent="0.45">
      <c r="B46" s="27" t="s">
        <v>32</v>
      </c>
    </row>
    <row r="47" spans="2:2" x14ac:dyDescent="0.45">
      <c r="B47" t="s">
        <v>33</v>
      </c>
    </row>
    <row r="48" spans="2:2" x14ac:dyDescent="0.45">
      <c r="B48" s="2">
        <v>2020</v>
      </c>
    </row>
    <row r="49" spans="1:2" x14ac:dyDescent="0.45">
      <c r="B49" t="s">
        <v>34</v>
      </c>
    </row>
    <row r="50" spans="1:2" x14ac:dyDescent="0.45">
      <c r="B50" s="17" t="s">
        <v>35</v>
      </c>
    </row>
    <row r="52" spans="1:2" x14ac:dyDescent="0.45">
      <c r="B52" s="27" t="s">
        <v>36</v>
      </c>
    </row>
    <row r="53" spans="1:2" x14ac:dyDescent="0.45">
      <c r="B53" t="s">
        <v>37</v>
      </c>
    </row>
    <row r="54" spans="1:2" x14ac:dyDescent="0.45">
      <c r="B54" s="2">
        <v>2020</v>
      </c>
    </row>
    <row r="55" spans="1:2" x14ac:dyDescent="0.45">
      <c r="B55" t="s">
        <v>38</v>
      </c>
    </row>
    <row r="56" spans="1:2" x14ac:dyDescent="0.45">
      <c r="B56" t="s">
        <v>39</v>
      </c>
    </row>
    <row r="57" spans="1:2" x14ac:dyDescent="0.45">
      <c r="B57" t="s">
        <v>40</v>
      </c>
    </row>
    <row r="60" spans="1:2" x14ac:dyDescent="0.45">
      <c r="A60" s="1" t="s">
        <v>41</v>
      </c>
    </row>
    <row r="61" spans="1:2" x14ac:dyDescent="0.45">
      <c r="A61" t="s">
        <v>42</v>
      </c>
    </row>
    <row r="62" spans="1:2" x14ac:dyDescent="0.45">
      <c r="A62" t="s">
        <v>43</v>
      </c>
    </row>
    <row r="63" spans="1:2" x14ac:dyDescent="0.45">
      <c r="A63" s="1"/>
    </row>
    <row r="64" spans="1:2" x14ac:dyDescent="0.45">
      <c r="A64" t="s">
        <v>44</v>
      </c>
    </row>
    <row r="65" spans="1:1" x14ac:dyDescent="0.45">
      <c r="A65" t="s">
        <v>45</v>
      </c>
    </row>
    <row r="66" spans="1:1" x14ac:dyDescent="0.45">
      <c r="A66" t="s">
        <v>46</v>
      </c>
    </row>
    <row r="67" spans="1:1" x14ac:dyDescent="0.45">
      <c r="A67" t="s">
        <v>47</v>
      </c>
    </row>
    <row r="68" spans="1:1" x14ac:dyDescent="0.45">
      <c r="A68" t="s">
        <v>48</v>
      </c>
    </row>
    <row r="69" spans="1:1" x14ac:dyDescent="0.45">
      <c r="A69" s="1"/>
    </row>
    <row r="70" spans="1:1" x14ac:dyDescent="0.45">
      <c r="A70" t="s">
        <v>49</v>
      </c>
    </row>
    <row r="71" spans="1:1" x14ac:dyDescent="0.45">
      <c r="A71" t="s">
        <v>50</v>
      </c>
    </row>
    <row r="73" spans="1:1" x14ac:dyDescent="0.45">
      <c r="A73" t="s">
        <v>51</v>
      </c>
    </row>
    <row r="74" spans="1:1" x14ac:dyDescent="0.45">
      <c r="A74" t="s">
        <v>52</v>
      </c>
    </row>
    <row r="75" spans="1:1" x14ac:dyDescent="0.45">
      <c r="A75" t="s">
        <v>53</v>
      </c>
    </row>
    <row r="76" spans="1:1" x14ac:dyDescent="0.45">
      <c r="A76" t="s">
        <v>54</v>
      </c>
    </row>
    <row r="78" spans="1:1" x14ac:dyDescent="0.45">
      <c r="A78" t="s">
        <v>55</v>
      </c>
    </row>
    <row r="79" spans="1:1" x14ac:dyDescent="0.45">
      <c r="A79" t="s">
        <v>56</v>
      </c>
    </row>
    <row r="80" spans="1:1" x14ac:dyDescent="0.45">
      <c r="A80" t="s">
        <v>57</v>
      </c>
    </row>
    <row r="81" spans="1:5" x14ac:dyDescent="0.45">
      <c r="A81" t="s">
        <v>58</v>
      </c>
    </row>
    <row r="82" spans="1:5" x14ac:dyDescent="0.45">
      <c r="A82">
        <v>0.97099999999999997</v>
      </c>
    </row>
    <row r="83" spans="1:5" x14ac:dyDescent="0.45">
      <c r="A83" t="s">
        <v>59</v>
      </c>
    </row>
    <row r="85" spans="1:5" x14ac:dyDescent="0.45">
      <c r="A85" t="s">
        <v>60</v>
      </c>
    </row>
    <row r="86" spans="1:5" x14ac:dyDescent="0.45">
      <c r="A86">
        <v>0.89805481563188172</v>
      </c>
    </row>
    <row r="87" spans="1:5" x14ac:dyDescent="0.45">
      <c r="A87" t="s">
        <v>59</v>
      </c>
    </row>
    <row r="88" spans="1:5" x14ac:dyDescent="0.45">
      <c r="A88">
        <v>0.88711067149387013</v>
      </c>
      <c r="B88" t="s">
        <v>61</v>
      </c>
      <c r="E88" s="19"/>
    </row>
    <row r="89" spans="1:5" x14ac:dyDescent="0.45">
      <c r="A89">
        <v>0.78452102304761584</v>
      </c>
      <c r="B89" t="s">
        <v>62</v>
      </c>
      <c r="E89" s="19"/>
    </row>
    <row r="90" spans="1:5" x14ac:dyDescent="0.4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opLeftCell="A158" zoomScale="80" zoomScaleNormal="80" workbookViewId="0">
      <selection activeCell="B162" sqref="B162"/>
    </sheetView>
  </sheetViews>
  <sheetFormatPr defaultColWidth="12.59765625" defaultRowHeight="15.75" customHeight="1" x14ac:dyDescent="0.4"/>
  <cols>
    <col min="1" max="1" width="30.3984375" style="77" customWidth="1"/>
    <col min="2" max="2" width="15.3984375" style="77" customWidth="1"/>
    <col min="3" max="3" width="11.59765625" style="77" customWidth="1"/>
    <col min="4" max="4" width="40.59765625" style="77" bestFit="1" customWidth="1"/>
    <col min="5" max="5" width="10.3984375" style="77" bestFit="1" customWidth="1"/>
    <col min="6" max="13" width="8.265625" style="77" bestFit="1" customWidth="1"/>
    <col min="14" max="36" width="7.59765625" style="77" customWidth="1"/>
    <col min="37" max="16384" width="12.59765625" style="77"/>
  </cols>
  <sheetData>
    <row r="1" spans="1:39" ht="13.15" x14ac:dyDescent="0.4">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4">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3.15" x14ac:dyDescent="0.4">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3.15" x14ac:dyDescent="0.4">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3.15" x14ac:dyDescent="0.4">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3.15" x14ac:dyDescent="0.4">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3.15" x14ac:dyDescent="0.4">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3.15" x14ac:dyDescent="0.4">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3.15" x14ac:dyDescent="0.4">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3.15" x14ac:dyDescent="0.4">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3.15" x14ac:dyDescent="0.4">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3.15" x14ac:dyDescent="0.4">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3.15" x14ac:dyDescent="0.4">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3.15" x14ac:dyDescent="0.4">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3.15" x14ac:dyDescent="0.4">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3.15" x14ac:dyDescent="0.4">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3.15" x14ac:dyDescent="0.4">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3.15" x14ac:dyDescent="0.4">
      <c r="A18" s="86" t="s">
        <v>83</v>
      </c>
      <c r="B18" s="86">
        <v>1</v>
      </c>
      <c r="C18" s="86">
        <v>1</v>
      </c>
      <c r="D18" s="86">
        <v>1</v>
      </c>
      <c r="E18" s="86">
        <v>1</v>
      </c>
      <c r="F18" s="86">
        <v>1</v>
      </c>
      <c r="G18" s="86">
        <v>1</v>
      </c>
      <c r="H18" s="86">
        <v>1</v>
      </c>
      <c r="I18" s="86">
        <v>1</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3.15" x14ac:dyDescent="0.4">
      <c r="A19" s="86" t="s">
        <v>1820</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3.15" x14ac:dyDescent="0.4">
      <c r="A20" s="76"/>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3.15" x14ac:dyDescent="0.4">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3.15" x14ac:dyDescent="0.4">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3.15" x14ac:dyDescent="0.4">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3.15" x14ac:dyDescent="0.4">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3.15" x14ac:dyDescent="0.4">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3.15" x14ac:dyDescent="0.4">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3.15" x14ac:dyDescent="0.4">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3.15" x14ac:dyDescent="0.4">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3.15" x14ac:dyDescent="0.4">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3.15" x14ac:dyDescent="0.4">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3.15" x14ac:dyDescent="0.4">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3.15" x14ac:dyDescent="0.4">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3.15" x14ac:dyDescent="0.4">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3.15" x14ac:dyDescent="0.4">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3.15" x14ac:dyDescent="0.4">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3.15" x14ac:dyDescent="0.4">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3.15" x14ac:dyDescent="0.4">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3.15" x14ac:dyDescent="0.4">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3.15" x14ac:dyDescent="0.4">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3.15" x14ac:dyDescent="0.4">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3.15" x14ac:dyDescent="0.4">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3.15" x14ac:dyDescent="0.4">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3.15" x14ac:dyDescent="0.4">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3.15" x14ac:dyDescent="0.4">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3.15" x14ac:dyDescent="0.4">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3.15" x14ac:dyDescent="0.4">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3.15" x14ac:dyDescent="0.4">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3.15" x14ac:dyDescent="0.4">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3.15" x14ac:dyDescent="0.4">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3.15" x14ac:dyDescent="0.4">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6.25" x14ac:dyDescent="0.4">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3.15" x14ac:dyDescent="0.4">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3.15" x14ac:dyDescent="0.4">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3.15" x14ac:dyDescent="0.4">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3.15" x14ac:dyDescent="0.4">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3.15" x14ac:dyDescent="0.4">
      <c r="A56" s="88" t="s">
        <v>1821</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3.15" x14ac:dyDescent="0.4">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3.15" x14ac:dyDescent="0.4">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3.15" x14ac:dyDescent="0.4">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3.15" x14ac:dyDescent="0.4">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3.15" x14ac:dyDescent="0.4">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3.15" x14ac:dyDescent="0.4">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3.15" x14ac:dyDescent="0.4">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3.15" x14ac:dyDescent="0.4">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3.15" x14ac:dyDescent="0.4">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3.15" x14ac:dyDescent="0.4">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3.15" x14ac:dyDescent="0.4">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3.15" x14ac:dyDescent="0.4">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3.15" x14ac:dyDescent="0.4">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3.15" x14ac:dyDescent="0.4">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3.15" x14ac:dyDescent="0.4">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3.15" x14ac:dyDescent="0.4">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3.15" x14ac:dyDescent="0.4">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3.15" x14ac:dyDescent="0.4">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3.15" x14ac:dyDescent="0.4">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3.15" x14ac:dyDescent="0.4">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5.650000000000006" x14ac:dyDescent="0.4">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3.15" x14ac:dyDescent="0.4">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3.15" x14ac:dyDescent="0.4">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3.15" x14ac:dyDescent="0.4">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3.15" x14ac:dyDescent="0.4">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3.15" x14ac:dyDescent="0.4">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3.15" x14ac:dyDescent="0.4">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2.5" x14ac:dyDescent="0.4">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3.15" x14ac:dyDescent="0.4">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3.15" x14ac:dyDescent="0.4">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3.15" x14ac:dyDescent="0.4">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3.15" x14ac:dyDescent="0.4">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3.15" x14ac:dyDescent="0.4">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3.15" x14ac:dyDescent="0.4">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3.15" x14ac:dyDescent="0.4">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3.15" x14ac:dyDescent="0.4">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3.15" x14ac:dyDescent="0.4">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3.15" x14ac:dyDescent="0.4">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3.15" x14ac:dyDescent="0.4">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3.15" x14ac:dyDescent="0.4">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13.15" x14ac:dyDescent="0.4">
      <c r="A97" s="102" t="s">
        <v>130</v>
      </c>
      <c r="B97" s="76">
        <v>1.6687000000000001</v>
      </c>
      <c r="C97" s="104" t="s">
        <v>1822</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3.15" x14ac:dyDescent="0.4">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6.149999999999999" x14ac:dyDescent="0.7">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6.149999999999999" x14ac:dyDescent="0.7">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3.15" x14ac:dyDescent="0.4">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3.15" x14ac:dyDescent="0.4">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6.149999999999999" x14ac:dyDescent="0.7">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3.15" x14ac:dyDescent="0.4">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3.15" x14ac:dyDescent="0.4">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3.15" x14ac:dyDescent="0.4">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6.25" x14ac:dyDescent="0.4">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3.15" x14ac:dyDescent="0.4">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3.15" x14ac:dyDescent="0.4">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3.15" x14ac:dyDescent="0.4">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13.15" x14ac:dyDescent="0.4">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3.15" x14ac:dyDescent="0.4">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3.15" x14ac:dyDescent="0.4">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13.15" x14ac:dyDescent="0.4">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1</v>
      </c>
      <c r="I114" s="116">
        <f>INDEX(18:18,MATCH(I113-$D$111,16:16,0))</f>
        <v>1</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3.15" x14ac:dyDescent="0.4">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1</v>
      </c>
      <c r="I115" s="116">
        <f t="shared" si="6"/>
        <v>1</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3.15" x14ac:dyDescent="0.4">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3.15" x14ac:dyDescent="0.4">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3.15" x14ac:dyDescent="0.4">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6.25" x14ac:dyDescent="0.4">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23.620381171332561</v>
      </c>
      <c r="I119" s="117">
        <f t="shared" si="7"/>
        <v>23.620381171332561</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3.15" x14ac:dyDescent="0.4">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13.15" x14ac:dyDescent="0.4">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22.90913348859738</v>
      </c>
      <c r="I121" s="117">
        <f t="shared" si="8"/>
        <v>22.90913348859738</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6.25" x14ac:dyDescent="0.4">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3.15" x14ac:dyDescent="0.4">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13.15" x14ac:dyDescent="0.4">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3.15" x14ac:dyDescent="0.4">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3.15" x14ac:dyDescent="0.4">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18.15" x14ac:dyDescent="0.4">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13.15" x14ac:dyDescent="0.4">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3.15" x14ac:dyDescent="0.4">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3.15" x14ac:dyDescent="0.4">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3.15" x14ac:dyDescent="0.4">
      <c r="A131" s="102" t="s">
        <v>160</v>
      </c>
      <c r="B131" s="116">
        <f>B115</f>
        <v>1</v>
      </c>
      <c r="C131" s="116">
        <f t="shared" ref="C131:AC131" si="10">C115</f>
        <v>1</v>
      </c>
      <c r="D131" s="116">
        <f t="shared" si="10"/>
        <v>1</v>
      </c>
      <c r="E131" s="116">
        <f t="shared" si="10"/>
        <v>1</v>
      </c>
      <c r="F131" s="116">
        <f t="shared" si="10"/>
        <v>1</v>
      </c>
      <c r="G131" s="116">
        <f t="shared" si="10"/>
        <v>1</v>
      </c>
      <c r="H131" s="116">
        <f t="shared" si="10"/>
        <v>1</v>
      </c>
      <c r="I131" s="116">
        <f t="shared" si="10"/>
        <v>1</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13.15" x14ac:dyDescent="0.4">
      <c r="A132" s="102" t="s">
        <v>161</v>
      </c>
      <c r="B132" s="116">
        <f>B115</f>
        <v>1</v>
      </c>
      <c r="C132" s="116">
        <f t="shared" ref="C132:AC132" si="11">C115</f>
        <v>1</v>
      </c>
      <c r="D132" s="116">
        <f t="shared" si="11"/>
        <v>1</v>
      </c>
      <c r="E132" s="116">
        <f t="shared" si="11"/>
        <v>1</v>
      </c>
      <c r="F132" s="116">
        <f t="shared" si="11"/>
        <v>1</v>
      </c>
      <c r="G132" s="116">
        <f t="shared" si="11"/>
        <v>1</v>
      </c>
      <c r="H132" s="116">
        <f t="shared" si="11"/>
        <v>1</v>
      </c>
      <c r="I132" s="116">
        <f t="shared" si="11"/>
        <v>1</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3.15" x14ac:dyDescent="0.4">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3.15" x14ac:dyDescent="0.4">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13.15" x14ac:dyDescent="0.4">
      <c r="A135" s="102" t="s">
        <v>164</v>
      </c>
      <c r="B135" s="116">
        <f>B114</f>
        <v>1</v>
      </c>
      <c r="C135" s="116">
        <f t="shared" ref="C135:AC135" si="15">C114</f>
        <v>1</v>
      </c>
      <c r="D135" s="116">
        <f t="shared" si="15"/>
        <v>1</v>
      </c>
      <c r="E135" s="116">
        <f t="shared" si="15"/>
        <v>1</v>
      </c>
      <c r="F135" s="116">
        <f t="shared" si="15"/>
        <v>1</v>
      </c>
      <c r="G135" s="116">
        <f t="shared" si="15"/>
        <v>1</v>
      </c>
      <c r="H135" s="116">
        <f t="shared" si="15"/>
        <v>1</v>
      </c>
      <c r="I135" s="116">
        <f t="shared" si="15"/>
        <v>1</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9.4" x14ac:dyDescent="0.4">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3.15" x14ac:dyDescent="0.4">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3.15" x14ac:dyDescent="0.4">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3.15" x14ac:dyDescent="0.4">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3.15" x14ac:dyDescent="0.4">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3.15" x14ac:dyDescent="0.4">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3.15" x14ac:dyDescent="0.4">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6.25" x14ac:dyDescent="0.4">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3.15" x14ac:dyDescent="0.4">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3.15" x14ac:dyDescent="0.4">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3.15" x14ac:dyDescent="0.4">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3.15" x14ac:dyDescent="0.4">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6.25" x14ac:dyDescent="0.4">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3.15" x14ac:dyDescent="0.4">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3.15" x14ac:dyDescent="0.4">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0.41625000000000001</v>
      </c>
      <c r="I150" s="117">
        <f t="shared" si="16"/>
        <v>0.41625000000000001</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3.15" x14ac:dyDescent="0.4">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3.15" x14ac:dyDescent="0.4">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3.15" x14ac:dyDescent="0.4">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3.15" x14ac:dyDescent="0.4">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3.15" x14ac:dyDescent="0.4">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3.15" x14ac:dyDescent="0.4">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3.15" x14ac:dyDescent="0.4">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0.41625000000000001</v>
      </c>
      <c r="I157" s="117">
        <f t="shared" si="19"/>
        <v>0.41625000000000001</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3.15" x14ac:dyDescent="0.4">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3.15" x14ac:dyDescent="0.4">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3.15" x14ac:dyDescent="0.4">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3.15" x14ac:dyDescent="0.4">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3.15" x14ac:dyDescent="0.4">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3.15" x14ac:dyDescent="0.4">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3.15" x14ac:dyDescent="0.4">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3.15" x14ac:dyDescent="0.4">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22.90913348859738</v>
      </c>
      <c r="I165" s="340">
        <f t="shared" si="21"/>
        <v>22.90913348859738</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3.15" x14ac:dyDescent="0.4">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3.15" x14ac:dyDescent="0.4">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3.15" x14ac:dyDescent="0.4">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3.15" x14ac:dyDescent="0.4">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3.15" x14ac:dyDescent="0.4">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3.15" x14ac:dyDescent="0.4">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3.15" x14ac:dyDescent="0.4">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3.15" x14ac:dyDescent="0.4">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5017100.2340028258</v>
      </c>
      <c r="I173" s="341">
        <f t="shared" si="24"/>
        <v>5017100.2340028258</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3.15" x14ac:dyDescent="0.4">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46888787.233671263</v>
      </c>
      <c r="I174" s="341">
        <f t="shared" si="25"/>
        <v>46888787.233671263</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3.15" x14ac:dyDescent="0.4">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50171002.340028256</v>
      </c>
      <c r="I175" s="341">
        <f t="shared" si="26"/>
        <v>50171002.340028256</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3.15" x14ac:dyDescent="0.4">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3.15" x14ac:dyDescent="0.4">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3.15" x14ac:dyDescent="0.4">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3.15" x14ac:dyDescent="0.4">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3.15" x14ac:dyDescent="0.4">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3.15" x14ac:dyDescent="0.4">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3.15" x14ac:dyDescent="0.4">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3.15" x14ac:dyDescent="0.4">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3.15" x14ac:dyDescent="0.4">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3.15" x14ac:dyDescent="0.4">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3.15" x14ac:dyDescent="0.4">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3.15" x14ac:dyDescent="0.4">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3.15" x14ac:dyDescent="0.4">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3.15" x14ac:dyDescent="0.4">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3.15" x14ac:dyDescent="0.4">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3.15" x14ac:dyDescent="0.4">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3.15" x14ac:dyDescent="0.4">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3.15" x14ac:dyDescent="0.4">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3.15" x14ac:dyDescent="0.4">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3.15" x14ac:dyDescent="0.4">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3.15" x14ac:dyDescent="0.4">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3.15" x14ac:dyDescent="0.4">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3.15" x14ac:dyDescent="0.4">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3.15" x14ac:dyDescent="0.4">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3.15" x14ac:dyDescent="0.4">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3.15" x14ac:dyDescent="0.4">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3.15" x14ac:dyDescent="0.4">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3.15" x14ac:dyDescent="0.4">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3.15" x14ac:dyDescent="0.4">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3.15" x14ac:dyDescent="0.4">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3.15" x14ac:dyDescent="0.4">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3.15" x14ac:dyDescent="0.4">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3.15" x14ac:dyDescent="0.4">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3.15" x14ac:dyDescent="0.4">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3.15" x14ac:dyDescent="0.4">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3.15" x14ac:dyDescent="0.4">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3.15" x14ac:dyDescent="0.4">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3.15" x14ac:dyDescent="0.4">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3.15" x14ac:dyDescent="0.4">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3.15" x14ac:dyDescent="0.4">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3.15" x14ac:dyDescent="0.4">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3.15" x14ac:dyDescent="0.4">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3.15" x14ac:dyDescent="0.4">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3.15" x14ac:dyDescent="0.4">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3.15" x14ac:dyDescent="0.4">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3.15" x14ac:dyDescent="0.4">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3.15" x14ac:dyDescent="0.4">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3.15" x14ac:dyDescent="0.4">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3.15" x14ac:dyDescent="0.4">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3.15" x14ac:dyDescent="0.4">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3.15" x14ac:dyDescent="0.4">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3.15" x14ac:dyDescent="0.4">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3.15" x14ac:dyDescent="0.4">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3.15" x14ac:dyDescent="0.4">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3.15" x14ac:dyDescent="0.4">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3.15" x14ac:dyDescent="0.4">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3.15" x14ac:dyDescent="0.4">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3.15" x14ac:dyDescent="0.4">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3.15" x14ac:dyDescent="0.4">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3.15" x14ac:dyDescent="0.4">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3.15" x14ac:dyDescent="0.4">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3.15" x14ac:dyDescent="0.4">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3.15" x14ac:dyDescent="0.4">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3.15" x14ac:dyDescent="0.4">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3.15" x14ac:dyDescent="0.4">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3.15" x14ac:dyDescent="0.4">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3.15" x14ac:dyDescent="0.4">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3.15" x14ac:dyDescent="0.4">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3.15" x14ac:dyDescent="0.4">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3.15" x14ac:dyDescent="0.4">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3.15" x14ac:dyDescent="0.4">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3.15" x14ac:dyDescent="0.4">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3.15" x14ac:dyDescent="0.4">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3.15" x14ac:dyDescent="0.4">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3.15" x14ac:dyDescent="0.4">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3.15" x14ac:dyDescent="0.4">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3.15" x14ac:dyDescent="0.4">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6484375" defaultRowHeight="14.25" x14ac:dyDescent="0.45"/>
  <cols>
    <col min="1" max="1" width="19.46484375" customWidth="1"/>
    <col min="2" max="2" width="21.46484375" customWidth="1"/>
  </cols>
  <sheetData>
    <row r="2" spans="1:34" x14ac:dyDescent="0.4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45">
      <c r="A3" t="s">
        <v>186</v>
      </c>
      <c r="B3" s="360"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45">
      <c r="A4" t="s">
        <v>188</v>
      </c>
      <c r="B4" s="361"/>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4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45">
      <c r="B6" s="360"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45">
      <c r="B7" s="361"/>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45">
      <c r="B8" s="361"/>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4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4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4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4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4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4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4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4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4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4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4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4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4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4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4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4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4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4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4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4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4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4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4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4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4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4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4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4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4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4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4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4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4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4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45">
      <c r="A43" s="1" t="s">
        <v>212</v>
      </c>
      <c r="B43" s="128" t="s">
        <v>213</v>
      </c>
    </row>
    <row r="44" spans="1:34" x14ac:dyDescent="0.45">
      <c r="B44" s="128" t="s">
        <v>214</v>
      </c>
    </row>
    <row r="45" spans="1:34" x14ac:dyDescent="0.45">
      <c r="B45" s="128" t="s">
        <v>215</v>
      </c>
    </row>
    <row r="46" spans="1:34" x14ac:dyDescent="0.4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6484375" defaultRowHeight="14.25" customHeight="1" x14ac:dyDescent="0.35"/>
  <cols>
    <col min="1" max="1" width="9.46484375" style="131" customWidth="1"/>
    <col min="2" max="7" width="1.46484375" style="131" customWidth="1"/>
    <col min="8" max="8" width="5.46484375" style="131" customWidth="1"/>
    <col min="9" max="9" width="7.46484375" style="131" customWidth="1"/>
    <col min="10" max="10" width="19.46484375" style="131" customWidth="1"/>
    <col min="11" max="11" width="55" style="131" bestFit="1" customWidth="1"/>
    <col min="12" max="12" width="16.46484375" style="131" customWidth="1"/>
    <col min="13" max="15" width="11.46484375" style="131" customWidth="1"/>
    <col min="16" max="17" width="12.46484375" style="131" customWidth="1"/>
    <col min="18" max="20" width="11.46484375" style="131" customWidth="1"/>
    <col min="21" max="21" width="18.46484375" style="131" customWidth="1"/>
    <col min="22" max="22" width="10.46484375" style="131" bestFit="1" customWidth="1"/>
    <col min="23" max="24" width="11.46484375" style="131" customWidth="1"/>
    <col min="25" max="25" width="10.46484375" style="131" bestFit="1" customWidth="1"/>
    <col min="26" max="45" width="11.46484375" style="131" customWidth="1"/>
    <col min="46" max="46" width="9.46484375" style="131" customWidth="1"/>
    <col min="47" max="16384" width="9.46484375" style="131"/>
  </cols>
  <sheetData>
    <row r="1" spans="1:108" ht="18" customHeight="1" x14ac:dyDescent="0.5">
      <c r="A1" s="385" t="s">
        <v>217</v>
      </c>
      <c r="B1" s="386"/>
      <c r="C1" s="386"/>
      <c r="D1" s="386"/>
      <c r="E1" s="386"/>
      <c r="F1" s="386"/>
      <c r="G1" s="386"/>
      <c r="H1" s="386"/>
      <c r="I1" s="386"/>
      <c r="J1" s="386"/>
      <c r="M1" s="17" t="s">
        <v>218</v>
      </c>
    </row>
    <row r="2" spans="1:108" ht="14.25" customHeight="1" x14ac:dyDescent="0.3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35">
      <c r="U3" s="134" t="s">
        <v>220</v>
      </c>
    </row>
    <row r="4" spans="1:108" ht="14.25" customHeight="1" x14ac:dyDescent="0.4">
      <c r="J4" s="135"/>
      <c r="U4" s="403" t="s">
        <v>221</v>
      </c>
    </row>
    <row r="5" spans="1:108" ht="14.25" customHeight="1" x14ac:dyDescent="0.35">
      <c r="U5" s="404"/>
    </row>
    <row r="7" spans="1:108" ht="14.25" customHeight="1" x14ac:dyDescent="0.4">
      <c r="B7" s="136" t="s">
        <v>222</v>
      </c>
      <c r="G7" s="400" t="s">
        <v>223</v>
      </c>
      <c r="H7" s="383"/>
      <c r="I7" s="383"/>
      <c r="J7" s="383"/>
      <c r="K7" s="383"/>
      <c r="L7" s="383"/>
      <c r="M7" s="383"/>
      <c r="N7" s="383"/>
      <c r="O7" s="383"/>
      <c r="P7" s="383"/>
      <c r="Q7" s="383"/>
      <c r="R7" s="383"/>
      <c r="S7" s="383"/>
      <c r="T7" s="383"/>
      <c r="U7" s="383"/>
      <c r="V7" s="383"/>
      <c r="W7" s="383"/>
      <c r="X7" s="383"/>
      <c r="Y7" s="383"/>
    </row>
    <row r="8" spans="1:108" ht="14.25" customHeight="1" thickBot="1" x14ac:dyDescent="0.4">
      <c r="G8" s="138"/>
      <c r="U8" s="139"/>
    </row>
    <row r="9" spans="1:108" ht="14.25" customHeight="1" thickBot="1" x14ac:dyDescent="0.5">
      <c r="G9" s="138"/>
      <c r="H9" s="382" t="s">
        <v>224</v>
      </c>
      <c r="J9" s="375" t="s">
        <v>225</v>
      </c>
      <c r="K9" s="376"/>
      <c r="L9" s="377"/>
      <c r="M9" s="364">
        <v>2021</v>
      </c>
      <c r="N9" s="365"/>
      <c r="O9" s="365"/>
      <c r="P9" s="365"/>
      <c r="Q9" s="365"/>
      <c r="R9" s="366"/>
    </row>
    <row r="10" spans="1:108" ht="14.25" customHeight="1" thickBot="1" x14ac:dyDescent="0.4">
      <c r="G10" s="138"/>
      <c r="H10" s="383"/>
      <c r="J10" s="141" t="s">
        <v>226</v>
      </c>
      <c r="K10" s="265"/>
      <c r="L10" s="265"/>
      <c r="M10" s="265"/>
      <c r="N10" s="265"/>
      <c r="O10" s="265"/>
      <c r="P10" s="266"/>
      <c r="Q10" s="265"/>
      <c r="R10" s="267"/>
    </row>
    <row r="11" spans="1:108" ht="13.5" customHeight="1" thickBot="1" x14ac:dyDescent="0.5">
      <c r="G11" s="138"/>
      <c r="H11" s="383"/>
      <c r="J11" s="405" t="s">
        <v>227</v>
      </c>
      <c r="K11" s="406"/>
      <c r="L11" s="406"/>
      <c r="M11" s="406"/>
      <c r="N11" s="406"/>
      <c r="O11" s="406"/>
      <c r="P11" s="406"/>
      <c r="Q11" s="406"/>
      <c r="R11" s="407"/>
      <c r="W11" s="268"/>
      <c r="X11" s="269"/>
      <c r="Y11" s="269"/>
      <c r="Z11" s="269"/>
      <c r="AA11" s="269"/>
    </row>
    <row r="12" spans="1:108" ht="13.5" customHeight="1" thickBot="1" x14ac:dyDescent="0.5">
      <c r="G12" s="138"/>
      <c r="H12" s="383"/>
      <c r="J12" s="372" t="s">
        <v>228</v>
      </c>
      <c r="K12" s="373"/>
      <c r="L12" s="373"/>
      <c r="M12" s="373"/>
      <c r="N12" s="373"/>
      <c r="O12" s="373"/>
      <c r="P12" s="373"/>
      <c r="Q12" s="373"/>
      <c r="R12" s="374"/>
      <c r="W12" s="268"/>
      <c r="X12" s="269"/>
      <c r="Y12" s="269"/>
      <c r="Z12" s="269"/>
      <c r="AA12" s="269"/>
    </row>
    <row r="13" spans="1:108" ht="13.5" customHeight="1" thickBot="1" x14ac:dyDescent="0.5">
      <c r="G13" s="138"/>
      <c r="H13" s="383"/>
      <c r="J13" s="372" t="s">
        <v>229</v>
      </c>
      <c r="K13" s="373"/>
      <c r="L13" s="373"/>
      <c r="M13" s="373"/>
      <c r="N13" s="373"/>
      <c r="O13" s="373"/>
      <c r="P13" s="373"/>
      <c r="Q13" s="373"/>
      <c r="R13" s="374"/>
      <c r="W13" s="268"/>
      <c r="X13" s="269"/>
      <c r="Y13" s="269"/>
      <c r="Z13" s="269"/>
      <c r="AA13" s="269"/>
    </row>
    <row r="14" spans="1:108" ht="13.5" customHeight="1" thickBot="1" x14ac:dyDescent="0.5">
      <c r="G14" s="138"/>
      <c r="H14" s="383"/>
      <c r="J14" s="372" t="s">
        <v>230</v>
      </c>
      <c r="K14" s="373"/>
      <c r="L14" s="373"/>
      <c r="M14" s="373"/>
      <c r="N14" s="373"/>
      <c r="O14" s="373"/>
      <c r="P14" s="373"/>
      <c r="Q14" s="373"/>
      <c r="R14" s="374"/>
      <c r="W14" s="269"/>
      <c r="X14" s="269"/>
      <c r="Y14" s="269"/>
      <c r="Z14" s="269"/>
      <c r="AA14" s="269"/>
    </row>
    <row r="15" spans="1:108" ht="14.25" customHeight="1" thickBot="1" x14ac:dyDescent="0.5">
      <c r="G15" s="138"/>
      <c r="H15" s="383"/>
      <c r="J15" s="434" t="s">
        <v>231</v>
      </c>
      <c r="K15" s="435"/>
      <c r="L15" s="435"/>
      <c r="M15" s="435"/>
      <c r="N15" s="435"/>
      <c r="O15" s="435"/>
      <c r="P15" s="435"/>
      <c r="Q15" s="435"/>
      <c r="R15" s="436"/>
      <c r="W15" s="269"/>
      <c r="X15" s="269"/>
      <c r="Y15" s="269"/>
      <c r="Z15" s="269"/>
      <c r="AA15" s="269"/>
    </row>
    <row r="16" spans="1:108" ht="14.25" customHeight="1" thickTop="1" x14ac:dyDescent="0.45">
      <c r="G16" s="138"/>
      <c r="H16" s="383"/>
      <c r="J16" s="437" t="s">
        <v>232</v>
      </c>
      <c r="K16" s="368"/>
      <c r="L16" s="368"/>
      <c r="M16" s="368"/>
      <c r="N16" s="368"/>
      <c r="O16" s="368"/>
      <c r="P16" s="368"/>
      <c r="Q16" s="368"/>
      <c r="R16" s="418"/>
      <c r="W16" s="269"/>
      <c r="X16" s="269"/>
      <c r="Y16" s="269"/>
      <c r="Z16" s="269"/>
      <c r="AA16" s="269"/>
    </row>
    <row r="17" spans="7:27" ht="14.25" customHeight="1" x14ac:dyDescent="0.45">
      <c r="G17" s="138"/>
      <c r="H17" s="383"/>
      <c r="J17" s="419"/>
      <c r="K17" s="383"/>
      <c r="L17" s="383"/>
      <c r="M17" s="383"/>
      <c r="N17" s="383"/>
      <c r="O17" s="383"/>
      <c r="P17" s="383"/>
      <c r="Q17" s="383"/>
      <c r="R17" s="420"/>
      <c r="W17" s="269"/>
      <c r="X17" s="269"/>
      <c r="Y17" s="269"/>
      <c r="Z17" s="269"/>
      <c r="AA17" s="269"/>
    </row>
    <row r="18" spans="7:27" ht="14.25" customHeight="1" thickBot="1" x14ac:dyDescent="0.5">
      <c r="G18" s="138"/>
      <c r="H18" s="383"/>
      <c r="J18" s="421"/>
      <c r="K18" s="422"/>
      <c r="L18" s="422"/>
      <c r="M18" s="422"/>
      <c r="N18" s="422"/>
      <c r="O18" s="422"/>
      <c r="P18" s="422"/>
      <c r="Q18" s="422"/>
      <c r="R18" s="423"/>
      <c r="W18" s="269"/>
      <c r="X18" s="269"/>
      <c r="Y18" s="269"/>
      <c r="Z18" s="269"/>
      <c r="AA18" s="269"/>
    </row>
    <row r="19" spans="7:27" ht="24" customHeight="1" thickTop="1" thickBot="1" x14ac:dyDescent="0.5">
      <c r="G19" s="138"/>
      <c r="H19" s="383"/>
      <c r="J19" s="367">
        <v>118918</v>
      </c>
      <c r="K19" s="368"/>
      <c r="L19" s="368"/>
      <c r="M19" s="368"/>
      <c r="N19" s="368"/>
      <c r="O19" s="368"/>
      <c r="P19" s="368"/>
      <c r="Q19" s="368"/>
      <c r="R19" s="369"/>
      <c r="W19" s="269"/>
      <c r="X19" s="269"/>
      <c r="Y19" s="269"/>
      <c r="Z19" s="269"/>
      <c r="AA19" s="269"/>
    </row>
    <row r="20" spans="7:27" ht="14.25" customHeight="1" thickTop="1" x14ac:dyDescent="0.45">
      <c r="G20" s="138"/>
      <c r="H20" s="383"/>
      <c r="J20" s="270"/>
      <c r="K20" s="271"/>
      <c r="L20" s="272"/>
      <c r="M20" s="417" t="s">
        <v>233</v>
      </c>
      <c r="N20" s="368"/>
      <c r="O20" s="368"/>
      <c r="P20" s="368"/>
      <c r="Q20" s="368"/>
      <c r="R20" s="418"/>
      <c r="V20" s="273"/>
      <c r="W20" s="269"/>
      <c r="X20" s="269"/>
      <c r="Y20" s="269"/>
      <c r="Z20" s="269"/>
      <c r="AA20" s="269"/>
    </row>
    <row r="21" spans="7:27" ht="14.25" customHeight="1" x14ac:dyDescent="0.45">
      <c r="G21" s="138"/>
      <c r="H21" s="383"/>
      <c r="J21" s="274"/>
      <c r="M21" s="419"/>
      <c r="N21" s="383"/>
      <c r="O21" s="383"/>
      <c r="P21" s="383"/>
      <c r="Q21" s="383"/>
      <c r="R21" s="420"/>
      <c r="V21" s="273"/>
      <c r="W21" s="269"/>
      <c r="X21" s="269"/>
      <c r="Y21" s="269"/>
      <c r="Z21" s="269"/>
      <c r="AA21" s="269"/>
    </row>
    <row r="22" spans="7:27" ht="14.25" customHeight="1" x14ac:dyDescent="0.45">
      <c r="G22" s="138"/>
      <c r="H22" s="383"/>
      <c r="J22" s="274"/>
      <c r="M22" s="419"/>
      <c r="N22" s="383"/>
      <c r="O22" s="383"/>
      <c r="P22" s="383"/>
      <c r="Q22" s="383"/>
      <c r="R22" s="420"/>
      <c r="V22" s="273"/>
      <c r="W22" s="269"/>
      <c r="X22" s="269"/>
      <c r="Y22" s="269"/>
      <c r="Z22" s="269"/>
      <c r="AA22" s="269"/>
    </row>
    <row r="23" spans="7:27" ht="14.25" customHeight="1" x14ac:dyDescent="0.45">
      <c r="G23" s="138"/>
      <c r="H23" s="383"/>
      <c r="J23" s="274"/>
      <c r="M23" s="419"/>
      <c r="N23" s="383"/>
      <c r="O23" s="383"/>
      <c r="P23" s="383"/>
      <c r="Q23" s="383"/>
      <c r="R23" s="420"/>
      <c r="V23" s="273"/>
      <c r="W23" s="269"/>
      <c r="X23" s="269"/>
      <c r="Y23" s="269"/>
      <c r="Z23" s="269"/>
      <c r="AA23" s="269"/>
    </row>
    <row r="24" spans="7:27" ht="14.25" customHeight="1" thickBot="1" x14ac:dyDescent="0.5">
      <c r="G24" s="138"/>
      <c r="H24" s="383"/>
      <c r="J24" s="276"/>
      <c r="K24" s="277"/>
      <c r="M24" s="421"/>
      <c r="N24" s="422"/>
      <c r="O24" s="422"/>
      <c r="P24" s="422"/>
      <c r="Q24" s="422"/>
      <c r="R24" s="423"/>
      <c r="U24" s="269"/>
      <c r="V24" s="273"/>
      <c r="W24" s="269"/>
      <c r="X24" s="269"/>
      <c r="Y24" s="269"/>
      <c r="Z24" s="269"/>
      <c r="AA24" s="269"/>
    </row>
    <row r="25" spans="7:27" ht="14.25" customHeight="1" thickBot="1" x14ac:dyDescent="0.5">
      <c r="G25" s="138"/>
      <c r="H25" s="264"/>
      <c r="M25" s="275"/>
      <c r="N25" s="275"/>
      <c r="O25" s="275"/>
      <c r="P25" s="275"/>
      <c r="Q25" s="275"/>
      <c r="R25" s="275"/>
      <c r="U25" s="269"/>
      <c r="V25" s="273"/>
      <c r="W25" s="269"/>
      <c r="X25" s="269"/>
      <c r="Y25" s="269"/>
      <c r="Z25" s="269"/>
      <c r="AA25" s="269"/>
    </row>
    <row r="26" spans="7:27" ht="14.25" customHeight="1" thickBot="1" x14ac:dyDescent="0.5">
      <c r="G26" s="138"/>
      <c r="H26" s="264"/>
      <c r="J26" s="412"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45">
      <c r="G27" s="138"/>
      <c r="H27" s="264"/>
      <c r="J27" s="383"/>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45">
      <c r="G28" s="138"/>
      <c r="H28" s="264"/>
      <c r="J28" s="383"/>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45">
      <c r="G29" s="138"/>
      <c r="H29" s="264"/>
      <c r="J29" s="383"/>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45">
      <c r="G30" s="138"/>
      <c r="H30" s="264"/>
      <c r="J30" s="383"/>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45">
      <c r="G31" s="138"/>
      <c r="H31" s="264"/>
      <c r="J31" s="383"/>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45">
      <c r="G32" s="138"/>
      <c r="H32" s="264"/>
      <c r="J32" s="383"/>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45">
      <c r="G33" s="138"/>
      <c r="H33" s="264"/>
      <c r="J33" s="383"/>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45">
      <c r="G34" s="138"/>
      <c r="H34" s="264"/>
      <c r="J34" s="383"/>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45">
      <c r="G35" s="138"/>
      <c r="H35" s="264"/>
      <c r="J35" s="383"/>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5">
      <c r="G36" s="138"/>
      <c r="H36" s="264"/>
      <c r="J36" s="383"/>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5">
      <c r="G37" s="138"/>
      <c r="L37" s="283"/>
      <c r="R37" s="273"/>
      <c r="S37" s="273"/>
      <c r="T37" s="273"/>
      <c r="U37" s="269"/>
      <c r="V37" s="273"/>
      <c r="W37" s="269"/>
      <c r="X37" s="269"/>
      <c r="Y37" s="269"/>
      <c r="Z37" s="269"/>
      <c r="AA37" s="269"/>
    </row>
    <row r="38" spans="6:27" ht="14.25" customHeight="1" x14ac:dyDescent="0.45">
      <c r="G38" s="138"/>
      <c r="H38" s="433" t="s">
        <v>263</v>
      </c>
      <c r="J38" s="438" t="s">
        <v>264</v>
      </c>
      <c r="K38" s="439"/>
      <c r="L38" s="439"/>
      <c r="M38" s="439"/>
      <c r="N38" s="439"/>
      <c r="O38" s="440"/>
      <c r="U38" s="269"/>
      <c r="W38" s="269"/>
      <c r="X38" s="269"/>
      <c r="Y38" s="269"/>
      <c r="Z38" s="269"/>
      <c r="AA38" s="269"/>
    </row>
    <row r="39" spans="6:27" ht="14.25" customHeight="1" thickBot="1" x14ac:dyDescent="0.5">
      <c r="G39" s="138"/>
      <c r="H39" s="383"/>
      <c r="J39" s="378" t="s">
        <v>265</v>
      </c>
      <c r="K39" s="379"/>
      <c r="L39" s="379"/>
      <c r="M39" s="379"/>
      <c r="N39" s="379"/>
      <c r="O39" s="284">
        <v>20</v>
      </c>
      <c r="P39" s="285"/>
      <c r="Q39" s="131" t="s">
        <v>266</v>
      </c>
      <c r="S39" s="157" t="s">
        <v>267</v>
      </c>
      <c r="U39" s="269"/>
    </row>
    <row r="40" spans="6:27" ht="14.25" customHeight="1" x14ac:dyDescent="0.45">
      <c r="G40" s="138"/>
      <c r="H40" s="383"/>
      <c r="J40" s="163" t="s">
        <v>268</v>
      </c>
      <c r="K40" s="164"/>
      <c r="L40" s="164"/>
      <c r="M40" s="164"/>
      <c r="N40" s="164"/>
      <c r="O40" s="165">
        <v>5</v>
      </c>
      <c r="Q40" s="131" t="s">
        <v>269</v>
      </c>
      <c r="S40" s="158">
        <v>20</v>
      </c>
      <c r="U40" s="269"/>
    </row>
    <row r="41" spans="6:27" ht="14.65" customHeight="1" thickBot="1" x14ac:dyDescent="0.4">
      <c r="F41" s="138"/>
      <c r="G41" s="138"/>
      <c r="H41" s="383"/>
      <c r="J41" s="286" t="s">
        <v>270</v>
      </c>
      <c r="K41" s="287"/>
      <c r="L41" s="287"/>
      <c r="M41" s="287"/>
      <c r="N41" s="287"/>
      <c r="O41" s="166">
        <v>0.02</v>
      </c>
      <c r="Z41" s="288"/>
      <c r="AA41" s="288"/>
    </row>
    <row r="42" spans="6:27" ht="15" customHeight="1" x14ac:dyDescent="0.4">
      <c r="F42" s="138"/>
      <c r="G42" s="138"/>
      <c r="H42" s="383"/>
      <c r="J42" s="289" t="s">
        <v>271</v>
      </c>
      <c r="K42" s="290"/>
      <c r="L42" s="290"/>
      <c r="M42" s="290"/>
      <c r="N42" s="290"/>
      <c r="O42" s="170">
        <v>1</v>
      </c>
    </row>
    <row r="43" spans="6:27" ht="15" customHeight="1" x14ac:dyDescent="0.35">
      <c r="G43" s="138"/>
      <c r="H43" s="383"/>
      <c r="J43" s="291" t="s">
        <v>272</v>
      </c>
      <c r="K43" s="292" t="s">
        <v>273</v>
      </c>
      <c r="L43" s="408" t="s">
        <v>274</v>
      </c>
      <c r="M43" s="430" t="s">
        <v>275</v>
      </c>
    </row>
    <row r="44" spans="6:27" ht="15" customHeight="1" x14ac:dyDescent="0.35">
      <c r="G44" s="138"/>
      <c r="H44" s="383"/>
      <c r="J44" s="293" t="s">
        <v>276</v>
      </c>
      <c r="K44" s="140" t="s">
        <v>277</v>
      </c>
      <c r="L44" s="409"/>
      <c r="M44" s="431"/>
    </row>
    <row r="45" spans="6:27" ht="15" customHeight="1" x14ac:dyDescent="0.35">
      <c r="G45" s="138"/>
      <c r="H45" s="383"/>
      <c r="J45" s="293"/>
      <c r="K45" s="140"/>
      <c r="L45" s="409"/>
      <c r="M45" s="431"/>
    </row>
    <row r="46" spans="6:27" ht="15" customHeight="1" x14ac:dyDescent="0.35">
      <c r="G46" s="138"/>
      <c r="H46" s="383"/>
      <c r="J46" s="293"/>
      <c r="K46" s="140"/>
      <c r="L46" s="410"/>
      <c r="M46" s="432"/>
    </row>
    <row r="47" spans="6:27" ht="14.25" customHeight="1" x14ac:dyDescent="0.35">
      <c r="G47" s="138"/>
      <c r="H47" s="383"/>
      <c r="J47" s="175">
        <v>0</v>
      </c>
      <c r="K47" s="176">
        <v>1</v>
      </c>
      <c r="L47" s="176">
        <v>0.8</v>
      </c>
      <c r="M47" s="294">
        <v>0.2</v>
      </c>
      <c r="O47" s="180"/>
    </row>
    <row r="48" spans="6:27" ht="14.25" customHeight="1" x14ac:dyDescent="0.35">
      <c r="G48" s="138"/>
      <c r="H48" s="383"/>
      <c r="J48" s="178">
        <v>1</v>
      </c>
      <c r="K48" s="179">
        <v>0</v>
      </c>
      <c r="L48" s="179">
        <v>0.8</v>
      </c>
      <c r="M48" s="295">
        <v>0.2</v>
      </c>
      <c r="O48" s="180"/>
    </row>
    <row r="49" spans="7:42" ht="14.25" customHeight="1" thickBot="1" x14ac:dyDescent="0.4">
      <c r="G49" s="138"/>
      <c r="H49" s="383"/>
      <c r="J49" s="181">
        <v>2</v>
      </c>
      <c r="K49" s="182">
        <v>0</v>
      </c>
      <c r="L49" s="182">
        <v>0.8</v>
      </c>
      <c r="M49" s="296">
        <v>0.2</v>
      </c>
    </row>
    <row r="50" spans="7:42" ht="14.25" customHeight="1" x14ac:dyDescent="0.35">
      <c r="G50" s="138"/>
      <c r="H50" s="383"/>
      <c r="J50" s="297"/>
      <c r="K50" s="297"/>
      <c r="L50" s="297"/>
      <c r="M50" s="297"/>
      <c r="N50" s="180"/>
      <c r="O50" s="288"/>
    </row>
    <row r="51" spans="7:42" ht="14.25" customHeight="1" x14ac:dyDescent="0.35">
      <c r="G51" s="138"/>
      <c r="H51" s="383"/>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4">
      <c r="G52" s="138"/>
      <c r="H52" s="383"/>
      <c r="J52" s="412"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4">
      <c r="G53" s="138"/>
      <c r="H53" s="383"/>
      <c r="J53" s="383"/>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4">
      <c r="G54" s="138"/>
      <c r="H54" s="383"/>
      <c r="J54" s="383"/>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4">
      <c r="G55" s="138"/>
      <c r="H55" s="383"/>
      <c r="J55" s="383"/>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45">
      <c r="G56" s="138"/>
      <c r="H56" s="383"/>
      <c r="J56" s="383"/>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45">
      <c r="G57" s="138"/>
      <c r="H57" s="383"/>
      <c r="J57" s="383"/>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45">
      <c r="G58" s="138"/>
      <c r="H58" s="383"/>
      <c r="J58" s="383"/>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4">
      <c r="G59" s="138"/>
      <c r="H59" s="383"/>
      <c r="J59" s="383"/>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4">
      <c r="G60" s="138"/>
      <c r="H60" s="383"/>
      <c r="J60" s="383"/>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4">
      <c r="G61" s="138"/>
      <c r="H61" s="383"/>
      <c r="J61" s="383"/>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4">
      <c r="G62" s="138"/>
      <c r="H62" s="383"/>
      <c r="J62" s="383"/>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45">
      <c r="G63" s="138"/>
      <c r="H63" s="383"/>
      <c r="J63" s="383"/>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45">
      <c r="G64" s="138"/>
      <c r="H64" s="383"/>
      <c r="J64" s="383"/>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45">
      <c r="G65" s="138"/>
      <c r="H65" s="383"/>
      <c r="J65" s="383"/>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4">
      <c r="G66" s="138"/>
      <c r="H66" s="383"/>
      <c r="J66" s="383"/>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4">
      <c r="G67" s="138"/>
      <c r="H67" s="383"/>
      <c r="J67" s="383"/>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4">
      <c r="G68" s="138"/>
      <c r="H68" s="383"/>
      <c r="J68" s="383"/>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4">
      <c r="G69" s="138"/>
      <c r="H69" s="383"/>
      <c r="J69" s="383"/>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4">
      <c r="G70" s="138"/>
      <c r="H70" s="383"/>
      <c r="J70" s="383"/>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4">
      <c r="G71" s="138"/>
      <c r="H71" s="383"/>
      <c r="J71" s="383"/>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4">
      <c r="G72" s="138"/>
      <c r="H72" s="383"/>
      <c r="J72" s="383"/>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45">
      <c r="G73" s="138"/>
      <c r="H73" s="383"/>
      <c r="J73" s="383"/>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45">
      <c r="G74" s="138"/>
      <c r="H74" s="383"/>
      <c r="J74" s="383"/>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45">
      <c r="G75" s="138"/>
      <c r="H75" s="383"/>
      <c r="J75" s="383"/>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4">
      <c r="G76" s="138"/>
      <c r="H76" s="383"/>
      <c r="J76" s="383"/>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4">
      <c r="G77" s="138"/>
      <c r="H77" s="383"/>
      <c r="J77" s="383"/>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4">
      <c r="G78" s="138"/>
      <c r="H78" s="383"/>
      <c r="J78" s="383"/>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4">
      <c r="G79" s="138"/>
      <c r="H79" s="383"/>
      <c r="J79" s="383"/>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4">
      <c r="G80" s="138"/>
      <c r="H80" s="383"/>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4">
      <c r="G81" s="138"/>
      <c r="H81" s="383"/>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3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4">
      <c r="D84" s="136" t="s">
        <v>222</v>
      </c>
      <c r="G84" s="400" t="s">
        <v>294</v>
      </c>
      <c r="H84" s="383"/>
      <c r="I84" s="383"/>
      <c r="J84" s="383"/>
      <c r="K84" s="383"/>
      <c r="L84" s="383"/>
      <c r="M84" s="383"/>
      <c r="N84" s="383"/>
      <c r="O84" s="383"/>
      <c r="P84" s="383"/>
      <c r="Q84" s="383"/>
      <c r="R84" s="383"/>
      <c r="S84" s="383"/>
      <c r="T84" s="383"/>
      <c r="U84" s="383"/>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35">
      <c r="G85" s="138"/>
      <c r="M85" s="131" t="s">
        <v>295</v>
      </c>
      <c r="AA85" s="298"/>
      <c r="AB85" s="298"/>
      <c r="AC85" s="298"/>
      <c r="AD85" s="298"/>
      <c r="AP85" s="298"/>
      <c r="AQ85" s="298"/>
    </row>
    <row r="86" spans="4:44" ht="14.25" customHeight="1" x14ac:dyDescent="0.35">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4">
      <c r="G87" s="138"/>
      <c r="H87" s="392" t="s">
        <v>296</v>
      </c>
      <c r="J87" s="370"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4">
      <c r="G88" s="138"/>
      <c r="H88" s="383"/>
      <c r="J88" s="361"/>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45">
      <c r="G89" s="138"/>
      <c r="H89" s="383"/>
      <c r="J89" s="361"/>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4">
      <c r="G90" s="138"/>
      <c r="H90" s="383"/>
      <c r="J90" s="361"/>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4">
      <c r="G91" s="138"/>
      <c r="H91" s="383"/>
      <c r="J91" s="361"/>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45">
      <c r="G92" s="138"/>
      <c r="H92" s="383"/>
      <c r="J92" s="361"/>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4">
      <c r="G93" s="138"/>
      <c r="H93" s="383"/>
      <c r="J93" s="361"/>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4">
      <c r="G94" s="138"/>
      <c r="H94" s="383"/>
      <c r="J94" s="361"/>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45">
      <c r="G95" s="138"/>
      <c r="H95" s="383"/>
      <c r="J95" s="361"/>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4">
      <c r="G96" s="138"/>
      <c r="H96" s="383"/>
      <c r="J96" s="361"/>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4">
      <c r="G97" s="138"/>
      <c r="H97" s="383"/>
      <c r="J97" s="361"/>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45">
      <c r="G98" s="138"/>
      <c r="H98" s="383"/>
      <c r="J98" s="361"/>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4">
      <c r="G99" s="138"/>
      <c r="H99" s="383"/>
      <c r="J99" s="361"/>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4">
      <c r="G100" s="138"/>
      <c r="H100" s="383"/>
      <c r="J100" s="361"/>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45">
      <c r="G101" s="138"/>
      <c r="H101" s="383"/>
      <c r="J101" s="361"/>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4">
      <c r="G102" s="138"/>
      <c r="H102" s="383"/>
      <c r="J102" s="361"/>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4">
      <c r="G103" s="138"/>
      <c r="H103" s="383"/>
      <c r="J103" s="361"/>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45">
      <c r="G104" s="138"/>
      <c r="H104" s="383"/>
      <c r="J104" s="361"/>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4">
      <c r="G105" s="138"/>
      <c r="H105" s="383"/>
      <c r="J105" s="361"/>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4">
      <c r="G106" s="138"/>
      <c r="H106" s="383"/>
      <c r="J106" s="361"/>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45">
      <c r="G107" s="138"/>
      <c r="H107" s="383"/>
      <c r="J107" s="361"/>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4">
      <c r="G108" s="138"/>
      <c r="H108" s="383"/>
      <c r="J108" s="361"/>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4">
      <c r="G109" s="138"/>
      <c r="H109" s="383"/>
      <c r="J109" s="361"/>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45">
      <c r="G110" s="138"/>
      <c r="H110" s="383"/>
      <c r="J110" s="361"/>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4">
      <c r="G111" s="138"/>
      <c r="H111" s="383"/>
      <c r="J111" s="361"/>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4">
      <c r="G112" s="138"/>
      <c r="H112" s="383"/>
      <c r="J112" s="361"/>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45">
      <c r="G113" s="138"/>
      <c r="H113" s="383"/>
      <c r="J113" s="361"/>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4">
      <c r="G114" s="138"/>
      <c r="H114" s="383"/>
      <c r="J114" s="361"/>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4">
      <c r="G115" s="138"/>
      <c r="H115" s="383"/>
      <c r="J115" s="361"/>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45">
      <c r="G116" s="138"/>
      <c r="H116" s="383"/>
      <c r="J116" s="371"/>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4">
      <c r="G117" s="138"/>
      <c r="H117" s="383"/>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35">
      <c r="G118" s="138"/>
      <c r="H118" s="383"/>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4">
      <c r="G119" s="138"/>
      <c r="H119" s="383"/>
      <c r="J119" s="370"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4">
      <c r="G120" s="138"/>
      <c r="H120" s="383"/>
      <c r="J120" s="361"/>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45">
      <c r="G121" s="138"/>
      <c r="H121" s="383"/>
      <c r="J121" s="361"/>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4">
      <c r="G122" s="138"/>
      <c r="H122" s="383"/>
      <c r="J122" s="361"/>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4">
      <c r="G123" s="138"/>
      <c r="H123" s="383"/>
      <c r="J123" s="361"/>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45">
      <c r="G124" s="138"/>
      <c r="H124" s="383"/>
      <c r="J124" s="361"/>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4">
      <c r="G125" s="138"/>
      <c r="H125" s="383"/>
      <c r="J125" s="361"/>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4">
      <c r="G126" s="138"/>
      <c r="H126" s="383"/>
      <c r="J126" s="361"/>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45">
      <c r="G127" s="138"/>
      <c r="H127" s="383"/>
      <c r="J127" s="361"/>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4">
      <c r="G128" s="138"/>
      <c r="H128" s="383"/>
      <c r="J128" s="361"/>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4">
      <c r="G129" s="138"/>
      <c r="H129" s="383"/>
      <c r="J129" s="361"/>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45">
      <c r="G130" s="138"/>
      <c r="H130" s="383"/>
      <c r="J130" s="361"/>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4">
      <c r="G131" s="138"/>
      <c r="H131" s="383"/>
      <c r="J131" s="361"/>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4">
      <c r="G132" s="138"/>
      <c r="H132" s="383"/>
      <c r="J132" s="361"/>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45">
      <c r="G133" s="138"/>
      <c r="H133" s="383"/>
      <c r="J133" s="361"/>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4">
      <c r="G134" s="138"/>
      <c r="H134" s="383"/>
      <c r="J134" s="361"/>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4">
      <c r="G135" s="138"/>
      <c r="H135" s="383"/>
      <c r="J135" s="361"/>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45">
      <c r="G136" s="138"/>
      <c r="H136" s="383"/>
      <c r="J136" s="361"/>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4">
      <c r="G137" s="138"/>
      <c r="H137" s="383"/>
      <c r="J137" s="361"/>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4">
      <c r="G138" s="138"/>
      <c r="H138" s="383"/>
      <c r="J138" s="361"/>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45">
      <c r="G139" s="138"/>
      <c r="H139" s="383"/>
      <c r="J139" s="361"/>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4">
      <c r="G140" s="138"/>
      <c r="H140" s="383"/>
      <c r="J140" s="361"/>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4">
      <c r="G141" s="138"/>
      <c r="H141" s="383"/>
      <c r="J141" s="361"/>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45">
      <c r="G142" s="138"/>
      <c r="H142" s="383"/>
      <c r="J142" s="361"/>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4">
      <c r="G143" s="138"/>
      <c r="H143" s="383"/>
      <c r="J143" s="361"/>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4">
      <c r="G144" s="138"/>
      <c r="H144" s="383"/>
      <c r="J144" s="361"/>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45">
      <c r="G145" s="138"/>
      <c r="H145" s="383"/>
      <c r="J145" s="361"/>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4">
      <c r="G146" s="138"/>
      <c r="H146" s="383"/>
      <c r="J146" s="361"/>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4">
      <c r="G147" s="138"/>
      <c r="H147" s="383"/>
      <c r="J147" s="361"/>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45">
      <c r="G148" s="138"/>
      <c r="H148" s="383"/>
      <c r="J148" s="371"/>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4">
      <c r="G149" s="138"/>
      <c r="H149" s="383"/>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35">
      <c r="G150" s="138"/>
      <c r="H150" s="383"/>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4">
      <c r="G151" s="138"/>
      <c r="H151" s="383"/>
      <c r="J151" s="370"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4">
      <c r="G152" s="138"/>
      <c r="H152" s="383"/>
      <c r="J152" s="361"/>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45">
      <c r="G153" s="138"/>
      <c r="H153" s="383"/>
      <c r="J153" s="361"/>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4">
      <c r="G154" s="138"/>
      <c r="H154" s="383"/>
      <c r="J154" s="361"/>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4">
      <c r="G155" s="138"/>
      <c r="H155" s="383"/>
      <c r="J155" s="361"/>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45">
      <c r="G156" s="138"/>
      <c r="H156" s="383"/>
      <c r="J156" s="361"/>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45">
      <c r="G157" s="138"/>
      <c r="H157" s="383"/>
      <c r="J157" s="361"/>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45">
      <c r="A158" s="131"/>
      <c r="B158" s="131"/>
      <c r="C158" s="131"/>
      <c r="D158" s="131"/>
      <c r="E158" s="131"/>
      <c r="F158" s="131"/>
      <c r="G158" s="138"/>
      <c r="H158" s="393"/>
      <c r="I158" s="131"/>
      <c r="J158" s="361"/>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45">
      <c r="A159" s="131"/>
      <c r="B159" s="131"/>
      <c r="C159" s="131"/>
      <c r="D159" s="131"/>
      <c r="E159" s="131"/>
      <c r="F159" s="131"/>
      <c r="G159" s="138"/>
      <c r="H159" s="394"/>
      <c r="I159" s="131"/>
      <c r="J159" s="361"/>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45">
      <c r="G160" s="138"/>
      <c r="H160" s="383"/>
      <c r="J160" s="361"/>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45">
      <c r="A161" s="131"/>
      <c r="B161" s="131"/>
      <c r="C161" s="131"/>
      <c r="D161" s="131"/>
      <c r="E161" s="131"/>
      <c r="F161" s="131"/>
      <c r="G161" s="138"/>
      <c r="H161" s="393"/>
      <c r="I161" s="131"/>
      <c r="J161" s="361"/>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45">
      <c r="A162" s="131"/>
      <c r="B162" s="131"/>
      <c r="C162" s="131"/>
      <c r="D162" s="131"/>
      <c r="E162" s="131"/>
      <c r="F162" s="131"/>
      <c r="G162" s="138"/>
      <c r="H162" s="394"/>
      <c r="I162" s="131"/>
      <c r="J162" s="361"/>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45">
      <c r="G163" s="138"/>
      <c r="H163" s="383"/>
      <c r="J163" s="361"/>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45">
      <c r="A164" s="131"/>
      <c r="B164" s="131"/>
      <c r="C164" s="131"/>
      <c r="D164" s="131"/>
      <c r="E164" s="131"/>
      <c r="F164" s="131"/>
      <c r="G164" s="138"/>
      <c r="H164" s="393"/>
      <c r="I164" s="131"/>
      <c r="J164" s="361"/>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45">
      <c r="A165" s="131"/>
      <c r="B165" s="131"/>
      <c r="C165" s="131"/>
      <c r="D165" s="131"/>
      <c r="E165" s="131"/>
      <c r="F165" s="131"/>
      <c r="G165" s="138"/>
      <c r="H165" s="394"/>
      <c r="I165" s="131"/>
      <c r="J165" s="361"/>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4">
      <c r="G166" s="138"/>
      <c r="H166" s="383"/>
      <c r="J166" s="361"/>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4">
      <c r="G167" s="138"/>
      <c r="H167" s="383"/>
      <c r="J167" s="361"/>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45">
      <c r="G168" s="138"/>
      <c r="H168" s="383"/>
      <c r="J168" s="361"/>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4">
      <c r="G169" s="138"/>
      <c r="H169" s="383"/>
      <c r="J169" s="361"/>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4">
      <c r="G170" s="138"/>
      <c r="H170" s="383"/>
      <c r="J170" s="361"/>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45">
      <c r="G171" s="138"/>
      <c r="H171" s="383"/>
      <c r="J171" s="361"/>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45">
      <c r="G172" s="138"/>
      <c r="H172" s="383"/>
      <c r="J172" s="361"/>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45">
      <c r="A173" s="131"/>
      <c r="B173" s="131"/>
      <c r="C173" s="131"/>
      <c r="D173" s="131"/>
      <c r="E173" s="131"/>
      <c r="F173" s="131"/>
      <c r="G173" s="138"/>
      <c r="H173" s="393"/>
      <c r="I173" s="131"/>
      <c r="J173" s="361"/>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45">
      <c r="A174" s="131"/>
      <c r="B174" s="131"/>
      <c r="C174" s="131"/>
      <c r="D174" s="131"/>
      <c r="E174" s="131"/>
      <c r="F174" s="131"/>
      <c r="G174" s="138"/>
      <c r="H174" s="394"/>
      <c r="I174" s="131"/>
      <c r="J174" s="361"/>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45">
      <c r="G175" s="138"/>
      <c r="H175" s="383"/>
      <c r="J175" s="361"/>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45">
      <c r="A176" s="131"/>
      <c r="B176" s="131"/>
      <c r="C176" s="131"/>
      <c r="D176" s="131"/>
      <c r="E176" s="131"/>
      <c r="F176" s="131"/>
      <c r="G176" s="138"/>
      <c r="H176" s="393"/>
      <c r="I176" s="131"/>
      <c r="J176" s="361"/>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45">
      <c r="A177" s="131"/>
      <c r="B177" s="131"/>
      <c r="C177" s="131"/>
      <c r="D177" s="131"/>
      <c r="E177" s="131"/>
      <c r="F177" s="131"/>
      <c r="G177" s="138"/>
      <c r="H177" s="394"/>
      <c r="I177" s="131"/>
      <c r="J177" s="361"/>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45">
      <c r="G178" s="138"/>
      <c r="H178" s="383"/>
      <c r="J178" s="361"/>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45">
      <c r="A179" s="131"/>
      <c r="B179" s="131"/>
      <c r="C179" s="131"/>
      <c r="D179" s="131"/>
      <c r="E179" s="131"/>
      <c r="F179" s="131"/>
      <c r="G179" s="138"/>
      <c r="H179" s="393"/>
      <c r="I179" s="131"/>
      <c r="J179" s="361"/>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45">
      <c r="A180" s="131"/>
      <c r="B180" s="131"/>
      <c r="C180" s="131"/>
      <c r="D180" s="131"/>
      <c r="E180" s="131"/>
      <c r="F180" s="131"/>
      <c r="G180" s="138"/>
      <c r="H180" s="394"/>
      <c r="I180" s="131"/>
      <c r="J180" s="371"/>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45">
      <c r="G181" s="138"/>
      <c r="H181" s="383"/>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4">
      <c r="G182" s="138"/>
      <c r="H182" s="383"/>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4">
      <c r="G183" s="138"/>
      <c r="H183" s="383"/>
      <c r="J183" s="370"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4">
      <c r="G184" s="138"/>
      <c r="H184" s="383"/>
      <c r="J184" s="361"/>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45">
      <c r="G185" s="138"/>
      <c r="H185" s="383"/>
      <c r="J185" s="361"/>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45">
      <c r="G186" s="138"/>
      <c r="H186" s="383"/>
      <c r="J186" s="361"/>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4">
      <c r="G187" s="138"/>
      <c r="H187" s="383"/>
      <c r="J187" s="361"/>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45">
      <c r="G188" s="138"/>
      <c r="H188" s="383"/>
      <c r="J188" s="361"/>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45">
      <c r="G189" s="138"/>
      <c r="H189" s="383"/>
      <c r="J189" s="361"/>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45">
      <c r="A190" s="131"/>
      <c r="B190" s="131"/>
      <c r="C190" s="131"/>
      <c r="D190" s="131"/>
      <c r="E190" s="131"/>
      <c r="F190" s="131"/>
      <c r="G190" s="138"/>
      <c r="H190" s="393"/>
      <c r="I190" s="131"/>
      <c r="J190" s="361"/>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45">
      <c r="A191" s="131"/>
      <c r="B191" s="131"/>
      <c r="C191" s="131"/>
      <c r="D191" s="131"/>
      <c r="E191" s="131"/>
      <c r="F191" s="131"/>
      <c r="G191" s="138"/>
      <c r="H191" s="394"/>
      <c r="I191" s="131"/>
      <c r="J191" s="361"/>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45">
      <c r="G192" s="138"/>
      <c r="H192" s="383"/>
      <c r="J192" s="361"/>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45">
      <c r="A193" s="131"/>
      <c r="B193" s="131"/>
      <c r="C193" s="131"/>
      <c r="D193" s="131"/>
      <c r="E193" s="131"/>
      <c r="F193" s="131"/>
      <c r="G193" s="138"/>
      <c r="H193" s="393"/>
      <c r="I193" s="131"/>
      <c r="J193" s="361"/>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45">
      <c r="A194" s="131"/>
      <c r="B194" s="131"/>
      <c r="C194" s="131"/>
      <c r="D194" s="131"/>
      <c r="E194" s="131"/>
      <c r="F194" s="131"/>
      <c r="G194" s="138"/>
      <c r="H194" s="394"/>
      <c r="I194" s="131"/>
      <c r="J194" s="361"/>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4">
      <c r="G195" s="138"/>
      <c r="H195" s="383"/>
      <c r="J195" s="361"/>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4">
      <c r="G196" s="138"/>
      <c r="H196" s="383"/>
      <c r="J196" s="361"/>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45">
      <c r="G197" s="138"/>
      <c r="H197" s="383"/>
      <c r="J197" s="361"/>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4">
      <c r="G198" s="138"/>
      <c r="H198" s="383"/>
      <c r="J198" s="361"/>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4">
      <c r="G199" s="138"/>
      <c r="H199" s="383"/>
      <c r="J199" s="361"/>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45">
      <c r="G200" s="138"/>
      <c r="H200" s="383"/>
      <c r="J200" s="361"/>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45">
      <c r="G201" s="138"/>
      <c r="H201" s="383"/>
      <c r="J201" s="361"/>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4">
      <c r="G202" s="138"/>
      <c r="H202" s="383"/>
      <c r="J202" s="361"/>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45">
      <c r="G203" s="138"/>
      <c r="H203" s="383"/>
      <c r="J203" s="361"/>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45">
      <c r="G204" s="138"/>
      <c r="H204" s="383"/>
      <c r="J204" s="361"/>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45">
      <c r="A205" s="131"/>
      <c r="B205" s="131"/>
      <c r="C205" s="131"/>
      <c r="D205" s="131"/>
      <c r="E205" s="131"/>
      <c r="F205" s="131"/>
      <c r="G205" s="138"/>
      <c r="H205" s="393"/>
      <c r="I205" s="131"/>
      <c r="J205" s="361"/>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45">
      <c r="A206" s="131"/>
      <c r="B206" s="131"/>
      <c r="C206" s="131"/>
      <c r="D206" s="131"/>
      <c r="E206" s="131"/>
      <c r="F206" s="131"/>
      <c r="G206" s="138"/>
      <c r="H206" s="394"/>
      <c r="I206" s="131"/>
      <c r="J206" s="361"/>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45">
      <c r="G207" s="138"/>
      <c r="H207" s="383"/>
      <c r="J207" s="361"/>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45">
      <c r="A208" s="131"/>
      <c r="B208" s="131"/>
      <c r="C208" s="131"/>
      <c r="D208" s="131"/>
      <c r="E208" s="131"/>
      <c r="F208" s="131"/>
      <c r="G208" s="138"/>
      <c r="H208" s="393"/>
      <c r="I208" s="131"/>
      <c r="J208" s="361"/>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45">
      <c r="A209" s="131"/>
      <c r="B209" s="131"/>
      <c r="C209" s="131"/>
      <c r="D209" s="131"/>
      <c r="E209" s="131"/>
      <c r="F209" s="131"/>
      <c r="G209" s="138"/>
      <c r="H209" s="394"/>
      <c r="I209" s="131"/>
      <c r="J209" s="361"/>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4">
      <c r="G210" s="138"/>
      <c r="H210" s="383"/>
      <c r="J210" s="361"/>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4">
      <c r="G211" s="138"/>
      <c r="H211" s="383"/>
      <c r="J211" s="361"/>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45">
      <c r="G212" s="138"/>
      <c r="H212" s="383"/>
      <c r="J212" s="371"/>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4">
      <c r="G213" s="138"/>
      <c r="H213" s="383"/>
      <c r="J213" s="201"/>
      <c r="K213" s="135"/>
      <c r="L213" s="135"/>
    </row>
    <row r="214" spans="1:89" ht="14.25" customHeight="1" x14ac:dyDescent="0.35">
      <c r="G214" s="138"/>
      <c r="H214" s="383"/>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4">
      <c r="G215" s="138"/>
      <c r="H215" s="383"/>
      <c r="J215" s="370"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4">
      <c r="G216" s="138"/>
      <c r="H216" s="383"/>
      <c r="J216" s="361"/>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45">
      <c r="G217" s="138"/>
      <c r="H217" s="383"/>
      <c r="J217" s="361"/>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4">
      <c r="G218" s="138"/>
      <c r="H218" s="383"/>
      <c r="J218" s="361"/>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4">
      <c r="G219" s="138"/>
      <c r="H219" s="383"/>
      <c r="J219" s="361"/>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45">
      <c r="G220" s="138"/>
      <c r="H220" s="383"/>
      <c r="J220" s="361"/>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45">
      <c r="G221" s="138"/>
      <c r="H221" s="383"/>
      <c r="J221" s="361"/>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45">
      <c r="A222" s="131"/>
      <c r="B222" s="131"/>
      <c r="C222" s="131"/>
      <c r="D222" s="131"/>
      <c r="E222" s="131"/>
      <c r="F222" s="131"/>
      <c r="G222" s="138"/>
      <c r="H222" s="393"/>
      <c r="I222" s="131"/>
      <c r="J222" s="361"/>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45">
      <c r="A223" s="131"/>
      <c r="B223" s="131"/>
      <c r="C223" s="131"/>
      <c r="D223" s="131"/>
      <c r="E223" s="131"/>
      <c r="F223" s="131"/>
      <c r="G223" s="138"/>
      <c r="H223" s="394"/>
      <c r="I223" s="131"/>
      <c r="J223" s="361"/>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45">
      <c r="G224" s="138"/>
      <c r="H224" s="383"/>
      <c r="J224" s="361"/>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45">
      <c r="A225" s="131"/>
      <c r="B225" s="131"/>
      <c r="C225" s="131"/>
      <c r="D225" s="131"/>
      <c r="E225" s="131"/>
      <c r="F225" s="131"/>
      <c r="G225" s="138"/>
      <c r="H225" s="393"/>
      <c r="I225" s="131"/>
      <c r="J225" s="361"/>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45">
      <c r="A226" s="131"/>
      <c r="B226" s="131"/>
      <c r="C226" s="131"/>
      <c r="D226" s="131"/>
      <c r="E226" s="131"/>
      <c r="F226" s="131"/>
      <c r="G226" s="138"/>
      <c r="H226" s="394"/>
      <c r="I226" s="131"/>
      <c r="J226" s="361"/>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4">
      <c r="G227" s="138"/>
      <c r="H227" s="383"/>
      <c r="J227" s="361"/>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4">
      <c r="G228" s="138"/>
      <c r="H228" s="383"/>
      <c r="J228" s="361"/>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45">
      <c r="G229" s="138"/>
      <c r="H229" s="383"/>
      <c r="J229" s="361"/>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4">
      <c r="G230" s="138"/>
      <c r="H230" s="383"/>
      <c r="J230" s="361"/>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4">
      <c r="G231" s="138"/>
      <c r="H231" s="383"/>
      <c r="J231" s="361"/>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45">
      <c r="G232" s="138"/>
      <c r="H232" s="383"/>
      <c r="J232" s="361"/>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4">
      <c r="G233" s="138"/>
      <c r="H233" s="383"/>
      <c r="J233" s="361"/>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4">
      <c r="G234" s="138"/>
      <c r="H234" s="383"/>
      <c r="J234" s="361"/>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45">
      <c r="G235" s="138"/>
      <c r="H235" s="383"/>
      <c r="J235" s="361"/>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45">
      <c r="G236" s="138"/>
      <c r="H236" s="383"/>
      <c r="J236" s="361"/>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45">
      <c r="A237" s="131"/>
      <c r="B237" s="131"/>
      <c r="C237" s="131"/>
      <c r="D237" s="131"/>
      <c r="E237" s="131"/>
      <c r="F237" s="131"/>
      <c r="G237" s="138"/>
      <c r="H237" s="393"/>
      <c r="I237" s="131"/>
      <c r="J237" s="361"/>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45">
      <c r="A238" s="131"/>
      <c r="B238" s="131"/>
      <c r="C238" s="131"/>
      <c r="D238" s="131"/>
      <c r="E238" s="131"/>
      <c r="F238" s="131"/>
      <c r="G238" s="138"/>
      <c r="H238" s="394"/>
      <c r="I238" s="131"/>
      <c r="J238" s="361"/>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45">
      <c r="G239" s="138"/>
      <c r="H239" s="383"/>
      <c r="J239" s="361"/>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45">
      <c r="A240" s="131"/>
      <c r="B240" s="131"/>
      <c r="C240" s="131"/>
      <c r="D240" s="131"/>
      <c r="E240" s="131"/>
      <c r="F240" s="131"/>
      <c r="G240" s="138"/>
      <c r="H240" s="393"/>
      <c r="I240" s="131"/>
      <c r="J240" s="361"/>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45">
      <c r="A241" s="131"/>
      <c r="B241" s="131"/>
      <c r="C241" s="131"/>
      <c r="D241" s="131"/>
      <c r="E241" s="131"/>
      <c r="F241" s="131"/>
      <c r="G241" s="138"/>
      <c r="H241" s="394"/>
      <c r="I241" s="131"/>
      <c r="J241" s="361"/>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4">
      <c r="G242" s="138"/>
      <c r="H242" s="383"/>
      <c r="J242" s="361"/>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4">
      <c r="G243" s="138"/>
      <c r="H243" s="383"/>
      <c r="J243" s="361"/>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4">
      <c r="G244" s="138"/>
      <c r="H244" s="383"/>
      <c r="J244" s="371"/>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4">
      <c r="G245" s="138"/>
      <c r="H245" s="383"/>
      <c r="J245" s="201"/>
      <c r="K245" s="135"/>
      <c r="L245" s="135"/>
    </row>
    <row r="246" spans="1:89" ht="14.25" customHeight="1" x14ac:dyDescent="0.35">
      <c r="G246" s="138"/>
      <c r="H246" s="383"/>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4">
      <c r="G247" s="138"/>
      <c r="H247" s="383"/>
      <c r="J247" s="370"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4">
      <c r="G248" s="138"/>
      <c r="H248" s="383"/>
      <c r="J248" s="361"/>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45">
      <c r="G249" s="138"/>
      <c r="H249" s="383"/>
      <c r="J249" s="361"/>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4">
      <c r="G250" s="138"/>
      <c r="H250" s="383"/>
      <c r="J250" s="361"/>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4">
      <c r="G251" s="138"/>
      <c r="H251" s="383"/>
      <c r="J251" s="361"/>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45">
      <c r="G252" s="138"/>
      <c r="H252" s="383"/>
      <c r="J252" s="361"/>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4">
      <c r="G253" s="138"/>
      <c r="H253" s="383"/>
      <c r="J253" s="361"/>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4">
      <c r="G254" s="138"/>
      <c r="H254" s="383"/>
      <c r="J254" s="361"/>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45">
      <c r="G255" s="138"/>
      <c r="H255" s="383"/>
      <c r="J255" s="361"/>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4">
      <c r="G256" s="138"/>
      <c r="H256" s="383"/>
      <c r="J256" s="361"/>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4">
      <c r="G257" s="138"/>
      <c r="H257" s="383"/>
      <c r="J257" s="361"/>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45">
      <c r="G258" s="138"/>
      <c r="H258" s="383"/>
      <c r="J258" s="361"/>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4">
      <c r="G259" s="138"/>
      <c r="H259" s="383"/>
      <c r="J259" s="361"/>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4">
      <c r="G260" s="138"/>
      <c r="H260" s="383"/>
      <c r="J260" s="361"/>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45">
      <c r="G261" s="138"/>
      <c r="H261" s="383"/>
      <c r="J261" s="361"/>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4">
      <c r="G262" s="138"/>
      <c r="H262" s="383"/>
      <c r="J262" s="361"/>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4">
      <c r="G263" s="138"/>
      <c r="H263" s="383"/>
      <c r="J263" s="361"/>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45">
      <c r="G264" s="138"/>
      <c r="H264" s="383"/>
      <c r="J264" s="361"/>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4">
      <c r="G265" s="138"/>
      <c r="H265" s="383"/>
      <c r="J265" s="361"/>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4">
      <c r="G266" s="138"/>
      <c r="H266" s="383"/>
      <c r="J266" s="361"/>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45">
      <c r="G267" s="138"/>
      <c r="H267" s="383"/>
      <c r="J267" s="361"/>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4">
      <c r="G268" s="138"/>
      <c r="H268" s="383"/>
      <c r="J268" s="361"/>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4">
      <c r="G269" s="138"/>
      <c r="H269" s="383"/>
      <c r="J269" s="361"/>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45">
      <c r="G270" s="138"/>
      <c r="H270" s="383"/>
      <c r="J270" s="361"/>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4">
      <c r="G271" s="138"/>
      <c r="H271" s="383"/>
      <c r="J271" s="361"/>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4">
      <c r="G272" s="138"/>
      <c r="H272" s="383"/>
      <c r="J272" s="361"/>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45">
      <c r="G273" s="138"/>
      <c r="H273" s="383"/>
      <c r="J273" s="361"/>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4">
      <c r="G274" s="138"/>
      <c r="H274" s="383"/>
      <c r="J274" s="361"/>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4">
      <c r="G275" s="138"/>
      <c r="H275" s="383"/>
      <c r="J275" s="361"/>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45">
      <c r="G276" s="138"/>
      <c r="H276" s="383"/>
      <c r="J276" s="371"/>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4">
      <c r="G277" s="138"/>
      <c r="H277" s="383"/>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35">
      <c r="A278" s="131" t="s">
        <v>303</v>
      </c>
      <c r="G278" s="138"/>
      <c r="H278" s="383"/>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4">
      <c r="G279" s="138"/>
      <c r="H279" s="383"/>
      <c r="J279" s="370"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4">
      <c r="G280" s="138"/>
      <c r="H280" s="383"/>
      <c r="J280" s="361"/>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45">
      <c r="G281" s="138"/>
      <c r="H281" s="383"/>
      <c r="J281" s="361"/>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4">
      <c r="G282" s="138"/>
      <c r="H282" s="383"/>
      <c r="J282" s="361"/>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4">
      <c r="G283" s="138"/>
      <c r="H283" s="383"/>
      <c r="J283" s="361"/>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45">
      <c r="G284" s="138"/>
      <c r="H284" s="383"/>
      <c r="J284" s="361"/>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4">
      <c r="G285" s="138"/>
      <c r="H285" s="383"/>
      <c r="J285" s="361"/>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4">
      <c r="G286" s="138"/>
      <c r="H286" s="383"/>
      <c r="J286" s="361"/>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45">
      <c r="G287" s="138"/>
      <c r="H287" s="383"/>
      <c r="J287" s="361"/>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4">
      <c r="G288" s="138"/>
      <c r="H288" s="383"/>
      <c r="J288" s="361"/>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4">
      <c r="G289" s="138"/>
      <c r="H289" s="383"/>
      <c r="J289" s="361"/>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45">
      <c r="G290" s="138"/>
      <c r="H290" s="383"/>
      <c r="J290" s="361"/>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4">
      <c r="G291" s="138"/>
      <c r="H291" s="383"/>
      <c r="J291" s="361"/>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4">
      <c r="G292" s="138"/>
      <c r="H292" s="383"/>
      <c r="J292" s="361"/>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4">
      <c r="G293" s="138"/>
      <c r="H293" s="383"/>
      <c r="J293" s="361"/>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4">
      <c r="G294" s="138"/>
      <c r="H294" s="383"/>
      <c r="J294" s="361"/>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4">
      <c r="G295" s="138"/>
      <c r="H295" s="383"/>
      <c r="J295" s="361"/>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45">
      <c r="G296" s="138"/>
      <c r="H296" s="383"/>
      <c r="J296" s="361"/>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4">
      <c r="G297" s="138"/>
      <c r="H297" s="383"/>
      <c r="J297" s="361"/>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4">
      <c r="G298" s="138"/>
      <c r="H298" s="383"/>
      <c r="J298" s="361"/>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45">
      <c r="G299" s="138"/>
      <c r="H299" s="383"/>
      <c r="J299" s="361"/>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4">
      <c r="G300" s="138"/>
      <c r="H300" s="383"/>
      <c r="J300" s="361"/>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4">
      <c r="G301" s="138"/>
      <c r="H301" s="383"/>
      <c r="J301" s="361"/>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45">
      <c r="G302" s="138"/>
      <c r="H302" s="383"/>
      <c r="J302" s="361"/>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4">
      <c r="G303" s="138"/>
      <c r="H303" s="383"/>
      <c r="J303" s="361"/>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4">
      <c r="G304" s="138"/>
      <c r="H304" s="383"/>
      <c r="J304" s="361"/>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45">
      <c r="G305" s="138"/>
      <c r="H305" s="383"/>
      <c r="J305" s="361"/>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4">
      <c r="G306" s="138"/>
      <c r="H306" s="383"/>
      <c r="J306" s="361"/>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4">
      <c r="G307" s="138"/>
      <c r="H307" s="383"/>
      <c r="J307" s="361"/>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4">
      <c r="G308" s="138"/>
      <c r="H308" s="383"/>
      <c r="J308" s="371"/>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4">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3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4">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3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35">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4">
      <c r="G314" s="138"/>
      <c r="H314" s="415" t="s">
        <v>305</v>
      </c>
      <c r="J314" s="370"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4">
      <c r="G315" s="138"/>
      <c r="H315" s="383"/>
      <c r="J315" s="361"/>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45">
      <c r="G316" s="138"/>
      <c r="H316" s="383"/>
      <c r="J316" s="361"/>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4">
      <c r="G317" s="138"/>
      <c r="H317" s="383"/>
      <c r="J317" s="361"/>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4">
      <c r="G318" s="138"/>
      <c r="H318" s="383"/>
      <c r="J318" s="361"/>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45">
      <c r="G319" s="138"/>
      <c r="H319" s="383"/>
      <c r="J319" s="361"/>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4">
      <c r="G320" s="138"/>
      <c r="H320" s="383"/>
      <c r="J320" s="361"/>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4">
      <c r="G321" s="138"/>
      <c r="H321" s="383"/>
      <c r="J321" s="361"/>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45">
      <c r="G322" s="138"/>
      <c r="H322" s="383"/>
      <c r="J322" s="361"/>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4">
      <c r="G323" s="138"/>
      <c r="H323" s="383"/>
      <c r="J323" s="361"/>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4">
      <c r="G324" s="138"/>
      <c r="H324" s="383"/>
      <c r="J324" s="361"/>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45">
      <c r="G325" s="138"/>
      <c r="H325" s="383"/>
      <c r="J325" s="361"/>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4">
      <c r="G326" s="138"/>
      <c r="H326" s="383"/>
      <c r="J326" s="361"/>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4">
      <c r="G327" s="138"/>
      <c r="H327" s="383"/>
      <c r="J327" s="361"/>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4">
      <c r="G328" s="138"/>
      <c r="H328" s="383"/>
      <c r="J328" s="361"/>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4">
      <c r="G329" s="138"/>
      <c r="H329" s="383"/>
      <c r="J329" s="361"/>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4">
      <c r="G330" s="138"/>
      <c r="H330" s="383"/>
      <c r="J330" s="361"/>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45">
      <c r="G331" s="138"/>
      <c r="H331" s="383"/>
      <c r="J331" s="361"/>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4">
      <c r="G332" s="138"/>
      <c r="H332" s="383"/>
      <c r="J332" s="361"/>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4">
      <c r="G333" s="138"/>
      <c r="H333" s="383"/>
      <c r="J333" s="361"/>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45">
      <c r="G334" s="138"/>
      <c r="H334" s="383"/>
      <c r="J334" s="361"/>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4">
      <c r="G335" s="138"/>
      <c r="H335" s="383"/>
      <c r="J335" s="361"/>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4">
      <c r="G336" s="138"/>
      <c r="H336" s="383"/>
      <c r="J336" s="361"/>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45">
      <c r="G337" s="138"/>
      <c r="H337" s="383"/>
      <c r="J337" s="361"/>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4">
      <c r="G338" s="138"/>
      <c r="H338" s="383"/>
      <c r="J338" s="361"/>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4">
      <c r="G339" s="138"/>
      <c r="H339" s="383"/>
      <c r="J339" s="361"/>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45">
      <c r="G340" s="138"/>
      <c r="H340" s="383"/>
      <c r="J340" s="361"/>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4">
      <c r="G341" s="138"/>
      <c r="H341" s="383"/>
      <c r="J341" s="361"/>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4">
      <c r="G342" s="138"/>
      <c r="H342" s="383"/>
      <c r="J342" s="361"/>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4">
      <c r="G343" s="138"/>
      <c r="H343" s="383"/>
      <c r="J343" s="371"/>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4">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3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35">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4">
      <c r="G347" s="138"/>
      <c r="H347" s="424" t="s">
        <v>307</v>
      </c>
      <c r="J347" s="429"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4">
      <c r="G348" s="138"/>
      <c r="H348" s="383"/>
      <c r="J348" s="383"/>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45">
      <c r="G349" s="138"/>
      <c r="H349" s="383"/>
      <c r="J349" s="383"/>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4">
      <c r="G350" s="138"/>
      <c r="H350" s="383"/>
      <c r="J350" s="383"/>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4">
      <c r="G351" s="138"/>
      <c r="H351" s="383"/>
      <c r="J351" s="383"/>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45">
      <c r="G352" s="138"/>
      <c r="H352" s="383"/>
      <c r="J352" s="383"/>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4">
      <c r="G353" s="138"/>
      <c r="H353" s="383"/>
      <c r="J353" s="383"/>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4">
      <c r="G354" s="138"/>
      <c r="H354" s="383"/>
      <c r="J354" s="383"/>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45">
      <c r="G355" s="138"/>
      <c r="H355" s="383"/>
      <c r="J355" s="383"/>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4">
      <c r="G356" s="138"/>
      <c r="H356" s="383"/>
      <c r="J356" s="383"/>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4">
      <c r="G357" s="138"/>
      <c r="H357" s="383"/>
      <c r="J357" s="383"/>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45">
      <c r="G358" s="138"/>
      <c r="H358" s="383"/>
      <c r="J358" s="383"/>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4">
      <c r="G359" s="138"/>
      <c r="H359" s="383"/>
      <c r="J359" s="383"/>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4">
      <c r="G360" s="138"/>
      <c r="H360" s="383"/>
      <c r="J360" s="383"/>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45">
      <c r="G361" s="138"/>
      <c r="H361" s="383"/>
      <c r="J361" s="383"/>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4">
      <c r="G362" s="138"/>
      <c r="H362" s="383"/>
      <c r="J362" s="383"/>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4">
      <c r="G363" s="138"/>
      <c r="H363" s="383"/>
      <c r="J363" s="383"/>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45">
      <c r="G364" s="138"/>
      <c r="H364" s="383"/>
      <c r="J364" s="383"/>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4">
      <c r="G365" s="138"/>
      <c r="H365" s="383"/>
      <c r="J365" s="383"/>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4">
      <c r="G366" s="138"/>
      <c r="H366" s="383"/>
      <c r="J366" s="383"/>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45">
      <c r="G367" s="138"/>
      <c r="H367" s="383"/>
      <c r="J367" s="383"/>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4">
      <c r="G368" s="138"/>
      <c r="H368" s="383"/>
      <c r="J368" s="383"/>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4">
      <c r="G369" s="138"/>
      <c r="H369" s="383"/>
      <c r="J369" s="383"/>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45">
      <c r="G370" s="138"/>
      <c r="H370" s="383"/>
      <c r="J370" s="383"/>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4">
      <c r="G371" s="138"/>
      <c r="H371" s="383"/>
      <c r="J371" s="383"/>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4">
      <c r="G372" s="138"/>
      <c r="H372" s="383"/>
      <c r="J372" s="383"/>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45">
      <c r="G373" s="138"/>
      <c r="H373" s="383"/>
      <c r="J373" s="383"/>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4">
      <c r="G374" s="138"/>
      <c r="H374" s="383"/>
      <c r="J374" s="383"/>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4">
      <c r="G375" s="138"/>
      <c r="H375" s="383"/>
      <c r="J375" s="383"/>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45">
      <c r="G376" s="138"/>
      <c r="H376" s="425"/>
      <c r="J376" s="425"/>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3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35">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4">
      <c r="G379" s="138"/>
      <c r="H379" s="428" t="s">
        <v>309</v>
      </c>
      <c r="J379" s="360"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4">
      <c r="G380" s="138"/>
      <c r="H380" s="383"/>
      <c r="J380" s="361"/>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4">
      <c r="G381" s="138"/>
      <c r="H381" s="383"/>
      <c r="J381" s="361"/>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4">
      <c r="G382" s="138"/>
      <c r="H382" s="383"/>
      <c r="J382" s="361"/>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4">
      <c r="G383" s="138"/>
      <c r="H383" s="383"/>
      <c r="J383" s="361"/>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4">
      <c r="G384" s="138"/>
      <c r="H384" s="383"/>
      <c r="J384" s="361"/>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4">
      <c r="G385" s="138"/>
      <c r="H385" s="383"/>
      <c r="J385" s="361"/>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4">
      <c r="G386" s="138"/>
      <c r="H386" s="383"/>
      <c r="J386" s="361"/>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4">
      <c r="G387" s="138"/>
      <c r="H387" s="383"/>
      <c r="J387" s="361"/>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4">
      <c r="G388" s="138"/>
      <c r="H388" s="383"/>
      <c r="J388" s="361"/>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4">
      <c r="G389" s="138"/>
      <c r="H389" s="383"/>
      <c r="J389" s="361"/>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4">
      <c r="G390" s="138"/>
      <c r="H390" s="383"/>
      <c r="J390" s="361"/>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4">
      <c r="G391" s="138"/>
      <c r="H391" s="383"/>
      <c r="J391" s="361"/>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4">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35">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35">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35">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35">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35">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35">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4">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3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3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3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3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3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3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35">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3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3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3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3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3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3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35">
      <c r="G413" s="307"/>
      <c r="J413" s="308"/>
      <c r="K413" s="308"/>
      <c r="L413" s="308"/>
      <c r="M413" s="308"/>
      <c r="N413" s="308"/>
    </row>
    <row r="414" spans="6:42" ht="15.75" customHeight="1" thickBot="1" x14ac:dyDescent="0.4">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45">
      <c r="F415" s="250"/>
      <c r="H415" s="233"/>
      <c r="J415" s="360"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45">
      <c r="F416" s="250"/>
      <c r="H416" s="233"/>
      <c r="J416" s="361"/>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4">
      <c r="F417" s="250"/>
      <c r="H417" s="233"/>
      <c r="J417" s="361"/>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4">
      <c r="F418" s="250"/>
      <c r="H418" s="233"/>
      <c r="J418" s="126"/>
    </row>
    <row r="419" spans="6:42" ht="14.25" customHeight="1" thickTop="1" thickBot="1" x14ac:dyDescent="0.4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4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4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4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4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4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4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4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4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4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4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4">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4">
      <c r="C433" s="136" t="s">
        <v>222</v>
      </c>
      <c r="G433" s="387" t="s">
        <v>328</v>
      </c>
      <c r="H433" s="383"/>
      <c r="I433" s="383"/>
      <c r="J433" s="383"/>
      <c r="K433" s="383"/>
      <c r="L433" s="383"/>
      <c r="M433" s="383"/>
      <c r="N433" s="383"/>
      <c r="O433" s="383"/>
      <c r="P433" s="383"/>
      <c r="Q433" s="383"/>
      <c r="R433" s="383"/>
      <c r="S433" s="383"/>
      <c r="T433" s="383"/>
      <c r="U433" s="383"/>
      <c r="V433" s="137"/>
      <c r="W433" s="137"/>
      <c r="X433" s="137"/>
      <c r="Y433" s="137"/>
      <c r="Z433" s="137"/>
      <c r="AA433" s="137"/>
      <c r="AB433" s="137"/>
    </row>
    <row r="434" spans="3:29" ht="14.25" customHeight="1" thickBot="1" x14ac:dyDescent="0.4">
      <c r="N434" s="309"/>
      <c r="O434" s="309"/>
      <c r="P434" s="309"/>
      <c r="Q434" s="309"/>
      <c r="R434" s="309"/>
      <c r="S434" s="309"/>
      <c r="T434" s="309"/>
      <c r="U434" s="309"/>
    </row>
    <row r="435" spans="3:29" ht="14.25" customHeight="1" x14ac:dyDescent="0.45">
      <c r="H435" s="416" t="s">
        <v>329</v>
      </c>
      <c r="I435" s="396"/>
      <c r="J435" s="396"/>
      <c r="K435" s="396"/>
      <c r="L435" s="396"/>
      <c r="M435" s="396"/>
      <c r="N435" s="398" t="s">
        <v>330</v>
      </c>
      <c r="O435" s="386"/>
      <c r="P435" s="386"/>
      <c r="Q435" s="386"/>
      <c r="R435" s="399"/>
      <c r="S435" s="310" t="s">
        <v>331</v>
      </c>
      <c r="T435" s="310" t="s">
        <v>332</v>
      </c>
      <c r="U435" s="311"/>
      <c r="V435" s="312"/>
      <c r="W435" s="312"/>
      <c r="X435" s="312"/>
      <c r="Y435" s="312"/>
      <c r="Z435" s="312"/>
      <c r="AA435" s="312"/>
      <c r="AB435" s="313"/>
    </row>
    <row r="436" spans="3:29" ht="14.25" customHeight="1" x14ac:dyDescent="0.45">
      <c r="H436" s="380" t="s">
        <v>232</v>
      </c>
      <c r="I436" s="363"/>
      <c r="J436" s="363"/>
      <c r="K436" s="363"/>
      <c r="L436" s="363"/>
      <c r="M436" s="381"/>
      <c r="N436" s="411" t="s">
        <v>333</v>
      </c>
      <c r="O436" s="363"/>
      <c r="P436" s="363"/>
      <c r="Q436" s="363"/>
      <c r="R436" s="363"/>
      <c r="S436" s="314"/>
      <c r="T436" s="314"/>
      <c r="U436" s="262"/>
      <c r="V436" s="262"/>
      <c r="W436" s="262"/>
      <c r="X436" s="262"/>
      <c r="Y436" s="262"/>
      <c r="Z436" s="262"/>
      <c r="AA436" s="262"/>
      <c r="AB436" s="315"/>
      <c r="AC436" s="131" t="s">
        <v>334</v>
      </c>
    </row>
    <row r="437" spans="3:29" ht="14.25" customHeight="1" x14ac:dyDescent="0.45">
      <c r="H437" s="380" t="s">
        <v>297</v>
      </c>
      <c r="I437" s="363"/>
      <c r="J437" s="363"/>
      <c r="K437" s="363"/>
      <c r="L437" s="363"/>
      <c r="M437" s="381"/>
      <c r="N437" s="391" t="s">
        <v>335</v>
      </c>
      <c r="O437" s="363"/>
      <c r="P437" s="363"/>
      <c r="Q437" s="363"/>
      <c r="R437" s="363"/>
      <c r="S437" s="316"/>
      <c r="T437" s="316"/>
      <c r="U437" s="317"/>
      <c r="V437" s="317"/>
      <c r="W437" s="317"/>
      <c r="X437" s="317"/>
      <c r="Y437" s="317"/>
      <c r="Z437" s="317"/>
      <c r="AA437" s="317"/>
      <c r="AB437" s="318"/>
    </row>
    <row r="438" spans="3:29" ht="30.4" customHeight="1" x14ac:dyDescent="0.45">
      <c r="H438" s="380" t="s">
        <v>301</v>
      </c>
      <c r="I438" s="363"/>
      <c r="J438" s="363"/>
      <c r="K438" s="363"/>
      <c r="L438" s="363"/>
      <c r="M438" s="381"/>
      <c r="N438" s="384" t="s">
        <v>336</v>
      </c>
      <c r="O438" s="363"/>
      <c r="P438" s="363"/>
      <c r="Q438" s="363"/>
      <c r="R438" s="381"/>
      <c r="S438" s="319"/>
      <c r="T438" s="319"/>
      <c r="U438" s="320"/>
      <c r="V438" s="320"/>
      <c r="W438" s="320"/>
      <c r="X438" s="320"/>
      <c r="Y438" s="320"/>
      <c r="Z438" s="320"/>
      <c r="AA438" s="320"/>
      <c r="AB438" s="321"/>
      <c r="AC438" s="131" t="s">
        <v>337</v>
      </c>
    </row>
    <row r="439" spans="3:29" ht="32.65" customHeight="1" x14ac:dyDescent="0.45">
      <c r="H439" s="380" t="s">
        <v>338</v>
      </c>
      <c r="I439" s="363"/>
      <c r="J439" s="363"/>
      <c r="K439" s="363"/>
      <c r="L439" s="363"/>
      <c r="M439" s="381"/>
      <c r="N439" s="384" t="s">
        <v>336</v>
      </c>
      <c r="O439" s="363"/>
      <c r="P439" s="363"/>
      <c r="Q439" s="363"/>
      <c r="R439" s="381"/>
      <c r="S439" s="322"/>
      <c r="T439" s="322"/>
      <c r="U439" s="323"/>
      <c r="V439" s="323"/>
      <c r="W439" s="323"/>
      <c r="X439" s="323"/>
      <c r="Y439" s="323"/>
      <c r="Z439" s="323"/>
      <c r="AA439" s="323"/>
      <c r="AB439" s="324"/>
      <c r="AC439" s="131" t="s">
        <v>337</v>
      </c>
    </row>
    <row r="440" spans="3:29" ht="14.25" customHeight="1" x14ac:dyDescent="0.45">
      <c r="H440" s="380" t="s">
        <v>339</v>
      </c>
      <c r="I440" s="363"/>
      <c r="J440" s="363"/>
      <c r="K440" s="363"/>
      <c r="L440" s="363"/>
      <c r="M440" s="381"/>
      <c r="N440" s="401" t="s">
        <v>340</v>
      </c>
      <c r="O440" s="363"/>
      <c r="P440" s="363"/>
      <c r="Q440" s="363"/>
      <c r="R440" s="363"/>
      <c r="S440" s="325"/>
      <c r="T440" s="325"/>
      <c r="U440" s="326"/>
      <c r="V440" s="326"/>
      <c r="W440" s="326"/>
      <c r="X440" s="326"/>
      <c r="Y440" s="326"/>
      <c r="Z440" s="326"/>
      <c r="AA440" s="326"/>
      <c r="AB440" s="327"/>
    </row>
    <row r="441" spans="3:29" ht="14.25" customHeight="1" thickBot="1" x14ac:dyDescent="0.5">
      <c r="H441" s="388" t="s">
        <v>341</v>
      </c>
      <c r="I441" s="389"/>
      <c r="J441" s="389"/>
      <c r="K441" s="389"/>
      <c r="L441" s="389"/>
      <c r="M441" s="390"/>
      <c r="N441" s="413" t="s">
        <v>340</v>
      </c>
      <c r="O441" s="414"/>
      <c r="P441" s="414"/>
      <c r="Q441" s="414"/>
      <c r="R441" s="414"/>
      <c r="S441" s="328"/>
      <c r="T441" s="329"/>
      <c r="U441" s="329"/>
      <c r="V441" s="330"/>
      <c r="W441" s="330"/>
      <c r="X441" s="330"/>
      <c r="Y441" s="330"/>
      <c r="Z441" s="330"/>
      <c r="AA441" s="330"/>
      <c r="AB441" s="331"/>
    </row>
    <row r="442" spans="3:29" ht="14.25" customHeight="1" thickBot="1" x14ac:dyDescent="0.5">
      <c r="H442" s="426"/>
      <c r="I442" s="427"/>
      <c r="J442" s="427"/>
      <c r="K442" s="427"/>
      <c r="L442" s="427"/>
      <c r="M442" s="427"/>
      <c r="N442" s="332"/>
      <c r="O442" s="332"/>
      <c r="P442" s="332"/>
      <c r="Q442" s="332"/>
      <c r="R442" s="332"/>
      <c r="S442" s="332"/>
      <c r="T442" s="332"/>
      <c r="U442" s="333"/>
      <c r="V442" s="333"/>
      <c r="W442" s="333"/>
      <c r="X442" s="333"/>
      <c r="Y442" s="333"/>
      <c r="Z442" s="333"/>
      <c r="AA442" s="333"/>
      <c r="AB442" s="333"/>
    </row>
    <row r="443" spans="3:29" ht="14.25" customHeight="1" x14ac:dyDescent="0.45">
      <c r="H443" s="395" t="s">
        <v>342</v>
      </c>
      <c r="I443" s="396"/>
      <c r="J443" s="396"/>
      <c r="K443" s="396"/>
      <c r="L443" s="396"/>
      <c r="M443" s="397"/>
      <c r="N443" s="398" t="s">
        <v>330</v>
      </c>
      <c r="O443" s="386"/>
      <c r="P443" s="386"/>
      <c r="Q443" s="386"/>
      <c r="R443" s="399"/>
      <c r="S443" s="310" t="s">
        <v>331</v>
      </c>
      <c r="T443" s="310" t="s">
        <v>332</v>
      </c>
      <c r="U443" s="334"/>
      <c r="V443" s="334"/>
      <c r="W443" s="334"/>
      <c r="X443" s="334"/>
      <c r="Y443" s="334"/>
      <c r="Z443" s="334"/>
      <c r="AA443" s="334"/>
      <c r="AB443" s="335"/>
    </row>
    <row r="444" spans="3:29" ht="14.25" customHeight="1" x14ac:dyDescent="0.45">
      <c r="H444" s="380" t="s">
        <v>297</v>
      </c>
      <c r="I444" s="363"/>
      <c r="J444" s="363"/>
      <c r="K444" s="363"/>
      <c r="L444" s="363"/>
      <c r="M444" s="381"/>
      <c r="N444" s="362" t="s">
        <v>343</v>
      </c>
      <c r="O444" s="363"/>
      <c r="P444" s="363"/>
      <c r="Q444" s="363"/>
      <c r="R444" s="363"/>
      <c r="S444" s="325"/>
      <c r="T444" s="325"/>
      <c r="U444" s="326"/>
      <c r="V444" s="326"/>
      <c r="W444" s="326"/>
      <c r="X444" s="326"/>
      <c r="Y444" s="326"/>
      <c r="Z444" s="326"/>
      <c r="AA444" s="326"/>
      <c r="AB444" s="336"/>
    </row>
    <row r="445" spans="3:29" ht="14.25" customHeight="1" x14ac:dyDescent="0.45">
      <c r="H445" s="380" t="s">
        <v>301</v>
      </c>
      <c r="I445" s="363"/>
      <c r="J445" s="363"/>
      <c r="K445" s="363"/>
      <c r="L445" s="363"/>
      <c r="M445" s="381"/>
      <c r="N445" s="362" t="s">
        <v>344</v>
      </c>
      <c r="O445" s="363"/>
      <c r="P445" s="363"/>
      <c r="Q445" s="363"/>
      <c r="R445" s="363"/>
      <c r="S445" s="325"/>
      <c r="T445" s="325"/>
      <c r="U445" s="326"/>
      <c r="V445" s="326"/>
      <c r="W445" s="326"/>
      <c r="X445" s="326"/>
      <c r="Y445" s="326"/>
      <c r="Z445" s="326"/>
      <c r="AA445" s="326"/>
      <c r="AB445" s="336"/>
    </row>
    <row r="446" spans="3:29" ht="30.4" customHeight="1" x14ac:dyDescent="0.45">
      <c r="H446" s="402" t="s">
        <v>345</v>
      </c>
      <c r="I446" s="363"/>
      <c r="J446" s="363"/>
      <c r="K446" s="363"/>
      <c r="L446" s="363"/>
      <c r="M446" s="381"/>
      <c r="N446" s="384" t="s">
        <v>336</v>
      </c>
      <c r="O446" s="363"/>
      <c r="P446" s="363"/>
      <c r="Q446" s="363"/>
      <c r="R446" s="381"/>
      <c r="S446" s="254"/>
      <c r="T446" s="261"/>
      <c r="U446" s="254"/>
      <c r="V446" s="254"/>
      <c r="W446" s="254"/>
      <c r="X446" s="254"/>
      <c r="Y446" s="254"/>
      <c r="Z446" s="254"/>
      <c r="AA446" s="254"/>
      <c r="AB446" s="255"/>
    </row>
    <row r="447" spans="3:29" ht="30.75" customHeight="1" x14ac:dyDescent="0.45">
      <c r="H447" s="380" t="s">
        <v>338</v>
      </c>
      <c r="I447" s="363"/>
      <c r="J447" s="363"/>
      <c r="K447" s="363"/>
      <c r="L447" s="363"/>
      <c r="M447" s="381"/>
      <c r="N447" s="362" t="s">
        <v>344</v>
      </c>
      <c r="O447" s="363"/>
      <c r="P447" s="363"/>
      <c r="Q447" s="363"/>
      <c r="R447" s="363"/>
      <c r="S447" s="325"/>
      <c r="T447" s="325"/>
      <c r="U447" s="326"/>
      <c r="V447" s="326"/>
      <c r="W447" s="326"/>
      <c r="X447" s="326"/>
      <c r="Y447" s="326"/>
      <c r="Z447" s="326"/>
      <c r="AA447" s="326"/>
      <c r="AB447" s="336"/>
    </row>
    <row r="448" spans="3:29" ht="13.5" customHeight="1" x14ac:dyDescent="0.45">
      <c r="H448" s="380" t="s">
        <v>339</v>
      </c>
      <c r="I448" s="363"/>
      <c r="J448" s="363"/>
      <c r="K448" s="363"/>
      <c r="L448" s="363"/>
      <c r="M448" s="381"/>
      <c r="N448" s="401" t="s">
        <v>340</v>
      </c>
      <c r="O448" s="363"/>
      <c r="P448" s="363"/>
      <c r="Q448" s="363"/>
      <c r="R448" s="363"/>
      <c r="S448" s="325"/>
      <c r="T448" s="325"/>
      <c r="U448" s="326"/>
      <c r="V448" s="326"/>
      <c r="W448" s="326"/>
      <c r="X448" s="326"/>
      <c r="Y448" s="326"/>
      <c r="Z448" s="326"/>
      <c r="AA448" s="326"/>
      <c r="AB448" s="336"/>
    </row>
    <row r="449" spans="8:28" ht="14.25" customHeight="1" thickBot="1" x14ac:dyDescent="0.5">
      <c r="H449" s="388" t="s">
        <v>346</v>
      </c>
      <c r="I449" s="389"/>
      <c r="J449" s="389"/>
      <c r="K449" s="389"/>
      <c r="L449" s="389"/>
      <c r="M449" s="390"/>
      <c r="N449" s="413" t="s">
        <v>340</v>
      </c>
      <c r="O449" s="414"/>
      <c r="P449" s="414"/>
      <c r="Q449" s="414"/>
      <c r="R449" s="414"/>
      <c r="S449" s="329"/>
      <c r="T449" s="329"/>
      <c r="U449" s="329"/>
      <c r="V449" s="330"/>
      <c r="W449" s="330"/>
      <c r="X449" s="330"/>
      <c r="Y449" s="330"/>
      <c r="Z449" s="330"/>
      <c r="AA449" s="330"/>
      <c r="AB449" s="331"/>
    </row>
    <row r="453" spans="8:28" ht="14.25" customHeight="1" x14ac:dyDescent="0.35">
      <c r="S453" s="131" t="s">
        <v>303</v>
      </c>
    </row>
    <row r="455" spans="8:28" ht="14.25" customHeight="1" x14ac:dyDescent="0.35">
      <c r="N455" s="337"/>
    </row>
    <row r="457" spans="8:28" ht="14.25" customHeight="1" x14ac:dyDescent="0.35">
      <c r="M457" s="337"/>
    </row>
    <row r="702" spans="13:44" ht="14.25" customHeight="1" x14ac:dyDescent="0.35">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H38:H81"/>
    <mergeCell ref="J15:R15"/>
    <mergeCell ref="J16:R18"/>
    <mergeCell ref="J38:O38"/>
    <mergeCell ref="J87:J116"/>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J26:J36"/>
    <mergeCell ref="N441:R441"/>
    <mergeCell ref="J415:J417"/>
    <mergeCell ref="H314:H343"/>
    <mergeCell ref="N435:R435"/>
    <mergeCell ref="N444:R444"/>
    <mergeCell ref="J314:J343"/>
    <mergeCell ref="H435:M435"/>
    <mergeCell ref="H447:M447"/>
    <mergeCell ref="H438:M438"/>
    <mergeCell ref="J151:J180"/>
    <mergeCell ref="J279:J308"/>
    <mergeCell ref="H444:M444"/>
    <mergeCell ref="H441:M441"/>
    <mergeCell ref="N440:R440"/>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6484375" defaultRowHeight="14.25" customHeight="1" x14ac:dyDescent="0.35"/>
  <cols>
    <col min="1" max="1" width="9.46484375" style="131" customWidth="1"/>
    <col min="2" max="7" width="1.46484375" style="131" customWidth="1"/>
    <col min="8" max="8" width="5.46484375" style="131" customWidth="1"/>
    <col min="9" max="9" width="7.46484375" style="131" bestFit="1" customWidth="1"/>
    <col min="10" max="10" width="16.46484375" style="131" customWidth="1"/>
    <col min="11" max="11" width="55" style="131" bestFit="1" customWidth="1"/>
    <col min="12" max="12" width="22.46484375" style="131" customWidth="1"/>
    <col min="13" max="16" width="11.46484375" style="131" customWidth="1"/>
    <col min="17" max="17" width="12.46484375" style="131" customWidth="1"/>
    <col min="18" max="18" width="13.46484375" style="131" customWidth="1"/>
    <col min="19" max="19" width="14" style="131" customWidth="1"/>
    <col min="20" max="24" width="11.46484375" style="131" customWidth="1"/>
    <col min="25" max="25" width="9.46484375" style="131" bestFit="1" customWidth="1"/>
    <col min="26" max="45" width="11.46484375" style="131" customWidth="1"/>
    <col min="46" max="46" width="9.46484375" style="131" customWidth="1"/>
    <col min="47" max="16384" width="9.46484375" style="131"/>
  </cols>
  <sheetData>
    <row r="1" spans="1:110" ht="18" customHeight="1" x14ac:dyDescent="0.5">
      <c r="A1" s="129" t="s">
        <v>194</v>
      </c>
      <c r="B1" s="129"/>
      <c r="C1" s="129"/>
      <c r="D1" s="129"/>
      <c r="E1" s="129"/>
      <c r="F1" s="129"/>
      <c r="G1" s="129"/>
      <c r="H1" s="129"/>
      <c r="I1" s="130"/>
      <c r="M1" s="17" t="s">
        <v>347</v>
      </c>
    </row>
    <row r="2" spans="1:110" ht="14.25" customHeight="1" x14ac:dyDescent="0.3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35">
      <c r="U3" s="134" t="s">
        <v>220</v>
      </c>
    </row>
    <row r="4" spans="1:110" ht="14.25" customHeight="1" x14ac:dyDescent="0.4">
      <c r="J4" s="135"/>
      <c r="U4" s="403" t="s">
        <v>221</v>
      </c>
    </row>
    <row r="5" spans="1:110" ht="14.25" customHeight="1" x14ac:dyDescent="0.35">
      <c r="U5" s="404"/>
    </row>
    <row r="7" spans="1:110" ht="14.25" customHeight="1" x14ac:dyDescent="0.45">
      <c r="B7" s="136" t="s">
        <v>222</v>
      </c>
      <c r="G7" s="455" t="s">
        <v>348</v>
      </c>
      <c r="H7" s="383"/>
      <c r="I7" s="383"/>
      <c r="J7" s="383"/>
      <c r="K7" s="383"/>
      <c r="L7" s="383"/>
      <c r="M7" s="383"/>
      <c r="N7" s="383"/>
      <c r="O7" s="383"/>
      <c r="P7" s="383"/>
      <c r="Q7" s="383"/>
      <c r="R7" s="383"/>
      <c r="S7" s="383"/>
      <c r="T7" s="383"/>
      <c r="U7" s="383"/>
      <c r="V7" s="383"/>
      <c r="W7" s="383"/>
      <c r="X7" s="456"/>
    </row>
    <row r="8" spans="1:110" ht="14.25" customHeight="1" thickBot="1" x14ac:dyDescent="0.4">
      <c r="G8" s="138"/>
      <c r="X8" s="139"/>
    </row>
    <row r="9" spans="1:110" ht="14.25" customHeight="1" thickBot="1" x14ac:dyDescent="0.5">
      <c r="G9" s="138"/>
      <c r="H9" s="458" t="s">
        <v>224</v>
      </c>
      <c r="J9" s="375" t="s">
        <v>225</v>
      </c>
      <c r="K9" s="376"/>
      <c r="L9" s="377"/>
      <c r="M9" s="459">
        <v>2021</v>
      </c>
      <c r="N9" s="376"/>
      <c r="O9" s="376"/>
      <c r="P9" s="377"/>
      <c r="R9" s="140"/>
      <c r="X9" s="139"/>
    </row>
    <row r="10" spans="1:110" ht="14.25" customHeight="1" thickBot="1" x14ac:dyDescent="0.4">
      <c r="G10" s="138"/>
      <c r="H10" s="383"/>
      <c r="J10" s="141" t="s">
        <v>226</v>
      </c>
      <c r="P10" s="139"/>
      <c r="X10" s="139"/>
    </row>
    <row r="11" spans="1:110" ht="14.25" customHeight="1" x14ac:dyDescent="0.4">
      <c r="G11" s="138"/>
      <c r="H11" s="383"/>
      <c r="J11" s="142" t="s">
        <v>349</v>
      </c>
      <c r="K11" s="143"/>
      <c r="L11" s="143"/>
      <c r="M11" s="143"/>
      <c r="N11" s="143"/>
      <c r="X11" s="139"/>
    </row>
    <row r="12" spans="1:110" ht="13.5" customHeight="1" thickBot="1" x14ac:dyDescent="0.4">
      <c r="G12" s="138"/>
      <c r="H12" s="383"/>
      <c r="X12" s="139"/>
    </row>
    <row r="13" spans="1:110" ht="45.75" customHeight="1" thickBot="1" x14ac:dyDescent="0.4">
      <c r="G13" s="138"/>
      <c r="H13" s="383"/>
      <c r="J13" s="412" t="s">
        <v>234</v>
      </c>
      <c r="K13" s="145" t="s">
        <v>235</v>
      </c>
      <c r="L13" s="145" t="s">
        <v>236</v>
      </c>
      <c r="M13" s="145" t="s">
        <v>237</v>
      </c>
      <c r="N13" s="145" t="s">
        <v>238</v>
      </c>
      <c r="O13" s="145" t="s">
        <v>239</v>
      </c>
      <c r="P13" s="145" t="s">
        <v>350</v>
      </c>
      <c r="Q13" s="145" t="s">
        <v>351</v>
      </c>
      <c r="R13" s="145" t="s">
        <v>352</v>
      </c>
      <c r="X13" s="139"/>
    </row>
    <row r="14" spans="1:110" ht="14.25" customHeight="1" x14ac:dyDescent="0.35">
      <c r="G14" s="138"/>
      <c r="H14" s="383"/>
      <c r="J14" s="383"/>
      <c r="K14" s="146" t="s">
        <v>353</v>
      </c>
      <c r="L14" s="146" t="s">
        <v>354</v>
      </c>
      <c r="M14" s="146" t="s">
        <v>242</v>
      </c>
      <c r="N14" s="146" t="s">
        <v>243</v>
      </c>
      <c r="O14" s="146" t="s">
        <v>244</v>
      </c>
      <c r="P14" s="146" t="s">
        <v>242</v>
      </c>
      <c r="Q14" s="146" t="s">
        <v>355</v>
      </c>
      <c r="R14" s="147">
        <v>9.5</v>
      </c>
      <c r="S14" s="148"/>
      <c r="X14" s="139"/>
    </row>
    <row r="15" spans="1:110" ht="14.25" customHeight="1" x14ac:dyDescent="0.35">
      <c r="G15" s="138"/>
      <c r="H15" s="383"/>
      <c r="J15" s="383"/>
      <c r="K15" s="149" t="s">
        <v>356</v>
      </c>
      <c r="L15" s="149" t="s">
        <v>354</v>
      </c>
      <c r="M15" s="149" t="s">
        <v>246</v>
      </c>
      <c r="N15" s="149" t="s">
        <v>243</v>
      </c>
      <c r="O15" s="149" t="s">
        <v>244</v>
      </c>
      <c r="P15" s="149" t="s">
        <v>246</v>
      </c>
      <c r="Q15" s="149" t="s">
        <v>357</v>
      </c>
      <c r="R15" s="150">
        <v>8.9</v>
      </c>
      <c r="X15" s="139"/>
      <c r="AA15" s="131" t="s">
        <v>303</v>
      </c>
    </row>
    <row r="16" spans="1:110" ht="14.25" customHeight="1" x14ac:dyDescent="0.35">
      <c r="G16" s="138"/>
      <c r="H16" s="383"/>
      <c r="J16" s="383"/>
      <c r="K16" s="151" t="s">
        <v>358</v>
      </c>
      <c r="L16" s="151" t="s">
        <v>354</v>
      </c>
      <c r="M16" s="151" t="s">
        <v>248</v>
      </c>
      <c r="N16" s="151" t="s">
        <v>243</v>
      </c>
      <c r="O16" s="151" t="s">
        <v>244</v>
      </c>
      <c r="P16" s="151" t="s">
        <v>248</v>
      </c>
      <c r="Q16" s="151" t="s">
        <v>359</v>
      </c>
      <c r="R16" s="152">
        <v>8.6999999999999993</v>
      </c>
      <c r="X16" s="139"/>
    </row>
    <row r="17" spans="7:29" ht="14.25" customHeight="1" x14ac:dyDescent="0.35">
      <c r="G17" s="138"/>
      <c r="H17" s="383"/>
      <c r="J17" s="383"/>
      <c r="K17" s="149" t="s">
        <v>360</v>
      </c>
      <c r="L17" s="149" t="s">
        <v>354</v>
      </c>
      <c r="M17" s="149" t="s">
        <v>250</v>
      </c>
      <c r="N17" s="149" t="s">
        <v>243</v>
      </c>
      <c r="O17" s="149" t="s">
        <v>244</v>
      </c>
      <c r="P17" s="149" t="s">
        <v>250</v>
      </c>
      <c r="Q17" s="149" t="s">
        <v>361</v>
      </c>
      <c r="R17" s="150">
        <v>8.5</v>
      </c>
      <c r="X17" s="139"/>
    </row>
    <row r="18" spans="7:29" ht="14.25" customHeight="1" x14ac:dyDescent="0.35">
      <c r="G18" s="138"/>
      <c r="H18" s="383"/>
      <c r="J18" s="383"/>
      <c r="K18" s="151" t="s">
        <v>362</v>
      </c>
      <c r="L18" s="151" t="s">
        <v>354</v>
      </c>
      <c r="M18" s="151" t="s">
        <v>252</v>
      </c>
      <c r="N18" s="151" t="s">
        <v>243</v>
      </c>
      <c r="O18" s="151" t="s">
        <v>244</v>
      </c>
      <c r="P18" s="151" t="s">
        <v>252</v>
      </c>
      <c r="Q18" s="151" t="s">
        <v>363</v>
      </c>
      <c r="R18" s="152">
        <v>8.1999999999999993</v>
      </c>
    </row>
    <row r="19" spans="7:29" ht="14.25" customHeight="1" x14ac:dyDescent="0.35">
      <c r="G19" s="138"/>
      <c r="H19" s="383"/>
      <c r="J19" s="383"/>
      <c r="K19" s="153" t="s">
        <v>364</v>
      </c>
      <c r="L19" s="153" t="s">
        <v>354</v>
      </c>
      <c r="M19" s="153" t="s">
        <v>254</v>
      </c>
      <c r="N19" s="153" t="s">
        <v>243</v>
      </c>
      <c r="O19" s="153" t="s">
        <v>244</v>
      </c>
      <c r="P19" s="153" t="s">
        <v>254</v>
      </c>
      <c r="Q19" s="153" t="s">
        <v>365</v>
      </c>
      <c r="R19" s="154">
        <v>7.8</v>
      </c>
    </row>
    <row r="20" spans="7:29" ht="14.25" customHeight="1" x14ac:dyDescent="0.35">
      <c r="G20" s="138"/>
      <c r="H20" s="383"/>
      <c r="J20" s="383"/>
      <c r="K20" s="151" t="s">
        <v>366</v>
      </c>
      <c r="L20" s="151" t="s">
        <v>354</v>
      </c>
      <c r="M20" s="151" t="s">
        <v>256</v>
      </c>
      <c r="N20" s="151" t="s">
        <v>243</v>
      </c>
      <c r="O20" s="151" t="s">
        <v>244</v>
      </c>
      <c r="P20" s="151" t="s">
        <v>256</v>
      </c>
      <c r="Q20" s="151" t="s">
        <v>367</v>
      </c>
      <c r="R20" s="152">
        <v>7.4</v>
      </c>
    </row>
    <row r="21" spans="7:29" ht="14.25" customHeight="1" x14ac:dyDescent="0.35">
      <c r="G21" s="138"/>
      <c r="H21" s="383"/>
      <c r="J21" s="383"/>
      <c r="K21" s="149" t="s">
        <v>368</v>
      </c>
      <c r="L21" s="149" t="s">
        <v>369</v>
      </c>
      <c r="M21" s="149" t="s">
        <v>258</v>
      </c>
      <c r="N21" s="149" t="s">
        <v>243</v>
      </c>
      <c r="O21" s="149" t="s">
        <v>244</v>
      </c>
      <c r="P21" s="149" t="s">
        <v>258</v>
      </c>
      <c r="Q21" s="149" t="s">
        <v>370</v>
      </c>
      <c r="R21" s="150">
        <v>6.8</v>
      </c>
    </row>
    <row r="22" spans="7:29" ht="14.25" customHeight="1" x14ac:dyDescent="0.35">
      <c r="G22" s="138"/>
      <c r="H22" s="383"/>
      <c r="J22" s="383"/>
      <c r="K22" s="151" t="s">
        <v>371</v>
      </c>
      <c r="L22" s="151" t="s">
        <v>372</v>
      </c>
      <c r="M22" s="151" t="s">
        <v>260</v>
      </c>
      <c r="N22" s="151" t="s">
        <v>243</v>
      </c>
      <c r="O22" s="151" t="s">
        <v>244</v>
      </c>
      <c r="P22" s="151" t="s">
        <v>260</v>
      </c>
      <c r="Q22" s="151" t="s">
        <v>373</v>
      </c>
      <c r="R22" s="152">
        <v>6.2</v>
      </c>
    </row>
    <row r="23" spans="7:29" ht="14.25" customHeight="1" thickBot="1" x14ac:dyDescent="0.4">
      <c r="G23" s="138"/>
      <c r="H23" s="383"/>
      <c r="J23" s="383"/>
      <c r="K23" s="155" t="s">
        <v>374</v>
      </c>
      <c r="L23" s="155" t="s">
        <v>375</v>
      </c>
      <c r="M23" s="155" t="s">
        <v>262</v>
      </c>
      <c r="N23" s="155" t="s">
        <v>243</v>
      </c>
      <c r="O23" s="155" t="s">
        <v>244</v>
      </c>
      <c r="P23" s="155" t="s">
        <v>262</v>
      </c>
      <c r="Q23" s="155" t="s">
        <v>376</v>
      </c>
      <c r="R23" s="156">
        <v>5.2</v>
      </c>
    </row>
    <row r="24" spans="7:29" ht="14.25" customHeight="1" x14ac:dyDescent="0.35">
      <c r="G24" s="138"/>
      <c r="H24" s="383"/>
      <c r="J24" s="383"/>
    </row>
    <row r="25" spans="7:29" ht="14.25" customHeight="1" x14ac:dyDescent="0.35">
      <c r="G25" s="138"/>
      <c r="H25" s="383"/>
      <c r="J25" s="383"/>
      <c r="P25" s="131" t="s">
        <v>377</v>
      </c>
      <c r="U25" s="139"/>
    </row>
    <row r="26" spans="7:29" ht="14.25" customHeight="1" x14ac:dyDescent="0.35">
      <c r="G26" s="138"/>
    </row>
    <row r="27" spans="7:29" ht="14.25" customHeight="1" thickBot="1" x14ac:dyDescent="0.4">
      <c r="G27" s="138"/>
      <c r="Q27" s="131" t="s">
        <v>266</v>
      </c>
      <c r="S27" s="157" t="s">
        <v>267</v>
      </c>
    </row>
    <row r="28" spans="7:29" ht="14.25" customHeight="1" x14ac:dyDescent="0.45">
      <c r="G28" s="138"/>
      <c r="H28" s="451" t="s">
        <v>263</v>
      </c>
      <c r="J28" s="438" t="s">
        <v>264</v>
      </c>
      <c r="K28" s="439"/>
      <c r="L28" s="439"/>
      <c r="M28" s="439"/>
      <c r="N28" s="439"/>
      <c r="O28" s="440"/>
      <c r="Q28" s="131" t="s">
        <v>269</v>
      </c>
      <c r="S28" s="158">
        <v>20</v>
      </c>
    </row>
    <row r="29" spans="7:29" ht="14.25" customHeight="1" thickBot="1" x14ac:dyDescent="0.4">
      <c r="G29" s="138"/>
      <c r="H29" s="383"/>
      <c r="J29" s="159" t="s">
        <v>265</v>
      </c>
      <c r="K29" s="160"/>
      <c r="L29" s="160"/>
      <c r="M29" s="160"/>
      <c r="N29" s="160"/>
      <c r="O29" s="161">
        <v>20</v>
      </c>
      <c r="Z29" s="162"/>
      <c r="AA29" s="162"/>
      <c r="AB29" s="162"/>
      <c r="AC29" s="162"/>
    </row>
    <row r="30" spans="7:29" ht="14.25" customHeight="1" x14ac:dyDescent="0.35">
      <c r="G30" s="138"/>
      <c r="H30" s="383"/>
      <c r="J30" s="163" t="s">
        <v>268</v>
      </c>
      <c r="K30" s="164"/>
      <c r="L30" s="164"/>
      <c r="M30" s="164"/>
      <c r="N30" s="164"/>
      <c r="O30" s="165">
        <v>5</v>
      </c>
    </row>
    <row r="31" spans="7:29" ht="14.25" customHeight="1" thickBot="1" x14ac:dyDescent="0.5">
      <c r="G31" s="138"/>
      <c r="H31" s="383"/>
      <c r="J31" s="442" t="s">
        <v>270</v>
      </c>
      <c r="K31" s="443"/>
      <c r="L31" s="443"/>
      <c r="M31" s="443"/>
      <c r="N31" s="443"/>
      <c r="O31" s="166">
        <v>0.02</v>
      </c>
    </row>
    <row r="32" spans="7:29" ht="14.25" customHeight="1" x14ac:dyDescent="0.4">
      <c r="G32" s="138"/>
      <c r="H32" s="383"/>
      <c r="J32" s="167" t="s">
        <v>271</v>
      </c>
      <c r="K32" s="168"/>
      <c r="L32" s="168"/>
      <c r="N32" s="169"/>
      <c r="O32" s="170">
        <v>3</v>
      </c>
    </row>
    <row r="33" spans="7:42" ht="26.25" customHeight="1" x14ac:dyDescent="0.35">
      <c r="G33" s="138"/>
      <c r="H33" s="383"/>
      <c r="J33" s="171" t="s">
        <v>272</v>
      </c>
      <c r="K33" s="172" t="s">
        <v>273</v>
      </c>
      <c r="L33" s="449" t="s">
        <v>274</v>
      </c>
      <c r="M33" s="450" t="s">
        <v>275</v>
      </c>
    </row>
    <row r="34" spans="7:42" ht="26.25" customHeight="1" x14ac:dyDescent="0.35">
      <c r="G34" s="138"/>
      <c r="H34" s="383"/>
      <c r="J34" s="173" t="s">
        <v>276</v>
      </c>
      <c r="K34" s="174" t="s">
        <v>277</v>
      </c>
      <c r="L34" s="386"/>
      <c r="M34" s="432"/>
    </row>
    <row r="35" spans="7:42" ht="14.25" customHeight="1" x14ac:dyDescent="0.35">
      <c r="G35" s="138"/>
      <c r="H35" s="383"/>
      <c r="J35" s="175">
        <v>0</v>
      </c>
      <c r="K35" s="176">
        <v>0.8</v>
      </c>
      <c r="L35" s="176">
        <v>0.8</v>
      </c>
      <c r="M35" s="177">
        <v>0.2</v>
      </c>
    </row>
    <row r="36" spans="7:42" ht="14.25" customHeight="1" x14ac:dyDescent="0.35">
      <c r="G36" s="138"/>
      <c r="H36" s="383"/>
      <c r="J36" s="178">
        <v>1</v>
      </c>
      <c r="K36" s="179">
        <v>0.1</v>
      </c>
      <c r="L36" s="179">
        <v>0.8</v>
      </c>
      <c r="M36" s="177">
        <v>0.2</v>
      </c>
      <c r="O36" s="180"/>
    </row>
    <row r="37" spans="7:42" ht="14.25" customHeight="1" thickBot="1" x14ac:dyDescent="0.4">
      <c r="G37" s="138"/>
      <c r="H37" s="383"/>
      <c r="J37" s="181">
        <v>2</v>
      </c>
      <c r="K37" s="182">
        <v>0.1</v>
      </c>
      <c r="L37" s="182">
        <v>0.8</v>
      </c>
      <c r="M37" s="183">
        <v>0.2</v>
      </c>
    </row>
    <row r="38" spans="7:42" ht="14.25" customHeight="1" x14ac:dyDescent="0.35">
      <c r="G38" s="138"/>
      <c r="H38" s="383"/>
      <c r="M38" s="184"/>
    </row>
    <row r="39" spans="7:42" ht="14.25" customHeight="1" x14ac:dyDescent="0.35">
      <c r="H39" s="383"/>
    </row>
    <row r="40" spans="7:42" ht="14.25" customHeight="1" x14ac:dyDescent="0.35">
      <c r="H40" s="383"/>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4">
      <c r="H41" s="383"/>
      <c r="J41" s="412"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4">
      <c r="H42" s="383"/>
      <c r="J42" s="383"/>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4">
      <c r="H43" s="383"/>
      <c r="J43" s="383"/>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4">
      <c r="H44" s="383"/>
      <c r="J44" s="383"/>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45">
      <c r="H45" s="383"/>
      <c r="J45" s="383"/>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45">
      <c r="H46" s="383"/>
      <c r="J46" s="383"/>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45">
      <c r="H47" s="383"/>
      <c r="J47" s="383"/>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4">
      <c r="H48" s="383"/>
      <c r="J48" s="383"/>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4">
      <c r="H49" s="383"/>
      <c r="J49" s="383"/>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4">
      <c r="H50" s="383"/>
      <c r="J50" s="383"/>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4">
      <c r="H51" s="383"/>
      <c r="J51" s="383"/>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45">
      <c r="H52" s="383"/>
      <c r="J52" s="383"/>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45">
      <c r="H53" s="383"/>
      <c r="J53" s="383"/>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45">
      <c r="H54" s="383"/>
      <c r="J54" s="383"/>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4">
      <c r="H55" s="383"/>
      <c r="J55" s="383"/>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4">
      <c r="H56" s="383"/>
      <c r="J56" s="383"/>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4">
      <c r="H57" s="383"/>
      <c r="J57" s="383"/>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4">
      <c r="H58" s="383"/>
      <c r="J58" s="383"/>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4">
      <c r="H59" s="383"/>
      <c r="J59" s="383"/>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4">
      <c r="H60" s="383"/>
      <c r="J60" s="383"/>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4">
      <c r="H61" s="383"/>
      <c r="J61" s="383"/>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45">
      <c r="H62" s="383"/>
      <c r="J62" s="383"/>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45">
      <c r="H63" s="383"/>
      <c r="J63" s="383"/>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45">
      <c r="H64" s="383"/>
      <c r="J64" s="383"/>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4">
      <c r="H65" s="383"/>
      <c r="J65" s="383"/>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4">
      <c r="H66" s="383"/>
      <c r="J66" s="383"/>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4">
      <c r="H67" s="383"/>
      <c r="J67" s="383"/>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4">
      <c r="H68" s="383"/>
      <c r="J68" s="383"/>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4">
      <c r="H69" s="383"/>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4">
      <c r="H70" s="383"/>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35">
      <c r="X71" s="190"/>
    </row>
    <row r="72" spans="4:44" ht="14.25" customHeight="1" x14ac:dyDescent="0.3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4">
      <c r="D73" s="136" t="s">
        <v>222</v>
      </c>
      <c r="G73" s="400" t="s">
        <v>294</v>
      </c>
      <c r="H73" s="383"/>
      <c r="I73" s="383"/>
      <c r="J73" s="383"/>
      <c r="K73" s="383"/>
      <c r="L73" s="383"/>
      <c r="M73" s="383"/>
      <c r="N73" s="383"/>
      <c r="O73" s="383"/>
      <c r="P73" s="383"/>
      <c r="Q73" s="383"/>
      <c r="R73" s="383"/>
      <c r="S73" s="383"/>
      <c r="T73" s="383"/>
      <c r="U73" s="383"/>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35">
      <c r="G74" s="138"/>
      <c r="M74" s="131" t="s">
        <v>295</v>
      </c>
    </row>
    <row r="75" spans="4:44" ht="14.25" customHeight="1" thickBot="1" x14ac:dyDescent="0.4">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4">
      <c r="G76" s="138"/>
      <c r="H76" s="392" t="s">
        <v>296</v>
      </c>
      <c r="J76" s="370"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4">
      <c r="G77" s="138"/>
      <c r="H77" s="383"/>
      <c r="J77" s="361"/>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45">
      <c r="G78" s="138"/>
      <c r="H78" s="383"/>
      <c r="J78" s="361"/>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4">
      <c r="G79" s="138"/>
      <c r="H79" s="383"/>
      <c r="J79" s="361"/>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4">
      <c r="G80" s="138"/>
      <c r="H80" s="383"/>
      <c r="J80" s="361"/>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45">
      <c r="G81" s="138"/>
      <c r="H81" s="383"/>
      <c r="J81" s="361"/>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4">
      <c r="G82" s="138"/>
      <c r="H82" s="383"/>
      <c r="J82" s="361"/>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4">
      <c r="G83" s="138"/>
      <c r="H83" s="383"/>
      <c r="J83" s="361"/>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45">
      <c r="G84" s="138"/>
      <c r="H84" s="383"/>
      <c r="J84" s="361"/>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4">
      <c r="G85" s="138"/>
      <c r="H85" s="383"/>
      <c r="J85" s="361"/>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4">
      <c r="G86" s="138"/>
      <c r="H86" s="383"/>
      <c r="J86" s="361"/>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45">
      <c r="G87" s="138"/>
      <c r="H87" s="383"/>
      <c r="J87" s="361"/>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4">
      <c r="G88" s="138"/>
      <c r="H88" s="383"/>
      <c r="J88" s="361"/>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4">
      <c r="G89" s="138"/>
      <c r="H89" s="383"/>
      <c r="J89" s="361"/>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45">
      <c r="G90" s="138"/>
      <c r="H90" s="383"/>
      <c r="J90" s="361"/>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4">
      <c r="G91" s="138"/>
      <c r="H91" s="383"/>
      <c r="J91" s="361"/>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4">
      <c r="G92" s="138"/>
      <c r="H92" s="383"/>
      <c r="J92" s="361"/>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45">
      <c r="G93" s="138"/>
      <c r="H93" s="383"/>
      <c r="J93" s="361"/>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4">
      <c r="G94" s="138"/>
      <c r="H94" s="383"/>
      <c r="J94" s="361"/>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4">
      <c r="G95" s="138"/>
      <c r="H95" s="383"/>
      <c r="J95" s="361"/>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45">
      <c r="G96" s="138"/>
      <c r="H96" s="383"/>
      <c r="J96" s="361"/>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4">
      <c r="G97" s="138"/>
      <c r="H97" s="383"/>
      <c r="J97" s="361"/>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4">
      <c r="G98" s="138"/>
      <c r="H98" s="383"/>
      <c r="J98" s="361"/>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45">
      <c r="G99" s="138"/>
      <c r="H99" s="383"/>
      <c r="J99" s="361"/>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4">
      <c r="G100" s="138"/>
      <c r="H100" s="383"/>
      <c r="J100" s="361"/>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45">
      <c r="G101" s="138"/>
      <c r="H101" s="383"/>
      <c r="J101" s="361"/>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45">
      <c r="G102" s="138"/>
      <c r="H102" s="383"/>
      <c r="J102" s="361"/>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4">
      <c r="G103" s="138"/>
      <c r="H103" s="383"/>
      <c r="J103" s="361"/>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4">
      <c r="G104" s="138"/>
      <c r="H104" s="383"/>
      <c r="J104" s="361"/>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4">
      <c r="G105" s="138"/>
      <c r="H105" s="383"/>
      <c r="J105" s="371"/>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4">
      <c r="G106" s="138"/>
      <c r="H106" s="383"/>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35">
      <c r="G107" s="138"/>
      <c r="H107" s="383"/>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4">
      <c r="G108" s="138"/>
      <c r="H108" s="383"/>
      <c r="J108" s="370"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4">
      <c r="G109" s="138"/>
      <c r="H109" s="383"/>
      <c r="J109" s="361"/>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45">
      <c r="G110" s="138"/>
      <c r="H110" s="383"/>
      <c r="J110" s="361"/>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4">
      <c r="G111" s="138"/>
      <c r="H111" s="383"/>
      <c r="J111" s="361"/>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4">
      <c r="G112" s="138"/>
      <c r="H112" s="383"/>
      <c r="J112" s="361"/>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45">
      <c r="G113" s="138"/>
      <c r="H113" s="383"/>
      <c r="J113" s="361"/>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4">
      <c r="G114" s="138"/>
      <c r="H114" s="383"/>
      <c r="J114" s="361"/>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4">
      <c r="G115" s="138"/>
      <c r="H115" s="383"/>
      <c r="J115" s="361"/>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45">
      <c r="G116" s="138"/>
      <c r="H116" s="383"/>
      <c r="J116" s="361"/>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4">
      <c r="G117" s="138"/>
      <c r="H117" s="383"/>
      <c r="J117" s="361"/>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4">
      <c r="G118" s="138"/>
      <c r="H118" s="383"/>
      <c r="J118" s="361"/>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45">
      <c r="G119" s="138"/>
      <c r="H119" s="383"/>
      <c r="J119" s="361"/>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4">
      <c r="G120" s="138"/>
      <c r="H120" s="383"/>
      <c r="J120" s="361"/>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4">
      <c r="G121" s="138"/>
      <c r="H121" s="383"/>
      <c r="J121" s="361"/>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45">
      <c r="G122" s="138"/>
      <c r="H122" s="383"/>
      <c r="J122" s="361"/>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4">
      <c r="G123" s="138"/>
      <c r="H123" s="383"/>
      <c r="J123" s="361"/>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45">
      <c r="A124" s="131"/>
      <c r="B124" s="131"/>
      <c r="C124" s="131"/>
      <c r="D124" s="131"/>
      <c r="E124" s="131"/>
      <c r="F124" s="131"/>
      <c r="G124" s="138"/>
      <c r="H124" s="393"/>
      <c r="I124" s="131"/>
      <c r="J124" s="361"/>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45">
      <c r="A125" s="131"/>
      <c r="B125" s="131"/>
      <c r="C125" s="131"/>
      <c r="D125" s="131"/>
      <c r="E125" s="131"/>
      <c r="F125" s="131"/>
      <c r="G125" s="138"/>
      <c r="H125" s="394"/>
      <c r="I125" s="131"/>
      <c r="J125" s="361"/>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4">
      <c r="G126" s="138"/>
      <c r="H126" s="383"/>
      <c r="J126" s="361"/>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4">
      <c r="G127" s="138"/>
      <c r="H127" s="383"/>
      <c r="J127" s="361"/>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45">
      <c r="G128" s="138"/>
      <c r="H128" s="383"/>
      <c r="J128" s="361"/>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4">
      <c r="G129" s="138"/>
      <c r="H129" s="383"/>
      <c r="J129" s="361"/>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4">
      <c r="G130" s="138"/>
      <c r="H130" s="383"/>
      <c r="J130" s="361"/>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45">
      <c r="G131" s="138"/>
      <c r="H131" s="383"/>
      <c r="J131" s="361"/>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4">
      <c r="G132" s="138"/>
      <c r="H132" s="383"/>
      <c r="J132" s="361"/>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4">
      <c r="G133" s="138"/>
      <c r="H133" s="383"/>
      <c r="J133" s="361"/>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45">
      <c r="G134" s="138"/>
      <c r="H134" s="383"/>
      <c r="J134" s="361"/>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4">
      <c r="G135" s="138"/>
      <c r="H135" s="383"/>
      <c r="J135" s="361"/>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4">
      <c r="G136" s="138"/>
      <c r="H136" s="383"/>
      <c r="J136" s="361"/>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4">
      <c r="G137" s="138"/>
      <c r="H137" s="383"/>
      <c r="J137" s="371"/>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4">
      <c r="G138" s="138"/>
      <c r="H138" s="383"/>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35">
      <c r="G139" s="138"/>
      <c r="H139" s="383"/>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4">
      <c r="G140" s="138"/>
      <c r="H140" s="383"/>
      <c r="J140" s="370"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4">
      <c r="G141" s="138"/>
      <c r="H141" s="383"/>
      <c r="J141" s="361"/>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45">
      <c r="G142" s="138"/>
      <c r="H142" s="383"/>
      <c r="J142" s="361"/>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4">
      <c r="G143" s="138"/>
      <c r="H143" s="383"/>
      <c r="J143" s="361"/>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4">
      <c r="G144" s="138"/>
      <c r="H144" s="383"/>
      <c r="J144" s="361"/>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45">
      <c r="G145" s="138"/>
      <c r="H145" s="383"/>
      <c r="J145" s="361"/>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4">
      <c r="G146" s="138"/>
      <c r="H146" s="383"/>
      <c r="J146" s="361"/>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4">
      <c r="G147" s="138"/>
      <c r="H147" s="383"/>
      <c r="J147" s="361"/>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45">
      <c r="G148" s="138"/>
      <c r="H148" s="383"/>
      <c r="J148" s="361"/>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4">
      <c r="G149" s="138"/>
      <c r="H149" s="383"/>
      <c r="J149" s="361"/>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4">
      <c r="G150" s="138"/>
      <c r="H150" s="383"/>
      <c r="J150" s="361"/>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45">
      <c r="G151" s="138"/>
      <c r="H151" s="383"/>
      <c r="J151" s="361"/>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4">
      <c r="G152" s="138"/>
      <c r="H152" s="383"/>
      <c r="J152" s="361"/>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4">
      <c r="G153" s="138"/>
      <c r="H153" s="383"/>
      <c r="J153" s="361"/>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45">
      <c r="G154" s="138"/>
      <c r="H154" s="383"/>
      <c r="J154" s="361"/>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4">
      <c r="G155" s="138"/>
      <c r="H155" s="383"/>
      <c r="J155" s="361"/>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4">
      <c r="G156" s="138"/>
      <c r="H156" s="383"/>
      <c r="J156" s="361"/>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45">
      <c r="G157" s="138"/>
      <c r="H157" s="383"/>
      <c r="J157" s="361"/>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4">
      <c r="G158" s="138"/>
      <c r="H158" s="383"/>
      <c r="J158" s="361"/>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4">
      <c r="G159" s="138"/>
      <c r="H159" s="383"/>
      <c r="J159" s="361"/>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45">
      <c r="G160" s="138"/>
      <c r="H160" s="383"/>
      <c r="J160" s="361"/>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4">
      <c r="G161" s="138"/>
      <c r="H161" s="383"/>
      <c r="J161" s="361"/>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4">
      <c r="G162" s="138"/>
      <c r="H162" s="383"/>
      <c r="J162" s="361"/>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45">
      <c r="G163" s="138"/>
      <c r="H163" s="383"/>
      <c r="J163" s="361"/>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4">
      <c r="G164" s="138"/>
      <c r="H164" s="383"/>
      <c r="J164" s="361"/>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4">
      <c r="G165" s="138"/>
      <c r="H165" s="383"/>
      <c r="J165" s="361"/>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45">
      <c r="G166" s="138"/>
      <c r="H166" s="383"/>
      <c r="J166" s="361"/>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4">
      <c r="G167" s="138"/>
      <c r="H167" s="383"/>
      <c r="J167" s="361"/>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4">
      <c r="G168" s="138"/>
      <c r="H168" s="383"/>
      <c r="J168" s="361"/>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4">
      <c r="G169" s="138"/>
      <c r="H169" s="383"/>
      <c r="J169" s="371"/>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4">
      <c r="G170" s="138"/>
      <c r="H170" s="383"/>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35">
      <c r="G171" s="138"/>
      <c r="H171" s="383"/>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4">
      <c r="G172" s="138"/>
      <c r="H172" s="383"/>
      <c r="J172" s="370"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4">
      <c r="G173" s="138"/>
      <c r="H173" s="383"/>
      <c r="J173" s="361"/>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45">
      <c r="G174" s="138"/>
      <c r="H174" s="383"/>
      <c r="J174" s="361"/>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4">
      <c r="G175" s="138"/>
      <c r="H175" s="383"/>
      <c r="J175" s="361"/>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4">
      <c r="G176" s="138"/>
      <c r="H176" s="383"/>
      <c r="J176" s="361"/>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45">
      <c r="G177" s="138"/>
      <c r="H177" s="383"/>
      <c r="J177" s="361"/>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4">
      <c r="G178" s="138"/>
      <c r="H178" s="383"/>
      <c r="J178" s="361"/>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4">
      <c r="G179" s="138"/>
      <c r="H179" s="383"/>
      <c r="J179" s="361"/>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45">
      <c r="G180" s="138"/>
      <c r="H180" s="383"/>
      <c r="J180" s="361"/>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4">
      <c r="G181" s="138"/>
      <c r="H181" s="383"/>
      <c r="J181" s="361"/>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4">
      <c r="G182" s="138"/>
      <c r="H182" s="383"/>
      <c r="J182" s="361"/>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45">
      <c r="G183" s="138"/>
      <c r="H183" s="383"/>
      <c r="J183" s="361"/>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4">
      <c r="G184" s="138"/>
      <c r="H184" s="383"/>
      <c r="J184" s="361"/>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4">
      <c r="G185" s="138"/>
      <c r="H185" s="383"/>
      <c r="J185" s="361"/>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45">
      <c r="G186" s="138"/>
      <c r="H186" s="383"/>
      <c r="J186" s="361"/>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4">
      <c r="G187" s="138"/>
      <c r="H187" s="383"/>
      <c r="J187" s="361"/>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4">
      <c r="G188" s="138"/>
      <c r="H188" s="383"/>
      <c r="J188" s="361"/>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45">
      <c r="G189" s="138"/>
      <c r="H189" s="383"/>
      <c r="J189" s="361"/>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4">
      <c r="G190" s="138"/>
      <c r="H190" s="383"/>
      <c r="J190" s="361"/>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4">
      <c r="G191" s="138"/>
      <c r="H191" s="383"/>
      <c r="J191" s="361"/>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45">
      <c r="G192" s="138"/>
      <c r="H192" s="383"/>
      <c r="J192" s="361"/>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4">
      <c r="G193" s="138"/>
      <c r="H193" s="383"/>
      <c r="J193" s="361"/>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4">
      <c r="G194" s="138"/>
      <c r="H194" s="383"/>
      <c r="J194" s="361"/>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45">
      <c r="G195" s="138"/>
      <c r="H195" s="383"/>
      <c r="J195" s="361"/>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4">
      <c r="G196" s="138"/>
      <c r="H196" s="383"/>
      <c r="J196" s="361"/>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4">
      <c r="G197" s="138"/>
      <c r="H197" s="383"/>
      <c r="J197" s="361"/>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45">
      <c r="G198" s="138"/>
      <c r="H198" s="383"/>
      <c r="J198" s="361"/>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4">
      <c r="G199" s="138"/>
      <c r="H199" s="383"/>
      <c r="J199" s="361"/>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4">
      <c r="G200" s="138"/>
      <c r="H200" s="383"/>
      <c r="J200" s="361"/>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4">
      <c r="G201" s="138"/>
      <c r="H201" s="383"/>
      <c r="J201" s="371"/>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4">
      <c r="G202" s="138"/>
      <c r="H202" s="383"/>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4">
      <c r="G203" s="138"/>
      <c r="H203" s="383"/>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4">
      <c r="G204" s="138"/>
      <c r="H204" s="383"/>
      <c r="J204" s="370"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4">
      <c r="G205" s="138"/>
      <c r="H205" s="383"/>
      <c r="J205" s="361"/>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45">
      <c r="G206" s="138"/>
      <c r="H206" s="383"/>
      <c r="J206" s="361"/>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4">
      <c r="G207" s="138"/>
      <c r="H207" s="383"/>
      <c r="J207" s="361"/>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4">
      <c r="G208" s="138"/>
      <c r="H208" s="383"/>
      <c r="J208" s="361"/>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45">
      <c r="G209" s="138"/>
      <c r="H209" s="383"/>
      <c r="J209" s="361"/>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4">
      <c r="G210" s="138"/>
      <c r="H210" s="383"/>
      <c r="J210" s="361"/>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4">
      <c r="G211" s="138"/>
      <c r="H211" s="383"/>
      <c r="J211" s="361"/>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45">
      <c r="G212" s="138"/>
      <c r="H212" s="383"/>
      <c r="J212" s="361"/>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4">
      <c r="G213" s="138"/>
      <c r="H213" s="383"/>
      <c r="J213" s="361"/>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4">
      <c r="G214" s="138"/>
      <c r="H214" s="383"/>
      <c r="J214" s="361"/>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45">
      <c r="G215" s="138"/>
      <c r="H215" s="383"/>
      <c r="J215" s="361"/>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4">
      <c r="G216" s="138"/>
      <c r="H216" s="383"/>
      <c r="J216" s="361"/>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4">
      <c r="G217" s="138"/>
      <c r="H217" s="383"/>
      <c r="J217" s="361"/>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45">
      <c r="G218" s="138"/>
      <c r="H218" s="383"/>
      <c r="J218" s="361"/>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4">
      <c r="G219" s="138"/>
      <c r="H219" s="383"/>
      <c r="J219" s="361"/>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4">
      <c r="G220" s="138"/>
      <c r="H220" s="383"/>
      <c r="J220" s="361"/>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45">
      <c r="G221" s="138"/>
      <c r="H221" s="383"/>
      <c r="J221" s="361"/>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4">
      <c r="G222" s="138"/>
      <c r="H222" s="383"/>
      <c r="J222" s="361"/>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4">
      <c r="G223" s="138"/>
      <c r="H223" s="383"/>
      <c r="J223" s="361"/>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45">
      <c r="G224" s="138"/>
      <c r="H224" s="383"/>
      <c r="J224" s="361"/>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4">
      <c r="G225" s="138"/>
      <c r="H225" s="383"/>
      <c r="J225" s="361"/>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4">
      <c r="G226" s="138"/>
      <c r="H226" s="383"/>
      <c r="J226" s="361"/>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45">
      <c r="G227" s="138"/>
      <c r="H227" s="383"/>
      <c r="J227" s="361"/>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4">
      <c r="G228" s="138"/>
      <c r="H228" s="383"/>
      <c r="J228" s="361"/>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4">
      <c r="G229" s="138"/>
      <c r="H229" s="383"/>
      <c r="J229" s="361"/>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45">
      <c r="G230" s="138"/>
      <c r="H230" s="383"/>
      <c r="J230" s="361"/>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4">
      <c r="G231" s="138"/>
      <c r="H231" s="383"/>
      <c r="J231" s="361"/>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4">
      <c r="G232" s="138"/>
      <c r="H232" s="383"/>
      <c r="J232" s="361"/>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45">
      <c r="G233" s="138"/>
      <c r="H233" s="383"/>
      <c r="J233" s="371"/>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4">
      <c r="G234" s="138"/>
      <c r="H234" s="383"/>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4">
      <c r="G235" s="138"/>
      <c r="H235" s="383"/>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4">
      <c r="G236" s="138"/>
      <c r="H236" s="383"/>
      <c r="J236" s="370"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4">
      <c r="G237" s="138"/>
      <c r="H237" s="383"/>
      <c r="J237" s="361"/>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45">
      <c r="G238" s="138"/>
      <c r="H238" s="383"/>
      <c r="J238" s="361"/>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4">
      <c r="G239" s="138"/>
      <c r="H239" s="383"/>
      <c r="J239" s="361"/>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4">
      <c r="G240" s="138"/>
      <c r="H240" s="383"/>
      <c r="J240" s="361"/>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45">
      <c r="G241" s="138"/>
      <c r="H241" s="383"/>
      <c r="J241" s="361"/>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4">
      <c r="G242" s="138"/>
      <c r="H242" s="383"/>
      <c r="J242" s="361"/>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4">
      <c r="G243" s="138"/>
      <c r="H243" s="383"/>
      <c r="J243" s="361"/>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45">
      <c r="G244" s="138"/>
      <c r="H244" s="383"/>
      <c r="J244" s="361"/>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4">
      <c r="G245" s="138"/>
      <c r="H245" s="383"/>
      <c r="J245" s="361"/>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4">
      <c r="G246" s="138"/>
      <c r="H246" s="383"/>
      <c r="J246" s="361"/>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45">
      <c r="G247" s="138"/>
      <c r="H247" s="383"/>
      <c r="J247" s="361"/>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4">
      <c r="G248" s="138"/>
      <c r="H248" s="383"/>
      <c r="J248" s="361"/>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4">
      <c r="G249" s="138"/>
      <c r="H249" s="383"/>
      <c r="J249" s="361"/>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45">
      <c r="G250" s="138"/>
      <c r="H250" s="383"/>
      <c r="J250" s="361"/>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4">
      <c r="G251" s="138"/>
      <c r="H251" s="383"/>
      <c r="J251" s="361"/>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4">
      <c r="G252" s="138"/>
      <c r="H252" s="383"/>
      <c r="J252" s="361"/>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45">
      <c r="G253" s="138"/>
      <c r="H253" s="383"/>
      <c r="J253" s="361"/>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4">
      <c r="G254" s="138"/>
      <c r="H254" s="383"/>
      <c r="J254" s="361"/>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4">
      <c r="G255" s="138"/>
      <c r="H255" s="383"/>
      <c r="J255" s="361"/>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45">
      <c r="G256" s="138"/>
      <c r="H256" s="383"/>
      <c r="J256" s="361"/>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4">
      <c r="G257" s="138"/>
      <c r="H257" s="383"/>
      <c r="J257" s="361"/>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4">
      <c r="G258" s="138"/>
      <c r="H258" s="383"/>
      <c r="J258" s="361"/>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45">
      <c r="G259" s="138"/>
      <c r="H259" s="383"/>
      <c r="J259" s="361"/>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4">
      <c r="G260" s="138"/>
      <c r="H260" s="383"/>
      <c r="J260" s="361"/>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4">
      <c r="G261" s="138"/>
      <c r="H261" s="383"/>
      <c r="J261" s="361"/>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45">
      <c r="G262" s="138"/>
      <c r="H262" s="383"/>
      <c r="J262" s="361"/>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4">
      <c r="G263" s="138"/>
      <c r="H263" s="383"/>
      <c r="J263" s="361"/>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4">
      <c r="G264" s="138"/>
      <c r="H264" s="383"/>
      <c r="J264" s="361"/>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45">
      <c r="G265" s="138"/>
      <c r="H265" s="383"/>
      <c r="J265" s="371"/>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4">
      <c r="G266" s="138"/>
      <c r="H266" s="383"/>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35">
      <c r="G267" s="138"/>
      <c r="H267" s="383"/>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4">
      <c r="G268" s="138"/>
      <c r="H268" s="383"/>
      <c r="J268" s="370"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4">
      <c r="G269" s="138"/>
      <c r="H269" s="383"/>
      <c r="J269" s="361"/>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45">
      <c r="G270" s="138"/>
      <c r="H270" s="383"/>
      <c r="J270" s="361"/>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4">
      <c r="G271" s="138"/>
      <c r="H271" s="383"/>
      <c r="J271" s="361"/>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4">
      <c r="G272" s="138"/>
      <c r="H272" s="383"/>
      <c r="J272" s="361"/>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45">
      <c r="G273" s="138"/>
      <c r="H273" s="383"/>
      <c r="J273" s="361"/>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4">
      <c r="G274" s="138"/>
      <c r="H274" s="383"/>
      <c r="J274" s="361"/>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4">
      <c r="G275" s="138"/>
      <c r="H275" s="383"/>
      <c r="J275" s="361"/>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45">
      <c r="G276" s="138"/>
      <c r="H276" s="383"/>
      <c r="J276" s="361"/>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4">
      <c r="G277" s="138"/>
      <c r="H277" s="383"/>
      <c r="J277" s="361"/>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4">
      <c r="G278" s="138"/>
      <c r="H278" s="383"/>
      <c r="J278" s="361"/>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45">
      <c r="G279" s="138"/>
      <c r="H279" s="383"/>
      <c r="J279" s="361"/>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4">
      <c r="G280" s="138"/>
      <c r="H280" s="383"/>
      <c r="J280" s="361"/>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4">
      <c r="G281" s="138"/>
      <c r="H281" s="383"/>
      <c r="J281" s="361"/>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45">
      <c r="G282" s="138"/>
      <c r="H282" s="383"/>
      <c r="J282" s="361"/>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4">
      <c r="G283" s="138"/>
      <c r="H283" s="383"/>
      <c r="J283" s="361"/>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4">
      <c r="G284" s="138"/>
      <c r="H284" s="383"/>
      <c r="J284" s="361"/>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45">
      <c r="G285" s="138"/>
      <c r="H285" s="383"/>
      <c r="J285" s="361"/>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4">
      <c r="G286" s="138"/>
      <c r="H286" s="383"/>
      <c r="J286" s="361"/>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4">
      <c r="G287" s="138"/>
      <c r="H287" s="383"/>
      <c r="J287" s="361"/>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45">
      <c r="G288" s="138"/>
      <c r="H288" s="383"/>
      <c r="J288" s="361"/>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4">
      <c r="G289" s="138"/>
      <c r="H289" s="383"/>
      <c r="J289" s="361"/>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4">
      <c r="G290" s="138"/>
      <c r="H290" s="383"/>
      <c r="J290" s="361"/>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45">
      <c r="G291" s="138"/>
      <c r="H291" s="383"/>
      <c r="J291" s="361"/>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4">
      <c r="G292" s="138"/>
      <c r="H292" s="383"/>
      <c r="J292" s="361"/>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4">
      <c r="G293" s="138"/>
      <c r="H293" s="383"/>
      <c r="J293" s="361"/>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45">
      <c r="G294" s="138"/>
      <c r="H294" s="383"/>
      <c r="J294" s="361"/>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4">
      <c r="G295" s="138"/>
      <c r="H295" s="383"/>
      <c r="J295" s="361"/>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4">
      <c r="G296" s="138"/>
      <c r="H296" s="383"/>
      <c r="J296" s="361"/>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4">
      <c r="G297" s="138"/>
      <c r="H297" s="383"/>
      <c r="J297" s="371"/>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4">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35">
      <c r="G299" s="138"/>
      <c r="H299" s="231"/>
      <c r="I299" s="231"/>
    </row>
    <row r="300" spans="7:42" ht="14.25" customHeight="1" x14ac:dyDescent="0.35">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4">
      <c r="G301" s="138"/>
      <c r="H301" s="444" t="s">
        <v>305</v>
      </c>
      <c r="J301" s="370"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4">
      <c r="G302" s="138"/>
      <c r="H302" s="383"/>
      <c r="J302" s="361"/>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45">
      <c r="G303" s="138"/>
      <c r="H303" s="383"/>
      <c r="J303" s="361"/>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4">
      <c r="G304" s="138"/>
      <c r="H304" s="383"/>
      <c r="J304" s="361"/>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4">
      <c r="G305" s="138"/>
      <c r="H305" s="383"/>
      <c r="J305" s="361"/>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45">
      <c r="G306" s="138"/>
      <c r="H306" s="383"/>
      <c r="J306" s="361"/>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4">
      <c r="G307" s="138"/>
      <c r="H307" s="383"/>
      <c r="J307" s="361"/>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4">
      <c r="G308" s="138"/>
      <c r="H308" s="383"/>
      <c r="J308" s="361"/>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45">
      <c r="G309" s="138"/>
      <c r="H309" s="383"/>
      <c r="J309" s="361"/>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4">
      <c r="G310" s="138"/>
      <c r="H310" s="383"/>
      <c r="J310" s="361"/>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4">
      <c r="G311" s="138"/>
      <c r="H311" s="383"/>
      <c r="J311" s="361"/>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45">
      <c r="G312" s="138"/>
      <c r="H312" s="383"/>
      <c r="J312" s="361"/>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4">
      <c r="G313" s="138"/>
      <c r="H313" s="383"/>
      <c r="J313" s="361"/>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4">
      <c r="G314" s="138"/>
      <c r="H314" s="383"/>
      <c r="J314" s="361"/>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45">
      <c r="G315" s="138"/>
      <c r="H315" s="383"/>
      <c r="J315" s="361"/>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4">
      <c r="G316" s="138"/>
      <c r="H316" s="383"/>
      <c r="J316" s="361"/>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4">
      <c r="G317" s="138"/>
      <c r="H317" s="383"/>
      <c r="J317" s="361"/>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45">
      <c r="G318" s="138"/>
      <c r="H318" s="383"/>
      <c r="J318" s="361"/>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4">
      <c r="G319" s="138"/>
      <c r="H319" s="383"/>
      <c r="J319" s="361"/>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4">
      <c r="G320" s="138"/>
      <c r="H320" s="383"/>
      <c r="J320" s="361"/>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45">
      <c r="G321" s="138"/>
      <c r="H321" s="383"/>
      <c r="J321" s="361"/>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4">
      <c r="G322" s="138"/>
      <c r="H322" s="383"/>
      <c r="J322" s="361"/>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4">
      <c r="G323" s="138"/>
      <c r="H323" s="383"/>
      <c r="J323" s="361"/>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45">
      <c r="G324" s="138"/>
      <c r="H324" s="383"/>
      <c r="J324" s="361"/>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4">
      <c r="G325" s="138"/>
      <c r="H325" s="383"/>
      <c r="J325" s="361"/>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4">
      <c r="G326" s="138"/>
      <c r="H326" s="383"/>
      <c r="J326" s="361"/>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45">
      <c r="G327" s="138"/>
      <c r="H327" s="383"/>
      <c r="J327" s="361"/>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4">
      <c r="G328" s="138"/>
      <c r="H328" s="383"/>
      <c r="J328" s="361"/>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4">
      <c r="G329" s="138"/>
      <c r="H329" s="383"/>
      <c r="J329" s="361"/>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4">
      <c r="G330" s="138"/>
      <c r="H330" s="383"/>
      <c r="J330" s="371"/>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4">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3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4">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4">
      <c r="G334" s="138"/>
      <c r="H334" s="457" t="s">
        <v>307</v>
      </c>
      <c r="J334" s="370"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4">
      <c r="G335" s="138"/>
      <c r="H335" s="383"/>
      <c r="J335" s="361"/>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45">
      <c r="G336" s="138"/>
      <c r="H336" s="383"/>
      <c r="J336" s="361"/>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4">
      <c r="G337" s="138"/>
      <c r="H337" s="383"/>
      <c r="J337" s="361"/>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4">
      <c r="G338" s="138"/>
      <c r="H338" s="383"/>
      <c r="J338" s="361"/>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45">
      <c r="G339" s="138"/>
      <c r="H339" s="383"/>
      <c r="J339" s="361"/>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4">
      <c r="G340" s="138"/>
      <c r="H340" s="383"/>
      <c r="J340" s="361"/>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4">
      <c r="G341" s="138"/>
      <c r="H341" s="383"/>
      <c r="J341" s="361"/>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45">
      <c r="G342" s="138"/>
      <c r="H342" s="383"/>
      <c r="J342" s="361"/>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4">
      <c r="G343" s="138"/>
      <c r="H343" s="383"/>
      <c r="J343" s="361"/>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4">
      <c r="G344" s="138"/>
      <c r="H344" s="383"/>
      <c r="J344" s="361"/>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45">
      <c r="G345" s="138"/>
      <c r="H345" s="383"/>
      <c r="J345" s="361"/>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4">
      <c r="G346" s="138"/>
      <c r="H346" s="383"/>
      <c r="J346" s="361"/>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4">
      <c r="G347" s="138"/>
      <c r="H347" s="383"/>
      <c r="J347" s="361"/>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45">
      <c r="G348" s="138"/>
      <c r="H348" s="383"/>
      <c r="J348" s="361"/>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4">
      <c r="G349" s="138"/>
      <c r="H349" s="383"/>
      <c r="J349" s="361"/>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4">
      <c r="G350" s="138"/>
      <c r="H350" s="383"/>
      <c r="J350" s="361"/>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45">
      <c r="G351" s="138"/>
      <c r="H351" s="383"/>
      <c r="J351" s="361"/>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4">
      <c r="G352" s="138"/>
      <c r="H352" s="383"/>
      <c r="J352" s="361"/>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4">
      <c r="G353" s="138"/>
      <c r="H353" s="383"/>
      <c r="J353" s="361"/>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45">
      <c r="G354" s="138"/>
      <c r="H354" s="383"/>
      <c r="J354" s="361"/>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4">
      <c r="G355" s="138"/>
      <c r="H355" s="383"/>
      <c r="J355" s="361"/>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4">
      <c r="G356" s="138"/>
      <c r="H356" s="383"/>
      <c r="J356" s="361"/>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45">
      <c r="G357" s="138"/>
      <c r="H357" s="383"/>
      <c r="J357" s="361"/>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4">
      <c r="G358" s="138"/>
      <c r="H358" s="383"/>
      <c r="J358" s="361"/>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4">
      <c r="G359" s="138"/>
      <c r="H359" s="383"/>
      <c r="J359" s="361"/>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45">
      <c r="G360" s="138"/>
      <c r="H360" s="383"/>
      <c r="J360" s="361"/>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4">
      <c r="G361" s="138"/>
      <c r="H361" s="383"/>
      <c r="J361" s="361"/>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4">
      <c r="G362" s="138"/>
      <c r="H362" s="383"/>
      <c r="J362" s="361"/>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4">
      <c r="G363" s="138"/>
      <c r="H363" s="383"/>
      <c r="J363" s="371"/>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4">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3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35">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4">
      <c r="G367" s="138"/>
      <c r="H367" s="428" t="s">
        <v>309</v>
      </c>
      <c r="J367" s="360"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4">
      <c r="G368" s="138"/>
      <c r="H368" s="383"/>
      <c r="J368" s="361"/>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4">
      <c r="G369" s="138"/>
      <c r="H369" s="383"/>
      <c r="J369" s="361"/>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4">
      <c r="G370" s="138"/>
      <c r="H370" s="383"/>
      <c r="J370" s="361"/>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4">
      <c r="G371" s="138"/>
      <c r="H371" s="383"/>
      <c r="J371" s="361"/>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4">
      <c r="G372" s="138"/>
      <c r="H372" s="383"/>
      <c r="J372" s="361"/>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4">
      <c r="G373" s="138"/>
      <c r="H373" s="383"/>
      <c r="J373" s="361"/>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4">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4">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4">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4">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4">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4">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4">
      <c r="G380" s="138"/>
      <c r="H380" s="233"/>
      <c r="I380" s="239" t="s">
        <v>315</v>
      </c>
      <c r="J380" s="452"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35">
      <c r="G381" s="138"/>
      <c r="H381" s="233"/>
      <c r="I381" s="131">
        <v>0.2</v>
      </c>
      <c r="J381" s="383"/>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35">
      <c r="G382" s="138"/>
      <c r="H382" s="233"/>
      <c r="I382" s="131">
        <v>0.32</v>
      </c>
      <c r="J382" s="383"/>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35">
      <c r="G383" s="138"/>
      <c r="H383" s="233"/>
      <c r="I383" s="131">
        <v>0.192</v>
      </c>
      <c r="J383" s="383"/>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35">
      <c r="G384" s="138"/>
      <c r="H384" s="233"/>
      <c r="I384" s="131">
        <v>0.1152</v>
      </c>
      <c r="J384" s="383"/>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35">
      <c r="G385" s="138"/>
      <c r="H385" s="233"/>
      <c r="I385" s="131">
        <v>0.1152</v>
      </c>
      <c r="J385" s="383"/>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35">
      <c r="G386" s="138"/>
      <c r="H386" s="233"/>
      <c r="I386" s="131">
        <v>5.7599999999999998E-2</v>
      </c>
      <c r="J386" s="383"/>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4">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3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3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3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3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3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3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35">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3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3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3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3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3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3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3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4">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4">
      <c r="G403" s="248"/>
      <c r="H403" s="233"/>
      <c r="J403" s="360"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4">
      <c r="F404" s="250"/>
      <c r="H404" s="233"/>
      <c r="J404" s="361"/>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4">
      <c r="F405" s="250"/>
      <c r="H405" s="233"/>
      <c r="J405" s="361"/>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4">
      <c r="F406" s="250"/>
      <c r="H406" s="233"/>
      <c r="J406" s="126"/>
    </row>
    <row r="407" spans="6:42" ht="14.25" customHeight="1" thickTop="1" thickBot="1" x14ac:dyDescent="0.4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4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4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4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4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4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4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4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4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4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4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4">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4">
      <c r="C420" s="136" t="s">
        <v>222</v>
      </c>
      <c r="G420" s="387" t="s">
        <v>328</v>
      </c>
      <c r="H420" s="383"/>
      <c r="I420" s="383"/>
      <c r="J420" s="383"/>
      <c r="K420" s="383"/>
      <c r="L420" s="383"/>
      <c r="M420" s="383"/>
      <c r="N420" s="383"/>
      <c r="O420" s="383"/>
      <c r="P420" s="383"/>
      <c r="Q420" s="383"/>
      <c r="R420" s="383"/>
      <c r="S420" s="383"/>
      <c r="T420" s="383"/>
      <c r="U420" s="383"/>
      <c r="V420" s="137"/>
      <c r="W420" s="137"/>
      <c r="X420" s="137"/>
      <c r="Y420" s="137"/>
      <c r="Z420" s="137"/>
      <c r="AA420" s="137"/>
      <c r="AB420" s="137"/>
    </row>
    <row r="422" spans="3:42" ht="14.25" customHeight="1" x14ac:dyDescent="0.45">
      <c r="H422" s="446" t="s">
        <v>329</v>
      </c>
      <c r="I422" s="363"/>
      <c r="J422" s="363"/>
      <c r="K422" s="363"/>
      <c r="L422" s="363"/>
      <c r="M422" s="363"/>
      <c r="N422" s="445" t="s">
        <v>330</v>
      </c>
      <c r="O422" s="363"/>
      <c r="P422" s="363"/>
      <c r="Q422" s="363"/>
      <c r="R422" s="381"/>
      <c r="S422" s="253" t="s">
        <v>331</v>
      </c>
      <c r="T422" s="253" t="s">
        <v>332</v>
      </c>
      <c r="U422" s="254"/>
      <c r="V422" s="254"/>
      <c r="W422" s="254"/>
      <c r="X422" s="254"/>
      <c r="Y422" s="254"/>
      <c r="Z422" s="254"/>
      <c r="AA422" s="254"/>
      <c r="AB422" s="255"/>
    </row>
    <row r="423" spans="3:42" ht="14.25" customHeight="1" x14ac:dyDescent="0.45">
      <c r="H423" s="441" t="s">
        <v>378</v>
      </c>
      <c r="I423" s="363"/>
      <c r="J423" s="363"/>
      <c r="K423" s="363"/>
      <c r="L423" s="363"/>
      <c r="M423" s="363"/>
      <c r="N423" s="411" t="s">
        <v>379</v>
      </c>
      <c r="O423" s="363"/>
      <c r="P423" s="363"/>
      <c r="Q423" s="363"/>
      <c r="R423" s="363"/>
      <c r="S423" s="257"/>
      <c r="T423" s="257"/>
      <c r="U423" s="258"/>
      <c r="V423" s="258"/>
      <c r="W423" s="258"/>
      <c r="X423" s="258"/>
      <c r="Y423" s="258"/>
      <c r="Z423" s="258"/>
      <c r="AA423" s="258"/>
      <c r="AB423" s="259"/>
    </row>
    <row r="424" spans="3:42" ht="14.25" customHeight="1" x14ac:dyDescent="0.45">
      <c r="H424" s="441" t="s">
        <v>297</v>
      </c>
      <c r="I424" s="363"/>
      <c r="J424" s="363"/>
      <c r="K424" s="363"/>
      <c r="L424" s="363"/>
      <c r="M424" s="363"/>
      <c r="N424" s="411" t="s">
        <v>380</v>
      </c>
      <c r="O424" s="363"/>
      <c r="P424" s="363"/>
      <c r="Q424" s="363"/>
      <c r="R424" s="363"/>
      <c r="S424" s="257"/>
      <c r="T424" s="257"/>
      <c r="U424" s="258"/>
      <c r="V424" s="258"/>
      <c r="W424" s="258"/>
      <c r="X424" s="258"/>
      <c r="Y424" s="258"/>
      <c r="Z424" s="258"/>
      <c r="AA424" s="258"/>
      <c r="AB424" s="259"/>
    </row>
    <row r="425" spans="3:42" ht="14.25" customHeight="1" x14ac:dyDescent="0.45">
      <c r="H425" s="441" t="s">
        <v>301</v>
      </c>
      <c r="I425" s="363"/>
      <c r="J425" s="363"/>
      <c r="K425" s="363"/>
      <c r="L425" s="363"/>
      <c r="M425" s="363"/>
      <c r="N425" s="411" t="s">
        <v>381</v>
      </c>
      <c r="O425" s="363"/>
      <c r="P425" s="363"/>
      <c r="Q425" s="363"/>
      <c r="R425" s="363"/>
      <c r="S425" s="257"/>
      <c r="T425" s="257"/>
      <c r="U425" s="258"/>
      <c r="V425" s="258"/>
      <c r="W425" s="258"/>
      <c r="X425" s="258"/>
      <c r="Y425" s="258"/>
      <c r="Z425" s="258"/>
      <c r="AA425" s="258"/>
      <c r="AB425" s="259"/>
    </row>
    <row r="426" spans="3:42" ht="14.25" customHeight="1" x14ac:dyDescent="0.45">
      <c r="H426" s="441" t="s">
        <v>338</v>
      </c>
      <c r="I426" s="363"/>
      <c r="J426" s="363"/>
      <c r="K426" s="363"/>
      <c r="L426" s="363"/>
      <c r="M426" s="363"/>
      <c r="N426" s="411" t="s">
        <v>381</v>
      </c>
      <c r="O426" s="363"/>
      <c r="P426" s="363"/>
      <c r="Q426" s="363"/>
      <c r="R426" s="363"/>
      <c r="S426" s="260"/>
      <c r="T426" s="260"/>
    </row>
    <row r="427" spans="3:42" ht="14.25" customHeight="1" x14ac:dyDescent="0.45">
      <c r="H427" s="441" t="s">
        <v>339</v>
      </c>
      <c r="I427" s="363"/>
      <c r="J427" s="363"/>
      <c r="K427" s="363"/>
      <c r="L427" s="363"/>
      <c r="M427" s="363"/>
      <c r="N427" s="447" t="s">
        <v>340</v>
      </c>
      <c r="O427" s="363"/>
      <c r="P427" s="363"/>
      <c r="Q427" s="363"/>
      <c r="R427" s="363"/>
      <c r="S427" s="261"/>
      <c r="T427" s="261"/>
      <c r="U427" s="254"/>
      <c r="V427" s="254"/>
      <c r="W427" s="254"/>
      <c r="X427" s="254"/>
      <c r="Y427" s="254"/>
      <c r="Z427" s="254"/>
      <c r="AA427" s="254"/>
      <c r="AB427" s="255"/>
    </row>
    <row r="428" spans="3:42" ht="14.25" customHeight="1" x14ac:dyDescent="0.45">
      <c r="H428" s="441" t="s">
        <v>341</v>
      </c>
      <c r="I428" s="363"/>
      <c r="J428" s="363"/>
      <c r="K428" s="363"/>
      <c r="L428" s="363"/>
      <c r="M428" s="363"/>
      <c r="N428" s="447" t="s">
        <v>340</v>
      </c>
      <c r="O428" s="363"/>
      <c r="P428" s="363"/>
      <c r="Q428" s="363"/>
      <c r="R428" s="363"/>
      <c r="S428" s="261"/>
      <c r="T428" s="261"/>
      <c r="U428" s="254"/>
      <c r="V428" s="254"/>
      <c r="W428" s="254"/>
      <c r="X428" s="254"/>
      <c r="Y428" s="254"/>
      <c r="Z428" s="254"/>
      <c r="AA428" s="254"/>
      <c r="AB428" s="255"/>
    </row>
    <row r="429" spans="3:42" ht="14.25" customHeight="1" x14ac:dyDescent="0.45">
      <c r="H429" s="453"/>
      <c r="I429" s="454"/>
      <c r="J429" s="454"/>
      <c r="K429" s="454"/>
      <c r="L429" s="454"/>
      <c r="M429" s="454"/>
      <c r="O429" s="254"/>
      <c r="P429" s="254"/>
      <c r="Q429" s="254"/>
      <c r="R429" s="254"/>
      <c r="S429" s="254"/>
      <c r="T429" s="254"/>
      <c r="U429" s="254"/>
      <c r="V429" s="254"/>
      <c r="W429" s="254"/>
      <c r="X429" s="254"/>
      <c r="Y429" s="254"/>
      <c r="Z429" s="254"/>
      <c r="AA429" s="254"/>
      <c r="AB429" s="255"/>
    </row>
    <row r="430" spans="3:42" ht="14.25" customHeight="1" x14ac:dyDescent="0.45">
      <c r="H430" s="446" t="s">
        <v>342</v>
      </c>
      <c r="I430" s="363"/>
      <c r="J430" s="363"/>
      <c r="K430" s="363"/>
      <c r="L430" s="363"/>
      <c r="M430" s="363"/>
      <c r="N430" s="445" t="s">
        <v>330</v>
      </c>
      <c r="O430" s="363"/>
      <c r="P430" s="363"/>
      <c r="Q430" s="363"/>
      <c r="R430" s="381"/>
      <c r="S430" s="253" t="s">
        <v>331</v>
      </c>
      <c r="T430" s="253" t="s">
        <v>332</v>
      </c>
      <c r="U430" s="254"/>
      <c r="V430" s="254"/>
      <c r="W430" s="254"/>
      <c r="X430" s="254"/>
      <c r="Y430" s="254"/>
      <c r="Z430" s="254"/>
      <c r="AA430" s="254"/>
      <c r="AB430" s="255"/>
    </row>
    <row r="431" spans="3:42" ht="14.25" customHeight="1" x14ac:dyDescent="0.45">
      <c r="H431" s="448" t="s">
        <v>297</v>
      </c>
      <c r="I431" s="363"/>
      <c r="J431" s="363"/>
      <c r="K431" s="363"/>
      <c r="L431" s="363"/>
      <c r="M431" s="381"/>
      <c r="N431" s="411" t="s">
        <v>380</v>
      </c>
      <c r="O431" s="363"/>
      <c r="P431" s="363"/>
      <c r="Q431" s="363"/>
      <c r="R431" s="363"/>
      <c r="S431" s="257"/>
      <c r="T431" s="257"/>
      <c r="U431" s="258"/>
      <c r="V431" s="258"/>
      <c r="W431" s="258"/>
      <c r="X431" s="258"/>
      <c r="Y431" s="258"/>
      <c r="Z431" s="258"/>
      <c r="AA431" s="258"/>
      <c r="AB431" s="259"/>
    </row>
    <row r="432" spans="3:42" ht="14.25" customHeight="1" x14ac:dyDescent="0.45">
      <c r="H432" s="448" t="s">
        <v>301</v>
      </c>
      <c r="I432" s="363"/>
      <c r="J432" s="363"/>
      <c r="K432" s="363"/>
      <c r="L432" s="363"/>
      <c r="M432" s="381"/>
      <c r="N432" s="256" t="s">
        <v>382</v>
      </c>
      <c r="Q432" s="262" t="s">
        <v>383</v>
      </c>
      <c r="R432" s="254"/>
      <c r="S432" s="261"/>
      <c r="T432" s="261"/>
      <c r="U432" s="254"/>
      <c r="V432" s="254"/>
      <c r="W432" s="254"/>
      <c r="X432" s="254"/>
      <c r="Y432" s="254"/>
      <c r="Z432" s="254"/>
      <c r="AA432" s="254"/>
      <c r="AB432" s="255"/>
    </row>
    <row r="433" spans="8:28" ht="14.25" customHeight="1" x14ac:dyDescent="0.45">
      <c r="H433" s="402" t="s">
        <v>345</v>
      </c>
      <c r="I433" s="363"/>
      <c r="J433" s="363"/>
      <c r="K433" s="363"/>
      <c r="L433" s="363"/>
      <c r="M433" s="381"/>
      <c r="N433" s="263"/>
      <c r="O433" s="258"/>
      <c r="P433" s="258"/>
      <c r="Q433" s="254"/>
      <c r="R433" s="255"/>
      <c r="S433" s="254"/>
      <c r="T433" s="261"/>
      <c r="U433" s="254"/>
      <c r="V433" s="254"/>
      <c r="W433" s="254"/>
      <c r="X433" s="254"/>
      <c r="Y433" s="254"/>
      <c r="Z433" s="254"/>
      <c r="AA433" s="254"/>
      <c r="AB433" s="255"/>
    </row>
    <row r="434" spans="8:28" ht="14.25" customHeight="1" x14ac:dyDescent="0.45">
      <c r="H434" s="448" t="s">
        <v>338</v>
      </c>
      <c r="I434" s="363"/>
      <c r="J434" s="363"/>
      <c r="K434" s="363"/>
      <c r="L434" s="363"/>
      <c r="M434" s="381"/>
      <c r="N434" s="411" t="s">
        <v>384</v>
      </c>
      <c r="O434" s="363"/>
      <c r="P434" s="363"/>
      <c r="Q434" s="363"/>
      <c r="R434" s="363"/>
      <c r="S434" s="257"/>
      <c r="T434" s="257"/>
      <c r="U434" s="258"/>
      <c r="V434" s="258"/>
      <c r="W434" s="258"/>
      <c r="X434" s="258"/>
      <c r="Y434" s="258"/>
      <c r="Z434" s="258"/>
      <c r="AA434" s="258"/>
      <c r="AB434" s="259"/>
    </row>
    <row r="435" spans="8:28" ht="14.25" customHeight="1" x14ac:dyDescent="0.45">
      <c r="H435" s="448" t="s">
        <v>339</v>
      </c>
      <c r="I435" s="363"/>
      <c r="J435" s="363"/>
      <c r="K435" s="363"/>
      <c r="L435" s="363"/>
      <c r="M435" s="381"/>
      <c r="N435" s="447" t="s">
        <v>340</v>
      </c>
      <c r="O435" s="363"/>
      <c r="P435" s="363"/>
      <c r="Q435" s="363"/>
      <c r="R435" s="363"/>
      <c r="S435" s="261"/>
      <c r="T435" s="261"/>
      <c r="U435" s="254"/>
      <c r="V435" s="254"/>
      <c r="W435" s="254"/>
      <c r="X435" s="254"/>
      <c r="Y435" s="254"/>
      <c r="Z435" s="254"/>
      <c r="AA435" s="254"/>
      <c r="AB435" s="255"/>
    </row>
    <row r="436" spans="8:28" ht="14.25" customHeight="1" x14ac:dyDescent="0.45">
      <c r="H436" s="448" t="s">
        <v>346</v>
      </c>
      <c r="I436" s="363"/>
      <c r="J436" s="363"/>
      <c r="K436" s="363"/>
      <c r="L436" s="363"/>
      <c r="M436" s="381"/>
      <c r="N436" s="447" t="s">
        <v>340</v>
      </c>
      <c r="O436" s="363"/>
      <c r="P436" s="363"/>
      <c r="Q436" s="363"/>
      <c r="R436" s="363"/>
      <c r="S436" s="261"/>
      <c r="T436" s="261"/>
      <c r="U436" s="254"/>
      <c r="V436" s="254"/>
      <c r="W436" s="254"/>
      <c r="X436" s="254"/>
      <c r="Y436" s="254"/>
      <c r="Z436" s="254"/>
      <c r="AA436" s="254"/>
      <c r="AB436" s="255"/>
    </row>
    <row r="437" spans="8:28" ht="14.25" customHeight="1" x14ac:dyDescent="0.45">
      <c r="H437" s="448" t="s">
        <v>341</v>
      </c>
      <c r="I437" s="363"/>
      <c r="J437" s="363"/>
      <c r="K437" s="363"/>
      <c r="L437" s="363"/>
      <c r="M437" s="381"/>
      <c r="N437" s="447" t="s">
        <v>340</v>
      </c>
      <c r="O437" s="363"/>
      <c r="P437" s="363"/>
      <c r="Q437" s="363"/>
      <c r="R437" s="363"/>
      <c r="S437" s="261"/>
      <c r="T437" s="261"/>
      <c r="U437" s="254"/>
      <c r="V437" s="254"/>
      <c r="W437" s="254"/>
      <c r="X437" s="254"/>
      <c r="Y437" s="254"/>
      <c r="Z437" s="254"/>
      <c r="AA437" s="254"/>
      <c r="AB437" s="255"/>
    </row>
    <row r="438" spans="8:28" ht="14.25" customHeight="1" x14ac:dyDescent="0.35">
      <c r="H438" s="131" t="s">
        <v>385</v>
      </c>
    </row>
  </sheetData>
  <mergeCells count="59">
    <mergeCell ref="J13:J25"/>
    <mergeCell ref="N424:R424"/>
    <mergeCell ref="G7:X7"/>
    <mergeCell ref="H424:M424"/>
    <mergeCell ref="H334:H363"/>
    <mergeCell ref="H9:H25"/>
    <mergeCell ref="M9:P9"/>
    <mergeCell ref="J9:L9"/>
    <mergeCell ref="H437:M437"/>
    <mergeCell ref="J403:J405"/>
    <mergeCell ref="J380:J386"/>
    <mergeCell ref="H433:M433"/>
    <mergeCell ref="H429:M429"/>
    <mergeCell ref="H423:M423"/>
    <mergeCell ref="L33:L34"/>
    <mergeCell ref="H367:H373"/>
    <mergeCell ref="N435:R435"/>
    <mergeCell ref="H435:M435"/>
    <mergeCell ref="G73:U73"/>
    <mergeCell ref="H425:M425"/>
    <mergeCell ref="H431:M431"/>
    <mergeCell ref="M33:M34"/>
    <mergeCell ref="J41:J68"/>
    <mergeCell ref="H28:H70"/>
    <mergeCell ref="J76:J105"/>
    <mergeCell ref="N434:R434"/>
    <mergeCell ref="N428:R428"/>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65625" defaultRowHeight="14.25" x14ac:dyDescent="0.45"/>
  <cols>
    <col min="1" max="1" width="54" bestFit="1" customWidth="1"/>
    <col min="2" max="2" width="45.73046875" customWidth="1"/>
    <col min="3" max="3" width="89.265625" customWidth="1"/>
    <col min="4" max="4" width="17.46484375" customWidth="1"/>
    <col min="5" max="5" width="21.53125" bestFit="1" customWidth="1"/>
    <col min="7" max="7" width="10.265625" bestFit="1" customWidth="1"/>
    <col min="8" max="9" width="10" bestFit="1" customWidth="1"/>
    <col min="10" max="10" width="10.265625" bestFit="1" customWidth="1"/>
    <col min="11" max="11" width="10" bestFit="1" customWidth="1"/>
    <col min="15" max="15" width="11" bestFit="1" customWidth="1"/>
  </cols>
  <sheetData>
    <row r="1" spans="1:24" s="1" customFormat="1" x14ac:dyDescent="0.4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4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4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4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4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4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4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4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4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4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4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4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4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4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4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4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4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4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4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4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3046875" defaultRowHeight="11.65" x14ac:dyDescent="0.35"/>
  <cols>
    <col min="1" max="1" width="21.265625" style="36" bestFit="1" customWidth="1"/>
    <col min="2" max="2" width="46.73046875" style="36" customWidth="1"/>
    <col min="3" max="3" width="8.73046875" style="36" customWidth="1"/>
    <col min="4" max="16384" width="8.73046875" style="36"/>
  </cols>
  <sheetData>
    <row r="1" spans="1:33" ht="15" customHeight="1" thickBot="1" x14ac:dyDescent="0.4">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436</v>
      </c>
      <c r="D3" s="54" t="s">
        <v>437</v>
      </c>
      <c r="E3" s="54"/>
      <c r="F3" s="54"/>
      <c r="G3" s="54"/>
    </row>
    <row r="4" spans="1:33" ht="15" customHeight="1" x14ac:dyDescent="0.35">
      <c r="C4" s="54" t="s">
        <v>438</v>
      </c>
      <c r="D4" s="54" t="s">
        <v>439</v>
      </c>
      <c r="E4" s="54"/>
      <c r="F4" s="54"/>
      <c r="G4" s="54" t="s">
        <v>440</v>
      </c>
    </row>
    <row r="5" spans="1:33" ht="15" customHeight="1" x14ac:dyDescent="0.35">
      <c r="C5" s="54" t="s">
        <v>441</v>
      </c>
      <c r="D5" s="54" t="s">
        <v>442</v>
      </c>
      <c r="E5" s="54"/>
      <c r="F5" s="54"/>
      <c r="G5" s="54"/>
    </row>
    <row r="6" spans="1:33" ht="15" customHeight="1" x14ac:dyDescent="0.35">
      <c r="C6" s="54" t="s">
        <v>443</v>
      </c>
      <c r="D6" s="54"/>
      <c r="E6" s="54" t="s">
        <v>444</v>
      </c>
      <c r="F6" s="54"/>
      <c r="G6" s="54"/>
    </row>
    <row r="10" spans="1:33" ht="15" customHeight="1" x14ac:dyDescent="0.5">
      <c r="A10" s="42" t="s">
        <v>445</v>
      </c>
      <c r="B10" s="53" t="s">
        <v>446</v>
      </c>
      <c r="AG10" s="50" t="s">
        <v>447</v>
      </c>
    </row>
    <row r="11" spans="1:33" ht="15" customHeight="1" x14ac:dyDescent="0.35">
      <c r="B11" s="52" t="s">
        <v>448</v>
      </c>
      <c r="AG11" s="50" t="s">
        <v>449</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4">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5"/>
    <row r="15" spans="1:33" ht="15" customHeight="1" x14ac:dyDescent="0.35">
      <c r="B15" s="45" t="s">
        <v>453</v>
      </c>
    </row>
    <row r="16" spans="1:33" ht="15" customHeight="1" x14ac:dyDescent="0.4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4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4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4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4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4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4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4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4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35">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5"/>
    <row r="27" spans="1:33" ht="15" customHeight="1" x14ac:dyDescent="0.35">
      <c r="B27" s="45" t="s">
        <v>474</v>
      </c>
    </row>
    <row r="28" spans="1:33" ht="15" customHeight="1" x14ac:dyDescent="0.4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4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4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55" customHeight="1" x14ac:dyDescent="0.4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35">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55" customHeight="1" x14ac:dyDescent="0.35"/>
    <row r="34" spans="1:33" ht="14.55" customHeight="1" x14ac:dyDescent="0.35">
      <c r="B34" s="45" t="s">
        <v>484</v>
      </c>
    </row>
    <row r="35" spans="1:33" ht="14.55" customHeight="1" x14ac:dyDescent="0.4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55" customHeight="1" x14ac:dyDescent="0.4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55" customHeight="1" x14ac:dyDescent="0.4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35">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55" customHeight="1" x14ac:dyDescent="0.35"/>
    <row r="40" spans="1:33" x14ac:dyDescent="0.35">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55" customHeight="1" x14ac:dyDescent="0.35"/>
    <row r="42" spans="1:33" ht="14.55" customHeight="1" x14ac:dyDescent="0.35">
      <c r="B42" s="45" t="s">
        <v>494</v>
      </c>
    </row>
    <row r="43" spans="1:33" ht="14.55" customHeight="1" x14ac:dyDescent="0.4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55" customHeight="1" x14ac:dyDescent="0.4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55" customHeight="1" x14ac:dyDescent="0.4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55" customHeight="1" x14ac:dyDescent="0.4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55" customHeight="1" x14ac:dyDescent="0.4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55" customHeight="1" x14ac:dyDescent="0.4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55" customHeight="1" x14ac:dyDescent="0.4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4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35">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5"/>
    <row r="53" spans="1:33" ht="15" customHeight="1" x14ac:dyDescent="0.35">
      <c r="B53" s="45" t="s">
        <v>509</v>
      </c>
    </row>
    <row r="54" spans="1:33" ht="15" customHeight="1" x14ac:dyDescent="0.4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4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4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4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4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4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4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5"/>
    <row r="62" spans="1:33" ht="15" customHeight="1" x14ac:dyDescent="0.35"/>
    <row r="63" spans="1:33" ht="15" customHeight="1" x14ac:dyDescent="0.35">
      <c r="B63" s="45" t="s">
        <v>524</v>
      </c>
    </row>
    <row r="64" spans="1:33" ht="15" customHeight="1" x14ac:dyDescent="0.4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4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55" customHeight="1" x14ac:dyDescent="0.4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4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4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4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4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4"/>
    <row r="72" spans="1:33" ht="15" customHeight="1" x14ac:dyDescent="0.35">
      <c r="B72" s="38" t="s">
        <v>532</v>
      </c>
    </row>
    <row r="73" spans="1:33" x14ac:dyDescent="0.35">
      <c r="B73" s="37" t="s">
        <v>533</v>
      </c>
    </row>
    <row r="74" spans="1:33" ht="15" customHeight="1" x14ac:dyDescent="0.35">
      <c r="B74" s="37" t="s">
        <v>534</v>
      </c>
    </row>
    <row r="75" spans="1:33" ht="15" customHeight="1" x14ac:dyDescent="0.35">
      <c r="B75" s="37" t="s">
        <v>535</v>
      </c>
    </row>
    <row r="76" spans="1:33" ht="15" customHeight="1" x14ac:dyDescent="0.35">
      <c r="B76" s="37" t="s">
        <v>536</v>
      </c>
    </row>
    <row r="77" spans="1:33" ht="15" customHeight="1" x14ac:dyDescent="0.35">
      <c r="B77" s="37" t="s">
        <v>537</v>
      </c>
    </row>
    <row r="78" spans="1:33" ht="15" customHeight="1" x14ac:dyDescent="0.35">
      <c r="B78" s="37" t="s">
        <v>538</v>
      </c>
    </row>
    <row r="79" spans="1:33" x14ac:dyDescent="0.35">
      <c r="B79" s="37" t="s">
        <v>539</v>
      </c>
    </row>
    <row r="80" spans="1:33" ht="15" customHeight="1" x14ac:dyDescent="0.35">
      <c r="B80" s="37" t="s">
        <v>540</v>
      </c>
    </row>
    <row r="81" spans="2:2" x14ac:dyDescent="0.35">
      <c r="B81" s="37" t="s">
        <v>541</v>
      </c>
    </row>
    <row r="82" spans="2:2" ht="15" customHeight="1" x14ac:dyDescent="0.35">
      <c r="B82" s="37" t="s">
        <v>542</v>
      </c>
    </row>
    <row r="83" spans="2:2" ht="15" customHeight="1" x14ac:dyDescent="0.35">
      <c r="B83" s="37" t="s">
        <v>543</v>
      </c>
    </row>
    <row r="84" spans="2:2" ht="15" customHeight="1" x14ac:dyDescent="0.35">
      <c r="B84" s="37" t="s">
        <v>544</v>
      </c>
    </row>
    <row r="85" spans="2:2" ht="15" customHeight="1" x14ac:dyDescent="0.35">
      <c r="B85" s="37" t="s">
        <v>545</v>
      </c>
    </row>
    <row r="86" spans="2:2" ht="15" customHeight="1" x14ac:dyDescent="0.35">
      <c r="B86" s="37" t="s">
        <v>546</v>
      </c>
    </row>
    <row r="87" spans="2:2" ht="15" customHeight="1" x14ac:dyDescent="0.35">
      <c r="B87" s="37" t="s">
        <v>547</v>
      </c>
    </row>
    <row r="88" spans="2:2" ht="15" customHeight="1" x14ac:dyDescent="0.35">
      <c r="B88" s="37" t="s">
        <v>548</v>
      </c>
    </row>
    <row r="89" spans="2:2" ht="15" customHeight="1" x14ac:dyDescent="0.35">
      <c r="B89" s="37" t="s">
        <v>549</v>
      </c>
    </row>
    <row r="90" spans="2:2" ht="15" customHeight="1" x14ac:dyDescent="0.35">
      <c r="B90" s="37" t="s">
        <v>550</v>
      </c>
    </row>
    <row r="91" spans="2:2" ht="15" customHeight="1" x14ac:dyDescent="0.35">
      <c r="B91" s="37" t="s">
        <v>551</v>
      </c>
    </row>
    <row r="92" spans="2:2" x14ac:dyDescent="0.35">
      <c r="B92" s="37" t="s">
        <v>552</v>
      </c>
    </row>
    <row r="93" spans="2:2" ht="15" customHeight="1" x14ac:dyDescent="0.35">
      <c r="B93" s="37" t="s">
        <v>553</v>
      </c>
    </row>
    <row r="94" spans="2:2" ht="15" customHeight="1" x14ac:dyDescent="0.35">
      <c r="B94" s="37" t="s">
        <v>554</v>
      </c>
    </row>
    <row r="95" spans="2:2" ht="15" customHeight="1" x14ac:dyDescent="0.35">
      <c r="B95" s="37" t="s">
        <v>555</v>
      </c>
    </row>
    <row r="96" spans="2:2" ht="15" customHeight="1" x14ac:dyDescent="0.35">
      <c r="B96" s="37" t="s">
        <v>556</v>
      </c>
    </row>
    <row r="97" spans="2:33" ht="15" customHeight="1" x14ac:dyDescent="0.35">
      <c r="B97" s="37" t="s">
        <v>557</v>
      </c>
    </row>
    <row r="98" spans="2:33" ht="15" customHeight="1" x14ac:dyDescent="0.35">
      <c r="B98" s="37" t="s">
        <v>558</v>
      </c>
    </row>
    <row r="99" spans="2:33" ht="15" customHeight="1" x14ac:dyDescent="0.35">
      <c r="B99" s="37" t="s">
        <v>559</v>
      </c>
    </row>
    <row r="100" spans="2:33" ht="15" customHeight="1" x14ac:dyDescent="0.35">
      <c r="B100" s="37" t="s">
        <v>560</v>
      </c>
    </row>
    <row r="103" spans="2:33" ht="15" customHeight="1" x14ac:dyDescent="0.35"/>
    <row r="104" spans="2:33" ht="15" customHeight="1" x14ac:dyDescent="0.35"/>
    <row r="105" spans="2:33" ht="15" customHeight="1" x14ac:dyDescent="0.35"/>
    <row r="106" spans="2:33" ht="15" customHeight="1" x14ac:dyDescent="0.35"/>
    <row r="107" spans="2:33" ht="15" customHeight="1" x14ac:dyDescent="0.35"/>
    <row r="108" spans="2:33" ht="15" customHeight="1" x14ac:dyDescent="0.35"/>
    <row r="109" spans="2:33" ht="15" customHeight="1" x14ac:dyDescent="0.35"/>
    <row r="110" spans="2:33" ht="15" customHeight="1" x14ac:dyDescent="0.35"/>
    <row r="111" spans="2:33" ht="15" customHeight="1" x14ac:dyDescent="0.35"/>
    <row r="112" spans="2:33" ht="15" customHeight="1" x14ac:dyDescent="0.35">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c r="AG308" s="460"/>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10" spans="2:33" ht="15" customHeight="1" x14ac:dyDescent="0.35"/>
    <row r="511" spans="2:33" ht="15" customHeight="1" x14ac:dyDescent="0.35">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c r="AG511" s="460"/>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c r="AG712" s="460"/>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c r="AG887" s="460"/>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60"/>
      <c r="C1100" s="460"/>
      <c r="D1100" s="460"/>
      <c r="E1100" s="460"/>
      <c r="F1100" s="460"/>
      <c r="G1100" s="460"/>
      <c r="H1100" s="460"/>
      <c r="I1100" s="460"/>
      <c r="J1100" s="460"/>
      <c r="K1100" s="460"/>
      <c r="L1100" s="460"/>
      <c r="M1100" s="460"/>
      <c r="N1100" s="460"/>
      <c r="O1100" s="460"/>
      <c r="P1100" s="460"/>
      <c r="Q1100" s="460"/>
      <c r="R1100" s="460"/>
      <c r="S1100" s="460"/>
      <c r="T1100" s="460"/>
      <c r="U1100" s="460"/>
      <c r="V1100" s="460"/>
      <c r="W1100" s="460"/>
      <c r="X1100" s="460"/>
      <c r="Y1100" s="460"/>
      <c r="Z1100" s="460"/>
      <c r="AA1100" s="460"/>
      <c r="AB1100" s="460"/>
      <c r="AC1100" s="460"/>
      <c r="AD1100" s="460"/>
      <c r="AE1100" s="460"/>
      <c r="AF1100" s="460"/>
      <c r="AG1100" s="460"/>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60"/>
      <c r="C1227" s="460"/>
      <c r="D1227" s="460"/>
      <c r="E1227" s="460"/>
      <c r="F1227" s="460"/>
      <c r="G1227" s="460"/>
      <c r="H1227" s="460"/>
      <c r="I1227" s="460"/>
      <c r="J1227" s="460"/>
      <c r="K1227" s="460"/>
      <c r="L1227" s="460"/>
      <c r="M1227" s="460"/>
      <c r="N1227" s="460"/>
      <c r="O1227" s="460"/>
      <c r="P1227" s="460"/>
      <c r="Q1227" s="460"/>
      <c r="R1227" s="460"/>
      <c r="S1227" s="460"/>
      <c r="T1227" s="460"/>
      <c r="U1227" s="460"/>
      <c r="V1227" s="460"/>
      <c r="W1227" s="460"/>
      <c r="X1227" s="460"/>
      <c r="Y1227" s="460"/>
      <c r="Z1227" s="460"/>
      <c r="AA1227" s="460"/>
      <c r="AB1227" s="460"/>
      <c r="AC1227" s="460"/>
      <c r="AD1227" s="460"/>
      <c r="AE1227" s="460"/>
      <c r="AF1227" s="460"/>
      <c r="AG1227" s="460"/>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60"/>
      <c r="C1390" s="460"/>
      <c r="D1390" s="460"/>
      <c r="E1390" s="460"/>
      <c r="F1390" s="460"/>
      <c r="G1390" s="460"/>
      <c r="H1390" s="460"/>
      <c r="I1390" s="460"/>
      <c r="J1390" s="460"/>
      <c r="K1390" s="460"/>
      <c r="L1390" s="460"/>
      <c r="M1390" s="460"/>
      <c r="N1390" s="460"/>
      <c r="O1390" s="460"/>
      <c r="P1390" s="460"/>
      <c r="Q1390" s="460"/>
      <c r="R1390" s="460"/>
      <c r="S1390" s="460"/>
      <c r="T1390" s="460"/>
      <c r="U1390" s="460"/>
      <c r="V1390" s="460"/>
      <c r="W1390" s="460"/>
      <c r="X1390" s="460"/>
      <c r="Y1390" s="460"/>
      <c r="Z1390" s="460"/>
      <c r="AA1390" s="460"/>
      <c r="AB1390" s="460"/>
      <c r="AC1390" s="460"/>
      <c r="AD1390" s="460"/>
      <c r="AE1390" s="460"/>
      <c r="AF1390" s="460"/>
      <c r="AG1390" s="460"/>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500" spans="2:33" ht="15" customHeight="1" x14ac:dyDescent="0.35"/>
    <row r="1501" spans="2:33" ht="15" customHeight="1" x14ac:dyDescent="0.35"/>
    <row r="1502" spans="2:33" ht="15" customHeight="1" x14ac:dyDescent="0.35">
      <c r="B1502" s="460"/>
      <c r="C1502" s="460"/>
      <c r="D1502" s="460"/>
      <c r="E1502" s="460"/>
      <c r="F1502" s="460"/>
      <c r="G1502" s="460"/>
      <c r="H1502" s="460"/>
      <c r="I1502" s="460"/>
      <c r="J1502" s="460"/>
      <c r="K1502" s="460"/>
      <c r="L1502" s="460"/>
      <c r="M1502" s="460"/>
      <c r="N1502" s="460"/>
      <c r="O1502" s="460"/>
      <c r="P1502" s="460"/>
      <c r="Q1502" s="460"/>
      <c r="R1502" s="460"/>
      <c r="S1502" s="460"/>
      <c r="T1502" s="460"/>
      <c r="U1502" s="460"/>
      <c r="V1502" s="460"/>
      <c r="W1502" s="460"/>
      <c r="X1502" s="460"/>
      <c r="Y1502" s="460"/>
      <c r="Z1502" s="460"/>
      <c r="AA1502" s="460"/>
      <c r="AB1502" s="460"/>
      <c r="AC1502" s="460"/>
      <c r="AD1502" s="460"/>
      <c r="AE1502" s="460"/>
      <c r="AF1502" s="460"/>
      <c r="AG1502" s="460"/>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60"/>
      <c r="C1604" s="460"/>
      <c r="D1604" s="460"/>
      <c r="E1604" s="460"/>
      <c r="F1604" s="460"/>
      <c r="G1604" s="460"/>
      <c r="H1604" s="460"/>
      <c r="I1604" s="460"/>
      <c r="J1604" s="460"/>
      <c r="K1604" s="460"/>
      <c r="L1604" s="460"/>
      <c r="M1604" s="460"/>
      <c r="N1604" s="460"/>
      <c r="O1604" s="460"/>
      <c r="P1604" s="460"/>
      <c r="Q1604" s="460"/>
      <c r="R1604" s="460"/>
      <c r="S1604" s="460"/>
      <c r="T1604" s="460"/>
      <c r="U1604" s="460"/>
      <c r="V1604" s="460"/>
      <c r="W1604" s="460"/>
      <c r="X1604" s="460"/>
      <c r="Y1604" s="460"/>
      <c r="Z1604" s="460"/>
      <c r="AA1604" s="460"/>
      <c r="AB1604" s="460"/>
      <c r="AC1604" s="460"/>
      <c r="AD1604" s="460"/>
      <c r="AE1604" s="460"/>
      <c r="AF1604" s="460"/>
      <c r="AG1604" s="460"/>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3" ht="15" customHeight="1" x14ac:dyDescent="0.35"/>
    <row r="1698" spans="2:33" ht="15" customHeight="1" x14ac:dyDescent="0.35">
      <c r="B1698" s="460"/>
      <c r="C1698" s="460"/>
      <c r="D1698" s="460"/>
      <c r="E1698" s="460"/>
      <c r="F1698" s="460"/>
      <c r="G1698" s="460"/>
      <c r="H1698" s="460"/>
      <c r="I1698" s="460"/>
      <c r="J1698" s="460"/>
      <c r="K1698" s="460"/>
      <c r="L1698" s="460"/>
      <c r="M1698" s="460"/>
      <c r="N1698" s="460"/>
      <c r="O1698" s="460"/>
      <c r="P1698" s="460"/>
      <c r="Q1698" s="460"/>
      <c r="R1698" s="460"/>
      <c r="S1698" s="460"/>
      <c r="T1698" s="460"/>
      <c r="U1698" s="460"/>
      <c r="V1698" s="460"/>
      <c r="W1698" s="460"/>
      <c r="X1698" s="460"/>
      <c r="Y1698" s="460"/>
      <c r="Z1698" s="460"/>
      <c r="AA1698" s="460"/>
      <c r="AB1698" s="460"/>
      <c r="AC1698" s="460"/>
      <c r="AD1698" s="460"/>
      <c r="AE1698" s="460"/>
      <c r="AF1698" s="460"/>
      <c r="AG1698" s="460"/>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60"/>
      <c r="C1945" s="460"/>
      <c r="D1945" s="460"/>
      <c r="E1945" s="460"/>
      <c r="F1945" s="460"/>
      <c r="G1945" s="460"/>
      <c r="H1945" s="460"/>
      <c r="I1945" s="460"/>
      <c r="J1945" s="460"/>
      <c r="K1945" s="460"/>
      <c r="L1945" s="460"/>
      <c r="M1945" s="460"/>
      <c r="N1945" s="460"/>
      <c r="O1945" s="460"/>
      <c r="P1945" s="460"/>
      <c r="Q1945" s="460"/>
      <c r="R1945" s="460"/>
      <c r="S1945" s="460"/>
      <c r="T1945" s="460"/>
      <c r="U1945" s="460"/>
      <c r="V1945" s="460"/>
      <c r="W1945" s="460"/>
      <c r="X1945" s="460"/>
      <c r="Y1945" s="460"/>
      <c r="Z1945" s="460"/>
      <c r="AA1945" s="460"/>
      <c r="AB1945" s="460"/>
      <c r="AC1945" s="460"/>
      <c r="AD1945" s="460"/>
      <c r="AE1945" s="460"/>
      <c r="AF1945" s="460"/>
      <c r="AG1945" s="460"/>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60"/>
      <c r="C2031" s="460"/>
      <c r="D2031" s="460"/>
      <c r="E2031" s="460"/>
      <c r="F2031" s="460"/>
      <c r="G2031" s="460"/>
      <c r="H2031" s="460"/>
      <c r="I2031" s="460"/>
      <c r="J2031" s="460"/>
      <c r="K2031" s="460"/>
      <c r="L2031" s="460"/>
      <c r="M2031" s="460"/>
      <c r="N2031" s="460"/>
      <c r="O2031" s="460"/>
      <c r="P2031" s="460"/>
      <c r="Q2031" s="460"/>
      <c r="R2031" s="460"/>
      <c r="S2031" s="460"/>
      <c r="T2031" s="460"/>
      <c r="U2031" s="460"/>
      <c r="V2031" s="460"/>
      <c r="W2031" s="460"/>
      <c r="X2031" s="460"/>
      <c r="Y2031" s="460"/>
      <c r="Z2031" s="460"/>
      <c r="AA2031" s="460"/>
      <c r="AB2031" s="460"/>
      <c r="AC2031" s="460"/>
      <c r="AD2031" s="460"/>
      <c r="AE2031" s="460"/>
      <c r="AF2031" s="460"/>
      <c r="AG2031" s="460"/>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8" spans="2:33" ht="15" customHeight="1" x14ac:dyDescent="0.35"/>
    <row r="2151" spans="2:33" ht="15" customHeight="1" x14ac:dyDescent="0.35"/>
    <row r="2152" spans="2:33" ht="15" customHeight="1" x14ac:dyDescent="0.35"/>
    <row r="2153" spans="2:33" ht="15" customHeight="1" x14ac:dyDescent="0.35">
      <c r="B2153" s="460"/>
      <c r="C2153" s="460"/>
      <c r="D2153" s="460"/>
      <c r="E2153" s="460"/>
      <c r="F2153" s="460"/>
      <c r="G2153" s="460"/>
      <c r="H2153" s="460"/>
      <c r="I2153" s="460"/>
      <c r="J2153" s="460"/>
      <c r="K2153" s="460"/>
      <c r="L2153" s="460"/>
      <c r="M2153" s="460"/>
      <c r="N2153" s="460"/>
      <c r="O2153" s="460"/>
      <c r="P2153" s="460"/>
      <c r="Q2153" s="460"/>
      <c r="R2153" s="460"/>
      <c r="S2153" s="460"/>
      <c r="T2153" s="460"/>
      <c r="U2153" s="460"/>
      <c r="V2153" s="460"/>
      <c r="W2153" s="460"/>
      <c r="X2153" s="460"/>
      <c r="Y2153" s="460"/>
      <c r="Z2153" s="460"/>
      <c r="AA2153" s="460"/>
      <c r="AB2153" s="460"/>
      <c r="AC2153" s="460"/>
      <c r="AD2153" s="460"/>
      <c r="AE2153" s="460"/>
      <c r="AF2153" s="460"/>
      <c r="AG2153" s="460"/>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60"/>
      <c r="C2317" s="460"/>
      <c r="D2317" s="460"/>
      <c r="E2317" s="460"/>
      <c r="F2317" s="460"/>
      <c r="G2317" s="460"/>
      <c r="H2317" s="460"/>
      <c r="I2317" s="460"/>
      <c r="J2317" s="460"/>
      <c r="K2317" s="460"/>
      <c r="L2317" s="460"/>
      <c r="M2317" s="460"/>
      <c r="N2317" s="460"/>
      <c r="O2317" s="460"/>
      <c r="P2317" s="460"/>
      <c r="Q2317" s="460"/>
      <c r="R2317" s="460"/>
      <c r="S2317" s="460"/>
      <c r="T2317" s="460"/>
      <c r="U2317" s="460"/>
      <c r="V2317" s="460"/>
      <c r="W2317" s="460"/>
      <c r="X2317" s="460"/>
      <c r="Y2317" s="460"/>
      <c r="Z2317" s="460"/>
      <c r="AA2317" s="460"/>
      <c r="AB2317" s="460"/>
      <c r="AC2317" s="460"/>
      <c r="AD2317" s="460"/>
      <c r="AE2317" s="460"/>
      <c r="AF2317" s="460"/>
      <c r="AG2317" s="460"/>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60"/>
      <c r="C2419" s="460"/>
      <c r="D2419" s="460"/>
      <c r="E2419" s="460"/>
      <c r="F2419" s="460"/>
      <c r="G2419" s="460"/>
      <c r="H2419" s="460"/>
      <c r="I2419" s="460"/>
      <c r="J2419" s="460"/>
      <c r="K2419" s="460"/>
      <c r="L2419" s="460"/>
      <c r="M2419" s="460"/>
      <c r="N2419" s="460"/>
      <c r="O2419" s="460"/>
      <c r="P2419" s="460"/>
      <c r="Q2419" s="460"/>
      <c r="R2419" s="460"/>
      <c r="S2419" s="460"/>
      <c r="T2419" s="460"/>
      <c r="U2419" s="460"/>
      <c r="V2419" s="460"/>
      <c r="W2419" s="460"/>
      <c r="X2419" s="460"/>
      <c r="Y2419" s="460"/>
      <c r="Z2419" s="460"/>
      <c r="AA2419" s="460"/>
      <c r="AB2419" s="460"/>
      <c r="AC2419" s="460"/>
      <c r="AD2419" s="460"/>
      <c r="AE2419" s="460"/>
      <c r="AF2419" s="460"/>
      <c r="AG2419" s="460"/>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60"/>
      <c r="C2509" s="460"/>
      <c r="D2509" s="460"/>
      <c r="E2509" s="460"/>
      <c r="F2509" s="460"/>
      <c r="G2509" s="460"/>
      <c r="H2509" s="460"/>
      <c r="I2509" s="460"/>
      <c r="J2509" s="460"/>
      <c r="K2509" s="460"/>
      <c r="L2509" s="460"/>
      <c r="M2509" s="460"/>
      <c r="N2509" s="460"/>
      <c r="O2509" s="460"/>
      <c r="P2509" s="460"/>
      <c r="Q2509" s="460"/>
      <c r="R2509" s="460"/>
      <c r="S2509" s="460"/>
      <c r="T2509" s="460"/>
      <c r="U2509" s="460"/>
      <c r="V2509" s="460"/>
      <c r="W2509" s="460"/>
      <c r="X2509" s="460"/>
      <c r="Y2509" s="460"/>
      <c r="Z2509" s="460"/>
      <c r="AA2509" s="460"/>
      <c r="AB2509" s="460"/>
      <c r="AC2509" s="460"/>
      <c r="AD2509" s="460"/>
      <c r="AE2509" s="460"/>
      <c r="AF2509" s="460"/>
      <c r="AG2509" s="460"/>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60"/>
      <c r="C2598" s="460"/>
      <c r="D2598" s="460"/>
      <c r="E2598" s="460"/>
      <c r="F2598" s="460"/>
      <c r="G2598" s="460"/>
      <c r="H2598" s="460"/>
      <c r="I2598" s="460"/>
      <c r="J2598" s="460"/>
      <c r="K2598" s="460"/>
      <c r="L2598" s="460"/>
      <c r="M2598" s="460"/>
      <c r="N2598" s="460"/>
      <c r="O2598" s="460"/>
      <c r="P2598" s="460"/>
      <c r="Q2598" s="460"/>
      <c r="R2598" s="460"/>
      <c r="S2598" s="460"/>
      <c r="T2598" s="460"/>
      <c r="U2598" s="460"/>
      <c r="V2598" s="460"/>
      <c r="W2598" s="460"/>
      <c r="X2598" s="460"/>
      <c r="Y2598" s="460"/>
      <c r="Z2598" s="460"/>
      <c r="AA2598" s="460"/>
      <c r="AB2598" s="460"/>
      <c r="AC2598" s="460"/>
      <c r="AD2598" s="460"/>
      <c r="AE2598" s="460"/>
      <c r="AF2598" s="460"/>
      <c r="AG2598" s="460"/>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60"/>
      <c r="C2719" s="460"/>
      <c r="D2719" s="460"/>
      <c r="E2719" s="460"/>
      <c r="F2719" s="460"/>
      <c r="G2719" s="460"/>
      <c r="H2719" s="460"/>
      <c r="I2719" s="460"/>
      <c r="J2719" s="460"/>
      <c r="K2719" s="460"/>
      <c r="L2719" s="460"/>
      <c r="M2719" s="460"/>
      <c r="N2719" s="460"/>
      <c r="O2719" s="460"/>
      <c r="P2719" s="460"/>
      <c r="Q2719" s="460"/>
      <c r="R2719" s="460"/>
      <c r="S2719" s="460"/>
      <c r="T2719" s="460"/>
      <c r="U2719" s="460"/>
      <c r="V2719" s="460"/>
      <c r="W2719" s="460"/>
      <c r="X2719" s="460"/>
      <c r="Y2719" s="460"/>
      <c r="Z2719" s="460"/>
      <c r="AA2719" s="460"/>
      <c r="AB2719" s="460"/>
      <c r="AC2719" s="460"/>
      <c r="AD2719" s="460"/>
      <c r="AE2719" s="460"/>
      <c r="AF2719" s="460"/>
      <c r="AG2719" s="460"/>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60"/>
      <c r="C2837" s="460"/>
      <c r="D2837" s="460"/>
      <c r="E2837" s="460"/>
      <c r="F2837" s="460"/>
      <c r="G2837" s="460"/>
      <c r="H2837" s="460"/>
      <c r="I2837" s="460"/>
      <c r="J2837" s="460"/>
      <c r="K2837" s="460"/>
      <c r="L2837" s="460"/>
      <c r="M2837" s="460"/>
      <c r="N2837" s="460"/>
      <c r="O2837" s="460"/>
      <c r="P2837" s="460"/>
      <c r="Q2837" s="460"/>
      <c r="R2837" s="460"/>
      <c r="S2837" s="460"/>
      <c r="T2837" s="460"/>
      <c r="U2837" s="460"/>
      <c r="V2837" s="460"/>
      <c r="W2837" s="460"/>
      <c r="X2837" s="460"/>
      <c r="Y2837" s="460"/>
      <c r="Z2837" s="460"/>
      <c r="AA2837" s="460"/>
      <c r="AB2837" s="460"/>
      <c r="AC2837" s="460"/>
      <c r="AD2837" s="460"/>
      <c r="AE2837" s="460"/>
      <c r="AF2837" s="460"/>
      <c r="AG2837" s="460"/>
    </row>
    <row r="2838" spans="2:33" ht="15" customHeight="1" x14ac:dyDescent="0.35"/>
    <row r="2839" spans="2:33" ht="15" customHeight="1" x14ac:dyDescent="0.35"/>
    <row r="2840" spans="2:33" ht="15" customHeight="1" x14ac:dyDescent="0.35"/>
    <row r="2841" spans="2:33" ht="15" customHeight="1" x14ac:dyDescent="0.35"/>
  </sheetData>
  <mergeCells count="20">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3046875" defaultRowHeight="15" customHeight="1" x14ac:dyDescent="0.35"/>
  <cols>
    <col min="1" max="1" width="21.265625" style="36" bestFit="1" customWidth="1"/>
    <col min="2" max="2" width="46.73046875" style="36" customWidth="1"/>
    <col min="3" max="3" width="8.73046875" style="36" customWidth="1"/>
    <col min="4" max="16384" width="8.73046875" style="36"/>
  </cols>
  <sheetData>
    <row r="1" spans="1:33" ht="15" customHeight="1" thickBot="1" x14ac:dyDescent="0.4">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436</v>
      </c>
      <c r="D3" s="72" t="s">
        <v>562</v>
      </c>
      <c r="E3" s="54"/>
      <c r="F3" s="54"/>
      <c r="G3" s="54"/>
    </row>
    <row r="4" spans="1:33" ht="15" customHeight="1" x14ac:dyDescent="0.4">
      <c r="C4" s="72" t="s">
        <v>438</v>
      </c>
      <c r="D4" s="72" t="s">
        <v>563</v>
      </c>
      <c r="E4" s="54"/>
      <c r="F4" s="54"/>
      <c r="G4" s="72" t="s">
        <v>440</v>
      </c>
    </row>
    <row r="5" spans="1:33" ht="15" customHeight="1" x14ac:dyDescent="0.4">
      <c r="C5" s="72" t="s">
        <v>441</v>
      </c>
      <c r="D5" s="72" t="s">
        <v>564</v>
      </c>
      <c r="E5" s="54"/>
      <c r="F5" s="54"/>
      <c r="G5" s="54"/>
    </row>
    <row r="6" spans="1:33" ht="15" customHeight="1" x14ac:dyDescent="0.4">
      <c r="C6" s="72" t="s">
        <v>443</v>
      </c>
      <c r="D6" s="54"/>
      <c r="E6" s="72" t="s">
        <v>565</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5">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4">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35">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35">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35">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35">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35">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35">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35">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35">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35">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35">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35">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5">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35">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35">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35">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35">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35">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35">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35">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35">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35">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35">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35">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5">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35">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35">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35">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35">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35">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35">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35">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35">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35">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35">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35">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35">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5">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5">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35">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35">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35">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35">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35">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35">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35">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5">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5">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35">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35">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35">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35">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35">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35">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35">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4">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35">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35">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35">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35">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35">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35">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35">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35">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35">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35">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35">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35">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35">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35">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35">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35">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35">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35">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35">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35">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35">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35">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35">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35">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35">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5">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5">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5">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5">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5">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5">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5">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5">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5">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5">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5">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5">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5">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4.25" x14ac:dyDescent="0.45"/>
  <cols>
    <col min="1" max="1" width="18.73046875" customWidth="1"/>
    <col min="2" max="2" width="54.796875" customWidth="1"/>
  </cols>
  <sheetData>
    <row r="1" spans="1:33" x14ac:dyDescent="0.45">
      <c r="A1" t="s">
        <v>577</v>
      </c>
    </row>
    <row r="2" spans="1:33" x14ac:dyDescent="0.45">
      <c r="A2" t="s">
        <v>578</v>
      </c>
    </row>
    <row r="3" spans="1:33" x14ac:dyDescent="0.45">
      <c r="A3" t="s">
        <v>579</v>
      </c>
    </row>
    <row r="4" spans="1:33" x14ac:dyDescent="0.45">
      <c r="A4" t="s">
        <v>580</v>
      </c>
    </row>
    <row r="5" spans="1:33" x14ac:dyDescent="0.4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45">
      <c r="A6" t="s">
        <v>453</v>
      </c>
    </row>
    <row r="7" spans="1:33" s="343" customFormat="1" x14ac:dyDescent="0.4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4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4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4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4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4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4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4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4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4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45">
      <c r="A17" t="s">
        <v>474</v>
      </c>
    </row>
    <row r="18" spans="1:33" x14ac:dyDescent="0.4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4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4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4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4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45">
      <c r="A23" t="s">
        <v>484</v>
      </c>
    </row>
    <row r="24" spans="1:33" x14ac:dyDescent="0.4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4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4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4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4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45">
      <c r="A29" t="s">
        <v>494</v>
      </c>
    </row>
    <row r="30" spans="1:33" x14ac:dyDescent="0.4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4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4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4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4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4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4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4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4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45">
      <c r="A39" t="s">
        <v>658</v>
      </c>
    </row>
    <row r="40" spans="1:34" x14ac:dyDescent="0.4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4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4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4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4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4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4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45">
      <c r="A47" t="s">
        <v>524</v>
      </c>
    </row>
    <row r="48" spans="1:34" x14ac:dyDescent="0.4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4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4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4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4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4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4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3046875" defaultRowHeight="11.65"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436</v>
      </c>
      <c r="D3" s="54" t="s">
        <v>437</v>
      </c>
      <c r="E3" s="54"/>
      <c r="F3" s="54"/>
      <c r="G3" s="54"/>
    </row>
    <row r="4" spans="1:33" ht="15" customHeight="1" x14ac:dyDescent="0.35">
      <c r="C4" s="54" t="s">
        <v>438</v>
      </c>
      <c r="D4" s="54" t="s">
        <v>439</v>
      </c>
      <c r="E4" s="54"/>
      <c r="F4" s="54"/>
      <c r="G4" s="54" t="s">
        <v>440</v>
      </c>
    </row>
    <row r="5" spans="1:33" ht="15" customHeight="1" x14ac:dyDescent="0.35">
      <c r="C5" s="54" t="s">
        <v>441</v>
      </c>
      <c r="D5" s="54" t="s">
        <v>442</v>
      </c>
      <c r="E5" s="54"/>
      <c r="F5" s="54"/>
      <c r="G5" s="54"/>
    </row>
    <row r="6" spans="1:33" ht="15" customHeight="1" x14ac:dyDescent="0.35">
      <c r="C6" s="54" t="s">
        <v>443</v>
      </c>
      <c r="D6" s="54"/>
      <c r="E6" s="54" t="s">
        <v>444</v>
      </c>
      <c r="F6" s="54"/>
      <c r="G6" s="54"/>
    </row>
    <row r="10" spans="1:33" ht="15" customHeight="1" x14ac:dyDescent="0.5">
      <c r="A10" s="42" t="s">
        <v>702</v>
      </c>
      <c r="B10" s="53" t="s">
        <v>703</v>
      </c>
      <c r="AG10" s="50" t="s">
        <v>447</v>
      </c>
    </row>
    <row r="11" spans="1:33" ht="15" customHeight="1" x14ac:dyDescent="0.35">
      <c r="B11" s="52" t="s">
        <v>704</v>
      </c>
      <c r="AG11" s="50" t="s">
        <v>449</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4">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5"/>
    <row r="15" spans="1:33" ht="15" customHeight="1" x14ac:dyDescent="0.35">
      <c r="B15" s="45" t="s">
        <v>706</v>
      </c>
    </row>
    <row r="16" spans="1:33" ht="15" customHeight="1" x14ac:dyDescent="0.35"/>
    <row r="17" spans="1:33" ht="15" customHeight="1" x14ac:dyDescent="0.35">
      <c r="B17" s="45" t="s">
        <v>707</v>
      </c>
    </row>
    <row r="18" spans="1:33" ht="15" customHeight="1" x14ac:dyDescent="0.35">
      <c r="B18" s="45" t="s">
        <v>708</v>
      </c>
    </row>
    <row r="19" spans="1:33" ht="15" customHeight="1" x14ac:dyDescent="0.4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4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4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4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4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4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4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35">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5">
      <c r="B27" s="45" t="s">
        <v>725</v>
      </c>
    </row>
    <row r="28" spans="1:33" ht="15" customHeight="1" x14ac:dyDescent="0.4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4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4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55" customHeight="1" x14ac:dyDescent="0.4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55" customHeight="1" x14ac:dyDescent="0.4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35">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35">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55" customHeight="1" x14ac:dyDescent="0.4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55" customHeight="1" x14ac:dyDescent="0.35"/>
    <row r="37" spans="1:33" x14ac:dyDescent="0.35">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55" customHeight="1" x14ac:dyDescent="0.35"/>
    <row r="39" spans="1:33" ht="14.55" customHeight="1" x14ac:dyDescent="0.35">
      <c r="B39" s="45" t="s">
        <v>741</v>
      </c>
    </row>
    <row r="40" spans="1:33" ht="14.55" customHeight="1" x14ac:dyDescent="0.4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55" customHeight="1" x14ac:dyDescent="0.4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55" customHeight="1" x14ac:dyDescent="0.4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55" customHeight="1" x14ac:dyDescent="0.4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55" customHeight="1" x14ac:dyDescent="0.4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55" customHeight="1" x14ac:dyDescent="0.4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35">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55" customHeight="1" x14ac:dyDescent="0.4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35">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55" customHeight="1" x14ac:dyDescent="0.35"/>
    <row r="50" spans="1:33" ht="15" customHeight="1" x14ac:dyDescent="0.35">
      <c r="B50" s="45" t="s">
        <v>757</v>
      </c>
    </row>
    <row r="51" spans="1:33" ht="15" customHeight="1" x14ac:dyDescent="0.4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4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4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4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4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4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35">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35">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5"/>
    <row r="60" spans="1:33" ht="15" customHeight="1" x14ac:dyDescent="0.35">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5"/>
    <row r="62" spans="1:33" ht="15" customHeight="1" x14ac:dyDescent="0.35">
      <c r="B62" s="45" t="s">
        <v>772</v>
      </c>
    </row>
    <row r="63" spans="1:33" ht="15" customHeight="1" x14ac:dyDescent="0.4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4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4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55" customHeight="1" x14ac:dyDescent="0.4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35">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4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35">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5"/>
    <row r="71" spans="1:33" ht="15" customHeight="1" x14ac:dyDescent="0.35">
      <c r="B71" s="45" t="s">
        <v>787</v>
      </c>
    </row>
    <row r="72" spans="1:33" ht="15" customHeight="1" x14ac:dyDescent="0.35">
      <c r="B72" s="45" t="s">
        <v>788</v>
      </c>
    </row>
    <row r="73" spans="1:33" ht="14.55" customHeight="1" x14ac:dyDescent="0.4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4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4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4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35">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5">
      <c r="B78" s="45" t="s">
        <v>795</v>
      </c>
    </row>
    <row r="79" spans="1:33" ht="14.55" customHeight="1" x14ac:dyDescent="0.4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4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55" customHeight="1" x14ac:dyDescent="0.4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4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35">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5"/>
    <row r="85" spans="1:33" ht="15" customHeight="1" x14ac:dyDescent="0.35">
      <c r="B85" s="45" t="s">
        <v>801</v>
      </c>
    </row>
    <row r="86" spans="1:33" ht="15" customHeight="1" x14ac:dyDescent="0.35">
      <c r="B86" s="45" t="s">
        <v>788</v>
      </c>
    </row>
    <row r="87" spans="1:33" ht="15" customHeight="1" x14ac:dyDescent="0.4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4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4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5">
      <c r="B90" s="45" t="s">
        <v>795</v>
      </c>
    </row>
    <row r="91" spans="1:33" ht="15" customHeight="1" x14ac:dyDescent="0.4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55" customHeight="1" x14ac:dyDescent="0.4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4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5"/>
    <row r="95" spans="1:33" ht="15" customHeight="1" x14ac:dyDescent="0.35">
      <c r="B95" s="45" t="s">
        <v>811</v>
      </c>
    </row>
    <row r="96" spans="1:33" ht="15" customHeight="1" x14ac:dyDescent="0.4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4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4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4"/>
    <row r="100" spans="1:33" ht="15" customHeight="1" x14ac:dyDescent="0.35">
      <c r="B100" s="38" t="s">
        <v>818</v>
      </c>
    </row>
    <row r="101" spans="1:33" x14ac:dyDescent="0.35">
      <c r="B101" s="37" t="s">
        <v>819</v>
      </c>
    </row>
    <row r="102" spans="1:33" x14ac:dyDescent="0.35">
      <c r="B102" s="37" t="s">
        <v>820</v>
      </c>
    </row>
    <row r="103" spans="1:33" ht="15" customHeight="1" x14ac:dyDescent="0.35">
      <c r="B103" s="37" t="s">
        <v>821</v>
      </c>
    </row>
    <row r="104" spans="1:33" ht="15" customHeight="1" x14ac:dyDescent="0.35">
      <c r="B104" s="37" t="s">
        <v>822</v>
      </c>
    </row>
    <row r="105" spans="1:33" ht="15" customHeight="1" x14ac:dyDescent="0.35">
      <c r="B105" s="37" t="s">
        <v>823</v>
      </c>
    </row>
    <row r="106" spans="1:33" ht="15" customHeight="1" x14ac:dyDescent="0.35">
      <c r="B106" s="37" t="s">
        <v>824</v>
      </c>
    </row>
    <row r="107" spans="1:33" ht="15" customHeight="1" x14ac:dyDescent="0.35">
      <c r="B107" s="37" t="s">
        <v>825</v>
      </c>
    </row>
    <row r="108" spans="1:33" ht="15" customHeight="1" x14ac:dyDescent="0.35">
      <c r="B108" s="37" t="s">
        <v>826</v>
      </c>
    </row>
    <row r="109" spans="1:33" ht="15" customHeight="1" x14ac:dyDescent="0.35">
      <c r="B109" s="37" t="s">
        <v>827</v>
      </c>
    </row>
    <row r="110" spans="1:33" ht="15" customHeight="1" x14ac:dyDescent="0.35">
      <c r="B110" s="37" t="s">
        <v>828</v>
      </c>
    </row>
    <row r="111" spans="1:33" ht="15" customHeight="1" x14ac:dyDescent="0.35">
      <c r="B111" s="37" t="s">
        <v>829</v>
      </c>
    </row>
    <row r="112" spans="1:33" ht="15" customHeight="1" x14ac:dyDescent="0.35">
      <c r="B112" s="461" t="s">
        <v>830</v>
      </c>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row>
    <row r="113" spans="2:2" ht="15" customHeight="1" x14ac:dyDescent="0.35">
      <c r="B113" s="37" t="s">
        <v>831</v>
      </c>
    </row>
    <row r="114" spans="2:2" ht="15" customHeight="1" x14ac:dyDescent="0.35">
      <c r="B114" s="37" t="s">
        <v>832</v>
      </c>
    </row>
    <row r="115" spans="2:2" ht="15" customHeight="1" x14ac:dyDescent="0.35">
      <c r="B115" s="37" t="s">
        <v>833</v>
      </c>
    </row>
    <row r="116" spans="2:2" ht="15" customHeight="1" x14ac:dyDescent="0.35">
      <c r="B116" s="37" t="s">
        <v>834</v>
      </c>
    </row>
    <row r="117" spans="2:2" ht="15" customHeight="1" x14ac:dyDescent="0.35">
      <c r="B117" s="37" t="s">
        <v>557</v>
      </c>
    </row>
    <row r="118" spans="2:2" ht="15" customHeight="1" x14ac:dyDescent="0.35">
      <c r="B118" s="37" t="s">
        <v>558</v>
      </c>
    </row>
    <row r="119" spans="2:2" ht="15" customHeight="1" x14ac:dyDescent="0.35">
      <c r="B119" s="37" t="s">
        <v>835</v>
      </c>
    </row>
    <row r="120" spans="2:2" ht="15" customHeight="1" x14ac:dyDescent="0.35">
      <c r="B120" s="37" t="s">
        <v>836</v>
      </c>
    </row>
    <row r="121" spans="2:2" ht="15" customHeight="1" x14ac:dyDescent="0.35"/>
    <row r="122" spans="2:2" ht="15" customHeight="1" x14ac:dyDescent="0.35"/>
    <row r="123" spans="2:2" ht="15" customHeight="1" x14ac:dyDescent="0.35"/>
    <row r="124" spans="2:2" ht="15" customHeight="1" x14ac:dyDescent="0.35"/>
    <row r="125" spans="2:2" ht="15" customHeight="1" x14ac:dyDescent="0.35"/>
    <row r="126" spans="2:2" ht="15" customHeight="1" x14ac:dyDescent="0.35"/>
    <row r="127" spans="2:2" ht="15" customHeight="1" x14ac:dyDescent="0.35"/>
    <row r="128" spans="2:2"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ht="15" customHeight="1" x14ac:dyDescent="0.35"/>
    <row r="146" ht="15" customHeight="1" x14ac:dyDescent="0.35"/>
    <row r="147" ht="15" customHeight="1" x14ac:dyDescent="0.35"/>
    <row r="148" ht="15" customHeight="1" x14ac:dyDescent="0.35"/>
    <row r="149"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c r="AG308" s="460"/>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499"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09" spans="2:33" ht="15" customHeight="1" x14ac:dyDescent="0.35"/>
    <row r="510" spans="2:33" ht="15" customHeight="1" x14ac:dyDescent="0.35"/>
    <row r="511" spans="2:33" ht="15" customHeight="1" x14ac:dyDescent="0.35">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c r="AG511" s="460"/>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c r="AG712" s="460"/>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c r="AG887" s="460"/>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5"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60"/>
      <c r="C1100" s="460"/>
      <c r="D1100" s="460"/>
      <c r="E1100" s="460"/>
      <c r="F1100" s="460"/>
      <c r="G1100" s="460"/>
      <c r="H1100" s="460"/>
      <c r="I1100" s="460"/>
      <c r="J1100" s="460"/>
      <c r="K1100" s="460"/>
      <c r="L1100" s="460"/>
      <c r="M1100" s="460"/>
      <c r="N1100" s="460"/>
      <c r="O1100" s="460"/>
      <c r="P1100" s="460"/>
      <c r="Q1100" s="460"/>
      <c r="R1100" s="460"/>
      <c r="S1100" s="460"/>
      <c r="T1100" s="460"/>
      <c r="U1100" s="460"/>
      <c r="V1100" s="460"/>
      <c r="W1100" s="460"/>
      <c r="X1100" s="460"/>
      <c r="Y1100" s="460"/>
      <c r="Z1100" s="460"/>
      <c r="AA1100" s="460"/>
      <c r="AB1100" s="460"/>
      <c r="AC1100" s="460"/>
      <c r="AD1100" s="460"/>
      <c r="AE1100" s="460"/>
      <c r="AF1100" s="460"/>
      <c r="AG1100" s="460"/>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5" customHeight="1" x14ac:dyDescent="0.35"/>
    <row r="1128" ht="15" customHeight="1" x14ac:dyDescent="0.35"/>
    <row r="1129" ht="15"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5"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60"/>
      <c r="C1227" s="460"/>
      <c r="D1227" s="460"/>
      <c r="E1227" s="460"/>
      <c r="F1227" s="460"/>
      <c r="G1227" s="460"/>
      <c r="H1227" s="460"/>
      <c r="I1227" s="460"/>
      <c r="J1227" s="460"/>
      <c r="K1227" s="460"/>
      <c r="L1227" s="460"/>
      <c r="M1227" s="460"/>
      <c r="N1227" s="460"/>
      <c r="O1227" s="460"/>
      <c r="P1227" s="460"/>
      <c r="Q1227" s="460"/>
      <c r="R1227" s="460"/>
      <c r="S1227" s="460"/>
      <c r="T1227" s="460"/>
      <c r="U1227" s="460"/>
      <c r="V1227" s="460"/>
      <c r="W1227" s="460"/>
      <c r="X1227" s="460"/>
      <c r="Y1227" s="460"/>
      <c r="Z1227" s="460"/>
      <c r="AA1227" s="460"/>
      <c r="AB1227" s="460"/>
      <c r="AC1227" s="460"/>
      <c r="AD1227" s="460"/>
      <c r="AE1227" s="460"/>
      <c r="AF1227" s="460"/>
      <c r="AG1227" s="460"/>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5" customHeight="1" x14ac:dyDescent="0.35"/>
    <row r="1253" ht="15" customHeight="1" x14ac:dyDescent="0.35"/>
    <row r="1254" ht="15" customHeight="1" x14ac:dyDescent="0.35"/>
    <row r="1255" ht="15" customHeight="1" x14ac:dyDescent="0.35"/>
    <row r="1256" ht="15"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5" customHeight="1" x14ac:dyDescent="0.35"/>
    <row r="1276" ht="15" customHeight="1" x14ac:dyDescent="0.35"/>
    <row r="1277" ht="15" customHeight="1" x14ac:dyDescent="0.35"/>
    <row r="1278" ht="15" customHeight="1" x14ac:dyDescent="0.35"/>
    <row r="1279" ht="15" customHeight="1" x14ac:dyDescent="0.35"/>
    <row r="1280" ht="15" customHeight="1" x14ac:dyDescent="0.35"/>
    <row r="1281" ht="15" customHeight="1" x14ac:dyDescent="0.35"/>
    <row r="1282" ht="15" customHeight="1" x14ac:dyDescent="0.35"/>
    <row r="1283" ht="15" customHeight="1" x14ac:dyDescent="0.35"/>
    <row r="1284" ht="15" customHeight="1" x14ac:dyDescent="0.35"/>
    <row r="1285" ht="15" customHeight="1" x14ac:dyDescent="0.35"/>
    <row r="1286" ht="15" customHeight="1" x14ac:dyDescent="0.35"/>
    <row r="1287" ht="15" customHeight="1" x14ac:dyDescent="0.35"/>
    <row r="1288" ht="15" customHeight="1" x14ac:dyDescent="0.35"/>
    <row r="1289" ht="15" customHeight="1" x14ac:dyDescent="0.35"/>
    <row r="1290" ht="15" customHeight="1" x14ac:dyDescent="0.35"/>
    <row r="1291" ht="15" customHeight="1" x14ac:dyDescent="0.35"/>
    <row r="1292" ht="15" customHeight="1" x14ac:dyDescent="0.35"/>
    <row r="1293" ht="15" customHeight="1" x14ac:dyDescent="0.35"/>
    <row r="1294" ht="15" customHeight="1" x14ac:dyDescent="0.35"/>
    <row r="1295" ht="15"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4"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60"/>
      <c r="C1390" s="460"/>
      <c r="D1390" s="460"/>
      <c r="E1390" s="460"/>
      <c r="F1390" s="460"/>
      <c r="G1390" s="460"/>
      <c r="H1390" s="460"/>
      <c r="I1390" s="460"/>
      <c r="J1390" s="460"/>
      <c r="K1390" s="460"/>
      <c r="L1390" s="460"/>
      <c r="M1390" s="460"/>
      <c r="N1390" s="460"/>
      <c r="O1390" s="460"/>
      <c r="P1390" s="460"/>
      <c r="Q1390" s="460"/>
      <c r="R1390" s="460"/>
      <c r="S1390" s="460"/>
      <c r="T1390" s="460"/>
      <c r="U1390" s="460"/>
      <c r="V1390" s="460"/>
      <c r="W1390" s="460"/>
      <c r="X1390" s="460"/>
      <c r="Y1390" s="460"/>
      <c r="Z1390" s="460"/>
      <c r="AA1390" s="460"/>
      <c r="AB1390" s="460"/>
      <c r="AC1390" s="460"/>
      <c r="AD1390" s="460"/>
      <c r="AE1390" s="460"/>
      <c r="AF1390" s="460"/>
      <c r="AG1390" s="460"/>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spans="2:33" ht="15" customHeight="1" x14ac:dyDescent="0.35"/>
    <row r="1490"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499" spans="2:33" ht="15" customHeight="1" x14ac:dyDescent="0.35"/>
    <row r="1500" spans="2:33" ht="15" customHeight="1" x14ac:dyDescent="0.35"/>
    <row r="1501" spans="2:33" ht="15" customHeight="1" x14ac:dyDescent="0.35"/>
    <row r="1502" spans="2:33" ht="15" customHeight="1" x14ac:dyDescent="0.35">
      <c r="B1502" s="460"/>
      <c r="C1502" s="460"/>
      <c r="D1502" s="460"/>
      <c r="E1502" s="460"/>
      <c r="F1502" s="460"/>
      <c r="G1502" s="460"/>
      <c r="H1502" s="460"/>
      <c r="I1502" s="460"/>
      <c r="J1502" s="460"/>
      <c r="K1502" s="460"/>
      <c r="L1502" s="460"/>
      <c r="M1502" s="460"/>
      <c r="N1502" s="460"/>
      <c r="O1502" s="460"/>
      <c r="P1502" s="460"/>
      <c r="Q1502" s="460"/>
      <c r="R1502" s="460"/>
      <c r="S1502" s="460"/>
      <c r="T1502" s="460"/>
      <c r="U1502" s="460"/>
      <c r="V1502" s="460"/>
      <c r="W1502" s="460"/>
      <c r="X1502" s="460"/>
      <c r="Y1502" s="460"/>
      <c r="Z1502" s="460"/>
      <c r="AA1502" s="460"/>
      <c r="AB1502" s="460"/>
      <c r="AC1502" s="460"/>
      <c r="AD1502" s="460"/>
      <c r="AE1502" s="460"/>
      <c r="AF1502" s="460"/>
      <c r="AG1502" s="460"/>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5" customHeight="1" x14ac:dyDescent="0.35"/>
    <row r="1585" ht="15"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60"/>
      <c r="C1604" s="460"/>
      <c r="D1604" s="460"/>
      <c r="E1604" s="460"/>
      <c r="F1604" s="460"/>
      <c r="G1604" s="460"/>
      <c r="H1604" s="460"/>
      <c r="I1604" s="460"/>
      <c r="J1604" s="460"/>
      <c r="K1604" s="460"/>
      <c r="L1604" s="460"/>
      <c r="M1604" s="460"/>
      <c r="N1604" s="460"/>
      <c r="O1604" s="460"/>
      <c r="P1604" s="460"/>
      <c r="Q1604" s="460"/>
      <c r="R1604" s="460"/>
      <c r="S1604" s="460"/>
      <c r="T1604" s="460"/>
      <c r="U1604" s="460"/>
      <c r="V1604" s="460"/>
      <c r="W1604" s="460"/>
      <c r="X1604" s="460"/>
      <c r="Y1604" s="460"/>
      <c r="Z1604" s="460"/>
      <c r="AA1604" s="460"/>
      <c r="AB1604" s="460"/>
      <c r="AC1604" s="460"/>
      <c r="AD1604" s="460"/>
      <c r="AE1604" s="460"/>
      <c r="AF1604" s="460"/>
      <c r="AG1604" s="460"/>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12" spans="2:33" ht="15" customHeight="1" x14ac:dyDescent="0.35"/>
    <row r="1613" spans="2:33" ht="15" customHeight="1" x14ac:dyDescent="0.35"/>
    <row r="1614" spans="2:33" ht="15" customHeight="1" x14ac:dyDescent="0.35"/>
    <row r="1615" spans="2:33" ht="15" customHeight="1" x14ac:dyDescent="0.35"/>
    <row r="1616" spans="2:33"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5" customHeight="1" x14ac:dyDescent="0.35"/>
    <row r="1697" spans="2:33" ht="15" customHeight="1" x14ac:dyDescent="0.35"/>
    <row r="1698" spans="2:33" ht="15" customHeight="1" x14ac:dyDescent="0.35">
      <c r="B1698" s="460"/>
      <c r="C1698" s="460"/>
      <c r="D1698" s="460"/>
      <c r="E1698" s="460"/>
      <c r="F1698" s="460"/>
      <c r="G1698" s="460"/>
      <c r="H1698" s="460"/>
      <c r="I1698" s="460"/>
      <c r="J1698" s="460"/>
      <c r="K1698" s="460"/>
      <c r="L1698" s="460"/>
      <c r="M1698" s="460"/>
      <c r="N1698" s="460"/>
      <c r="O1698" s="460"/>
      <c r="P1698" s="460"/>
      <c r="Q1698" s="460"/>
      <c r="R1698" s="460"/>
      <c r="S1698" s="460"/>
      <c r="T1698" s="460"/>
      <c r="U1698" s="460"/>
      <c r="V1698" s="460"/>
      <c r="W1698" s="460"/>
      <c r="X1698" s="460"/>
      <c r="Y1698" s="460"/>
      <c r="Z1698" s="460"/>
      <c r="AA1698" s="460"/>
      <c r="AB1698" s="460"/>
      <c r="AC1698" s="460"/>
      <c r="AD1698" s="460"/>
      <c r="AE1698" s="460"/>
      <c r="AF1698" s="460"/>
      <c r="AG1698" s="460"/>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5"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5"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5"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7" ht="15"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60"/>
      <c r="C1945" s="460"/>
      <c r="D1945" s="460"/>
      <c r="E1945" s="460"/>
      <c r="F1945" s="460"/>
      <c r="G1945" s="460"/>
      <c r="H1945" s="460"/>
      <c r="I1945" s="460"/>
      <c r="J1945" s="460"/>
      <c r="K1945" s="460"/>
      <c r="L1945" s="460"/>
      <c r="M1945" s="460"/>
      <c r="N1945" s="460"/>
      <c r="O1945" s="460"/>
      <c r="P1945" s="460"/>
      <c r="Q1945" s="460"/>
      <c r="R1945" s="460"/>
      <c r="S1945" s="460"/>
      <c r="T1945" s="460"/>
      <c r="U1945" s="460"/>
      <c r="V1945" s="460"/>
      <c r="W1945" s="460"/>
      <c r="X1945" s="460"/>
      <c r="Y1945" s="460"/>
      <c r="Z1945" s="460"/>
      <c r="AA1945" s="460"/>
      <c r="AB1945" s="460"/>
      <c r="AC1945" s="460"/>
      <c r="AD1945" s="460"/>
      <c r="AE1945" s="460"/>
      <c r="AF1945" s="460"/>
      <c r="AG1945" s="460"/>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5" customHeight="1" x14ac:dyDescent="0.35"/>
    <row r="1960" ht="15" customHeight="1" x14ac:dyDescent="0.35"/>
    <row r="1961" ht="15"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5"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3" ht="15" customHeight="1" x14ac:dyDescent="0.35"/>
    <row r="2004" ht="15" customHeight="1" x14ac:dyDescent="0.35"/>
    <row r="2005" ht="15" customHeight="1" x14ac:dyDescent="0.35"/>
    <row r="2006" ht="15"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1"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60"/>
      <c r="C2031" s="460"/>
      <c r="D2031" s="460"/>
      <c r="E2031" s="460"/>
      <c r="F2031" s="460"/>
      <c r="G2031" s="460"/>
      <c r="H2031" s="460"/>
      <c r="I2031" s="460"/>
      <c r="J2031" s="460"/>
      <c r="K2031" s="460"/>
      <c r="L2031" s="460"/>
      <c r="M2031" s="460"/>
      <c r="N2031" s="460"/>
      <c r="O2031" s="460"/>
      <c r="P2031" s="460"/>
      <c r="Q2031" s="460"/>
      <c r="R2031" s="460"/>
      <c r="S2031" s="460"/>
      <c r="T2031" s="460"/>
      <c r="U2031" s="460"/>
      <c r="V2031" s="460"/>
      <c r="W2031" s="460"/>
      <c r="X2031" s="460"/>
      <c r="Y2031" s="460"/>
      <c r="Z2031" s="460"/>
      <c r="AA2031" s="460"/>
      <c r="AB2031" s="460"/>
      <c r="AC2031" s="460"/>
      <c r="AD2031" s="460"/>
      <c r="AE2031" s="460"/>
      <c r="AF2031" s="460"/>
      <c r="AG2031" s="460"/>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7" spans="2:33" ht="15" customHeight="1" x14ac:dyDescent="0.35"/>
    <row r="2148" spans="2:33" ht="15" customHeight="1" x14ac:dyDescent="0.35"/>
    <row r="2149" spans="2:33" ht="15" customHeight="1" x14ac:dyDescent="0.35"/>
    <row r="2150" spans="2:33" ht="15" customHeight="1" x14ac:dyDescent="0.35"/>
    <row r="2151" spans="2:33" ht="15" customHeight="1" x14ac:dyDescent="0.35"/>
    <row r="2152" spans="2:33" ht="15" customHeight="1" x14ac:dyDescent="0.35"/>
    <row r="2153" spans="2:33" ht="15" customHeight="1" x14ac:dyDescent="0.35">
      <c r="B2153" s="460"/>
      <c r="C2153" s="460"/>
      <c r="D2153" s="460"/>
      <c r="E2153" s="460"/>
      <c r="F2153" s="460"/>
      <c r="G2153" s="460"/>
      <c r="H2153" s="460"/>
      <c r="I2153" s="460"/>
      <c r="J2153" s="460"/>
      <c r="K2153" s="460"/>
      <c r="L2153" s="460"/>
      <c r="M2153" s="460"/>
      <c r="N2153" s="460"/>
      <c r="O2153" s="460"/>
      <c r="P2153" s="460"/>
      <c r="Q2153" s="460"/>
      <c r="R2153" s="460"/>
      <c r="S2153" s="460"/>
      <c r="T2153" s="460"/>
      <c r="U2153" s="460"/>
      <c r="V2153" s="460"/>
      <c r="W2153" s="460"/>
      <c r="X2153" s="460"/>
      <c r="Y2153" s="460"/>
      <c r="Z2153" s="460"/>
      <c r="AA2153" s="460"/>
      <c r="AB2153" s="460"/>
      <c r="AC2153" s="460"/>
      <c r="AD2153" s="460"/>
      <c r="AE2153" s="460"/>
      <c r="AF2153" s="460"/>
      <c r="AG2153" s="460"/>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5"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60"/>
      <c r="C2317" s="460"/>
      <c r="D2317" s="460"/>
      <c r="E2317" s="460"/>
      <c r="F2317" s="460"/>
      <c r="G2317" s="460"/>
      <c r="H2317" s="460"/>
      <c r="I2317" s="460"/>
      <c r="J2317" s="460"/>
      <c r="K2317" s="460"/>
      <c r="L2317" s="460"/>
      <c r="M2317" s="460"/>
      <c r="N2317" s="460"/>
      <c r="O2317" s="460"/>
      <c r="P2317" s="460"/>
      <c r="Q2317" s="460"/>
      <c r="R2317" s="460"/>
      <c r="S2317" s="460"/>
      <c r="T2317" s="460"/>
      <c r="U2317" s="460"/>
      <c r="V2317" s="460"/>
      <c r="W2317" s="460"/>
      <c r="X2317" s="460"/>
      <c r="Y2317" s="460"/>
      <c r="Z2317" s="460"/>
      <c r="AA2317" s="460"/>
      <c r="AB2317" s="460"/>
      <c r="AC2317" s="460"/>
      <c r="AD2317" s="460"/>
      <c r="AE2317" s="460"/>
      <c r="AF2317" s="460"/>
      <c r="AG2317" s="460"/>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35" ht="15" customHeight="1" x14ac:dyDescent="0.35"/>
    <row r="2336" ht="15" customHeight="1" x14ac:dyDescent="0.35"/>
    <row r="2337" ht="15" customHeight="1" x14ac:dyDescent="0.35"/>
    <row r="2338" ht="15" customHeight="1" x14ac:dyDescent="0.35"/>
    <row r="2339" ht="15" customHeight="1" x14ac:dyDescent="0.35"/>
    <row r="2340" ht="15" customHeight="1" x14ac:dyDescent="0.35"/>
    <row r="2341" ht="15" customHeight="1" x14ac:dyDescent="0.35"/>
    <row r="2342" ht="15" customHeight="1" x14ac:dyDescent="0.35"/>
    <row r="2343" ht="15" customHeight="1" x14ac:dyDescent="0.35"/>
    <row r="2344" ht="15" customHeight="1" x14ac:dyDescent="0.35"/>
    <row r="2345" ht="15"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60"/>
      <c r="C2419" s="460"/>
      <c r="D2419" s="460"/>
      <c r="E2419" s="460"/>
      <c r="F2419" s="460"/>
      <c r="G2419" s="460"/>
      <c r="H2419" s="460"/>
      <c r="I2419" s="460"/>
      <c r="J2419" s="460"/>
      <c r="K2419" s="460"/>
      <c r="L2419" s="460"/>
      <c r="M2419" s="460"/>
      <c r="N2419" s="460"/>
      <c r="O2419" s="460"/>
      <c r="P2419" s="460"/>
      <c r="Q2419" s="460"/>
      <c r="R2419" s="460"/>
      <c r="S2419" s="460"/>
      <c r="T2419" s="460"/>
      <c r="U2419" s="460"/>
      <c r="V2419" s="460"/>
      <c r="W2419" s="460"/>
      <c r="X2419" s="460"/>
      <c r="Y2419" s="460"/>
      <c r="Z2419" s="460"/>
      <c r="AA2419" s="460"/>
      <c r="AB2419" s="460"/>
      <c r="AC2419" s="460"/>
      <c r="AD2419" s="460"/>
      <c r="AE2419" s="460"/>
      <c r="AF2419" s="460"/>
      <c r="AG2419" s="460"/>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5"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spans="2:33"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3"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60"/>
      <c r="C2509" s="460"/>
      <c r="D2509" s="460"/>
      <c r="E2509" s="460"/>
      <c r="F2509" s="460"/>
      <c r="G2509" s="460"/>
      <c r="H2509" s="460"/>
      <c r="I2509" s="460"/>
      <c r="J2509" s="460"/>
      <c r="K2509" s="460"/>
      <c r="L2509" s="460"/>
      <c r="M2509" s="460"/>
      <c r="N2509" s="460"/>
      <c r="O2509" s="460"/>
      <c r="P2509" s="460"/>
      <c r="Q2509" s="460"/>
      <c r="R2509" s="460"/>
      <c r="S2509" s="460"/>
      <c r="T2509" s="460"/>
      <c r="U2509" s="460"/>
      <c r="V2509" s="460"/>
      <c r="W2509" s="460"/>
      <c r="X2509" s="460"/>
      <c r="Y2509" s="460"/>
      <c r="Z2509" s="460"/>
      <c r="AA2509" s="460"/>
      <c r="AB2509" s="460"/>
      <c r="AC2509" s="460"/>
      <c r="AD2509" s="460"/>
      <c r="AE2509" s="460"/>
      <c r="AF2509" s="460"/>
      <c r="AG2509" s="460"/>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5"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4"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60"/>
      <c r="C2598" s="460"/>
      <c r="D2598" s="460"/>
      <c r="E2598" s="460"/>
      <c r="F2598" s="460"/>
      <c r="G2598" s="460"/>
      <c r="H2598" s="460"/>
      <c r="I2598" s="460"/>
      <c r="J2598" s="460"/>
      <c r="K2598" s="460"/>
      <c r="L2598" s="460"/>
      <c r="M2598" s="460"/>
      <c r="N2598" s="460"/>
      <c r="O2598" s="460"/>
      <c r="P2598" s="460"/>
      <c r="Q2598" s="460"/>
      <c r="R2598" s="460"/>
      <c r="S2598" s="460"/>
      <c r="T2598" s="460"/>
      <c r="U2598" s="460"/>
      <c r="V2598" s="460"/>
      <c r="W2598" s="460"/>
      <c r="X2598" s="460"/>
      <c r="Y2598" s="460"/>
      <c r="Z2598" s="460"/>
      <c r="AA2598" s="460"/>
      <c r="AB2598" s="460"/>
      <c r="AC2598" s="460"/>
      <c r="AD2598" s="460"/>
      <c r="AE2598" s="460"/>
      <c r="AF2598" s="460"/>
      <c r="AG2598" s="460"/>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3" ht="15" customHeight="1" x14ac:dyDescent="0.35"/>
    <row r="2706" spans="2:33"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60"/>
      <c r="C2719" s="460"/>
      <c r="D2719" s="460"/>
      <c r="E2719" s="460"/>
      <c r="F2719" s="460"/>
      <c r="G2719" s="460"/>
      <c r="H2719" s="460"/>
      <c r="I2719" s="460"/>
      <c r="J2719" s="460"/>
      <c r="K2719" s="460"/>
      <c r="L2719" s="460"/>
      <c r="M2719" s="460"/>
      <c r="N2719" s="460"/>
      <c r="O2719" s="460"/>
      <c r="P2719" s="460"/>
      <c r="Q2719" s="460"/>
      <c r="R2719" s="460"/>
      <c r="S2719" s="460"/>
      <c r="T2719" s="460"/>
      <c r="U2719" s="460"/>
      <c r="V2719" s="460"/>
      <c r="W2719" s="460"/>
      <c r="X2719" s="460"/>
      <c r="Y2719" s="460"/>
      <c r="Z2719" s="460"/>
      <c r="AA2719" s="460"/>
      <c r="AB2719" s="460"/>
      <c r="AC2719" s="460"/>
      <c r="AD2719" s="460"/>
      <c r="AE2719" s="460"/>
      <c r="AF2719" s="460"/>
      <c r="AG2719" s="460"/>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5"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5"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60"/>
      <c r="C2837" s="460"/>
      <c r="D2837" s="460"/>
      <c r="E2837" s="460"/>
      <c r="F2837" s="460"/>
      <c r="G2837" s="460"/>
      <c r="H2837" s="460"/>
      <c r="I2837" s="460"/>
      <c r="J2837" s="460"/>
      <c r="K2837" s="460"/>
      <c r="L2837" s="460"/>
      <c r="M2837" s="460"/>
      <c r="N2837" s="460"/>
      <c r="O2837" s="460"/>
      <c r="P2837" s="460"/>
      <c r="Q2837" s="460"/>
      <c r="R2837" s="460"/>
      <c r="S2837" s="460"/>
      <c r="T2837" s="460"/>
      <c r="U2837" s="460"/>
      <c r="V2837" s="460"/>
      <c r="W2837" s="460"/>
      <c r="X2837" s="460"/>
      <c r="Y2837" s="460"/>
      <c r="Z2837" s="460"/>
      <c r="AA2837" s="460"/>
      <c r="AB2837" s="460"/>
      <c r="AC2837" s="460"/>
      <c r="AD2837" s="460"/>
      <c r="AE2837" s="460"/>
      <c r="AF2837" s="460"/>
      <c r="AG2837" s="460"/>
    </row>
  </sheetData>
  <mergeCells count="20">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3046875" defaultRowHeight="15" customHeight="1"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436</v>
      </c>
      <c r="D3" s="72" t="s">
        <v>562</v>
      </c>
      <c r="E3" s="54"/>
      <c r="F3" s="54"/>
      <c r="G3" s="54"/>
    </row>
    <row r="4" spans="1:33" ht="15" customHeight="1" x14ac:dyDescent="0.4">
      <c r="C4" s="72" t="s">
        <v>438</v>
      </c>
      <c r="D4" s="72" t="s">
        <v>563</v>
      </c>
      <c r="E4" s="54"/>
      <c r="F4" s="54"/>
      <c r="G4" s="72" t="s">
        <v>440</v>
      </c>
    </row>
    <row r="5" spans="1:33" ht="15" customHeight="1" x14ac:dyDescent="0.4">
      <c r="C5" s="72" t="s">
        <v>441</v>
      </c>
      <c r="D5" s="72" t="s">
        <v>564</v>
      </c>
      <c r="E5" s="54"/>
      <c r="F5" s="54"/>
      <c r="G5" s="54"/>
    </row>
    <row r="6" spans="1:33" ht="15" customHeight="1" x14ac:dyDescent="0.4">
      <c r="C6" s="72" t="s">
        <v>443</v>
      </c>
      <c r="D6" s="54"/>
      <c r="E6" s="72" t="s">
        <v>565</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5">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4">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35">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35">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35">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35">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35">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35">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35">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35">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35">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35">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35">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5">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35">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35">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35">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35">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35">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35">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35">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35">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35">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35">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35">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5">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35">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35">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35">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35">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35">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35">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35">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35">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35">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35">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5">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35">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35">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35">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35">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35">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35">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35">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35">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35">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35">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5">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5">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35">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35">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35">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35">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35">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35">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35">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35">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5">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35">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35">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35">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35">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35">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35">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35">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35">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35">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35">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35">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35">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35">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35">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35">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35">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35">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35">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35">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35">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35">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35">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35">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35">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35">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35">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4">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45">
      <c r="B100" s="462" t="s">
        <v>838</v>
      </c>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c r="AB100" s="463"/>
      <c r="AC100" s="463"/>
      <c r="AD100" s="463"/>
      <c r="AE100" s="463"/>
      <c r="AF100" s="463"/>
      <c r="AG100" s="463"/>
      <c r="AH100" s="57"/>
    </row>
    <row r="101" spans="1:34" ht="12" customHeight="1" x14ac:dyDescent="0.35">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35">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35">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35">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35">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35">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35">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35">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35">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35">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35">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35">
      <c r="B112" s="461" t="s">
        <v>830</v>
      </c>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37"/>
    </row>
    <row r="113" spans="2:33" ht="15" customHeight="1" x14ac:dyDescent="0.35">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5">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5">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5">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5">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5">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5">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5">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5">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5">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5">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5">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5">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5">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5">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5">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5">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5">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5">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5">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5">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5">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35">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row>
    <row r="511" spans="2:32" ht="15" customHeight="1" x14ac:dyDescent="0.35">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row>
    <row r="712" spans="2:32" ht="15" customHeight="1" x14ac:dyDescent="0.35">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row>
    <row r="887" spans="2:32" ht="15" customHeight="1" x14ac:dyDescent="0.35">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row>
    <row r="1101" spans="2:32" ht="15" customHeight="1" x14ac:dyDescent="0.35">
      <c r="B1101" s="460"/>
      <c r="C1101" s="460"/>
      <c r="D1101" s="460"/>
      <c r="E1101" s="460"/>
      <c r="F1101" s="460"/>
      <c r="G1101" s="460"/>
      <c r="H1101" s="460"/>
      <c r="I1101" s="460"/>
      <c r="J1101" s="460"/>
      <c r="K1101" s="460"/>
      <c r="L1101" s="460"/>
      <c r="M1101" s="460"/>
      <c r="N1101" s="460"/>
      <c r="O1101" s="460"/>
      <c r="P1101" s="460"/>
      <c r="Q1101" s="460"/>
      <c r="R1101" s="460"/>
      <c r="S1101" s="460"/>
      <c r="T1101" s="460"/>
      <c r="U1101" s="460"/>
      <c r="V1101" s="460"/>
      <c r="W1101" s="460"/>
      <c r="X1101" s="460"/>
      <c r="Y1101" s="460"/>
      <c r="Z1101" s="460"/>
      <c r="AA1101" s="460"/>
      <c r="AB1101" s="460"/>
      <c r="AC1101" s="460"/>
      <c r="AD1101" s="460"/>
      <c r="AE1101" s="460"/>
      <c r="AF1101" s="460"/>
    </row>
    <row r="1229" spans="2:32" ht="15" customHeight="1" x14ac:dyDescent="0.35">
      <c r="B1229" s="460"/>
      <c r="C1229" s="460"/>
      <c r="D1229" s="460"/>
      <c r="E1229" s="460"/>
      <c r="F1229" s="460"/>
      <c r="G1229" s="460"/>
      <c r="H1229" s="460"/>
      <c r="I1229" s="460"/>
      <c r="J1229" s="460"/>
      <c r="K1229" s="460"/>
      <c r="L1229" s="460"/>
      <c r="M1229" s="460"/>
      <c r="N1229" s="460"/>
      <c r="O1229" s="460"/>
      <c r="P1229" s="460"/>
      <c r="Q1229" s="460"/>
      <c r="R1229" s="460"/>
      <c r="S1229" s="460"/>
      <c r="T1229" s="460"/>
      <c r="U1229" s="460"/>
      <c r="V1229" s="460"/>
      <c r="W1229" s="460"/>
      <c r="X1229" s="460"/>
      <c r="Y1229" s="460"/>
      <c r="Z1229" s="460"/>
      <c r="AA1229" s="460"/>
      <c r="AB1229" s="460"/>
      <c r="AC1229" s="460"/>
      <c r="AD1229" s="460"/>
      <c r="AE1229" s="460"/>
      <c r="AF1229" s="460"/>
    </row>
    <row r="1390" spans="2:32" ht="15" customHeight="1" x14ac:dyDescent="0.35">
      <c r="B1390" s="460"/>
      <c r="C1390" s="460"/>
      <c r="D1390" s="460"/>
      <c r="E1390" s="460"/>
      <c r="F1390" s="460"/>
      <c r="G1390" s="460"/>
      <c r="H1390" s="460"/>
      <c r="I1390" s="460"/>
      <c r="J1390" s="460"/>
      <c r="K1390" s="460"/>
      <c r="L1390" s="460"/>
      <c r="M1390" s="460"/>
      <c r="N1390" s="460"/>
      <c r="O1390" s="460"/>
      <c r="P1390" s="460"/>
      <c r="Q1390" s="460"/>
      <c r="R1390" s="460"/>
      <c r="S1390" s="460"/>
      <c r="T1390" s="460"/>
      <c r="U1390" s="460"/>
      <c r="V1390" s="460"/>
      <c r="W1390" s="460"/>
      <c r="X1390" s="460"/>
      <c r="Y1390" s="460"/>
      <c r="Z1390" s="460"/>
      <c r="AA1390" s="460"/>
      <c r="AB1390" s="460"/>
      <c r="AC1390" s="460"/>
      <c r="AD1390" s="460"/>
      <c r="AE1390" s="460"/>
      <c r="AF1390" s="460"/>
    </row>
    <row r="1502" spans="2:32" ht="15" customHeight="1" x14ac:dyDescent="0.35">
      <c r="B1502" s="460"/>
      <c r="C1502" s="460"/>
      <c r="D1502" s="460"/>
      <c r="E1502" s="460"/>
      <c r="F1502" s="460"/>
      <c r="G1502" s="460"/>
      <c r="H1502" s="460"/>
      <c r="I1502" s="460"/>
      <c r="J1502" s="460"/>
      <c r="K1502" s="460"/>
      <c r="L1502" s="460"/>
      <c r="M1502" s="460"/>
      <c r="N1502" s="460"/>
      <c r="O1502" s="460"/>
      <c r="P1502" s="460"/>
      <c r="Q1502" s="460"/>
      <c r="R1502" s="460"/>
      <c r="S1502" s="460"/>
      <c r="T1502" s="460"/>
      <c r="U1502" s="460"/>
      <c r="V1502" s="460"/>
      <c r="W1502" s="460"/>
      <c r="X1502" s="460"/>
      <c r="Y1502" s="460"/>
      <c r="Z1502" s="460"/>
      <c r="AA1502" s="460"/>
      <c r="AB1502" s="460"/>
      <c r="AC1502" s="460"/>
      <c r="AD1502" s="460"/>
      <c r="AE1502" s="460"/>
      <c r="AF1502" s="460"/>
    </row>
    <row r="1604" spans="2:32" ht="15" customHeight="1" x14ac:dyDescent="0.35">
      <c r="B1604" s="460"/>
      <c r="C1604" s="460"/>
      <c r="D1604" s="460"/>
      <c r="E1604" s="460"/>
      <c r="F1604" s="460"/>
      <c r="G1604" s="460"/>
      <c r="H1604" s="460"/>
      <c r="I1604" s="460"/>
      <c r="J1604" s="460"/>
      <c r="K1604" s="460"/>
      <c r="L1604" s="460"/>
      <c r="M1604" s="460"/>
      <c r="N1604" s="460"/>
      <c r="O1604" s="460"/>
      <c r="P1604" s="460"/>
      <c r="Q1604" s="460"/>
      <c r="R1604" s="460"/>
      <c r="S1604" s="460"/>
      <c r="T1604" s="460"/>
      <c r="U1604" s="460"/>
      <c r="V1604" s="460"/>
      <c r="W1604" s="460"/>
      <c r="X1604" s="460"/>
      <c r="Y1604" s="460"/>
      <c r="Z1604" s="460"/>
      <c r="AA1604" s="460"/>
      <c r="AB1604" s="460"/>
      <c r="AC1604" s="460"/>
      <c r="AD1604" s="460"/>
      <c r="AE1604" s="460"/>
      <c r="AF1604" s="460"/>
    </row>
    <row r="1699" spans="2:32" ht="15" customHeight="1" x14ac:dyDescent="0.35">
      <c r="B1699" s="460"/>
      <c r="C1699" s="460"/>
      <c r="D1699" s="460"/>
      <c r="E1699" s="460"/>
      <c r="F1699" s="460"/>
      <c r="G1699" s="460"/>
      <c r="H1699" s="460"/>
      <c r="I1699" s="460"/>
      <c r="J1699" s="460"/>
      <c r="K1699" s="460"/>
      <c r="L1699" s="460"/>
      <c r="M1699" s="460"/>
      <c r="N1699" s="460"/>
      <c r="O1699" s="460"/>
      <c r="P1699" s="460"/>
      <c r="Q1699" s="460"/>
      <c r="R1699" s="460"/>
      <c r="S1699" s="460"/>
      <c r="T1699" s="460"/>
      <c r="U1699" s="460"/>
      <c r="V1699" s="460"/>
      <c r="W1699" s="460"/>
      <c r="X1699" s="460"/>
      <c r="Y1699" s="460"/>
      <c r="Z1699" s="460"/>
      <c r="AA1699" s="460"/>
      <c r="AB1699" s="460"/>
      <c r="AC1699" s="460"/>
      <c r="AD1699" s="460"/>
      <c r="AE1699" s="460"/>
      <c r="AF1699" s="460"/>
    </row>
    <row r="1945" spans="2:32" ht="15" customHeight="1" x14ac:dyDescent="0.35">
      <c r="B1945" s="460"/>
      <c r="C1945" s="460"/>
      <c r="D1945" s="460"/>
      <c r="E1945" s="460"/>
      <c r="F1945" s="460"/>
      <c r="G1945" s="460"/>
      <c r="H1945" s="460"/>
      <c r="I1945" s="460"/>
      <c r="J1945" s="460"/>
      <c r="K1945" s="460"/>
      <c r="L1945" s="460"/>
      <c r="M1945" s="460"/>
      <c r="N1945" s="460"/>
      <c r="O1945" s="460"/>
      <c r="P1945" s="460"/>
      <c r="Q1945" s="460"/>
      <c r="R1945" s="460"/>
      <c r="S1945" s="460"/>
      <c r="T1945" s="460"/>
      <c r="U1945" s="460"/>
      <c r="V1945" s="460"/>
      <c r="W1945" s="460"/>
      <c r="X1945" s="460"/>
      <c r="Y1945" s="460"/>
      <c r="Z1945" s="460"/>
      <c r="AA1945" s="460"/>
      <c r="AB1945" s="460"/>
      <c r="AC1945" s="460"/>
      <c r="AD1945" s="460"/>
      <c r="AE1945" s="460"/>
      <c r="AF1945" s="460"/>
    </row>
    <row r="2031" spans="2:32" ht="15" customHeight="1" x14ac:dyDescent="0.35">
      <c r="B2031" s="460"/>
      <c r="C2031" s="460"/>
      <c r="D2031" s="460"/>
      <c r="E2031" s="460"/>
      <c r="F2031" s="460"/>
      <c r="G2031" s="460"/>
      <c r="H2031" s="460"/>
      <c r="I2031" s="460"/>
      <c r="J2031" s="460"/>
      <c r="K2031" s="460"/>
      <c r="L2031" s="460"/>
      <c r="M2031" s="460"/>
      <c r="N2031" s="460"/>
      <c r="O2031" s="460"/>
      <c r="P2031" s="460"/>
      <c r="Q2031" s="460"/>
      <c r="R2031" s="460"/>
      <c r="S2031" s="460"/>
      <c r="T2031" s="460"/>
      <c r="U2031" s="460"/>
      <c r="V2031" s="460"/>
      <c r="W2031" s="460"/>
      <c r="X2031" s="460"/>
      <c r="Y2031" s="460"/>
      <c r="Z2031" s="460"/>
      <c r="AA2031" s="460"/>
      <c r="AB2031" s="460"/>
      <c r="AC2031" s="460"/>
      <c r="AD2031" s="460"/>
      <c r="AE2031" s="460"/>
      <c r="AF2031" s="460"/>
    </row>
    <row r="2153" spans="2:32" ht="15" customHeight="1" x14ac:dyDescent="0.35">
      <c r="B2153" s="460"/>
      <c r="C2153" s="460"/>
      <c r="D2153" s="460"/>
      <c r="E2153" s="460"/>
      <c r="F2153" s="460"/>
      <c r="G2153" s="460"/>
      <c r="H2153" s="460"/>
      <c r="I2153" s="460"/>
      <c r="J2153" s="460"/>
      <c r="K2153" s="460"/>
      <c r="L2153" s="460"/>
      <c r="M2153" s="460"/>
      <c r="N2153" s="460"/>
      <c r="O2153" s="460"/>
      <c r="P2153" s="460"/>
      <c r="Q2153" s="460"/>
      <c r="R2153" s="460"/>
      <c r="S2153" s="460"/>
      <c r="T2153" s="460"/>
      <c r="U2153" s="460"/>
      <c r="V2153" s="460"/>
      <c r="W2153" s="460"/>
      <c r="X2153" s="460"/>
      <c r="Y2153" s="460"/>
      <c r="Z2153" s="460"/>
      <c r="AA2153" s="460"/>
      <c r="AB2153" s="460"/>
      <c r="AC2153" s="460"/>
      <c r="AD2153" s="460"/>
      <c r="AE2153" s="460"/>
      <c r="AF2153" s="460"/>
    </row>
    <row r="2317" spans="2:32" ht="15" customHeight="1" x14ac:dyDescent="0.35">
      <c r="B2317" s="460"/>
      <c r="C2317" s="460"/>
      <c r="D2317" s="460"/>
      <c r="E2317" s="460"/>
      <c r="F2317" s="460"/>
      <c r="G2317" s="460"/>
      <c r="H2317" s="460"/>
      <c r="I2317" s="460"/>
      <c r="J2317" s="460"/>
      <c r="K2317" s="460"/>
      <c r="L2317" s="460"/>
      <c r="M2317" s="460"/>
      <c r="N2317" s="460"/>
      <c r="O2317" s="460"/>
      <c r="P2317" s="460"/>
      <c r="Q2317" s="460"/>
      <c r="R2317" s="460"/>
      <c r="S2317" s="460"/>
      <c r="T2317" s="460"/>
      <c r="U2317" s="460"/>
      <c r="V2317" s="460"/>
      <c r="W2317" s="460"/>
      <c r="X2317" s="460"/>
      <c r="Y2317" s="460"/>
      <c r="Z2317" s="460"/>
      <c r="AA2317" s="460"/>
      <c r="AB2317" s="460"/>
      <c r="AC2317" s="460"/>
      <c r="AD2317" s="460"/>
      <c r="AE2317" s="460"/>
      <c r="AF2317" s="460"/>
    </row>
    <row r="2419" spans="2:32" ht="15" customHeight="1" x14ac:dyDescent="0.35">
      <c r="B2419" s="460"/>
      <c r="C2419" s="460"/>
      <c r="D2419" s="460"/>
      <c r="E2419" s="460"/>
      <c r="F2419" s="460"/>
      <c r="G2419" s="460"/>
      <c r="H2419" s="460"/>
      <c r="I2419" s="460"/>
      <c r="J2419" s="460"/>
      <c r="K2419" s="460"/>
      <c r="L2419" s="460"/>
      <c r="M2419" s="460"/>
      <c r="N2419" s="460"/>
      <c r="O2419" s="460"/>
      <c r="P2419" s="460"/>
      <c r="Q2419" s="460"/>
      <c r="R2419" s="460"/>
      <c r="S2419" s="460"/>
      <c r="T2419" s="460"/>
      <c r="U2419" s="460"/>
      <c r="V2419" s="460"/>
      <c r="W2419" s="460"/>
      <c r="X2419" s="460"/>
      <c r="Y2419" s="460"/>
      <c r="Z2419" s="460"/>
      <c r="AA2419" s="460"/>
      <c r="AB2419" s="460"/>
      <c r="AC2419" s="460"/>
      <c r="AD2419" s="460"/>
      <c r="AE2419" s="460"/>
      <c r="AF2419" s="460"/>
    </row>
    <row r="2509" spans="2:32" ht="15" customHeight="1" x14ac:dyDescent="0.35">
      <c r="B2509" s="460"/>
      <c r="C2509" s="460"/>
      <c r="D2509" s="460"/>
      <c r="E2509" s="460"/>
      <c r="F2509" s="460"/>
      <c r="G2509" s="460"/>
      <c r="H2509" s="460"/>
      <c r="I2509" s="460"/>
      <c r="J2509" s="460"/>
      <c r="K2509" s="460"/>
      <c r="L2509" s="460"/>
      <c r="M2509" s="460"/>
      <c r="N2509" s="460"/>
      <c r="O2509" s="460"/>
      <c r="P2509" s="460"/>
      <c r="Q2509" s="460"/>
      <c r="R2509" s="460"/>
      <c r="S2509" s="460"/>
      <c r="T2509" s="460"/>
      <c r="U2509" s="460"/>
      <c r="V2509" s="460"/>
      <c r="W2509" s="460"/>
      <c r="X2509" s="460"/>
      <c r="Y2509" s="460"/>
      <c r="Z2509" s="460"/>
      <c r="AA2509" s="460"/>
      <c r="AB2509" s="460"/>
      <c r="AC2509" s="460"/>
      <c r="AD2509" s="460"/>
      <c r="AE2509" s="460"/>
      <c r="AF2509" s="460"/>
    </row>
    <row r="2598" spans="2:32" ht="15" customHeight="1" x14ac:dyDescent="0.35">
      <c r="B2598" s="460"/>
      <c r="C2598" s="460"/>
      <c r="D2598" s="460"/>
      <c r="E2598" s="460"/>
      <c r="F2598" s="460"/>
      <c r="G2598" s="460"/>
      <c r="H2598" s="460"/>
      <c r="I2598" s="460"/>
      <c r="J2598" s="460"/>
      <c r="K2598" s="460"/>
      <c r="L2598" s="460"/>
      <c r="M2598" s="460"/>
      <c r="N2598" s="460"/>
      <c r="O2598" s="460"/>
      <c r="P2598" s="460"/>
      <c r="Q2598" s="460"/>
      <c r="R2598" s="460"/>
      <c r="S2598" s="460"/>
      <c r="T2598" s="460"/>
      <c r="U2598" s="460"/>
      <c r="V2598" s="460"/>
      <c r="W2598" s="460"/>
      <c r="X2598" s="460"/>
      <c r="Y2598" s="460"/>
      <c r="Z2598" s="460"/>
      <c r="AA2598" s="460"/>
      <c r="AB2598" s="460"/>
      <c r="AC2598" s="460"/>
      <c r="AD2598" s="460"/>
      <c r="AE2598" s="460"/>
      <c r="AF2598" s="460"/>
    </row>
    <row r="2719" spans="2:32" ht="15" customHeight="1" x14ac:dyDescent="0.35">
      <c r="B2719" s="460"/>
      <c r="C2719" s="460"/>
      <c r="D2719" s="460"/>
      <c r="E2719" s="460"/>
      <c r="F2719" s="460"/>
      <c r="G2719" s="460"/>
      <c r="H2719" s="460"/>
      <c r="I2719" s="460"/>
      <c r="J2719" s="460"/>
      <c r="K2719" s="460"/>
      <c r="L2719" s="460"/>
      <c r="M2719" s="460"/>
      <c r="N2719" s="460"/>
      <c r="O2719" s="460"/>
      <c r="P2719" s="460"/>
      <c r="Q2719" s="460"/>
      <c r="R2719" s="460"/>
      <c r="S2719" s="460"/>
      <c r="T2719" s="460"/>
      <c r="U2719" s="460"/>
      <c r="V2719" s="460"/>
      <c r="W2719" s="460"/>
      <c r="X2719" s="460"/>
      <c r="Y2719" s="460"/>
      <c r="Z2719" s="460"/>
      <c r="AA2719" s="460"/>
      <c r="AB2719" s="460"/>
      <c r="AC2719" s="460"/>
      <c r="AD2719" s="460"/>
      <c r="AE2719" s="460"/>
      <c r="AF2719" s="460"/>
    </row>
    <row r="2837" spans="2:32" ht="15" customHeight="1" x14ac:dyDescent="0.35">
      <c r="B2837" s="460"/>
      <c r="C2837" s="460"/>
      <c r="D2837" s="460"/>
      <c r="E2837" s="460"/>
      <c r="F2837" s="460"/>
      <c r="G2837" s="460"/>
      <c r="H2837" s="460"/>
      <c r="I2837" s="460"/>
      <c r="J2837" s="460"/>
      <c r="K2837" s="460"/>
      <c r="L2837" s="460"/>
      <c r="M2837" s="460"/>
      <c r="N2837" s="460"/>
      <c r="O2837" s="460"/>
      <c r="P2837" s="460"/>
      <c r="Q2837" s="460"/>
      <c r="R2837" s="460"/>
      <c r="S2837" s="460"/>
      <c r="T2837" s="460"/>
      <c r="U2837" s="460"/>
      <c r="V2837" s="460"/>
      <c r="W2837" s="460"/>
      <c r="X2837" s="460"/>
      <c r="Y2837" s="460"/>
      <c r="Z2837" s="460"/>
      <c r="AA2837" s="460"/>
      <c r="AB2837" s="460"/>
      <c r="AC2837" s="460"/>
      <c r="AD2837" s="460"/>
      <c r="AE2837" s="460"/>
      <c r="AF2837" s="460"/>
    </row>
  </sheetData>
  <mergeCells count="21">
    <mergeCell ref="B112:AF112"/>
    <mergeCell ref="B308:AF308"/>
    <mergeCell ref="B2719:AF2719"/>
    <mergeCell ref="B712:AF712"/>
    <mergeCell ref="B2598:AF2598"/>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4.25" x14ac:dyDescent="0.45"/>
  <cols>
    <col min="1" max="1" width="13.53125" customWidth="1"/>
    <col min="2" max="2" width="47.796875" customWidth="1"/>
  </cols>
  <sheetData>
    <row r="1" spans="1:33" x14ac:dyDescent="0.45">
      <c r="A1" t="s">
        <v>846</v>
      </c>
    </row>
    <row r="2" spans="1:33" x14ac:dyDescent="0.45">
      <c r="A2" t="s">
        <v>847</v>
      </c>
    </row>
    <row r="3" spans="1:33" x14ac:dyDescent="0.45">
      <c r="A3" t="s">
        <v>848</v>
      </c>
    </row>
    <row r="4" spans="1:33" x14ac:dyDescent="0.45">
      <c r="A4" t="s">
        <v>580</v>
      </c>
    </row>
    <row r="5" spans="1:33" x14ac:dyDescent="0.4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45">
      <c r="A6" t="s">
        <v>706</v>
      </c>
    </row>
    <row r="7" spans="1:33" x14ac:dyDescent="0.45">
      <c r="A7" t="s">
        <v>849</v>
      </c>
    </row>
    <row r="8" spans="1:33" x14ac:dyDescent="0.45">
      <c r="A8" t="s">
        <v>850</v>
      </c>
    </row>
    <row r="9" spans="1:33" s="346" customFormat="1" x14ac:dyDescent="0.4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4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4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4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4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4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4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4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4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45">
      <c r="A18" t="s">
        <v>877</v>
      </c>
    </row>
    <row r="19" spans="1:33" x14ac:dyDescent="0.4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4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4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4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4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4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4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4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4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45">
      <c r="A28" t="s">
        <v>899</v>
      </c>
    </row>
    <row r="29" spans="1:33" x14ac:dyDescent="0.4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4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4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4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4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4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4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4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4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45">
      <c r="A38" t="s">
        <v>921</v>
      </c>
    </row>
    <row r="39" spans="1:33" x14ac:dyDescent="0.4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4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4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4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4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4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4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4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4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4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45">
      <c r="A49" t="s">
        <v>772</v>
      </c>
    </row>
    <row r="50" spans="1:33" x14ac:dyDescent="0.4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4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4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4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4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4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4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45">
      <c r="A57" t="s">
        <v>787</v>
      </c>
    </row>
    <row r="58" spans="1:33" x14ac:dyDescent="0.45">
      <c r="A58" t="s">
        <v>960</v>
      </c>
    </row>
    <row r="59" spans="1:33" x14ac:dyDescent="0.4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4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4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4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4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45">
      <c r="A64" t="s">
        <v>795</v>
      </c>
    </row>
    <row r="65" spans="1:33" x14ac:dyDescent="0.4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4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4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4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4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45">
      <c r="A70" t="s">
        <v>801</v>
      </c>
    </row>
    <row r="71" spans="1:33" x14ac:dyDescent="0.45">
      <c r="A71" t="s">
        <v>960</v>
      </c>
    </row>
    <row r="72" spans="1:33" x14ac:dyDescent="0.4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4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4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45">
      <c r="A75" t="s">
        <v>795</v>
      </c>
    </row>
    <row r="76" spans="1:33" x14ac:dyDescent="0.4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4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4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45">
      <c r="A79" t="s">
        <v>989</v>
      </c>
    </row>
    <row r="80" spans="1:33" x14ac:dyDescent="0.4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4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4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3046875" defaultRowHeight="11.65"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436</v>
      </c>
      <c r="D3" s="54" t="s">
        <v>437</v>
      </c>
      <c r="E3" s="54"/>
      <c r="F3" s="54"/>
      <c r="G3" s="54"/>
    </row>
    <row r="4" spans="1:33" ht="15" customHeight="1" x14ac:dyDescent="0.35">
      <c r="C4" s="54" t="s">
        <v>438</v>
      </c>
      <c r="D4" s="54" t="s">
        <v>439</v>
      </c>
      <c r="E4" s="54"/>
      <c r="F4" s="54"/>
      <c r="G4" s="54" t="s">
        <v>440</v>
      </c>
    </row>
    <row r="5" spans="1:33" ht="15" customHeight="1" x14ac:dyDescent="0.35">
      <c r="C5" s="54" t="s">
        <v>441</v>
      </c>
      <c r="D5" s="54" t="s">
        <v>442</v>
      </c>
      <c r="E5" s="54"/>
      <c r="F5" s="54"/>
      <c r="G5" s="54"/>
    </row>
    <row r="6" spans="1:33" ht="15" customHeight="1" x14ac:dyDescent="0.35">
      <c r="C6" s="54" t="s">
        <v>443</v>
      </c>
      <c r="D6" s="54"/>
      <c r="E6" s="54" t="s">
        <v>444</v>
      </c>
      <c r="F6" s="54"/>
      <c r="G6" s="54"/>
    </row>
    <row r="10" spans="1:33" ht="15" customHeight="1" x14ac:dyDescent="0.5">
      <c r="A10" s="42" t="s">
        <v>1001</v>
      </c>
      <c r="B10" s="53" t="s">
        <v>1002</v>
      </c>
      <c r="AG10" s="50" t="s">
        <v>447</v>
      </c>
    </row>
    <row r="11" spans="1:33" ht="15" customHeight="1" x14ac:dyDescent="0.35">
      <c r="B11" s="52" t="s">
        <v>1003</v>
      </c>
      <c r="AG11" s="50" t="s">
        <v>449</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4">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5"/>
    <row r="15" spans="1:33" ht="15" customHeight="1" x14ac:dyDescent="0.35">
      <c r="B15" s="45" t="s">
        <v>1005</v>
      </c>
    </row>
    <row r="16" spans="1:33" ht="15" customHeight="1" x14ac:dyDescent="0.4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4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4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4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4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4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4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35">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5"/>
    <row r="25" spans="1:33" ht="15" customHeight="1" x14ac:dyDescent="0.4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4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4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4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4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4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55" customHeight="1" x14ac:dyDescent="0.4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55" customHeight="1" x14ac:dyDescent="0.4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55" customHeight="1" x14ac:dyDescent="0.4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55" customHeight="1" x14ac:dyDescent="0.4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55" customHeight="1" x14ac:dyDescent="0.4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55" customHeight="1" x14ac:dyDescent="0.4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55" customHeight="1" x14ac:dyDescent="0.4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55" customHeight="1" x14ac:dyDescent="0.4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55" customHeight="1" x14ac:dyDescent="0.4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55" customHeight="1" x14ac:dyDescent="0.4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55" customHeight="1" x14ac:dyDescent="0.4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55" customHeight="1" x14ac:dyDescent="0.4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55" customHeight="1" x14ac:dyDescent="0.4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55" customHeight="1" x14ac:dyDescent="0.4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55" customHeight="1" x14ac:dyDescent="0.4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55" customHeight="1" x14ac:dyDescent="0.4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55" customHeight="1" x14ac:dyDescent="0.4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55" customHeight="1" x14ac:dyDescent="0.4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55" customHeight="1" x14ac:dyDescent="0.35"/>
    <row r="50" spans="1:33" ht="15" customHeight="1" x14ac:dyDescent="0.35">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5"/>
    <row r="52" spans="1:33" ht="15" customHeight="1" x14ac:dyDescent="0.35"/>
    <row r="53" spans="1:33" ht="15" customHeight="1" x14ac:dyDescent="0.35">
      <c r="B53" s="45" t="s">
        <v>1066</v>
      </c>
    </row>
    <row r="54" spans="1:33" ht="15" customHeight="1" x14ac:dyDescent="0.35">
      <c r="B54" s="45" t="s">
        <v>1067</v>
      </c>
    </row>
    <row r="55" spans="1:33" ht="15" customHeight="1" x14ac:dyDescent="0.4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4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4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4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4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4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4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4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5">
      <c r="B63" s="45" t="s">
        <v>1084</v>
      </c>
    </row>
    <row r="64" spans="1:33" ht="15" customHeight="1" x14ac:dyDescent="0.4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4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55" customHeight="1" x14ac:dyDescent="0.4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4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4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35">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5"/>
    <row r="71" spans="1:33" ht="15" customHeight="1" x14ac:dyDescent="0.4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35"/>
    <row r="73" spans="1:33" ht="14.55" customHeight="1" x14ac:dyDescent="0.4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4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4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4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4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4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55" customHeight="1" x14ac:dyDescent="0.35">
      <c r="B79" s="45" t="s">
        <v>1111</v>
      </c>
    </row>
    <row r="80" spans="1:33" ht="15" customHeight="1" x14ac:dyDescent="0.4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4"/>
    <row r="83" spans="2:2" ht="15" customHeight="1" x14ac:dyDescent="0.35">
      <c r="B83" s="38" t="s">
        <v>1114</v>
      </c>
    </row>
    <row r="84" spans="2:2" ht="15" customHeight="1" x14ac:dyDescent="0.35">
      <c r="B84" s="37" t="s">
        <v>1115</v>
      </c>
    </row>
    <row r="85" spans="2:2" ht="15" customHeight="1" x14ac:dyDescent="0.35">
      <c r="B85" s="37" t="s">
        <v>1116</v>
      </c>
    </row>
    <row r="86" spans="2:2" ht="15" customHeight="1" x14ac:dyDescent="0.35">
      <c r="B86" s="37" t="s">
        <v>1117</v>
      </c>
    </row>
    <row r="87" spans="2:2" ht="15" customHeight="1" x14ac:dyDescent="0.35">
      <c r="B87" s="37" t="s">
        <v>1118</v>
      </c>
    </row>
    <row r="88" spans="2:2" ht="15" customHeight="1" x14ac:dyDescent="0.35">
      <c r="B88" s="37" t="s">
        <v>1119</v>
      </c>
    </row>
    <row r="89" spans="2:2" ht="15" customHeight="1" x14ac:dyDescent="0.35">
      <c r="B89" s="37" t="s">
        <v>1120</v>
      </c>
    </row>
    <row r="90" spans="2:2" ht="15" customHeight="1" x14ac:dyDescent="0.35">
      <c r="B90" s="37" t="s">
        <v>1121</v>
      </c>
    </row>
    <row r="91" spans="2:2" ht="15" customHeight="1" x14ac:dyDescent="0.35">
      <c r="B91" s="37" t="s">
        <v>1122</v>
      </c>
    </row>
    <row r="92" spans="2:2" x14ac:dyDescent="0.35">
      <c r="B92" s="37" t="s">
        <v>1123</v>
      </c>
    </row>
    <row r="93" spans="2:2" ht="15" customHeight="1" x14ac:dyDescent="0.35">
      <c r="B93" s="37" t="s">
        <v>1124</v>
      </c>
    </row>
    <row r="94" spans="2:2" ht="15" customHeight="1" x14ac:dyDescent="0.35">
      <c r="B94" s="37" t="s">
        <v>1125</v>
      </c>
    </row>
    <row r="95" spans="2:2" ht="15" customHeight="1" x14ac:dyDescent="0.35">
      <c r="B95" s="37" t="s">
        <v>1126</v>
      </c>
    </row>
    <row r="96" spans="2:2" ht="15" customHeight="1" x14ac:dyDescent="0.35">
      <c r="B96" s="37" t="s">
        <v>1127</v>
      </c>
    </row>
    <row r="97" spans="2:33" ht="15" customHeight="1" x14ac:dyDescent="0.35">
      <c r="B97" s="37" t="s">
        <v>1128</v>
      </c>
    </row>
    <row r="98" spans="2:33" ht="15" customHeight="1" x14ac:dyDescent="0.35">
      <c r="B98" s="37" t="s">
        <v>1129</v>
      </c>
    </row>
    <row r="99" spans="2:33" ht="15" customHeight="1" x14ac:dyDescent="0.35">
      <c r="B99" s="37" t="s">
        <v>1130</v>
      </c>
    </row>
    <row r="100" spans="2:33" ht="15" customHeight="1" x14ac:dyDescent="0.35">
      <c r="B100" s="37" t="s">
        <v>1131</v>
      </c>
    </row>
    <row r="101" spans="2:33" x14ac:dyDescent="0.35">
      <c r="B101" s="37" t="s">
        <v>1132</v>
      </c>
    </row>
    <row r="102" spans="2:33" x14ac:dyDescent="0.35">
      <c r="B102" s="37" t="s">
        <v>1133</v>
      </c>
    </row>
    <row r="103" spans="2:33" ht="15" customHeight="1" x14ac:dyDescent="0.35">
      <c r="B103" s="37" t="s">
        <v>1134</v>
      </c>
    </row>
    <row r="104" spans="2:33" ht="15" customHeight="1" x14ac:dyDescent="0.35">
      <c r="B104" s="37" t="s">
        <v>1135</v>
      </c>
    </row>
    <row r="105" spans="2:33" ht="15" customHeight="1" x14ac:dyDescent="0.35">
      <c r="B105" s="37" t="s">
        <v>1136</v>
      </c>
    </row>
    <row r="106" spans="2:33" ht="15" customHeight="1" x14ac:dyDescent="0.35">
      <c r="B106" s="37" t="s">
        <v>1137</v>
      </c>
    </row>
    <row r="107" spans="2:33" ht="15" customHeight="1" x14ac:dyDescent="0.35">
      <c r="B107" s="37" t="s">
        <v>1138</v>
      </c>
    </row>
    <row r="108" spans="2:33" ht="15" customHeight="1" x14ac:dyDescent="0.35">
      <c r="B108" s="37" t="s">
        <v>557</v>
      </c>
    </row>
    <row r="109" spans="2:33" ht="15" customHeight="1" x14ac:dyDescent="0.35">
      <c r="B109" s="37" t="s">
        <v>558</v>
      </c>
    </row>
    <row r="110" spans="2:33" ht="15" customHeight="1" x14ac:dyDescent="0.35">
      <c r="B110" s="37" t="s">
        <v>1139</v>
      </c>
    </row>
    <row r="111" spans="2:33" ht="15" customHeight="1" x14ac:dyDescent="0.35">
      <c r="B111" s="37" t="s">
        <v>560</v>
      </c>
    </row>
    <row r="112" spans="2:33" ht="15" customHeight="1" x14ac:dyDescent="0.35">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c r="AG308" s="460"/>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499"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09" spans="2:33" ht="15" customHeight="1" x14ac:dyDescent="0.35"/>
    <row r="510" spans="2:33" ht="15" customHeight="1" x14ac:dyDescent="0.35"/>
    <row r="511" spans="2:33" ht="15" customHeight="1" x14ac:dyDescent="0.35">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c r="AG511" s="460"/>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c r="AG712" s="460"/>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c r="AG887" s="460"/>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5"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60"/>
      <c r="C1100" s="460"/>
      <c r="D1100" s="460"/>
      <c r="E1100" s="460"/>
      <c r="F1100" s="460"/>
      <c r="G1100" s="460"/>
      <c r="H1100" s="460"/>
      <c r="I1100" s="460"/>
      <c r="J1100" s="460"/>
      <c r="K1100" s="460"/>
      <c r="L1100" s="460"/>
      <c r="M1100" s="460"/>
      <c r="N1100" s="460"/>
      <c r="O1100" s="460"/>
      <c r="P1100" s="460"/>
      <c r="Q1100" s="460"/>
      <c r="R1100" s="460"/>
      <c r="S1100" s="460"/>
      <c r="T1100" s="460"/>
      <c r="U1100" s="460"/>
      <c r="V1100" s="460"/>
      <c r="W1100" s="460"/>
      <c r="X1100" s="460"/>
      <c r="Y1100" s="460"/>
      <c r="Z1100" s="460"/>
      <c r="AA1100" s="460"/>
      <c r="AB1100" s="460"/>
      <c r="AC1100" s="460"/>
      <c r="AD1100" s="460"/>
      <c r="AE1100" s="460"/>
      <c r="AF1100" s="460"/>
      <c r="AG1100" s="460"/>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5" customHeight="1" x14ac:dyDescent="0.35"/>
    <row r="1128" ht="15" customHeight="1" x14ac:dyDescent="0.35"/>
    <row r="1129" ht="15"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5"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60"/>
      <c r="C1227" s="460"/>
      <c r="D1227" s="460"/>
      <c r="E1227" s="460"/>
      <c r="F1227" s="460"/>
      <c r="G1227" s="460"/>
      <c r="H1227" s="460"/>
      <c r="I1227" s="460"/>
      <c r="J1227" s="460"/>
      <c r="K1227" s="460"/>
      <c r="L1227" s="460"/>
      <c r="M1227" s="460"/>
      <c r="N1227" s="460"/>
      <c r="O1227" s="460"/>
      <c r="P1227" s="460"/>
      <c r="Q1227" s="460"/>
      <c r="R1227" s="460"/>
      <c r="S1227" s="460"/>
      <c r="T1227" s="460"/>
      <c r="U1227" s="460"/>
      <c r="V1227" s="460"/>
      <c r="W1227" s="460"/>
      <c r="X1227" s="460"/>
      <c r="Y1227" s="460"/>
      <c r="Z1227" s="460"/>
      <c r="AA1227" s="460"/>
      <c r="AB1227" s="460"/>
      <c r="AC1227" s="460"/>
      <c r="AD1227" s="460"/>
      <c r="AE1227" s="460"/>
      <c r="AF1227" s="460"/>
      <c r="AG1227" s="460"/>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5" customHeight="1" x14ac:dyDescent="0.35"/>
    <row r="1253" ht="15" customHeight="1" x14ac:dyDescent="0.35"/>
    <row r="1254" ht="15" customHeight="1" x14ac:dyDescent="0.35"/>
    <row r="1255" ht="15" customHeight="1" x14ac:dyDescent="0.35"/>
    <row r="1256" ht="15"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5" customHeight="1" x14ac:dyDescent="0.35"/>
    <row r="1276" ht="15" customHeight="1" x14ac:dyDescent="0.35"/>
    <row r="1277" ht="15" customHeight="1" x14ac:dyDescent="0.35"/>
    <row r="1278" ht="15" customHeight="1" x14ac:dyDescent="0.35"/>
    <row r="1279" ht="15" customHeight="1" x14ac:dyDescent="0.35"/>
    <row r="1280" ht="15" customHeight="1" x14ac:dyDescent="0.35"/>
    <row r="1281" ht="15" customHeight="1" x14ac:dyDescent="0.35"/>
    <row r="1282" ht="15" customHeight="1" x14ac:dyDescent="0.35"/>
    <row r="1283" ht="15" customHeight="1" x14ac:dyDescent="0.35"/>
    <row r="1284" ht="15" customHeight="1" x14ac:dyDescent="0.35"/>
    <row r="1285" ht="15" customHeight="1" x14ac:dyDescent="0.35"/>
    <row r="1286" ht="15" customHeight="1" x14ac:dyDescent="0.35"/>
    <row r="1287" ht="15" customHeight="1" x14ac:dyDescent="0.35"/>
    <row r="1288" ht="15" customHeight="1" x14ac:dyDescent="0.35"/>
    <row r="1289" ht="15" customHeight="1" x14ac:dyDescent="0.35"/>
    <row r="1290" ht="15" customHeight="1" x14ac:dyDescent="0.35"/>
    <row r="1291" ht="15" customHeight="1" x14ac:dyDescent="0.35"/>
    <row r="1292" ht="15" customHeight="1" x14ac:dyDescent="0.35"/>
    <row r="1293" ht="15" customHeight="1" x14ac:dyDescent="0.35"/>
    <row r="1294" ht="15" customHeight="1" x14ac:dyDescent="0.35"/>
    <row r="1295" ht="15"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4"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60"/>
      <c r="C1390" s="460"/>
      <c r="D1390" s="460"/>
      <c r="E1390" s="460"/>
      <c r="F1390" s="460"/>
      <c r="G1390" s="460"/>
      <c r="H1390" s="460"/>
      <c r="I1390" s="460"/>
      <c r="J1390" s="460"/>
      <c r="K1390" s="460"/>
      <c r="L1390" s="460"/>
      <c r="M1390" s="460"/>
      <c r="N1390" s="460"/>
      <c r="O1390" s="460"/>
      <c r="P1390" s="460"/>
      <c r="Q1390" s="460"/>
      <c r="R1390" s="460"/>
      <c r="S1390" s="460"/>
      <c r="T1390" s="460"/>
      <c r="U1390" s="460"/>
      <c r="V1390" s="460"/>
      <c r="W1390" s="460"/>
      <c r="X1390" s="460"/>
      <c r="Y1390" s="460"/>
      <c r="Z1390" s="460"/>
      <c r="AA1390" s="460"/>
      <c r="AB1390" s="460"/>
      <c r="AC1390" s="460"/>
      <c r="AD1390" s="460"/>
      <c r="AE1390" s="460"/>
      <c r="AF1390" s="460"/>
      <c r="AG1390" s="460"/>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spans="2:33" ht="15" customHeight="1" x14ac:dyDescent="0.35"/>
    <row r="1490"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499" spans="2:33" ht="15" customHeight="1" x14ac:dyDescent="0.35"/>
    <row r="1500" spans="2:33" ht="15" customHeight="1" x14ac:dyDescent="0.35"/>
    <row r="1501" spans="2:33" ht="15" customHeight="1" x14ac:dyDescent="0.35"/>
    <row r="1502" spans="2:33" ht="15" customHeight="1" x14ac:dyDescent="0.35">
      <c r="B1502" s="460"/>
      <c r="C1502" s="460"/>
      <c r="D1502" s="460"/>
      <c r="E1502" s="460"/>
      <c r="F1502" s="460"/>
      <c r="G1502" s="460"/>
      <c r="H1502" s="460"/>
      <c r="I1502" s="460"/>
      <c r="J1502" s="460"/>
      <c r="K1502" s="460"/>
      <c r="L1502" s="460"/>
      <c r="M1502" s="460"/>
      <c r="N1502" s="460"/>
      <c r="O1502" s="460"/>
      <c r="P1502" s="460"/>
      <c r="Q1502" s="460"/>
      <c r="R1502" s="460"/>
      <c r="S1502" s="460"/>
      <c r="T1502" s="460"/>
      <c r="U1502" s="460"/>
      <c r="V1502" s="460"/>
      <c r="W1502" s="460"/>
      <c r="X1502" s="460"/>
      <c r="Y1502" s="460"/>
      <c r="Z1502" s="460"/>
      <c r="AA1502" s="460"/>
      <c r="AB1502" s="460"/>
      <c r="AC1502" s="460"/>
      <c r="AD1502" s="460"/>
      <c r="AE1502" s="460"/>
      <c r="AF1502" s="460"/>
      <c r="AG1502" s="460"/>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5" customHeight="1" x14ac:dyDescent="0.35"/>
    <row r="1585" ht="15"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60"/>
      <c r="C1604" s="460"/>
      <c r="D1604" s="460"/>
      <c r="E1604" s="460"/>
      <c r="F1604" s="460"/>
      <c r="G1604" s="460"/>
      <c r="H1604" s="460"/>
      <c r="I1604" s="460"/>
      <c r="J1604" s="460"/>
      <c r="K1604" s="460"/>
      <c r="L1604" s="460"/>
      <c r="M1604" s="460"/>
      <c r="N1604" s="460"/>
      <c r="O1604" s="460"/>
      <c r="P1604" s="460"/>
      <c r="Q1604" s="460"/>
      <c r="R1604" s="460"/>
      <c r="S1604" s="460"/>
      <c r="T1604" s="460"/>
      <c r="U1604" s="460"/>
      <c r="V1604" s="460"/>
      <c r="W1604" s="460"/>
      <c r="X1604" s="460"/>
      <c r="Y1604" s="460"/>
      <c r="Z1604" s="460"/>
      <c r="AA1604" s="460"/>
      <c r="AB1604" s="460"/>
      <c r="AC1604" s="460"/>
      <c r="AD1604" s="460"/>
      <c r="AE1604" s="460"/>
      <c r="AF1604" s="460"/>
      <c r="AG1604" s="460"/>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12" spans="2:33" ht="15" customHeight="1" x14ac:dyDescent="0.35"/>
    <row r="1613" spans="2:33" ht="15" customHeight="1" x14ac:dyDescent="0.35"/>
    <row r="1614" spans="2:33" ht="15" customHeight="1" x14ac:dyDescent="0.35"/>
    <row r="1615" spans="2:33" ht="15" customHeight="1" x14ac:dyDescent="0.35"/>
    <row r="1616" spans="2:33"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5" customHeight="1" x14ac:dyDescent="0.35"/>
    <row r="1697" spans="2:33" ht="15" customHeight="1" x14ac:dyDescent="0.35"/>
    <row r="1698" spans="2:33" ht="15" customHeight="1" x14ac:dyDescent="0.35">
      <c r="B1698" s="460"/>
      <c r="C1698" s="460"/>
      <c r="D1698" s="460"/>
      <c r="E1698" s="460"/>
      <c r="F1698" s="460"/>
      <c r="G1698" s="460"/>
      <c r="H1698" s="460"/>
      <c r="I1698" s="460"/>
      <c r="J1698" s="460"/>
      <c r="K1698" s="460"/>
      <c r="L1698" s="460"/>
      <c r="M1698" s="460"/>
      <c r="N1698" s="460"/>
      <c r="O1698" s="460"/>
      <c r="P1698" s="460"/>
      <c r="Q1698" s="460"/>
      <c r="R1698" s="460"/>
      <c r="S1698" s="460"/>
      <c r="T1698" s="460"/>
      <c r="U1698" s="460"/>
      <c r="V1698" s="460"/>
      <c r="W1698" s="460"/>
      <c r="X1698" s="460"/>
      <c r="Y1698" s="460"/>
      <c r="Z1698" s="460"/>
      <c r="AA1698" s="460"/>
      <c r="AB1698" s="460"/>
      <c r="AC1698" s="460"/>
      <c r="AD1698" s="460"/>
      <c r="AE1698" s="460"/>
      <c r="AF1698" s="460"/>
      <c r="AG1698" s="460"/>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5"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5"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5"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7" ht="15"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60"/>
      <c r="C1945" s="460"/>
      <c r="D1945" s="460"/>
      <c r="E1945" s="460"/>
      <c r="F1945" s="460"/>
      <c r="G1945" s="460"/>
      <c r="H1945" s="460"/>
      <c r="I1945" s="460"/>
      <c r="J1945" s="460"/>
      <c r="K1945" s="460"/>
      <c r="L1945" s="460"/>
      <c r="M1945" s="460"/>
      <c r="N1945" s="460"/>
      <c r="O1945" s="460"/>
      <c r="P1945" s="460"/>
      <c r="Q1945" s="460"/>
      <c r="R1945" s="460"/>
      <c r="S1945" s="460"/>
      <c r="T1945" s="460"/>
      <c r="U1945" s="460"/>
      <c r="V1945" s="460"/>
      <c r="W1945" s="460"/>
      <c r="X1945" s="460"/>
      <c r="Y1945" s="460"/>
      <c r="Z1945" s="460"/>
      <c r="AA1945" s="460"/>
      <c r="AB1945" s="460"/>
      <c r="AC1945" s="460"/>
      <c r="AD1945" s="460"/>
      <c r="AE1945" s="460"/>
      <c r="AF1945" s="460"/>
      <c r="AG1945" s="460"/>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5" customHeight="1" x14ac:dyDescent="0.35"/>
    <row r="1960" ht="15" customHeight="1" x14ac:dyDescent="0.35"/>
    <row r="1961" ht="15"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5"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3" ht="15" customHeight="1" x14ac:dyDescent="0.35"/>
    <row r="2004" ht="15" customHeight="1" x14ac:dyDescent="0.35"/>
    <row r="2005" ht="15" customHeight="1" x14ac:dyDescent="0.35"/>
    <row r="2006" ht="15"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1"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60"/>
      <c r="C2031" s="460"/>
      <c r="D2031" s="460"/>
      <c r="E2031" s="460"/>
      <c r="F2031" s="460"/>
      <c r="G2031" s="460"/>
      <c r="H2031" s="460"/>
      <c r="I2031" s="460"/>
      <c r="J2031" s="460"/>
      <c r="K2031" s="460"/>
      <c r="L2031" s="460"/>
      <c r="M2031" s="460"/>
      <c r="N2031" s="460"/>
      <c r="O2031" s="460"/>
      <c r="P2031" s="460"/>
      <c r="Q2031" s="460"/>
      <c r="R2031" s="460"/>
      <c r="S2031" s="460"/>
      <c r="T2031" s="460"/>
      <c r="U2031" s="460"/>
      <c r="V2031" s="460"/>
      <c r="W2031" s="460"/>
      <c r="X2031" s="460"/>
      <c r="Y2031" s="460"/>
      <c r="Z2031" s="460"/>
      <c r="AA2031" s="460"/>
      <c r="AB2031" s="460"/>
      <c r="AC2031" s="460"/>
      <c r="AD2031" s="460"/>
      <c r="AE2031" s="460"/>
      <c r="AF2031" s="460"/>
      <c r="AG2031" s="460"/>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7" spans="2:33" ht="15" customHeight="1" x14ac:dyDescent="0.35"/>
    <row r="2148" spans="2:33" ht="15" customHeight="1" x14ac:dyDescent="0.35"/>
    <row r="2149" spans="2:33" ht="15" customHeight="1" x14ac:dyDescent="0.35"/>
    <row r="2150" spans="2:33" ht="15" customHeight="1" x14ac:dyDescent="0.35"/>
    <row r="2151" spans="2:33" ht="15" customHeight="1" x14ac:dyDescent="0.35"/>
    <row r="2152" spans="2:33" ht="15" customHeight="1" x14ac:dyDescent="0.35"/>
    <row r="2153" spans="2:33" ht="15" customHeight="1" x14ac:dyDescent="0.35">
      <c r="B2153" s="460"/>
      <c r="C2153" s="460"/>
      <c r="D2153" s="460"/>
      <c r="E2153" s="460"/>
      <c r="F2153" s="460"/>
      <c r="G2153" s="460"/>
      <c r="H2153" s="460"/>
      <c r="I2153" s="460"/>
      <c r="J2153" s="460"/>
      <c r="K2153" s="460"/>
      <c r="L2153" s="460"/>
      <c r="M2153" s="460"/>
      <c r="N2153" s="460"/>
      <c r="O2153" s="460"/>
      <c r="P2153" s="460"/>
      <c r="Q2153" s="460"/>
      <c r="R2153" s="460"/>
      <c r="S2153" s="460"/>
      <c r="T2153" s="460"/>
      <c r="U2153" s="460"/>
      <c r="V2153" s="460"/>
      <c r="W2153" s="460"/>
      <c r="X2153" s="460"/>
      <c r="Y2153" s="460"/>
      <c r="Z2153" s="460"/>
      <c r="AA2153" s="460"/>
      <c r="AB2153" s="460"/>
      <c r="AC2153" s="460"/>
      <c r="AD2153" s="460"/>
      <c r="AE2153" s="460"/>
      <c r="AF2153" s="460"/>
      <c r="AG2153" s="460"/>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5"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60"/>
      <c r="C2317" s="460"/>
      <c r="D2317" s="460"/>
      <c r="E2317" s="460"/>
      <c r="F2317" s="460"/>
      <c r="G2317" s="460"/>
      <c r="H2317" s="460"/>
      <c r="I2317" s="460"/>
      <c r="J2317" s="460"/>
      <c r="K2317" s="460"/>
      <c r="L2317" s="460"/>
      <c r="M2317" s="460"/>
      <c r="N2317" s="460"/>
      <c r="O2317" s="460"/>
      <c r="P2317" s="460"/>
      <c r="Q2317" s="460"/>
      <c r="R2317" s="460"/>
      <c r="S2317" s="460"/>
      <c r="T2317" s="460"/>
      <c r="U2317" s="460"/>
      <c r="V2317" s="460"/>
      <c r="W2317" s="460"/>
      <c r="X2317" s="460"/>
      <c r="Y2317" s="460"/>
      <c r="Z2317" s="460"/>
      <c r="AA2317" s="460"/>
      <c r="AB2317" s="460"/>
      <c r="AC2317" s="460"/>
      <c r="AD2317" s="460"/>
      <c r="AE2317" s="460"/>
      <c r="AF2317" s="460"/>
      <c r="AG2317" s="460"/>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35" ht="15" customHeight="1" x14ac:dyDescent="0.35"/>
    <row r="2336" ht="15" customHeight="1" x14ac:dyDescent="0.35"/>
    <row r="2337" ht="15" customHeight="1" x14ac:dyDescent="0.35"/>
    <row r="2338" ht="15" customHeight="1" x14ac:dyDescent="0.35"/>
    <row r="2339" ht="15" customHeight="1" x14ac:dyDescent="0.35"/>
    <row r="2340" ht="15" customHeight="1" x14ac:dyDescent="0.35"/>
    <row r="2341" ht="15" customHeight="1" x14ac:dyDescent="0.35"/>
    <row r="2342" ht="15" customHeight="1" x14ac:dyDescent="0.35"/>
    <row r="2343" ht="15" customHeight="1" x14ac:dyDescent="0.35"/>
    <row r="2344" ht="15" customHeight="1" x14ac:dyDescent="0.35"/>
    <row r="2345" ht="15"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60"/>
      <c r="C2419" s="460"/>
      <c r="D2419" s="460"/>
      <c r="E2419" s="460"/>
      <c r="F2419" s="460"/>
      <c r="G2419" s="460"/>
      <c r="H2419" s="460"/>
      <c r="I2419" s="460"/>
      <c r="J2419" s="460"/>
      <c r="K2419" s="460"/>
      <c r="L2419" s="460"/>
      <c r="M2419" s="460"/>
      <c r="N2419" s="460"/>
      <c r="O2419" s="460"/>
      <c r="P2419" s="460"/>
      <c r="Q2419" s="460"/>
      <c r="R2419" s="460"/>
      <c r="S2419" s="460"/>
      <c r="T2419" s="460"/>
      <c r="U2419" s="460"/>
      <c r="V2419" s="460"/>
      <c r="W2419" s="460"/>
      <c r="X2419" s="460"/>
      <c r="Y2419" s="460"/>
      <c r="Z2419" s="460"/>
      <c r="AA2419" s="460"/>
      <c r="AB2419" s="460"/>
      <c r="AC2419" s="460"/>
      <c r="AD2419" s="460"/>
      <c r="AE2419" s="460"/>
      <c r="AF2419" s="460"/>
      <c r="AG2419" s="460"/>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5"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spans="2:33"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3"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60"/>
      <c r="C2509" s="460"/>
      <c r="D2509" s="460"/>
      <c r="E2509" s="460"/>
      <c r="F2509" s="460"/>
      <c r="G2509" s="460"/>
      <c r="H2509" s="460"/>
      <c r="I2509" s="460"/>
      <c r="J2509" s="460"/>
      <c r="K2509" s="460"/>
      <c r="L2509" s="460"/>
      <c r="M2509" s="460"/>
      <c r="N2509" s="460"/>
      <c r="O2509" s="460"/>
      <c r="P2509" s="460"/>
      <c r="Q2509" s="460"/>
      <c r="R2509" s="460"/>
      <c r="S2509" s="460"/>
      <c r="T2509" s="460"/>
      <c r="U2509" s="460"/>
      <c r="V2509" s="460"/>
      <c r="W2509" s="460"/>
      <c r="X2509" s="460"/>
      <c r="Y2509" s="460"/>
      <c r="Z2509" s="460"/>
      <c r="AA2509" s="460"/>
      <c r="AB2509" s="460"/>
      <c r="AC2509" s="460"/>
      <c r="AD2509" s="460"/>
      <c r="AE2509" s="460"/>
      <c r="AF2509" s="460"/>
      <c r="AG2509" s="460"/>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5"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4"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60"/>
      <c r="C2598" s="460"/>
      <c r="D2598" s="460"/>
      <c r="E2598" s="460"/>
      <c r="F2598" s="460"/>
      <c r="G2598" s="460"/>
      <c r="H2598" s="460"/>
      <c r="I2598" s="460"/>
      <c r="J2598" s="460"/>
      <c r="K2598" s="460"/>
      <c r="L2598" s="460"/>
      <c r="M2598" s="460"/>
      <c r="N2598" s="460"/>
      <c r="O2598" s="460"/>
      <c r="P2598" s="460"/>
      <c r="Q2598" s="460"/>
      <c r="R2598" s="460"/>
      <c r="S2598" s="460"/>
      <c r="T2598" s="460"/>
      <c r="U2598" s="460"/>
      <c r="V2598" s="460"/>
      <c r="W2598" s="460"/>
      <c r="X2598" s="460"/>
      <c r="Y2598" s="460"/>
      <c r="Z2598" s="460"/>
      <c r="AA2598" s="460"/>
      <c r="AB2598" s="460"/>
      <c r="AC2598" s="460"/>
      <c r="AD2598" s="460"/>
      <c r="AE2598" s="460"/>
      <c r="AF2598" s="460"/>
      <c r="AG2598" s="460"/>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3" ht="15" customHeight="1" x14ac:dyDescent="0.35"/>
    <row r="2706" spans="2:33"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60"/>
      <c r="C2719" s="460"/>
      <c r="D2719" s="460"/>
      <c r="E2719" s="460"/>
      <c r="F2719" s="460"/>
      <c r="G2719" s="460"/>
      <c r="H2719" s="460"/>
      <c r="I2719" s="460"/>
      <c r="J2719" s="460"/>
      <c r="K2719" s="460"/>
      <c r="L2719" s="460"/>
      <c r="M2719" s="460"/>
      <c r="N2719" s="460"/>
      <c r="O2719" s="460"/>
      <c r="P2719" s="460"/>
      <c r="Q2719" s="460"/>
      <c r="R2719" s="460"/>
      <c r="S2719" s="460"/>
      <c r="T2719" s="460"/>
      <c r="U2719" s="460"/>
      <c r="V2719" s="460"/>
      <c r="W2719" s="460"/>
      <c r="X2719" s="460"/>
      <c r="Y2719" s="460"/>
      <c r="Z2719" s="460"/>
      <c r="AA2719" s="460"/>
      <c r="AB2719" s="460"/>
      <c r="AC2719" s="460"/>
      <c r="AD2719" s="460"/>
      <c r="AE2719" s="460"/>
      <c r="AF2719" s="460"/>
      <c r="AG2719" s="460"/>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5"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5"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60"/>
      <c r="C2837" s="460"/>
      <c r="D2837" s="460"/>
      <c r="E2837" s="460"/>
      <c r="F2837" s="460"/>
      <c r="G2837" s="460"/>
      <c r="H2837" s="460"/>
      <c r="I2837" s="460"/>
      <c r="J2837" s="460"/>
      <c r="K2837" s="460"/>
      <c r="L2837" s="460"/>
      <c r="M2837" s="460"/>
      <c r="N2837" s="460"/>
      <c r="O2837" s="460"/>
      <c r="P2837" s="460"/>
      <c r="Q2837" s="460"/>
      <c r="R2837" s="460"/>
      <c r="S2837" s="460"/>
      <c r="T2837" s="460"/>
      <c r="U2837" s="460"/>
      <c r="V2837" s="460"/>
      <c r="W2837" s="460"/>
      <c r="X2837" s="460"/>
      <c r="Y2837" s="460"/>
      <c r="Z2837" s="460"/>
      <c r="AA2837" s="460"/>
      <c r="AB2837" s="460"/>
      <c r="AC2837" s="460"/>
      <c r="AD2837" s="460"/>
      <c r="AE2837" s="460"/>
      <c r="AF2837" s="460"/>
      <c r="AG2837" s="460"/>
    </row>
  </sheetData>
  <mergeCells count="20">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3046875" defaultRowHeight="15" customHeight="1"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436</v>
      </c>
      <c r="D3" s="72" t="s">
        <v>562</v>
      </c>
      <c r="E3" s="54"/>
      <c r="F3" s="54"/>
      <c r="G3" s="54"/>
    </row>
    <row r="4" spans="1:33" ht="15" customHeight="1" x14ac:dyDescent="0.4">
      <c r="C4" s="72" t="s">
        <v>438</v>
      </c>
      <c r="D4" s="72" t="s">
        <v>563</v>
      </c>
      <c r="E4" s="54"/>
      <c r="F4" s="54"/>
      <c r="G4" s="72" t="s">
        <v>440</v>
      </c>
    </row>
    <row r="5" spans="1:33" ht="15" customHeight="1" x14ac:dyDescent="0.4">
      <c r="C5" s="72" t="s">
        <v>441</v>
      </c>
      <c r="D5" s="72" t="s">
        <v>564</v>
      </c>
      <c r="E5" s="54"/>
      <c r="F5" s="54"/>
      <c r="G5" s="54"/>
    </row>
    <row r="6" spans="1:33" ht="15" customHeight="1" x14ac:dyDescent="0.4">
      <c r="C6" s="72" t="s">
        <v>443</v>
      </c>
      <c r="D6" s="54"/>
      <c r="E6" s="72" t="s">
        <v>565</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5">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4">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35">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35">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35">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35">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35">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35">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35">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35">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35">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35">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35">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35">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35">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35">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35">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35">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35">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35">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35">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35">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35">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35">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35">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35">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35">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35">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35">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35">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35">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35">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35">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35">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35">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35">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5">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35">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5">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5">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35">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35">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35">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35">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35">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35">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35">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35">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35">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35">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35">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35">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35">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35">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35">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35">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3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5">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35">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35">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35">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35">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35">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35">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35">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35">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35">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35">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4">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45">
      <c r="B84" s="462" t="s">
        <v>1114</v>
      </c>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c r="AB84" s="463"/>
      <c r="AC84" s="463"/>
      <c r="AD84" s="463"/>
      <c r="AE84" s="463"/>
      <c r="AF84" s="463"/>
      <c r="AG84" s="463"/>
      <c r="AH84" s="57"/>
    </row>
    <row r="85" spans="1:34" ht="15" customHeight="1" x14ac:dyDescent="0.35">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35">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35">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35">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35">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35">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35">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35">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35">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35">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35">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35">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5">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5">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5">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5">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5">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5">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5">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5">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5">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5">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5">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5">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5">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35">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35">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35">
      <c r="B112" s="461" t="s">
        <v>576</v>
      </c>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37"/>
    </row>
    <row r="113" spans="2:33" ht="15" customHeight="1" x14ac:dyDescent="0.35">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5">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5">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5">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5">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5">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5">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5">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5">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5">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5">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5">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5">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5">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5">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5">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5">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5">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5">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5">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5">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5">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35">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35">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35">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35">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35">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35">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35">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35">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35">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35">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35">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35">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35">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35">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35">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35">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3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35">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35">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35">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35">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35">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35">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35">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35">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35">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35">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35">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35">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35">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35">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35">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35">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35">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35">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35">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35">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35">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35">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35">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35">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35">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35">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35">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35">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35">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35">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35">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35">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35">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35">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35">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35">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35">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35">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35">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35">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35">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35">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35">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35">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35">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35">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35">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35">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35">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35">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35">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35">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35">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35">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35">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35">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35">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35">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35">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35">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35">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35">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35">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35">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35">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35">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35">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35">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35">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35">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35">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35">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35">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35">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35">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35">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35">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35">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35">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35">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35">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35">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35">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35">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row>
    <row r="511" spans="2:32" ht="15" customHeight="1" x14ac:dyDescent="0.35">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row>
    <row r="712" spans="2:32" ht="15" customHeight="1" x14ac:dyDescent="0.35">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row>
    <row r="887" spans="2:32" ht="15" customHeight="1" x14ac:dyDescent="0.35">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row>
    <row r="1101" spans="2:32" ht="15" customHeight="1" x14ac:dyDescent="0.35">
      <c r="B1101" s="460"/>
      <c r="C1101" s="460"/>
      <c r="D1101" s="460"/>
      <c r="E1101" s="460"/>
      <c r="F1101" s="460"/>
      <c r="G1101" s="460"/>
      <c r="H1101" s="460"/>
      <c r="I1101" s="460"/>
      <c r="J1101" s="460"/>
      <c r="K1101" s="460"/>
      <c r="L1101" s="460"/>
      <c r="M1101" s="460"/>
      <c r="N1101" s="460"/>
      <c r="O1101" s="460"/>
      <c r="P1101" s="460"/>
      <c r="Q1101" s="460"/>
      <c r="R1101" s="460"/>
      <c r="S1101" s="460"/>
      <c r="T1101" s="460"/>
      <c r="U1101" s="460"/>
      <c r="V1101" s="460"/>
      <c r="W1101" s="460"/>
      <c r="X1101" s="460"/>
      <c r="Y1101" s="460"/>
      <c r="Z1101" s="460"/>
      <c r="AA1101" s="460"/>
      <c r="AB1101" s="460"/>
      <c r="AC1101" s="460"/>
      <c r="AD1101" s="460"/>
      <c r="AE1101" s="460"/>
      <c r="AF1101" s="460"/>
    </row>
    <row r="1229" spans="2:32" ht="15" customHeight="1" x14ac:dyDescent="0.35">
      <c r="B1229" s="460"/>
      <c r="C1229" s="460"/>
      <c r="D1229" s="460"/>
      <c r="E1229" s="460"/>
      <c r="F1229" s="460"/>
      <c r="G1229" s="460"/>
      <c r="H1229" s="460"/>
      <c r="I1229" s="460"/>
      <c r="J1229" s="460"/>
      <c r="K1229" s="460"/>
      <c r="L1229" s="460"/>
      <c r="M1229" s="460"/>
      <c r="N1229" s="460"/>
      <c r="O1229" s="460"/>
      <c r="P1229" s="460"/>
      <c r="Q1229" s="460"/>
      <c r="R1229" s="460"/>
      <c r="S1229" s="460"/>
      <c r="T1229" s="460"/>
      <c r="U1229" s="460"/>
      <c r="V1229" s="460"/>
      <c r="W1229" s="460"/>
      <c r="X1229" s="460"/>
      <c r="Y1229" s="460"/>
      <c r="Z1229" s="460"/>
      <c r="AA1229" s="460"/>
      <c r="AB1229" s="460"/>
      <c r="AC1229" s="460"/>
      <c r="AD1229" s="460"/>
      <c r="AE1229" s="460"/>
      <c r="AF1229" s="460"/>
    </row>
    <row r="1390" spans="2:32" ht="15" customHeight="1" x14ac:dyDescent="0.35">
      <c r="B1390" s="460"/>
      <c r="C1390" s="460"/>
      <c r="D1390" s="460"/>
      <c r="E1390" s="460"/>
      <c r="F1390" s="460"/>
      <c r="G1390" s="460"/>
      <c r="H1390" s="460"/>
      <c r="I1390" s="460"/>
      <c r="J1390" s="460"/>
      <c r="K1390" s="460"/>
      <c r="L1390" s="460"/>
      <c r="M1390" s="460"/>
      <c r="N1390" s="460"/>
      <c r="O1390" s="460"/>
      <c r="P1390" s="460"/>
      <c r="Q1390" s="460"/>
      <c r="R1390" s="460"/>
      <c r="S1390" s="460"/>
      <c r="T1390" s="460"/>
      <c r="U1390" s="460"/>
      <c r="V1390" s="460"/>
      <c r="W1390" s="460"/>
      <c r="X1390" s="460"/>
      <c r="Y1390" s="460"/>
      <c r="Z1390" s="460"/>
      <c r="AA1390" s="460"/>
      <c r="AB1390" s="460"/>
      <c r="AC1390" s="460"/>
      <c r="AD1390" s="460"/>
      <c r="AE1390" s="460"/>
      <c r="AF1390" s="460"/>
    </row>
    <row r="1502" spans="2:32" ht="15" customHeight="1" x14ac:dyDescent="0.35">
      <c r="B1502" s="460"/>
      <c r="C1502" s="460"/>
      <c r="D1502" s="460"/>
      <c r="E1502" s="460"/>
      <c r="F1502" s="460"/>
      <c r="G1502" s="460"/>
      <c r="H1502" s="460"/>
      <c r="I1502" s="460"/>
      <c r="J1502" s="460"/>
      <c r="K1502" s="460"/>
      <c r="L1502" s="460"/>
      <c r="M1502" s="460"/>
      <c r="N1502" s="460"/>
      <c r="O1502" s="460"/>
      <c r="P1502" s="460"/>
      <c r="Q1502" s="460"/>
      <c r="R1502" s="460"/>
      <c r="S1502" s="460"/>
      <c r="T1502" s="460"/>
      <c r="U1502" s="460"/>
      <c r="V1502" s="460"/>
      <c r="W1502" s="460"/>
      <c r="X1502" s="460"/>
      <c r="Y1502" s="460"/>
      <c r="Z1502" s="460"/>
      <c r="AA1502" s="460"/>
      <c r="AB1502" s="460"/>
      <c r="AC1502" s="460"/>
      <c r="AD1502" s="460"/>
      <c r="AE1502" s="460"/>
      <c r="AF1502" s="460"/>
    </row>
    <row r="1604" spans="2:32" ht="15" customHeight="1" x14ac:dyDescent="0.35">
      <c r="B1604" s="460"/>
      <c r="C1604" s="460"/>
      <c r="D1604" s="460"/>
      <c r="E1604" s="460"/>
      <c r="F1604" s="460"/>
      <c r="G1604" s="460"/>
      <c r="H1604" s="460"/>
      <c r="I1604" s="460"/>
      <c r="J1604" s="460"/>
      <c r="K1604" s="460"/>
      <c r="L1604" s="460"/>
      <c r="M1604" s="460"/>
      <c r="N1604" s="460"/>
      <c r="O1604" s="460"/>
      <c r="P1604" s="460"/>
      <c r="Q1604" s="460"/>
      <c r="R1604" s="460"/>
      <c r="S1604" s="460"/>
      <c r="T1604" s="460"/>
      <c r="U1604" s="460"/>
      <c r="V1604" s="460"/>
      <c r="W1604" s="460"/>
      <c r="X1604" s="460"/>
      <c r="Y1604" s="460"/>
      <c r="Z1604" s="460"/>
      <c r="AA1604" s="460"/>
      <c r="AB1604" s="460"/>
      <c r="AC1604" s="460"/>
      <c r="AD1604" s="460"/>
      <c r="AE1604" s="460"/>
      <c r="AF1604" s="460"/>
    </row>
    <row r="1699" spans="2:32" ht="15" customHeight="1" x14ac:dyDescent="0.35">
      <c r="B1699" s="460"/>
      <c r="C1699" s="460"/>
      <c r="D1699" s="460"/>
      <c r="E1699" s="460"/>
      <c r="F1699" s="460"/>
      <c r="G1699" s="460"/>
      <c r="H1699" s="460"/>
      <c r="I1699" s="460"/>
      <c r="J1699" s="460"/>
      <c r="K1699" s="460"/>
      <c r="L1699" s="460"/>
      <c r="M1699" s="460"/>
      <c r="N1699" s="460"/>
      <c r="O1699" s="460"/>
      <c r="P1699" s="460"/>
      <c r="Q1699" s="460"/>
      <c r="R1699" s="460"/>
      <c r="S1699" s="460"/>
      <c r="T1699" s="460"/>
      <c r="U1699" s="460"/>
      <c r="V1699" s="460"/>
      <c r="W1699" s="460"/>
      <c r="X1699" s="460"/>
      <c r="Y1699" s="460"/>
      <c r="Z1699" s="460"/>
      <c r="AA1699" s="460"/>
      <c r="AB1699" s="460"/>
      <c r="AC1699" s="460"/>
      <c r="AD1699" s="460"/>
      <c r="AE1699" s="460"/>
      <c r="AF1699" s="460"/>
    </row>
    <row r="1945" spans="2:32" ht="15" customHeight="1" x14ac:dyDescent="0.35">
      <c r="B1945" s="460"/>
      <c r="C1945" s="460"/>
      <c r="D1945" s="460"/>
      <c r="E1945" s="460"/>
      <c r="F1945" s="460"/>
      <c r="G1945" s="460"/>
      <c r="H1945" s="460"/>
      <c r="I1945" s="460"/>
      <c r="J1945" s="460"/>
      <c r="K1945" s="460"/>
      <c r="L1945" s="460"/>
      <c r="M1945" s="460"/>
      <c r="N1945" s="460"/>
      <c r="O1945" s="460"/>
      <c r="P1945" s="460"/>
      <c r="Q1945" s="460"/>
      <c r="R1945" s="460"/>
      <c r="S1945" s="460"/>
      <c r="T1945" s="460"/>
      <c r="U1945" s="460"/>
      <c r="V1945" s="460"/>
      <c r="W1945" s="460"/>
      <c r="X1945" s="460"/>
      <c r="Y1945" s="460"/>
      <c r="Z1945" s="460"/>
      <c r="AA1945" s="460"/>
      <c r="AB1945" s="460"/>
      <c r="AC1945" s="460"/>
      <c r="AD1945" s="460"/>
      <c r="AE1945" s="460"/>
      <c r="AF1945" s="460"/>
    </row>
    <row r="2031" spans="2:32" ht="15" customHeight="1" x14ac:dyDescent="0.35">
      <c r="B2031" s="460"/>
      <c r="C2031" s="460"/>
      <c r="D2031" s="460"/>
      <c r="E2031" s="460"/>
      <c r="F2031" s="460"/>
      <c r="G2031" s="460"/>
      <c r="H2031" s="460"/>
      <c r="I2031" s="460"/>
      <c r="J2031" s="460"/>
      <c r="K2031" s="460"/>
      <c r="L2031" s="460"/>
      <c r="M2031" s="460"/>
      <c r="N2031" s="460"/>
      <c r="O2031" s="460"/>
      <c r="P2031" s="460"/>
      <c r="Q2031" s="460"/>
      <c r="R2031" s="460"/>
      <c r="S2031" s="460"/>
      <c r="T2031" s="460"/>
      <c r="U2031" s="460"/>
      <c r="V2031" s="460"/>
      <c r="W2031" s="460"/>
      <c r="X2031" s="460"/>
      <c r="Y2031" s="460"/>
      <c r="Z2031" s="460"/>
      <c r="AA2031" s="460"/>
      <c r="AB2031" s="460"/>
      <c r="AC2031" s="460"/>
      <c r="AD2031" s="460"/>
      <c r="AE2031" s="460"/>
      <c r="AF2031" s="460"/>
    </row>
    <row r="2153" spans="2:32" ht="15" customHeight="1" x14ac:dyDescent="0.35">
      <c r="B2153" s="460"/>
      <c r="C2153" s="460"/>
      <c r="D2153" s="460"/>
      <c r="E2153" s="460"/>
      <c r="F2153" s="460"/>
      <c r="G2153" s="460"/>
      <c r="H2153" s="460"/>
      <c r="I2153" s="460"/>
      <c r="J2153" s="460"/>
      <c r="K2153" s="460"/>
      <c r="L2153" s="460"/>
      <c r="M2153" s="460"/>
      <c r="N2153" s="460"/>
      <c r="O2153" s="460"/>
      <c r="P2153" s="460"/>
      <c r="Q2153" s="460"/>
      <c r="R2153" s="460"/>
      <c r="S2153" s="460"/>
      <c r="T2153" s="460"/>
      <c r="U2153" s="460"/>
      <c r="V2153" s="460"/>
      <c r="W2153" s="460"/>
      <c r="X2153" s="460"/>
      <c r="Y2153" s="460"/>
      <c r="Z2153" s="460"/>
      <c r="AA2153" s="460"/>
      <c r="AB2153" s="460"/>
      <c r="AC2153" s="460"/>
      <c r="AD2153" s="460"/>
      <c r="AE2153" s="460"/>
      <c r="AF2153" s="460"/>
    </row>
    <row r="2317" spans="2:32" ht="15" customHeight="1" x14ac:dyDescent="0.35">
      <c r="B2317" s="460"/>
      <c r="C2317" s="460"/>
      <c r="D2317" s="460"/>
      <c r="E2317" s="460"/>
      <c r="F2317" s="460"/>
      <c r="G2317" s="460"/>
      <c r="H2317" s="460"/>
      <c r="I2317" s="460"/>
      <c r="J2317" s="460"/>
      <c r="K2317" s="460"/>
      <c r="L2317" s="460"/>
      <c r="M2317" s="460"/>
      <c r="N2317" s="460"/>
      <c r="O2317" s="460"/>
      <c r="P2317" s="460"/>
      <c r="Q2317" s="460"/>
      <c r="R2317" s="460"/>
      <c r="S2317" s="460"/>
      <c r="T2317" s="460"/>
      <c r="U2317" s="460"/>
      <c r="V2317" s="460"/>
      <c r="W2317" s="460"/>
      <c r="X2317" s="460"/>
      <c r="Y2317" s="460"/>
      <c r="Z2317" s="460"/>
      <c r="AA2317" s="460"/>
      <c r="AB2317" s="460"/>
      <c r="AC2317" s="460"/>
      <c r="AD2317" s="460"/>
      <c r="AE2317" s="460"/>
      <c r="AF2317" s="460"/>
    </row>
    <row r="2419" spans="2:32" ht="15" customHeight="1" x14ac:dyDescent="0.35">
      <c r="B2419" s="460"/>
      <c r="C2419" s="460"/>
      <c r="D2419" s="460"/>
      <c r="E2419" s="460"/>
      <c r="F2419" s="460"/>
      <c r="G2419" s="460"/>
      <c r="H2419" s="460"/>
      <c r="I2419" s="460"/>
      <c r="J2419" s="460"/>
      <c r="K2419" s="460"/>
      <c r="L2419" s="460"/>
      <c r="M2419" s="460"/>
      <c r="N2419" s="460"/>
      <c r="O2419" s="460"/>
      <c r="P2419" s="460"/>
      <c r="Q2419" s="460"/>
      <c r="R2419" s="460"/>
      <c r="S2419" s="460"/>
      <c r="T2419" s="460"/>
      <c r="U2419" s="460"/>
      <c r="V2419" s="460"/>
      <c r="W2419" s="460"/>
      <c r="X2419" s="460"/>
      <c r="Y2419" s="460"/>
      <c r="Z2419" s="460"/>
      <c r="AA2419" s="460"/>
      <c r="AB2419" s="460"/>
      <c r="AC2419" s="460"/>
      <c r="AD2419" s="460"/>
      <c r="AE2419" s="460"/>
      <c r="AF2419" s="460"/>
    </row>
    <row r="2509" spans="2:32" ht="15" customHeight="1" x14ac:dyDescent="0.35">
      <c r="B2509" s="460"/>
      <c r="C2509" s="460"/>
      <c r="D2509" s="460"/>
      <c r="E2509" s="460"/>
      <c r="F2509" s="460"/>
      <c r="G2509" s="460"/>
      <c r="H2509" s="460"/>
      <c r="I2509" s="460"/>
      <c r="J2509" s="460"/>
      <c r="K2509" s="460"/>
      <c r="L2509" s="460"/>
      <c r="M2509" s="460"/>
      <c r="N2509" s="460"/>
      <c r="O2509" s="460"/>
      <c r="P2509" s="460"/>
      <c r="Q2509" s="460"/>
      <c r="R2509" s="460"/>
      <c r="S2509" s="460"/>
      <c r="T2509" s="460"/>
      <c r="U2509" s="460"/>
      <c r="V2509" s="460"/>
      <c r="W2509" s="460"/>
      <c r="X2509" s="460"/>
      <c r="Y2509" s="460"/>
      <c r="Z2509" s="460"/>
      <c r="AA2509" s="460"/>
      <c r="AB2509" s="460"/>
      <c r="AC2509" s="460"/>
      <c r="AD2509" s="460"/>
      <c r="AE2509" s="460"/>
      <c r="AF2509" s="460"/>
    </row>
    <row r="2598" spans="2:32" ht="15" customHeight="1" x14ac:dyDescent="0.35">
      <c r="B2598" s="460"/>
      <c r="C2598" s="460"/>
      <c r="D2598" s="460"/>
      <c r="E2598" s="460"/>
      <c r="F2598" s="460"/>
      <c r="G2598" s="460"/>
      <c r="H2598" s="460"/>
      <c r="I2598" s="460"/>
      <c r="J2598" s="460"/>
      <c r="K2598" s="460"/>
      <c r="L2598" s="460"/>
      <c r="M2598" s="460"/>
      <c r="N2598" s="460"/>
      <c r="O2598" s="460"/>
      <c r="P2598" s="460"/>
      <c r="Q2598" s="460"/>
      <c r="R2598" s="460"/>
      <c r="S2598" s="460"/>
      <c r="T2598" s="460"/>
      <c r="U2598" s="460"/>
      <c r="V2598" s="460"/>
      <c r="W2598" s="460"/>
      <c r="X2598" s="460"/>
      <c r="Y2598" s="460"/>
      <c r="Z2598" s="460"/>
      <c r="AA2598" s="460"/>
      <c r="AB2598" s="460"/>
      <c r="AC2598" s="460"/>
      <c r="AD2598" s="460"/>
      <c r="AE2598" s="460"/>
      <c r="AF2598" s="460"/>
    </row>
    <row r="2719" spans="2:32" ht="15" customHeight="1" x14ac:dyDescent="0.35">
      <c r="B2719" s="460"/>
      <c r="C2719" s="460"/>
      <c r="D2719" s="460"/>
      <c r="E2719" s="460"/>
      <c r="F2719" s="460"/>
      <c r="G2719" s="460"/>
      <c r="H2719" s="460"/>
      <c r="I2719" s="460"/>
      <c r="J2719" s="460"/>
      <c r="K2719" s="460"/>
      <c r="L2719" s="460"/>
      <c r="M2719" s="460"/>
      <c r="N2719" s="460"/>
      <c r="O2719" s="460"/>
      <c r="P2719" s="460"/>
      <c r="Q2719" s="460"/>
      <c r="R2719" s="460"/>
      <c r="S2719" s="460"/>
      <c r="T2719" s="460"/>
      <c r="U2719" s="460"/>
      <c r="V2719" s="460"/>
      <c r="W2719" s="460"/>
      <c r="X2719" s="460"/>
      <c r="Y2719" s="460"/>
      <c r="Z2719" s="460"/>
      <c r="AA2719" s="460"/>
      <c r="AB2719" s="460"/>
      <c r="AC2719" s="460"/>
      <c r="AD2719" s="460"/>
      <c r="AE2719" s="460"/>
      <c r="AF2719" s="460"/>
    </row>
    <row r="2837" spans="2:32" ht="15" customHeight="1" x14ac:dyDescent="0.35">
      <c r="B2837" s="460"/>
      <c r="C2837" s="460"/>
      <c r="D2837" s="460"/>
      <c r="E2837" s="460"/>
      <c r="F2837" s="460"/>
      <c r="G2837" s="460"/>
      <c r="H2837" s="460"/>
      <c r="I2837" s="460"/>
      <c r="J2837" s="460"/>
      <c r="K2837" s="460"/>
      <c r="L2837" s="460"/>
      <c r="M2837" s="460"/>
      <c r="N2837" s="460"/>
      <c r="O2837" s="460"/>
      <c r="P2837" s="460"/>
      <c r="Q2837" s="460"/>
      <c r="R2837" s="460"/>
      <c r="S2837" s="460"/>
      <c r="T2837" s="460"/>
      <c r="U2837" s="460"/>
      <c r="V2837" s="460"/>
      <c r="W2837" s="460"/>
      <c r="X2837" s="460"/>
      <c r="Y2837" s="460"/>
      <c r="Z2837" s="460"/>
      <c r="AA2837" s="460"/>
      <c r="AB2837" s="460"/>
      <c r="AC2837" s="460"/>
      <c r="AD2837" s="460"/>
      <c r="AE2837" s="460"/>
      <c r="AF2837" s="460"/>
    </row>
  </sheetData>
  <mergeCells count="21">
    <mergeCell ref="B511:AF511"/>
    <mergeCell ref="B1229:AF1229"/>
    <mergeCell ref="B1945:AF1945"/>
    <mergeCell ref="B2031:AF2031"/>
    <mergeCell ref="B2153:AF2153"/>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4.25" x14ac:dyDescent="0.45"/>
  <cols>
    <col min="1" max="1" width="27.73046875" customWidth="1"/>
    <col min="2" max="2" width="67" customWidth="1"/>
  </cols>
  <sheetData>
    <row r="1" spans="1:33" x14ac:dyDescent="0.45">
      <c r="A1" t="s">
        <v>1153</v>
      </c>
    </row>
    <row r="2" spans="1:33" x14ac:dyDescent="0.45">
      <c r="A2" t="s">
        <v>1154</v>
      </c>
    </row>
    <row r="3" spans="1:33" x14ac:dyDescent="0.45">
      <c r="A3" t="s">
        <v>1155</v>
      </c>
    </row>
    <row r="4" spans="1:33" x14ac:dyDescent="0.45">
      <c r="A4" t="s">
        <v>580</v>
      </c>
    </row>
    <row r="5" spans="1:33" x14ac:dyDescent="0.4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45">
      <c r="A6" t="s">
        <v>616</v>
      </c>
    </row>
    <row r="7" spans="1:33" s="343" customFormat="1" x14ac:dyDescent="0.4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4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4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4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4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4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4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4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4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4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4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4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4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4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4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4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4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4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4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4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4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4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4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4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4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4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4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4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4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4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4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4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4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45">
      <c r="A40" t="s">
        <v>1243</v>
      </c>
    </row>
    <row r="41" spans="1:33" x14ac:dyDescent="0.45">
      <c r="A41" t="s">
        <v>1244</v>
      </c>
    </row>
    <row r="42" spans="1:33" x14ac:dyDescent="0.4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4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4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4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4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4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4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4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45">
      <c r="A50" t="s">
        <v>1268</v>
      </c>
    </row>
    <row r="51" spans="1:33" x14ac:dyDescent="0.4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4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4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4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4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4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4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4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4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4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4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4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4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45">
      <c r="A64" t="s">
        <v>1111</v>
      </c>
    </row>
    <row r="65" spans="1:33" x14ac:dyDescent="0.4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4.25" x14ac:dyDescent="0.45"/>
  <sheetData>
    <row r="1" spans="1:31" x14ac:dyDescent="0.45">
      <c r="A1" t="s">
        <v>577</v>
      </c>
    </row>
    <row r="2" spans="1:31" x14ac:dyDescent="0.45">
      <c r="A2" t="s">
        <v>1433</v>
      </c>
    </row>
    <row r="3" spans="1:31" x14ac:dyDescent="0.45">
      <c r="A3" t="s">
        <v>1434</v>
      </c>
    </row>
    <row r="4" spans="1:31" x14ac:dyDescent="0.45">
      <c r="A4" t="s">
        <v>580</v>
      </c>
    </row>
    <row r="5" spans="1:31" x14ac:dyDescent="0.4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45">
      <c r="A6" t="s">
        <v>453</v>
      </c>
    </row>
    <row r="7" spans="1:31" x14ac:dyDescent="0.4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4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4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4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4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4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4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4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4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4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45">
      <c r="A17" t="s">
        <v>474</v>
      </c>
    </row>
    <row r="18" spans="1:31" x14ac:dyDescent="0.4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4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4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4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4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45">
      <c r="A23" t="s">
        <v>484</v>
      </c>
    </row>
    <row r="24" spans="1:31" x14ac:dyDescent="0.4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4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4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4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4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45">
      <c r="A29" t="s">
        <v>494</v>
      </c>
    </row>
    <row r="30" spans="1:31" x14ac:dyDescent="0.4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4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4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4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4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4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4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4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4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45">
      <c r="A39" t="s">
        <v>1514</v>
      </c>
    </row>
    <row r="40" spans="1:32" x14ac:dyDescent="0.4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4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4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4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4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4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4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45">
      <c r="A47" t="s">
        <v>524</v>
      </c>
    </row>
    <row r="48" spans="1:32" x14ac:dyDescent="0.4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4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4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4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4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4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4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4.25" x14ac:dyDescent="0.45"/>
  <cols>
    <col min="1" max="1" width="23.06640625" customWidth="1"/>
    <col min="2" max="2" width="99.1328125" bestFit="1" customWidth="1"/>
  </cols>
  <sheetData>
    <row r="1" spans="1:31" x14ac:dyDescent="0.45">
      <c r="A1" t="s">
        <v>846</v>
      </c>
    </row>
    <row r="2" spans="1:31" x14ac:dyDescent="0.45">
      <c r="A2" t="s">
        <v>1559</v>
      </c>
    </row>
    <row r="3" spans="1:31" x14ac:dyDescent="0.45">
      <c r="A3" t="s">
        <v>1560</v>
      </c>
    </row>
    <row r="4" spans="1:31" x14ac:dyDescent="0.45">
      <c r="A4" t="s">
        <v>580</v>
      </c>
    </row>
    <row r="5" spans="1:31" x14ac:dyDescent="0.4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45">
      <c r="A6" t="s">
        <v>706</v>
      </c>
    </row>
    <row r="7" spans="1:31" x14ac:dyDescent="0.45">
      <c r="A7" t="s">
        <v>849</v>
      </c>
    </row>
    <row r="8" spans="1:31" x14ac:dyDescent="0.45">
      <c r="A8" t="s">
        <v>850</v>
      </c>
    </row>
    <row r="9" spans="1:31" x14ac:dyDescent="0.4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4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4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4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4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4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4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4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45">
      <c r="A17" t="s">
        <v>877</v>
      </c>
    </row>
    <row r="18" spans="1:31" x14ac:dyDescent="0.4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4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4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4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4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4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4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4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4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45">
      <c r="A27" t="s">
        <v>899</v>
      </c>
    </row>
    <row r="28" spans="1:31" x14ac:dyDescent="0.4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4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4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4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4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4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4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4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4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45">
      <c r="A37" t="s">
        <v>921</v>
      </c>
    </row>
    <row r="38" spans="1:31" x14ac:dyDescent="0.4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4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4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4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4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4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4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4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4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4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45">
      <c r="A48" t="s">
        <v>772</v>
      </c>
    </row>
    <row r="49" spans="1:31" x14ac:dyDescent="0.4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4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4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4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4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4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4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45">
      <c r="A56" t="s">
        <v>787</v>
      </c>
    </row>
    <row r="57" spans="1:31" x14ac:dyDescent="0.45">
      <c r="A57" t="s">
        <v>1661</v>
      </c>
    </row>
    <row r="58" spans="1:31" x14ac:dyDescent="0.4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4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4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4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4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45">
      <c r="A63" t="s">
        <v>795</v>
      </c>
    </row>
    <row r="64" spans="1:31" x14ac:dyDescent="0.4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4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4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4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4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45">
      <c r="A69" t="s">
        <v>801</v>
      </c>
    </row>
    <row r="70" spans="1:31" x14ac:dyDescent="0.45">
      <c r="A70" t="s">
        <v>1661</v>
      </c>
    </row>
    <row r="71" spans="1:31" x14ac:dyDescent="0.4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4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4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45">
      <c r="A74" t="s">
        <v>795</v>
      </c>
    </row>
    <row r="75" spans="1:31" x14ac:dyDescent="0.4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4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4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45">
      <c r="A78" t="s">
        <v>989</v>
      </c>
    </row>
    <row r="79" spans="1:31" x14ac:dyDescent="0.4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4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4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4.25" x14ac:dyDescent="0.45"/>
  <sheetData>
    <row r="1" spans="1:31" x14ac:dyDescent="0.45">
      <c r="A1" t="s">
        <v>1153</v>
      </c>
    </row>
    <row r="2" spans="1:31" x14ac:dyDescent="0.45">
      <c r="A2" t="s">
        <v>1697</v>
      </c>
    </row>
    <row r="3" spans="1:31" x14ac:dyDescent="0.45">
      <c r="A3" t="s">
        <v>1698</v>
      </c>
    </row>
    <row r="4" spans="1:31" x14ac:dyDescent="0.45">
      <c r="A4" t="s">
        <v>580</v>
      </c>
    </row>
    <row r="5" spans="1:31" x14ac:dyDescent="0.4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45">
      <c r="A6" t="s">
        <v>616</v>
      </c>
    </row>
    <row r="7" spans="1:31" x14ac:dyDescent="0.4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4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4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4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4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4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4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4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4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4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4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4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4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4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4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4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4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4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4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4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4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4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4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4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4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4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4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4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4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4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4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4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45">
      <c r="A39" t="s">
        <v>1243</v>
      </c>
    </row>
    <row r="40" spans="1:31" x14ac:dyDescent="0.45">
      <c r="A40" t="s">
        <v>1244</v>
      </c>
    </row>
    <row r="41" spans="1:31" x14ac:dyDescent="0.4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4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4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4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4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4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4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45">
      <c r="A48" t="s">
        <v>1268</v>
      </c>
    </row>
    <row r="49" spans="1:31" x14ac:dyDescent="0.4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4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4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4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4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4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4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4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4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4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4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4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4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45">
      <c r="A62" t="s">
        <v>1111</v>
      </c>
    </row>
    <row r="63" spans="1:31" x14ac:dyDescent="0.4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3046875" defaultRowHeight="14.25" x14ac:dyDescent="0.45"/>
  <cols>
    <col min="1" max="2" width="33.06640625" customWidth="1"/>
    <col min="3" max="3" width="5.265625" customWidth="1"/>
    <col min="4" max="4" width="13" bestFit="1" customWidth="1"/>
    <col min="5" max="5" width="12.265625" bestFit="1" customWidth="1"/>
    <col min="6" max="6" width="9.53125" bestFit="1" customWidth="1"/>
    <col min="7" max="7" width="10.59765625" bestFit="1" customWidth="1"/>
    <col min="8" max="26" width="9.53125" bestFit="1" customWidth="1"/>
    <col min="27" max="27" width="12.265625" bestFit="1" customWidth="1"/>
    <col min="28" max="36" width="9.53125" bestFit="1" customWidth="1"/>
  </cols>
  <sheetData>
    <row r="1" spans="1:36" x14ac:dyDescent="0.4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4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4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4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4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45">
      <c r="C6" s="359" t="s">
        <v>1311</v>
      </c>
      <c r="D6" s="358"/>
      <c r="E6" s="358"/>
      <c r="F6" s="358"/>
      <c r="G6" s="358"/>
      <c r="H6" s="358"/>
    </row>
    <row r="7" spans="1:36" x14ac:dyDescent="0.4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4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4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4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4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45">
      <c r="I13" s="357" t="s">
        <v>1316</v>
      </c>
      <c r="J13" s="358"/>
      <c r="K13" s="358"/>
    </row>
    <row r="14" spans="1:36" x14ac:dyDescent="0.4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4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4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4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4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45">
      <c r="C20" s="34"/>
      <c r="D20" s="359" t="s">
        <v>1311</v>
      </c>
      <c r="E20" s="358"/>
      <c r="F20" s="358"/>
      <c r="G20" s="358"/>
      <c r="H20" s="358"/>
      <c r="I20" s="358"/>
    </row>
    <row r="21" spans="1:35" x14ac:dyDescent="0.4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4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4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4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4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4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4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4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4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4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4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4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4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4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4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4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4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4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4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4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4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4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45">
      <c r="A48" s="15" t="s">
        <v>422</v>
      </c>
    </row>
    <row r="49" spans="1:35" x14ac:dyDescent="0.4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4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4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4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4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4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4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4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4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45">
      <c r="A60" s="15" t="s">
        <v>431</v>
      </c>
    </row>
    <row r="61" spans="1:35" x14ac:dyDescent="0.4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4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4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4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45">
      <c r="A66" s="15" t="s">
        <v>432</v>
      </c>
    </row>
    <row r="67" spans="1:36" x14ac:dyDescent="0.4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4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4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4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4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4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4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4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4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4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4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45">
      <c r="A80" s="15" t="s">
        <v>430</v>
      </c>
    </row>
    <row r="81" spans="1:36" x14ac:dyDescent="0.4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4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4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4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4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4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45">
      <c r="A88" s="15" t="s">
        <v>431</v>
      </c>
    </row>
    <row r="89" spans="1:36" x14ac:dyDescent="0.4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4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4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4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4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4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45">
      <c r="A96" s="15" t="s">
        <v>432</v>
      </c>
    </row>
    <row r="97" spans="1:36" x14ac:dyDescent="0.4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4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4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4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4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4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45">
      <c r="A104" s="15" t="s">
        <v>434</v>
      </c>
    </row>
    <row r="105" spans="1:36" x14ac:dyDescent="0.45">
      <c r="A105" t="s">
        <v>1348</v>
      </c>
      <c r="B105" t="s">
        <v>1357</v>
      </c>
      <c r="E105">
        <f>'Subsidies Paid'!H20</f>
        <v>10000000</v>
      </c>
    </row>
    <row r="106" spans="1:36" x14ac:dyDescent="0.4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45">
      <c r="A107" t="s">
        <v>1351</v>
      </c>
      <c r="B107" s="353" t="s">
        <v>1352</v>
      </c>
      <c r="E107">
        <f>5.751*10^6</f>
        <v>5751000</v>
      </c>
      <c r="AA107" s="5"/>
      <c r="AB107" s="5"/>
      <c r="AC107" s="5"/>
      <c r="AD107" s="5"/>
      <c r="AE107" s="5"/>
      <c r="AF107" s="5"/>
      <c r="AG107" s="5"/>
      <c r="AH107" s="5"/>
      <c r="AI107" s="5"/>
      <c r="AJ107" s="5"/>
    </row>
    <row r="108" spans="1:36" x14ac:dyDescent="0.4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4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4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4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4.25" x14ac:dyDescent="0.45"/>
  <cols>
    <col min="1" max="1" width="27.265625" customWidth="1"/>
    <col min="2" max="2" width="12.53125" bestFit="1" customWidth="1"/>
  </cols>
  <sheetData>
    <row r="1" spans="1:2" x14ac:dyDescent="0.45">
      <c r="A1" t="s">
        <v>1358</v>
      </c>
      <c r="B1">
        <v>10</v>
      </c>
    </row>
    <row r="2" spans="1:2" ht="29" customHeight="1" x14ac:dyDescent="0.45">
      <c r="A2" s="35" t="s">
        <v>1359</v>
      </c>
      <c r="B2">
        <v>30</v>
      </c>
    </row>
    <row r="3" spans="1:2" ht="29" customHeight="1" x14ac:dyDescent="0.45">
      <c r="A3" s="35" t="s">
        <v>1360</v>
      </c>
      <c r="B3">
        <v>0.39100000000000001</v>
      </c>
    </row>
    <row r="4" spans="1:2" ht="29" customHeight="1" x14ac:dyDescent="0.45">
      <c r="A4" s="35" t="s">
        <v>1361</v>
      </c>
      <c r="B4">
        <v>0.48799999999999999</v>
      </c>
    </row>
    <row r="5" spans="1:2" x14ac:dyDescent="0.45">
      <c r="A5" s="35" t="s">
        <v>136</v>
      </c>
      <c r="B5">
        <v>0.03</v>
      </c>
    </row>
    <row r="6" spans="1:2" x14ac:dyDescent="0.4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tabSelected="1" workbookViewId="0">
      <selection activeCell="A30" sqref="A30"/>
    </sheetView>
  </sheetViews>
  <sheetFormatPr defaultRowHeight="14.25" x14ac:dyDescent="0.45"/>
  <sheetData>
    <row r="29" spans="1:1" x14ac:dyDescent="0.45">
      <c r="A29" t="s">
        <v>1363</v>
      </c>
    </row>
    <row r="30" spans="1:1" x14ac:dyDescent="0.4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65625" defaultRowHeight="14.25" x14ac:dyDescent="0.45"/>
  <cols>
    <col min="1" max="1" width="26.53125" customWidth="1"/>
  </cols>
  <sheetData>
    <row r="1" spans="1:28"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4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4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4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4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4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4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65625" defaultRowHeight="14.25" x14ac:dyDescent="0.45"/>
  <cols>
    <col min="1" max="1" width="26.53125" customWidth="1"/>
  </cols>
  <sheetData>
    <row r="1" spans="1:30"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7" sqref="H7"/>
    </sheetView>
  </sheetViews>
  <sheetFormatPr defaultColWidth="9.265625" defaultRowHeight="14.25" x14ac:dyDescent="0.45"/>
  <cols>
    <col min="1" max="1" width="32.46484375" customWidth="1"/>
  </cols>
  <sheetData>
    <row r="1" spans="1:28"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4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4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4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4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4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23.620381171332561</v>
      </c>
      <c r="H7">
        <f>'45Y48E Credits'!I119</f>
        <v>23.620381171332561</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45">
      <c r="A8" t="s">
        <v>154</v>
      </c>
      <c r="B8">
        <f>'45Y48E Credits'!C121</f>
        <v>0</v>
      </c>
      <c r="C8">
        <f>'45Y48E Credits'!D121</f>
        <v>0</v>
      </c>
      <c r="D8">
        <f>'45Y48E Credits'!E121</f>
        <v>22.91774335994446</v>
      </c>
      <c r="E8">
        <f>'45Y48E Credits'!F121</f>
        <v>22.913007930703568</v>
      </c>
      <c r="F8">
        <f>'45Y48E Credits'!G121</f>
        <v>22.90913348859738</v>
      </c>
      <c r="G8">
        <f>'45Y48E Credits'!H121</f>
        <v>22.90913348859738</v>
      </c>
      <c r="H8">
        <f>'45Y48E Credits'!I121</f>
        <v>22.90913348859738</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4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4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4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4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4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4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4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4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65625" defaultRowHeight="14.25" x14ac:dyDescent="0.45"/>
  <cols>
    <col min="1" max="1" width="32.46484375" style="464" customWidth="1"/>
    <col min="2" max="16384" width="9.265625" style="464"/>
  </cols>
  <sheetData>
    <row r="1" spans="1:28" x14ac:dyDescent="0.45">
      <c r="A1" s="464" t="s">
        <v>272</v>
      </c>
      <c r="B1" s="464">
        <v>2024</v>
      </c>
      <c r="C1" s="464">
        <v>2025</v>
      </c>
      <c r="D1" s="464">
        <v>2026</v>
      </c>
      <c r="E1" s="464">
        <v>2027</v>
      </c>
      <c r="F1" s="464">
        <v>2028</v>
      </c>
      <c r="G1" s="464">
        <v>2029</v>
      </c>
      <c r="H1" s="464">
        <v>2030</v>
      </c>
      <c r="I1" s="464">
        <v>2031</v>
      </c>
      <c r="J1" s="464">
        <v>2032</v>
      </c>
      <c r="K1" s="464">
        <v>2033</v>
      </c>
      <c r="L1" s="464">
        <v>2034</v>
      </c>
      <c r="M1" s="464">
        <v>2035</v>
      </c>
      <c r="N1" s="464">
        <v>2036</v>
      </c>
      <c r="O1" s="464">
        <v>2037</v>
      </c>
      <c r="P1" s="464">
        <v>2038</v>
      </c>
      <c r="Q1" s="464">
        <v>2039</v>
      </c>
      <c r="R1" s="464">
        <v>2040</v>
      </c>
      <c r="S1" s="464">
        <v>2041</v>
      </c>
      <c r="T1" s="464">
        <v>2042</v>
      </c>
      <c r="U1" s="464">
        <v>2043</v>
      </c>
      <c r="V1" s="464">
        <v>2044</v>
      </c>
      <c r="W1" s="464">
        <v>2045</v>
      </c>
      <c r="X1" s="464">
        <v>2046</v>
      </c>
      <c r="Y1" s="464">
        <v>2047</v>
      </c>
      <c r="Z1" s="464">
        <v>2048</v>
      </c>
      <c r="AA1" s="464">
        <v>2049</v>
      </c>
      <c r="AB1" s="464">
        <v>2050</v>
      </c>
    </row>
    <row r="2" spans="1:28" x14ac:dyDescent="0.45">
      <c r="A2" s="464" t="s">
        <v>1382</v>
      </c>
      <c r="B2" s="464">
        <f>Calculations!G33</f>
        <v>0.31989540904438946</v>
      </c>
      <c r="C2" s="464">
        <f>Calculations!H33</f>
        <v>0.31989540904438946</v>
      </c>
      <c r="D2" s="464">
        <f>Calculations!I33</f>
        <v>0.31989540904438946</v>
      </c>
      <c r="E2" s="464">
        <f>Calculations!J33</f>
        <v>0.31989540904438946</v>
      </c>
      <c r="F2" s="464">
        <f>Calculations!K33</f>
        <v>0.31989540904438946</v>
      </c>
      <c r="G2" s="464">
        <f>Calculations!L33</f>
        <v>0.31989540904438946</v>
      </c>
      <c r="H2" s="464">
        <f>Calculations!M33</f>
        <v>0.31989540904438946</v>
      </c>
      <c r="I2" s="464">
        <f>Calculations!N33</f>
        <v>0.31989540904438946</v>
      </c>
      <c r="J2" s="464">
        <f>Calculations!O33</f>
        <v>0.31989540904438946</v>
      </c>
      <c r="K2" s="464">
        <f>Calculations!P33</f>
        <v>0.31989540904438946</v>
      </c>
      <c r="L2" s="464">
        <f>Calculations!Q33</f>
        <v>0.31989540904438946</v>
      </c>
      <c r="M2" s="464">
        <f>Calculations!R33</f>
        <v>0.31989540904438946</v>
      </c>
      <c r="N2" s="464">
        <f>Calculations!S33</f>
        <v>0.31989540904438946</v>
      </c>
      <c r="O2" s="464">
        <f>Calculations!T33</f>
        <v>0.31989540904438946</v>
      </c>
      <c r="P2" s="464">
        <f>Calculations!U33</f>
        <v>0.31989540904438946</v>
      </c>
      <c r="Q2" s="464">
        <f>Calculations!V33</f>
        <v>0.31989540904438946</v>
      </c>
      <c r="R2" s="464">
        <f>Calculations!W33</f>
        <v>0.31989540904438946</v>
      </c>
      <c r="S2" s="464">
        <f>Calculations!X33</f>
        <v>0.31989540904438946</v>
      </c>
      <c r="T2" s="464">
        <f>Calculations!Y33</f>
        <v>0.31989540904438946</v>
      </c>
      <c r="U2" s="464">
        <f>Calculations!Z33</f>
        <v>0.31989540904438946</v>
      </c>
      <c r="V2" s="464">
        <f>Calculations!AA33</f>
        <v>0.31989540904438946</v>
      </c>
      <c r="W2" s="464">
        <f>Calculations!AB33</f>
        <v>0.31989540904438946</v>
      </c>
      <c r="X2" s="464">
        <f>Calculations!AC33</f>
        <v>0.31989540904438946</v>
      </c>
      <c r="Y2" s="464">
        <f>Calculations!AD33</f>
        <v>0.31989540904438946</v>
      </c>
      <c r="Z2" s="464">
        <f>Calculations!AE33</f>
        <v>0.31989540904438946</v>
      </c>
      <c r="AA2" s="464">
        <f>Calculations!AF33</f>
        <v>0.31989540904438946</v>
      </c>
      <c r="AB2" s="464">
        <f>Calculations!AG33</f>
        <v>0.31989540904438946</v>
      </c>
    </row>
    <row r="3" spans="1:28" x14ac:dyDescent="0.45">
      <c r="A3" s="464" t="s">
        <v>1383</v>
      </c>
      <c r="B3" s="464">
        <v>0</v>
      </c>
      <c r="C3" s="464">
        <v>0</v>
      </c>
      <c r="D3" s="464">
        <v>0</v>
      </c>
      <c r="E3" s="464">
        <v>0</v>
      </c>
      <c r="F3" s="464">
        <v>0</v>
      </c>
      <c r="G3" s="464">
        <v>0</v>
      </c>
      <c r="H3" s="464">
        <v>0</v>
      </c>
      <c r="I3" s="464">
        <v>0</v>
      </c>
      <c r="J3" s="464">
        <v>0</v>
      </c>
      <c r="K3" s="464">
        <v>0</v>
      </c>
      <c r="L3" s="464">
        <v>0</v>
      </c>
      <c r="M3" s="464">
        <v>0</v>
      </c>
      <c r="N3" s="464">
        <v>0</v>
      </c>
      <c r="O3" s="464">
        <v>0</v>
      </c>
      <c r="P3" s="464">
        <v>0</v>
      </c>
      <c r="Q3" s="464">
        <v>0</v>
      </c>
      <c r="R3" s="464">
        <v>0</v>
      </c>
      <c r="S3" s="464">
        <v>0</v>
      </c>
      <c r="T3" s="464">
        <v>0</v>
      </c>
      <c r="U3" s="464">
        <v>0</v>
      </c>
      <c r="V3" s="464">
        <v>0</v>
      </c>
      <c r="W3" s="464">
        <v>0</v>
      </c>
      <c r="X3" s="464">
        <v>0</v>
      </c>
      <c r="Y3" s="464">
        <v>0</v>
      </c>
      <c r="Z3" s="464">
        <v>0</v>
      </c>
      <c r="AA3" s="464">
        <v>0</v>
      </c>
      <c r="AB3" s="464">
        <v>0</v>
      </c>
    </row>
    <row r="4" spans="1:28" x14ac:dyDescent="0.45">
      <c r="A4" s="464" t="s">
        <v>1384</v>
      </c>
      <c r="B4" s="464">
        <v>0</v>
      </c>
      <c r="C4" s="464">
        <v>0</v>
      </c>
      <c r="D4" s="464">
        <v>0</v>
      </c>
      <c r="E4" s="464">
        <v>0</v>
      </c>
      <c r="F4" s="464">
        <v>0</v>
      </c>
      <c r="G4" s="464">
        <v>0</v>
      </c>
      <c r="H4" s="464">
        <v>0</v>
      </c>
      <c r="I4" s="464">
        <v>0</v>
      </c>
      <c r="J4" s="464">
        <v>0</v>
      </c>
      <c r="K4" s="464">
        <v>0</v>
      </c>
      <c r="L4" s="464">
        <v>0</v>
      </c>
      <c r="M4" s="464">
        <v>0</v>
      </c>
      <c r="N4" s="464">
        <v>0</v>
      </c>
      <c r="O4" s="464">
        <v>0</v>
      </c>
      <c r="P4" s="464">
        <v>0</v>
      </c>
      <c r="Q4" s="464">
        <v>0</v>
      </c>
      <c r="R4" s="464">
        <v>0</v>
      </c>
      <c r="S4" s="464">
        <v>0</v>
      </c>
      <c r="T4" s="464">
        <v>0</v>
      </c>
      <c r="U4" s="464">
        <v>0</v>
      </c>
      <c r="V4" s="464">
        <v>0</v>
      </c>
      <c r="W4" s="464">
        <v>0</v>
      </c>
      <c r="X4" s="464">
        <v>0</v>
      </c>
      <c r="Y4" s="464">
        <v>0</v>
      </c>
      <c r="Z4" s="464">
        <v>0</v>
      </c>
      <c r="AA4" s="464">
        <v>0</v>
      </c>
      <c r="AB4" s="464">
        <v>0</v>
      </c>
    </row>
    <row r="5" spans="1:28" x14ac:dyDescent="0.45">
      <c r="A5" s="464" t="s">
        <v>406</v>
      </c>
      <c r="B5" s="464">
        <f>'45Y48E Credits'!C124</f>
        <v>13.306660072408052</v>
      </c>
      <c r="C5" s="464">
        <f>'45Y48E Credits'!D124</f>
        <v>13.306660072408052</v>
      </c>
      <c r="D5" s="464">
        <f>'45Y48E Credits'!E124</f>
        <v>13.306660072408052</v>
      </c>
      <c r="E5" s="464">
        <f>'45Y48E Credits'!F124</f>
        <v>13.306660072408052</v>
      </c>
      <c r="F5" s="464">
        <f>'45Y48E Credits'!G124</f>
        <v>13.306660072408052</v>
      </c>
      <c r="G5" s="464">
        <f>'45Y48E Credits'!H124</f>
        <v>13.306660072408052</v>
      </c>
      <c r="H5" s="464">
        <f>'45Y48E Credits'!I124</f>
        <v>13.306660072408052</v>
      </c>
      <c r="I5" s="464">
        <f>'45Y48E Credits'!J124</f>
        <v>13.306660072408052</v>
      </c>
      <c r="J5" s="464">
        <f>'45Y48E Credits'!K124</f>
        <v>13.306660072408052</v>
      </c>
      <c r="K5" s="464">
        <f>'45Y48E Credits'!L124</f>
        <v>0</v>
      </c>
      <c r="L5" s="464">
        <f>'45Y48E Credits'!M124</f>
        <v>0</v>
      </c>
      <c r="M5" s="464">
        <f>'45Y48E Credits'!N124</f>
        <v>0</v>
      </c>
      <c r="N5" s="464">
        <f>'45Y48E Credits'!O124</f>
        <v>0</v>
      </c>
      <c r="O5" s="464">
        <f>'45Y48E Credits'!P124</f>
        <v>0</v>
      </c>
      <c r="P5" s="464">
        <f>'45Y48E Credits'!Q124</f>
        <v>0</v>
      </c>
      <c r="Q5" s="464">
        <f>'45Y48E Credits'!R124</f>
        <v>0</v>
      </c>
      <c r="R5" s="464">
        <f>'45Y48E Credits'!S124</f>
        <v>0</v>
      </c>
      <c r="S5" s="464">
        <f>'45Y48E Credits'!T124</f>
        <v>0</v>
      </c>
      <c r="T5" s="464">
        <f>'45Y48E Credits'!U124</f>
        <v>0</v>
      </c>
      <c r="U5" s="464">
        <f>'45Y48E Credits'!V124</f>
        <v>0</v>
      </c>
      <c r="V5" s="464">
        <f>'45Y48E Credits'!W124</f>
        <v>0</v>
      </c>
      <c r="W5" s="464">
        <f>'45Y48E Credits'!X124</f>
        <v>0</v>
      </c>
      <c r="X5" s="464">
        <f>'45Y48E Credits'!Y124</f>
        <v>0</v>
      </c>
      <c r="Y5" s="464">
        <f>'45Y48E Credits'!Z124</f>
        <v>0</v>
      </c>
      <c r="Z5" s="464">
        <f>'45Y48E Credits'!AA124</f>
        <v>0</v>
      </c>
      <c r="AA5" s="464">
        <f>'45Y48E Credits'!AB124</f>
        <v>0</v>
      </c>
      <c r="AB5" s="464">
        <f>'45Y48E Credits'!AC124</f>
        <v>0</v>
      </c>
    </row>
    <row r="6" spans="1:28" x14ac:dyDescent="0.45">
      <c r="A6" s="464" t="s">
        <v>405</v>
      </c>
      <c r="B6" s="464">
        <v>0</v>
      </c>
      <c r="C6" s="464">
        <v>0</v>
      </c>
      <c r="D6" s="464">
        <v>0</v>
      </c>
      <c r="E6" s="464">
        <v>0</v>
      </c>
      <c r="F6" s="464">
        <v>0</v>
      </c>
      <c r="G6" s="464">
        <v>0</v>
      </c>
      <c r="H6" s="464">
        <v>0</v>
      </c>
      <c r="I6" s="464">
        <v>0</v>
      </c>
      <c r="J6" s="464">
        <v>0</v>
      </c>
      <c r="K6" s="464">
        <v>0</v>
      </c>
      <c r="L6" s="464">
        <v>0</v>
      </c>
      <c r="M6" s="464">
        <v>0</v>
      </c>
      <c r="N6" s="464">
        <v>0</v>
      </c>
      <c r="O6" s="464">
        <v>0</v>
      </c>
      <c r="P6" s="464">
        <v>0</v>
      </c>
      <c r="Q6" s="464">
        <v>0</v>
      </c>
      <c r="R6" s="464">
        <v>0</v>
      </c>
      <c r="S6" s="464">
        <v>0</v>
      </c>
      <c r="T6" s="464">
        <v>0</v>
      </c>
      <c r="U6" s="464">
        <v>0</v>
      </c>
      <c r="V6" s="464">
        <v>0</v>
      </c>
      <c r="W6" s="464">
        <v>0</v>
      </c>
      <c r="X6" s="464">
        <v>0</v>
      </c>
      <c r="Y6" s="464">
        <v>0</v>
      </c>
      <c r="Z6" s="464">
        <v>0</v>
      </c>
      <c r="AA6" s="464">
        <v>0</v>
      </c>
      <c r="AB6" s="464">
        <v>0</v>
      </c>
    </row>
    <row r="7" spans="1:28" x14ac:dyDescent="0.45">
      <c r="A7" s="464" t="s">
        <v>416</v>
      </c>
      <c r="B7" s="464">
        <v>0</v>
      </c>
      <c r="C7" s="464">
        <v>0</v>
      </c>
      <c r="D7" s="464">
        <v>0</v>
      </c>
      <c r="E7" s="464">
        <v>0</v>
      </c>
      <c r="F7" s="464">
        <v>0</v>
      </c>
      <c r="G7" s="464">
        <v>0</v>
      </c>
      <c r="H7" s="464">
        <v>0</v>
      </c>
      <c r="I7" s="464">
        <v>0</v>
      </c>
      <c r="J7" s="464">
        <v>0</v>
      </c>
      <c r="K7" s="464">
        <v>0</v>
      </c>
      <c r="L7" s="464">
        <v>0</v>
      </c>
      <c r="M7" s="464">
        <v>0</v>
      </c>
      <c r="N7" s="464">
        <v>0</v>
      </c>
      <c r="O7" s="464">
        <v>0</v>
      </c>
      <c r="P7" s="464">
        <v>0</v>
      </c>
      <c r="Q7" s="464">
        <v>0</v>
      </c>
      <c r="R7" s="464">
        <v>0</v>
      </c>
      <c r="S7" s="464">
        <v>0</v>
      </c>
      <c r="T7" s="464">
        <v>0</v>
      </c>
      <c r="U7" s="464">
        <v>0</v>
      </c>
      <c r="V7" s="464">
        <v>0</v>
      </c>
      <c r="W7" s="464">
        <v>0</v>
      </c>
      <c r="X7" s="464">
        <v>0</v>
      </c>
      <c r="Y7" s="464">
        <v>0</v>
      </c>
      <c r="Z7" s="464">
        <v>0</v>
      </c>
      <c r="AA7" s="464">
        <v>0</v>
      </c>
      <c r="AB7" s="464">
        <v>0</v>
      </c>
    </row>
    <row r="8" spans="1:28" x14ac:dyDescent="0.45">
      <c r="A8" s="464" t="s">
        <v>154</v>
      </c>
      <c r="B8" s="464">
        <v>0</v>
      </c>
      <c r="C8" s="464">
        <v>0</v>
      </c>
      <c r="D8" s="464">
        <v>0</v>
      </c>
      <c r="E8" s="464">
        <v>0</v>
      </c>
      <c r="F8" s="464">
        <v>0</v>
      </c>
      <c r="G8" s="464">
        <v>0</v>
      </c>
      <c r="H8" s="464">
        <v>0</v>
      </c>
      <c r="I8" s="464">
        <v>0</v>
      </c>
      <c r="J8" s="464">
        <v>0</v>
      </c>
      <c r="K8" s="464">
        <v>0</v>
      </c>
      <c r="L8" s="464">
        <v>0</v>
      </c>
      <c r="M8" s="464">
        <v>0</v>
      </c>
      <c r="N8" s="464">
        <v>0</v>
      </c>
      <c r="O8" s="464">
        <v>0</v>
      </c>
      <c r="P8" s="464">
        <v>0</v>
      </c>
      <c r="Q8" s="464">
        <v>0</v>
      </c>
      <c r="R8" s="464">
        <v>0</v>
      </c>
      <c r="S8" s="464">
        <v>0</v>
      </c>
      <c r="T8" s="464">
        <v>0</v>
      </c>
      <c r="U8" s="464">
        <v>0</v>
      </c>
      <c r="V8" s="464">
        <v>0</v>
      </c>
      <c r="W8" s="464">
        <v>0</v>
      </c>
      <c r="X8" s="464">
        <v>0</v>
      </c>
      <c r="Y8" s="464">
        <v>0</v>
      </c>
      <c r="Z8" s="464">
        <v>0</v>
      </c>
      <c r="AA8" s="464">
        <v>0</v>
      </c>
      <c r="AB8" s="464">
        <v>0</v>
      </c>
    </row>
    <row r="9" spans="1:28" x14ac:dyDescent="0.45">
      <c r="A9" s="464" t="s">
        <v>155</v>
      </c>
      <c r="B9" s="464">
        <v>0</v>
      </c>
      <c r="C9" s="464">
        <v>0</v>
      </c>
      <c r="D9" s="464">
        <v>0</v>
      </c>
      <c r="E9" s="464">
        <v>0</v>
      </c>
      <c r="F9" s="464">
        <v>0</v>
      </c>
      <c r="G9" s="464">
        <v>0</v>
      </c>
      <c r="H9" s="464">
        <v>0</v>
      </c>
      <c r="I9" s="464">
        <v>0</v>
      </c>
      <c r="J9" s="464">
        <v>0</v>
      </c>
      <c r="K9" s="464">
        <v>0</v>
      </c>
      <c r="L9" s="464">
        <v>0</v>
      </c>
      <c r="M9" s="464">
        <v>0</v>
      </c>
      <c r="N9" s="464">
        <v>0</v>
      </c>
      <c r="O9" s="464">
        <v>0</v>
      </c>
      <c r="P9" s="464">
        <v>0</v>
      </c>
      <c r="Q9" s="464">
        <v>0</v>
      </c>
      <c r="R9" s="464">
        <v>0</v>
      </c>
      <c r="S9" s="464">
        <v>0</v>
      </c>
      <c r="T9" s="464">
        <v>0</v>
      </c>
      <c r="U9" s="464">
        <v>0</v>
      </c>
      <c r="V9" s="464">
        <v>0</v>
      </c>
      <c r="W9" s="464">
        <v>0</v>
      </c>
      <c r="X9" s="464">
        <v>0</v>
      </c>
      <c r="Y9" s="464">
        <v>0</v>
      </c>
      <c r="Z9" s="464">
        <v>0</v>
      </c>
      <c r="AA9" s="464">
        <v>0</v>
      </c>
      <c r="AB9" s="464">
        <v>0</v>
      </c>
    </row>
    <row r="10" spans="1:28" x14ac:dyDescent="0.45">
      <c r="A10" s="464" t="s">
        <v>391</v>
      </c>
      <c r="B10" s="464">
        <v>0</v>
      </c>
      <c r="C10" s="464">
        <v>0</v>
      </c>
      <c r="D10" s="464">
        <v>0</v>
      </c>
      <c r="E10" s="464">
        <v>0</v>
      </c>
      <c r="F10" s="464">
        <v>0</v>
      </c>
      <c r="G10" s="464">
        <v>0</v>
      </c>
      <c r="H10" s="464">
        <v>0</v>
      </c>
      <c r="I10" s="464">
        <v>0</v>
      </c>
      <c r="J10" s="464">
        <v>0</v>
      </c>
      <c r="K10" s="464">
        <v>0</v>
      </c>
      <c r="L10" s="464">
        <v>0</v>
      </c>
      <c r="M10" s="464">
        <v>0</v>
      </c>
      <c r="N10" s="464">
        <v>0</v>
      </c>
      <c r="O10" s="464">
        <v>0</v>
      </c>
      <c r="P10" s="464">
        <v>0</v>
      </c>
      <c r="Q10" s="464">
        <v>0</v>
      </c>
      <c r="R10" s="464">
        <v>0</v>
      </c>
      <c r="S10" s="464">
        <v>0</v>
      </c>
      <c r="T10" s="464">
        <v>0</v>
      </c>
      <c r="U10" s="464">
        <v>0</v>
      </c>
      <c r="V10" s="464">
        <v>0</v>
      </c>
      <c r="W10" s="464">
        <v>0</v>
      </c>
      <c r="X10" s="464">
        <v>0</v>
      </c>
      <c r="Y10" s="464">
        <v>0</v>
      </c>
      <c r="Z10" s="464">
        <v>0</v>
      </c>
      <c r="AA10" s="464">
        <v>0</v>
      </c>
      <c r="AB10" s="464">
        <v>0</v>
      </c>
    </row>
    <row r="11" spans="1:28" x14ac:dyDescent="0.45">
      <c r="A11" s="464" t="s">
        <v>156</v>
      </c>
      <c r="B11" s="464">
        <v>0</v>
      </c>
      <c r="C11" s="464">
        <v>0</v>
      </c>
      <c r="D11" s="464">
        <v>0</v>
      </c>
      <c r="E11" s="464">
        <v>0</v>
      </c>
      <c r="F11" s="464">
        <v>0</v>
      </c>
      <c r="G11" s="464">
        <v>0</v>
      </c>
      <c r="H11" s="464">
        <v>0</v>
      </c>
      <c r="I11" s="464">
        <v>0</v>
      </c>
      <c r="J11" s="464">
        <v>0</v>
      </c>
      <c r="K11" s="464">
        <v>0</v>
      </c>
      <c r="L11" s="464">
        <v>0</v>
      </c>
      <c r="M11" s="464">
        <v>0</v>
      </c>
      <c r="N11" s="464">
        <v>0</v>
      </c>
      <c r="O11" s="464">
        <v>0</v>
      </c>
      <c r="P11" s="464">
        <v>0</v>
      </c>
      <c r="Q11" s="464">
        <v>0</v>
      </c>
      <c r="R11" s="464">
        <v>0</v>
      </c>
      <c r="S11" s="464">
        <v>0</v>
      </c>
      <c r="T11" s="464">
        <v>0</v>
      </c>
      <c r="U11" s="464">
        <v>0</v>
      </c>
      <c r="V11" s="464">
        <v>0</v>
      </c>
      <c r="W11" s="464">
        <v>0</v>
      </c>
      <c r="X11" s="464">
        <v>0</v>
      </c>
      <c r="Y11" s="464">
        <v>0</v>
      </c>
      <c r="Z11" s="464">
        <v>0</v>
      </c>
      <c r="AA11" s="464">
        <v>0</v>
      </c>
      <c r="AB11" s="464">
        <v>0</v>
      </c>
    </row>
    <row r="12" spans="1:28" x14ac:dyDescent="0.45">
      <c r="A12" s="464" t="s">
        <v>1385</v>
      </c>
      <c r="B12" s="464">
        <v>0</v>
      </c>
      <c r="C12" s="464">
        <v>0</v>
      </c>
      <c r="D12" s="464">
        <v>0</v>
      </c>
      <c r="E12" s="464">
        <v>0</v>
      </c>
      <c r="F12" s="464">
        <v>0</v>
      </c>
      <c r="G12" s="464">
        <v>0</v>
      </c>
      <c r="H12" s="464">
        <v>0</v>
      </c>
      <c r="I12" s="464">
        <v>0</v>
      </c>
      <c r="J12" s="464">
        <v>0</v>
      </c>
      <c r="K12" s="464">
        <v>0</v>
      </c>
      <c r="L12" s="464">
        <v>0</v>
      </c>
      <c r="M12" s="464">
        <v>0</v>
      </c>
      <c r="N12" s="464">
        <v>0</v>
      </c>
      <c r="O12" s="464">
        <v>0</v>
      </c>
      <c r="P12" s="464">
        <v>0</v>
      </c>
      <c r="Q12" s="464">
        <v>0</v>
      </c>
      <c r="R12" s="464">
        <v>0</v>
      </c>
      <c r="S12" s="464">
        <v>0</v>
      </c>
      <c r="T12" s="464">
        <v>0</v>
      </c>
      <c r="U12" s="464">
        <v>0</v>
      </c>
      <c r="V12" s="464">
        <v>0</v>
      </c>
      <c r="W12" s="464">
        <v>0</v>
      </c>
      <c r="X12" s="464">
        <v>0</v>
      </c>
      <c r="Y12" s="464">
        <v>0</v>
      </c>
      <c r="Z12" s="464">
        <v>0</v>
      </c>
      <c r="AA12" s="464">
        <v>0</v>
      </c>
      <c r="AB12" s="464">
        <v>0</v>
      </c>
    </row>
    <row r="13" spans="1:28" x14ac:dyDescent="0.45">
      <c r="A13" s="464" t="s">
        <v>1386</v>
      </c>
      <c r="B13" s="464">
        <v>0</v>
      </c>
      <c r="C13" s="464">
        <v>0</v>
      </c>
      <c r="D13" s="464">
        <v>0</v>
      </c>
      <c r="E13" s="464">
        <v>0</v>
      </c>
      <c r="F13" s="464">
        <v>0</v>
      </c>
      <c r="G13" s="464">
        <v>0</v>
      </c>
      <c r="H13" s="464">
        <v>0</v>
      </c>
      <c r="I13" s="464">
        <v>0</v>
      </c>
      <c r="J13" s="464">
        <v>0</v>
      </c>
      <c r="K13" s="464">
        <v>0</v>
      </c>
      <c r="L13" s="464">
        <v>0</v>
      </c>
      <c r="M13" s="464">
        <v>0</v>
      </c>
      <c r="N13" s="464">
        <v>0</v>
      </c>
      <c r="O13" s="464">
        <v>0</v>
      </c>
      <c r="P13" s="464">
        <v>0</v>
      </c>
      <c r="Q13" s="464">
        <v>0</v>
      </c>
      <c r="R13" s="464">
        <v>0</v>
      </c>
      <c r="S13" s="464">
        <v>0</v>
      </c>
      <c r="T13" s="464">
        <v>0</v>
      </c>
      <c r="U13" s="464">
        <v>0</v>
      </c>
      <c r="V13" s="464">
        <v>0</v>
      </c>
      <c r="W13" s="464">
        <v>0</v>
      </c>
      <c r="X13" s="464">
        <v>0</v>
      </c>
      <c r="Y13" s="464">
        <v>0</v>
      </c>
      <c r="Z13" s="464">
        <v>0</v>
      </c>
      <c r="AA13" s="464">
        <v>0</v>
      </c>
      <c r="AB13" s="464">
        <v>0</v>
      </c>
    </row>
    <row r="14" spans="1:28" x14ac:dyDescent="0.45">
      <c r="A14" s="464" t="s">
        <v>1387</v>
      </c>
      <c r="B14" s="464">
        <f>'BS-BSpUEOfEP'!B2</f>
        <v>0.31989540904438946</v>
      </c>
      <c r="C14" s="464">
        <f>'BS-BSpUEOfEP'!C2</f>
        <v>0.31989540904438946</v>
      </c>
      <c r="D14" s="464">
        <f>'BS-BSpUEOfEP'!D2</f>
        <v>0.31989540904438946</v>
      </c>
      <c r="E14" s="464">
        <f>'BS-BSpUEOfEP'!E2</f>
        <v>0.31989540904438946</v>
      </c>
      <c r="F14" s="464">
        <f>'BS-BSpUEOfEP'!F2</f>
        <v>0.31989540904438946</v>
      </c>
      <c r="G14" s="464">
        <f>'BS-BSpUEOfEP'!G2</f>
        <v>0.31989540904438946</v>
      </c>
      <c r="H14" s="464">
        <f>'BS-BSpUEOfEP'!H2</f>
        <v>0.31989540904438946</v>
      </c>
      <c r="I14" s="464">
        <f>'BS-BSpUEOfEP'!I2</f>
        <v>0.31989540904438946</v>
      </c>
      <c r="J14" s="464">
        <f>'BS-BSpUEOfEP'!J2</f>
        <v>0.31989540904438946</v>
      </c>
      <c r="K14" s="464">
        <f>'BS-BSpUEOfEP'!K2</f>
        <v>0.31989540904438946</v>
      </c>
      <c r="L14" s="464">
        <f>'BS-BSpUEOfEP'!L2</f>
        <v>0.31989540904438946</v>
      </c>
      <c r="M14" s="464">
        <f>'BS-BSpUEOfEP'!M2</f>
        <v>0.31989540904438946</v>
      </c>
      <c r="N14" s="464">
        <f>'BS-BSpUEOfEP'!N2</f>
        <v>0.31989540904438946</v>
      </c>
      <c r="O14" s="464">
        <f>'BS-BSpUEOfEP'!O2</f>
        <v>0.31989540904438946</v>
      </c>
      <c r="P14" s="464">
        <f>'BS-BSpUEOfEP'!P2</f>
        <v>0.31989540904438946</v>
      </c>
      <c r="Q14" s="464">
        <f>'BS-BSpUEOfEP'!Q2</f>
        <v>0.31989540904438946</v>
      </c>
      <c r="R14" s="464">
        <f>'BS-BSpUEOfEP'!R2</f>
        <v>0.31989540904438946</v>
      </c>
      <c r="S14" s="464">
        <f>'BS-BSpUEOfEP'!S2</f>
        <v>0.31989540904438946</v>
      </c>
      <c r="T14" s="464">
        <f>'BS-BSpUEOfEP'!T2</f>
        <v>0.31989540904438946</v>
      </c>
      <c r="U14" s="464">
        <f>'BS-BSpUEOfEP'!U2</f>
        <v>0.31989540904438946</v>
      </c>
      <c r="V14" s="464">
        <f>'BS-BSpUEOfEP'!V2</f>
        <v>0.31989540904438946</v>
      </c>
      <c r="W14" s="464">
        <f>'BS-BSpUEOfEP'!W2</f>
        <v>0.31989540904438946</v>
      </c>
      <c r="X14" s="464">
        <f>'BS-BSpUEOfEP'!X2</f>
        <v>0.31989540904438946</v>
      </c>
      <c r="Y14" s="464">
        <f>'BS-BSpUEOfEP'!Y2</f>
        <v>0.31989540904438946</v>
      </c>
      <c r="Z14" s="464">
        <f>'BS-BSpUEOfEP'!Z2</f>
        <v>0.31989540904438946</v>
      </c>
      <c r="AA14" s="464">
        <f>'BS-BSpUEOfEP'!AA2</f>
        <v>0.31989540904438946</v>
      </c>
      <c r="AB14" s="464">
        <f>'BS-BSpUEOfEP'!AB2</f>
        <v>0.31989540904438946</v>
      </c>
    </row>
    <row r="15" spans="1:28" x14ac:dyDescent="0.45">
      <c r="A15" s="464" t="s">
        <v>157</v>
      </c>
      <c r="B15" s="464">
        <v>0</v>
      </c>
      <c r="C15" s="464">
        <v>0</v>
      </c>
      <c r="D15" s="464">
        <v>0</v>
      </c>
      <c r="E15" s="464">
        <v>0</v>
      </c>
      <c r="F15" s="464">
        <v>0</v>
      </c>
      <c r="G15" s="464">
        <v>0</v>
      </c>
      <c r="H15" s="464">
        <v>0</v>
      </c>
      <c r="I15" s="464">
        <v>0</v>
      </c>
      <c r="J15" s="464">
        <v>0</v>
      </c>
      <c r="K15" s="464">
        <v>0</v>
      </c>
      <c r="L15" s="464">
        <v>0</v>
      </c>
      <c r="M15" s="464">
        <v>0</v>
      </c>
      <c r="N15" s="464">
        <v>0</v>
      </c>
      <c r="O15" s="464">
        <v>0</v>
      </c>
      <c r="P15" s="464">
        <v>0</v>
      </c>
      <c r="Q15" s="464">
        <v>0</v>
      </c>
      <c r="R15" s="464">
        <v>0</v>
      </c>
      <c r="S15" s="464">
        <v>0</v>
      </c>
      <c r="T15" s="464">
        <v>0</v>
      </c>
      <c r="U15" s="464">
        <v>0</v>
      </c>
      <c r="V15" s="464">
        <v>0</v>
      </c>
      <c r="W15" s="464">
        <v>0</v>
      </c>
      <c r="X15" s="464">
        <v>0</v>
      </c>
      <c r="Y15" s="464">
        <v>0</v>
      </c>
      <c r="Z15" s="464">
        <v>0</v>
      </c>
      <c r="AA15" s="464">
        <v>0</v>
      </c>
      <c r="AB15" s="464">
        <v>0</v>
      </c>
    </row>
    <row r="16" spans="1:28" x14ac:dyDescent="0.45">
      <c r="A16" s="464" t="s">
        <v>1380</v>
      </c>
      <c r="B16" s="464">
        <v>0</v>
      </c>
      <c r="C16" s="464">
        <v>0</v>
      </c>
      <c r="D16" s="464">
        <v>0</v>
      </c>
      <c r="E16" s="464">
        <v>0</v>
      </c>
      <c r="F16" s="464">
        <v>0</v>
      </c>
      <c r="G16" s="464">
        <v>0</v>
      </c>
      <c r="H16" s="464">
        <v>0</v>
      </c>
      <c r="I16" s="464">
        <v>0</v>
      </c>
      <c r="J16" s="464">
        <v>0</v>
      </c>
      <c r="K16" s="464">
        <v>0</v>
      </c>
      <c r="L16" s="464">
        <v>0</v>
      </c>
      <c r="M16" s="464">
        <v>0</v>
      </c>
      <c r="N16" s="464">
        <v>0</v>
      </c>
      <c r="O16" s="464">
        <v>0</v>
      </c>
      <c r="P16" s="464">
        <v>0</v>
      </c>
      <c r="Q16" s="464">
        <v>0</v>
      </c>
      <c r="R16" s="464">
        <v>0</v>
      </c>
      <c r="S16" s="464">
        <v>0</v>
      </c>
      <c r="T16" s="464">
        <v>0</v>
      </c>
      <c r="U16" s="464">
        <v>0</v>
      </c>
      <c r="V16" s="464">
        <v>0</v>
      </c>
      <c r="W16" s="464">
        <v>0</v>
      </c>
      <c r="X16" s="464">
        <v>0</v>
      </c>
      <c r="Y16" s="464">
        <v>0</v>
      </c>
      <c r="Z16" s="464">
        <v>0</v>
      </c>
      <c r="AA16" s="464">
        <v>0</v>
      </c>
      <c r="AB16" s="464">
        <v>0</v>
      </c>
    </row>
    <row r="17" spans="1:28" x14ac:dyDescent="0.45">
      <c r="A17" s="464" t="s">
        <v>1388</v>
      </c>
      <c r="B17" s="464">
        <v>0</v>
      </c>
      <c r="C17" s="464">
        <v>0</v>
      </c>
      <c r="D17" s="464">
        <v>0</v>
      </c>
      <c r="E17" s="464">
        <v>0</v>
      </c>
      <c r="F17" s="464">
        <v>0</v>
      </c>
      <c r="G17" s="464">
        <v>0</v>
      </c>
      <c r="H17" s="464">
        <v>0</v>
      </c>
      <c r="I17" s="464">
        <v>0</v>
      </c>
      <c r="J17" s="464">
        <v>0</v>
      </c>
      <c r="K17" s="464">
        <v>0</v>
      </c>
      <c r="L17" s="464">
        <v>0</v>
      </c>
      <c r="M17" s="464">
        <v>0</v>
      </c>
      <c r="N17" s="464">
        <v>0</v>
      </c>
      <c r="O17" s="464">
        <v>0</v>
      </c>
      <c r="P17" s="464">
        <v>0</v>
      </c>
      <c r="Q17" s="464">
        <v>0</v>
      </c>
      <c r="R17" s="464">
        <v>0</v>
      </c>
      <c r="S17" s="464">
        <v>0</v>
      </c>
      <c r="T17" s="464">
        <v>0</v>
      </c>
      <c r="U17" s="464">
        <v>0</v>
      </c>
      <c r="V17" s="464">
        <v>0</v>
      </c>
      <c r="W17" s="464">
        <v>0</v>
      </c>
      <c r="X17" s="464">
        <v>0</v>
      </c>
      <c r="Y17" s="464">
        <v>0</v>
      </c>
      <c r="Z17" s="464">
        <v>0</v>
      </c>
      <c r="AA17" s="464">
        <v>0</v>
      </c>
      <c r="AB17" s="464">
        <v>0</v>
      </c>
    </row>
    <row r="18" spans="1:28" x14ac:dyDescent="0.45">
      <c r="A18" s="464" t="s">
        <v>1378</v>
      </c>
      <c r="B18" s="464">
        <v>0</v>
      </c>
      <c r="C18" s="464">
        <v>0</v>
      </c>
      <c r="D18" s="464">
        <v>0</v>
      </c>
      <c r="E18" s="464">
        <v>0</v>
      </c>
      <c r="F18" s="464">
        <v>0</v>
      </c>
      <c r="G18" s="464">
        <v>0</v>
      </c>
      <c r="H18" s="464">
        <v>0</v>
      </c>
      <c r="I18" s="464">
        <v>0</v>
      </c>
      <c r="J18" s="464">
        <v>0</v>
      </c>
      <c r="K18" s="464">
        <v>0</v>
      </c>
      <c r="L18" s="464">
        <v>0</v>
      </c>
      <c r="M18" s="464">
        <v>0</v>
      </c>
      <c r="N18" s="464">
        <v>0</v>
      </c>
      <c r="O18" s="464">
        <v>0</v>
      </c>
      <c r="P18" s="464">
        <v>0</v>
      </c>
      <c r="Q18" s="464">
        <v>0</v>
      </c>
      <c r="R18" s="464">
        <v>0</v>
      </c>
      <c r="S18" s="464">
        <v>0</v>
      </c>
      <c r="T18" s="464">
        <v>0</v>
      </c>
      <c r="U18" s="464">
        <v>0</v>
      </c>
      <c r="V18" s="464">
        <v>0</v>
      </c>
      <c r="W18" s="464">
        <v>0</v>
      </c>
      <c r="X18" s="464">
        <v>0</v>
      </c>
      <c r="Y18" s="464">
        <v>0</v>
      </c>
      <c r="Z18" s="464">
        <v>0</v>
      </c>
      <c r="AA18" s="464">
        <v>0</v>
      </c>
      <c r="AB18" s="464">
        <v>0</v>
      </c>
    </row>
    <row r="19" spans="1:28" x14ac:dyDescent="0.45">
      <c r="A19" s="464" t="s">
        <v>1389</v>
      </c>
      <c r="B19" s="464">
        <v>0</v>
      </c>
      <c r="C19" s="464">
        <v>0</v>
      </c>
      <c r="D19" s="464">
        <v>0</v>
      </c>
      <c r="E19" s="464">
        <v>0</v>
      </c>
      <c r="F19" s="464">
        <v>0</v>
      </c>
      <c r="G19" s="464">
        <v>0</v>
      </c>
      <c r="H19" s="464">
        <v>0</v>
      </c>
      <c r="I19" s="464">
        <v>0</v>
      </c>
      <c r="J19" s="464">
        <v>0</v>
      </c>
      <c r="K19" s="464">
        <v>0</v>
      </c>
      <c r="L19" s="464">
        <v>0</v>
      </c>
      <c r="M19" s="464">
        <v>0</v>
      </c>
      <c r="N19" s="464">
        <v>0</v>
      </c>
      <c r="O19" s="464">
        <v>0</v>
      </c>
      <c r="P19" s="464">
        <v>0</v>
      </c>
      <c r="Q19" s="464">
        <v>0</v>
      </c>
      <c r="R19" s="464">
        <v>0</v>
      </c>
      <c r="S19" s="464">
        <v>0</v>
      </c>
      <c r="T19" s="464">
        <v>0</v>
      </c>
      <c r="U19" s="464">
        <v>0</v>
      </c>
      <c r="V19" s="464">
        <v>0</v>
      </c>
      <c r="W19" s="464">
        <v>0</v>
      </c>
      <c r="X19" s="464">
        <v>0</v>
      </c>
      <c r="Y19" s="464">
        <v>0</v>
      </c>
      <c r="Z19" s="464">
        <v>0</v>
      </c>
      <c r="AA19" s="464">
        <v>0</v>
      </c>
      <c r="AB19" s="464">
        <v>0</v>
      </c>
    </row>
    <row r="20" spans="1:28" x14ac:dyDescent="0.45">
      <c r="A20" s="464" t="s">
        <v>1390</v>
      </c>
      <c r="B20" s="464">
        <v>0</v>
      </c>
      <c r="C20" s="464">
        <v>0</v>
      </c>
      <c r="D20" s="464">
        <v>0</v>
      </c>
      <c r="E20" s="464">
        <v>0</v>
      </c>
      <c r="F20" s="464">
        <v>0</v>
      </c>
      <c r="G20" s="464">
        <v>0</v>
      </c>
      <c r="H20" s="464">
        <v>0</v>
      </c>
      <c r="I20" s="464">
        <v>0</v>
      </c>
      <c r="J20" s="464">
        <v>0</v>
      </c>
      <c r="K20" s="464">
        <v>0</v>
      </c>
      <c r="L20" s="464">
        <v>0</v>
      </c>
      <c r="M20" s="464">
        <v>0</v>
      </c>
      <c r="N20" s="464">
        <v>0</v>
      </c>
      <c r="O20" s="464">
        <v>0</v>
      </c>
      <c r="P20" s="464">
        <v>0</v>
      </c>
      <c r="Q20" s="464">
        <v>0</v>
      </c>
      <c r="R20" s="464">
        <v>0</v>
      </c>
      <c r="S20" s="464">
        <v>0</v>
      </c>
      <c r="T20" s="464">
        <v>0</v>
      </c>
      <c r="U20" s="464">
        <v>0</v>
      </c>
      <c r="V20" s="464">
        <v>0</v>
      </c>
      <c r="W20" s="464">
        <v>0</v>
      </c>
      <c r="X20" s="464">
        <v>0</v>
      </c>
      <c r="Y20" s="464">
        <v>0</v>
      </c>
      <c r="Z20" s="464">
        <v>0</v>
      </c>
      <c r="AA20" s="464">
        <v>0</v>
      </c>
      <c r="AB20" s="464">
        <v>0</v>
      </c>
    </row>
    <row r="21" spans="1:28" x14ac:dyDescent="0.45">
      <c r="A21" s="464" t="s">
        <v>1391</v>
      </c>
      <c r="B21" s="464">
        <v>0</v>
      </c>
      <c r="C21" s="464">
        <v>0</v>
      </c>
      <c r="D21" s="464">
        <v>0</v>
      </c>
      <c r="E21" s="464">
        <v>0</v>
      </c>
      <c r="F21" s="464">
        <v>0</v>
      </c>
      <c r="G21" s="464">
        <v>0</v>
      </c>
      <c r="H21" s="464">
        <v>0</v>
      </c>
      <c r="I21" s="464">
        <v>0</v>
      </c>
      <c r="J21" s="464">
        <v>0</v>
      </c>
      <c r="K21" s="464">
        <v>0</v>
      </c>
      <c r="L21" s="464">
        <v>0</v>
      </c>
      <c r="M21" s="464">
        <v>0</v>
      </c>
      <c r="N21" s="464">
        <v>0</v>
      </c>
      <c r="O21" s="464">
        <v>0</v>
      </c>
      <c r="P21" s="464">
        <v>0</v>
      </c>
      <c r="Q21" s="464">
        <v>0</v>
      </c>
      <c r="R21" s="464">
        <v>0</v>
      </c>
      <c r="S21" s="464">
        <v>0</v>
      </c>
      <c r="T21" s="464">
        <v>0</v>
      </c>
      <c r="U21" s="464">
        <v>0</v>
      </c>
      <c r="V21" s="464">
        <v>0</v>
      </c>
      <c r="W21" s="464">
        <v>0</v>
      </c>
      <c r="X21" s="464">
        <v>0</v>
      </c>
      <c r="Y21" s="464">
        <v>0</v>
      </c>
      <c r="Z21" s="464">
        <v>0</v>
      </c>
      <c r="AA21" s="464">
        <v>0</v>
      </c>
      <c r="AB21" s="464">
        <v>0</v>
      </c>
    </row>
    <row r="22" spans="1:28" x14ac:dyDescent="0.45">
      <c r="A22" s="464" t="s">
        <v>1392</v>
      </c>
      <c r="B22" s="464">
        <v>0</v>
      </c>
      <c r="C22" s="464">
        <v>0</v>
      </c>
      <c r="D22" s="464">
        <v>0</v>
      </c>
      <c r="E22" s="464">
        <v>0</v>
      </c>
      <c r="F22" s="464">
        <v>0</v>
      </c>
      <c r="G22" s="464">
        <v>0</v>
      </c>
      <c r="H22" s="464">
        <v>0</v>
      </c>
      <c r="I22" s="464">
        <v>0</v>
      </c>
      <c r="J22" s="464">
        <v>0</v>
      </c>
      <c r="K22" s="464">
        <v>0</v>
      </c>
      <c r="L22" s="464">
        <v>0</v>
      </c>
      <c r="M22" s="464">
        <v>0</v>
      </c>
      <c r="N22" s="464">
        <v>0</v>
      </c>
      <c r="O22" s="464">
        <v>0</v>
      </c>
      <c r="P22" s="464">
        <v>0</v>
      </c>
      <c r="Q22" s="464">
        <v>0</v>
      </c>
      <c r="R22" s="464">
        <v>0</v>
      </c>
      <c r="S22" s="464">
        <v>0</v>
      </c>
      <c r="T22" s="464">
        <v>0</v>
      </c>
      <c r="U22" s="464">
        <v>0</v>
      </c>
      <c r="V22" s="464">
        <v>0</v>
      </c>
      <c r="W22" s="464">
        <v>0</v>
      </c>
      <c r="X22" s="464">
        <v>0</v>
      </c>
      <c r="Y22" s="464">
        <v>0</v>
      </c>
      <c r="Z22" s="464">
        <v>0</v>
      </c>
      <c r="AA22" s="464">
        <v>0</v>
      </c>
      <c r="AB22" s="464">
        <v>0</v>
      </c>
    </row>
    <row r="23" spans="1:28" x14ac:dyDescent="0.45">
      <c r="A23" s="464" t="s">
        <v>1393</v>
      </c>
      <c r="B23" s="464">
        <v>0</v>
      </c>
      <c r="C23" s="464">
        <v>0</v>
      </c>
      <c r="D23" s="464">
        <v>0</v>
      </c>
      <c r="E23" s="464">
        <v>0</v>
      </c>
      <c r="F23" s="464">
        <v>0</v>
      </c>
      <c r="G23" s="464">
        <v>0</v>
      </c>
      <c r="H23" s="464">
        <v>0</v>
      </c>
      <c r="I23" s="464">
        <v>0</v>
      </c>
      <c r="J23" s="464">
        <v>0</v>
      </c>
      <c r="K23" s="464">
        <v>0</v>
      </c>
      <c r="L23" s="464">
        <v>0</v>
      </c>
      <c r="M23" s="464">
        <v>0</v>
      </c>
      <c r="N23" s="464">
        <v>0</v>
      </c>
      <c r="O23" s="464">
        <v>0</v>
      </c>
      <c r="P23" s="464">
        <v>0</v>
      </c>
      <c r="Q23" s="464">
        <v>0</v>
      </c>
      <c r="R23" s="464">
        <v>0</v>
      </c>
      <c r="S23" s="464">
        <v>0</v>
      </c>
      <c r="T23" s="464">
        <v>0</v>
      </c>
      <c r="U23" s="464">
        <v>0</v>
      </c>
      <c r="V23" s="464">
        <v>0</v>
      </c>
      <c r="W23" s="464">
        <v>0</v>
      </c>
      <c r="X23" s="464">
        <v>0</v>
      </c>
      <c r="Y23" s="464">
        <v>0</v>
      </c>
      <c r="Z23" s="464">
        <v>0</v>
      </c>
      <c r="AA23" s="464">
        <v>0</v>
      </c>
      <c r="AB23" s="464">
        <v>0</v>
      </c>
    </row>
    <row r="24" spans="1:28" x14ac:dyDescent="0.45">
      <c r="A24" s="465" t="s">
        <v>1394</v>
      </c>
      <c r="B24" s="464">
        <v>0</v>
      </c>
      <c r="C24" s="464">
        <v>0</v>
      </c>
      <c r="D24" s="464">
        <v>0</v>
      </c>
      <c r="E24" s="464">
        <v>0</v>
      </c>
      <c r="F24" s="464">
        <v>0</v>
      </c>
      <c r="G24" s="464">
        <v>0</v>
      </c>
      <c r="H24" s="464">
        <v>0</v>
      </c>
      <c r="I24" s="464">
        <v>0</v>
      </c>
      <c r="J24" s="464">
        <v>0</v>
      </c>
      <c r="K24" s="464">
        <v>0</v>
      </c>
      <c r="L24" s="464">
        <v>0</v>
      </c>
      <c r="M24" s="464">
        <v>0</v>
      </c>
      <c r="N24" s="464">
        <v>0</v>
      </c>
      <c r="O24" s="464">
        <v>0</v>
      </c>
      <c r="P24" s="464">
        <v>0</v>
      </c>
      <c r="Q24" s="464">
        <v>0</v>
      </c>
      <c r="R24" s="464">
        <v>0</v>
      </c>
      <c r="S24" s="464">
        <v>0</v>
      </c>
      <c r="T24" s="464">
        <v>0</v>
      </c>
      <c r="U24" s="464">
        <v>0</v>
      </c>
      <c r="V24" s="464">
        <v>0</v>
      </c>
      <c r="W24" s="464">
        <v>0</v>
      </c>
      <c r="X24" s="464">
        <v>0</v>
      </c>
      <c r="Y24" s="464">
        <v>0</v>
      </c>
      <c r="Z24" s="464">
        <v>0</v>
      </c>
      <c r="AA24" s="464">
        <v>0</v>
      </c>
      <c r="AB24" s="464">
        <v>0</v>
      </c>
    </row>
    <row r="25" spans="1:28" x14ac:dyDescent="0.45">
      <c r="A25" s="465" t="s">
        <v>1395</v>
      </c>
      <c r="B25" s="464">
        <v>0</v>
      </c>
      <c r="C25" s="464">
        <v>0</v>
      </c>
      <c r="D25" s="464">
        <v>0</v>
      </c>
      <c r="E25" s="464">
        <v>0</v>
      </c>
      <c r="F25" s="464">
        <v>0</v>
      </c>
      <c r="G25" s="464">
        <v>0</v>
      </c>
      <c r="H25" s="464">
        <v>0</v>
      </c>
      <c r="I25" s="464">
        <v>0</v>
      </c>
      <c r="J25" s="464">
        <v>0</v>
      </c>
      <c r="K25" s="464">
        <v>0</v>
      </c>
      <c r="L25" s="464">
        <v>0</v>
      </c>
      <c r="M25" s="464">
        <v>0</v>
      </c>
      <c r="N25" s="464">
        <v>0</v>
      </c>
      <c r="O25" s="464">
        <v>0</v>
      </c>
      <c r="P25" s="464">
        <v>0</v>
      </c>
      <c r="Q25" s="464">
        <v>0</v>
      </c>
      <c r="R25" s="464">
        <v>0</v>
      </c>
      <c r="S25" s="464">
        <v>0</v>
      </c>
      <c r="T25" s="464">
        <v>0</v>
      </c>
      <c r="U25" s="464">
        <v>0</v>
      </c>
      <c r="V25" s="464">
        <v>0</v>
      </c>
      <c r="W25" s="464">
        <v>0</v>
      </c>
      <c r="X25" s="464">
        <v>0</v>
      </c>
      <c r="Y25" s="464">
        <v>0</v>
      </c>
      <c r="Z25" s="464">
        <v>0</v>
      </c>
      <c r="AA25" s="464">
        <v>0</v>
      </c>
      <c r="AB25" s="464">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heetViews>
  <sheetFormatPr defaultColWidth="8.73046875" defaultRowHeight="14.25" x14ac:dyDescent="0.45"/>
  <cols>
    <col min="1" max="1" width="32.73046875" style="464" customWidth="1"/>
    <col min="2" max="16384" width="8.73046875" style="464"/>
  </cols>
  <sheetData>
    <row r="1" spans="1:28" x14ac:dyDescent="0.45">
      <c r="A1" s="464" t="s">
        <v>1396</v>
      </c>
      <c r="B1" s="464">
        <v>2024</v>
      </c>
      <c r="C1" s="464">
        <v>2025</v>
      </c>
      <c r="D1" s="464">
        <v>2026</v>
      </c>
      <c r="E1" s="464">
        <v>2027</v>
      </c>
      <c r="F1" s="464">
        <v>2028</v>
      </c>
      <c r="G1" s="464">
        <v>2029</v>
      </c>
      <c r="H1" s="464">
        <v>2030</v>
      </c>
      <c r="I1" s="464">
        <v>2031</v>
      </c>
      <c r="J1" s="464">
        <v>2032</v>
      </c>
      <c r="K1" s="464">
        <v>2033</v>
      </c>
      <c r="L1" s="464">
        <v>2034</v>
      </c>
      <c r="M1" s="464">
        <v>2035</v>
      </c>
      <c r="N1" s="464">
        <v>2036</v>
      </c>
      <c r="O1" s="464">
        <v>2037</v>
      </c>
      <c r="P1" s="464">
        <v>2038</v>
      </c>
      <c r="Q1" s="464">
        <v>2039</v>
      </c>
      <c r="R1" s="464">
        <v>2040</v>
      </c>
      <c r="S1" s="464">
        <v>2041</v>
      </c>
      <c r="T1" s="464">
        <v>2042</v>
      </c>
      <c r="U1" s="464">
        <v>2043</v>
      </c>
      <c r="V1" s="464">
        <v>2044</v>
      </c>
      <c r="W1" s="464">
        <v>2045</v>
      </c>
      <c r="X1" s="464">
        <v>2046</v>
      </c>
      <c r="Y1" s="464">
        <v>2047</v>
      </c>
      <c r="Z1" s="464">
        <v>2048</v>
      </c>
      <c r="AA1" s="464">
        <v>2049</v>
      </c>
      <c r="AB1" s="464">
        <v>2050</v>
      </c>
    </row>
    <row r="2" spans="1:28" x14ac:dyDescent="0.45">
      <c r="A2" s="464" t="s">
        <v>1382</v>
      </c>
      <c r="B2" s="464">
        <v>0</v>
      </c>
      <c r="C2" s="464">
        <v>0</v>
      </c>
      <c r="D2" s="464">
        <v>0</v>
      </c>
      <c r="E2" s="464">
        <v>0</v>
      </c>
      <c r="F2" s="464">
        <v>0</v>
      </c>
      <c r="G2" s="464">
        <v>0</v>
      </c>
      <c r="H2" s="464">
        <v>0</v>
      </c>
      <c r="I2" s="464">
        <v>0</v>
      </c>
      <c r="J2" s="464">
        <v>0</v>
      </c>
      <c r="K2" s="464">
        <v>0</v>
      </c>
      <c r="L2" s="464">
        <v>0</v>
      </c>
      <c r="M2" s="464">
        <v>0</v>
      </c>
      <c r="N2" s="464">
        <v>0</v>
      </c>
      <c r="O2" s="464">
        <v>0</v>
      </c>
      <c r="P2" s="464">
        <v>0</v>
      </c>
      <c r="Q2" s="464">
        <v>0</v>
      </c>
      <c r="R2" s="464">
        <v>0</v>
      </c>
      <c r="S2" s="464">
        <v>0</v>
      </c>
      <c r="T2" s="464">
        <v>0</v>
      </c>
      <c r="U2" s="464">
        <v>0</v>
      </c>
      <c r="V2" s="464">
        <v>0</v>
      </c>
      <c r="W2" s="464">
        <v>0</v>
      </c>
      <c r="X2" s="464">
        <v>0</v>
      </c>
      <c r="Y2" s="464">
        <v>0</v>
      </c>
      <c r="Z2" s="464">
        <v>0</v>
      </c>
      <c r="AA2" s="464">
        <v>0</v>
      </c>
      <c r="AB2" s="464">
        <v>0</v>
      </c>
    </row>
    <row r="3" spans="1:28" x14ac:dyDescent="0.45">
      <c r="A3" s="464" t="s">
        <v>1383</v>
      </c>
      <c r="B3" s="464">
        <v>0</v>
      </c>
      <c r="C3" s="464">
        <v>0</v>
      </c>
      <c r="D3" s="464">
        <v>0</v>
      </c>
      <c r="E3" s="464">
        <v>0</v>
      </c>
      <c r="F3" s="464">
        <v>0</v>
      </c>
      <c r="G3" s="464">
        <v>0</v>
      </c>
      <c r="H3" s="464">
        <v>0</v>
      </c>
      <c r="I3" s="464">
        <v>0</v>
      </c>
      <c r="J3" s="464">
        <v>0</v>
      </c>
      <c r="K3" s="464">
        <v>0</v>
      </c>
      <c r="L3" s="464">
        <v>0</v>
      </c>
      <c r="M3" s="464">
        <v>0</v>
      </c>
      <c r="N3" s="464">
        <v>0</v>
      </c>
      <c r="O3" s="464">
        <v>0</v>
      </c>
      <c r="P3" s="464">
        <v>0</v>
      </c>
      <c r="Q3" s="464">
        <v>0</v>
      </c>
      <c r="R3" s="464">
        <v>0</v>
      </c>
      <c r="S3" s="464">
        <v>0</v>
      </c>
      <c r="T3" s="464">
        <v>0</v>
      </c>
      <c r="U3" s="464">
        <v>0</v>
      </c>
      <c r="V3" s="464">
        <v>0</v>
      </c>
      <c r="W3" s="464">
        <v>0</v>
      </c>
      <c r="X3" s="464">
        <v>0</v>
      </c>
      <c r="Y3" s="464">
        <v>0</v>
      </c>
      <c r="Z3" s="464">
        <v>0</v>
      </c>
      <c r="AA3" s="464">
        <v>0</v>
      </c>
      <c r="AB3" s="464">
        <v>0</v>
      </c>
    </row>
    <row r="4" spans="1:28" x14ac:dyDescent="0.45">
      <c r="A4" s="464" t="s">
        <v>1384</v>
      </c>
      <c r="B4" s="464">
        <v>0</v>
      </c>
      <c r="C4" s="464">
        <v>0</v>
      </c>
      <c r="D4" s="464">
        <v>0</v>
      </c>
      <c r="E4" s="464">
        <v>0</v>
      </c>
      <c r="F4" s="464">
        <v>0</v>
      </c>
      <c r="G4" s="464">
        <v>0</v>
      </c>
      <c r="H4" s="464">
        <v>0</v>
      </c>
      <c r="I4" s="464">
        <v>0</v>
      </c>
      <c r="J4" s="464">
        <v>0</v>
      </c>
      <c r="K4" s="464">
        <v>0</v>
      </c>
      <c r="L4" s="464">
        <v>0</v>
      </c>
      <c r="M4" s="464">
        <v>0</v>
      </c>
      <c r="N4" s="464">
        <v>0</v>
      </c>
      <c r="O4" s="464">
        <v>0</v>
      </c>
      <c r="P4" s="464">
        <v>0</v>
      </c>
      <c r="Q4" s="464">
        <v>0</v>
      </c>
      <c r="R4" s="464">
        <v>0</v>
      </c>
      <c r="S4" s="464">
        <v>0</v>
      </c>
      <c r="T4" s="464">
        <v>0</v>
      </c>
      <c r="U4" s="464">
        <v>0</v>
      </c>
      <c r="V4" s="464">
        <v>0</v>
      </c>
      <c r="W4" s="464">
        <v>0</v>
      </c>
      <c r="X4" s="464">
        <v>0</v>
      </c>
      <c r="Y4" s="464">
        <v>0</v>
      </c>
      <c r="Z4" s="464">
        <v>0</v>
      </c>
      <c r="AA4" s="464">
        <v>0</v>
      </c>
      <c r="AB4" s="464">
        <v>0</v>
      </c>
    </row>
    <row r="5" spans="1:28" x14ac:dyDescent="0.45">
      <c r="A5" s="464" t="s">
        <v>406</v>
      </c>
      <c r="B5" s="464">
        <f>'45Y48E Credits'!C154</f>
        <v>0.41625000000000001</v>
      </c>
      <c r="C5" s="464">
        <f>'45Y48E Credits'!D154</f>
        <v>0.41625000000000001</v>
      </c>
      <c r="D5" s="464">
        <f>'45Y48E Credits'!E154</f>
        <v>0.41625000000000001</v>
      </c>
      <c r="E5" s="464">
        <f>'45Y48E Credits'!F154</f>
        <v>0.41625000000000001</v>
      </c>
      <c r="F5" s="464">
        <f>'45Y48E Credits'!G154</f>
        <v>0.41625000000000001</v>
      </c>
      <c r="G5" s="464">
        <f>'45Y48E Credits'!H154</f>
        <v>0.41625000000000001</v>
      </c>
      <c r="H5" s="464">
        <f>'45Y48E Credits'!I154</f>
        <v>0.41625000000000001</v>
      </c>
      <c r="I5" s="464">
        <f>'45Y48E Credits'!J154</f>
        <v>0.41625000000000001</v>
      </c>
      <c r="J5" s="464">
        <f>'45Y48E Credits'!K154</f>
        <v>0.41625000000000001</v>
      </c>
      <c r="K5" s="464">
        <f>'45Y48E Credits'!L154</f>
        <v>0.41625000000000001</v>
      </c>
      <c r="L5" s="464">
        <f>'45Y48E Credits'!M154</f>
        <v>0.41625000000000001</v>
      </c>
      <c r="M5" s="464">
        <f>'45Y48E Credits'!N154</f>
        <v>0.41625000000000001</v>
      </c>
      <c r="N5" s="464">
        <f>'45Y48E Credits'!O154</f>
        <v>0.41625000000000001</v>
      </c>
      <c r="O5" s="464">
        <f>'45Y48E Credits'!P154</f>
        <v>0.41625000000000001</v>
      </c>
      <c r="P5" s="464">
        <f>'45Y48E Credits'!Q154</f>
        <v>0.41625000000000001</v>
      </c>
      <c r="Q5" s="464">
        <f>'45Y48E Credits'!R154</f>
        <v>0.41625000000000001</v>
      </c>
      <c r="R5" s="464">
        <f>'45Y48E Credits'!S154</f>
        <v>0.31218750000000001</v>
      </c>
      <c r="S5" s="464">
        <f>'45Y48E Credits'!T154</f>
        <v>0.208125</v>
      </c>
      <c r="T5" s="464">
        <f>'45Y48E Credits'!U154</f>
        <v>0</v>
      </c>
      <c r="U5" s="464">
        <f>'45Y48E Credits'!V154</f>
        <v>0</v>
      </c>
      <c r="V5" s="464">
        <f>'45Y48E Credits'!W154</f>
        <v>0</v>
      </c>
      <c r="W5" s="464">
        <f>'45Y48E Credits'!X154</f>
        <v>0</v>
      </c>
      <c r="X5" s="464">
        <f>'45Y48E Credits'!Y154</f>
        <v>0</v>
      </c>
      <c r="Y5" s="464">
        <f>'45Y48E Credits'!Z154</f>
        <v>0</v>
      </c>
      <c r="Z5" s="464">
        <f>'45Y48E Credits'!AA154</f>
        <v>0</v>
      </c>
      <c r="AA5" s="464">
        <f>'45Y48E Credits'!AB154</f>
        <v>0</v>
      </c>
      <c r="AB5" s="464">
        <f>'45Y48E Credits'!AC154</f>
        <v>0</v>
      </c>
    </row>
    <row r="6" spans="1:28" x14ac:dyDescent="0.45">
      <c r="A6" s="464" t="s">
        <v>405</v>
      </c>
      <c r="B6" s="464">
        <v>0</v>
      </c>
      <c r="C6" s="464">
        <v>0</v>
      </c>
      <c r="D6" s="464">
        <v>0</v>
      </c>
      <c r="E6" s="464">
        <v>0</v>
      </c>
      <c r="F6" s="464">
        <v>0</v>
      </c>
      <c r="G6" s="464">
        <v>0</v>
      </c>
      <c r="H6" s="464">
        <v>0</v>
      </c>
      <c r="I6" s="464">
        <v>0</v>
      </c>
      <c r="J6" s="464">
        <v>0</v>
      </c>
      <c r="K6" s="464">
        <v>0</v>
      </c>
      <c r="L6" s="464">
        <v>0</v>
      </c>
      <c r="M6" s="464">
        <v>0</v>
      </c>
      <c r="N6" s="464">
        <v>0</v>
      </c>
      <c r="O6" s="464">
        <v>0</v>
      </c>
      <c r="P6" s="464">
        <v>0</v>
      </c>
      <c r="Q6" s="464">
        <v>0</v>
      </c>
      <c r="R6" s="464">
        <v>0</v>
      </c>
      <c r="S6" s="464">
        <v>0</v>
      </c>
      <c r="T6" s="464">
        <v>0</v>
      </c>
      <c r="U6" s="464">
        <v>0</v>
      </c>
      <c r="V6" s="464">
        <v>0</v>
      </c>
      <c r="W6" s="464">
        <v>0</v>
      </c>
      <c r="X6" s="464">
        <v>0</v>
      </c>
      <c r="Y6" s="464">
        <v>0</v>
      </c>
      <c r="Z6" s="464">
        <v>0</v>
      </c>
      <c r="AA6" s="464">
        <v>0</v>
      </c>
      <c r="AB6" s="464">
        <v>0</v>
      </c>
    </row>
    <row r="7" spans="1:28" x14ac:dyDescent="0.45">
      <c r="A7" s="464" t="s">
        <v>416</v>
      </c>
      <c r="B7" s="464">
        <v>0</v>
      </c>
      <c r="C7" s="464">
        <v>0</v>
      </c>
      <c r="D7" s="464">
        <v>0</v>
      </c>
      <c r="E7" s="464">
        <v>0</v>
      </c>
      <c r="F7" s="464">
        <v>0</v>
      </c>
      <c r="G7" s="464">
        <v>0</v>
      </c>
      <c r="H7" s="464">
        <v>0</v>
      </c>
      <c r="I7" s="464">
        <v>0</v>
      </c>
      <c r="J7" s="464">
        <v>0</v>
      </c>
      <c r="K7" s="464">
        <v>0</v>
      </c>
      <c r="L7" s="464">
        <v>0</v>
      </c>
      <c r="M7" s="464">
        <v>0</v>
      </c>
      <c r="N7" s="464">
        <v>0</v>
      </c>
      <c r="O7" s="464">
        <v>0</v>
      </c>
      <c r="P7" s="464">
        <v>0</v>
      </c>
      <c r="Q7" s="464">
        <v>0</v>
      </c>
      <c r="R7" s="464">
        <v>0</v>
      </c>
      <c r="S7" s="464">
        <v>0</v>
      </c>
      <c r="T7" s="464">
        <v>0</v>
      </c>
      <c r="U7" s="464">
        <v>0</v>
      </c>
      <c r="V7" s="464">
        <v>0</v>
      </c>
      <c r="W7" s="464">
        <v>0</v>
      </c>
      <c r="X7" s="464">
        <v>0</v>
      </c>
      <c r="Y7" s="464">
        <v>0</v>
      </c>
      <c r="Z7" s="464">
        <v>0</v>
      </c>
      <c r="AA7" s="464">
        <v>0</v>
      </c>
      <c r="AB7" s="464">
        <v>0</v>
      </c>
    </row>
    <row r="8" spans="1:28" x14ac:dyDescent="0.45">
      <c r="A8" s="464" t="s">
        <v>154</v>
      </c>
      <c r="B8" s="464">
        <f>'45Y48E Credits'!C147</f>
        <v>0.37753261144883488</v>
      </c>
      <c r="C8" s="464">
        <f>'45Y48E Credits'!D147</f>
        <v>0.38487310030395139</v>
      </c>
      <c r="D8" s="464">
        <v>0</v>
      </c>
      <c r="E8" s="464">
        <v>0</v>
      </c>
      <c r="F8" s="464">
        <v>0</v>
      </c>
      <c r="G8" s="464">
        <v>0</v>
      </c>
      <c r="H8" s="464">
        <v>0</v>
      </c>
      <c r="I8" s="464">
        <v>0</v>
      </c>
      <c r="J8" s="464">
        <v>0</v>
      </c>
      <c r="K8" s="464">
        <v>0</v>
      </c>
      <c r="L8" s="464">
        <v>0</v>
      </c>
      <c r="M8" s="464">
        <v>0</v>
      </c>
      <c r="N8" s="464">
        <v>0</v>
      </c>
      <c r="O8" s="464">
        <v>0</v>
      </c>
      <c r="P8" s="464">
        <v>0</v>
      </c>
      <c r="Q8" s="464">
        <v>0</v>
      </c>
      <c r="R8" s="464">
        <v>0</v>
      </c>
      <c r="S8" s="464">
        <v>0</v>
      </c>
      <c r="T8" s="464">
        <v>0</v>
      </c>
      <c r="U8" s="464">
        <v>0</v>
      </c>
      <c r="V8" s="464">
        <v>0</v>
      </c>
      <c r="W8" s="464">
        <v>0</v>
      </c>
      <c r="X8" s="464">
        <v>0</v>
      </c>
      <c r="Y8" s="464">
        <v>0</v>
      </c>
      <c r="Z8" s="464">
        <v>0</v>
      </c>
      <c r="AA8" s="464">
        <v>0</v>
      </c>
      <c r="AB8" s="464">
        <v>0</v>
      </c>
    </row>
    <row r="9" spans="1:28" x14ac:dyDescent="0.45">
      <c r="A9" s="464" t="s">
        <v>155</v>
      </c>
      <c r="B9" s="464">
        <f>'45Y48E Credits'!C150</f>
        <v>0.41625000000000001</v>
      </c>
      <c r="C9" s="464">
        <f>'45Y48E Credits'!D150</f>
        <v>0.41625000000000001</v>
      </c>
      <c r="D9" s="464">
        <f>'45Y48E Credits'!E150</f>
        <v>0.41625000000000001</v>
      </c>
      <c r="E9" s="464">
        <f>'45Y48E Credits'!F150</f>
        <v>0.41625000000000001</v>
      </c>
      <c r="F9" s="464">
        <f>'45Y48E Credits'!G150</f>
        <v>0.41625000000000001</v>
      </c>
      <c r="G9" s="464">
        <f>'45Y48E Credits'!H150</f>
        <v>0.41625000000000001</v>
      </c>
      <c r="H9" s="464">
        <f>'45Y48E Credits'!I150</f>
        <v>0.41625000000000001</v>
      </c>
      <c r="I9" s="464">
        <f>'45Y48E Credits'!J150</f>
        <v>0</v>
      </c>
      <c r="J9" s="464">
        <f>'45Y48E Credits'!K150</f>
        <v>0</v>
      </c>
      <c r="K9" s="464">
        <f>'45Y48E Credits'!L150</f>
        <v>0</v>
      </c>
      <c r="L9" s="464">
        <f>'45Y48E Credits'!M150</f>
        <v>0</v>
      </c>
      <c r="M9" s="464">
        <f>'45Y48E Credits'!N150</f>
        <v>0</v>
      </c>
      <c r="N9" s="464">
        <f>'45Y48E Credits'!O150</f>
        <v>0</v>
      </c>
      <c r="O9" s="464">
        <f>'45Y48E Credits'!P150</f>
        <v>0</v>
      </c>
      <c r="P9" s="464">
        <f>'45Y48E Credits'!Q150</f>
        <v>0</v>
      </c>
      <c r="Q9" s="464">
        <f>'45Y48E Credits'!R150</f>
        <v>0</v>
      </c>
      <c r="R9" s="464">
        <f>'45Y48E Credits'!S150</f>
        <v>0</v>
      </c>
      <c r="S9" s="464">
        <f>'45Y48E Credits'!T150</f>
        <v>0</v>
      </c>
      <c r="T9" s="464">
        <f>'45Y48E Credits'!U150</f>
        <v>0</v>
      </c>
      <c r="U9" s="464">
        <f>'45Y48E Credits'!V150</f>
        <v>0</v>
      </c>
      <c r="V9" s="464">
        <f>'45Y48E Credits'!W150</f>
        <v>0</v>
      </c>
      <c r="W9" s="464">
        <f>'45Y48E Credits'!X150</f>
        <v>0</v>
      </c>
      <c r="X9" s="464">
        <f>'45Y48E Credits'!Y150</f>
        <v>0</v>
      </c>
      <c r="Y9" s="464">
        <f>'45Y48E Credits'!Z150</f>
        <v>0</v>
      </c>
      <c r="Z9" s="464">
        <f>'45Y48E Credits'!AA150</f>
        <v>0</v>
      </c>
      <c r="AA9" s="464">
        <f>'45Y48E Credits'!AB150</f>
        <v>0</v>
      </c>
      <c r="AB9" s="464">
        <f>'45Y48E Credits'!AC150</f>
        <v>0</v>
      </c>
    </row>
    <row r="10" spans="1:28" x14ac:dyDescent="0.45">
      <c r="A10" s="464" t="s">
        <v>391</v>
      </c>
      <c r="B10" s="464">
        <v>0</v>
      </c>
      <c r="C10" s="464">
        <v>0</v>
      </c>
      <c r="D10" s="464">
        <v>0</v>
      </c>
      <c r="E10" s="464">
        <v>0</v>
      </c>
      <c r="F10" s="464">
        <v>0</v>
      </c>
      <c r="G10" s="464">
        <v>0</v>
      </c>
      <c r="H10" s="464">
        <v>0</v>
      </c>
      <c r="I10" s="464">
        <v>0</v>
      </c>
      <c r="J10" s="464">
        <v>0</v>
      </c>
      <c r="K10" s="464">
        <v>0</v>
      </c>
      <c r="L10" s="464">
        <v>0</v>
      </c>
      <c r="M10" s="464">
        <v>0</v>
      </c>
      <c r="N10" s="464">
        <v>0</v>
      </c>
      <c r="O10" s="464">
        <v>0</v>
      </c>
      <c r="P10" s="464">
        <v>0</v>
      </c>
      <c r="Q10" s="464">
        <v>0</v>
      </c>
      <c r="R10" s="464">
        <v>0</v>
      </c>
      <c r="S10" s="464">
        <v>0</v>
      </c>
      <c r="T10" s="464">
        <v>0</v>
      </c>
      <c r="U10" s="464">
        <v>0</v>
      </c>
      <c r="V10" s="464">
        <v>0</v>
      </c>
      <c r="W10" s="464">
        <v>0</v>
      </c>
      <c r="X10" s="464">
        <v>0</v>
      </c>
      <c r="Y10" s="464">
        <v>0</v>
      </c>
      <c r="Z10" s="464">
        <v>0</v>
      </c>
      <c r="AA10" s="464">
        <v>0</v>
      </c>
      <c r="AB10" s="464">
        <v>0</v>
      </c>
    </row>
    <row r="11" spans="1:28" x14ac:dyDescent="0.45">
      <c r="A11" s="464" t="s">
        <v>156</v>
      </c>
      <c r="B11" s="464">
        <f>'45Y48E Credits'!C153</f>
        <v>0.41625000000000001</v>
      </c>
      <c r="C11" s="464">
        <f>'45Y48E Credits'!D153</f>
        <v>0.41625000000000001</v>
      </c>
      <c r="D11" s="464">
        <f>'45Y48E Credits'!E153</f>
        <v>0.41625000000000001</v>
      </c>
      <c r="E11" s="464">
        <f>'45Y48E Credits'!F153</f>
        <v>0.41625000000000001</v>
      </c>
      <c r="F11" s="464">
        <f>'45Y48E Credits'!G153</f>
        <v>0.41625000000000001</v>
      </c>
      <c r="G11" s="464">
        <f>'45Y48E Credits'!H153</f>
        <v>0.41625000000000001</v>
      </c>
      <c r="H11" s="464">
        <f>'45Y48E Credits'!I153</f>
        <v>0.41625000000000001</v>
      </c>
      <c r="I11" s="464">
        <f>'45Y48E Credits'!J153</f>
        <v>0.41625000000000001</v>
      </c>
      <c r="J11" s="464">
        <f>'45Y48E Credits'!K153</f>
        <v>0.41625000000000001</v>
      </c>
      <c r="K11" s="464">
        <f>'45Y48E Credits'!L153</f>
        <v>0.41625000000000001</v>
      </c>
      <c r="L11" s="464">
        <f>'45Y48E Credits'!M153</f>
        <v>0.41625000000000001</v>
      </c>
      <c r="M11" s="464">
        <f>'45Y48E Credits'!N153</f>
        <v>0.41625000000000001</v>
      </c>
      <c r="N11" s="464">
        <f>'45Y48E Credits'!O153</f>
        <v>0.31218750000000001</v>
      </c>
      <c r="O11" s="464">
        <f>'45Y48E Credits'!P153</f>
        <v>0.208125</v>
      </c>
      <c r="P11" s="464">
        <f>'45Y48E Credits'!Q153</f>
        <v>0</v>
      </c>
      <c r="Q11" s="464">
        <f>'45Y48E Credits'!R153</f>
        <v>0</v>
      </c>
      <c r="R11" s="464">
        <f>'45Y48E Credits'!S153</f>
        <v>0</v>
      </c>
      <c r="S11" s="464">
        <f>'45Y48E Credits'!T153</f>
        <v>0</v>
      </c>
      <c r="T11" s="464">
        <f>'45Y48E Credits'!U153</f>
        <v>0</v>
      </c>
      <c r="U11" s="464">
        <f>'45Y48E Credits'!V153</f>
        <v>0</v>
      </c>
      <c r="V11" s="464">
        <f>'45Y48E Credits'!W153</f>
        <v>0</v>
      </c>
      <c r="W11" s="464">
        <f>'45Y48E Credits'!X153</f>
        <v>0</v>
      </c>
      <c r="X11" s="464">
        <f>'45Y48E Credits'!Y153</f>
        <v>0</v>
      </c>
      <c r="Y11" s="464">
        <f>'45Y48E Credits'!Z153</f>
        <v>0</v>
      </c>
      <c r="Z11" s="464">
        <f>'45Y48E Credits'!AA153</f>
        <v>0</v>
      </c>
      <c r="AA11" s="464">
        <f>'45Y48E Credits'!AB153</f>
        <v>0</v>
      </c>
      <c r="AB11" s="464">
        <f>'45Y48E Credits'!AC153</f>
        <v>0</v>
      </c>
    </row>
    <row r="12" spans="1:28" x14ac:dyDescent="0.45">
      <c r="A12" s="464" t="s">
        <v>1385</v>
      </c>
      <c r="B12" s="464">
        <v>0</v>
      </c>
      <c r="C12" s="464">
        <v>0</v>
      </c>
      <c r="D12" s="464">
        <v>0</v>
      </c>
      <c r="E12" s="464">
        <v>0</v>
      </c>
      <c r="F12" s="464">
        <v>0</v>
      </c>
      <c r="G12" s="464">
        <v>0</v>
      </c>
      <c r="H12" s="464">
        <v>0</v>
      </c>
      <c r="I12" s="464">
        <v>0</v>
      </c>
      <c r="J12" s="464">
        <v>0</v>
      </c>
      <c r="K12" s="464">
        <v>0</v>
      </c>
      <c r="L12" s="464">
        <v>0</v>
      </c>
      <c r="M12" s="464">
        <v>0</v>
      </c>
      <c r="N12" s="464">
        <v>0</v>
      </c>
      <c r="O12" s="464">
        <v>0</v>
      </c>
      <c r="P12" s="464">
        <v>0</v>
      </c>
      <c r="Q12" s="464">
        <v>0</v>
      </c>
      <c r="R12" s="464">
        <v>0</v>
      </c>
      <c r="S12" s="464">
        <v>0</v>
      </c>
      <c r="T12" s="464">
        <v>0</v>
      </c>
      <c r="U12" s="464">
        <v>0</v>
      </c>
      <c r="V12" s="464">
        <v>0</v>
      </c>
      <c r="W12" s="464">
        <v>0</v>
      </c>
      <c r="X12" s="464">
        <v>0</v>
      </c>
      <c r="Y12" s="464">
        <v>0</v>
      </c>
      <c r="Z12" s="464">
        <v>0</v>
      </c>
      <c r="AA12" s="464">
        <v>0</v>
      </c>
      <c r="AB12" s="464">
        <v>0</v>
      </c>
    </row>
    <row r="13" spans="1:28" x14ac:dyDescent="0.45">
      <c r="A13" s="464" t="s">
        <v>1386</v>
      </c>
      <c r="B13" s="464">
        <v>0</v>
      </c>
      <c r="C13" s="464">
        <v>0</v>
      </c>
      <c r="D13" s="464">
        <v>0</v>
      </c>
      <c r="E13" s="464">
        <v>0</v>
      </c>
      <c r="F13" s="464">
        <v>0</v>
      </c>
      <c r="G13" s="464">
        <v>0</v>
      </c>
      <c r="H13" s="464">
        <v>0</v>
      </c>
      <c r="I13" s="464">
        <v>0</v>
      </c>
      <c r="J13" s="464">
        <v>0</v>
      </c>
      <c r="K13" s="464">
        <v>0</v>
      </c>
      <c r="L13" s="464">
        <v>0</v>
      </c>
      <c r="M13" s="464">
        <v>0</v>
      </c>
      <c r="N13" s="464">
        <v>0</v>
      </c>
      <c r="O13" s="464">
        <v>0</v>
      </c>
      <c r="P13" s="464">
        <v>0</v>
      </c>
      <c r="Q13" s="464">
        <v>0</v>
      </c>
      <c r="R13" s="464">
        <v>0</v>
      </c>
      <c r="S13" s="464">
        <v>0</v>
      </c>
      <c r="T13" s="464">
        <v>0</v>
      </c>
      <c r="U13" s="464">
        <v>0</v>
      </c>
      <c r="V13" s="464">
        <v>0</v>
      </c>
      <c r="W13" s="464">
        <v>0</v>
      </c>
      <c r="X13" s="464">
        <v>0</v>
      </c>
      <c r="Y13" s="464">
        <v>0</v>
      </c>
      <c r="Z13" s="464">
        <v>0</v>
      </c>
      <c r="AA13" s="464">
        <v>0</v>
      </c>
      <c r="AB13" s="464">
        <v>0</v>
      </c>
    </row>
    <row r="14" spans="1:28" x14ac:dyDescent="0.45">
      <c r="A14" s="464" t="s">
        <v>1387</v>
      </c>
      <c r="B14" s="464">
        <v>0</v>
      </c>
      <c r="C14" s="464">
        <v>0</v>
      </c>
      <c r="D14" s="464">
        <v>0</v>
      </c>
      <c r="E14" s="464">
        <v>0</v>
      </c>
      <c r="F14" s="464">
        <v>0</v>
      </c>
      <c r="G14" s="464">
        <v>0</v>
      </c>
      <c r="H14" s="464">
        <v>0</v>
      </c>
      <c r="I14" s="464">
        <v>0</v>
      </c>
      <c r="J14" s="464">
        <v>0</v>
      </c>
      <c r="K14" s="464">
        <v>0</v>
      </c>
      <c r="L14" s="464">
        <v>0</v>
      </c>
      <c r="M14" s="464">
        <v>0</v>
      </c>
      <c r="N14" s="464">
        <v>0</v>
      </c>
      <c r="O14" s="464">
        <v>0</v>
      </c>
      <c r="P14" s="464">
        <v>0</v>
      </c>
      <c r="Q14" s="464">
        <v>0</v>
      </c>
      <c r="R14" s="464">
        <v>0</v>
      </c>
      <c r="S14" s="464">
        <v>0</v>
      </c>
      <c r="T14" s="464">
        <v>0</v>
      </c>
      <c r="U14" s="464">
        <v>0</v>
      </c>
      <c r="V14" s="464">
        <v>0</v>
      </c>
      <c r="W14" s="464">
        <v>0</v>
      </c>
      <c r="X14" s="464">
        <v>0</v>
      </c>
      <c r="Y14" s="464">
        <v>0</v>
      </c>
      <c r="Z14" s="464">
        <v>0</v>
      </c>
      <c r="AA14" s="464">
        <v>0</v>
      </c>
      <c r="AB14" s="464">
        <v>0</v>
      </c>
    </row>
    <row r="15" spans="1:28" x14ac:dyDescent="0.45">
      <c r="A15" s="464" t="s">
        <v>157</v>
      </c>
      <c r="B15" s="464">
        <f>'45Y48E Credits'!C157</f>
        <v>0.41625000000000001</v>
      </c>
      <c r="C15" s="464">
        <f>'45Y48E Credits'!D157</f>
        <v>0.41625000000000001</v>
      </c>
      <c r="D15" s="464">
        <f>'45Y48E Credits'!E157</f>
        <v>0.41625000000000001</v>
      </c>
      <c r="E15" s="464">
        <f>'45Y48E Credits'!F157</f>
        <v>0.41625000000000001</v>
      </c>
      <c r="F15" s="464">
        <f>'45Y48E Credits'!G157</f>
        <v>0.41625000000000001</v>
      </c>
      <c r="G15" s="464">
        <f>'45Y48E Credits'!H157</f>
        <v>0.41625000000000001</v>
      </c>
      <c r="H15" s="464">
        <f>'45Y48E Credits'!I157</f>
        <v>0.41625000000000001</v>
      </c>
      <c r="I15" s="464">
        <f>'45Y48E Credits'!J157</f>
        <v>0</v>
      </c>
      <c r="J15" s="464">
        <f>'45Y48E Credits'!K157</f>
        <v>0</v>
      </c>
      <c r="K15" s="464">
        <f>'45Y48E Credits'!L157</f>
        <v>0</v>
      </c>
      <c r="L15" s="464">
        <f>'45Y48E Credits'!M157</f>
        <v>0</v>
      </c>
      <c r="M15" s="464">
        <f>'45Y48E Credits'!N157</f>
        <v>0</v>
      </c>
      <c r="N15" s="464">
        <f>'45Y48E Credits'!O157</f>
        <v>0</v>
      </c>
      <c r="O15" s="464">
        <f>'45Y48E Credits'!P157</f>
        <v>0</v>
      </c>
      <c r="P15" s="464">
        <f>'45Y48E Credits'!Q157</f>
        <v>0</v>
      </c>
      <c r="Q15" s="464">
        <f>'45Y48E Credits'!R157</f>
        <v>0</v>
      </c>
      <c r="R15" s="464">
        <f>'45Y48E Credits'!S157</f>
        <v>0</v>
      </c>
      <c r="S15" s="464">
        <f>'45Y48E Credits'!T157</f>
        <v>0</v>
      </c>
      <c r="T15" s="464">
        <f>'45Y48E Credits'!U157</f>
        <v>0</v>
      </c>
      <c r="U15" s="464">
        <f>'45Y48E Credits'!V157</f>
        <v>0</v>
      </c>
      <c r="V15" s="464">
        <f>'45Y48E Credits'!W157</f>
        <v>0</v>
      </c>
      <c r="W15" s="464">
        <f>'45Y48E Credits'!X157</f>
        <v>0</v>
      </c>
      <c r="X15" s="464">
        <f>'45Y48E Credits'!Y157</f>
        <v>0</v>
      </c>
      <c r="Y15" s="464">
        <f>'45Y48E Credits'!Z157</f>
        <v>0</v>
      </c>
      <c r="Z15" s="464">
        <f>'45Y48E Credits'!AA157</f>
        <v>0</v>
      </c>
      <c r="AA15" s="464">
        <f>'45Y48E Credits'!AB157</f>
        <v>0</v>
      </c>
      <c r="AB15" s="464">
        <f>'45Y48E Credits'!AC157</f>
        <v>0</v>
      </c>
    </row>
    <row r="16" spans="1:28" x14ac:dyDescent="0.45">
      <c r="A16" s="464" t="s">
        <v>1380</v>
      </c>
      <c r="B16" s="464">
        <f>B12</f>
        <v>0</v>
      </c>
      <c r="C16" s="464">
        <f>C12</f>
        <v>0</v>
      </c>
      <c r="D16" s="464">
        <v>0</v>
      </c>
      <c r="E16" s="464">
        <v>0</v>
      </c>
      <c r="F16" s="464">
        <v>0</v>
      </c>
      <c r="G16" s="464">
        <v>0</v>
      </c>
      <c r="H16" s="464">
        <v>0</v>
      </c>
      <c r="I16" s="464">
        <v>0</v>
      </c>
      <c r="J16" s="464">
        <v>0</v>
      </c>
      <c r="K16" s="464">
        <v>0</v>
      </c>
      <c r="L16" s="464">
        <v>0</v>
      </c>
      <c r="M16" s="464">
        <v>0</v>
      </c>
      <c r="N16" s="464">
        <v>0</v>
      </c>
      <c r="O16" s="464">
        <v>0</v>
      </c>
      <c r="P16" s="464">
        <v>0</v>
      </c>
      <c r="Q16" s="464">
        <v>0</v>
      </c>
      <c r="R16" s="464">
        <v>0</v>
      </c>
      <c r="S16" s="464">
        <v>0</v>
      </c>
      <c r="T16" s="464">
        <v>0</v>
      </c>
      <c r="U16" s="464">
        <v>0</v>
      </c>
      <c r="V16" s="464">
        <v>0</v>
      </c>
      <c r="W16" s="464">
        <v>0</v>
      </c>
      <c r="X16" s="464">
        <v>0</v>
      </c>
      <c r="Y16" s="464">
        <v>0</v>
      </c>
      <c r="Z16" s="464">
        <v>0</v>
      </c>
      <c r="AA16" s="464">
        <v>0</v>
      </c>
      <c r="AB16" s="464">
        <v>0</v>
      </c>
    </row>
    <row r="17" spans="1:28" x14ac:dyDescent="0.45">
      <c r="A17" s="464" t="s">
        <v>1388</v>
      </c>
      <c r="B17" s="464">
        <f>B12</f>
        <v>0</v>
      </c>
      <c r="C17" s="464">
        <f>C12</f>
        <v>0</v>
      </c>
      <c r="D17" s="464">
        <v>0</v>
      </c>
      <c r="E17" s="464">
        <v>0</v>
      </c>
      <c r="F17" s="464">
        <v>0</v>
      </c>
      <c r="G17" s="464">
        <v>0</v>
      </c>
      <c r="H17" s="464">
        <v>0</v>
      </c>
      <c r="I17" s="464">
        <v>0</v>
      </c>
      <c r="J17" s="464">
        <v>0</v>
      </c>
      <c r="K17" s="464">
        <v>0</v>
      </c>
      <c r="L17" s="464">
        <v>0</v>
      </c>
      <c r="M17" s="464">
        <v>0</v>
      </c>
      <c r="N17" s="464">
        <v>0</v>
      </c>
      <c r="O17" s="464">
        <v>0</v>
      </c>
      <c r="P17" s="464">
        <v>0</v>
      </c>
      <c r="Q17" s="464">
        <v>0</v>
      </c>
      <c r="R17" s="464">
        <v>0</v>
      </c>
      <c r="S17" s="464">
        <v>0</v>
      </c>
      <c r="T17" s="464">
        <v>0</v>
      </c>
      <c r="U17" s="464">
        <v>0</v>
      </c>
      <c r="V17" s="464">
        <v>0</v>
      </c>
      <c r="W17" s="464">
        <v>0</v>
      </c>
      <c r="X17" s="464">
        <v>0</v>
      </c>
      <c r="Y17" s="464">
        <v>0</v>
      </c>
      <c r="Z17" s="464">
        <v>0</v>
      </c>
      <c r="AA17" s="464">
        <v>0</v>
      </c>
      <c r="AB17" s="464">
        <v>0</v>
      </c>
    </row>
    <row r="18" spans="1:28" x14ac:dyDescent="0.45">
      <c r="A18" s="464" t="s">
        <v>1378</v>
      </c>
      <c r="B18" s="464">
        <v>0</v>
      </c>
      <c r="C18" s="464">
        <v>0</v>
      </c>
      <c r="D18" s="464">
        <v>0</v>
      </c>
      <c r="E18" s="464">
        <v>0</v>
      </c>
      <c r="F18" s="464">
        <v>0</v>
      </c>
      <c r="G18" s="464">
        <v>0</v>
      </c>
      <c r="H18" s="464">
        <v>0</v>
      </c>
      <c r="I18" s="464">
        <v>0</v>
      </c>
      <c r="J18" s="464">
        <v>0</v>
      </c>
      <c r="K18" s="464">
        <v>0</v>
      </c>
      <c r="L18" s="464">
        <v>0</v>
      </c>
      <c r="M18" s="464">
        <v>0</v>
      </c>
      <c r="N18" s="464">
        <v>0</v>
      </c>
      <c r="O18" s="464">
        <v>0</v>
      </c>
      <c r="P18" s="464">
        <v>0</v>
      </c>
      <c r="Q18" s="464">
        <v>0</v>
      </c>
      <c r="R18" s="464">
        <v>0</v>
      </c>
      <c r="S18" s="464">
        <v>0</v>
      </c>
      <c r="T18" s="464">
        <v>0</v>
      </c>
      <c r="U18" s="464">
        <v>0</v>
      </c>
      <c r="V18" s="464">
        <v>0</v>
      </c>
      <c r="W18" s="464">
        <v>0</v>
      </c>
      <c r="X18" s="464">
        <v>0</v>
      </c>
      <c r="Y18" s="464">
        <v>0</v>
      </c>
      <c r="Z18" s="464">
        <v>0</v>
      </c>
      <c r="AA18" s="464">
        <v>0</v>
      </c>
      <c r="AB18" s="464">
        <v>0</v>
      </c>
    </row>
    <row r="19" spans="1:28" x14ac:dyDescent="0.45">
      <c r="A19" s="464" t="s">
        <v>1389</v>
      </c>
      <c r="B19" s="464">
        <v>0</v>
      </c>
      <c r="C19" s="464">
        <v>0</v>
      </c>
      <c r="D19" s="464">
        <v>0</v>
      </c>
      <c r="E19" s="464">
        <v>0</v>
      </c>
      <c r="F19" s="464">
        <v>0</v>
      </c>
      <c r="G19" s="464">
        <v>0</v>
      </c>
      <c r="H19" s="464">
        <v>0</v>
      </c>
      <c r="I19" s="464">
        <v>0</v>
      </c>
      <c r="J19" s="464">
        <v>0</v>
      </c>
      <c r="K19" s="464">
        <v>0</v>
      </c>
      <c r="L19" s="464">
        <v>0</v>
      </c>
      <c r="M19" s="464">
        <v>0</v>
      </c>
      <c r="N19" s="464">
        <v>0</v>
      </c>
      <c r="O19" s="464">
        <v>0</v>
      </c>
      <c r="P19" s="464">
        <v>0</v>
      </c>
      <c r="Q19" s="464">
        <v>0</v>
      </c>
      <c r="R19" s="464">
        <v>0</v>
      </c>
      <c r="S19" s="464">
        <v>0</v>
      </c>
      <c r="T19" s="464">
        <v>0</v>
      </c>
      <c r="U19" s="464">
        <v>0</v>
      </c>
      <c r="V19" s="464">
        <v>0</v>
      </c>
      <c r="W19" s="464">
        <v>0</v>
      </c>
      <c r="X19" s="464">
        <v>0</v>
      </c>
      <c r="Y19" s="464">
        <v>0</v>
      </c>
      <c r="Z19" s="464">
        <v>0</v>
      </c>
      <c r="AA19" s="464">
        <v>0</v>
      </c>
      <c r="AB19" s="464">
        <v>0</v>
      </c>
    </row>
    <row r="20" spans="1:28" x14ac:dyDescent="0.45">
      <c r="A20" s="464" t="s">
        <v>1390</v>
      </c>
      <c r="B20" s="464">
        <v>0</v>
      </c>
      <c r="C20" s="464">
        <v>0</v>
      </c>
      <c r="D20" s="464">
        <v>0</v>
      </c>
      <c r="E20" s="464">
        <v>0</v>
      </c>
      <c r="F20" s="464">
        <v>0</v>
      </c>
      <c r="G20" s="464">
        <v>0</v>
      </c>
      <c r="H20" s="464">
        <v>0</v>
      </c>
      <c r="I20" s="464">
        <v>0</v>
      </c>
      <c r="J20" s="464">
        <v>0</v>
      </c>
      <c r="K20" s="464">
        <v>0</v>
      </c>
      <c r="L20" s="464">
        <v>0</v>
      </c>
      <c r="M20" s="464">
        <v>0</v>
      </c>
      <c r="N20" s="464">
        <v>0</v>
      </c>
      <c r="O20" s="464">
        <v>0</v>
      </c>
      <c r="P20" s="464">
        <v>0</v>
      </c>
      <c r="Q20" s="464">
        <v>0</v>
      </c>
      <c r="R20" s="464">
        <v>0</v>
      </c>
      <c r="S20" s="464">
        <v>0</v>
      </c>
      <c r="T20" s="464">
        <v>0</v>
      </c>
      <c r="U20" s="464">
        <v>0</v>
      </c>
      <c r="V20" s="464">
        <v>0</v>
      </c>
      <c r="W20" s="464">
        <v>0</v>
      </c>
      <c r="X20" s="464">
        <v>0</v>
      </c>
      <c r="Y20" s="464">
        <v>0</v>
      </c>
      <c r="Z20" s="464">
        <v>0</v>
      </c>
      <c r="AA20" s="464">
        <v>0</v>
      </c>
      <c r="AB20" s="464">
        <v>0</v>
      </c>
    </row>
    <row r="21" spans="1:28" x14ac:dyDescent="0.45">
      <c r="A21" s="464" t="s">
        <v>1391</v>
      </c>
      <c r="B21" s="464">
        <v>0</v>
      </c>
      <c r="C21" s="464">
        <v>0</v>
      </c>
      <c r="D21" s="464">
        <v>0</v>
      </c>
      <c r="E21" s="464">
        <v>0</v>
      </c>
      <c r="F21" s="464">
        <v>0</v>
      </c>
      <c r="G21" s="464">
        <v>0</v>
      </c>
      <c r="H21" s="464">
        <v>0</v>
      </c>
      <c r="I21" s="464">
        <v>0</v>
      </c>
      <c r="J21" s="464">
        <v>0</v>
      </c>
      <c r="K21" s="464">
        <v>0</v>
      </c>
      <c r="L21" s="464">
        <v>0</v>
      </c>
      <c r="M21" s="464">
        <v>0</v>
      </c>
      <c r="N21" s="464">
        <v>0</v>
      </c>
      <c r="O21" s="464">
        <v>0</v>
      </c>
      <c r="P21" s="464">
        <v>0</v>
      </c>
      <c r="Q21" s="464">
        <v>0</v>
      </c>
      <c r="R21" s="464">
        <v>0</v>
      </c>
      <c r="S21" s="464">
        <v>0</v>
      </c>
      <c r="T21" s="464">
        <v>0</v>
      </c>
      <c r="U21" s="464">
        <v>0</v>
      </c>
      <c r="V21" s="464">
        <v>0</v>
      </c>
      <c r="W21" s="464">
        <v>0</v>
      </c>
      <c r="X21" s="464">
        <v>0</v>
      </c>
      <c r="Y21" s="464">
        <v>0</v>
      </c>
      <c r="Z21" s="464">
        <v>0</v>
      </c>
      <c r="AA21" s="464">
        <v>0</v>
      </c>
      <c r="AB21" s="464">
        <v>0</v>
      </c>
    </row>
    <row r="22" spans="1:28" x14ac:dyDescent="0.45">
      <c r="A22" s="464" t="s">
        <v>1392</v>
      </c>
      <c r="B22" s="464">
        <v>0</v>
      </c>
      <c r="C22" s="464">
        <v>0</v>
      </c>
      <c r="D22" s="464">
        <v>0</v>
      </c>
      <c r="E22" s="464">
        <v>0</v>
      </c>
      <c r="F22" s="464">
        <v>0</v>
      </c>
      <c r="G22" s="464">
        <v>0</v>
      </c>
      <c r="H22" s="464">
        <v>0</v>
      </c>
      <c r="I22" s="464">
        <v>0</v>
      </c>
      <c r="J22" s="464">
        <v>0</v>
      </c>
      <c r="K22" s="464">
        <v>0</v>
      </c>
      <c r="L22" s="464">
        <v>0</v>
      </c>
      <c r="M22" s="464">
        <v>0</v>
      </c>
      <c r="N22" s="464">
        <v>0</v>
      </c>
      <c r="O22" s="464">
        <v>0</v>
      </c>
      <c r="P22" s="464">
        <v>0</v>
      </c>
      <c r="Q22" s="464">
        <v>0</v>
      </c>
      <c r="R22" s="464">
        <v>0</v>
      </c>
      <c r="S22" s="464">
        <v>0</v>
      </c>
      <c r="T22" s="464">
        <v>0</v>
      </c>
      <c r="U22" s="464">
        <v>0</v>
      </c>
      <c r="V22" s="464">
        <v>0</v>
      </c>
      <c r="W22" s="464">
        <v>0</v>
      </c>
      <c r="X22" s="464">
        <v>0</v>
      </c>
      <c r="Y22" s="464">
        <v>0</v>
      </c>
      <c r="Z22" s="464">
        <v>0</v>
      </c>
      <c r="AA22" s="464">
        <v>0</v>
      </c>
      <c r="AB22" s="464">
        <v>0</v>
      </c>
    </row>
    <row r="23" spans="1:28" x14ac:dyDescent="0.45">
      <c r="A23" s="464" t="s">
        <v>1393</v>
      </c>
      <c r="B23" s="464">
        <v>0</v>
      </c>
      <c r="C23" s="464">
        <v>0</v>
      </c>
      <c r="D23" s="464">
        <v>0</v>
      </c>
      <c r="E23" s="464">
        <v>0</v>
      </c>
      <c r="F23" s="464">
        <v>0</v>
      </c>
      <c r="G23" s="464">
        <v>0</v>
      </c>
      <c r="H23" s="464">
        <v>0</v>
      </c>
      <c r="I23" s="464">
        <v>0</v>
      </c>
      <c r="J23" s="464">
        <v>0</v>
      </c>
      <c r="K23" s="464">
        <v>0</v>
      </c>
      <c r="L23" s="464">
        <v>0</v>
      </c>
      <c r="M23" s="464">
        <v>0</v>
      </c>
      <c r="N23" s="464">
        <v>0</v>
      </c>
      <c r="O23" s="464">
        <v>0</v>
      </c>
      <c r="P23" s="464">
        <v>0</v>
      </c>
      <c r="Q23" s="464">
        <v>0</v>
      </c>
      <c r="R23" s="464">
        <v>0</v>
      </c>
      <c r="S23" s="464">
        <v>0</v>
      </c>
      <c r="T23" s="464">
        <v>0</v>
      </c>
      <c r="U23" s="464">
        <v>0</v>
      </c>
      <c r="V23" s="464">
        <v>0</v>
      </c>
      <c r="W23" s="464">
        <v>0</v>
      </c>
      <c r="X23" s="464">
        <v>0</v>
      </c>
      <c r="Y23" s="464">
        <v>0</v>
      </c>
      <c r="Z23" s="464">
        <v>0</v>
      </c>
      <c r="AA23" s="464">
        <v>0</v>
      </c>
      <c r="AB23" s="464">
        <v>0</v>
      </c>
    </row>
    <row r="24" spans="1:28" x14ac:dyDescent="0.45">
      <c r="A24" s="465" t="s">
        <v>1394</v>
      </c>
      <c r="B24" s="464">
        <v>0</v>
      </c>
      <c r="C24" s="464">
        <v>0</v>
      </c>
      <c r="D24" s="464">
        <v>0</v>
      </c>
      <c r="E24" s="464">
        <v>0</v>
      </c>
      <c r="F24" s="464">
        <v>0</v>
      </c>
      <c r="G24" s="464">
        <v>0</v>
      </c>
      <c r="H24" s="464">
        <v>0</v>
      </c>
      <c r="I24" s="464">
        <v>0</v>
      </c>
      <c r="J24" s="464">
        <v>0</v>
      </c>
      <c r="K24" s="464">
        <v>0</v>
      </c>
      <c r="L24" s="464">
        <v>0</v>
      </c>
      <c r="M24" s="464">
        <v>0</v>
      </c>
      <c r="N24" s="464">
        <v>0</v>
      </c>
      <c r="O24" s="464">
        <v>0</v>
      </c>
      <c r="P24" s="464">
        <v>0</v>
      </c>
      <c r="Q24" s="464">
        <v>0</v>
      </c>
      <c r="R24" s="464">
        <v>0</v>
      </c>
      <c r="S24" s="464">
        <v>0</v>
      </c>
      <c r="T24" s="464">
        <v>0</v>
      </c>
      <c r="U24" s="464">
        <v>0</v>
      </c>
      <c r="V24" s="464">
        <v>0</v>
      </c>
      <c r="W24" s="464">
        <v>0</v>
      </c>
      <c r="X24" s="464">
        <v>0</v>
      </c>
      <c r="Y24" s="464">
        <v>0</v>
      </c>
      <c r="Z24" s="464">
        <v>0</v>
      </c>
      <c r="AA24" s="464">
        <v>0</v>
      </c>
      <c r="AB24" s="464">
        <v>0</v>
      </c>
    </row>
    <row r="25" spans="1:28" x14ac:dyDescent="0.45">
      <c r="A25" s="465" t="s">
        <v>1395</v>
      </c>
      <c r="B25" s="464">
        <v>0</v>
      </c>
      <c r="C25" s="464">
        <v>0</v>
      </c>
      <c r="D25" s="464">
        <v>0</v>
      </c>
      <c r="E25" s="464">
        <v>0</v>
      </c>
      <c r="F25" s="464">
        <v>0</v>
      </c>
      <c r="G25" s="464">
        <v>0</v>
      </c>
      <c r="H25" s="464">
        <v>0</v>
      </c>
      <c r="I25" s="464">
        <v>0</v>
      </c>
      <c r="J25" s="464">
        <v>0</v>
      </c>
      <c r="K25" s="464">
        <v>0</v>
      </c>
      <c r="L25" s="464">
        <v>0</v>
      </c>
      <c r="M25" s="464">
        <v>0</v>
      </c>
      <c r="N25" s="464">
        <v>0</v>
      </c>
      <c r="O25" s="464">
        <v>0</v>
      </c>
      <c r="P25" s="464">
        <v>0</v>
      </c>
      <c r="Q25" s="464">
        <v>0</v>
      </c>
      <c r="R25" s="464">
        <v>0</v>
      </c>
      <c r="S25" s="464">
        <v>0</v>
      </c>
      <c r="T25" s="464">
        <v>0</v>
      </c>
      <c r="U25" s="464">
        <v>0</v>
      </c>
      <c r="V25" s="464">
        <v>0</v>
      </c>
      <c r="W25" s="464">
        <v>0</v>
      </c>
      <c r="X25" s="464">
        <v>0</v>
      </c>
      <c r="Y25" s="464">
        <v>0</v>
      </c>
      <c r="Z25" s="464">
        <v>0</v>
      </c>
      <c r="AA25" s="464">
        <v>0</v>
      </c>
      <c r="AB25" s="464">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4.25" x14ac:dyDescent="0.45"/>
  <sheetData>
    <row r="1" spans="1:28" x14ac:dyDescent="0.4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4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4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4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4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4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4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4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4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4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4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4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4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4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4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4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4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4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4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4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4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4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4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4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65625" defaultRowHeight="14.25" x14ac:dyDescent="0.45"/>
  <cols>
    <col min="1" max="1" width="32.46484375" customWidth="1"/>
    <col min="2" max="2" width="87.73046875" customWidth="1"/>
    <col min="13" max="13" width="11.53125" customWidth="1"/>
  </cols>
  <sheetData>
    <row r="1" spans="1:14" x14ac:dyDescent="0.45">
      <c r="A1" t="s">
        <v>1397</v>
      </c>
    </row>
    <row r="2" spans="1:14" x14ac:dyDescent="0.45">
      <c r="A2" s="1" t="s">
        <v>1398</v>
      </c>
    </row>
    <row r="3" spans="1:14" x14ac:dyDescent="0.45">
      <c r="A3" t="s">
        <v>1399</v>
      </c>
    </row>
    <row r="4" spans="1:14" x14ac:dyDescent="0.45">
      <c r="A4" t="s">
        <v>1400</v>
      </c>
    </row>
    <row r="5" spans="1:14" x14ac:dyDescent="0.45">
      <c r="A5" t="s">
        <v>1401</v>
      </c>
    </row>
    <row r="7" spans="1:14" x14ac:dyDescent="0.45">
      <c r="B7" s="1"/>
      <c r="C7" s="1" t="s">
        <v>1402</v>
      </c>
      <c r="D7" s="1"/>
      <c r="E7" s="1"/>
      <c r="F7" s="1"/>
      <c r="G7" s="1"/>
      <c r="H7" s="1" t="s">
        <v>1403</v>
      </c>
      <c r="I7" s="1"/>
      <c r="J7" s="1"/>
      <c r="K7" s="1"/>
      <c r="L7" s="1"/>
      <c r="M7" s="1" t="s">
        <v>613</v>
      </c>
    </row>
    <row r="8" spans="1:14" x14ac:dyDescent="0.4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4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45">
      <c r="A10" s="7" t="s">
        <v>144</v>
      </c>
      <c r="B10" s="7" t="s">
        <v>1409</v>
      </c>
      <c r="C10" s="23">
        <v>0.4</v>
      </c>
      <c r="D10" s="23">
        <v>0.4</v>
      </c>
      <c r="E10" s="23">
        <v>0.4</v>
      </c>
      <c r="F10" s="23">
        <v>0.4</v>
      </c>
      <c r="G10" s="23">
        <v>0.3</v>
      </c>
      <c r="H10" s="23">
        <v>0.1</v>
      </c>
      <c r="I10" s="23">
        <v>0.1</v>
      </c>
      <c r="J10" s="23">
        <v>0.1</v>
      </c>
      <c r="K10" s="23">
        <v>0.1</v>
      </c>
      <c r="L10" s="23">
        <v>0.1</v>
      </c>
      <c r="M10" s="23">
        <v>2.9</v>
      </c>
    </row>
    <row r="11" spans="1:14" x14ac:dyDescent="0.4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4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x14ac:dyDescent="0.4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45">
      <c r="A14" s="7" t="s">
        <v>391</v>
      </c>
      <c r="B14" s="7" t="s">
        <v>1413</v>
      </c>
      <c r="C14" s="23">
        <v>0.3</v>
      </c>
      <c r="D14" s="23">
        <v>0.4</v>
      </c>
      <c r="E14" s="23">
        <v>0.4</v>
      </c>
      <c r="F14" s="23">
        <v>0.4</v>
      </c>
      <c r="G14" s="23">
        <v>0.4</v>
      </c>
      <c r="H14" s="24"/>
      <c r="I14" s="24"/>
      <c r="J14" s="24"/>
      <c r="K14" s="24"/>
      <c r="L14" s="24"/>
      <c r="M14" s="23">
        <v>1.9</v>
      </c>
    </row>
    <row r="15" spans="1:14" x14ac:dyDescent="0.45">
      <c r="A15" s="7" t="s">
        <v>397</v>
      </c>
      <c r="B15" s="7" t="s">
        <v>1414</v>
      </c>
      <c r="C15" s="23">
        <v>0.2</v>
      </c>
      <c r="D15" s="23">
        <v>0.2</v>
      </c>
      <c r="E15" s="23">
        <v>0.2</v>
      </c>
      <c r="F15" s="23">
        <v>0.2</v>
      </c>
      <c r="G15" s="23">
        <v>0.2</v>
      </c>
      <c r="H15" s="23"/>
      <c r="I15" s="23"/>
      <c r="J15" s="23"/>
      <c r="K15" s="23"/>
      <c r="L15" s="23"/>
      <c r="M15" s="23">
        <v>1</v>
      </c>
    </row>
    <row r="16" spans="1:14" x14ac:dyDescent="0.4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4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 customHeight="1" x14ac:dyDescent="0.45">
      <c r="A18" s="7" t="s">
        <v>429</v>
      </c>
      <c r="B18" s="7" t="s">
        <v>1419</v>
      </c>
      <c r="C18" s="23">
        <v>0.9</v>
      </c>
      <c r="D18" s="23">
        <v>0.9</v>
      </c>
      <c r="E18" s="23">
        <v>0.9</v>
      </c>
      <c r="F18" s="23">
        <v>1</v>
      </c>
      <c r="G18" s="23">
        <v>1</v>
      </c>
      <c r="H18" s="23">
        <v>0.2</v>
      </c>
      <c r="I18" s="23">
        <v>0.2</v>
      </c>
      <c r="J18" s="23">
        <v>0.3</v>
      </c>
      <c r="K18" s="23">
        <v>0.3</v>
      </c>
      <c r="L18" s="23">
        <v>0.3</v>
      </c>
      <c r="M18" s="23">
        <v>6</v>
      </c>
    </row>
    <row r="19" spans="1:14" x14ac:dyDescent="0.4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 customHeight="1" x14ac:dyDescent="0.4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 customHeight="1" x14ac:dyDescent="0.4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45">
      <c r="A22" s="7" t="s">
        <v>397</v>
      </c>
      <c r="B22" s="8" t="s">
        <v>401</v>
      </c>
      <c r="C22" s="23">
        <v>0.4</v>
      </c>
      <c r="D22" s="23">
        <v>0.4</v>
      </c>
      <c r="E22" s="23">
        <v>0.4</v>
      </c>
      <c r="F22" s="23">
        <v>0.3</v>
      </c>
      <c r="G22" s="23">
        <v>0.3</v>
      </c>
      <c r="H22" s="23"/>
      <c r="I22" s="23"/>
      <c r="J22" s="23"/>
      <c r="K22" s="23"/>
      <c r="L22" s="23"/>
      <c r="M22" s="23">
        <v>1.8</v>
      </c>
    </row>
    <row r="23" spans="1:14" x14ac:dyDescent="0.45">
      <c r="A23" s="6" t="s">
        <v>1407</v>
      </c>
      <c r="B23" s="6" t="s">
        <v>1422</v>
      </c>
      <c r="C23" s="22">
        <v>0.3</v>
      </c>
      <c r="D23" s="22">
        <v>0.3</v>
      </c>
      <c r="E23" s="22">
        <v>0.3</v>
      </c>
      <c r="F23" s="22">
        <v>0.3</v>
      </c>
      <c r="G23" s="22">
        <v>0.2</v>
      </c>
      <c r="H23" s="25"/>
      <c r="I23" s="25"/>
      <c r="J23" s="25"/>
      <c r="K23" s="25"/>
      <c r="L23" s="25"/>
      <c r="M23" s="22">
        <v>1.4</v>
      </c>
      <c r="N23" t="s">
        <v>1423</v>
      </c>
    </row>
    <row r="24" spans="1:14" x14ac:dyDescent="0.45">
      <c r="A24" s="6" t="s">
        <v>1424</v>
      </c>
      <c r="B24" s="6" t="s">
        <v>1425</v>
      </c>
      <c r="C24" s="22">
        <v>0.2</v>
      </c>
      <c r="D24" s="22">
        <v>0.2</v>
      </c>
      <c r="E24" s="22">
        <v>0.2</v>
      </c>
      <c r="F24" s="22">
        <v>0.1</v>
      </c>
      <c r="G24" s="22">
        <v>0.1</v>
      </c>
      <c r="H24" s="22"/>
      <c r="I24" s="22"/>
      <c r="J24" s="22"/>
      <c r="K24" s="22"/>
      <c r="L24" s="22"/>
      <c r="M24" s="22">
        <v>0.8</v>
      </c>
      <c r="N24" t="s">
        <v>1426</v>
      </c>
    </row>
    <row r="25" spans="1:14" ht="29" customHeight="1" x14ac:dyDescent="0.45">
      <c r="A25" s="7" t="s">
        <v>429</v>
      </c>
      <c r="B25" s="7" t="s">
        <v>432</v>
      </c>
      <c r="C25" s="23"/>
      <c r="D25" s="23"/>
      <c r="E25" s="23"/>
      <c r="F25" s="23"/>
      <c r="G25" s="23"/>
      <c r="H25" s="23">
        <v>1.1000000000000001</v>
      </c>
      <c r="I25" s="23">
        <v>1.1000000000000001</v>
      </c>
      <c r="J25" s="23">
        <v>1.2</v>
      </c>
      <c r="K25" s="23">
        <v>1.2</v>
      </c>
      <c r="L25" s="23">
        <v>1.2</v>
      </c>
      <c r="M25" s="23">
        <v>5.8</v>
      </c>
    </row>
    <row r="26" spans="1:14" x14ac:dyDescent="0.45">
      <c r="A26" s="7" t="s">
        <v>406</v>
      </c>
      <c r="B26" s="7" t="s">
        <v>1427</v>
      </c>
      <c r="C26" s="23">
        <v>0.2</v>
      </c>
      <c r="D26" s="23">
        <v>0.2</v>
      </c>
      <c r="E26" s="23">
        <v>0.2</v>
      </c>
      <c r="F26" s="23">
        <v>0.3</v>
      </c>
      <c r="G26" s="23">
        <v>0.3</v>
      </c>
      <c r="H26" s="23"/>
      <c r="I26" s="23"/>
      <c r="J26" s="23"/>
      <c r="K26" s="23"/>
      <c r="L26" s="23"/>
      <c r="M26" s="23">
        <v>1.2</v>
      </c>
    </row>
    <row r="27" spans="1:14" ht="29" customHeight="1" x14ac:dyDescent="0.45">
      <c r="A27" s="6" t="s">
        <v>429</v>
      </c>
      <c r="B27" s="6" t="s">
        <v>1428</v>
      </c>
      <c r="C27" s="22"/>
      <c r="D27" s="22"/>
      <c r="E27" s="22"/>
      <c r="F27" s="22"/>
      <c r="G27" s="22"/>
      <c r="H27" s="22">
        <v>0.1</v>
      </c>
      <c r="I27" s="22">
        <v>0.1</v>
      </c>
      <c r="J27" s="22">
        <v>0.1</v>
      </c>
      <c r="K27" s="22">
        <v>0.1</v>
      </c>
      <c r="L27" s="22">
        <v>0.1</v>
      </c>
      <c r="M27" s="22">
        <v>0.5</v>
      </c>
      <c r="N27" t="s">
        <v>1429</v>
      </c>
    </row>
    <row r="29" spans="1:14" x14ac:dyDescent="0.45">
      <c r="A29" s="26" t="s">
        <v>1430</v>
      </c>
    </row>
    <row r="30" spans="1:14" x14ac:dyDescent="0.45">
      <c r="A30" t="s">
        <v>1431</v>
      </c>
    </row>
    <row r="31" spans="1:14" x14ac:dyDescent="0.4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2026-05-06T17:44:16Z</dcterms:modified>
</cp:coreProperties>
</file>