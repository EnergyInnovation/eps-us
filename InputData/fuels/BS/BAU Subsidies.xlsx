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fuels\BS\"/>
    </mc:Choice>
  </mc:AlternateContent>
  <xr:revisionPtr revIDLastSave="0" documentId="13_ncr:1_{1F1A1390-DC28-4EBA-A844-5B14AC140A97}" xr6:coauthVersionLast="47" xr6:coauthVersionMax="47" xr10:uidLastSave="{00000000-0000-0000-0000-000000000000}"/>
  <bookViews>
    <workbookView xWindow="-90" yWindow="-90" windowWidth="19380" windowHeight="10260" tabRatio="813" xr2:uid="{00000000-000D-0000-FFFF-FFFF00000000}"/>
  </bookViews>
  <sheets>
    <sheet name="About" sheetId="1" r:id="rId1"/>
    <sheet name="Inflation Reduction Act - Elec" sheetId="24" r:id="rId2"/>
    <sheet name="Hydrogen" sheetId="37" r:id="rId3"/>
    <sheet name="Inflation Reduction Act - Hydgn" sheetId="38" r:id="rId4"/>
    <sheet name="Tax Credits" sheetId="25" r:id="rId5"/>
    <sheet name="Solar - Utility PV" sheetId="27" r:id="rId6"/>
    <sheet name="Land-Based Wind" sheetId="26" r:id="rId7"/>
    <sheet name="Subsidies Paid" sheetId="12" r:id="rId8"/>
    <sheet name="AEO 2022 Table 1" sheetId="3" r:id="rId9"/>
    <sheet name="AEO 2023 Table 1" sheetId="21" r:id="rId10"/>
    <sheet name="AEO 2025 Table 1" sheetId="42" r:id="rId11"/>
    <sheet name="AEO 2022 Table 8" sheetId="9" r:id="rId12"/>
    <sheet name="AEO 2023 Table 8" sheetId="22" r:id="rId13"/>
    <sheet name="AEO 2025 Table 8" sheetId="41" r:id="rId14"/>
    <sheet name="AEO 2022 Table 11" sheetId="6" r:id="rId15"/>
    <sheet name="AEO 2023 Table 11" sheetId="23" r:id="rId16"/>
    <sheet name="AEO 2025 Table 11" sheetId="40" r:id="rId17"/>
    <sheet name="Calculations" sheetId="14" r:id="rId18"/>
    <sheet name="Wind PV Calcs" sheetId="20" r:id="rId19"/>
    <sheet name="Monetizing Tax Credit Penalty" sheetId="17" r:id="rId20"/>
    <sheet name="BS-BSfTFpEUP-transportation" sheetId="32" r:id="rId21"/>
    <sheet name="BS-BSfTFpEUP-electricity" sheetId="30" r:id="rId22"/>
    <sheet name="BS-BSfTFpEUP-res-bldgs" sheetId="33" r:id="rId23"/>
    <sheet name="BS-BSfTFpEUP-com-bldgs" sheetId="34" r:id="rId24"/>
    <sheet name="BS-BSfTFpEUP-industry" sheetId="31" r:id="rId25"/>
    <sheet name="BS-BSfTFpEUP-dist-heat-hydgn" sheetId="35" r:id="rId26"/>
    <sheet name="BS-BSfTFpEUP-geoeng" sheetId="29" r:id="rId27"/>
    <sheet name="BS-BSpUEO" sheetId="19" r:id="rId28"/>
    <sheet name="BS-BSpUEOfEP" sheetId="39" r:id="rId29"/>
    <sheet name="BS-BSpUECB" sheetId="16" r:id="rId30"/>
    <sheet name="BS-DoSpUEO" sheetId="28" r:id="rId31"/>
    <sheet name="JCT Table 1_Notes" sheetId="15" r:id="rId32"/>
  </sheets>
  <externalReferences>
    <externalReference r:id="rId33"/>
    <externalReference r:id="rId34"/>
  </externalReferences>
  <definedNames>
    <definedName name="dollars_2018_to_2012">[1]About!$A$122</definedName>
    <definedName name="dollars_2020_2012">About!$A$82</definedName>
    <definedName name="dollars_2021_2012">[2]About!$A$118</definedName>
    <definedName name="dollars_2022_2012">#REF!</definedName>
    <definedName name="lignite_multiplier">'[2]Hard Coal and Lig Multipliers'!$N$15</definedName>
    <definedName name="nonlignite_multiplier">'[2]Hard Coal and Lig Multipliers'!$N$16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77" i="14" l="1"/>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AE22" i="33" l="1"/>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4"/>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5"/>
  <c r="AD22" i="35"/>
  <c r="AC22" i="35"/>
  <c r="AB22" i="35"/>
  <c r="AA22" i="35"/>
  <c r="Z22" i="35"/>
  <c r="Y22" i="35"/>
  <c r="X22" i="35"/>
  <c r="W22" i="35"/>
  <c r="V22" i="35"/>
  <c r="U22" i="35"/>
  <c r="T22" i="35"/>
  <c r="S22" i="35"/>
  <c r="R22" i="35"/>
  <c r="Q22" i="35"/>
  <c r="P22" i="35"/>
  <c r="O22" i="35"/>
  <c r="N22" i="35"/>
  <c r="M22" i="35"/>
  <c r="L22" i="35"/>
  <c r="K22" i="35"/>
  <c r="J22" i="35"/>
  <c r="I22" i="35"/>
  <c r="H22" i="35"/>
  <c r="G22" i="35"/>
  <c r="F22" i="35"/>
  <c r="E22" i="35"/>
  <c r="D22" i="35"/>
  <c r="C22" i="35"/>
  <c r="B22" i="35"/>
  <c r="B14" i="39"/>
  <c r="C14" i="39"/>
  <c r="D14" i="39"/>
  <c r="B2" i="39"/>
  <c r="C2" i="39"/>
  <c r="D2"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B7" i="37"/>
  <c r="D28" i="37" s="1"/>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C33" i="37"/>
  <c r="V77" i="37" s="1"/>
  <c r="D77" i="37" l="1"/>
  <c r="N77" i="37"/>
  <c r="R77" i="37"/>
  <c r="B77" i="37"/>
  <c r="O77" i="37"/>
  <c r="P77" i="37"/>
  <c r="Q77" i="37"/>
  <c r="S77" i="37"/>
  <c r="T77" i="37"/>
  <c r="C77" i="37"/>
  <c r="Z77" i="37"/>
  <c r="G77" i="37"/>
  <c r="W77" i="37"/>
  <c r="E77" i="37"/>
  <c r="AA77" i="37"/>
  <c r="I77" i="37"/>
  <c r="AC77" i="37"/>
  <c r="U77" i="37"/>
  <c r="F77" i="37"/>
  <c r="J77" i="37"/>
  <c r="AD77" i="37"/>
  <c r="X77" i="37"/>
  <c r="K77" i="37"/>
  <c r="AE77" i="37"/>
  <c r="Y77" i="37"/>
  <c r="H77" i="37"/>
  <c r="AB77" i="37"/>
  <c r="L77" i="37"/>
  <c r="M77" i="37"/>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P81" i="37"/>
  <c r="R81" i="37" s="1"/>
  <c r="R82" i="37" s="1"/>
  <c r="R29" i="38" s="1"/>
  <c r="O81" i="37"/>
  <c r="O82" i="37" s="1"/>
  <c r="O29" i="38" s="1"/>
  <c r="N81" i="37"/>
  <c r="N82" i="37" s="1"/>
  <c r="N29" i="38" s="1"/>
  <c r="M81" i="37"/>
  <c r="M82" i="37" s="1"/>
  <c r="M29" i="38" s="1"/>
  <c r="L81" i="37"/>
  <c r="L82" i="37" s="1"/>
  <c r="L29" i="38" s="1"/>
  <c r="K81" i="37"/>
  <c r="K82" i="37" s="1"/>
  <c r="K29" i="38" s="1"/>
  <c r="J81" i="37"/>
  <c r="J82" i="37" s="1"/>
  <c r="J29" i="38" s="1"/>
  <c r="I81" i="37"/>
  <c r="I82" i="37" s="1"/>
  <c r="I29" i="38" s="1"/>
  <c r="H81" i="37"/>
  <c r="H82" i="37" s="1"/>
  <c r="H29" i="38" s="1"/>
  <c r="G81" i="37"/>
  <c r="G82" i="37" s="1"/>
  <c r="G29" i="38" s="1"/>
  <c r="F81" i="37"/>
  <c r="F82" i="37" s="1"/>
  <c r="F29" i="38" s="1"/>
  <c r="E81" i="37"/>
  <c r="E82" i="37" s="1"/>
  <c r="E29" i="38" s="1"/>
  <c r="D81" i="37"/>
  <c r="D82" i="37" s="1"/>
  <c r="D29" i="38" s="1"/>
  <c r="C81" i="37"/>
  <c r="C82" i="37" s="1"/>
  <c r="C29" i="38" s="1"/>
  <c r="B81" i="37"/>
  <c r="B82" i="37" s="1"/>
  <c r="B29" i="38" s="1"/>
  <c r="L37" i="38" l="1"/>
  <c r="O37" i="38"/>
  <c r="AE37" i="38"/>
  <c r="K37" i="38"/>
  <c r="AD37" i="38"/>
  <c r="J37" i="38"/>
  <c r="AC37" i="38"/>
  <c r="I37" i="38"/>
  <c r="AB37" i="38"/>
  <c r="H37" i="38"/>
  <c r="AA37" i="38"/>
  <c r="G37" i="38"/>
  <c r="Z37" i="38"/>
  <c r="F37" i="38"/>
  <c r="Y37" i="38"/>
  <c r="X37" i="38"/>
  <c r="W37" i="38"/>
  <c r="U37" i="38"/>
  <c r="T37" i="38"/>
  <c r="S37" i="38"/>
  <c r="R37" i="38"/>
  <c r="Q37" i="38"/>
  <c r="P37" i="38"/>
  <c r="N37" i="38"/>
  <c r="V37" i="38"/>
  <c r="M37" i="38"/>
  <c r="J76" i="37"/>
  <c r="AA39" i="38"/>
  <c r="M38" i="38"/>
  <c r="Q39" i="38"/>
  <c r="P39" i="38"/>
  <c r="H39" i="38"/>
  <c r="Z38" i="38"/>
  <c r="AE39" i="38"/>
  <c r="Y38" i="38"/>
  <c r="Z39" i="38"/>
  <c r="J39" i="38"/>
  <c r="AB38" i="38"/>
  <c r="Y39" i="38"/>
  <c r="I39" i="38"/>
  <c r="AA38" i="38"/>
  <c r="S38" i="38"/>
  <c r="R38" i="38"/>
  <c r="W39" i="38"/>
  <c r="G39" i="38"/>
  <c r="AD39" i="38"/>
  <c r="N39" i="38"/>
  <c r="X38" i="38"/>
  <c r="H38" i="38"/>
  <c r="U39" i="38"/>
  <c r="M39" i="38"/>
  <c r="AE38" i="38"/>
  <c r="W38" i="38"/>
  <c r="O38" i="38"/>
  <c r="G38" i="38"/>
  <c r="S39" i="38"/>
  <c r="K39" i="38"/>
  <c r="AC38" i="38"/>
  <c r="U38" i="38"/>
  <c r="L38" i="38"/>
  <c r="K38" i="38"/>
  <c r="X39" i="38"/>
  <c r="J38" i="38"/>
  <c r="O39" i="38"/>
  <c r="Q38" i="38"/>
  <c r="I38" i="38"/>
  <c r="V39" i="38"/>
  <c r="F39" i="38"/>
  <c r="P38" i="38"/>
  <c r="AC39" i="38"/>
  <c r="AB39" i="38"/>
  <c r="T39" i="38"/>
  <c r="L39" i="38"/>
  <c r="L44" i="38" s="1"/>
  <c r="AD38" i="38"/>
  <c r="V38" i="38"/>
  <c r="N38" i="38"/>
  <c r="F38" i="38"/>
  <c r="R39" i="38"/>
  <c r="R44" i="38" s="1"/>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F7" i="38"/>
  <c r="AC44" i="38" s="1"/>
  <c r="S81" i="37"/>
  <c r="S82" i="37" s="1"/>
  <c r="S29" i="38" s="1"/>
  <c r="T81" i="37"/>
  <c r="T82" i="37" s="1"/>
  <c r="T29" i="38" s="1"/>
  <c r="U81" i="37"/>
  <c r="U82" i="37" s="1"/>
  <c r="U29" i="38" s="1"/>
  <c r="V81" i="37"/>
  <c r="V82" i="37" s="1"/>
  <c r="V29" i="38" s="1"/>
  <c r="I76" i="37"/>
  <c r="J75" i="37"/>
  <c r="J27" i="38" s="1"/>
  <c r="D75" i="37"/>
  <c r="D27" i="38" s="1"/>
  <c r="C75" i="37"/>
  <c r="C27" i="38" s="1"/>
  <c r="F75" i="37"/>
  <c r="F27" i="38" s="1"/>
  <c r="B75" i="37"/>
  <c r="B27" i="38" s="1"/>
  <c r="I75" i="37"/>
  <c r="G75" i="37"/>
  <c r="H75" i="37"/>
  <c r="E75" i="37"/>
  <c r="R75" i="37"/>
  <c r="Q75" i="37"/>
  <c r="N75" i="37"/>
  <c r="P75" i="37"/>
  <c r="O75" i="37"/>
  <c r="O27" i="38" s="1"/>
  <c r="AA75" i="37"/>
  <c r="AA27" i="38" s="1"/>
  <c r="Z75" i="37"/>
  <c r="Z27" i="38" s="1"/>
  <c r="V75" i="37"/>
  <c r="V27" i="38" s="1"/>
  <c r="AE75" i="37"/>
  <c r="AE27" i="38" s="1"/>
  <c r="K75" i="37"/>
  <c r="K27" i="38" s="1"/>
  <c r="U75" i="37"/>
  <c r="U27" i="38" s="1"/>
  <c r="Y75" i="37"/>
  <c r="Y27" i="38" s="1"/>
  <c r="M75" i="37"/>
  <c r="M27" i="38" s="1"/>
  <c r="AD75" i="37"/>
  <c r="AD27" i="38" s="1"/>
  <c r="AC75" i="37"/>
  <c r="AC27" i="38" s="1"/>
  <c r="AB75" i="37"/>
  <c r="AB27" i="38" s="1"/>
  <c r="W75" i="37"/>
  <c r="X75" i="37"/>
  <c r="T75" i="37"/>
  <c r="L75" i="37"/>
  <c r="S75" i="37"/>
  <c r="G44" i="38"/>
  <c r="H76" i="37"/>
  <c r="G76" i="37"/>
  <c r="F76" i="37"/>
  <c r="E76" i="37"/>
  <c r="D76" i="37"/>
  <c r="C76" i="37"/>
  <c r="M44" i="38"/>
  <c r="C44" i="38"/>
  <c r="B44" i="38"/>
  <c r="D44" i="38"/>
  <c r="Z44" i="38"/>
  <c r="F44" i="38"/>
  <c r="AB76" i="37"/>
  <c r="AA76" i="37"/>
  <c r="X76" i="37"/>
  <c r="Y76" i="37"/>
  <c r="Q76" i="37"/>
  <c r="N76" i="37"/>
  <c r="AE76" i="37"/>
  <c r="AD76" i="37"/>
  <c r="Z76" i="37"/>
  <c r="T76" i="37"/>
  <c r="S76" i="37"/>
  <c r="M76" i="37"/>
  <c r="W76" i="37"/>
  <c r="U76" i="37"/>
  <c r="O76" i="37"/>
  <c r="L76" i="37"/>
  <c r="R76" i="37"/>
  <c r="P76" i="37"/>
  <c r="K76" i="37"/>
  <c r="V76" i="37"/>
  <c r="E44" i="38"/>
  <c r="Q81" i="37"/>
  <c r="Q82" i="37" s="1"/>
  <c r="Q29" i="38" s="1"/>
  <c r="S27" i="38" l="1"/>
  <c r="S42" i="38" s="1"/>
  <c r="E27" i="38"/>
  <c r="N27" i="38"/>
  <c r="T27" i="38"/>
  <c r="T42" i="38" s="1"/>
  <c r="X27" i="38"/>
  <c r="X42" i="38" s="1"/>
  <c r="G27" i="38"/>
  <c r="G42" i="38" s="1"/>
  <c r="P27" i="38"/>
  <c r="P42" i="38" s="1"/>
  <c r="P29" i="38"/>
  <c r="P44" i="38" s="1"/>
  <c r="Q27" i="38"/>
  <c r="R27" i="38"/>
  <c r="R42" i="38" s="1"/>
  <c r="L27" i="38"/>
  <c r="H27" i="38"/>
  <c r="H42" i="38" s="1"/>
  <c r="W27" i="38"/>
  <c r="W42" i="38" s="1"/>
  <c r="I27" i="38"/>
  <c r="I42" i="38" s="1"/>
  <c r="X44" i="38"/>
  <c r="AC28" i="38"/>
  <c r="AC43" i="38" s="1"/>
  <c r="H44" i="38"/>
  <c r="S44" i="38"/>
  <c r="I44" i="38"/>
  <c r="O44" i="38"/>
  <c r="AA44" i="38"/>
  <c r="U44" i="38"/>
  <c r="T44" i="38"/>
  <c r="J44" i="38"/>
  <c r="AB44" i="38"/>
  <c r="Y44" i="38"/>
  <c r="K44" i="38"/>
  <c r="W44" i="38"/>
  <c r="AE44" i="38"/>
  <c r="AD44" i="38"/>
  <c r="V44" i="38"/>
  <c r="N44" i="38"/>
  <c r="D22" i="32"/>
  <c r="E22" i="32"/>
  <c r="I28" i="38"/>
  <c r="F42" i="38"/>
  <c r="X28" i="38"/>
  <c r="AA28" i="38"/>
  <c r="AA43" i="38" s="1"/>
  <c r="Q44" i="38"/>
  <c r="L42" i="38"/>
  <c r="E42" i="38"/>
  <c r="AD42" i="38"/>
  <c r="O42" i="38"/>
  <c r="C22" i="32"/>
  <c r="AB28" i="38"/>
  <c r="AB43" i="38" s="1"/>
  <c r="P28" i="38"/>
  <c r="P43" i="38" s="1"/>
  <c r="B28" i="38"/>
  <c r="B43" i="38" s="1"/>
  <c r="O28" i="38"/>
  <c r="O43" i="38" s="1"/>
  <c r="D28" i="38"/>
  <c r="D43" i="38" s="1"/>
  <c r="W28" i="38"/>
  <c r="W43" i="38" s="1"/>
  <c r="S28" i="38"/>
  <c r="S43" i="38" s="1"/>
  <c r="Y42" i="38"/>
  <c r="T28" i="38"/>
  <c r="T43" i="38" s="1"/>
  <c r="Z28" i="38"/>
  <c r="Z43" i="38" s="1"/>
  <c r="K42" i="38"/>
  <c r="AD28" i="38"/>
  <c r="AE42" i="38"/>
  <c r="V28" i="38"/>
  <c r="R28" i="38"/>
  <c r="R43" i="38" s="1"/>
  <c r="L28" i="38"/>
  <c r="L43" i="38" s="1"/>
  <c r="J28" i="38"/>
  <c r="J43" i="38" s="1"/>
  <c r="C28" i="38"/>
  <c r="C43" i="38" s="1"/>
  <c r="E28" i="38"/>
  <c r="E43" i="38" s="1"/>
  <c r="M28" i="38"/>
  <c r="M43" i="38" s="1"/>
  <c r="M42" i="38"/>
  <c r="B22" i="32"/>
  <c r="J42" i="38"/>
  <c r="AE28" i="38"/>
  <c r="AE43" i="38" s="1"/>
  <c r="V42" i="38"/>
  <c r="N28" i="38"/>
  <c r="N43" i="38" s="1"/>
  <c r="Z42" i="38"/>
  <c r="Y28" i="38"/>
  <c r="Y43" i="38" s="1"/>
  <c r="N42" i="38"/>
  <c r="K28" i="38"/>
  <c r="K43" i="38" s="1"/>
  <c r="F22" i="32"/>
  <c r="AB42" i="38"/>
  <c r="U28" i="38"/>
  <c r="U43" i="38" s="1"/>
  <c r="AC42" i="38"/>
  <c r="C42" i="38"/>
  <c r="F28" i="38"/>
  <c r="G28" i="38"/>
  <c r="G43" i="38" s="1"/>
  <c r="H28" i="38"/>
  <c r="H43" i="38" s="1"/>
  <c r="Q28" i="38"/>
  <c r="Q43" i="38" s="1"/>
  <c r="AA42" i="38"/>
  <c r="V43" i="38" l="1"/>
  <c r="D22" i="31"/>
  <c r="D42" i="38"/>
  <c r="Q42" i="38"/>
  <c r="I43" i="38"/>
  <c r="X43" i="38"/>
  <c r="F22" i="30"/>
  <c r="F43" i="38"/>
  <c r="AD43" i="38"/>
  <c r="U42" i="38"/>
  <c r="E22" i="31"/>
  <c r="E22" i="30"/>
  <c r="D22" i="30"/>
  <c r="B22" i="30"/>
  <c r="F22" i="31"/>
  <c r="C22" i="31"/>
  <c r="C22" i="30"/>
  <c r="C122" i="24" l="1"/>
  <c r="D122" i="24"/>
  <c r="E122" i="24"/>
  <c r="F122" i="24"/>
  <c r="G122" i="24"/>
  <c r="H122" i="24"/>
  <c r="I122" i="24"/>
  <c r="J122" i="24"/>
  <c r="K122" i="24"/>
  <c r="B122" i="24"/>
  <c r="E8" i="19" l="1"/>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99" i="24"/>
  <c r="B46"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F7" i="19" s="1"/>
  <c r="E117" i="24"/>
  <c r="AB117" i="24"/>
  <c r="I117" i="24"/>
  <c r="B117" i="24"/>
  <c r="D7" i="19" s="1"/>
  <c r="Q117" i="24"/>
  <c r="X117" i="24"/>
  <c r="F117" i="24"/>
  <c r="Z117" i="24"/>
  <c r="AA117" i="24"/>
  <c r="Q119" i="24"/>
  <c r="T117" i="24"/>
  <c r="U117" i="24"/>
  <c r="V117" i="24"/>
  <c r="C117" i="24"/>
  <c r="E7" i="19" s="1"/>
  <c r="W117" i="24"/>
  <c r="F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15" i="16"/>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 i="16"/>
  <c r="E80" i="24"/>
  <c r="D144" i="24" s="1"/>
  <c r="F80" i="24"/>
  <c r="E119" i="24" s="1"/>
  <c r="G79" i="24"/>
  <c r="G80" i="24" s="1"/>
  <c r="F119" i="24" s="1"/>
  <c r="M11" i="12"/>
  <c r="L11" i="12"/>
  <c r="D161" i="24" l="1"/>
  <c r="D169" i="24" s="1"/>
  <c r="D171" i="24"/>
  <c r="D170" i="24"/>
  <c r="AA160" i="24"/>
  <c r="AA168" i="24" s="1"/>
  <c r="AA173" i="24" s="1"/>
  <c r="D8" i="16"/>
  <c r="B160" i="24"/>
  <c r="B168" i="24" s="1"/>
  <c r="B16" i="16"/>
  <c r="B17" i="16"/>
  <c r="F161" i="24" l="1"/>
  <c r="F169" i="24" s="1"/>
  <c r="E161" i="24"/>
  <c r="E169" i="24" s="1"/>
  <c r="D160" i="24"/>
  <c r="D168" i="24" s="1"/>
  <c r="D173" i="24" s="1"/>
  <c r="F8" i="16"/>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G33" i="14"/>
  <c r="E2" i="39" s="1"/>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H33" i="14"/>
  <c r="F2" i="39" s="1"/>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I33" i="14"/>
  <c r="G2" i="39" s="1"/>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J33" i="14"/>
  <c r="H2" i="39" s="1"/>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K33" i="14"/>
  <c r="I2" i="39" s="1"/>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L33" i="14"/>
  <c r="J2" i="39" s="1"/>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M33" i="14"/>
  <c r="K2" i="39" s="1"/>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N33" i="14"/>
  <c r="L2" i="39" s="1"/>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O33" i="14"/>
  <c r="M2" i="39" s="1"/>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P33" i="14"/>
  <c r="N2" i="39" s="1"/>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Q33" i="14"/>
  <c r="O2" i="39" s="1"/>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R33" i="14"/>
  <c r="P2" i="39" s="1"/>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S33" i="14"/>
  <c r="Q2" i="39" s="1"/>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T33" i="14"/>
  <c r="R2" i="39" s="1"/>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U33" i="14"/>
  <c r="S2" i="39" s="1"/>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V33" i="14"/>
  <c r="T2" i="39" s="1"/>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W33" i="14"/>
  <c r="U2" i="39" s="1"/>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X33" i="14"/>
  <c r="V2" i="39" s="1"/>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Y33" i="14"/>
  <c r="W2" i="39" s="1"/>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Z33" i="14"/>
  <c r="X2" i="39" s="1"/>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AA33" i="14"/>
  <c r="Y2" i="39" s="1"/>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AB33" i="14"/>
  <c r="Z2" i="39" s="1"/>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C33" i="14"/>
  <c r="AA2" i="39" s="1"/>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D33" i="14"/>
  <c r="AB2" i="39" s="1"/>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E33" i="14"/>
  <c r="AC2" i="39" s="1"/>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F33" i="14"/>
  <c r="AD2" i="39" s="1"/>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G33" i="14"/>
  <c r="AE2" i="39" s="1"/>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3" i="24"/>
  <c r="E73" i="24" s="1"/>
  <c r="F73" i="24" s="1"/>
  <c r="G73" i="24" s="1"/>
  <c r="B161" i="24"/>
  <c r="B169" i="24" s="1"/>
  <c r="B170" i="24" l="1"/>
  <c r="B173" i="24" s="1"/>
  <c r="B171" i="24"/>
  <c r="B42" i="38" l="1"/>
  <c r="B22" i="31"/>
</calcChain>
</file>

<file path=xl/sharedStrings.xml><?xml version="1.0" encoding="utf-8"?>
<sst xmlns="http://schemas.openxmlformats.org/spreadsheetml/2006/main" count="4379" uniqueCount="1525">
  <si>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</si>
  <si>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</si>
  <si>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</si>
  <si>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</si>
  <si>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</si>
  <si>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</si>
  <si>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</si>
  <si>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</si>
  <si>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</si>
  <si>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</si>
  <si>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</si>
  <si>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</si>
  <si>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</si>
  <si>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</si>
  <si>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</si>
  <si>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</si>
  <si>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</si>
  <si>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</si>
  <si>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</si>
  <si>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</si>
  <si>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</si>
  <si>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</si>
  <si>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</si>
  <si>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</si>
  <si>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</si>
  <si>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</si>
  <si>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</si>
  <si>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</si>
  <si>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</si>
  <si>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</si>
  <si>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</si>
  <si>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</si>
  <si>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</si>
  <si>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</si>
  <si>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</si>
  <si>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</si>
  <si>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</si>
  <si>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</si>
  <si>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</si>
  <si>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</si>
  <si>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</si>
  <si>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</si>
  <si>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</si>
  <si>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</si>
  <si>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</si>
  <si>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</si>
  <si>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</si>
  <si>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</si>
  <si>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</si>
  <si>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</si>
  <si>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</si>
  <si>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</si>
  <si>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</si>
  <si>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</si>
  <si>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</si>
  <si>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</si>
  <si>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</si>
  <si>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</si>
  <si>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</si>
  <si>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</si>
  <si>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</si>
  <si>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</si>
  <si>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</si>
  <si>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</si>
  <si>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</si>
  <si>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</si>
  <si>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</si>
  <si>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</si>
  <si>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</si>
  <si>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</si>
  <si>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</si>
  <si>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</si>
  <si>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</si>
  <si>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</si>
  <si>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</si>
  <si>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</si>
  <si>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</si>
  <si>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</si>
  <si>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</si>
  <si>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</si>
  <si>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</si>
  <si>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</si>
  <si>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</si>
  <si>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</si>
  <si>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</si>
  <si>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</si>
  <si>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</si>
  <si>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</si>
  <si>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</si>
  <si>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</si>
  <si>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</si>
  <si>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</si>
  <si>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</si>
  <si>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</si>
  <si>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</si>
  <si>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</si>
  <si>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</si>
  <si>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</si>
  <si>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</si>
  <si>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</si>
  <si>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</si>
  <si>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</si>
  <si>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</si>
  <si>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</si>
  <si>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</si>
  <si>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</si>
  <si>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</si>
  <si>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</si>
  <si>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</si>
  <si>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</si>
  <si>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</si>
  <si>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</si>
  <si>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</si>
  <si>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</si>
  <si>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</si>
  <si>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</si>
  <si>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</si>
  <si>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</si>
  <si>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</si>
  <si>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</si>
  <si>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</si>
  <si>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</si>
  <si>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</si>
  <si>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</si>
  <si>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</si>
  <si>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</si>
  <si>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</si>
  <si>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</si>
  <si>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</si>
  <si>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</si>
  <si>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</si>
  <si>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</si>
  <si>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</si>
  <si>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</si>
  <si>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</si>
  <si>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</si>
  <si>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</si>
  <si>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</si>
  <si>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</si>
  <si>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</si>
  <si>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</si>
  <si>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</si>
  <si>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</si>
  <si>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</si>
  <si>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</si>
  <si>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</si>
  <si>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</si>
  <si>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</si>
  <si>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</si>
  <si>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</si>
  <si>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</si>
  <si>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</si>
  <si>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</si>
  <si>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</si>
  <si>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</si>
  <si>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</si>
  <si>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</si>
  <si>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</si>
  <si>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</si>
  <si>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</si>
  <si>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</si>
  <si>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</si>
  <si>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</si>
  <si>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</si>
  <si>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</si>
  <si>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</si>
  <si>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</si>
  <si>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</si>
  <si>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</si>
  <si>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</si>
  <si>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</si>
  <si>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</si>
  <si>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</si>
  <si>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</si>
  <si>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</si>
  <si>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</si>
  <si>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</si>
  <si>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</si>
  <si>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</si>
  <si>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</si>
  <si>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</si>
  <si>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</si>
  <si>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</si>
  <si>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</si>
  <si>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</si>
  <si>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</si>
  <si>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</si>
  <si>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</si>
  <si>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</si>
  <si>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</si>
  <si>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</si>
  <si>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</si>
  <si>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</si>
  <si>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</si>
  <si>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</si>
  <si>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</si>
  <si>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</si>
  <si>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</si>
  <si>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</si>
  <si>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</si>
  <si>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</si>
  <si>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</si>
  <si>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</si>
  <si>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</si>
  <si>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</si>
  <si>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</si>
  <si>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</si>
  <si>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</si>
  <si>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</si>
  <si>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</si>
  <si>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</si>
  <si>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</si>
  <si>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</si>
  <si>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</si>
  <si>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</si>
  <si>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</si>
  <si>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</si>
  <si>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</si>
  <si>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</si>
  <si>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</si>
  <si>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</si>
  <si>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</si>
  <si>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</si>
  <si>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</si>
  <si>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</si>
  <si>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</si>
  <si>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</si>
  <si>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</si>
  <si>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</si>
  <si>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</si>
  <si>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</si>
  <si>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</si>
  <si>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</si>
  <si>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</si>
  <si>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</si>
  <si>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</si>
  <si>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</si>
  <si>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</si>
  <si>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</si>
  <si>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</si>
  <si>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</si>
  <si>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</si>
  <si>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</si>
  <si>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</si>
  <si>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</si>
  <si>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</si>
  <si>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</si>
  <si>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</si>
  <si>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</si>
  <si>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</si>
  <si>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</si>
  <si>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</si>
  <si>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</si>
  <si>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</si>
  <si>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</si>
  <si>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</si>
  <si>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</si>
  <si>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</si>
  <si>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</si>
  <si>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</si>
  <si>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</si>
  <si>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</si>
  <si>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</si>
  <si>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</si>
  <si>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</si>
  <si>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</si>
  <si>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</si>
  <si>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</si>
  <si>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</si>
  <si>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</si>
  <si>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</si>
  <si>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</si>
  <si>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</si>
  <si>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</si>
  <si>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</si>
  <si>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</si>
  <si>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</si>
  <si>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</si>
  <si>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</si>
  <si>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</si>
  <si>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</si>
  <si>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</si>
  <si>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</si>
  <si>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</si>
  <si>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</si>
  <si>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</si>
  <si>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</si>
  <si>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</si>
  <si>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</si>
  <si>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</si>
  <si>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</si>
  <si>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</si>
  <si>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</si>
  <si>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</si>
  <si>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</si>
  <si>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</si>
  <si>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</si>
  <si>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</si>
  <si>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</si>
  <si>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</si>
  <si>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</si>
  <si>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</si>
  <si>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</si>
  <si>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</si>
  <si>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</si>
  <si>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</si>
  <si>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</si>
  <si>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</si>
  <si>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</si>
  <si>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</si>
  <si>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</si>
  <si>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</si>
  <si>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</si>
  <si>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</si>
  <si>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</si>
  <si>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</si>
  <si>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</si>
  <si>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</si>
  <si>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</si>
  <si>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</si>
  <si>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</si>
  <si>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</si>
  <si>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</si>
  <si>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</si>
  <si>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</si>
  <si>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</si>
  <si>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</si>
  <si>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</si>
  <si>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</si>
  <si>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</si>
  <si>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</si>
  <si>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</si>
  <si>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</si>
  <si>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</si>
  <si>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</si>
  <si>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</si>
  <si>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</si>
  <si>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</si>
  <si>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</si>
  <si>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</si>
  <si>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</si>
  <si>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</si>
  <si>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</si>
  <si>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</si>
  <si>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</si>
  <si>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</si>
  <si>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</si>
  <si>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</si>
  <si>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</si>
  <si>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</si>
  <si>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</si>
  <si>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</si>
  <si>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</si>
  <si>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</si>
  <si>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</si>
  <si>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</si>
  <si>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</si>
  <si>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</si>
  <si>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</si>
  <si>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</si>
  <si>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</si>
  <si>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</si>
  <si>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</si>
  <si>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</si>
  <si>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</si>
  <si>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</si>
  <si>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</si>
  <si>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</si>
  <si>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</si>
  <si>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</si>
  <si>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</si>
  <si>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</si>
  <si>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</si>
  <si>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</si>
  <si>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</si>
  <si>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</si>
  <si>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</si>
  <si>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</si>
  <si>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</si>
  <si>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</si>
  <si>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</si>
  <si>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</si>
  <si>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</si>
  <si>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</si>
  <si>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</si>
  <si>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</si>
  <si>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</si>
  <si>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</si>
  <si>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</si>
  <si>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</si>
  <si>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</si>
  <si>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</si>
  <si>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</si>
  <si>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</si>
  <si>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</si>
  <si>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</si>
  <si>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</si>
  <si>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</si>
  <si>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</si>
  <si>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</si>
  <si>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</si>
  <si>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</si>
  <si>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</si>
  <si>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</si>
  <si>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</si>
  <si>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</si>
  <si>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</si>
  <si>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</si>
  <si>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</si>
  <si>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</si>
  <si>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</si>
  <si>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</si>
  <si>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</si>
  <si>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</si>
  <si>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</si>
  <si>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</si>
  <si>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</si>
  <si>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</si>
  <si>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</si>
  <si>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</si>
  <si>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</si>
  <si>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</si>
  <si>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</si>
  <si>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</si>
  <si>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</si>
  <si>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</si>
  <si>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</si>
  <si>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</si>
  <si>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</si>
  <si>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</si>
  <si>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</si>
  <si>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</si>
  <si>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</si>
  <si>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</si>
  <si>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</si>
  <si>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</si>
  <si>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</si>
  <si>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</si>
  <si>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</si>
  <si>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</si>
  <si>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</si>
  <si>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</si>
  <si>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</si>
  <si>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</si>
  <si>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</si>
  <si>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</si>
  <si>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</si>
  <si>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</si>
  <si>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</si>
  <si>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</si>
  <si>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</si>
  <si>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</si>
  <si>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</si>
  <si>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</si>
  <si>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</si>
  <si>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</si>
  <si>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</si>
  <si>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</si>
  <si>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</si>
  <si>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</si>
  <si>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</si>
  <si>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</si>
  <si>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</si>
  <si>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</si>
  <si>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</si>
  <si>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</si>
  <si>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</si>
  <si>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</si>
  <si>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</si>
  <si>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</si>
  <si>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</si>
  <si>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</si>
  <si>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</si>
  <si>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</si>
  <si>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</si>
  <si>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</si>
  <si>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</si>
  <si>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</si>
  <si>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</si>
  <si>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</si>
  <si>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</si>
  <si>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</si>
  <si>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</si>
  <si>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</si>
  <si>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</si>
  <si>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</si>
  <si>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</si>
  <si>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</si>
  <si>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</si>
  <si>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</si>
  <si>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</si>
  <si>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</si>
  <si>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</si>
  <si>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</si>
  <si>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</si>
  <si>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</si>
  <si>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</si>
  <si>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</si>
  <si>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</si>
  <si>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</si>
  <si>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</si>
  <si>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</si>
  <si>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</si>
  <si>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</si>
  <si>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</si>
  <si>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</si>
  <si>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</si>
  <si>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</si>
  <si>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</si>
  <si>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</si>
  <si>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</si>
  <si>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</si>
  <si>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</si>
  <si>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</si>
  <si>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</si>
  <si>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</si>
  <si>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</si>
  <si>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</si>
  <si>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</si>
  <si>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</si>
  <si>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</si>
  <si>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</si>
  <si>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</si>
  <si>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</si>
  <si>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</si>
  <si>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</si>
  <si>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</si>
  <si>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</si>
  <si>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</si>
  <si>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</si>
  <si>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</si>
  <si>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</si>
  <si>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</si>
  <si>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</si>
  <si>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</si>
  <si>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</si>
  <si>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</si>
  <si>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</si>
  <si>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</si>
  <si>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</si>
  <si>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</si>
  <si>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</si>
  <si>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</si>
  <si>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</si>
  <si>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</si>
  <si>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</si>
  <si>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</si>
  <si>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</si>
  <si>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</si>
  <si>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</si>
  <si>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</si>
  <si>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</si>
  <si>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</si>
  <si>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</si>
  <si>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</si>
  <si>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</si>
  <si>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</si>
  <si>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</si>
  <si>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</si>
  <si>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</si>
  <si>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</si>
  <si>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</si>
  <si>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</si>
  <si>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</si>
  <si>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</si>
  <si>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</si>
  <si>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</si>
  <si>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</si>
  <si>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</si>
  <si>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</si>
  <si>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</si>
  <si>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</si>
  <si>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</si>
  <si>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</si>
  <si>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</si>
  <si>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</si>
  <si>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</si>
  <si>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</si>
  <si>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</si>
  <si>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</si>
  <si>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</si>
  <si>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</si>
  <si>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</si>
  <si>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</si>
  <si>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</si>
  <si>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</si>
  <si>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</si>
  <si>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</si>
  <si>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</si>
  <si>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</si>
  <si>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</si>
  <si>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</si>
  <si>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</si>
  <si>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</si>
  <si>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</si>
  <si>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</si>
  <si>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</si>
  <si>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</si>
  <si>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</si>
  <si>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</si>
  <si>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</si>
  <si>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</si>
  <si>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</si>
  <si>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</si>
  <si>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</si>
  <si>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</si>
  <si>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</si>
  <si>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</si>
  <si>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</si>
  <si>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</si>
  <si>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</si>
  <si>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</si>
  <si>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</si>
  <si>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</si>
  <si>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</si>
  <si>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</si>
  <si>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</si>
  <si>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</si>
  <si>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</si>
  <si>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</si>
  <si>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</si>
  <si>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</si>
  <si>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</si>
  <si>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</si>
  <si>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</si>
  <si>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</si>
  <si>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</si>
  <si>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</si>
  <si>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</si>
  <si>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</si>
  <si>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</si>
  <si>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</si>
  <si>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</si>
  <si>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</si>
  <si>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</si>
  <si>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</si>
  <si>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</si>
  <si>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</si>
  <si>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</si>
  <si>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</si>
  <si>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</si>
  <si>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</si>
  <si>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</si>
  <si>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</si>
  <si>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</si>
  <si>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</si>
  <si>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</si>
  <si>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</si>
  <si>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</si>
  <si>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</si>
  <si>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</si>
  <si>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</si>
  <si>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</si>
  <si>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</si>
  <si>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</si>
  <si>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</si>
  <si>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</si>
  <si>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</si>
  <si>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</si>
  <si>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</si>
  <si>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</si>
  <si>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</si>
  <si>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</si>
  <si>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</si>
  <si>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</si>
  <si>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</si>
  <si>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</si>
  <si>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</si>
  <si>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</si>
  <si>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</si>
  <si>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</si>
  <si>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</si>
  <si>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</si>
  <si>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</si>
  <si>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</si>
  <si>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</si>
  <si>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</si>
  <si>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</si>
  <si>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</si>
  <si>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</si>
  <si>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</si>
  <si>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</si>
  <si>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</si>
  <si>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</si>
  <si>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</si>
  <si>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</si>
  <si>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</si>
  <si>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</si>
  <si>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</si>
  <si>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</si>
  <si>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</si>
  <si>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</si>
  <si>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</si>
  <si>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</si>
  <si>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</si>
  <si>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</si>
  <si>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</si>
  <si>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</si>
  <si>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</si>
  <si>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</si>
  <si>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</si>
  <si>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</si>
  <si>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</si>
  <si>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</si>
  <si>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</si>
  <si>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</si>
  <si>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</si>
  <si>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</si>
  <si>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</si>
  <si>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</si>
  <si>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</si>
  <si>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</si>
  <si>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</si>
  <si>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</si>
  <si>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</si>
  <si>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</si>
  <si>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</si>
  <si>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</si>
  <si>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</si>
  <si>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</si>
  <si>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</si>
  <si>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</si>
  <si>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</si>
  <si>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</si>
  <si>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</si>
  <si>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</si>
  <si>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</si>
  <si>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</si>
  <si>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</si>
  <si>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</si>
  <si>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</si>
  <si>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</si>
  <si>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</si>
  <si>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</si>
  <si>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</si>
  <si>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</si>
  <si>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</si>
  <si>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</si>
  <si>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</si>
  <si>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</si>
  <si>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</si>
  <si>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</si>
  <si>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</si>
  <si>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</si>
  <si>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</si>
  <si>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</si>
  <si>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</si>
  <si>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</si>
  <si>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</si>
  <si>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</si>
  <si>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</si>
  <si>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</si>
  <si>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</si>
  <si>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</si>
  <si>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</si>
  <si>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</si>
  <si>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</si>
  <si>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</si>
  <si>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</si>
  <si>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</si>
  <si>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</si>
  <si>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</si>
  <si>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</si>
  <si>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</si>
  <si>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</si>
  <si>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</si>
  <si>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</si>
  <si>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</si>
  <si>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</si>
  <si>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</si>
  <si>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</si>
  <si>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</si>
  <si>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</si>
  <si>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</si>
  <si>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</si>
  <si>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</si>
  <si>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</si>
  <si>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</si>
  <si>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</si>
  <si>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</si>
  <si>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</si>
  <si>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</si>
  <si>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</si>
  <si>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</si>
  <si>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</si>
  <si>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</si>
  <si>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</si>
  <si>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</si>
  <si>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</si>
  <si>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</si>
  <si>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</si>
  <si>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</si>
  <si>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</si>
  <si>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</si>
  <si>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</si>
  <si>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</si>
  <si>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</si>
  <si>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</si>
  <si>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</si>
  <si>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</si>
  <si>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</si>
  <si>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</si>
  <si>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</si>
  <si>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</si>
  <si>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</si>
  <si>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</si>
  <si>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</si>
  <si>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</si>
  <si>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</si>
  <si>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</si>
  <si>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</si>
  <si>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</si>
  <si>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</si>
  <si>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</si>
  <si>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</si>
  <si>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</si>
  <si>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</si>
  <si>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</si>
  <si>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</si>
  <si>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</si>
  <si>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</si>
  <si>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</si>
  <si>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</si>
  <si>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</si>
  <si>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</si>
  <si>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</si>
  <si>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</si>
  <si>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</si>
  <si>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</si>
  <si>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</si>
  <si>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</si>
  <si>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</si>
  <si>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</si>
  <si>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</si>
  <si>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</si>
  <si>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</si>
  <si>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</si>
  <si>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</si>
  <si>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</si>
  <si>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</si>
  <si>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</si>
  <si>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</si>
  <si>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</si>
  <si>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</si>
  <si>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</si>
  <si>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</si>
  <si>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</si>
  <si>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</si>
  <si>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</si>
  <si>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</si>
  <si>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</si>
  <si>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</si>
  <si>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</si>
  <si>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</si>
  <si>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</si>
  <si>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</si>
  <si>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</si>
  <si>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</si>
  <si>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</si>
  <si>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</si>
  <si>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</si>
  <si>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</si>
  <si>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</si>
  <si>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</si>
  <si>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</si>
  <si>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</si>
  <si>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</si>
  <si>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</si>
  <si>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</si>
  <si>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</si>
  <si>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</si>
  <si>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</si>
  <si>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</si>
  <si>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</si>
  <si>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</si>
  <si>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</si>
  <si>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</si>
  <si>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</si>
  <si>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</si>
  <si>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</si>
  <si>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</si>
  <si>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</si>
  <si>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</si>
  <si>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</si>
  <si>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</si>
  <si>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</si>
  <si>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</si>
  <si>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</si>
  <si>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</si>
  <si>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</si>
  <si>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</si>
  <si>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</si>
  <si>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</si>
  <si>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</si>
  <si>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</si>
  <si>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</si>
  <si>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</si>
  <si>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</si>
  <si>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</si>
  <si>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</si>
  <si>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</si>
  <si>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</si>
  <si>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</si>
  <si>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</si>
  <si>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</si>
  <si>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</si>
  <si>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</si>
  <si>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</si>
  <si>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</si>
  <si>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</si>
  <si>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</si>
  <si>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</si>
  <si>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</si>
  <si>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</si>
  <si>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</si>
  <si>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</si>
  <si>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</si>
  <si>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</si>
  <si>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</si>
  <si>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</si>
  <si>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</si>
  <si>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</si>
  <si>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</si>
  <si>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</si>
  <si>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</si>
  <si>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</si>
  <si>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</si>
  <si>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</si>
  <si>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</si>
  <si>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</si>
  <si>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</si>
  <si>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</si>
  <si>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</si>
  <si>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</si>
  <si>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</si>
  <si>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</si>
  <si>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</si>
  <si>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</si>
  <si>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</si>
  <si>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</si>
  <si>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</si>
  <si>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</si>
  <si>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</si>
  <si>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</si>
  <si>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</si>
  <si>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</si>
  <si>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</si>
  <si>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</si>
  <si>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</si>
  <si>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</si>
  <si>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</si>
  <si>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</si>
  <si>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</si>
  <si>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</si>
  <si>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</si>
  <si>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</si>
  <si>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</si>
  <si>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</si>
  <si>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</si>
  <si>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</si>
  <si>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</si>
  <si>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</si>
  <si>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</si>
  <si>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</si>
  <si>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</si>
  <si>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</si>
  <si>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</si>
  <si>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</si>
  <si>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</si>
  <si>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</si>
  <si>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</si>
  <si>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</si>
  <si>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</si>
  <si>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</si>
  <si>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</si>
  <si>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</si>
  <si>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</si>
  <si>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</si>
  <si>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</si>
  <si>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</si>
  <si>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</si>
  <si>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</si>
  <si>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</si>
  <si>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</si>
  <si>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</si>
  <si>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</si>
  <si>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</si>
  <si>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</si>
  <si>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</si>
  <si>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</si>
  <si>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</si>
  <si>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</si>
  <si>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</si>
  <si>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</si>
  <si>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</si>
  <si>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</si>
  <si>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Transportation Sector Price</t>
  </si>
  <si>
    <t>Green hydrogen $ per kg (2020 $)</t>
  </si>
  <si>
    <t>Blue hydrogen $ per kg (2020 $)</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</si>
  <si>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</si>
  <si>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</si>
  <si>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</si>
  <si>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</si>
  <si>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</si>
  <si>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</si>
  <si>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</si>
  <si>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</si>
  <si>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</si>
  <si>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</si>
  <si>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</si>
  <si>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</si>
  <si>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</si>
  <si>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</si>
  <si>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</si>
  <si>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</si>
  <si>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</si>
  <si>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</si>
  <si>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</si>
  <si>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</si>
  <si>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</si>
  <si>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</si>
  <si>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</si>
  <si>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</si>
  <si>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</si>
  <si>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</si>
  <si>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</si>
  <si>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</si>
  <si>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</si>
  <si>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Hydrogen Prices using CEC/CARB Start Year Price and IEA Rate of Price Decline</t>
  </si>
  <si>
    <t>Green Hydrogen Prices ($/BTU)</t>
  </si>
  <si>
    <t>Blue Hydrogen Prices ($/BTU)</t>
  </si>
  <si>
    <t>Transportation Sector Hydrogen Prices</t>
  </si>
  <si>
    <t>$/kg (2020 USD)</t>
  </si>
  <si>
    <t>$/BTU (2012 USD)</t>
  </si>
  <si>
    <t>Distribution and Storage Costs (DOE)</t>
  </si>
  <si>
    <t>T&amp;D $ per kg (2022 $)</t>
  </si>
  <si>
    <t>Unsubsidized Prices</t>
  </si>
  <si>
    <t>Industry Sector Price</t>
  </si>
  <si>
    <t>Electricity Sector Price</t>
  </si>
  <si>
    <t>Subsidized Prices</t>
  </si>
  <si>
    <t>Subsidy</t>
  </si>
  <si>
    <t>Hydrogen Phase-in Period</t>
  </si>
  <si>
    <t>Hydrogen Tax Credit Phase-out Period (adjusting for duration period)</t>
  </si>
  <si>
    <t>2023 to 2012</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</si>
  <si>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</si>
  <si>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</si>
  <si>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</si>
  <si>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</si>
  <si>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</si>
  <si>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</si>
  <si>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</si>
  <si>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</si>
  <si>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</si>
  <si>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</si>
  <si>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</si>
  <si>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</si>
  <si>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</si>
  <si>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</si>
  <si>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</si>
  <si>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</si>
  <si>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</si>
  <si>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</si>
  <si>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</si>
  <si>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</si>
  <si>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</si>
  <si>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</si>
  <si>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</si>
  <si>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</si>
  <si>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</si>
  <si>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</si>
  <si>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</si>
  <si>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</si>
  <si>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</si>
  <si>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</si>
  <si>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</si>
  <si>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</si>
  <si>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</si>
  <si>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</si>
  <si>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</si>
  <si>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</si>
  <si>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</si>
  <si>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</si>
  <si>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</si>
  <si>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</si>
  <si>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</si>
  <si>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Gray Hydrogen Prices ($/BTU)</t>
  </si>
  <si>
    <t>*note: for elec we add in distribution costs; for industry, we add those costs only for green H2; for transp, we use ICCT "at-the-pump" green H2 prices, so we don't add dist/storage costs</t>
  </si>
  <si>
    <t>Green Hydrogen Price ($/kg), 2023 USD</t>
  </si>
  <si>
    <t>Blue Hydrogen Price ($/kg), 2022 USD</t>
  </si>
  <si>
    <t>BNEF Projections</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</si>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</sst>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91">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44" fontId="0" fillId="0" borderId="0" xfId="25" applyFont="1"/>
    <xf numFmtId="175" fontId="0" fillId="0" borderId="0" xfId="0" applyNumberFormat="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0" fontId="0" fillId="27" borderId="0" xfId="0" applyFill="1"/>
    <xf numFmtId="10" fontId="0" fillId="27" borderId="0" xfId="0" applyNumberFormat="1" applyFill="1"/>
    <xf numFmtId="10" fontId="0" fillId="0" borderId="0" xfId="0" applyNumberFormat="1"/>
    <xf numFmtId="0" fontId="0" fillId="28" borderId="0" xfId="0" applyFill="1"/>
    <xf numFmtId="10" fontId="0" fillId="28" borderId="0" xfId="0" applyNumberFormat="1" applyFill="1"/>
    <xf numFmtId="11" fontId="0" fillId="28" borderId="0" xfId="0" applyNumberFormat="1" applyFill="1"/>
    <xf numFmtId="2" fontId="0" fillId="28" borderId="0" xfId="0" applyNumberFormat="1" applyFill="1"/>
    <xf numFmtId="9" fontId="0" fillId="28" borderId="0" xfId="8" applyFont="1"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row r="2">
          <cell r="A2">
            <v>2000</v>
          </cell>
        </row>
        <row r="3">
          <cell r="A3">
            <v>2001</v>
          </cell>
        </row>
        <row r="4">
          <cell r="A4">
            <v>2002</v>
          </cell>
        </row>
        <row r="5">
          <cell r="A5">
            <v>2003</v>
          </cell>
        </row>
        <row r="6">
          <cell r="A6">
            <v>2004</v>
          </cell>
        </row>
        <row r="7">
          <cell r="A7">
            <v>2005</v>
          </cell>
        </row>
        <row r="8">
          <cell r="A8">
            <v>2006</v>
          </cell>
        </row>
        <row r="9">
          <cell r="A9">
            <v>2007</v>
          </cell>
        </row>
        <row r="10">
          <cell r="A10">
            <v>2008</v>
          </cell>
        </row>
        <row r="11">
          <cell r="A11">
            <v>2009</v>
          </cell>
        </row>
        <row r="12">
          <cell r="A12">
            <v>2010</v>
          </cell>
        </row>
        <row r="13">
          <cell r="A13">
            <v>2011</v>
          </cell>
        </row>
        <row r="14">
          <cell r="A14">
            <v>2012</v>
          </cell>
        </row>
        <row r="15">
          <cell r="A15">
            <v>2013</v>
          </cell>
        </row>
        <row r="16">
          <cell r="A16">
            <v>2014</v>
          </cell>
        </row>
        <row r="17">
          <cell r="A17">
            <v>2015</v>
          </cell>
        </row>
        <row r="18">
          <cell r="A18">
            <v>2016</v>
          </cell>
        </row>
        <row r="19">
          <cell r="A19">
            <v>2017</v>
          </cell>
        </row>
        <row r="20">
          <cell r="A20">
            <v>2018</v>
          </cell>
        </row>
        <row r="21">
          <cell r="A21">
            <v>2019</v>
          </cell>
        </row>
        <row r="22">
          <cell r="A22">
            <v>2020</v>
          </cell>
          <cell r="D22">
            <v>10.2913893016123</v>
          </cell>
        </row>
        <row r="23">
          <cell r="A23">
            <v>2021</v>
          </cell>
          <cell r="D23">
            <v>10.05360309644399</v>
          </cell>
        </row>
        <row r="24">
          <cell r="A24">
            <v>2022</v>
          </cell>
          <cell r="D24">
            <v>11.59</v>
          </cell>
        </row>
        <row r="25">
          <cell r="A25">
            <v>2023</v>
          </cell>
          <cell r="D25">
            <v>10.7</v>
          </cell>
        </row>
        <row r="26">
          <cell r="A26">
            <v>2024</v>
          </cell>
          <cell r="D26">
            <v>10.3</v>
          </cell>
        </row>
        <row r="27">
          <cell r="A27">
            <v>2025</v>
          </cell>
          <cell r="D27">
            <v>10.029999999999999</v>
          </cell>
        </row>
        <row r="28">
          <cell r="A28">
            <v>2026</v>
          </cell>
          <cell r="D28">
            <v>9.85</v>
          </cell>
        </row>
        <row r="29">
          <cell r="A29">
            <v>2027</v>
          </cell>
          <cell r="D29">
            <v>9.7200000000000006</v>
          </cell>
        </row>
        <row r="30">
          <cell r="A30">
            <v>2028</v>
          </cell>
          <cell r="D30">
            <v>9.64</v>
          </cell>
        </row>
        <row r="31">
          <cell r="A31">
            <v>2029</v>
          </cell>
          <cell r="D31">
            <v>9.59</v>
          </cell>
        </row>
        <row r="32">
          <cell r="A32">
            <v>2030</v>
          </cell>
          <cell r="D32">
            <v>9.5500000000000007</v>
          </cell>
        </row>
        <row r="33">
          <cell r="A33">
            <v>2031</v>
          </cell>
          <cell r="D33">
            <v>9.51</v>
          </cell>
        </row>
        <row r="34">
          <cell r="A34">
            <v>2032</v>
          </cell>
          <cell r="D34">
            <v>9.48</v>
          </cell>
        </row>
        <row r="35">
          <cell r="A35">
            <v>2033</v>
          </cell>
          <cell r="D35">
            <v>9.4499999999999993</v>
          </cell>
        </row>
        <row r="36">
          <cell r="A36">
            <v>2034</v>
          </cell>
          <cell r="D36">
            <v>9.41</v>
          </cell>
        </row>
        <row r="37">
          <cell r="A37">
            <v>2035</v>
          </cell>
          <cell r="D37">
            <v>9.3699999999999992</v>
          </cell>
        </row>
        <row r="39">
          <cell r="A39" t="str">
            <v>Transportation Sector Electricity Prices</v>
          </cell>
        </row>
        <row r="40">
          <cell r="D40">
            <v>2023</v>
          </cell>
        </row>
        <row r="41">
          <cell r="A41" t="str">
            <v>$/KWh (2020 $)</v>
          </cell>
          <cell r="D41">
            <v>0.17280000000000001</v>
          </cell>
        </row>
        <row r="42">
          <cell r="A42" t="str">
            <v>$/BTU (2012 $)</v>
          </cell>
          <cell r="D42">
            <v>4.4925684184746456E-5</v>
          </cell>
        </row>
        <row r="44">
          <cell r="A44" t="str">
            <v>BTU per kWh</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7"/>
  <sheetViews>
    <sheetView tabSelected="1" topLeftCell="A75" workbookViewId="0">
      <selection activeCell="B42" sqref="B42"/>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1090</v>
      </c>
    </row>
    <row r="4" spans="1:2" x14ac:dyDescent="0.25">
      <c r="A4" s="1" t="s">
        <v>307</v>
      </c>
    </row>
    <row r="5" spans="1:2" x14ac:dyDescent="0.25">
      <c r="A5" s="1" t="s">
        <v>972</v>
      </c>
    </row>
    <row r="7" spans="1:2" x14ac:dyDescent="0.25">
      <c r="A7" s="1" t="s">
        <v>0</v>
      </c>
      <c r="B7" s="27" t="s">
        <v>115</v>
      </c>
    </row>
    <row r="8" spans="1:2" x14ac:dyDescent="0.25">
      <c r="B8" t="s">
        <v>1</v>
      </c>
    </row>
    <row r="9" spans="1:2" x14ac:dyDescent="0.25">
      <c r="B9" s="2">
        <v>2014</v>
      </c>
    </row>
    <row r="10" spans="1:2" x14ac:dyDescent="0.25">
      <c r="B10" t="s">
        <v>2</v>
      </c>
    </row>
    <row r="11" spans="1:2" x14ac:dyDescent="0.25">
      <c r="B11" s="28" t="s">
        <v>3</v>
      </c>
    </row>
    <row r="12" spans="1:2" x14ac:dyDescent="0.25">
      <c r="B12" t="s">
        <v>4</v>
      </c>
    </row>
    <row r="14" spans="1:2" x14ac:dyDescent="0.25">
      <c r="B14" s="27" t="s">
        <v>256</v>
      </c>
    </row>
    <row r="15" spans="1:2" x14ac:dyDescent="0.25">
      <c r="B15" t="s">
        <v>288</v>
      </c>
    </row>
    <row r="16" spans="1:2" x14ac:dyDescent="0.25">
      <c r="B16" s="2">
        <v>2015</v>
      </c>
    </row>
    <row r="17" spans="2:2" x14ac:dyDescent="0.25">
      <c r="B17" t="s">
        <v>289</v>
      </c>
    </row>
    <row r="18" spans="2:2" x14ac:dyDescent="0.25">
      <c r="B18" s="28" t="s">
        <v>230</v>
      </c>
    </row>
    <row r="20" spans="2:2" x14ac:dyDescent="0.25">
      <c r="B20" s="27" t="s">
        <v>290</v>
      </c>
    </row>
    <row r="21" spans="2:2" x14ac:dyDescent="0.25">
      <c r="B21" t="s">
        <v>516</v>
      </c>
    </row>
    <row r="22" spans="2:2" x14ac:dyDescent="0.25">
      <c r="B22" s="2">
        <v>2020</v>
      </c>
    </row>
    <row r="23" spans="2:2" x14ac:dyDescent="0.25">
      <c r="B23" t="s">
        <v>515</v>
      </c>
    </row>
    <row r="24" spans="2:2" x14ac:dyDescent="0.25">
      <c r="B24" s="28" t="s">
        <v>514</v>
      </c>
    </row>
    <row r="26" spans="2:2" x14ac:dyDescent="0.25">
      <c r="B26" s="27" t="s">
        <v>291</v>
      </c>
    </row>
    <row r="27" spans="2:2" x14ac:dyDescent="0.25">
      <c r="B27" t="s">
        <v>292</v>
      </c>
    </row>
    <row r="28" spans="2:2" x14ac:dyDescent="0.25">
      <c r="B28" s="2">
        <v>2015</v>
      </c>
    </row>
    <row r="29" spans="2:2" x14ac:dyDescent="0.25">
      <c r="B29" t="s">
        <v>293</v>
      </c>
    </row>
    <row r="30" spans="2:2" x14ac:dyDescent="0.25">
      <c r="B30" s="28" t="s">
        <v>224</v>
      </c>
    </row>
    <row r="32" spans="2:2" x14ac:dyDescent="0.25">
      <c r="B32" s="27" t="s">
        <v>297</v>
      </c>
    </row>
    <row r="33" spans="2:2" x14ac:dyDescent="0.25">
      <c r="B33" t="s">
        <v>294</v>
      </c>
    </row>
    <row r="34" spans="2:2" x14ac:dyDescent="0.25">
      <c r="B34" s="2">
        <v>2015</v>
      </c>
    </row>
    <row r="35" spans="2:2" x14ac:dyDescent="0.25">
      <c r="B35" t="s">
        <v>295</v>
      </c>
    </row>
    <row r="36" spans="2:2" x14ac:dyDescent="0.25">
      <c r="B36" s="28" t="s">
        <v>235</v>
      </c>
    </row>
    <row r="37" spans="2:2" x14ac:dyDescent="0.25">
      <c r="B37" t="s">
        <v>296</v>
      </c>
    </row>
    <row r="39" spans="2:2" x14ac:dyDescent="0.25">
      <c r="B39" s="27" t="s">
        <v>167</v>
      </c>
    </row>
    <row r="40" spans="2:2" x14ac:dyDescent="0.25">
      <c r="B40" t="s">
        <v>168</v>
      </c>
    </row>
    <row r="41" spans="2:2" x14ac:dyDescent="0.25">
      <c r="B41" s="2" t="s">
        <v>1523</v>
      </c>
    </row>
    <row r="42" spans="2:2" x14ac:dyDescent="0.25">
      <c r="B42" t="s">
        <v>1524</v>
      </c>
    </row>
    <row r="43" spans="2:2" x14ac:dyDescent="0.25">
      <c r="B43" s="28" t="s">
        <v>577</v>
      </c>
    </row>
    <row r="44" spans="2:2" x14ac:dyDescent="0.25">
      <c r="B44" t="s">
        <v>622</v>
      </c>
    </row>
    <row r="46" spans="2:2" x14ac:dyDescent="0.25">
      <c r="B46" s="27" t="s">
        <v>521</v>
      </c>
    </row>
    <row r="47" spans="2:2" x14ac:dyDescent="0.25">
      <c r="B47" t="s">
        <v>517</v>
      </c>
    </row>
    <row r="48" spans="2:2" x14ac:dyDescent="0.25">
      <c r="B48" s="2">
        <v>2020</v>
      </c>
    </row>
    <row r="49" spans="1:2" x14ac:dyDescent="0.25">
      <c r="B49" t="s">
        <v>518</v>
      </c>
    </row>
    <row r="50" spans="1:2" x14ac:dyDescent="0.25">
      <c r="B50" s="28" t="s">
        <v>512</v>
      </c>
    </row>
    <row r="52" spans="1:2" x14ac:dyDescent="0.25">
      <c r="B52" s="27" t="s">
        <v>1005</v>
      </c>
    </row>
    <row r="53" spans="1:2" x14ac:dyDescent="0.25">
      <c r="B53" t="s">
        <v>522</v>
      </c>
    </row>
    <row r="54" spans="1:2" x14ac:dyDescent="0.25">
      <c r="B54" s="2">
        <v>2020</v>
      </c>
    </row>
    <row r="55" spans="1:2" x14ac:dyDescent="0.25">
      <c r="B55" t="s">
        <v>523</v>
      </c>
    </row>
    <row r="56" spans="1:2" x14ac:dyDescent="0.25">
      <c r="B56" t="s">
        <v>524</v>
      </c>
    </row>
    <row r="57" spans="1:2" x14ac:dyDescent="0.25">
      <c r="B57" t="s">
        <v>525</v>
      </c>
    </row>
    <row r="60" spans="1:2" x14ac:dyDescent="0.25">
      <c r="A60" s="1" t="s">
        <v>169</v>
      </c>
    </row>
    <row r="61" spans="1:2" x14ac:dyDescent="0.25">
      <c r="A61" t="s">
        <v>973</v>
      </c>
    </row>
    <row r="62" spans="1:2" x14ac:dyDescent="0.25">
      <c r="A62" t="s">
        <v>974</v>
      </c>
    </row>
    <row r="63" spans="1:2" x14ac:dyDescent="0.25">
      <c r="A63" s="1"/>
    </row>
    <row r="64" spans="1:2" x14ac:dyDescent="0.25">
      <c r="A64" t="s">
        <v>655</v>
      </c>
    </row>
    <row r="65" spans="1:1" x14ac:dyDescent="0.25">
      <c r="A65" t="s">
        <v>656</v>
      </c>
    </row>
    <row r="66" spans="1:1" x14ac:dyDescent="0.25">
      <c r="A66" s="1"/>
    </row>
    <row r="67" spans="1:1" x14ac:dyDescent="0.25">
      <c r="A67" t="s">
        <v>170</v>
      </c>
    </row>
    <row r="68" spans="1:1" x14ac:dyDescent="0.25">
      <c r="A68" t="s">
        <v>171</v>
      </c>
    </row>
    <row r="70" spans="1:1" x14ac:dyDescent="0.25">
      <c r="A70" t="s">
        <v>174</v>
      </c>
    </row>
    <row r="71" spans="1:1" x14ac:dyDescent="0.25">
      <c r="A71" t="s">
        <v>175</v>
      </c>
    </row>
    <row r="72" spans="1:1" x14ac:dyDescent="0.25">
      <c r="A72" t="s">
        <v>176</v>
      </c>
    </row>
    <row r="73" spans="1:1" x14ac:dyDescent="0.25">
      <c r="A73" t="s">
        <v>177</v>
      </c>
    </row>
    <row r="75" spans="1:1" x14ac:dyDescent="0.25">
      <c r="A75" t="s">
        <v>186</v>
      </c>
    </row>
    <row r="76" spans="1:1" x14ac:dyDescent="0.25">
      <c r="A76" t="s">
        <v>187</v>
      </c>
    </row>
    <row r="77" spans="1:1" x14ac:dyDescent="0.25">
      <c r="A77" t="s">
        <v>188</v>
      </c>
    </row>
    <row r="78" spans="1:1" x14ac:dyDescent="0.25">
      <c r="A78" t="s">
        <v>190</v>
      </c>
    </row>
    <row r="79" spans="1:1" x14ac:dyDescent="0.25">
      <c r="A79">
        <v>0.97099999999999997</v>
      </c>
    </row>
    <row r="80" spans="1:1" x14ac:dyDescent="0.25">
      <c r="A80" t="s">
        <v>189</v>
      </c>
    </row>
    <row r="82" spans="1:5" x14ac:dyDescent="0.25">
      <c r="A82" t="s">
        <v>519</v>
      </c>
    </row>
    <row r="83" spans="1:5" x14ac:dyDescent="0.25">
      <c r="A83">
        <v>0.89805481563188172</v>
      </c>
    </row>
    <row r="84" spans="1:5" x14ac:dyDescent="0.25">
      <c r="A84" t="s">
        <v>189</v>
      </c>
    </row>
    <row r="85" spans="1:5" x14ac:dyDescent="0.25">
      <c r="A85">
        <v>0.88711067149387013</v>
      </c>
      <c r="B85" t="s">
        <v>526</v>
      </c>
      <c r="E85" s="19"/>
    </row>
    <row r="86" spans="1:5" x14ac:dyDescent="0.25">
      <c r="A86">
        <v>0.78452102304761584</v>
      </c>
      <c r="B86" t="s">
        <v>751</v>
      </c>
      <c r="E86" s="19"/>
    </row>
    <row r="87" spans="1:5" x14ac:dyDescent="0.25">
      <c r="A87">
        <v>0.75350342301658668</v>
      </c>
      <c r="B87" t="s">
        <v>1043</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80" workbookViewId="0">
      <selection activeCell="A17" sqref="A17"/>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5" width="10.42578125" style="78" bestFit="1" customWidth="1"/>
    <col min="6" max="13" width="8.28515625" style="78" bestFit="1" customWidth="1"/>
    <col min="14" max="36" width="7.5703125" style="78" customWidth="1"/>
    <col min="37" max="16384" width="12.5703125" style="78"/>
  </cols>
  <sheetData>
    <row r="1" spans="1:37" ht="12.75" x14ac:dyDescent="0.2">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2">
      <c r="A2" s="79" t="s">
        <v>960</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2.75" x14ac:dyDescent="0.2">
      <c r="A4" s="76" t="s">
        <v>752</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2.75" x14ac:dyDescent="0.2">
      <c r="A5" s="77" t="s">
        <v>961</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2.75" x14ac:dyDescent="0.2">
      <c r="A6" s="77" t="s">
        <v>999</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2.75" x14ac:dyDescent="0.2">
      <c r="A7" s="77" t="s">
        <v>753</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2.75" x14ac:dyDescent="0.2">
      <c r="A8" s="77">
        <f>1554.4*0.25</f>
        <v>388.6</v>
      </c>
      <c r="B8" s="77" t="s">
        <v>754</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2.75" x14ac:dyDescent="0.2">
      <c r="A9" s="77" t="s">
        <v>1027</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2.75" x14ac:dyDescent="0.2">
      <c r="A10" s="77" t="s">
        <v>1000</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2.75" x14ac:dyDescent="0.2">
      <c r="A12" s="77" t="s">
        <v>757</v>
      </c>
      <c r="B12" s="77" t="s">
        <v>758</v>
      </c>
      <c r="C12" s="77" t="s">
        <v>759</v>
      </c>
      <c r="D12" s="77" t="s">
        <v>760</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2.75" x14ac:dyDescent="0.2">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2.75" x14ac:dyDescent="0.2">
      <c r="A14" s="87"/>
      <c r="B14" s="87"/>
      <c r="C14" s="87"/>
      <c r="D14" s="87"/>
      <c r="E14" s="77"/>
      <c r="F14" s="77"/>
      <c r="G14" s="77"/>
      <c r="H14" s="77"/>
      <c r="I14" s="77"/>
      <c r="J14" s="77"/>
      <c r="K14" s="77"/>
      <c r="L14" s="77"/>
      <c r="M14" s="77"/>
      <c r="N14" s="77"/>
      <c r="O14" s="77"/>
      <c r="P14" s="77"/>
      <c r="Q14" s="77" t="s">
        <v>1001</v>
      </c>
      <c r="R14" s="77" t="s">
        <v>1002</v>
      </c>
      <c r="S14" s="77" t="s">
        <v>1003</v>
      </c>
      <c r="T14" s="77" t="s">
        <v>1004</v>
      </c>
      <c r="U14" s="77"/>
      <c r="V14" s="77"/>
      <c r="W14" s="77"/>
      <c r="X14" s="77"/>
      <c r="Y14" s="77"/>
      <c r="Z14" s="77"/>
      <c r="AA14" s="77"/>
      <c r="AB14" s="77"/>
      <c r="AC14" s="77"/>
      <c r="AD14" s="77"/>
      <c r="AE14" s="77"/>
      <c r="AF14" s="77"/>
      <c r="AG14" s="77"/>
      <c r="AH14" s="77"/>
      <c r="AI14" s="77"/>
      <c r="AJ14" s="77"/>
    </row>
    <row r="15" spans="1:37" ht="12.75" x14ac:dyDescent="0.2">
      <c r="A15" s="87" t="s">
        <v>1026</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2.75" x14ac:dyDescent="0.2">
      <c r="A16" s="78">
        <v>2020</v>
      </c>
      <c r="B16" s="346">
        <v>2021</v>
      </c>
      <c r="C16" s="346">
        <v>2022</v>
      </c>
      <c r="D16" s="346">
        <v>2023</v>
      </c>
      <c r="E16" s="346">
        <v>2024</v>
      </c>
      <c r="F16" s="346">
        <v>2025</v>
      </c>
      <c r="G16" s="346">
        <v>2026</v>
      </c>
      <c r="H16" s="346">
        <v>2027</v>
      </c>
      <c r="I16" s="346">
        <v>2028</v>
      </c>
      <c r="J16" s="346">
        <v>2029</v>
      </c>
      <c r="K16" s="346">
        <v>2030</v>
      </c>
      <c r="L16" s="346">
        <v>2031</v>
      </c>
      <c r="M16" s="346">
        <v>2032</v>
      </c>
      <c r="N16" s="346">
        <v>2033</v>
      </c>
      <c r="O16" s="346">
        <v>2034</v>
      </c>
      <c r="P16" s="346">
        <v>2035</v>
      </c>
      <c r="Q16" s="346">
        <v>2036</v>
      </c>
      <c r="R16" s="346">
        <v>2037</v>
      </c>
      <c r="S16" s="346">
        <v>2038</v>
      </c>
      <c r="T16" s="346">
        <v>2039</v>
      </c>
      <c r="U16" s="346">
        <v>2040</v>
      </c>
      <c r="V16" s="346">
        <v>2041</v>
      </c>
      <c r="W16" s="346">
        <v>2042</v>
      </c>
      <c r="X16" s="346">
        <v>2043</v>
      </c>
      <c r="Y16" s="346">
        <v>2044</v>
      </c>
      <c r="Z16" s="346">
        <v>2045</v>
      </c>
      <c r="AA16" s="346">
        <v>2046</v>
      </c>
      <c r="AB16" s="346">
        <v>2047</v>
      </c>
      <c r="AC16" s="346">
        <v>2048</v>
      </c>
      <c r="AD16" s="346">
        <v>2049</v>
      </c>
      <c r="AE16" s="346">
        <v>2050</v>
      </c>
      <c r="AF16" s="346"/>
      <c r="AG16" s="346"/>
      <c r="AH16" s="346"/>
      <c r="AI16" s="346"/>
      <c r="AJ16" s="346"/>
      <c r="AK16" s="346"/>
    </row>
    <row r="17" spans="1:51" ht="12.75" x14ac:dyDescent="0.2">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2.75" x14ac:dyDescent="0.2">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2.75" x14ac:dyDescent="0.2">
      <c r="A19" s="76" t="s">
        <v>658</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2.75" x14ac:dyDescent="0.2">
      <c r="A20" s="81" t="s">
        <v>659</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2.75" x14ac:dyDescent="0.2">
      <c r="A21" s="83" t="s">
        <v>660</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2.75" x14ac:dyDescent="0.2">
      <c r="A22" s="84" t="s">
        <v>661</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662</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7" t="s">
        <v>663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7" t="s">
        <v>664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77" t="s">
        <v>755</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78" t="s">
        <v>665</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2.75" x14ac:dyDescent="0.2">
      <c r="A46" s="78" t="s">
        <v>666</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2.75" x14ac:dyDescent="0.2">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2.75" x14ac:dyDescent="0.2">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2.75" x14ac:dyDescent="0.2">
      <c r="A49" s="88" t="s">
        <v>667</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2.75" x14ac:dyDescent="0.2">
      <c r="A50" s="88" t="s">
        <v>668</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2.75" x14ac:dyDescent="0.2">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1" t="s">
        <v>669</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2.75" x14ac:dyDescent="0.2">
      <c r="A53" s="77" t="s">
        <v>670</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89" t="s">
        <v>671</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0" t="s">
        <v>672</v>
      </c>
      <c r="B56" s="91" t="s">
        <v>673</v>
      </c>
      <c r="C56" s="77"/>
      <c r="D56" s="90" t="s">
        <v>674</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2" t="s">
        <v>675</v>
      </c>
      <c r="B57" s="93" t="s">
        <v>676</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677</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678</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679</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680</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681</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682</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4" t="s">
        <v>683</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94" t="s">
        <v>684</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94" t="s">
        <v>685</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97" t="s">
        <v>686</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t="s">
        <v>687</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7" t="s">
        <v>688</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2.75" x14ac:dyDescent="0.2">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2.75" x14ac:dyDescent="0.2">
      <c r="A73" s="79" t="s">
        <v>689</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2.75" x14ac:dyDescent="0.2">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5.5" x14ac:dyDescent="0.2">
      <c r="A75" s="79" t="s">
        <v>690</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2.75" x14ac:dyDescent="0.2">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2.75" x14ac:dyDescent="0.2">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2.75" x14ac:dyDescent="0.2">
      <c r="A78" s="96" t="s">
        <v>691</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2.75" x14ac:dyDescent="0.2">
      <c r="A79" s="96" t="s">
        <v>692</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2.75" x14ac:dyDescent="0.2">
      <c r="A80" s="77" t="s">
        <v>693</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2.75" x14ac:dyDescent="0.2">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5.5" x14ac:dyDescent="0.2">
      <c r="A82" s="79" t="s">
        <v>694</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2.75" x14ac:dyDescent="0.2">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2.75" x14ac:dyDescent="0.2">
      <c r="A84" s="81" t="s">
        <v>695</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2.75" x14ac:dyDescent="0.2">
      <c r="A85" s="83" t="s">
        <v>696</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697</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83" t="s">
        <v>698</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3" t="s">
        <v>699</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2.75" x14ac:dyDescent="0.2">
      <c r="A89" s="83" t="s">
        <v>700</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81" t="s">
        <v>701</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2.75" x14ac:dyDescent="0.2">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702</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2.75" x14ac:dyDescent="0.2">
      <c r="A94" s="103" t="s">
        <v>703</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2.75" x14ac:dyDescent="0.2">
      <c r="A95" s="103" t="s">
        <v>756</v>
      </c>
      <c r="B95" s="77">
        <v>1.6687000000000001</v>
      </c>
      <c r="C95" s="105" t="s">
        <v>704</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705</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7.25" x14ac:dyDescent="0.4">
      <c r="A97" s="103" t="s">
        <v>706</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7.25" x14ac:dyDescent="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2.75" x14ac:dyDescent="0.2">
      <c r="A99" s="103" t="s">
        <v>707</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708</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7.25" x14ac:dyDescent="0.4">
      <c r="A101" s="103" t="s">
        <v>709</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582</v>
      </c>
      <c r="B102" s="110">
        <v>0</v>
      </c>
      <c r="C102" s="77" t="s">
        <v>740</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710</v>
      </c>
      <c r="B103" s="112">
        <v>7.4999999999999997E-2</v>
      </c>
      <c r="C103" s="77" t="s">
        <v>761</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t="s">
        <v>711</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2.75" x14ac:dyDescent="0.2">
      <c r="A105" s="103" t="s">
        <v>712</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2.75" x14ac:dyDescent="0.2">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2.75" x14ac:dyDescent="0.2">
      <c r="A107" s="113" t="s">
        <v>713</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2.75" x14ac:dyDescent="0.2">
      <c r="A108" s="347"/>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347" t="s">
        <v>1008</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2.75" x14ac:dyDescent="0.2">
      <c r="A110" s="347"/>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2.75" x14ac:dyDescent="0.2">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2.75" x14ac:dyDescent="0.2">
      <c r="A112" s="103" t="s">
        <v>1006</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2.75" x14ac:dyDescent="0.2">
      <c r="A113" s="103" t="s">
        <v>1007</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2.75" x14ac:dyDescent="0.2">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2.75" x14ac:dyDescent="0.2">
      <c r="A115" s="103" t="s">
        <v>714</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2.75" x14ac:dyDescent="0.2">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2.75" x14ac:dyDescent="0.2">
      <c r="A117" s="103" t="s">
        <v>715</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2.75" x14ac:dyDescent="0.2">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2.75" x14ac:dyDescent="0.2">
      <c r="A119" s="103" t="s">
        <v>716</v>
      </c>
      <c r="B119" s="350">
        <v>0</v>
      </c>
      <c r="C119" s="350">
        <v>0</v>
      </c>
      <c r="D119" s="350">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2.75" x14ac:dyDescent="0.2">
      <c r="A120" s="103" t="s">
        <v>1021</v>
      </c>
      <c r="B120" s="350"/>
      <c r="C120" s="350"/>
      <c r="D120" s="350"/>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741</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2.75" x14ac:dyDescent="0.2">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2.75" x14ac:dyDescent="0.2">
      <c r="A124" s="113" t="s">
        <v>717</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5.5" x14ac:dyDescent="0.2">
      <c r="A125" s="347"/>
      <c r="B125" s="77" t="s">
        <v>729</v>
      </c>
      <c r="C125" s="118" t="s">
        <v>730</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2.75" x14ac:dyDescent="0.2">
      <c r="A126" s="347" t="s">
        <v>1008</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2.75" x14ac:dyDescent="0.2">
      <c r="A127" s="347"/>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718</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2.75" x14ac:dyDescent="0.2">
      <c r="A129" s="103" t="s">
        <v>1022</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2.75" x14ac:dyDescent="0.2">
      <c r="A130" s="103" t="s">
        <v>1023</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2.75" x14ac:dyDescent="0.2">
      <c r="A131" s="103" t="s">
        <v>1024</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2.75" x14ac:dyDescent="0.2">
      <c r="A132" s="103" t="s">
        <v>1025</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2.75" x14ac:dyDescent="0.2">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719</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720</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709</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77" t="s">
        <v>710</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103" t="s">
        <v>711</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712</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121" t="s">
        <v>721</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2.75" x14ac:dyDescent="0.2">
      <c r="A144" s="77" t="s">
        <v>722</v>
      </c>
      <c r="B144" s="350">
        <f>(($B$136*C50+$B$135*(1-C50))+($B$137*C80)+($B$139*$B$140))*(1-$B$138)*B129</f>
        <v>0.37019212259371836</v>
      </c>
      <c r="C144" s="350">
        <f>(($B$136*D50+$B$135*(1-D50))+($B$137*D80)+($B$139*$B$140))*(1-$B$138)*C129</f>
        <v>0.37753261144883488</v>
      </c>
      <c r="D144" s="350">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2.75" x14ac:dyDescent="0.2">
      <c r="A145" s="103" t="s">
        <v>1021</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2.75" x14ac:dyDescent="0.2">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2.75" x14ac:dyDescent="0.2">
      <c r="A147" s="77" t="s">
        <v>723</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2.75" x14ac:dyDescent="0.2">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2.75" x14ac:dyDescent="0.2">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2.75" x14ac:dyDescent="0.2">
      <c r="A150" s="77" t="s">
        <v>724</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2.75" x14ac:dyDescent="0.2">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2.75" x14ac:dyDescent="0.2">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2.75" x14ac:dyDescent="0.2">
      <c r="A153" s="77" t="s">
        <v>725</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2.75" x14ac:dyDescent="0.2">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2.75" x14ac:dyDescent="0.2">
      <c r="A155" s="113" t="s">
        <v>1009</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2.75" x14ac:dyDescent="0.2">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2.75" x14ac:dyDescent="0.2">
      <c r="A157" s="77" t="s">
        <v>1017</v>
      </c>
      <c r="B157" s="348">
        <f>'Solar - Utility PV'!O152/1000</f>
        <v>1.3313527873137889</v>
      </c>
      <c r="C157" s="348">
        <f>'Solar - Utility PV'!P152/1000</f>
        <v>1.2895074168949341</v>
      </c>
      <c r="D157" s="348">
        <f>'Solar - Utility PV'!Q152/1000</f>
        <v>1.2476620464760786</v>
      </c>
      <c r="E157" s="348">
        <f>'Solar - Utility PV'!R152/1000</f>
        <v>1.2058166760572233</v>
      </c>
      <c r="F157" s="348">
        <f>'Solar - Utility PV'!S152/1000</f>
        <v>1.1639713056383683</v>
      </c>
      <c r="G157" s="348">
        <f>'Solar - Utility PV'!T152/1000</f>
        <v>1.122125935219513</v>
      </c>
      <c r="H157" s="348">
        <f>'Solar - Utility PV'!U152/1000</f>
        <v>1.0802805648006577</v>
      </c>
      <c r="I157" s="348">
        <f>'Solar - Utility PV'!V152/1000</f>
        <v>1.0384351943818024</v>
      </c>
      <c r="J157" s="348">
        <f>'Solar - Utility PV'!W152/1000</f>
        <v>0.99658982396294715</v>
      </c>
      <c r="K157" s="348">
        <f>'Solar - Utility PV'!X152/1000</f>
        <v>0.95474445354409199</v>
      </c>
      <c r="L157" s="348">
        <f>'Solar - Utility PV'!Y152/1000</f>
        <v>0.91289908312523671</v>
      </c>
      <c r="M157" s="348">
        <f>'Solar - Utility PV'!Z152/1000</f>
        <v>0.87105371270638143</v>
      </c>
      <c r="N157" s="348">
        <f>'Solar - Utility PV'!AA152/1000</f>
        <v>0.8292083422875256</v>
      </c>
      <c r="O157" s="348">
        <f>'Solar - Utility PV'!AB152/1000</f>
        <v>0.81609242237332258</v>
      </c>
      <c r="P157" s="348">
        <f>'Solar - Utility PV'!AC152/1000</f>
        <v>0.80297650245911978</v>
      </c>
      <c r="Q157" s="348">
        <f>'Solar - Utility PV'!AD152/1000</f>
        <v>0.78986058254491687</v>
      </c>
      <c r="R157" s="348">
        <f>'Solar - Utility PV'!AE152/1000</f>
        <v>0.77674466263071396</v>
      </c>
      <c r="S157" s="348">
        <f>'Solar - Utility PV'!AF152/1000</f>
        <v>0.76362874271651093</v>
      </c>
      <c r="T157" s="348">
        <f>'Solar - Utility PV'!AG152/1000</f>
        <v>0.75051282280230802</v>
      </c>
      <c r="U157" s="348">
        <f>'Solar - Utility PV'!AH152/1000</f>
        <v>0.73739690288810511</v>
      </c>
      <c r="V157" s="348">
        <f>'Solar - Utility PV'!AI152/1000</f>
        <v>0.7242809829739022</v>
      </c>
      <c r="W157" s="348">
        <f>'Solar - Utility PV'!AJ152/1000</f>
        <v>0.7111650630596994</v>
      </c>
      <c r="X157" s="348">
        <f>'Solar - Utility PV'!AK152/1000</f>
        <v>0.69804914314549638</v>
      </c>
      <c r="Y157" s="348">
        <f>'Solar - Utility PV'!AL152/1000</f>
        <v>0.68493322323129346</v>
      </c>
      <c r="Z157" s="348">
        <f>'Solar - Utility PV'!AM152/1000</f>
        <v>0.67181730331709055</v>
      </c>
      <c r="AA157" s="348">
        <f>'Solar - Utility PV'!AN152/1000</f>
        <v>0.65870138340288764</v>
      </c>
      <c r="AB157" s="348">
        <f>'Solar - Utility PV'!AO152/1000</f>
        <v>0.64558546348868484</v>
      </c>
      <c r="AC157" s="348">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2.75" x14ac:dyDescent="0.2">
      <c r="A158" s="77" t="s">
        <v>1020</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2.75" x14ac:dyDescent="0.2">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2.75" x14ac:dyDescent="0.2">
      <c r="A160" s="77" t="s">
        <v>717</v>
      </c>
      <c r="B160" s="348">
        <f>B144</f>
        <v>0.37019212259371836</v>
      </c>
      <c r="C160" s="348">
        <f t="shared" ref="C160:AC160" si="16">C144</f>
        <v>0.37753261144883488</v>
      </c>
      <c r="D160" s="348">
        <f t="shared" si="16"/>
        <v>0.38487310030395139</v>
      </c>
      <c r="E160" s="348">
        <f t="shared" si="16"/>
        <v>0</v>
      </c>
      <c r="F160" s="348">
        <f t="shared" si="16"/>
        <v>0</v>
      </c>
      <c r="G160" s="348">
        <f t="shared" si="16"/>
        <v>0</v>
      </c>
      <c r="H160" s="348">
        <f t="shared" si="16"/>
        <v>0</v>
      </c>
      <c r="I160" s="348">
        <f t="shared" si="16"/>
        <v>0</v>
      </c>
      <c r="J160" s="348">
        <f t="shared" si="16"/>
        <v>0</v>
      </c>
      <c r="K160" s="348">
        <f t="shared" si="16"/>
        <v>0</v>
      </c>
      <c r="L160" s="348">
        <f t="shared" si="16"/>
        <v>0</v>
      </c>
      <c r="M160" s="348">
        <f t="shared" si="16"/>
        <v>0</v>
      </c>
      <c r="N160" s="348">
        <f t="shared" si="16"/>
        <v>0</v>
      </c>
      <c r="O160" s="348">
        <f t="shared" si="16"/>
        <v>0</v>
      </c>
      <c r="P160" s="348">
        <f t="shared" si="16"/>
        <v>0</v>
      </c>
      <c r="Q160" s="348">
        <f t="shared" si="16"/>
        <v>0</v>
      </c>
      <c r="R160" s="348">
        <f t="shared" si="16"/>
        <v>0</v>
      </c>
      <c r="S160" s="348">
        <f t="shared" si="16"/>
        <v>0</v>
      </c>
      <c r="T160" s="348">
        <f t="shared" si="16"/>
        <v>0</v>
      </c>
      <c r="U160" s="348">
        <f t="shared" si="16"/>
        <v>0</v>
      </c>
      <c r="V160" s="348">
        <f t="shared" si="16"/>
        <v>0</v>
      </c>
      <c r="W160" s="348">
        <f t="shared" si="16"/>
        <v>0</v>
      </c>
      <c r="X160" s="348">
        <f t="shared" si="16"/>
        <v>0</v>
      </c>
      <c r="Y160" s="348">
        <f t="shared" si="16"/>
        <v>0</v>
      </c>
      <c r="Z160" s="348">
        <f t="shared" si="16"/>
        <v>0</v>
      </c>
      <c r="AA160" s="348">
        <f t="shared" si="16"/>
        <v>0</v>
      </c>
      <c r="AB160" s="348">
        <f t="shared" si="16"/>
        <v>0</v>
      </c>
      <c r="AC160" s="348">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2.75" x14ac:dyDescent="0.2">
      <c r="A161" s="77" t="s">
        <v>713</v>
      </c>
      <c r="B161" s="348">
        <f t="shared" ref="B161:AC161" si="17">B119</f>
        <v>0</v>
      </c>
      <c r="C161" s="348">
        <f t="shared" si="17"/>
        <v>0</v>
      </c>
      <c r="D161" s="348">
        <f t="shared" si="17"/>
        <v>0</v>
      </c>
      <c r="E161" s="348">
        <f t="shared" si="17"/>
        <v>22.91774335994446</v>
      </c>
      <c r="F161" s="348">
        <f t="shared" si="17"/>
        <v>22.913007930703568</v>
      </c>
      <c r="G161" s="348">
        <f t="shared" si="17"/>
        <v>22.90913348859738</v>
      </c>
      <c r="H161" s="348">
        <f t="shared" si="17"/>
        <v>22.90913348859738</v>
      </c>
      <c r="I161" s="348">
        <f t="shared" si="17"/>
        <v>22.90913348859738</v>
      </c>
      <c r="J161" s="348">
        <f t="shared" si="17"/>
        <v>22.90913348859738</v>
      </c>
      <c r="K161" s="348">
        <f t="shared" si="17"/>
        <v>22.90913348859738</v>
      </c>
      <c r="L161" s="348">
        <f t="shared" si="17"/>
        <v>22.90913348859738</v>
      </c>
      <c r="M161" s="348">
        <f t="shared" si="17"/>
        <v>22.90913348859738</v>
      </c>
      <c r="N161" s="348">
        <f t="shared" si="17"/>
        <v>22.90913348859738</v>
      </c>
      <c r="O161" s="348">
        <f t="shared" si="17"/>
        <v>22.90913348859738</v>
      </c>
      <c r="P161" s="348">
        <f t="shared" si="17"/>
        <v>22.90913348859738</v>
      </c>
      <c r="Q161" s="348">
        <f t="shared" si="17"/>
        <v>22.90913348859738</v>
      </c>
      <c r="R161" s="348">
        <f t="shared" si="17"/>
        <v>17.181850116448036</v>
      </c>
      <c r="S161" s="348">
        <f t="shared" si="17"/>
        <v>11.45456674429869</v>
      </c>
      <c r="T161" s="348">
        <f t="shared" si="17"/>
        <v>0</v>
      </c>
      <c r="U161" s="348">
        <f t="shared" si="17"/>
        <v>0</v>
      </c>
      <c r="V161" s="348">
        <f t="shared" si="17"/>
        <v>0</v>
      </c>
      <c r="W161" s="348">
        <f t="shared" si="17"/>
        <v>0</v>
      </c>
      <c r="X161" s="348">
        <f t="shared" si="17"/>
        <v>0</v>
      </c>
      <c r="Y161" s="348">
        <f t="shared" si="17"/>
        <v>0</v>
      </c>
      <c r="Z161" s="348">
        <f t="shared" si="17"/>
        <v>0</v>
      </c>
      <c r="AA161" s="348">
        <f t="shared" si="17"/>
        <v>0</v>
      </c>
      <c r="AB161" s="348">
        <f t="shared" si="17"/>
        <v>0</v>
      </c>
      <c r="AC161" s="348">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2.75" x14ac:dyDescent="0.2">
      <c r="A162" s="77"/>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c r="AA162" s="348"/>
      <c r="AB162" s="348"/>
      <c r="AC162" s="348"/>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2.75" x14ac:dyDescent="0.2">
      <c r="A163" s="77" t="s">
        <v>1010</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2.75" x14ac:dyDescent="0.2">
      <c r="A164" s="77" t="s">
        <v>1011</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2.75" x14ac:dyDescent="0.2">
      <c r="A165" s="77" t="s">
        <v>1012</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2.75" x14ac:dyDescent="0.2">
      <c r="A166" s="77" t="s">
        <v>1018</v>
      </c>
      <c r="B166" s="346">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2.75" x14ac:dyDescent="0.2">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2.75" x14ac:dyDescent="0.2">
      <c r="A168" s="77" t="s">
        <v>1013</v>
      </c>
      <c r="B168" s="349">
        <f>$B$163*10^6*B157*B160</f>
        <v>49285631.425675482</v>
      </c>
      <c r="C168" s="349">
        <f t="shared" ref="C168:AC168" si="19">$B$163*10^6*C157*C160</f>
        <v>48683110.258298583</v>
      </c>
      <c r="D168" s="349">
        <f t="shared" si="19"/>
        <v>48019155.995882109</v>
      </c>
      <c r="E168" s="349">
        <f t="shared" si="19"/>
        <v>0</v>
      </c>
      <c r="F168" s="349">
        <f t="shared" si="19"/>
        <v>0</v>
      </c>
      <c r="G168" s="349">
        <f t="shared" si="19"/>
        <v>0</v>
      </c>
      <c r="H168" s="349">
        <f t="shared" si="19"/>
        <v>0</v>
      </c>
      <c r="I168" s="349">
        <f t="shared" si="19"/>
        <v>0</v>
      </c>
      <c r="J168" s="349">
        <f t="shared" si="19"/>
        <v>0</v>
      </c>
      <c r="K168" s="349">
        <f t="shared" si="19"/>
        <v>0</v>
      </c>
      <c r="L168" s="349">
        <f t="shared" si="19"/>
        <v>0</v>
      </c>
      <c r="M168" s="349">
        <f t="shared" si="19"/>
        <v>0</v>
      </c>
      <c r="N168" s="349">
        <f t="shared" si="19"/>
        <v>0</v>
      </c>
      <c r="O168" s="349">
        <f t="shared" si="19"/>
        <v>0</v>
      </c>
      <c r="P168" s="349">
        <f t="shared" si="19"/>
        <v>0</v>
      </c>
      <c r="Q168" s="349">
        <f t="shared" si="19"/>
        <v>0</v>
      </c>
      <c r="R168" s="349">
        <f t="shared" si="19"/>
        <v>0</v>
      </c>
      <c r="S168" s="349">
        <f t="shared" si="19"/>
        <v>0</v>
      </c>
      <c r="T168" s="349">
        <f t="shared" si="19"/>
        <v>0</v>
      </c>
      <c r="U168" s="349">
        <f t="shared" si="19"/>
        <v>0</v>
      </c>
      <c r="V168" s="349">
        <f t="shared" si="19"/>
        <v>0</v>
      </c>
      <c r="W168" s="349">
        <f t="shared" si="19"/>
        <v>0</v>
      </c>
      <c r="X168" s="349">
        <f t="shared" si="19"/>
        <v>0</v>
      </c>
      <c r="Y168" s="349">
        <f t="shared" si="19"/>
        <v>0</v>
      </c>
      <c r="Z168" s="349">
        <f t="shared" si="19"/>
        <v>0</v>
      </c>
      <c r="AA168" s="349">
        <f t="shared" si="19"/>
        <v>0</v>
      </c>
      <c r="AB168" s="349">
        <f t="shared" si="19"/>
        <v>0</v>
      </c>
      <c r="AC168" s="349">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2.75" x14ac:dyDescent="0.2">
      <c r="A169" s="77" t="s">
        <v>1014</v>
      </c>
      <c r="B169" s="349">
        <f>B164*B161</f>
        <v>0</v>
      </c>
      <c r="C169" s="349">
        <f t="shared" ref="C169:AC169" si="20">C164*C161</f>
        <v>0</v>
      </c>
      <c r="D169" s="349">
        <f t="shared" si="20"/>
        <v>0</v>
      </c>
      <c r="E169" s="349">
        <f t="shared" si="20"/>
        <v>5018985.7958278367</v>
      </c>
      <c r="F169" s="349">
        <f t="shared" si="20"/>
        <v>5017948.7368240813</v>
      </c>
      <c r="G169" s="349">
        <f t="shared" si="20"/>
        <v>5017100.2340028258</v>
      </c>
      <c r="H169" s="349">
        <f t="shared" si="20"/>
        <v>5017100.2340028258</v>
      </c>
      <c r="I169" s="349">
        <f t="shared" si="20"/>
        <v>5017100.2340028258</v>
      </c>
      <c r="J169" s="349">
        <f t="shared" si="20"/>
        <v>5017100.2340028258</v>
      </c>
      <c r="K169" s="349">
        <f t="shared" si="20"/>
        <v>5017100.2340028258</v>
      </c>
      <c r="L169" s="349">
        <f t="shared" si="20"/>
        <v>5017100.2340028258</v>
      </c>
      <c r="M169" s="349">
        <f t="shared" si="20"/>
        <v>5017100.2340028258</v>
      </c>
      <c r="N169" s="349">
        <f t="shared" si="20"/>
        <v>5017100.2340028258</v>
      </c>
      <c r="O169" s="349">
        <f t="shared" si="20"/>
        <v>5017100.2340028258</v>
      </c>
      <c r="P169" s="349">
        <f t="shared" si="20"/>
        <v>5017100.2340028258</v>
      </c>
      <c r="Q169" s="349">
        <f t="shared" si="20"/>
        <v>5017100.2340028258</v>
      </c>
      <c r="R169" s="349">
        <f t="shared" si="20"/>
        <v>3762825.1755021201</v>
      </c>
      <c r="S169" s="349">
        <f t="shared" si="20"/>
        <v>2508550.1170014129</v>
      </c>
      <c r="T169" s="349">
        <f t="shared" si="20"/>
        <v>0</v>
      </c>
      <c r="U169" s="349">
        <f t="shared" si="20"/>
        <v>0</v>
      </c>
      <c r="V169" s="349">
        <f t="shared" si="20"/>
        <v>0</v>
      </c>
      <c r="W169" s="349">
        <f t="shared" si="20"/>
        <v>0</v>
      </c>
      <c r="X169" s="349">
        <f t="shared" si="20"/>
        <v>0</v>
      </c>
      <c r="Y169" s="349">
        <f t="shared" si="20"/>
        <v>0</v>
      </c>
      <c r="Z169" s="349">
        <f t="shared" si="20"/>
        <v>0</v>
      </c>
      <c r="AA169" s="349">
        <f t="shared" si="20"/>
        <v>0</v>
      </c>
      <c r="AB169" s="349">
        <f t="shared" si="20"/>
        <v>0</v>
      </c>
      <c r="AC169" s="349">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2.75" x14ac:dyDescent="0.2">
      <c r="A170" s="77" t="s">
        <v>1015</v>
      </c>
      <c r="B170" s="349">
        <f>NPV($B$165,B169*$B$166)</f>
        <v>0</v>
      </c>
      <c r="C170" s="349">
        <f t="shared" ref="C170:AC170" si="21">NPV($B$165,C169*$B$166)</f>
        <v>0</v>
      </c>
      <c r="D170" s="349">
        <f t="shared" si="21"/>
        <v>0</v>
      </c>
      <c r="E170" s="349">
        <f t="shared" si="21"/>
        <v>46906409.306802206</v>
      </c>
      <c r="F170" s="349">
        <f t="shared" si="21"/>
        <v>46896717.166580193</v>
      </c>
      <c r="G170" s="349">
        <f t="shared" si="21"/>
        <v>46888787.233671263</v>
      </c>
      <c r="H170" s="349">
        <f t="shared" si="21"/>
        <v>46888787.233671263</v>
      </c>
      <c r="I170" s="349">
        <f t="shared" si="21"/>
        <v>46888787.233671263</v>
      </c>
      <c r="J170" s="349">
        <f t="shared" si="21"/>
        <v>46888787.233671263</v>
      </c>
      <c r="K170" s="349">
        <f t="shared" si="21"/>
        <v>46888787.233671263</v>
      </c>
      <c r="L170" s="349">
        <f t="shared" si="21"/>
        <v>46888787.233671263</v>
      </c>
      <c r="M170" s="349">
        <f t="shared" si="21"/>
        <v>46888787.233671263</v>
      </c>
      <c r="N170" s="349">
        <f t="shared" si="21"/>
        <v>46888787.233671263</v>
      </c>
      <c r="O170" s="349">
        <f t="shared" si="21"/>
        <v>46888787.233671263</v>
      </c>
      <c r="P170" s="349">
        <f t="shared" si="21"/>
        <v>46888787.233671263</v>
      </c>
      <c r="Q170" s="349">
        <f t="shared" si="21"/>
        <v>46888787.233671263</v>
      </c>
      <c r="R170" s="349">
        <f t="shared" si="21"/>
        <v>35166590.425253458</v>
      </c>
      <c r="S170" s="349">
        <f t="shared" si="21"/>
        <v>23444393.616835631</v>
      </c>
      <c r="T170" s="349">
        <f t="shared" si="21"/>
        <v>0</v>
      </c>
      <c r="U170" s="349">
        <f t="shared" si="21"/>
        <v>0</v>
      </c>
      <c r="V170" s="349">
        <f t="shared" si="21"/>
        <v>0</v>
      </c>
      <c r="W170" s="349">
        <f t="shared" si="21"/>
        <v>0</v>
      </c>
      <c r="X170" s="349">
        <f t="shared" si="21"/>
        <v>0</v>
      </c>
      <c r="Y170" s="349">
        <f t="shared" si="21"/>
        <v>0</v>
      </c>
      <c r="Z170" s="349">
        <f t="shared" si="21"/>
        <v>0</v>
      </c>
      <c r="AA170" s="349">
        <f t="shared" si="21"/>
        <v>0</v>
      </c>
      <c r="AB170" s="349">
        <f t="shared" si="21"/>
        <v>0</v>
      </c>
      <c r="AC170" s="349">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2.75" x14ac:dyDescent="0.2">
      <c r="A171" s="77" t="s">
        <v>1016</v>
      </c>
      <c r="B171" s="349">
        <f>B169*$B$166</f>
        <v>0</v>
      </c>
      <c r="C171" s="349">
        <f t="shared" ref="C171:AC171" si="22">C169*$B$166</f>
        <v>0</v>
      </c>
      <c r="D171" s="349">
        <f t="shared" si="22"/>
        <v>0</v>
      </c>
      <c r="E171" s="349">
        <f t="shared" si="22"/>
        <v>50189857.958278365</v>
      </c>
      <c r="F171" s="349">
        <f t="shared" si="22"/>
        <v>50179487.368240811</v>
      </c>
      <c r="G171" s="349">
        <f t="shared" si="22"/>
        <v>50171002.340028256</v>
      </c>
      <c r="H171" s="349">
        <f t="shared" si="22"/>
        <v>50171002.340028256</v>
      </c>
      <c r="I171" s="349">
        <f t="shared" si="22"/>
        <v>50171002.340028256</v>
      </c>
      <c r="J171" s="349">
        <f t="shared" si="22"/>
        <v>50171002.340028256</v>
      </c>
      <c r="K171" s="349">
        <f t="shared" si="22"/>
        <v>50171002.340028256</v>
      </c>
      <c r="L171" s="349">
        <f t="shared" si="22"/>
        <v>50171002.340028256</v>
      </c>
      <c r="M171" s="349">
        <f t="shared" si="22"/>
        <v>50171002.340028256</v>
      </c>
      <c r="N171" s="349">
        <f t="shared" si="22"/>
        <v>50171002.340028256</v>
      </c>
      <c r="O171" s="349">
        <f t="shared" si="22"/>
        <v>50171002.340028256</v>
      </c>
      <c r="P171" s="349">
        <f t="shared" si="22"/>
        <v>50171002.340028256</v>
      </c>
      <c r="Q171" s="349">
        <f t="shared" si="22"/>
        <v>50171002.340028256</v>
      </c>
      <c r="R171" s="349">
        <f t="shared" si="22"/>
        <v>37628251.7550212</v>
      </c>
      <c r="S171" s="349">
        <f t="shared" si="22"/>
        <v>25085501.170014128</v>
      </c>
      <c r="T171" s="349">
        <f t="shared" si="22"/>
        <v>0</v>
      </c>
      <c r="U171" s="349">
        <f t="shared" si="22"/>
        <v>0</v>
      </c>
      <c r="V171" s="349">
        <f t="shared" si="22"/>
        <v>0</v>
      </c>
      <c r="W171" s="349">
        <f t="shared" si="22"/>
        <v>0</v>
      </c>
      <c r="X171" s="349">
        <f t="shared" si="22"/>
        <v>0</v>
      </c>
      <c r="Y171" s="349">
        <f t="shared" si="22"/>
        <v>0</v>
      </c>
      <c r="Z171" s="349">
        <f t="shared" si="22"/>
        <v>0</v>
      </c>
      <c r="AA171" s="349">
        <f t="shared" si="22"/>
        <v>0</v>
      </c>
      <c r="AB171" s="349">
        <f t="shared" si="22"/>
        <v>0</v>
      </c>
      <c r="AC171" s="349">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2.75" x14ac:dyDescent="0.2">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2.75" x14ac:dyDescent="0.2">
      <c r="A173" s="77" t="s">
        <v>1019</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2.75" x14ac:dyDescent="0.2">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2.75" x14ac:dyDescent="0.2">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2.75" x14ac:dyDescent="0.2">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2.75" x14ac:dyDescent="0.2">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2.75" x14ac:dyDescent="0.2">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2.75" x14ac:dyDescent="0.2">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2.75" x14ac:dyDescent="0.2">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2.75" x14ac:dyDescent="0.2">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2.75" x14ac:dyDescent="0.2">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2.75" x14ac:dyDescent="0.2">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2.75" x14ac:dyDescent="0.2">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2.75" x14ac:dyDescent="0.2">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2.75" x14ac:dyDescent="0.2">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2.75" x14ac:dyDescent="0.2">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2.75" x14ac:dyDescent="0.2">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2.75" x14ac:dyDescent="0.2">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2.75" x14ac:dyDescent="0.2">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2.75" x14ac:dyDescent="0.2">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2.75" x14ac:dyDescent="0.2">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2.75" x14ac:dyDescent="0.2">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2.75" x14ac:dyDescent="0.2">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2.75" x14ac:dyDescent="0.2">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2.75" x14ac:dyDescent="0.2">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2.75" x14ac:dyDescent="0.2">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2.75" x14ac:dyDescent="0.2">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2.75" x14ac:dyDescent="0.2">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2.75" x14ac:dyDescent="0.2">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2.75" x14ac:dyDescent="0.2">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2.75" x14ac:dyDescent="0.2">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2.75" x14ac:dyDescent="0.2">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2.75" x14ac:dyDescent="0.2">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2.75" x14ac:dyDescent="0.2">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2.75" x14ac:dyDescent="0.2">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2.75" x14ac:dyDescent="0.2">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2.75" x14ac:dyDescent="0.2">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2.75" x14ac:dyDescent="0.2">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2.75" x14ac:dyDescent="0.2">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2.75" x14ac:dyDescent="0.2">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2.75" x14ac:dyDescent="0.2">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2.75" x14ac:dyDescent="0.2">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2.75" x14ac:dyDescent="0.2">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2.75" x14ac:dyDescent="0.2">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2.75" x14ac:dyDescent="0.2">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2.75" x14ac:dyDescent="0.2">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2.75" x14ac:dyDescent="0.2">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2.75" x14ac:dyDescent="0.2">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2.75" x14ac:dyDescent="0.2">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2.75" x14ac:dyDescent="0.2">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2.75" x14ac:dyDescent="0.2">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2.75" x14ac:dyDescent="0.2">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2.75" x14ac:dyDescent="0.2">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2.75" x14ac:dyDescent="0.2">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2.75" x14ac:dyDescent="0.2">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2.75" x14ac:dyDescent="0.2">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2.75" x14ac:dyDescent="0.2">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2.75" x14ac:dyDescent="0.2">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2.75" x14ac:dyDescent="0.2">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2.75" x14ac:dyDescent="0.2">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2.75" x14ac:dyDescent="0.2">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2.75" x14ac:dyDescent="0.2">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2.75" x14ac:dyDescent="0.2">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2.75" x14ac:dyDescent="0.2">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2.75" x14ac:dyDescent="0.2">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2.75" x14ac:dyDescent="0.2">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2.75" x14ac:dyDescent="0.2">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2.75" x14ac:dyDescent="0.2">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2.75" x14ac:dyDescent="0.2">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2.75" x14ac:dyDescent="0.2">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2.75" x14ac:dyDescent="0.2">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2.75" x14ac:dyDescent="0.2">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I94"/>
  <sheetViews>
    <sheetView topLeftCell="A16" zoomScale="85" zoomScaleNormal="85" workbookViewId="0">
      <selection activeCell="B88" sqref="B88:AE94"/>
    </sheetView>
  </sheetViews>
  <sheetFormatPr defaultRowHeight="15" x14ac:dyDescent="0.25"/>
  <cols>
    <col min="1" max="1" width="45.85546875" customWidth="1"/>
    <col min="2" max="2" width="18.85546875" customWidth="1"/>
    <col min="3" max="3" width="15.42578125" customWidth="1"/>
    <col min="4" max="4" width="12" bestFit="1" customWidth="1"/>
    <col min="5" max="5" width="9.5703125" customWidth="1"/>
    <col min="6" max="6" width="12" customWidth="1"/>
  </cols>
  <sheetData>
    <row r="1" spans="1:12" x14ac:dyDescent="0.25">
      <c r="A1" s="1" t="s">
        <v>1089</v>
      </c>
      <c r="B1">
        <v>2023</v>
      </c>
      <c r="C1">
        <v>2030</v>
      </c>
      <c r="D1">
        <v>2050</v>
      </c>
    </row>
    <row r="2" spans="1:12" x14ac:dyDescent="0.25">
      <c r="A2" s="1" t="s">
        <v>1087</v>
      </c>
      <c r="B2" s="343">
        <v>7.22</v>
      </c>
      <c r="C2" s="343">
        <v>4.82</v>
      </c>
      <c r="D2" s="343">
        <v>2.92</v>
      </c>
    </row>
    <row r="3" spans="1:12" x14ac:dyDescent="0.25">
      <c r="A3" s="1" t="s">
        <v>1088</v>
      </c>
      <c r="B3" s="343">
        <v>2.5</v>
      </c>
      <c r="C3" s="343">
        <v>2.4500000000000002</v>
      </c>
      <c r="D3" s="343">
        <v>2.41</v>
      </c>
    </row>
    <row r="5" spans="1:12" x14ac:dyDescent="0.25">
      <c r="A5" s="1" t="s">
        <v>979</v>
      </c>
      <c r="B5">
        <v>2023</v>
      </c>
      <c r="C5">
        <v>2030</v>
      </c>
      <c r="D5">
        <v>2050</v>
      </c>
    </row>
    <row r="6" spans="1:12" x14ac:dyDescent="0.25">
      <c r="A6" s="1" t="s">
        <v>977</v>
      </c>
      <c r="B6" s="343">
        <f>B2*About!$A$87</f>
        <v>5.440294714179756</v>
      </c>
      <c r="C6" s="343">
        <f>C2*About!$A$87</f>
        <v>3.6318864989399482</v>
      </c>
      <c r="D6" s="343">
        <f>D2*About!$A$87</f>
        <v>2.2002299952084332</v>
      </c>
      <c r="E6" s="343"/>
      <c r="F6" s="343"/>
      <c r="G6" s="343"/>
      <c r="H6" s="343"/>
      <c r="I6" s="343"/>
      <c r="J6" s="343"/>
      <c r="K6" s="343"/>
      <c r="L6" s="343"/>
    </row>
    <row r="7" spans="1:12" x14ac:dyDescent="0.25">
      <c r="A7" s="1" t="s">
        <v>978</v>
      </c>
      <c r="B7" s="343">
        <f>B3*About!$A$86</f>
        <v>1.9613025576190397</v>
      </c>
      <c r="C7" s="343">
        <f>C3*About!$A$86</f>
        <v>1.922076506466659</v>
      </c>
      <c r="D7" s="343">
        <f>D3*About!$A$86</f>
        <v>1.8906956655447542</v>
      </c>
    </row>
    <row r="9" spans="1:12" x14ac:dyDescent="0.25">
      <c r="A9" s="1" t="s">
        <v>980</v>
      </c>
    </row>
    <row r="10" spans="1:12" x14ac:dyDescent="0.25">
      <c r="A10">
        <v>61013</v>
      </c>
      <c r="B10" t="s">
        <v>981</v>
      </c>
    </row>
    <row r="11" spans="1:12" x14ac:dyDescent="0.25">
      <c r="A11" s="15" t="s">
        <v>982</v>
      </c>
    </row>
    <row r="13" spans="1:12" x14ac:dyDescent="0.25">
      <c r="A13" s="1" t="s">
        <v>983</v>
      </c>
    </row>
    <row r="14" spans="1:12" x14ac:dyDescent="0.25">
      <c r="A14">
        <v>2.2046199999999998</v>
      </c>
      <c r="B14" t="s">
        <v>984</v>
      </c>
    </row>
    <row r="16" spans="1:12" x14ac:dyDescent="0.25">
      <c r="A16" t="s">
        <v>985</v>
      </c>
    </row>
    <row r="17" spans="1:7" x14ac:dyDescent="0.25">
      <c r="A17" t="s">
        <v>986</v>
      </c>
    </row>
    <row r="18" spans="1:7" x14ac:dyDescent="0.25">
      <c r="A18" t="s">
        <v>987</v>
      </c>
    </row>
    <row r="20" spans="1:7" x14ac:dyDescent="0.25">
      <c r="A20" t="s">
        <v>988</v>
      </c>
    </row>
    <row r="21" spans="1:7" x14ac:dyDescent="0.25">
      <c r="A21" t="s">
        <v>989</v>
      </c>
    </row>
    <row r="22" spans="1:7" x14ac:dyDescent="0.25">
      <c r="A22" t="s">
        <v>990</v>
      </c>
    </row>
    <row r="23" spans="1:7" x14ac:dyDescent="0.25">
      <c r="A23" t="s">
        <v>991</v>
      </c>
    </row>
    <row r="24" spans="1:7" x14ac:dyDescent="0.25">
      <c r="A24" t="s">
        <v>992</v>
      </c>
    </row>
    <row r="26" spans="1:7" x14ac:dyDescent="0.25">
      <c r="A26" t="s">
        <v>993</v>
      </c>
      <c r="D26">
        <v>2023</v>
      </c>
      <c r="E26">
        <v>2030</v>
      </c>
      <c r="F26">
        <v>2050</v>
      </c>
    </row>
    <row r="27" spans="1:7" x14ac:dyDescent="0.25">
      <c r="A27" t="s">
        <v>994</v>
      </c>
      <c r="D27" s="5">
        <f>B6/$A$14/$A$10</f>
        <v>4.04451364068662E-5</v>
      </c>
      <c r="E27" s="5">
        <f t="shared" ref="E27:F28" si="0">C6/$A$14/$A$10</f>
        <v>2.7000769734223703E-5</v>
      </c>
      <c r="F27" s="5">
        <f t="shared" si="0"/>
        <v>1.6357312785048384E-5</v>
      </c>
    </row>
    <row r="28" spans="1:7" x14ac:dyDescent="0.25">
      <c r="A28" t="s">
        <v>995</v>
      </c>
      <c r="D28" s="352">
        <f>B7/$A$14/$A$10</f>
        <v>1.4581039014537584E-5</v>
      </c>
      <c r="E28" s="352">
        <f t="shared" si="0"/>
        <v>1.4289418234246833E-5</v>
      </c>
      <c r="F28" s="5">
        <f t="shared" si="0"/>
        <v>1.4056121610014231E-5</v>
      </c>
      <c r="G28" s="5"/>
    </row>
    <row r="30" spans="1:7" x14ac:dyDescent="0.25">
      <c r="A30" s="1" t="s">
        <v>1044</v>
      </c>
    </row>
    <row r="31" spans="1:7" x14ac:dyDescent="0.25">
      <c r="A31" t="s">
        <v>1045</v>
      </c>
    </row>
    <row r="32" spans="1:7" x14ac:dyDescent="0.25">
      <c r="B32" t="s">
        <v>1046</v>
      </c>
      <c r="C32" t="s">
        <v>1047</v>
      </c>
    </row>
    <row r="33" spans="1:31" x14ac:dyDescent="0.25">
      <c r="A33" t="s">
        <v>1048</v>
      </c>
      <c r="B33">
        <v>6.18</v>
      </c>
      <c r="C33" s="5">
        <f t="shared" ref="C33:C43" si="1">B33/10^6*dollars_2018_to_2012</f>
        <v>5.6485199999999999E-6</v>
      </c>
      <c r="D33" s="351"/>
    </row>
    <row r="34" spans="1:31" x14ac:dyDescent="0.25">
      <c r="A34" t="s">
        <v>1049</v>
      </c>
      <c r="B34">
        <v>6.77</v>
      </c>
      <c r="C34" s="5">
        <f t="shared" si="1"/>
        <v>6.1877799999999997E-6</v>
      </c>
      <c r="D34" s="351"/>
    </row>
    <row r="35" spans="1:31" x14ac:dyDescent="0.25">
      <c r="A35" t="s">
        <v>1050</v>
      </c>
      <c r="B35">
        <v>9.25</v>
      </c>
      <c r="C35" s="5">
        <f t="shared" si="1"/>
        <v>8.4545000000000001E-6</v>
      </c>
      <c r="D35" s="351"/>
    </row>
    <row r="36" spans="1:31" x14ac:dyDescent="0.25">
      <c r="A36" t="s">
        <v>1051</v>
      </c>
      <c r="B36">
        <v>12.8</v>
      </c>
      <c r="C36" s="5">
        <f t="shared" si="1"/>
        <v>1.1699200000000001E-5</v>
      </c>
      <c r="D36" s="351"/>
    </row>
    <row r="37" spans="1:31" x14ac:dyDescent="0.25">
      <c r="A37" t="s">
        <v>1052</v>
      </c>
      <c r="B37">
        <v>18.2</v>
      </c>
      <c r="C37" s="5">
        <f t="shared" si="1"/>
        <v>1.6634799999999999E-5</v>
      </c>
      <c r="D37" s="351"/>
    </row>
    <row r="38" spans="1:31" x14ac:dyDescent="0.25">
      <c r="A38" t="s">
        <v>1053</v>
      </c>
      <c r="B38">
        <v>26.98</v>
      </c>
      <c r="C38" s="5">
        <f t="shared" si="1"/>
        <v>2.4659720000000002E-5</v>
      </c>
      <c r="D38" s="351"/>
    </row>
    <row r="39" spans="1:31" x14ac:dyDescent="0.25">
      <c r="A39" t="s">
        <v>1054</v>
      </c>
      <c r="B39">
        <v>29.23</v>
      </c>
      <c r="C39" s="5">
        <f t="shared" si="1"/>
        <v>2.6716220000000002E-5</v>
      </c>
      <c r="D39" s="351"/>
    </row>
    <row r="40" spans="1:31" x14ac:dyDescent="0.25">
      <c r="A40" t="s">
        <v>1055</v>
      </c>
      <c r="B40">
        <v>31.96</v>
      </c>
      <c r="C40" s="5">
        <f t="shared" si="1"/>
        <v>2.9211439999999999E-5</v>
      </c>
      <c r="D40" s="351"/>
    </row>
    <row r="41" spans="1:31" x14ac:dyDescent="0.25">
      <c r="A41" t="s">
        <v>1056</v>
      </c>
      <c r="B41">
        <v>38.409999999999997</v>
      </c>
      <c r="C41" s="5">
        <f t="shared" si="1"/>
        <v>3.5106740000000003E-5</v>
      </c>
      <c r="D41" s="351"/>
    </row>
    <row r="42" spans="1:31" x14ac:dyDescent="0.25">
      <c r="A42" t="s">
        <v>1057</v>
      </c>
      <c r="B42">
        <v>47.89</v>
      </c>
      <c r="C42" s="5">
        <f t="shared" si="1"/>
        <v>4.3771459999999996E-5</v>
      </c>
      <c r="D42" s="351"/>
    </row>
    <row r="43" spans="1:31" x14ac:dyDescent="0.25">
      <c r="A43" t="s">
        <v>1058</v>
      </c>
      <c r="B43">
        <v>86.19</v>
      </c>
      <c r="C43" s="5">
        <f t="shared" si="1"/>
        <v>7.877766E-5</v>
      </c>
      <c r="D43" s="351"/>
    </row>
    <row r="45" spans="1:31" x14ac:dyDescent="0.25">
      <c r="A45" t="s">
        <v>1059</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25">
      <c r="A46" t="s">
        <v>1060</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25">
      <c r="A47" t="s">
        <v>1061</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25">
      <c r="A48" t="s">
        <v>1062</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25">
      <c r="A49" t="s">
        <v>1063</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25">
      <c r="A50" t="s">
        <v>1064</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25">
      <c r="A51" t="s">
        <v>1065</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25">
      <c r="A52" t="s">
        <v>1066</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25">
      <c r="A53" t="s">
        <v>1067</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25">
      <c r="A54" t="s">
        <v>1068</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25">
      <c r="A55" t="s">
        <v>1069</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25">
      <c r="A56" t="s">
        <v>1070</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25">
      <c r="A57" t="s">
        <v>1071</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25">
      <c r="A58" t="s">
        <v>1072</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25">
      <c r="A59" t="s">
        <v>1073</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25">
      <c r="A60" t="s">
        <v>1074</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25">
      <c r="A61" t="s">
        <v>1075</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25">
      <c r="A62" t="s">
        <v>1076</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25">
      <c r="A63" t="s">
        <v>1077</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25">
      <c r="A64" t="s">
        <v>1078</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25">
      <c r="A65" t="s">
        <v>1079</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25">
      <c r="A66" t="s">
        <v>1080</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25">
      <c r="A67" t="s">
        <v>1081</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25">
      <c r="A68" t="s">
        <v>1082</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25">
      <c r="A69" t="s">
        <v>1083</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25">
      <c r="A70" t="s">
        <v>1084</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2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25">
      <c r="A73" s="344" t="s">
        <v>1028</v>
      </c>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c r="AA73" s="345"/>
      <c r="AB73" s="345"/>
      <c r="AC73" s="345"/>
      <c r="AD73" s="345"/>
      <c r="AE73" s="345"/>
      <c r="AF73" s="345"/>
      <c r="AG73" s="345"/>
      <c r="AH73" s="345"/>
      <c r="AI73" s="345"/>
    </row>
    <row r="74" spans="1:35" x14ac:dyDescent="0.2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25">
      <c r="A75" s="1" t="s">
        <v>1029</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25">
      <c r="A76" s="1" t="s">
        <v>1030</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25">
      <c r="A77" s="1" t="s">
        <v>1085</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25">
      <c r="A79" s="1" t="s">
        <v>1031</v>
      </c>
    </row>
    <row r="80" spans="1:35" x14ac:dyDescent="0.2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25">
      <c r="A81" t="s">
        <v>1032</v>
      </c>
      <c r="B81">
        <f>INDEX('[2]Transp Charging'!$D:$D,MATCH(B80,'[2]Transp Charging'!$A:$A,0))</f>
        <v>10.05360309644399</v>
      </c>
      <c r="C81">
        <f>INDEX('[2]Transp Charging'!$D:$D,MATCH(C80,'[2]Transp Charging'!$A:$A,0))</f>
        <v>11.59</v>
      </c>
      <c r="D81">
        <f>INDEX('[2]Transp Charging'!$D:$D,MATCH(D80,'[2]Transp Charging'!$A:$A,0))</f>
        <v>10.7</v>
      </c>
      <c r="E81">
        <f>INDEX('[2]Transp Charging'!$D:$D,MATCH(E80,'[2]Transp Charging'!$A:$A,0))</f>
        <v>10.3</v>
      </c>
      <c r="F81">
        <f>INDEX('[2]Transp Charging'!$D:$D,MATCH(F80,'[2]Transp Charging'!$A:$A,0))</f>
        <v>10.029999999999999</v>
      </c>
      <c r="G81">
        <f>INDEX('[2]Transp Charging'!$D:$D,MATCH(G80,'[2]Transp Charging'!$A:$A,0))</f>
        <v>9.85</v>
      </c>
      <c r="H81">
        <f>INDEX('[2]Transp Charging'!$D:$D,MATCH(H80,'[2]Transp Charging'!$A:$A,0))</f>
        <v>9.7200000000000006</v>
      </c>
      <c r="I81">
        <f>INDEX('[2]Transp Charging'!$D:$D,MATCH(I80,'[2]Transp Charging'!$A:$A,0))</f>
        <v>9.64</v>
      </c>
      <c r="J81">
        <f>INDEX('[2]Transp Charging'!$D:$D,MATCH(J80,'[2]Transp Charging'!$A:$A,0))</f>
        <v>9.59</v>
      </c>
      <c r="K81">
        <f>INDEX('[2]Transp Charging'!$D:$D,MATCH(K80,'[2]Transp Charging'!$A:$A,0))</f>
        <v>9.5500000000000007</v>
      </c>
      <c r="L81">
        <f>INDEX('[2]Transp Charging'!$D:$D,MATCH(L80,'[2]Transp Charging'!$A:$A,0))</f>
        <v>9.51</v>
      </c>
      <c r="M81">
        <f>INDEX('[2]Transp Charging'!$D:$D,MATCH(M80,'[2]Transp Charging'!$A:$A,0))</f>
        <v>9.48</v>
      </c>
      <c r="N81">
        <f>INDEX('[2]Transp Charging'!$D:$D,MATCH(N80,'[2]Transp Charging'!$A:$A,0))</f>
        <v>9.4499999999999993</v>
      </c>
      <c r="O81">
        <f>INDEX('[2]Transp Charging'!$D:$D,MATCH(O80,'[2]Transp Charging'!$A:$A,0))</f>
        <v>9.41</v>
      </c>
      <c r="P81">
        <f>INDEX('[2]Transp Charging'!$D:$D,MATCH(P80,'[2]Transp Charging'!$A:$A,0))</f>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25">
      <c r="A82" t="s">
        <v>1033</v>
      </c>
      <c r="B82">
        <f>B81/$A$14/$A$10*About!$A$85</f>
        <v>6.630456295926538E-5</v>
      </c>
      <c r="C82">
        <f>C81/$A$14/$A$10*About!$A$85</f>
        <v>7.643726108201919E-5</v>
      </c>
      <c r="D82">
        <f>D81/$A$14/$A$10*About!$A$85</f>
        <v>7.0567618082623403E-5</v>
      </c>
      <c r="E82">
        <f>E81/$A$14/$A$10*About!$A$85</f>
        <v>6.7929576285142171E-5</v>
      </c>
      <c r="F82">
        <f>F81/$A$14/$A$10*About!$A$85</f>
        <v>6.6148898071842306E-5</v>
      </c>
      <c r="G82">
        <f>G81/$A$14/$A$10*About!$A$85</f>
        <v>6.4961779262975752E-5</v>
      </c>
      <c r="H82">
        <f>H81/$A$14/$A$10*About!$A$85</f>
        <v>6.4104415678794359E-5</v>
      </c>
      <c r="I82">
        <f>I81/$A$14/$A$10*About!$A$85</f>
        <v>6.3576807319298112E-5</v>
      </c>
      <c r="J82">
        <f>J81/$A$14/$A$10*About!$A$85</f>
        <v>6.3247052094612938E-5</v>
      </c>
      <c r="K82">
        <f>K81/$A$14/$A$10*About!$A$85</f>
        <v>6.2983247914864815E-5</v>
      </c>
      <c r="L82">
        <f>L81/$A$14/$A$10*About!$A$85</f>
        <v>6.2719443735116678E-5</v>
      </c>
      <c r="M82">
        <f>M81/$A$14/$A$10*About!$A$85</f>
        <v>6.2521590600305606E-5</v>
      </c>
      <c r="N82">
        <f>N81/$A$14/$A$10*About!$A$85</f>
        <v>6.2323737465494494E-5</v>
      </c>
      <c r="O82">
        <f>O81/$A$14/$A$10*About!$A$85</f>
        <v>6.205993328574637E-5</v>
      </c>
      <c r="P82">
        <f>P81/$A$14/$A$10*About!$A$85</f>
        <v>6.1796129105998261E-5</v>
      </c>
      <c r="Q82">
        <f>Q81/$A$14/$A$10*About!$A$85</f>
        <v>6.1796129105998261E-5</v>
      </c>
      <c r="R82">
        <f>R81/$A$14/$A$10*About!$A$85</f>
        <v>6.1796129105998261E-5</v>
      </c>
      <c r="S82">
        <f>S81/$A$14/$A$10*About!$A$85</f>
        <v>6.1796129105998261E-5</v>
      </c>
      <c r="T82">
        <f>T81/$A$14/$A$10*About!$A$85</f>
        <v>6.1796129105998261E-5</v>
      </c>
      <c r="U82">
        <f>U81/$A$14/$A$10*About!$A$85</f>
        <v>6.1796129105998261E-5</v>
      </c>
      <c r="V82">
        <f>V81/$A$14/$A$10*About!$A$85</f>
        <v>6.1796129105998261E-5</v>
      </c>
      <c r="W82">
        <f>W81/$A$14/$A$10*About!$A$85</f>
        <v>6.1796129105998261E-5</v>
      </c>
      <c r="X82">
        <f>X81/$A$14/$A$10*About!$A$85</f>
        <v>6.1796129105998261E-5</v>
      </c>
      <c r="Y82">
        <f>Y81/$A$14/$A$10*About!$A$85</f>
        <v>6.1796129105998261E-5</v>
      </c>
      <c r="Z82">
        <f>Z81/$A$14/$A$10*About!$A$85</f>
        <v>6.1796129105998261E-5</v>
      </c>
      <c r="AA82">
        <f>AA81/$A$14/$A$10*About!$A$85</f>
        <v>6.1796129105998261E-5</v>
      </c>
      <c r="AB82">
        <f>AB81/$A$14/$A$10*About!$A$85</f>
        <v>6.1796129105998261E-5</v>
      </c>
      <c r="AC82">
        <f>AC81/$A$14/$A$10*About!$A$85</f>
        <v>6.1796129105998261E-5</v>
      </c>
      <c r="AD82">
        <f>AD81/$A$14/$A$10*About!$A$85</f>
        <v>6.1796129105998261E-5</v>
      </c>
      <c r="AE82">
        <f>AE81/$A$14/$A$10*About!$A$85</f>
        <v>6.1796129105998261E-5</v>
      </c>
    </row>
    <row r="86" spans="1:31" x14ac:dyDescent="0.25">
      <c r="A86" t="s">
        <v>963</v>
      </c>
    </row>
    <row r="87" spans="1:31" x14ac:dyDescent="0.25">
      <c r="A87" s="1" t="s">
        <v>964</v>
      </c>
      <c r="B87" s="342">
        <v>2021</v>
      </c>
      <c r="C87">
        <v>2022</v>
      </c>
      <c r="D87" s="342">
        <v>2023</v>
      </c>
      <c r="E87">
        <v>2024</v>
      </c>
      <c r="F87" s="342">
        <v>2025</v>
      </c>
      <c r="G87">
        <v>2026</v>
      </c>
      <c r="H87" s="342">
        <v>2027</v>
      </c>
      <c r="I87">
        <v>2028</v>
      </c>
      <c r="J87" s="342">
        <v>2029</v>
      </c>
      <c r="K87">
        <v>2030</v>
      </c>
      <c r="L87" s="342">
        <v>2031</v>
      </c>
      <c r="M87">
        <v>2032</v>
      </c>
      <c r="N87" s="342">
        <v>2033</v>
      </c>
      <c r="O87">
        <v>2034</v>
      </c>
      <c r="P87" s="342">
        <v>2035</v>
      </c>
      <c r="Q87">
        <v>2036</v>
      </c>
      <c r="R87" s="342">
        <v>2037</v>
      </c>
      <c r="S87">
        <v>2038</v>
      </c>
      <c r="T87" s="342">
        <v>2039</v>
      </c>
      <c r="U87">
        <v>2040</v>
      </c>
      <c r="V87" s="342">
        <v>2041</v>
      </c>
      <c r="W87">
        <v>2042</v>
      </c>
      <c r="X87" s="342">
        <v>2043</v>
      </c>
      <c r="Y87">
        <v>2044</v>
      </c>
      <c r="Z87" s="342">
        <v>2045</v>
      </c>
      <c r="AA87">
        <v>2046</v>
      </c>
      <c r="AB87" s="342">
        <v>2047</v>
      </c>
      <c r="AC87">
        <v>2048</v>
      </c>
      <c r="AD87" s="342">
        <v>2049</v>
      </c>
      <c r="AE87">
        <v>2050</v>
      </c>
    </row>
    <row r="88" spans="1:31" x14ac:dyDescent="0.25">
      <c r="A88" t="s">
        <v>965</v>
      </c>
      <c r="B88" s="19">
        <v>0</v>
      </c>
      <c r="C88" s="19">
        <v>0</v>
      </c>
      <c r="D88" s="19">
        <v>0</v>
      </c>
      <c r="E88" s="19">
        <v>0</v>
      </c>
      <c r="F88" s="19">
        <v>0</v>
      </c>
      <c r="G88" s="19">
        <v>0</v>
      </c>
      <c r="H88" s="19">
        <v>0</v>
      </c>
      <c r="I88" s="19">
        <v>0</v>
      </c>
      <c r="J88" s="19">
        <v>0</v>
      </c>
      <c r="K88" s="19">
        <v>0</v>
      </c>
      <c r="L88" s="19">
        <v>0</v>
      </c>
      <c r="M88" s="19">
        <v>0</v>
      </c>
      <c r="N88" s="19">
        <v>0</v>
      </c>
      <c r="O88" s="19">
        <v>0</v>
      </c>
      <c r="P88" s="19">
        <v>0</v>
      </c>
      <c r="Q88" s="19">
        <v>0</v>
      </c>
      <c r="R88" s="19">
        <v>0</v>
      </c>
      <c r="S88" s="19">
        <v>0</v>
      </c>
      <c r="T88" s="19">
        <v>0</v>
      </c>
      <c r="U88" s="19">
        <v>0</v>
      </c>
      <c r="V88" s="19">
        <v>0</v>
      </c>
      <c r="W88" s="19">
        <v>0</v>
      </c>
      <c r="X88" s="19">
        <v>0</v>
      </c>
      <c r="Y88" s="19">
        <v>0</v>
      </c>
      <c r="Z88" s="19">
        <v>0</v>
      </c>
      <c r="AA88" s="19">
        <v>0</v>
      </c>
      <c r="AB88" s="19">
        <v>0</v>
      </c>
      <c r="AC88" s="19">
        <v>0</v>
      </c>
      <c r="AD88" s="19">
        <v>0</v>
      </c>
      <c r="AE88" s="19">
        <v>0</v>
      </c>
    </row>
    <row r="89" spans="1:31" x14ac:dyDescent="0.25">
      <c r="A89" t="s">
        <v>966</v>
      </c>
      <c r="B89" s="19">
        <v>1</v>
      </c>
      <c r="C89" s="19">
        <v>1</v>
      </c>
      <c r="D89" s="19">
        <v>1</v>
      </c>
      <c r="E89" s="19">
        <v>1</v>
      </c>
      <c r="F89" s="19">
        <v>1</v>
      </c>
      <c r="G89" s="19">
        <v>0.95799331103678753</v>
      </c>
      <c r="H89" s="19">
        <v>0.91598662207357506</v>
      </c>
      <c r="I89" s="19">
        <v>0.87397993311037681</v>
      </c>
      <c r="J89" s="19">
        <v>0.83197324414716434</v>
      </c>
      <c r="K89" s="19">
        <v>0.78996655518395187</v>
      </c>
      <c r="L89" s="19">
        <v>0.711973244147174</v>
      </c>
      <c r="M89" s="19">
        <v>0.63397993311036771</v>
      </c>
      <c r="N89" s="19">
        <v>0.55598662207358984</v>
      </c>
      <c r="O89" s="19">
        <v>0.47799331103681197</v>
      </c>
      <c r="P89" s="19">
        <v>0.40000000000000568</v>
      </c>
      <c r="Q89" s="19">
        <v>0.40000000000000568</v>
      </c>
      <c r="R89" s="19">
        <v>0.40000000000000568</v>
      </c>
      <c r="S89" s="19">
        <v>0.40000000000000568</v>
      </c>
      <c r="T89" s="19">
        <v>0.40000000000000568</v>
      </c>
      <c r="U89" s="19">
        <v>0.40000000000000568</v>
      </c>
      <c r="V89" s="19">
        <v>0.40000000000000568</v>
      </c>
      <c r="W89" s="19">
        <v>0.40000000000000568</v>
      </c>
      <c r="X89" s="19">
        <v>0.40000000000000568</v>
      </c>
      <c r="Y89" s="19">
        <v>0.40000000000000568</v>
      </c>
      <c r="Z89" s="19">
        <v>0.40000000000000568</v>
      </c>
      <c r="AA89" s="19">
        <v>0.40000000000000568</v>
      </c>
      <c r="AB89" s="19">
        <v>0.40000000000000568</v>
      </c>
      <c r="AC89" s="19">
        <v>0.40000000000000568</v>
      </c>
      <c r="AD89" s="19">
        <v>0.40000000000000568</v>
      </c>
      <c r="AE89" s="19">
        <v>0.40000000000000568</v>
      </c>
    </row>
    <row r="90" spans="1:31" x14ac:dyDescent="0.25">
      <c r="A90" t="s">
        <v>967</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25">
      <c r="A91" t="s">
        <v>968</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25">
      <c r="A92" t="s">
        <v>969</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25">
      <c r="A93" t="s">
        <v>970</v>
      </c>
      <c r="B93" s="19">
        <v>0</v>
      </c>
      <c r="C93" s="19">
        <v>0</v>
      </c>
      <c r="D93" s="19">
        <v>0</v>
      </c>
      <c r="E93" s="19">
        <v>0</v>
      </c>
      <c r="F93" s="19">
        <v>0</v>
      </c>
      <c r="G93" s="19">
        <v>3.3846153846155858E-2</v>
      </c>
      <c r="H93" s="19">
        <v>6.7692307692311715E-2</v>
      </c>
      <c r="I93" s="19">
        <v>0.10153846153846757</v>
      </c>
      <c r="J93" s="19">
        <v>0.13538461538462343</v>
      </c>
      <c r="K93" s="19">
        <v>0.16923076923077929</v>
      </c>
      <c r="L93" s="19">
        <v>0.25031419284943013</v>
      </c>
      <c r="M93" s="19">
        <v>0.33139761646805255</v>
      </c>
      <c r="N93" s="19">
        <v>0.41248104008667497</v>
      </c>
      <c r="O93" s="19">
        <v>0.49356446370532581</v>
      </c>
      <c r="P93" s="19">
        <v>0.57464788732394823</v>
      </c>
      <c r="Q93" s="19">
        <v>0.57464788732394823</v>
      </c>
      <c r="R93" s="19">
        <v>0.57464788732394823</v>
      </c>
      <c r="S93" s="19">
        <v>0.57464788732394823</v>
      </c>
      <c r="T93" s="19">
        <v>0.57464788732394823</v>
      </c>
      <c r="U93" s="19">
        <v>0.57464788732394823</v>
      </c>
      <c r="V93" s="19">
        <v>0.57464788732394823</v>
      </c>
      <c r="W93" s="19">
        <v>0.57464788732394823</v>
      </c>
      <c r="X93" s="19">
        <v>0.57464788732394823</v>
      </c>
      <c r="Y93" s="19">
        <v>0.57464788732394823</v>
      </c>
      <c r="Z93" s="19">
        <v>0.57464788732394823</v>
      </c>
      <c r="AA93" s="19">
        <v>0.57464788732394823</v>
      </c>
      <c r="AB93" s="19">
        <v>0.57464788732394823</v>
      </c>
      <c r="AC93" s="19">
        <v>0.57464788732394823</v>
      </c>
      <c r="AD93" s="19">
        <v>0.57464788732394823</v>
      </c>
      <c r="AE93" s="19">
        <v>0.57464788732394823</v>
      </c>
    </row>
    <row r="94" spans="1:31" x14ac:dyDescent="0.25">
      <c r="A94" t="s">
        <v>971</v>
      </c>
      <c r="B94" s="19">
        <v>0</v>
      </c>
      <c r="C94" s="19">
        <v>0</v>
      </c>
      <c r="D94" s="19">
        <v>0</v>
      </c>
      <c r="E94" s="19">
        <v>0</v>
      </c>
      <c r="F94" s="19">
        <v>0</v>
      </c>
      <c r="G94" s="19">
        <v>8.1605351170566109E-3</v>
      </c>
      <c r="H94" s="19">
        <v>1.6321070234113222E-2</v>
      </c>
      <c r="I94" s="19">
        <v>2.4481605351169833E-2</v>
      </c>
      <c r="J94" s="19">
        <v>3.2642140468226444E-2</v>
      </c>
      <c r="K94" s="19">
        <v>4.0802675585283055E-2</v>
      </c>
      <c r="L94" s="19">
        <v>3.7712563003438504E-2</v>
      </c>
      <c r="M94" s="19">
        <v>3.4622450421593065E-2</v>
      </c>
      <c r="N94" s="19">
        <v>3.1532337839747626E-2</v>
      </c>
      <c r="O94" s="19">
        <v>2.8442225257901299E-2</v>
      </c>
      <c r="P94" s="19">
        <v>2.535211267605586E-2</v>
      </c>
      <c r="Q94" s="19">
        <v>2.535211267605586E-2</v>
      </c>
      <c r="R94" s="19">
        <v>2.535211267605586E-2</v>
      </c>
      <c r="S94" s="19">
        <v>2.535211267605586E-2</v>
      </c>
      <c r="T94" s="19">
        <v>2.535211267605586E-2</v>
      </c>
      <c r="U94" s="19">
        <v>2.535211267605586E-2</v>
      </c>
      <c r="V94" s="19">
        <v>2.535211267605586E-2</v>
      </c>
      <c r="W94" s="19">
        <v>2.535211267605586E-2</v>
      </c>
      <c r="X94" s="19">
        <v>2.535211267605586E-2</v>
      </c>
      <c r="Y94" s="19">
        <v>2.535211267605586E-2</v>
      </c>
      <c r="Z94" s="19">
        <v>2.535211267605586E-2</v>
      </c>
      <c r="AA94" s="19">
        <v>2.535211267605586E-2</v>
      </c>
      <c r="AB94" s="19">
        <v>2.535211267605586E-2</v>
      </c>
      <c r="AC94" s="19">
        <v>2.535211267605586E-2</v>
      </c>
      <c r="AD94" s="19">
        <v>2.535211267605586E-2</v>
      </c>
      <c r="AE94" s="19">
        <v>2.535211267605586E-2</v>
      </c>
    </row>
  </sheetData>
  <dataConsolidate/>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4"/>
  <sheetViews>
    <sheetView topLeftCell="A27" zoomScale="85" zoomScaleNormal="85" workbookViewId="0">
      <selection activeCell="G37" sqref="G37"/>
    </sheetView>
  </sheetViews>
  <sheetFormatPr defaultRowHeight="15" x14ac:dyDescent="0.25"/>
  <cols>
    <col min="1" max="1" width="38.140625" customWidth="1"/>
    <col min="2" max="2" width="12" bestFit="1" customWidth="1"/>
    <col min="4" max="4" width="12" bestFit="1" customWidth="1"/>
    <col min="5" max="5" width="21.28515625" customWidth="1"/>
    <col min="6" max="6" width="12" bestFit="1" customWidth="1"/>
    <col min="10" max="10" width="9" bestFit="1" customWidth="1"/>
    <col min="14" max="14" width="12" bestFit="1" customWidth="1"/>
  </cols>
  <sheetData>
    <row r="1" spans="1:31" x14ac:dyDescent="0.25">
      <c r="A1" s="1" t="s">
        <v>746</v>
      </c>
      <c r="E1" s="1" t="s">
        <v>1034</v>
      </c>
    </row>
    <row r="2" spans="1:31" x14ac:dyDescent="0.25">
      <c r="A2" s="1"/>
    </row>
    <row r="3" spans="1:31" x14ac:dyDescent="0.25">
      <c r="A3" t="s">
        <v>997</v>
      </c>
      <c r="B3">
        <v>3</v>
      </c>
      <c r="E3" t="s">
        <v>1035</v>
      </c>
      <c r="F3">
        <f>AVERAGE(0.7-0.4,1.15-0.4)</f>
        <v>0.52499999999999991</v>
      </c>
    </row>
    <row r="4" spans="1:31" x14ac:dyDescent="0.25">
      <c r="A4" t="s">
        <v>747</v>
      </c>
      <c r="B4">
        <v>61127.365236523648</v>
      </c>
      <c r="E4" t="s">
        <v>747</v>
      </c>
      <c r="F4">
        <v>61127.365236523648</v>
      </c>
    </row>
    <row r="5" spans="1:31" x14ac:dyDescent="0.25">
      <c r="A5" t="s">
        <v>749</v>
      </c>
      <c r="B5">
        <v>2.2046199999999998</v>
      </c>
      <c r="E5" t="s">
        <v>749</v>
      </c>
      <c r="F5">
        <v>2.2046199999999998</v>
      </c>
    </row>
    <row r="6" spans="1:31" x14ac:dyDescent="0.25">
      <c r="A6" t="s">
        <v>750</v>
      </c>
      <c r="B6">
        <f>B4*B5</f>
        <v>134762.61194774476</v>
      </c>
      <c r="E6" t="s">
        <v>750</v>
      </c>
      <c r="F6">
        <f>F4*F5</f>
        <v>134762.61194774476</v>
      </c>
    </row>
    <row r="7" spans="1:31" x14ac:dyDescent="0.25">
      <c r="A7" t="s">
        <v>748</v>
      </c>
      <c r="B7">
        <f>B3/B6*About!$A$85</f>
        <v>1.9748296474941895E-5</v>
      </c>
      <c r="E7" t="s">
        <v>748</v>
      </c>
      <c r="F7">
        <f>F3/F6*About!$A$85</f>
        <v>3.4559518831148311E-6</v>
      </c>
    </row>
    <row r="9" spans="1:31" x14ac:dyDescent="0.25">
      <c r="A9" t="s">
        <v>998</v>
      </c>
      <c r="B9">
        <v>0.75</v>
      </c>
    </row>
    <row r="10" spans="1:31" x14ac:dyDescent="0.25">
      <c r="A10" t="s">
        <v>747</v>
      </c>
      <c r="B10">
        <v>61127.365236523648</v>
      </c>
    </row>
    <row r="11" spans="1:31" x14ac:dyDescent="0.25">
      <c r="A11" t="s">
        <v>749</v>
      </c>
      <c r="B11">
        <v>2.2046199999999998</v>
      </c>
    </row>
    <row r="12" spans="1:31" x14ac:dyDescent="0.25">
      <c r="A12" t="s">
        <v>750</v>
      </c>
      <c r="B12">
        <f>B10*B11</f>
        <v>134762.61194774476</v>
      </c>
    </row>
    <row r="13" spans="1:31" x14ac:dyDescent="0.25">
      <c r="A13" t="s">
        <v>748</v>
      </c>
      <c r="B13">
        <f>B9/B12*About!$A$85</f>
        <v>4.9370741187354737E-6</v>
      </c>
    </row>
    <row r="15" spans="1:31" x14ac:dyDescent="0.25">
      <c r="A15" s="1" t="s">
        <v>963</v>
      </c>
    </row>
    <row r="16" spans="1:31" x14ac:dyDescent="0.25">
      <c r="A16" t="s">
        <v>964</v>
      </c>
      <c r="B16" s="342">
        <v>2021</v>
      </c>
      <c r="C16">
        <v>2022</v>
      </c>
      <c r="D16" s="342">
        <v>2023</v>
      </c>
      <c r="E16">
        <v>2024</v>
      </c>
      <c r="F16" s="342">
        <v>2025</v>
      </c>
      <c r="G16">
        <v>2026</v>
      </c>
      <c r="H16" s="342">
        <v>2027</v>
      </c>
      <c r="I16">
        <v>2028</v>
      </c>
      <c r="J16" s="342">
        <v>2029</v>
      </c>
      <c r="K16">
        <v>2030</v>
      </c>
      <c r="L16" s="342">
        <v>2031</v>
      </c>
      <c r="M16">
        <v>2032</v>
      </c>
      <c r="N16" s="342">
        <v>2033</v>
      </c>
      <c r="O16">
        <v>2034</v>
      </c>
      <c r="P16" s="342">
        <v>2035</v>
      </c>
      <c r="Q16">
        <v>2036</v>
      </c>
      <c r="R16" s="342">
        <v>2037</v>
      </c>
      <c r="S16">
        <v>2038</v>
      </c>
      <c r="T16" s="342">
        <v>2039</v>
      </c>
      <c r="U16">
        <v>2040</v>
      </c>
      <c r="V16" s="342">
        <v>2041</v>
      </c>
      <c r="W16">
        <v>2042</v>
      </c>
      <c r="X16" s="342">
        <v>2043</v>
      </c>
      <c r="Y16">
        <v>2044</v>
      </c>
      <c r="Z16" s="342">
        <v>2045</v>
      </c>
      <c r="AA16">
        <v>2046</v>
      </c>
      <c r="AB16" s="342">
        <v>2047</v>
      </c>
      <c r="AC16">
        <v>2048</v>
      </c>
      <c r="AD16" s="342">
        <v>2049</v>
      </c>
      <c r="AE16">
        <v>2050</v>
      </c>
    </row>
    <row r="17" spans="1:31" x14ac:dyDescent="0.25">
      <c r="A17" t="s">
        <v>965</v>
      </c>
      <c r="B17" s="19">
        <v>0</v>
      </c>
      <c r="C17" s="19">
        <v>0</v>
      </c>
      <c r="D17" s="19">
        <v>0</v>
      </c>
      <c r="E17" s="19">
        <v>0</v>
      </c>
      <c r="F17" s="19">
        <v>0</v>
      </c>
      <c r="G17" s="19">
        <v>0</v>
      </c>
      <c r="H17" s="19">
        <v>0</v>
      </c>
      <c r="I17" s="19">
        <v>0</v>
      </c>
      <c r="J17" s="19">
        <v>0</v>
      </c>
      <c r="K17" s="19">
        <v>0</v>
      </c>
      <c r="L17" s="19">
        <v>0</v>
      </c>
      <c r="M17" s="19">
        <v>0</v>
      </c>
      <c r="N17" s="19">
        <v>0</v>
      </c>
      <c r="O17" s="19">
        <v>0</v>
      </c>
      <c r="P17" s="19">
        <v>0</v>
      </c>
      <c r="Q17" s="19">
        <v>0</v>
      </c>
      <c r="R17" s="19">
        <v>0</v>
      </c>
      <c r="S17" s="19">
        <v>0</v>
      </c>
      <c r="T17" s="19">
        <v>0</v>
      </c>
      <c r="U17" s="19">
        <v>0</v>
      </c>
      <c r="V17" s="19">
        <v>0</v>
      </c>
      <c r="W17" s="19">
        <v>0</v>
      </c>
      <c r="X17" s="19">
        <v>0</v>
      </c>
      <c r="Y17" s="19">
        <v>0</v>
      </c>
      <c r="Z17" s="19">
        <v>0</v>
      </c>
      <c r="AA17" s="19">
        <v>0</v>
      </c>
      <c r="AB17" s="19">
        <v>0</v>
      </c>
      <c r="AC17" s="19">
        <v>0</v>
      </c>
      <c r="AD17" s="19">
        <v>0</v>
      </c>
      <c r="AE17" s="19">
        <v>0</v>
      </c>
    </row>
    <row r="18" spans="1:31" x14ac:dyDescent="0.25">
      <c r="A18" t="s">
        <v>966</v>
      </c>
      <c r="B18" s="19">
        <v>1</v>
      </c>
      <c r="C18" s="19">
        <v>1</v>
      </c>
      <c r="D18" s="19">
        <v>1</v>
      </c>
      <c r="E18" s="19">
        <v>1</v>
      </c>
      <c r="F18" s="19">
        <v>1</v>
      </c>
      <c r="G18" s="19">
        <v>0.95799331103678753</v>
      </c>
      <c r="H18" s="19">
        <v>0.91598662207357506</v>
      </c>
      <c r="I18" s="19">
        <v>0.87397993311037681</v>
      </c>
      <c r="J18" s="19">
        <v>0.83197324414716434</v>
      </c>
      <c r="K18" s="19">
        <v>0.78996655518395187</v>
      </c>
      <c r="L18" s="19">
        <v>0.711973244147174</v>
      </c>
      <c r="M18" s="19">
        <v>0.63397993311036771</v>
      </c>
      <c r="N18" s="19">
        <v>0.55598662207358984</v>
      </c>
      <c r="O18" s="19">
        <v>0.47799331103681197</v>
      </c>
      <c r="P18" s="19">
        <v>0.40000000000000568</v>
      </c>
      <c r="Q18" s="19">
        <v>0.40000000000000568</v>
      </c>
      <c r="R18" s="19">
        <v>0.40000000000000568</v>
      </c>
      <c r="S18" s="19">
        <v>0.40000000000000568</v>
      </c>
      <c r="T18" s="19">
        <v>0.40000000000000568</v>
      </c>
      <c r="U18" s="19">
        <v>0.40000000000000568</v>
      </c>
      <c r="V18" s="19">
        <v>0.40000000000000568</v>
      </c>
      <c r="W18" s="19">
        <v>0.40000000000000568</v>
      </c>
      <c r="X18" s="19">
        <v>0.40000000000000568</v>
      </c>
      <c r="Y18" s="19">
        <v>0.40000000000000568</v>
      </c>
      <c r="Z18" s="19">
        <v>0.40000000000000568</v>
      </c>
      <c r="AA18" s="19">
        <v>0.40000000000000568</v>
      </c>
      <c r="AB18" s="19">
        <v>0.40000000000000568</v>
      </c>
      <c r="AC18" s="19">
        <v>0.40000000000000568</v>
      </c>
      <c r="AD18" s="19">
        <v>0.40000000000000568</v>
      </c>
      <c r="AE18" s="19">
        <v>0.40000000000000568</v>
      </c>
    </row>
    <row r="19" spans="1:31" x14ac:dyDescent="0.25">
      <c r="A19" t="s">
        <v>967</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25">
      <c r="A20" t="s">
        <v>968</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25">
      <c r="A21" t="s">
        <v>969</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25">
      <c r="A22" t="s">
        <v>970</v>
      </c>
      <c r="B22" s="19">
        <v>0</v>
      </c>
      <c r="C22" s="19">
        <v>0</v>
      </c>
      <c r="D22" s="19">
        <v>0</v>
      </c>
      <c r="E22" s="19">
        <v>0</v>
      </c>
      <c r="F22" s="19">
        <v>0</v>
      </c>
      <c r="G22" s="19">
        <v>3.3846153846155858E-2</v>
      </c>
      <c r="H22" s="19">
        <v>6.7692307692311715E-2</v>
      </c>
      <c r="I22" s="19">
        <v>0.10153846153846757</v>
      </c>
      <c r="J22" s="19">
        <v>0.13538461538462343</v>
      </c>
      <c r="K22" s="19">
        <v>0.16923076923077929</v>
      </c>
      <c r="L22" s="19">
        <v>0.25031419284943013</v>
      </c>
      <c r="M22" s="19">
        <v>0.33139761646805255</v>
      </c>
      <c r="N22" s="19">
        <v>0.41248104008667497</v>
      </c>
      <c r="O22" s="19">
        <v>0.49356446370532581</v>
      </c>
      <c r="P22" s="19">
        <v>0.57464788732394823</v>
      </c>
      <c r="Q22" s="19">
        <v>0.57464788732394823</v>
      </c>
      <c r="R22" s="19">
        <v>0.57464788732394823</v>
      </c>
      <c r="S22" s="19">
        <v>0.57464788732394823</v>
      </c>
      <c r="T22" s="19">
        <v>0.57464788732394823</v>
      </c>
      <c r="U22" s="19">
        <v>0.57464788732394823</v>
      </c>
      <c r="V22" s="19">
        <v>0.57464788732394823</v>
      </c>
      <c r="W22" s="19">
        <v>0.57464788732394823</v>
      </c>
      <c r="X22" s="19">
        <v>0.57464788732394823</v>
      </c>
      <c r="Y22" s="19">
        <v>0.57464788732394823</v>
      </c>
      <c r="Z22" s="19">
        <v>0.57464788732394823</v>
      </c>
      <c r="AA22" s="19">
        <v>0.57464788732394823</v>
      </c>
      <c r="AB22" s="19">
        <v>0.57464788732394823</v>
      </c>
      <c r="AC22" s="19">
        <v>0.57464788732394823</v>
      </c>
      <c r="AD22" s="19">
        <v>0.57464788732394823</v>
      </c>
      <c r="AE22" s="19">
        <v>0.57464788732394823</v>
      </c>
    </row>
    <row r="23" spans="1:31" x14ac:dyDescent="0.25">
      <c r="A23" t="s">
        <v>971</v>
      </c>
      <c r="B23" s="19">
        <v>0</v>
      </c>
      <c r="C23" s="19">
        <v>0</v>
      </c>
      <c r="D23" s="19">
        <v>0</v>
      </c>
      <c r="E23" s="19">
        <v>0</v>
      </c>
      <c r="F23" s="19">
        <v>0</v>
      </c>
      <c r="G23" s="19">
        <v>8.1605351170566109E-3</v>
      </c>
      <c r="H23" s="19">
        <v>1.6321070234113222E-2</v>
      </c>
      <c r="I23" s="19">
        <v>2.4481605351169833E-2</v>
      </c>
      <c r="J23" s="19">
        <v>3.2642140468226444E-2</v>
      </c>
      <c r="K23" s="19">
        <v>4.0802675585283055E-2</v>
      </c>
      <c r="L23" s="19">
        <v>3.7712563003438504E-2</v>
      </c>
      <c r="M23" s="19">
        <v>3.4622450421593065E-2</v>
      </c>
      <c r="N23" s="19">
        <v>3.1532337839747626E-2</v>
      </c>
      <c r="O23" s="19">
        <v>2.8442225257901299E-2</v>
      </c>
      <c r="P23" s="19">
        <v>2.535211267605586E-2</v>
      </c>
      <c r="Q23" s="19">
        <v>2.535211267605586E-2</v>
      </c>
      <c r="R23" s="19">
        <v>2.535211267605586E-2</v>
      </c>
      <c r="S23" s="19">
        <v>2.535211267605586E-2</v>
      </c>
      <c r="T23" s="19">
        <v>2.535211267605586E-2</v>
      </c>
      <c r="U23" s="19">
        <v>2.535211267605586E-2</v>
      </c>
      <c r="V23" s="19">
        <v>2.535211267605586E-2</v>
      </c>
      <c r="W23" s="19">
        <v>2.535211267605586E-2</v>
      </c>
      <c r="X23" s="19">
        <v>2.535211267605586E-2</v>
      </c>
      <c r="Y23" s="19">
        <v>2.535211267605586E-2</v>
      </c>
      <c r="Z23" s="19">
        <v>2.535211267605586E-2</v>
      </c>
      <c r="AA23" s="19">
        <v>2.535211267605586E-2</v>
      </c>
      <c r="AB23" s="19">
        <v>2.535211267605586E-2</v>
      </c>
      <c r="AC23" s="19">
        <v>2.535211267605586E-2</v>
      </c>
      <c r="AD23" s="19">
        <v>2.535211267605586E-2</v>
      </c>
      <c r="AE23" s="19">
        <v>2.535211267605586E-2</v>
      </c>
    </row>
    <row r="26" spans="1:31" x14ac:dyDescent="0.25">
      <c r="A26" s="1" t="s">
        <v>1036</v>
      </c>
    </row>
    <row r="27" spans="1:31" x14ac:dyDescent="0.25">
      <c r="A27" s="1" t="s">
        <v>1037</v>
      </c>
      <c r="B27" s="5">
        <f>SUM(B17,B22)/SUM(B17:B23)*(Hydrogen!B75+$F$7)+B18/SUM(B17:B23)*Hydrogen!B77</f>
        <v>6.1270046794103888E-6</v>
      </c>
      <c r="C27" s="5">
        <f>SUM(C17,C22)/SUM(C17:C23)*(Hydrogen!C75+$F$7)+C18/SUM(C17:C23)*Hydrogen!C77</f>
        <v>6.1237076825451521E-6</v>
      </c>
      <c r="D27" s="5">
        <f>SUM(D17,D22)/SUM(D17:D23)*(Hydrogen!D75+$F$7)+D18/SUM(D17:D23)*Hydrogen!D77</f>
        <v>6.1350344085392195E-6</v>
      </c>
      <c r="E27" s="5">
        <f>SUM(E17,E22)/SUM(E17:E23)*(Hydrogen!E75+$F$7)+E18/SUM(E17:E23)*Hydrogen!E77</f>
        <v>6.1429341617507607E-6</v>
      </c>
      <c r="F27" s="5">
        <f>SUM(F17,F22)/SUM(F17:F23)*(Hydrogen!F75+$F$7)+F18/SUM(F17:F23)*Hydrogen!F77</f>
        <v>6.1430896314587123E-6</v>
      </c>
      <c r="G27" s="5">
        <f>SUM(G17,G22)/SUM(G17:G23)*(Hydrogen!G75+$F$7)+G18/SUM(G17:G23)*Hydrogen!G77</f>
        <v>7.1755331608315824E-6</v>
      </c>
      <c r="H27" s="5">
        <f>SUM(H17,H22)/SUM(H17:H23)*(Hydrogen!H75+$F$7)+H18/SUM(H17:H23)*Hydrogen!H77</f>
        <v>8.0784241738444655E-6</v>
      </c>
      <c r="I27" s="5">
        <f>SUM(I17,I22)/SUM(I17:I23)*(Hydrogen!I75+$F$7)+I18/SUM(I17:I23)*Hydrogen!I77</f>
        <v>8.8515056257923496E-6</v>
      </c>
      <c r="J27" s="5">
        <f>SUM(J17,J22)/SUM(J17:J23)*(Hydrogen!J75+$F$7)+J18/SUM(J17:J23)*Hydrogen!J77</f>
        <v>9.4947274443003951E-6</v>
      </c>
      <c r="K27" s="5">
        <f>SUM(K17,K22)/SUM(K17:K23)*(Hydrogen!K75+$F$7)+K18/SUM(K17:K23)*Hydrogen!K77</f>
        <v>1.0007511936435413E-5</v>
      </c>
      <c r="L27" s="5">
        <f>SUM(L17,L22)/SUM(L17:L23)*(Hydrogen!L75+$F$7)+L18/SUM(L17:L23)*Hydrogen!L77</f>
        <v>1.1864446491331145E-5</v>
      </c>
      <c r="M27" s="5">
        <f>SUM(M17,M22)/SUM(M17:M23)*(Hydrogen!M75+$F$7)+M18/SUM(M17:M23)*Hydrogen!M77</f>
        <v>1.363516871720433E-5</v>
      </c>
      <c r="N27" s="5">
        <f>SUM(N17,N22)/SUM(N17:N23)*(Hydrogen!N75+$F$7)+N18/SUM(N17:N23)*Hydrogen!N77</f>
        <v>1.5319774390405957E-5</v>
      </c>
      <c r="O27" s="5">
        <f>SUM(O17,O22)/SUM(O17:O23)*(Hydrogen!O75+$F$7)+O18/SUM(O17:O23)*Hydrogen!O77</f>
        <v>1.691801038102035E-5</v>
      </c>
      <c r="P27" s="5">
        <f>SUM(P17,P22)/SUM(P17:P23)*(Hydrogen!P75+$F$7)+P18/SUM(P17:P23)*Hydrogen!P77</f>
        <v>1.843001932996385E-5</v>
      </c>
      <c r="Q27" s="5">
        <f>SUM(Q17,Q22)/SUM(Q17:Q23)*(Hydrogen!Q75+$F$7)+Q18/SUM(Q17:Q23)*Hydrogen!Q77</f>
        <v>1.8124476221249576E-5</v>
      </c>
      <c r="R27" s="5">
        <f>SUM(R17,R22)/SUM(R17:R23)*(Hydrogen!R75+$F$7)+R18/SUM(R17:R23)*Hydrogen!R77</f>
        <v>1.7818938642298115E-5</v>
      </c>
      <c r="S27" s="5">
        <f>SUM(S17,S22)/SUM(S17:S23)*(Hydrogen!S75+$F$7)+S18/SUM(S17:S23)*Hydrogen!S77</f>
        <v>1.7513710563713307E-5</v>
      </c>
      <c r="T27" s="5">
        <f>SUM(T17,T22)/SUM(T17:T23)*(Hydrogen!T75+$F$7)+T18/SUM(T17:T23)*Hydrogen!T77</f>
        <v>1.7208336424809938E-5</v>
      </c>
      <c r="U27" s="5">
        <f>SUM(U17,U22)/SUM(U17:U23)*(Hydrogen!U75+$F$7)+U18/SUM(U17:U23)*Hydrogen!U77</f>
        <v>1.6902911520924765E-5</v>
      </c>
      <c r="V27" s="5">
        <f>SUM(V17,V22)/SUM(V17:V23)*(Hydrogen!V75+$F$7)+V18/SUM(V17:V23)*Hydrogen!V77</f>
        <v>1.6597614320202208E-5</v>
      </c>
      <c r="W27" s="5">
        <f>SUM(W17,W22)/SUM(W17:W23)*(Hydrogen!W75+$F$7)+W18/SUM(W17:W23)*Hydrogen!W77</f>
        <v>1.6292255769222427E-5</v>
      </c>
      <c r="X27" s="5">
        <f>SUM(X17,X22)/SUM(X17:X23)*(Hydrogen!X75+$F$7)+X18/SUM(X17:X23)*Hydrogen!X77</f>
        <v>1.5986968932169093E-5</v>
      </c>
      <c r="Y27" s="5">
        <f>SUM(Y17,Y22)/SUM(Y17:Y23)*(Hydrogen!Y75+$F$7)+Y18/SUM(Y17:Y23)*Hydrogen!Y77</f>
        <v>1.5681850092283145E-5</v>
      </c>
      <c r="Z27" s="5">
        <f>SUM(Z17,Z22)/SUM(Z17:Z23)*(Hydrogen!Z75+$F$7)+Z18/SUM(Z17:Z23)*Hydrogen!Z77</f>
        <v>1.5376707406861157E-5</v>
      </c>
      <c r="AA27" s="5">
        <f>SUM(AA17,AA22)/SUM(AA17:AA23)*(Hydrogen!AA75+$F$7)+AA18/SUM(AA17:AA23)*Hydrogen!AA77</f>
        <v>1.5071286884204398E-5</v>
      </c>
      <c r="AB27" s="5">
        <f>SUM(AB17,AB22)/SUM(AB17:AB23)*(Hydrogen!AB75+$F$7)+AB18/SUM(AB17:AB23)*Hydrogen!AB77</f>
        <v>1.4765690511687192E-5</v>
      </c>
      <c r="AC27" s="5">
        <f>SUM(AC17,AC22)/SUM(AC17:AC23)*(Hydrogen!AC75+$F$7)+AC18/SUM(AC17:AC23)*Hydrogen!AC77</f>
        <v>1.4460556836339846E-5</v>
      </c>
      <c r="AD27" s="5">
        <f>SUM(AD17,AD22)/SUM(AD17:AD23)*(Hydrogen!AD75+$F$7)+AD18/SUM(AD17:AD23)*Hydrogen!AD77</f>
        <v>1.4155255260207027E-5</v>
      </c>
      <c r="AE27" s="5">
        <f>SUM(AE17,AE22)/SUM(AE17:AE23)*(Hydrogen!AE75+$F$7)+AE18/SUM(AE17:AE23)*Hydrogen!AE77</f>
        <v>1.3849483105232463E-5</v>
      </c>
    </row>
    <row r="28" spans="1:31" x14ac:dyDescent="0.25">
      <c r="A28" s="1" t="s">
        <v>1038</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2">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25">
      <c r="A29" s="1" t="s">
        <v>996</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25">
      <c r="A30" s="15" t="s">
        <v>1086</v>
      </c>
    </row>
    <row r="32" spans="1:31" x14ac:dyDescent="0.25">
      <c r="B32" s="342">
        <v>2021</v>
      </c>
      <c r="C32">
        <v>2022</v>
      </c>
      <c r="D32" s="342">
        <v>2023</v>
      </c>
      <c r="E32">
        <v>2024</v>
      </c>
      <c r="F32" s="342">
        <v>2025</v>
      </c>
      <c r="G32">
        <v>2026</v>
      </c>
      <c r="H32" s="342">
        <v>2027</v>
      </c>
      <c r="I32">
        <v>2028</v>
      </c>
      <c r="J32" s="342">
        <v>2029</v>
      </c>
      <c r="K32">
        <v>2030</v>
      </c>
      <c r="L32" s="342">
        <v>2031</v>
      </c>
      <c r="M32">
        <v>2032</v>
      </c>
      <c r="N32" s="342">
        <v>2033</v>
      </c>
      <c r="O32">
        <v>2034</v>
      </c>
      <c r="P32" s="342">
        <v>2035</v>
      </c>
      <c r="Q32">
        <v>2036</v>
      </c>
      <c r="R32" s="342">
        <v>2037</v>
      </c>
      <c r="S32">
        <v>2038</v>
      </c>
      <c r="T32" s="342">
        <v>2039</v>
      </c>
      <c r="U32">
        <v>2040</v>
      </c>
      <c r="V32" s="342">
        <v>2041</v>
      </c>
      <c r="W32">
        <v>2042</v>
      </c>
      <c r="X32" s="342">
        <v>2043</v>
      </c>
      <c r="Y32">
        <v>2044</v>
      </c>
      <c r="Z32" s="342">
        <v>2045</v>
      </c>
      <c r="AA32">
        <v>2046</v>
      </c>
      <c r="AB32" s="342">
        <v>2047</v>
      </c>
      <c r="AC32">
        <v>2048</v>
      </c>
      <c r="AD32" s="342">
        <v>2049</v>
      </c>
      <c r="AE32">
        <v>2050</v>
      </c>
    </row>
    <row r="33" spans="1:31" x14ac:dyDescent="0.25">
      <c r="A33" s="1" t="s">
        <v>1041</v>
      </c>
      <c r="B33">
        <v>0</v>
      </c>
      <c r="C33">
        <v>0</v>
      </c>
      <c r="D33">
        <v>0</v>
      </c>
      <c r="E33">
        <v>0</v>
      </c>
      <c r="F33">
        <f>F22/$M$22</f>
        <v>0</v>
      </c>
      <c r="G33">
        <f t="shared" ref="G33:M33" si="0">G22/$M$22</f>
        <v>0.10213155485811619</v>
      </c>
      <c r="H33">
        <f t="shared" si="0"/>
        <v>0.20426310971623238</v>
      </c>
      <c r="I33">
        <f t="shared" si="0"/>
        <v>0.30639466457434855</v>
      </c>
      <c r="J33">
        <f t="shared" si="0"/>
        <v>0.40852621943246475</v>
      </c>
      <c r="K33">
        <f t="shared" si="0"/>
        <v>0.5106577742905809</v>
      </c>
      <c r="L33">
        <f t="shared" si="0"/>
        <v>0.75532888714533331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25">
      <c r="A34" s="1" t="s">
        <v>1042</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v>
      </c>
      <c r="Q34">
        <f t="shared" si="1"/>
        <v>0.10213155485811619</v>
      </c>
      <c r="R34">
        <f t="shared" si="1"/>
        <v>0.20426310971623238</v>
      </c>
      <c r="S34">
        <f t="shared" si="1"/>
        <v>0.30639466457434855</v>
      </c>
      <c r="T34">
        <f t="shared" si="1"/>
        <v>0.40852621943246475</v>
      </c>
      <c r="U34">
        <f t="shared" si="1"/>
        <v>0.5106577742905809</v>
      </c>
      <c r="V34">
        <f t="shared" si="1"/>
        <v>0.75532888714533331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25">
      <c r="A36" s="1" t="s">
        <v>1040</v>
      </c>
      <c r="B36" s="342">
        <v>2021</v>
      </c>
      <c r="C36">
        <v>2022</v>
      </c>
      <c r="D36" s="342">
        <v>2023</v>
      </c>
      <c r="E36">
        <v>2024</v>
      </c>
      <c r="F36" s="342">
        <v>2025</v>
      </c>
      <c r="G36">
        <v>2026</v>
      </c>
      <c r="H36" s="342">
        <v>2027</v>
      </c>
      <c r="I36">
        <v>2028</v>
      </c>
      <c r="J36" s="342">
        <v>2029</v>
      </c>
      <c r="K36">
        <v>2030</v>
      </c>
      <c r="L36" s="342">
        <v>2031</v>
      </c>
      <c r="M36">
        <v>2032</v>
      </c>
      <c r="N36" s="342">
        <v>2033</v>
      </c>
      <c r="O36">
        <v>2034</v>
      </c>
      <c r="P36" s="342">
        <v>2035</v>
      </c>
      <c r="Q36">
        <v>2036</v>
      </c>
      <c r="R36" s="342">
        <v>2037</v>
      </c>
      <c r="S36">
        <v>2038</v>
      </c>
      <c r="T36" s="342">
        <v>2039</v>
      </c>
      <c r="U36">
        <v>2040</v>
      </c>
      <c r="V36" s="342">
        <v>2041</v>
      </c>
      <c r="W36">
        <v>2042</v>
      </c>
      <c r="X36" s="342">
        <v>2043</v>
      </c>
      <c r="Y36">
        <v>2044</v>
      </c>
      <c r="Z36" s="342">
        <v>2045</v>
      </c>
      <c r="AA36">
        <v>2046</v>
      </c>
      <c r="AB36" s="342">
        <v>2047</v>
      </c>
      <c r="AC36">
        <v>2048</v>
      </c>
      <c r="AD36" s="342">
        <v>2049</v>
      </c>
      <c r="AE36">
        <v>2050</v>
      </c>
    </row>
    <row r="37" spans="1:31" x14ac:dyDescent="0.25">
      <c r="A37" s="1" t="s">
        <v>1037</v>
      </c>
      <c r="B37" s="5">
        <v>0</v>
      </c>
      <c r="C37" s="5">
        <v>0</v>
      </c>
      <c r="D37" s="5">
        <v>0</v>
      </c>
      <c r="E37" s="5">
        <v>0</v>
      </c>
      <c r="F37" s="5">
        <f>(F22/SUM(F17:F23)*($B$7)+F23/SUM(F17:F23)*($B$13))*(1-F34)</f>
        <v>0</v>
      </c>
      <c r="G37" s="5">
        <f t="shared" ref="G37:AE37" si="3">(G22/SUM(G17:G23)*($B$7)+G23/SUM(G17:G23)*($B$13))*(1-G34)</f>
        <v>7.0869304741183289E-7</v>
      </c>
      <c r="H37" s="5">
        <f t="shared" si="3"/>
        <v>1.4173860948236658E-6</v>
      </c>
      <c r="I37" s="5">
        <f t="shared" si="3"/>
        <v>2.1260791422354686E-6</v>
      </c>
      <c r="J37" s="5">
        <f t="shared" si="3"/>
        <v>2.8347721896472917E-6</v>
      </c>
      <c r="K37" s="5">
        <f t="shared" si="3"/>
        <v>3.543465237059114E-6</v>
      </c>
      <c r="L37" s="5">
        <f t="shared" si="3"/>
        <v>5.1294686110315659E-6</v>
      </c>
      <c r="M37" s="5">
        <f t="shared" si="3"/>
        <v>6.7154719850037479E-6</v>
      </c>
      <c r="N37" s="5">
        <f t="shared" si="3"/>
        <v>8.3014753589757885E-6</v>
      </c>
      <c r="O37" s="5">
        <f t="shared" si="3"/>
        <v>9.8874787329481154E-6</v>
      </c>
      <c r="P37" s="5">
        <f t="shared" si="3"/>
        <v>1.1473482106920442E-5</v>
      </c>
      <c r="Q37" s="5">
        <f t="shared" si="3"/>
        <v>1.0301677539703882E-5</v>
      </c>
      <c r="R37" s="5">
        <f t="shared" si="3"/>
        <v>9.1298729724873229E-6</v>
      </c>
      <c r="S37" s="5">
        <f t="shared" si="3"/>
        <v>7.958068405270764E-6</v>
      </c>
      <c r="T37" s="5">
        <f t="shared" si="3"/>
        <v>6.7862638380542034E-6</v>
      </c>
      <c r="U37" s="5">
        <f t="shared" si="3"/>
        <v>5.6144592708376445E-6</v>
      </c>
      <c r="V37" s="5">
        <f t="shared" si="3"/>
        <v>2.8072296354183305E-6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25">
      <c r="A38" s="1" t="s">
        <v>1038</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4.9370741187354737E-6</v>
      </c>
      <c r="Q38" s="5">
        <f t="shared" si="4"/>
        <v>4.4328430625392558E-6</v>
      </c>
      <c r="R38" s="5">
        <f t="shared" si="4"/>
        <v>3.9286120063430379E-6</v>
      </c>
      <c r="S38" s="5">
        <f t="shared" si="4"/>
        <v>3.4243809501468212E-6</v>
      </c>
      <c r="T38" s="5">
        <f t="shared" si="4"/>
        <v>2.9201498939506029E-6</v>
      </c>
      <c r="U38" s="5">
        <f t="shared" si="4"/>
        <v>2.4159188377543854E-6</v>
      </c>
      <c r="V38" s="5">
        <f t="shared" si="4"/>
        <v>1.2079594188769812E-6</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25">
      <c r="A39" s="1" t="s">
        <v>996</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4.9370741187354737E-6</v>
      </c>
      <c r="Q39" s="5">
        <f t="shared" si="5"/>
        <v>4.4328430625392558E-6</v>
      </c>
      <c r="R39" s="5">
        <f t="shared" si="5"/>
        <v>3.9286120063430379E-6</v>
      </c>
      <c r="S39" s="5">
        <f t="shared" si="5"/>
        <v>3.4243809501468212E-6</v>
      </c>
      <c r="T39" s="5">
        <f t="shared" si="5"/>
        <v>2.9201498939506029E-6</v>
      </c>
      <c r="U39" s="5">
        <f t="shared" si="5"/>
        <v>2.4159188377543854E-6</v>
      </c>
      <c r="V39" s="5">
        <f t="shared" si="5"/>
        <v>1.2079594188769812E-6</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25">
      <c r="A41" s="1" t="s">
        <v>1039</v>
      </c>
    </row>
    <row r="42" spans="1:31" x14ac:dyDescent="0.25">
      <c r="A42" s="1" t="s">
        <v>1037</v>
      </c>
      <c r="B42" s="5">
        <f t="shared" ref="B42:AE42" si="6">B27-B37</f>
        <v>6.1270046794103888E-6</v>
      </c>
      <c r="C42" s="5">
        <f t="shared" si="6"/>
        <v>6.1237076825451521E-6</v>
      </c>
      <c r="D42" s="5">
        <f t="shared" si="6"/>
        <v>6.1350344085392195E-6</v>
      </c>
      <c r="E42" s="5">
        <f t="shared" si="6"/>
        <v>6.1429341617507607E-6</v>
      </c>
      <c r="F42" s="5">
        <f t="shared" si="6"/>
        <v>6.1430896314587123E-6</v>
      </c>
      <c r="G42" s="5">
        <f t="shared" si="6"/>
        <v>6.4668401134197495E-6</v>
      </c>
      <c r="H42" s="5">
        <f t="shared" si="6"/>
        <v>6.6610380790207997E-6</v>
      </c>
      <c r="I42" s="5">
        <f t="shared" si="6"/>
        <v>6.7254264835568806E-6</v>
      </c>
      <c r="J42" s="5">
        <f t="shared" si="6"/>
        <v>6.6599552546531033E-6</v>
      </c>
      <c r="K42" s="5">
        <f t="shared" si="6"/>
        <v>6.464046699376299E-6</v>
      </c>
      <c r="L42" s="5">
        <f t="shared" si="6"/>
        <v>6.7349778802995787E-6</v>
      </c>
      <c r="M42" s="5">
        <f t="shared" si="6"/>
        <v>6.9196967322005821E-6</v>
      </c>
      <c r="N42" s="5">
        <f t="shared" si="6"/>
        <v>7.018299031430168E-6</v>
      </c>
      <c r="O42" s="5">
        <f t="shared" si="6"/>
        <v>7.0305316480722344E-6</v>
      </c>
      <c r="P42" s="5">
        <f t="shared" si="6"/>
        <v>6.9565372230434073E-6</v>
      </c>
      <c r="Q42" s="5">
        <f t="shared" si="6"/>
        <v>7.8227986815456947E-6</v>
      </c>
      <c r="R42" s="5">
        <f t="shared" si="6"/>
        <v>8.689065669810792E-6</v>
      </c>
      <c r="S42" s="5">
        <f t="shared" si="6"/>
        <v>9.5556421584425428E-6</v>
      </c>
      <c r="T42" s="5">
        <f t="shared" si="6"/>
        <v>1.0422072586755735E-5</v>
      </c>
      <c r="U42" s="5">
        <f t="shared" si="6"/>
        <v>1.1288452250087121E-5</v>
      </c>
      <c r="V42" s="5">
        <f t="shared" si="6"/>
        <v>1.3790384684783878E-5</v>
      </c>
      <c r="W42" s="5">
        <f t="shared" si="6"/>
        <v>1.6292255769222427E-5</v>
      </c>
      <c r="X42" s="5">
        <f t="shared" si="6"/>
        <v>1.5986968932169093E-5</v>
      </c>
      <c r="Y42" s="5">
        <f t="shared" si="6"/>
        <v>1.5681850092283145E-5</v>
      </c>
      <c r="Z42" s="5">
        <f t="shared" si="6"/>
        <v>1.5376707406861157E-5</v>
      </c>
      <c r="AA42" s="5">
        <f t="shared" si="6"/>
        <v>1.5071286884204398E-5</v>
      </c>
      <c r="AB42" s="5">
        <f t="shared" si="6"/>
        <v>1.4765690511687192E-5</v>
      </c>
      <c r="AC42" s="5">
        <f t="shared" si="6"/>
        <v>1.4460556836339846E-5</v>
      </c>
      <c r="AD42" s="5">
        <f t="shared" si="6"/>
        <v>1.4155255260207027E-5</v>
      </c>
      <c r="AE42" s="5">
        <f t="shared" si="6"/>
        <v>1.3849483105232463E-5</v>
      </c>
    </row>
    <row r="43" spans="1:31" x14ac:dyDescent="0.25">
      <c r="A43" s="1" t="s">
        <v>1038</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1.2749971842568044E-5</v>
      </c>
      <c r="Q43" s="5">
        <f t="shared" si="7"/>
        <v>1.3242538067552631E-5</v>
      </c>
      <c r="R43" s="5">
        <f t="shared" si="7"/>
        <v>1.3735104292537219E-5</v>
      </c>
      <c r="S43" s="5">
        <f t="shared" si="7"/>
        <v>1.4227670517521803E-5</v>
      </c>
      <c r="T43" s="5">
        <f t="shared" si="7"/>
        <v>1.4720236742506392E-5</v>
      </c>
      <c r="U43" s="5">
        <f t="shared" si="7"/>
        <v>1.5212802967490982E-5</v>
      </c>
      <c r="V43" s="5">
        <f t="shared" si="7"/>
        <v>1.6409097555156754E-5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25">
      <c r="A44" s="1" t="s">
        <v>996</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5.6859054987262789E-5</v>
      </c>
      <c r="Q44" s="5">
        <f t="shared" si="8"/>
        <v>5.7363286043459006E-5</v>
      </c>
      <c r="R44" s="5">
        <f t="shared" si="8"/>
        <v>5.7867517099655223E-5</v>
      </c>
      <c r="S44" s="5">
        <f t="shared" si="8"/>
        <v>5.837174815585144E-5</v>
      </c>
      <c r="T44" s="5">
        <f t="shared" si="8"/>
        <v>5.8875979212047657E-5</v>
      </c>
      <c r="U44" s="5">
        <f t="shared" si="8"/>
        <v>5.9380210268243874E-5</v>
      </c>
      <c r="V44" s="5">
        <f t="shared" si="8"/>
        <v>6.0588169687121278E-5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25">
      <c r="A3" t="s">
        <v>762</v>
      </c>
      <c r="B3" s="353" t="s">
        <v>763</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25">
      <c r="A4" t="s">
        <v>764</v>
      </c>
      <c r="B4" s="354"/>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2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25">
      <c r="B6" s="353" t="s">
        <v>765</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25">
      <c r="B7" s="354"/>
      <c r="C7" s="128" t="s">
        <v>766</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25">
      <c r="B8" s="354"/>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25">
      <c r="A9" s="1" t="s">
        <v>767</v>
      </c>
      <c r="B9" s="129" t="s">
        <v>768</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769</v>
      </c>
    </row>
    <row r="10" spans="1:34" x14ac:dyDescent="0.25">
      <c r="B10" s="129" t="s">
        <v>770</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25">
      <c r="A11" s="1"/>
      <c r="B11" s="129" t="s">
        <v>771</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772</v>
      </c>
    </row>
    <row r="12" spans="1:34" x14ac:dyDescent="0.25">
      <c r="B12" s="129" t="s">
        <v>773</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25">
      <c r="B13" s="129" t="s">
        <v>774</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772</v>
      </c>
    </row>
    <row r="14" spans="1:34" x14ac:dyDescent="0.25">
      <c r="B14" s="129" t="s">
        <v>775</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25">
      <c r="B15" s="129" t="s">
        <v>776</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777</v>
      </c>
    </row>
    <row r="16" spans="1:34" x14ac:dyDescent="0.25">
      <c r="B16" s="129" t="s">
        <v>778</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772</v>
      </c>
    </row>
    <row r="17" spans="1:34" x14ac:dyDescent="0.25">
      <c r="B17" s="129" t="s">
        <v>779</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772</v>
      </c>
    </row>
    <row r="18" spans="1:34" x14ac:dyDescent="0.25">
      <c r="B18" s="129" t="s">
        <v>780</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772</v>
      </c>
    </row>
    <row r="19" spans="1:34" x14ac:dyDescent="0.25">
      <c r="B19" s="129" t="s">
        <v>781</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25">
      <c r="B20" s="129" t="s">
        <v>782</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772</v>
      </c>
    </row>
    <row r="21" spans="1:34" x14ac:dyDescent="0.25">
      <c r="B21" s="129" t="s">
        <v>783</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772</v>
      </c>
    </row>
    <row r="22" spans="1:34" x14ac:dyDescent="0.25">
      <c r="B22" s="129" t="s">
        <v>784</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772</v>
      </c>
    </row>
    <row r="23" spans="1:34" x14ac:dyDescent="0.25">
      <c r="B23" s="129" t="s">
        <v>785</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777</v>
      </c>
    </row>
    <row r="24" spans="1:34" x14ac:dyDescent="0.25">
      <c r="B24" s="129" t="s">
        <v>786</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772</v>
      </c>
    </row>
    <row r="25" spans="1:34" x14ac:dyDescent="0.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25">
      <c r="A26" s="1" t="s">
        <v>787</v>
      </c>
      <c r="B26" s="129" t="s">
        <v>768</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25">
      <c r="B27" s="129" t="s">
        <v>770</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772</v>
      </c>
    </row>
    <row r="28" spans="1:34" x14ac:dyDescent="0.25">
      <c r="A28" s="1"/>
      <c r="B28" s="129" t="s">
        <v>771</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25">
      <c r="B29" s="129" t="s">
        <v>773</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772</v>
      </c>
    </row>
    <row r="30" spans="1:34" x14ac:dyDescent="0.25">
      <c r="B30" s="129" t="s">
        <v>774</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25">
      <c r="B31" s="129" t="s">
        <v>775</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25">
      <c r="B32" s="129" t="s">
        <v>776</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25">
      <c r="B33" s="129" t="s">
        <v>778</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25">
      <c r="B34" s="129" t="s">
        <v>779</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25">
      <c r="B35" s="129" t="s">
        <v>780</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25">
      <c r="B36" s="129" t="s">
        <v>781</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772</v>
      </c>
    </row>
    <row r="37" spans="1:34" x14ac:dyDescent="0.25">
      <c r="B37" s="129" t="s">
        <v>782</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25">
      <c r="B38" s="129" t="s">
        <v>783</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25">
      <c r="B39" s="129" t="s">
        <v>784</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25">
      <c r="B40" s="129" t="s">
        <v>785</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25">
      <c r="B41" s="129" t="s">
        <v>786</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2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25">
      <c r="A43" s="1" t="s">
        <v>788</v>
      </c>
      <c r="B43" s="129" t="s">
        <v>789</v>
      </c>
    </row>
    <row r="44" spans="1:34" x14ac:dyDescent="0.25">
      <c r="B44" s="129" t="s">
        <v>790</v>
      </c>
    </row>
    <row r="45" spans="1:34" x14ac:dyDescent="0.25">
      <c r="B45" s="129" t="s">
        <v>791</v>
      </c>
    </row>
    <row r="46" spans="1:34" x14ac:dyDescent="0.25">
      <c r="B46" s="129" t="s">
        <v>792</v>
      </c>
    </row>
  </sheetData>
  <mergeCells count="2">
    <mergeCell ref="B3:B4"/>
    <mergeCell ref="B6:B8"/>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customWidth="1"/>
    <col min="10" max="10" width="19.42578125" style="132" customWidth="1"/>
    <col min="11" max="11" width="55" style="132" bestFit="1" customWidth="1"/>
    <col min="12" max="12" width="16.42578125" style="132" customWidth="1"/>
    <col min="13" max="15" width="11.42578125" style="132" customWidth="1"/>
    <col min="16" max="17" width="12.42578125" style="132" customWidth="1"/>
    <col min="18" max="20" width="11.42578125" style="132" customWidth="1"/>
    <col min="21" max="21" width="18.42578125" style="132" customWidth="1"/>
    <col min="22" max="22" width="10.42578125" style="132" bestFit="1" customWidth="1"/>
    <col min="23" max="24" width="11.42578125" style="132" customWidth="1"/>
    <col min="25" max="25" width="10.42578125" style="132" bestFit="1" customWidth="1"/>
    <col min="26" max="45" width="11.42578125" style="132" customWidth="1"/>
    <col min="46" max="16384" width="9.42578125" style="132"/>
  </cols>
  <sheetData>
    <row r="1" spans="1:108" ht="18" x14ac:dyDescent="0.25">
      <c r="A1" s="407" t="s">
        <v>933</v>
      </c>
      <c r="B1" s="407"/>
      <c r="C1" s="407"/>
      <c r="D1" s="407"/>
      <c r="E1" s="407"/>
      <c r="F1" s="407"/>
      <c r="G1" s="407"/>
      <c r="H1" s="407"/>
      <c r="I1" s="407"/>
      <c r="J1" s="407"/>
      <c r="M1" s="133" t="s">
        <v>934</v>
      </c>
    </row>
    <row r="2" spans="1:108" ht="14.25" customHeight="1" x14ac:dyDescent="0.25">
      <c r="A2"/>
      <c r="B2"/>
      <c r="C2"/>
      <c r="D2"/>
      <c r="E2"/>
      <c r="F2" s="134"/>
      <c r="G2" s="134"/>
      <c r="H2" s="134"/>
      <c r="I2" s="134"/>
      <c r="J2" s="134"/>
      <c r="K2" s="134"/>
      <c r="L2" s="134"/>
      <c r="M2" s="134"/>
      <c r="N2" s="134"/>
      <c r="O2" s="134"/>
      <c r="P2" s="134"/>
      <c r="Q2" s="134"/>
      <c r="R2" s="134"/>
      <c r="S2" s="134"/>
      <c r="T2" s="134"/>
      <c r="U2" s="135" t="s">
        <v>794</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25">
      <c r="A3"/>
      <c r="B3"/>
      <c r="C3"/>
      <c r="D3"/>
      <c r="E3"/>
      <c r="U3" s="136" t="s">
        <v>795</v>
      </c>
    </row>
    <row r="4" spans="1:108" ht="14.25" customHeight="1" x14ac:dyDescent="0.2">
      <c r="J4" s="137"/>
      <c r="U4" s="408" t="s">
        <v>796</v>
      </c>
    </row>
    <row r="5" spans="1:108" ht="14.25" customHeight="1" x14ac:dyDescent="0.2">
      <c r="U5" s="409"/>
    </row>
    <row r="7" spans="1:108" ht="14.25" customHeight="1" x14ac:dyDescent="0.25">
      <c r="B7" s="138" t="s">
        <v>797</v>
      </c>
      <c r="G7" s="383" t="s">
        <v>863</v>
      </c>
      <c r="H7" s="410"/>
      <c r="I7" s="410"/>
      <c r="J7" s="410"/>
      <c r="K7" s="410"/>
      <c r="L7" s="410"/>
      <c r="M7" s="410"/>
      <c r="N7" s="410"/>
      <c r="O7" s="410"/>
      <c r="P7" s="410"/>
      <c r="Q7" s="410"/>
      <c r="R7" s="410"/>
      <c r="S7" s="410"/>
      <c r="T7" s="410"/>
      <c r="U7" s="410"/>
      <c r="V7" s="410"/>
      <c r="W7" s="410"/>
      <c r="X7" s="410"/>
      <c r="Y7" s="410"/>
    </row>
    <row r="8" spans="1:108" ht="14.25" customHeight="1" thickBot="1" x14ac:dyDescent="0.25">
      <c r="G8" s="140"/>
      <c r="U8" s="141"/>
    </row>
    <row r="9" spans="1:108" ht="14.25" customHeight="1" thickBot="1" x14ac:dyDescent="0.3">
      <c r="A9"/>
      <c r="G9" s="140"/>
      <c r="H9" s="411" t="s">
        <v>799</v>
      </c>
      <c r="J9" s="413" t="s">
        <v>800</v>
      </c>
      <c r="K9" s="414"/>
      <c r="L9" s="415"/>
      <c r="M9" s="416">
        <v>2021</v>
      </c>
      <c r="N9" s="417"/>
      <c r="O9" s="417"/>
      <c r="P9" s="417"/>
      <c r="Q9" s="418"/>
      <c r="R9" s="419"/>
    </row>
    <row r="10" spans="1:108" ht="14.25" customHeight="1" thickBot="1" x14ac:dyDescent="0.25">
      <c r="G10" s="140"/>
      <c r="H10" s="412"/>
      <c r="J10" s="143" t="s">
        <v>801</v>
      </c>
      <c r="K10" s="268"/>
      <c r="L10" s="268"/>
      <c r="M10" s="268"/>
      <c r="N10" s="268"/>
      <c r="O10" s="268"/>
      <c r="P10" s="269"/>
      <c r="Q10" s="268"/>
      <c r="R10" s="270"/>
    </row>
    <row r="11" spans="1:108" ht="13.5" customHeight="1" thickBot="1" x14ac:dyDescent="0.3">
      <c r="G11" s="140"/>
      <c r="H11" s="412"/>
      <c r="J11" s="420" t="s">
        <v>935</v>
      </c>
      <c r="K11" s="421"/>
      <c r="L11" s="421"/>
      <c r="M11" s="421"/>
      <c r="N11" s="421"/>
      <c r="O11" s="421"/>
      <c r="P11" s="421"/>
      <c r="Q11" s="421"/>
      <c r="R11" s="422"/>
      <c r="W11" s="271"/>
      <c r="X11" s="272"/>
      <c r="Y11" s="272"/>
      <c r="Z11" s="272"/>
      <c r="AA11" s="272"/>
    </row>
    <row r="12" spans="1:108" ht="13.5" customHeight="1" thickBot="1" x14ac:dyDescent="0.3">
      <c r="G12" s="140"/>
      <c r="H12" s="412"/>
      <c r="J12" s="423" t="s">
        <v>936</v>
      </c>
      <c r="K12" s="424"/>
      <c r="L12" s="424"/>
      <c r="M12" s="424"/>
      <c r="N12" s="424"/>
      <c r="O12" s="424"/>
      <c r="P12" s="424"/>
      <c r="Q12" s="424"/>
      <c r="R12" s="425"/>
      <c r="W12" s="271"/>
      <c r="X12" s="272"/>
      <c r="Y12" s="272"/>
      <c r="Z12" s="272"/>
      <c r="AA12" s="272"/>
    </row>
    <row r="13" spans="1:108" ht="13.5" customHeight="1" thickBot="1" x14ac:dyDescent="0.3">
      <c r="G13" s="140"/>
      <c r="H13" s="412"/>
      <c r="J13" s="423" t="s">
        <v>937</v>
      </c>
      <c r="K13" s="424"/>
      <c r="L13" s="424"/>
      <c r="M13" s="424"/>
      <c r="N13" s="424"/>
      <c r="O13" s="424"/>
      <c r="P13" s="424"/>
      <c r="Q13" s="424"/>
      <c r="R13" s="425"/>
      <c r="W13" s="271"/>
      <c r="X13" s="272"/>
      <c r="Y13" s="272"/>
      <c r="Z13" s="272"/>
      <c r="AA13" s="272"/>
    </row>
    <row r="14" spans="1:108" ht="13.5" customHeight="1" thickBot="1" x14ac:dyDescent="0.3">
      <c r="G14" s="140"/>
      <c r="H14" s="412"/>
      <c r="J14" s="423" t="s">
        <v>938</v>
      </c>
      <c r="K14" s="424"/>
      <c r="L14" s="424"/>
      <c r="M14" s="424"/>
      <c r="N14" s="424"/>
      <c r="O14" s="424"/>
      <c r="P14" s="424"/>
      <c r="Q14" s="424"/>
      <c r="R14" s="425"/>
      <c r="W14" s="272"/>
      <c r="X14" s="272"/>
      <c r="Y14" s="272"/>
      <c r="Z14" s="272"/>
      <c r="AA14" s="272"/>
    </row>
    <row r="15" spans="1:108" ht="14.25" customHeight="1" thickBot="1" x14ac:dyDescent="0.3">
      <c r="G15" s="140"/>
      <c r="H15" s="412"/>
      <c r="J15" s="426" t="s">
        <v>939</v>
      </c>
      <c r="K15" s="427"/>
      <c r="L15" s="427"/>
      <c r="M15" s="427"/>
      <c r="N15" s="427"/>
      <c r="O15" s="427"/>
      <c r="P15" s="427"/>
      <c r="Q15" s="427"/>
      <c r="R15" s="428"/>
      <c r="W15" s="272"/>
      <c r="X15" s="272"/>
      <c r="Y15" s="272"/>
      <c r="Z15" s="272"/>
      <c r="AA15" s="272"/>
    </row>
    <row r="16" spans="1:108" ht="14.25" customHeight="1" thickTop="1" x14ac:dyDescent="0.25">
      <c r="G16" s="140"/>
      <c r="H16" s="412"/>
      <c r="J16" s="429" t="s">
        <v>940</v>
      </c>
      <c r="K16" s="430"/>
      <c r="L16" s="430"/>
      <c r="M16" s="430"/>
      <c r="N16" s="430"/>
      <c r="O16" s="430"/>
      <c r="P16" s="430"/>
      <c r="Q16" s="430"/>
      <c r="R16" s="431"/>
      <c r="W16" s="272"/>
      <c r="X16" s="272"/>
      <c r="Y16" s="272"/>
      <c r="Z16" s="272"/>
      <c r="AA16" s="272"/>
    </row>
    <row r="17" spans="7:27" ht="14.25" customHeight="1" x14ac:dyDescent="0.25">
      <c r="G17" s="140"/>
      <c r="H17" s="412"/>
      <c r="J17" s="432"/>
      <c r="K17" s="433"/>
      <c r="L17" s="433"/>
      <c r="M17" s="433"/>
      <c r="N17" s="433"/>
      <c r="O17" s="433"/>
      <c r="P17" s="433"/>
      <c r="Q17" s="433"/>
      <c r="R17" s="434"/>
      <c r="W17" s="272"/>
      <c r="X17" s="272"/>
      <c r="Y17" s="272"/>
      <c r="Z17" s="272"/>
      <c r="AA17" s="272"/>
    </row>
    <row r="18" spans="7:27" ht="14.25" customHeight="1" thickBot="1" x14ac:dyDescent="0.3">
      <c r="G18" s="140"/>
      <c r="H18" s="412"/>
      <c r="J18" s="435"/>
      <c r="K18" s="436"/>
      <c r="L18" s="436"/>
      <c r="M18" s="436"/>
      <c r="N18" s="436"/>
      <c r="O18" s="436"/>
      <c r="P18" s="436"/>
      <c r="Q18" s="436"/>
      <c r="R18" s="437"/>
      <c r="W18" s="272"/>
      <c r="X18" s="272"/>
      <c r="Y18" s="272"/>
      <c r="Z18" s="272"/>
      <c r="AA18" s="272"/>
    </row>
    <row r="19" spans="7:27" ht="24" customHeight="1" thickTop="1" thickBot="1" x14ac:dyDescent="0.3">
      <c r="G19" s="140"/>
      <c r="H19" s="412"/>
      <c r="J19" s="438">
        <v>118918</v>
      </c>
      <c r="K19" s="439"/>
      <c r="L19" s="439"/>
      <c r="M19" s="439"/>
      <c r="N19" s="439"/>
      <c r="O19" s="439"/>
      <c r="P19" s="439"/>
      <c r="Q19" s="439"/>
      <c r="R19" s="440"/>
      <c r="W19" s="272"/>
      <c r="X19" s="272"/>
      <c r="Y19" s="272"/>
      <c r="Z19" s="272"/>
      <c r="AA19" s="272"/>
    </row>
    <row r="20" spans="7:27" ht="14.25" customHeight="1" thickTop="1" x14ac:dyDescent="0.25">
      <c r="G20" s="140"/>
      <c r="H20" s="412"/>
      <c r="J20" s="273"/>
      <c r="K20" s="274"/>
      <c r="L20" s="275"/>
      <c r="M20" s="441" t="s">
        <v>941</v>
      </c>
      <c r="N20" s="442"/>
      <c r="O20" s="442"/>
      <c r="P20" s="442"/>
      <c r="Q20" s="442"/>
      <c r="R20" s="443"/>
      <c r="V20" s="276"/>
      <c r="W20" s="272"/>
      <c r="X20" s="272"/>
      <c r="Y20" s="272"/>
      <c r="Z20" s="272"/>
      <c r="AA20" s="272"/>
    </row>
    <row r="21" spans="7:27" ht="14.25" customHeight="1" x14ac:dyDescent="0.25">
      <c r="G21" s="140"/>
      <c r="H21" s="412"/>
      <c r="J21" s="277"/>
      <c r="M21" s="444"/>
      <c r="N21" s="445"/>
      <c r="O21" s="445"/>
      <c r="P21" s="445"/>
      <c r="Q21" s="445"/>
      <c r="R21" s="446"/>
      <c r="S21"/>
      <c r="V21" s="276"/>
      <c r="W21" s="272"/>
      <c r="X21" s="272"/>
      <c r="Y21" s="272"/>
      <c r="Z21" s="272"/>
      <c r="AA21" s="272"/>
    </row>
    <row r="22" spans="7:27" ht="14.25" customHeight="1" x14ac:dyDescent="0.25">
      <c r="G22" s="140"/>
      <c r="H22" s="412"/>
      <c r="J22" s="277"/>
      <c r="M22" s="444"/>
      <c r="N22" s="445"/>
      <c r="O22" s="445"/>
      <c r="P22" s="445"/>
      <c r="Q22" s="445"/>
      <c r="R22" s="446"/>
      <c r="S22"/>
      <c r="V22" s="276"/>
      <c r="W22" s="272"/>
      <c r="X22" s="272"/>
      <c r="Y22" s="272"/>
      <c r="Z22" s="272"/>
      <c r="AA22" s="272"/>
    </row>
    <row r="23" spans="7:27" ht="14.25" customHeight="1" x14ac:dyDescent="0.25">
      <c r="G23" s="140"/>
      <c r="H23" s="412"/>
      <c r="J23" s="277"/>
      <c r="M23" s="444"/>
      <c r="N23" s="445"/>
      <c r="O23" s="445"/>
      <c r="P23" s="445"/>
      <c r="Q23" s="445"/>
      <c r="R23" s="446"/>
      <c r="S23"/>
      <c r="V23" s="276"/>
      <c r="W23" s="272"/>
      <c r="X23" s="272"/>
      <c r="Y23" s="272"/>
      <c r="Z23" s="272"/>
      <c r="AA23" s="272"/>
    </row>
    <row r="24" spans="7:27" ht="14.25" customHeight="1" thickBot="1" x14ac:dyDescent="0.3">
      <c r="G24" s="140"/>
      <c r="H24" s="412"/>
      <c r="J24" s="279"/>
      <c r="K24" s="280"/>
      <c r="M24" s="447"/>
      <c r="N24" s="448"/>
      <c r="O24" s="448"/>
      <c r="P24" s="448"/>
      <c r="Q24" s="448"/>
      <c r="R24" s="449"/>
      <c r="S24"/>
      <c r="U24" s="272"/>
      <c r="V24" s="276"/>
      <c r="W24" s="272"/>
      <c r="X24" s="272"/>
      <c r="Y24" s="272"/>
      <c r="Z24" s="272"/>
      <c r="AA24" s="272"/>
    </row>
    <row r="25" spans="7:27" ht="14.25" customHeight="1" thickBot="1" x14ac:dyDescent="0.3">
      <c r="G25" s="140"/>
      <c r="H25" s="267"/>
      <c r="M25" s="278"/>
      <c r="N25" s="278"/>
      <c r="O25" s="278"/>
      <c r="P25" s="278"/>
      <c r="Q25" s="278"/>
      <c r="R25" s="278"/>
      <c r="S25"/>
      <c r="U25" s="272"/>
      <c r="V25" s="276"/>
      <c r="W25" s="272"/>
      <c r="X25" s="272"/>
      <c r="Y25" s="272"/>
      <c r="Z25" s="272"/>
      <c r="AA25" s="272"/>
    </row>
    <row r="26" spans="7:27" ht="14.25" customHeight="1" thickBot="1" x14ac:dyDescent="0.3">
      <c r="G26" s="140"/>
      <c r="H26" s="267"/>
      <c r="J26" s="390" t="s">
        <v>803</v>
      </c>
      <c r="K26" s="147" t="s">
        <v>804</v>
      </c>
      <c r="L26" s="147" t="s">
        <v>805</v>
      </c>
      <c r="M26" s="147" t="s">
        <v>806</v>
      </c>
      <c r="N26" s="147" t="s">
        <v>807</v>
      </c>
      <c r="O26" s="147" t="s">
        <v>808</v>
      </c>
      <c r="P26" s="278"/>
      <c r="Q26" s="278"/>
      <c r="R26" s="278"/>
      <c r="S26"/>
      <c r="U26" s="272"/>
      <c r="V26" s="276"/>
      <c r="W26" s="272"/>
      <c r="X26" s="272"/>
      <c r="Y26" s="272"/>
      <c r="Z26" s="272"/>
      <c r="AA26" s="272"/>
    </row>
    <row r="27" spans="7:27" ht="14.25" customHeight="1" x14ac:dyDescent="0.25">
      <c r="G27" s="140"/>
      <c r="H27" s="267"/>
      <c r="J27" s="390"/>
      <c r="K27" s="148" t="s">
        <v>942</v>
      </c>
      <c r="L27" s="148" t="s">
        <v>943</v>
      </c>
      <c r="M27" s="148" t="s">
        <v>814</v>
      </c>
      <c r="N27" s="148" t="s">
        <v>815</v>
      </c>
      <c r="O27" s="281" t="s">
        <v>816</v>
      </c>
      <c r="P27" s="278"/>
      <c r="Q27" s="278"/>
      <c r="R27" s="278"/>
      <c r="S27"/>
      <c r="U27" s="272"/>
      <c r="V27" s="276"/>
      <c r="W27" s="272"/>
      <c r="X27" s="272"/>
      <c r="Y27" s="272"/>
      <c r="Z27" s="272"/>
      <c r="AA27" s="272"/>
    </row>
    <row r="28" spans="7:27" ht="14.25" customHeight="1" x14ac:dyDescent="0.25">
      <c r="G28" s="140"/>
      <c r="H28" s="267"/>
      <c r="J28" s="390"/>
      <c r="K28" s="151" t="s">
        <v>944</v>
      </c>
      <c r="L28" s="151" t="s">
        <v>943</v>
      </c>
      <c r="M28" s="151" t="s">
        <v>819</v>
      </c>
      <c r="N28" s="151" t="s">
        <v>815</v>
      </c>
      <c r="O28" s="282" t="s">
        <v>816</v>
      </c>
      <c r="P28" s="278"/>
      <c r="Q28" s="278"/>
      <c r="R28" s="278"/>
      <c r="S28"/>
      <c r="U28" s="272"/>
      <c r="V28" s="276"/>
      <c r="W28" s="272"/>
      <c r="X28" s="272"/>
      <c r="Y28" s="272"/>
      <c r="Z28" s="272"/>
      <c r="AA28" s="272"/>
    </row>
    <row r="29" spans="7:27" ht="14.25" customHeight="1" x14ac:dyDescent="0.25">
      <c r="G29" s="140"/>
      <c r="H29" s="267"/>
      <c r="J29" s="390"/>
      <c r="K29" s="153" t="s">
        <v>945</v>
      </c>
      <c r="L29" s="153" t="s">
        <v>943</v>
      </c>
      <c r="M29" s="153" t="s">
        <v>823</v>
      </c>
      <c r="N29" s="153" t="s">
        <v>815</v>
      </c>
      <c r="O29" s="283" t="s">
        <v>816</v>
      </c>
      <c r="P29" s="278"/>
      <c r="Q29" s="278"/>
      <c r="R29" s="278"/>
      <c r="S29"/>
      <c r="U29" s="272"/>
      <c r="V29" s="276"/>
      <c r="W29" s="272"/>
      <c r="X29" s="272"/>
      <c r="Y29" s="272"/>
      <c r="Z29" s="272"/>
      <c r="AA29" s="272"/>
    </row>
    <row r="30" spans="7:27" ht="14.25" customHeight="1" x14ac:dyDescent="0.25">
      <c r="G30" s="140"/>
      <c r="H30" s="267"/>
      <c r="J30" s="390"/>
      <c r="K30" s="151" t="s">
        <v>946</v>
      </c>
      <c r="L30" s="151" t="s">
        <v>943</v>
      </c>
      <c r="M30" s="151" t="s">
        <v>826</v>
      </c>
      <c r="N30" s="151" t="s">
        <v>815</v>
      </c>
      <c r="O30" s="282" t="s">
        <v>816</v>
      </c>
      <c r="P30" s="278"/>
      <c r="Q30" s="278"/>
      <c r="R30" s="278"/>
      <c r="S30"/>
      <c r="U30" s="272"/>
      <c r="V30" s="276"/>
      <c r="W30" s="272"/>
      <c r="X30" s="272"/>
      <c r="Y30" s="272"/>
      <c r="Z30" s="272"/>
      <c r="AA30" s="272"/>
    </row>
    <row r="31" spans="7:27" ht="14.25" customHeight="1" x14ac:dyDescent="0.25">
      <c r="G31" s="140"/>
      <c r="H31" s="267"/>
      <c r="J31" s="390"/>
      <c r="K31" s="153" t="s">
        <v>947</v>
      </c>
      <c r="L31" s="153" t="s">
        <v>943</v>
      </c>
      <c r="M31" s="153" t="s">
        <v>829</v>
      </c>
      <c r="N31" s="153" t="s">
        <v>815</v>
      </c>
      <c r="O31" s="283" t="s">
        <v>816</v>
      </c>
      <c r="P31" s="278"/>
      <c r="Q31" s="278"/>
      <c r="R31" s="278"/>
      <c r="S31"/>
      <c r="U31" s="272"/>
      <c r="V31" s="276"/>
      <c r="W31" s="272"/>
      <c r="X31" s="272"/>
      <c r="Y31" s="272"/>
      <c r="Z31" s="272"/>
      <c r="AA31" s="272"/>
    </row>
    <row r="32" spans="7:27" ht="14.25" customHeight="1" x14ac:dyDescent="0.25">
      <c r="G32" s="140"/>
      <c r="H32" s="267"/>
      <c r="J32" s="390"/>
      <c r="K32" s="155" t="s">
        <v>948</v>
      </c>
      <c r="L32" s="155" t="s">
        <v>943</v>
      </c>
      <c r="M32" s="155" t="s">
        <v>832</v>
      </c>
      <c r="N32" s="155" t="s">
        <v>815</v>
      </c>
      <c r="O32" s="284" t="s">
        <v>816</v>
      </c>
      <c r="P32" s="278"/>
      <c r="Q32" s="278"/>
      <c r="R32" s="278"/>
      <c r="S32"/>
      <c r="U32" s="272"/>
      <c r="V32" s="276"/>
      <c r="W32" s="272"/>
      <c r="X32" s="272"/>
      <c r="Y32" s="272"/>
      <c r="Z32" s="272"/>
      <c r="AA32" s="272"/>
    </row>
    <row r="33" spans="6:27" ht="14.25" customHeight="1" x14ac:dyDescent="0.25">
      <c r="G33" s="140"/>
      <c r="H33" s="267"/>
      <c r="J33" s="390"/>
      <c r="K33" s="153" t="s">
        <v>949</v>
      </c>
      <c r="L33" s="153" t="s">
        <v>943</v>
      </c>
      <c r="M33" s="153" t="s">
        <v>835</v>
      </c>
      <c r="N33" s="153" t="s">
        <v>815</v>
      </c>
      <c r="O33" s="283" t="s">
        <v>816</v>
      </c>
      <c r="P33" s="278"/>
      <c r="Q33" s="278"/>
      <c r="R33" s="278"/>
      <c r="S33"/>
      <c r="U33" s="272"/>
      <c r="V33" s="276"/>
      <c r="W33" s="272"/>
      <c r="X33" s="272"/>
      <c r="Y33" s="272"/>
      <c r="Z33" s="272"/>
      <c r="AA33" s="272"/>
    </row>
    <row r="34" spans="6:27" ht="14.25" customHeight="1" x14ac:dyDescent="0.25">
      <c r="G34" s="140"/>
      <c r="H34" s="267"/>
      <c r="J34" s="390"/>
      <c r="K34" s="151" t="s">
        <v>950</v>
      </c>
      <c r="L34" s="151" t="s">
        <v>943</v>
      </c>
      <c r="M34" s="151" t="s">
        <v>839</v>
      </c>
      <c r="N34" s="151" t="s">
        <v>815</v>
      </c>
      <c r="O34" s="282" t="s">
        <v>816</v>
      </c>
      <c r="P34" s="278"/>
      <c r="Q34" s="278"/>
      <c r="R34" s="278"/>
      <c r="S34"/>
      <c r="U34" s="272"/>
      <c r="V34" s="276"/>
      <c r="W34" s="272"/>
      <c r="X34" s="272"/>
      <c r="Y34" s="272"/>
      <c r="Z34" s="272"/>
      <c r="AA34" s="272"/>
    </row>
    <row r="35" spans="6:27" ht="14.25" customHeight="1" x14ac:dyDescent="0.25">
      <c r="G35" s="140"/>
      <c r="H35" s="267"/>
      <c r="J35" s="390"/>
      <c r="K35" s="153" t="s">
        <v>951</v>
      </c>
      <c r="L35" s="153" t="s">
        <v>943</v>
      </c>
      <c r="M35" s="153" t="s">
        <v>843</v>
      </c>
      <c r="N35" s="153" t="s">
        <v>815</v>
      </c>
      <c r="O35" s="283" t="s">
        <v>816</v>
      </c>
      <c r="P35" s="278"/>
      <c r="Q35" s="278"/>
      <c r="R35" s="278"/>
      <c r="S35"/>
      <c r="U35" s="272"/>
      <c r="V35" s="276"/>
      <c r="W35" s="272"/>
      <c r="X35" s="272"/>
      <c r="Y35" s="272"/>
      <c r="Z35" s="272"/>
      <c r="AA35" s="272"/>
    </row>
    <row r="36" spans="6:27" ht="14.25" customHeight="1" thickBot="1" x14ac:dyDescent="0.3">
      <c r="G36" s="140"/>
      <c r="H36" s="267"/>
      <c r="J36" s="390"/>
      <c r="K36" s="157" t="s">
        <v>952</v>
      </c>
      <c r="L36" s="157" t="s">
        <v>943</v>
      </c>
      <c r="M36" s="157" t="s">
        <v>847</v>
      </c>
      <c r="N36" s="157" t="s">
        <v>815</v>
      </c>
      <c r="O36" s="285" t="s">
        <v>816</v>
      </c>
      <c r="P36" s="278"/>
      <c r="Q36" s="278"/>
      <c r="R36" s="278"/>
      <c r="S36"/>
      <c r="U36" s="272"/>
      <c r="V36" s="276"/>
      <c r="W36" s="272"/>
      <c r="X36" s="272"/>
      <c r="Y36" s="272"/>
      <c r="Z36" s="272"/>
      <c r="AA36" s="272"/>
    </row>
    <row r="37" spans="6:27" ht="14.25" customHeight="1" thickBot="1" x14ac:dyDescent="0.3">
      <c r="G37" s="140"/>
      <c r="H37"/>
      <c r="J37"/>
      <c r="K37"/>
      <c r="L37" s="286"/>
      <c r="M37"/>
      <c r="R37" s="276"/>
      <c r="S37" s="276"/>
      <c r="T37" s="276"/>
      <c r="U37" s="272"/>
      <c r="V37" s="276"/>
      <c r="W37" s="272"/>
      <c r="X37" s="272"/>
      <c r="Y37" s="272"/>
      <c r="Z37" s="272"/>
      <c r="AA37" s="272"/>
    </row>
    <row r="38" spans="6:27" ht="14.25" customHeight="1" x14ac:dyDescent="0.25">
      <c r="G38" s="140"/>
      <c r="H38" s="394" t="s">
        <v>851</v>
      </c>
      <c r="J38" s="396" t="s">
        <v>852</v>
      </c>
      <c r="K38" s="397"/>
      <c r="L38" s="397"/>
      <c r="M38" s="397"/>
      <c r="N38" s="397"/>
      <c r="O38" s="398"/>
      <c r="U38" s="272"/>
      <c r="W38" s="272"/>
      <c r="X38" s="272"/>
      <c r="Y38" s="272"/>
      <c r="Z38" s="272"/>
      <c r="AA38" s="272"/>
    </row>
    <row r="39" spans="6:27" ht="14.25" customHeight="1" thickBot="1" x14ac:dyDescent="0.3">
      <c r="G39" s="140"/>
      <c r="H39" s="395"/>
      <c r="J39" s="399" t="s">
        <v>854</v>
      </c>
      <c r="K39" s="400"/>
      <c r="L39" s="400"/>
      <c r="M39" s="400"/>
      <c r="N39" s="400"/>
      <c r="O39" s="287">
        <v>20</v>
      </c>
      <c r="P39" s="288"/>
      <c r="Q39" s="132" t="s">
        <v>850</v>
      </c>
      <c r="S39" s="159" t="s">
        <v>962</v>
      </c>
      <c r="U39" s="272"/>
    </row>
    <row r="40" spans="6:27" ht="14.25" customHeight="1" x14ac:dyDescent="0.25">
      <c r="G40" s="140"/>
      <c r="H40" s="395"/>
      <c r="J40" s="165" t="s">
        <v>855</v>
      </c>
      <c r="K40" s="166"/>
      <c r="L40" s="166"/>
      <c r="M40" s="166"/>
      <c r="N40" s="166"/>
      <c r="O40" s="167">
        <v>5</v>
      </c>
      <c r="Q40" s="132" t="s">
        <v>853</v>
      </c>
      <c r="S40" s="160">
        <v>20</v>
      </c>
      <c r="U40" s="272"/>
    </row>
    <row r="41" spans="6:27" ht="14.65" customHeight="1" thickBot="1" x14ac:dyDescent="0.25">
      <c r="F41" s="140"/>
      <c r="G41" s="140"/>
      <c r="H41" s="395"/>
      <c r="J41" s="289" t="s">
        <v>856</v>
      </c>
      <c r="K41" s="290"/>
      <c r="L41" s="290"/>
      <c r="M41" s="290"/>
      <c r="N41" s="290"/>
      <c r="O41" s="168">
        <v>0.02</v>
      </c>
      <c r="Z41" s="291"/>
      <c r="AA41" s="291"/>
    </row>
    <row r="42" spans="6:27" ht="15" customHeight="1" x14ac:dyDescent="0.2">
      <c r="F42" s="140"/>
      <c r="G42" s="140"/>
      <c r="H42" s="395"/>
      <c r="J42" s="292" t="s">
        <v>857</v>
      </c>
      <c r="K42" s="293"/>
      <c r="L42" s="293"/>
      <c r="M42" s="293"/>
      <c r="N42" s="293"/>
      <c r="O42" s="172">
        <v>1</v>
      </c>
    </row>
    <row r="43" spans="6:27" ht="15" customHeight="1" x14ac:dyDescent="0.25">
      <c r="G43" s="140"/>
      <c r="H43" s="395"/>
      <c r="J43" s="294" t="s">
        <v>172</v>
      </c>
      <c r="K43" s="295" t="s">
        <v>858</v>
      </c>
      <c r="L43" s="401" t="s">
        <v>859</v>
      </c>
      <c r="M43" s="404" t="s">
        <v>860</v>
      </c>
      <c r="O43"/>
    </row>
    <row r="44" spans="6:27" ht="15" customHeight="1" x14ac:dyDescent="0.25">
      <c r="G44" s="140"/>
      <c r="H44" s="395"/>
      <c r="J44" s="296" t="s">
        <v>861</v>
      </c>
      <c r="K44" s="142" t="s">
        <v>862</v>
      </c>
      <c r="L44" s="402"/>
      <c r="M44" s="405"/>
      <c r="O44"/>
    </row>
    <row r="45" spans="6:27" ht="15" customHeight="1" x14ac:dyDescent="0.25">
      <c r="G45" s="140"/>
      <c r="H45" s="395"/>
      <c r="J45" s="296"/>
      <c r="K45" s="142"/>
      <c r="L45" s="402"/>
      <c r="M45" s="405"/>
      <c r="O45"/>
    </row>
    <row r="46" spans="6:27" ht="15" customHeight="1" x14ac:dyDescent="0.25">
      <c r="G46" s="140"/>
      <c r="H46" s="395"/>
      <c r="J46" s="296"/>
      <c r="K46" s="142"/>
      <c r="L46" s="403"/>
      <c r="M46" s="406"/>
      <c r="O46"/>
    </row>
    <row r="47" spans="6:27" ht="14.25" customHeight="1" x14ac:dyDescent="0.2">
      <c r="G47" s="140"/>
      <c r="H47" s="395"/>
      <c r="J47" s="177">
        <v>0</v>
      </c>
      <c r="K47" s="178">
        <v>1</v>
      </c>
      <c r="L47" s="178">
        <v>0.8</v>
      </c>
      <c r="M47" s="297">
        <v>0.19999999999999996</v>
      </c>
      <c r="O47" s="182"/>
    </row>
    <row r="48" spans="6:27" ht="14.25" customHeight="1" x14ac:dyDescent="0.2">
      <c r="G48" s="140"/>
      <c r="H48" s="395"/>
      <c r="J48" s="180">
        <v>1</v>
      </c>
      <c r="K48" s="181">
        <v>0</v>
      </c>
      <c r="L48" s="181">
        <v>0.8</v>
      </c>
      <c r="M48" s="298">
        <v>0.19999999999999996</v>
      </c>
      <c r="O48" s="182"/>
    </row>
    <row r="49" spans="7:42" ht="14.25" customHeight="1" thickBot="1" x14ac:dyDescent="0.25">
      <c r="G49" s="140"/>
      <c r="H49" s="395"/>
      <c r="J49" s="183">
        <v>2</v>
      </c>
      <c r="K49" s="184">
        <v>0</v>
      </c>
      <c r="L49" s="184">
        <v>0.8</v>
      </c>
      <c r="M49" s="299">
        <v>0.19999999999999996</v>
      </c>
    </row>
    <row r="50" spans="7:42" ht="14.25" customHeight="1" x14ac:dyDescent="0.2">
      <c r="G50" s="140"/>
      <c r="H50" s="395"/>
      <c r="J50" s="300"/>
      <c r="K50" s="300"/>
      <c r="L50" s="300"/>
      <c r="M50" s="300"/>
      <c r="N50" s="182"/>
      <c r="O50" s="291"/>
    </row>
    <row r="51" spans="7:42" ht="14.25" customHeight="1" x14ac:dyDescent="0.2">
      <c r="G51" s="140"/>
      <c r="H51" s="395"/>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2">
      <c r="G52" s="140"/>
      <c r="H52" s="395"/>
      <c r="J52" s="390" t="s">
        <v>863</v>
      </c>
      <c r="K52" s="187" t="s">
        <v>864</v>
      </c>
      <c r="L52" s="187" t="s">
        <v>865</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2">
      <c r="G53" s="140"/>
      <c r="H53" s="395"/>
      <c r="J53" s="390"/>
      <c r="K53" s="187" t="s">
        <v>866</v>
      </c>
      <c r="L53" s="187" t="s">
        <v>867</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2">
      <c r="G54" s="140"/>
      <c r="H54" s="395"/>
      <c r="J54" s="390"/>
      <c r="K54" s="187" t="s">
        <v>866</v>
      </c>
      <c r="L54" s="187" t="s">
        <v>868</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2">
      <c r="G55" s="140"/>
      <c r="H55" s="395"/>
      <c r="J55" s="390"/>
      <c r="K55" s="187" t="s">
        <v>866</v>
      </c>
      <c r="L55" s="187" t="s">
        <v>869</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25">
      <c r="G56" s="140"/>
      <c r="H56" s="395"/>
      <c r="J56" s="390"/>
      <c r="K56" s="187" t="s">
        <v>870</v>
      </c>
      <c r="L56" s="187" t="s">
        <v>867</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25">
      <c r="G57" s="140"/>
      <c r="H57" s="395"/>
      <c r="J57" s="390"/>
      <c r="K57" s="187" t="s">
        <v>870</v>
      </c>
      <c r="L57" s="187" t="s">
        <v>868</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25">
      <c r="G58" s="140"/>
      <c r="H58" s="395"/>
      <c r="J58" s="390"/>
      <c r="K58" s="187" t="s">
        <v>870</v>
      </c>
      <c r="L58" s="187" t="s">
        <v>869</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2">
      <c r="G59" s="140"/>
      <c r="H59" s="395"/>
      <c r="J59" s="390"/>
      <c r="K59" s="187" t="s">
        <v>871</v>
      </c>
      <c r="L59" s="187" t="s">
        <v>865</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2">
      <c r="G60" s="140"/>
      <c r="H60" s="395"/>
      <c r="J60" s="390"/>
      <c r="K60" s="187" t="s">
        <v>872</v>
      </c>
      <c r="L60" s="187" t="s">
        <v>867</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2">
      <c r="G61" s="140"/>
      <c r="H61" s="395"/>
      <c r="J61" s="390"/>
      <c r="K61" s="187" t="s">
        <v>872</v>
      </c>
      <c r="L61" s="187" t="s">
        <v>868</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2">
      <c r="G62" s="140"/>
      <c r="H62" s="395"/>
      <c r="J62" s="390"/>
      <c r="K62" s="187" t="s">
        <v>872</v>
      </c>
      <c r="L62" s="187" t="s">
        <v>869</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25">
      <c r="G63" s="140"/>
      <c r="H63" s="395"/>
      <c r="J63" s="390"/>
      <c r="K63" s="187" t="s">
        <v>873</v>
      </c>
      <c r="L63" s="187" t="s">
        <v>867</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25">
      <c r="G64" s="140"/>
      <c r="H64" s="395"/>
      <c r="J64" s="390"/>
      <c r="K64" s="187" t="s">
        <v>873</v>
      </c>
      <c r="L64" s="187" t="s">
        <v>868</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25">
      <c r="G65" s="140"/>
      <c r="H65" s="395"/>
      <c r="J65" s="390"/>
      <c r="K65" s="187" t="s">
        <v>873</v>
      </c>
      <c r="L65" s="187" t="s">
        <v>869</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2">
      <c r="G66" s="140"/>
      <c r="H66" s="395"/>
      <c r="J66" s="390"/>
      <c r="K66" s="187" t="s">
        <v>874</v>
      </c>
      <c r="L66" s="187" t="s">
        <v>867</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2">
      <c r="G67" s="140"/>
      <c r="H67" s="395"/>
      <c r="J67" s="390"/>
      <c r="K67" s="187" t="s">
        <v>874</v>
      </c>
      <c r="L67" s="187" t="s">
        <v>868</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2">
      <c r="G68" s="140"/>
      <c r="H68" s="395"/>
      <c r="J68" s="390"/>
      <c r="K68" s="187" t="s">
        <v>874</v>
      </c>
      <c r="L68" s="187" t="s">
        <v>869</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2">
      <c r="G69" s="140"/>
      <c r="H69" s="395"/>
      <c r="J69" s="390"/>
      <c r="K69" s="187" t="s">
        <v>875</v>
      </c>
      <c r="L69" s="187" t="s">
        <v>865</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2">
      <c r="G70" s="140"/>
      <c r="H70" s="395"/>
      <c r="J70" s="390"/>
      <c r="K70" s="187" t="s">
        <v>876</v>
      </c>
      <c r="L70" s="187" t="s">
        <v>867</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2">
      <c r="G71" s="140"/>
      <c r="H71" s="395"/>
      <c r="J71" s="390"/>
      <c r="K71" s="187" t="s">
        <v>876</v>
      </c>
      <c r="L71" s="187" t="s">
        <v>868</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2">
      <c r="G72" s="140"/>
      <c r="H72" s="395"/>
      <c r="J72" s="390"/>
      <c r="K72" s="187" t="s">
        <v>876</v>
      </c>
      <c r="L72" s="187" t="s">
        <v>869</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25">
      <c r="G73" s="140"/>
      <c r="H73" s="395"/>
      <c r="J73" s="390"/>
      <c r="K73" s="187" t="s">
        <v>877</v>
      </c>
      <c r="L73" s="187" t="s">
        <v>867</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25">
      <c r="G74" s="140"/>
      <c r="H74" s="395"/>
      <c r="J74" s="390"/>
      <c r="K74" s="187" t="s">
        <v>877</v>
      </c>
      <c r="L74" s="187" t="s">
        <v>868</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25">
      <c r="G75" s="140"/>
      <c r="H75" s="395"/>
      <c r="J75" s="390"/>
      <c r="K75" s="187" t="s">
        <v>877</v>
      </c>
      <c r="L75" s="187" t="s">
        <v>869</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2">
      <c r="G76" s="140"/>
      <c r="H76" s="395"/>
      <c r="J76" s="390"/>
      <c r="K76" s="191" t="s">
        <v>878</v>
      </c>
      <c r="L76" s="187" t="s">
        <v>867</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2">
      <c r="G77" s="140"/>
      <c r="H77" s="395"/>
      <c r="J77" s="390"/>
      <c r="K77" s="191" t="s">
        <v>878</v>
      </c>
      <c r="L77" s="187" t="s">
        <v>868</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2">
      <c r="G78" s="140"/>
      <c r="H78" s="395"/>
      <c r="J78" s="390"/>
      <c r="K78" s="191" t="s">
        <v>878</v>
      </c>
      <c r="L78" s="187" t="s">
        <v>869</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2">
      <c r="G79" s="140"/>
      <c r="H79" s="395"/>
      <c r="J79" s="390"/>
      <c r="K79" s="191" t="s">
        <v>879</v>
      </c>
      <c r="L79" s="187" t="s">
        <v>867</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2">
      <c r="G80" s="140"/>
      <c r="H80" s="395"/>
      <c r="J80" s="146"/>
      <c r="K80" s="191" t="s">
        <v>879</v>
      </c>
      <c r="L80" s="187" t="s">
        <v>868</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2">
      <c r="G81" s="140"/>
      <c r="H81" s="395"/>
      <c r="J81" s="146"/>
      <c r="K81" s="191" t="s">
        <v>879</v>
      </c>
      <c r="L81" s="187" t="s">
        <v>869</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2">
      <c r="D84" s="138" t="s">
        <v>797</v>
      </c>
      <c r="G84" s="383" t="s">
        <v>880</v>
      </c>
      <c r="H84" s="383"/>
      <c r="I84" s="383"/>
      <c r="J84" s="383"/>
      <c r="K84" s="383"/>
      <c r="L84" s="383"/>
      <c r="M84" s="383"/>
      <c r="N84" s="383"/>
      <c r="O84" s="383"/>
      <c r="P84" s="383"/>
      <c r="Q84" s="383"/>
      <c r="R84" s="383"/>
      <c r="S84" s="383"/>
      <c r="T84" s="383"/>
      <c r="U84" s="383"/>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
      <c r="G85" s="140"/>
      <c r="M85" s="132" t="s">
        <v>881</v>
      </c>
      <c r="AA85" s="301"/>
      <c r="AB85" s="301"/>
      <c r="AC85" s="301"/>
      <c r="AD85" s="301"/>
      <c r="AP85" s="301"/>
      <c r="AQ85" s="301"/>
    </row>
    <row r="86" spans="4:44" ht="14.25" customHeight="1" x14ac:dyDescent="0.2">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2">
      <c r="G87" s="140"/>
      <c r="H87" s="393" t="s">
        <v>882</v>
      </c>
      <c r="J87" s="353" t="s">
        <v>883</v>
      </c>
      <c r="K87" s="196" t="s">
        <v>942</v>
      </c>
      <c r="L87" s="196" t="s">
        <v>867</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2">
      <c r="G88" s="140"/>
      <c r="H88" s="393"/>
      <c r="J88" s="354"/>
      <c r="K88" s="137" t="s">
        <v>942</v>
      </c>
      <c r="L88" s="187" t="s">
        <v>868</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25">
      <c r="G89" s="140"/>
      <c r="H89" s="393"/>
      <c r="J89" s="354"/>
      <c r="K89" s="198" t="s">
        <v>942</v>
      </c>
      <c r="L89" s="198" t="s">
        <v>869</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2">
      <c r="G90" s="140"/>
      <c r="H90" s="393"/>
      <c r="J90" s="354"/>
      <c r="K90" s="196" t="s">
        <v>944</v>
      </c>
      <c r="L90" s="196" t="s">
        <v>867</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2">
      <c r="G91" s="140"/>
      <c r="H91" s="393"/>
      <c r="J91" s="354"/>
      <c r="K91" s="137" t="s">
        <v>944</v>
      </c>
      <c r="L91" s="187" t="s">
        <v>868</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25">
      <c r="G92" s="140"/>
      <c r="H92" s="393"/>
      <c r="J92" s="354"/>
      <c r="K92" s="198" t="s">
        <v>944</v>
      </c>
      <c r="L92" s="198" t="s">
        <v>869</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2">
      <c r="G93" s="140"/>
      <c r="H93" s="393"/>
      <c r="J93" s="354"/>
      <c r="K93" s="196" t="s">
        <v>945</v>
      </c>
      <c r="L93" s="196" t="s">
        <v>867</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2">
      <c r="G94" s="140"/>
      <c r="H94" s="393"/>
      <c r="J94" s="354"/>
      <c r="K94" s="137" t="s">
        <v>945</v>
      </c>
      <c r="L94" s="187" t="s">
        <v>868</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25">
      <c r="G95" s="140"/>
      <c r="H95" s="393"/>
      <c r="J95" s="354"/>
      <c r="K95" s="198" t="s">
        <v>945</v>
      </c>
      <c r="L95" s="198" t="s">
        <v>869</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2">
      <c r="G96" s="140"/>
      <c r="H96" s="393"/>
      <c r="J96" s="354"/>
      <c r="K96" s="196" t="s">
        <v>946</v>
      </c>
      <c r="L96" s="196" t="s">
        <v>867</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2">
      <c r="G97" s="140"/>
      <c r="H97" s="393"/>
      <c r="J97" s="354"/>
      <c r="K97" s="137" t="s">
        <v>946</v>
      </c>
      <c r="L97" s="187" t="s">
        <v>868</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25">
      <c r="G98" s="140"/>
      <c r="H98" s="393"/>
      <c r="J98" s="354"/>
      <c r="K98" s="198" t="s">
        <v>946</v>
      </c>
      <c r="L98" s="198" t="s">
        <v>869</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2">
      <c r="G99" s="140"/>
      <c r="H99" s="393"/>
      <c r="J99" s="354"/>
      <c r="K99" s="196" t="s">
        <v>947</v>
      </c>
      <c r="L99" s="196" t="s">
        <v>867</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2">
      <c r="G100" s="140"/>
      <c r="H100" s="393"/>
      <c r="J100" s="354"/>
      <c r="K100" s="137" t="s">
        <v>947</v>
      </c>
      <c r="L100" s="187" t="s">
        <v>868</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25">
      <c r="G101" s="140"/>
      <c r="H101" s="393"/>
      <c r="J101" s="354"/>
      <c r="K101" s="198" t="s">
        <v>947</v>
      </c>
      <c r="L101" s="198" t="s">
        <v>869</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2">
      <c r="G102" s="140"/>
      <c r="H102" s="393"/>
      <c r="J102" s="354"/>
      <c r="K102" s="196" t="s">
        <v>948</v>
      </c>
      <c r="L102" s="196" t="s">
        <v>867</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2">
      <c r="G103" s="140"/>
      <c r="H103" s="393"/>
      <c r="J103" s="354"/>
      <c r="K103" s="137" t="s">
        <v>948</v>
      </c>
      <c r="L103" s="187" t="s">
        <v>868</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25">
      <c r="G104" s="140"/>
      <c r="H104" s="393"/>
      <c r="J104" s="354"/>
      <c r="K104" s="198" t="s">
        <v>948</v>
      </c>
      <c r="L104" s="198" t="s">
        <v>869</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2">
      <c r="G105" s="140"/>
      <c r="H105" s="393"/>
      <c r="J105" s="354"/>
      <c r="K105" s="196" t="s">
        <v>949</v>
      </c>
      <c r="L105" s="196" t="s">
        <v>867</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2">
      <c r="G106" s="140"/>
      <c r="H106" s="393"/>
      <c r="J106" s="354"/>
      <c r="K106" s="137" t="s">
        <v>949</v>
      </c>
      <c r="L106" s="187" t="s">
        <v>868</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25">
      <c r="G107" s="140"/>
      <c r="H107" s="393"/>
      <c r="J107" s="354"/>
      <c r="K107" s="198" t="s">
        <v>949</v>
      </c>
      <c r="L107" s="198" t="s">
        <v>869</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2">
      <c r="G108" s="140"/>
      <c r="H108" s="393"/>
      <c r="J108" s="354"/>
      <c r="K108" s="196" t="s">
        <v>950</v>
      </c>
      <c r="L108" s="196" t="s">
        <v>867</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2">
      <c r="G109" s="140"/>
      <c r="H109" s="393"/>
      <c r="J109" s="354"/>
      <c r="K109" s="137" t="s">
        <v>950</v>
      </c>
      <c r="L109" s="187" t="s">
        <v>868</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25">
      <c r="G110" s="140"/>
      <c r="H110" s="393"/>
      <c r="J110" s="354"/>
      <c r="K110" s="198" t="s">
        <v>950</v>
      </c>
      <c r="L110" s="198" t="s">
        <v>869</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2">
      <c r="G111" s="140"/>
      <c r="H111" s="393"/>
      <c r="J111" s="354"/>
      <c r="K111" s="196" t="s">
        <v>951</v>
      </c>
      <c r="L111" s="196" t="s">
        <v>867</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2">
      <c r="G112" s="140"/>
      <c r="H112" s="393"/>
      <c r="J112" s="354"/>
      <c r="K112" s="137" t="s">
        <v>951</v>
      </c>
      <c r="L112" s="187" t="s">
        <v>868</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25">
      <c r="G113" s="140"/>
      <c r="H113" s="393"/>
      <c r="J113" s="354"/>
      <c r="K113" s="198" t="s">
        <v>951</v>
      </c>
      <c r="L113" s="198" t="s">
        <v>869</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2">
      <c r="G114" s="140"/>
      <c r="H114" s="393"/>
      <c r="J114" s="354"/>
      <c r="K114" s="196" t="s">
        <v>952</v>
      </c>
      <c r="L114" s="196" t="s">
        <v>867</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2">
      <c r="G115" s="140"/>
      <c r="H115" s="393"/>
      <c r="J115" s="354"/>
      <c r="K115" s="137" t="s">
        <v>952</v>
      </c>
      <c r="L115" s="187" t="s">
        <v>868</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25">
      <c r="G116" s="140"/>
      <c r="H116" s="393"/>
      <c r="J116" s="387"/>
      <c r="K116" s="198" t="s">
        <v>952</v>
      </c>
      <c r="L116" s="198" t="s">
        <v>869</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2">
      <c r="G117" s="140"/>
      <c r="H117" s="393"/>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
      <c r="G118" s="140"/>
      <c r="H118" s="393"/>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2">
      <c r="G119" s="140"/>
      <c r="H119" s="393"/>
      <c r="J119" s="353" t="s">
        <v>884</v>
      </c>
      <c r="K119" s="196" t="s">
        <v>942</v>
      </c>
      <c r="L119" s="196" t="s">
        <v>867</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2">
      <c r="G120" s="140"/>
      <c r="H120" s="393"/>
      <c r="J120" s="354"/>
      <c r="K120" s="137" t="s">
        <v>942</v>
      </c>
      <c r="L120" s="187" t="s">
        <v>868</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25">
      <c r="G121" s="140"/>
      <c r="H121" s="393"/>
      <c r="J121" s="354"/>
      <c r="K121" s="198" t="s">
        <v>942</v>
      </c>
      <c r="L121" s="198" t="s">
        <v>869</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2">
      <c r="G122" s="140"/>
      <c r="H122" s="393"/>
      <c r="J122" s="354"/>
      <c r="K122" s="196" t="s">
        <v>944</v>
      </c>
      <c r="L122" s="196" t="s">
        <v>867</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2">
      <c r="G123" s="140"/>
      <c r="H123" s="393"/>
      <c r="J123" s="354"/>
      <c r="K123" s="137" t="s">
        <v>944</v>
      </c>
      <c r="L123" s="187" t="s">
        <v>868</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25">
      <c r="G124" s="140"/>
      <c r="H124" s="393"/>
      <c r="J124" s="354"/>
      <c r="K124" s="198" t="s">
        <v>944</v>
      </c>
      <c r="L124" s="198" t="s">
        <v>869</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2">
      <c r="G125" s="140"/>
      <c r="H125" s="393"/>
      <c r="J125" s="354"/>
      <c r="K125" s="196" t="s">
        <v>945</v>
      </c>
      <c r="L125" s="196" t="s">
        <v>867</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2">
      <c r="G126" s="140"/>
      <c r="H126" s="393"/>
      <c r="J126" s="354"/>
      <c r="K126" s="137" t="s">
        <v>945</v>
      </c>
      <c r="L126" s="187" t="s">
        <v>868</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25">
      <c r="G127" s="140"/>
      <c r="H127" s="393"/>
      <c r="J127" s="354"/>
      <c r="K127" s="198" t="s">
        <v>945</v>
      </c>
      <c r="L127" s="198" t="s">
        <v>869</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2">
      <c r="G128" s="140"/>
      <c r="H128" s="393"/>
      <c r="J128" s="354"/>
      <c r="K128" s="196" t="s">
        <v>946</v>
      </c>
      <c r="L128" s="196" t="s">
        <v>867</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2">
      <c r="G129" s="140"/>
      <c r="H129" s="393"/>
      <c r="J129" s="354"/>
      <c r="K129" s="137" t="s">
        <v>946</v>
      </c>
      <c r="L129" s="187" t="s">
        <v>868</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25">
      <c r="G130" s="140"/>
      <c r="H130" s="393"/>
      <c r="J130" s="354"/>
      <c r="K130" s="198" t="s">
        <v>946</v>
      </c>
      <c r="L130" s="198" t="s">
        <v>869</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2">
      <c r="G131" s="140"/>
      <c r="H131" s="393"/>
      <c r="J131" s="354"/>
      <c r="K131" s="196" t="s">
        <v>947</v>
      </c>
      <c r="L131" s="196" t="s">
        <v>867</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2">
      <c r="G132" s="140"/>
      <c r="H132" s="393"/>
      <c r="J132" s="354"/>
      <c r="K132" s="137" t="s">
        <v>947</v>
      </c>
      <c r="L132" s="187" t="s">
        <v>868</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25">
      <c r="G133" s="140"/>
      <c r="H133" s="393"/>
      <c r="J133" s="354"/>
      <c r="K133" s="198" t="s">
        <v>947</v>
      </c>
      <c r="L133" s="198" t="s">
        <v>869</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2">
      <c r="G134" s="140"/>
      <c r="H134" s="393"/>
      <c r="J134" s="354"/>
      <c r="K134" s="196" t="s">
        <v>948</v>
      </c>
      <c r="L134" s="196" t="s">
        <v>867</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2">
      <c r="G135" s="140"/>
      <c r="H135" s="393"/>
      <c r="J135" s="354"/>
      <c r="K135" s="137" t="s">
        <v>948</v>
      </c>
      <c r="L135" s="187" t="s">
        <v>868</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25">
      <c r="G136" s="140"/>
      <c r="H136" s="393"/>
      <c r="J136" s="354"/>
      <c r="K136" s="198" t="s">
        <v>948</v>
      </c>
      <c r="L136" s="198" t="s">
        <v>869</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2">
      <c r="G137" s="140"/>
      <c r="H137" s="393"/>
      <c r="J137" s="354"/>
      <c r="K137" s="196" t="s">
        <v>949</v>
      </c>
      <c r="L137" s="196" t="s">
        <v>867</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2">
      <c r="G138" s="140"/>
      <c r="H138" s="393"/>
      <c r="J138" s="354"/>
      <c r="K138" s="137" t="s">
        <v>949</v>
      </c>
      <c r="L138" s="187" t="s">
        <v>868</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25">
      <c r="G139" s="140"/>
      <c r="H139" s="393"/>
      <c r="J139" s="354"/>
      <c r="K139" s="198" t="s">
        <v>949</v>
      </c>
      <c r="L139" s="198" t="s">
        <v>869</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2">
      <c r="G140" s="140"/>
      <c r="H140" s="393"/>
      <c r="J140" s="354"/>
      <c r="K140" s="196" t="s">
        <v>950</v>
      </c>
      <c r="L140" s="196" t="s">
        <v>867</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2">
      <c r="G141" s="140"/>
      <c r="H141" s="393"/>
      <c r="J141" s="354"/>
      <c r="K141" s="137" t="s">
        <v>950</v>
      </c>
      <c r="L141" s="187" t="s">
        <v>868</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25">
      <c r="G142" s="140"/>
      <c r="H142" s="393"/>
      <c r="J142" s="354"/>
      <c r="K142" s="198" t="s">
        <v>950</v>
      </c>
      <c r="L142" s="198" t="s">
        <v>869</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2">
      <c r="G143" s="140"/>
      <c r="H143" s="393"/>
      <c r="J143" s="354"/>
      <c r="K143" s="196" t="s">
        <v>951</v>
      </c>
      <c r="L143" s="196" t="s">
        <v>867</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2">
      <c r="G144" s="140"/>
      <c r="H144" s="393"/>
      <c r="J144" s="354"/>
      <c r="K144" s="137" t="s">
        <v>951</v>
      </c>
      <c r="L144" s="187" t="s">
        <v>868</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25">
      <c r="G145" s="140"/>
      <c r="H145" s="393"/>
      <c r="J145" s="354"/>
      <c r="K145" s="198" t="s">
        <v>951</v>
      </c>
      <c r="L145" s="198" t="s">
        <v>869</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2">
      <c r="G146" s="140"/>
      <c r="H146" s="393"/>
      <c r="J146" s="354"/>
      <c r="K146" s="196" t="s">
        <v>952</v>
      </c>
      <c r="L146" s="196" t="s">
        <v>867</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2">
      <c r="G147" s="140"/>
      <c r="H147" s="393"/>
      <c r="J147" s="354"/>
      <c r="K147" s="137" t="s">
        <v>952</v>
      </c>
      <c r="L147" s="187" t="s">
        <v>868</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25">
      <c r="G148" s="140"/>
      <c r="H148" s="393"/>
      <c r="J148" s="387"/>
      <c r="K148" s="198" t="s">
        <v>952</v>
      </c>
      <c r="L148" s="198" t="s">
        <v>869</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2">
      <c r="G149" s="140"/>
      <c r="H149" s="393"/>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
      <c r="G150" s="140"/>
      <c r="H150" s="393"/>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2">
      <c r="G151" s="140"/>
      <c r="H151" s="393"/>
      <c r="J151" s="353" t="s">
        <v>885</v>
      </c>
      <c r="K151" s="196" t="s">
        <v>942</v>
      </c>
      <c r="L151" s="196" t="s">
        <v>867</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2">
      <c r="G152" s="140"/>
      <c r="H152" s="393"/>
      <c r="J152" s="354"/>
      <c r="K152" s="137" t="s">
        <v>942</v>
      </c>
      <c r="L152" s="187" t="s">
        <v>868</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25">
      <c r="G153" s="140"/>
      <c r="H153" s="393"/>
      <c r="J153" s="354"/>
      <c r="K153" s="198" t="s">
        <v>942</v>
      </c>
      <c r="L153" s="198" t="s">
        <v>869</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2">
      <c r="G154" s="140"/>
      <c r="H154" s="393"/>
      <c r="J154" s="354"/>
      <c r="K154" s="196" t="s">
        <v>944</v>
      </c>
      <c r="L154" s="196" t="s">
        <v>867</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2">
      <c r="G155" s="140"/>
      <c r="H155" s="393"/>
      <c r="J155" s="354"/>
      <c r="K155" s="137" t="s">
        <v>944</v>
      </c>
      <c r="L155" s="187" t="s">
        <v>868</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25">
      <c r="G156" s="140"/>
      <c r="H156" s="393"/>
      <c r="J156" s="354"/>
      <c r="K156" s="198" t="s">
        <v>944</v>
      </c>
      <c r="L156" s="198" t="s">
        <v>869</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25">
      <c r="G157" s="140"/>
      <c r="H157" s="393"/>
      <c r="J157" s="354"/>
      <c r="K157" s="196" t="s">
        <v>945</v>
      </c>
      <c r="L157" s="196" t="s">
        <v>867</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25">
      <c r="A158" s="132"/>
      <c r="B158" s="132"/>
      <c r="C158" s="132"/>
      <c r="D158" s="132"/>
      <c r="E158" s="132"/>
      <c r="F158" s="132"/>
      <c r="G158" s="140"/>
      <c r="H158" s="393"/>
      <c r="I158" s="132"/>
      <c r="J158" s="354"/>
      <c r="K158" s="137" t="s">
        <v>945</v>
      </c>
      <c r="L158" s="187" t="s">
        <v>868</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25">
      <c r="A159" s="132"/>
      <c r="B159" s="132"/>
      <c r="C159" s="132"/>
      <c r="D159" s="132"/>
      <c r="E159" s="132"/>
      <c r="F159" s="132"/>
      <c r="G159" s="140"/>
      <c r="H159" s="393"/>
      <c r="I159" s="132"/>
      <c r="J159" s="354"/>
      <c r="K159" s="198" t="s">
        <v>945</v>
      </c>
      <c r="L159" s="198" t="s">
        <v>869</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25">
      <c r="G160" s="140"/>
      <c r="H160" s="393"/>
      <c r="J160" s="354"/>
      <c r="K160" s="196" t="s">
        <v>946</v>
      </c>
      <c r="L160" s="196" t="s">
        <v>867</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25">
      <c r="A161" s="132"/>
      <c r="B161" s="132"/>
      <c r="C161" s="132"/>
      <c r="D161" s="132"/>
      <c r="E161" s="132"/>
      <c r="F161" s="132"/>
      <c r="G161" s="140"/>
      <c r="H161" s="393"/>
      <c r="I161" s="132"/>
      <c r="J161" s="354"/>
      <c r="K161" s="137" t="s">
        <v>946</v>
      </c>
      <c r="L161" s="187" t="s">
        <v>868</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25">
      <c r="A162" s="132"/>
      <c r="B162" s="132"/>
      <c r="C162" s="132"/>
      <c r="D162" s="132"/>
      <c r="E162" s="132"/>
      <c r="F162" s="132"/>
      <c r="G162" s="140"/>
      <c r="H162" s="393"/>
      <c r="I162" s="132"/>
      <c r="J162" s="354"/>
      <c r="K162" s="198" t="s">
        <v>946</v>
      </c>
      <c r="L162" s="198" t="s">
        <v>869</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25">
      <c r="G163" s="140"/>
      <c r="H163" s="393"/>
      <c r="J163" s="354"/>
      <c r="K163" s="196" t="s">
        <v>947</v>
      </c>
      <c r="L163" s="196" t="s">
        <v>867</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25">
      <c r="A164" s="132"/>
      <c r="B164" s="132"/>
      <c r="C164" s="132"/>
      <c r="D164" s="132"/>
      <c r="E164" s="132"/>
      <c r="F164" s="132"/>
      <c r="G164" s="140"/>
      <c r="H164" s="393"/>
      <c r="I164" s="132"/>
      <c r="J164" s="354"/>
      <c r="K164" s="137" t="s">
        <v>947</v>
      </c>
      <c r="L164" s="187" t="s">
        <v>868</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25">
      <c r="A165" s="132"/>
      <c r="B165" s="132"/>
      <c r="C165" s="132"/>
      <c r="D165" s="132"/>
      <c r="E165" s="132"/>
      <c r="F165" s="132"/>
      <c r="G165" s="140"/>
      <c r="H165" s="393"/>
      <c r="I165" s="132"/>
      <c r="J165" s="354"/>
      <c r="K165" s="198" t="s">
        <v>947</v>
      </c>
      <c r="L165" s="198" t="s">
        <v>869</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2">
      <c r="G166" s="140"/>
      <c r="H166" s="393"/>
      <c r="J166" s="354"/>
      <c r="K166" s="196" t="s">
        <v>948</v>
      </c>
      <c r="L166" s="196" t="s">
        <v>867</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2">
      <c r="G167" s="140"/>
      <c r="H167" s="393"/>
      <c r="J167" s="354"/>
      <c r="K167" s="137" t="s">
        <v>948</v>
      </c>
      <c r="L167" s="187" t="s">
        <v>868</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25">
      <c r="G168" s="140"/>
      <c r="H168" s="393"/>
      <c r="J168" s="354"/>
      <c r="K168" s="198" t="s">
        <v>948</v>
      </c>
      <c r="L168" s="198" t="s">
        <v>869</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2">
      <c r="G169" s="140"/>
      <c r="H169" s="393"/>
      <c r="J169" s="354"/>
      <c r="K169" s="196" t="s">
        <v>949</v>
      </c>
      <c r="L169" s="196" t="s">
        <v>867</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2">
      <c r="G170" s="140"/>
      <c r="H170" s="393"/>
      <c r="J170" s="354"/>
      <c r="K170" s="137" t="s">
        <v>949</v>
      </c>
      <c r="L170" s="187" t="s">
        <v>868</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25">
      <c r="G171" s="140"/>
      <c r="H171" s="393"/>
      <c r="J171" s="354"/>
      <c r="K171" s="198" t="s">
        <v>949</v>
      </c>
      <c r="L171" s="198" t="s">
        <v>869</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25">
      <c r="G172" s="140"/>
      <c r="H172" s="393"/>
      <c r="J172" s="354"/>
      <c r="K172" s="196" t="s">
        <v>950</v>
      </c>
      <c r="L172" s="196" t="s">
        <v>867</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25">
      <c r="A173" s="132"/>
      <c r="B173" s="132"/>
      <c r="C173" s="132"/>
      <c r="D173" s="132"/>
      <c r="E173" s="132"/>
      <c r="F173" s="132"/>
      <c r="G173" s="140"/>
      <c r="H173" s="393"/>
      <c r="I173" s="132"/>
      <c r="J173" s="354"/>
      <c r="K173" s="137" t="s">
        <v>950</v>
      </c>
      <c r="L173" s="187" t="s">
        <v>868</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25">
      <c r="A174" s="132"/>
      <c r="B174" s="132"/>
      <c r="C174" s="132"/>
      <c r="D174" s="132"/>
      <c r="E174" s="132"/>
      <c r="F174" s="132"/>
      <c r="G174" s="140"/>
      <c r="H174" s="393"/>
      <c r="I174" s="132"/>
      <c r="J174" s="354"/>
      <c r="K174" s="198" t="s">
        <v>950</v>
      </c>
      <c r="L174" s="198" t="s">
        <v>869</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25">
      <c r="G175" s="140"/>
      <c r="H175" s="393"/>
      <c r="J175" s="354"/>
      <c r="K175" s="196" t="s">
        <v>951</v>
      </c>
      <c r="L175" s="196" t="s">
        <v>867</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25">
      <c r="A176" s="132"/>
      <c r="B176" s="132"/>
      <c r="C176" s="132"/>
      <c r="D176" s="132"/>
      <c r="E176" s="132"/>
      <c r="F176" s="132"/>
      <c r="G176" s="140"/>
      <c r="H176" s="393"/>
      <c r="I176" s="132"/>
      <c r="J176" s="354"/>
      <c r="K176" s="137" t="s">
        <v>951</v>
      </c>
      <c r="L176" s="187" t="s">
        <v>868</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25">
      <c r="A177" s="132"/>
      <c r="B177" s="132"/>
      <c r="C177" s="132"/>
      <c r="D177" s="132"/>
      <c r="E177" s="132"/>
      <c r="F177" s="132"/>
      <c r="G177" s="140"/>
      <c r="H177" s="393"/>
      <c r="I177" s="132"/>
      <c r="J177" s="354"/>
      <c r="K177" s="198" t="s">
        <v>951</v>
      </c>
      <c r="L177" s="198" t="s">
        <v>869</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25">
      <c r="G178" s="140"/>
      <c r="H178" s="393"/>
      <c r="J178" s="354"/>
      <c r="K178" s="196" t="s">
        <v>952</v>
      </c>
      <c r="L178" s="196" t="s">
        <v>867</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25">
      <c r="A179" s="132"/>
      <c r="B179" s="132"/>
      <c r="C179" s="132"/>
      <c r="D179" s="132"/>
      <c r="E179" s="132"/>
      <c r="F179" s="132"/>
      <c r="G179" s="140"/>
      <c r="H179" s="393"/>
      <c r="I179" s="132"/>
      <c r="J179" s="354"/>
      <c r="K179" s="137" t="s">
        <v>952</v>
      </c>
      <c r="L179" s="187" t="s">
        <v>868</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25">
      <c r="A180" s="132"/>
      <c r="B180" s="132"/>
      <c r="C180" s="132"/>
      <c r="D180" s="132"/>
      <c r="E180" s="132"/>
      <c r="F180" s="132"/>
      <c r="G180" s="140"/>
      <c r="H180" s="393"/>
      <c r="I180" s="132"/>
      <c r="J180" s="387"/>
      <c r="K180" s="198" t="s">
        <v>952</v>
      </c>
      <c r="L180" s="198" t="s">
        <v>869</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25">
      <c r="G181" s="140"/>
      <c r="H181" s="393"/>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25">
      <c r="G182" s="140"/>
      <c r="H182" s="393"/>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2">
      <c r="G183" s="140"/>
      <c r="H183" s="393"/>
      <c r="J183" s="353" t="s">
        <v>886</v>
      </c>
      <c r="K183" s="196" t="s">
        <v>942</v>
      </c>
      <c r="L183" s="196" t="s">
        <v>867</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2">
      <c r="G184" s="140"/>
      <c r="H184" s="393"/>
      <c r="J184" s="354"/>
      <c r="K184" s="137" t="s">
        <v>942</v>
      </c>
      <c r="L184" s="187" t="s">
        <v>868</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25">
      <c r="G185" s="140"/>
      <c r="H185" s="393"/>
      <c r="J185" s="354"/>
      <c r="K185" s="198" t="s">
        <v>942</v>
      </c>
      <c r="L185" s="198" t="s">
        <v>869</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25">
      <c r="G186" s="140"/>
      <c r="H186" s="393"/>
      <c r="J186" s="354"/>
      <c r="K186" s="196" t="s">
        <v>944</v>
      </c>
      <c r="L186" s="196" t="s">
        <v>867</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2">
      <c r="G187" s="140"/>
      <c r="H187" s="393"/>
      <c r="J187" s="354"/>
      <c r="K187" s="137" t="s">
        <v>944</v>
      </c>
      <c r="L187" s="187" t="s">
        <v>868</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25">
      <c r="G188" s="140"/>
      <c r="H188" s="393"/>
      <c r="J188" s="354"/>
      <c r="K188" s="198" t="s">
        <v>944</v>
      </c>
      <c r="L188" s="198" t="s">
        <v>869</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25">
      <c r="G189" s="140"/>
      <c r="H189" s="393"/>
      <c r="J189" s="354"/>
      <c r="K189" s="196" t="s">
        <v>945</v>
      </c>
      <c r="L189" s="196" t="s">
        <v>867</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25">
      <c r="A190" s="132"/>
      <c r="B190" s="132"/>
      <c r="C190" s="132"/>
      <c r="D190" s="132"/>
      <c r="E190" s="132"/>
      <c r="F190" s="132"/>
      <c r="G190" s="140"/>
      <c r="H190" s="393"/>
      <c r="I190" s="132"/>
      <c r="J190" s="354"/>
      <c r="K190" s="137" t="s">
        <v>945</v>
      </c>
      <c r="L190" s="187" t="s">
        <v>868</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25">
      <c r="A191" s="132"/>
      <c r="B191" s="132"/>
      <c r="C191" s="132"/>
      <c r="D191" s="132"/>
      <c r="E191" s="132"/>
      <c r="F191" s="132"/>
      <c r="G191" s="140"/>
      <c r="H191" s="393"/>
      <c r="I191" s="132"/>
      <c r="J191" s="354"/>
      <c r="K191" s="198" t="s">
        <v>945</v>
      </c>
      <c r="L191" s="198" t="s">
        <v>869</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25">
      <c r="G192" s="140"/>
      <c r="H192" s="393"/>
      <c r="J192" s="354"/>
      <c r="K192" s="196" t="s">
        <v>946</v>
      </c>
      <c r="L192" s="196" t="s">
        <v>867</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25">
      <c r="A193" s="132"/>
      <c r="B193" s="132"/>
      <c r="C193" s="132"/>
      <c r="D193" s="132"/>
      <c r="E193" s="132"/>
      <c r="F193" s="132"/>
      <c r="G193" s="140"/>
      <c r="H193" s="393"/>
      <c r="I193" s="132"/>
      <c r="J193" s="354"/>
      <c r="K193" s="137" t="s">
        <v>946</v>
      </c>
      <c r="L193" s="187" t="s">
        <v>868</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25">
      <c r="A194" s="132"/>
      <c r="B194" s="132"/>
      <c r="C194" s="132"/>
      <c r="D194" s="132"/>
      <c r="E194" s="132"/>
      <c r="F194" s="132"/>
      <c r="G194" s="140"/>
      <c r="H194" s="393"/>
      <c r="I194" s="132"/>
      <c r="J194" s="354"/>
      <c r="K194" s="198" t="s">
        <v>946</v>
      </c>
      <c r="L194" s="198" t="s">
        <v>869</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2">
      <c r="G195" s="140"/>
      <c r="H195" s="393"/>
      <c r="J195" s="354"/>
      <c r="K195" s="196" t="s">
        <v>947</v>
      </c>
      <c r="L195" s="196" t="s">
        <v>867</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2">
      <c r="G196" s="140"/>
      <c r="H196" s="393"/>
      <c r="J196" s="354"/>
      <c r="K196" s="137" t="s">
        <v>947</v>
      </c>
      <c r="L196" s="187" t="s">
        <v>868</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25">
      <c r="G197" s="140"/>
      <c r="H197" s="393"/>
      <c r="J197" s="354"/>
      <c r="K197" s="198" t="s">
        <v>947</v>
      </c>
      <c r="L197" s="198" t="s">
        <v>869</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2">
      <c r="G198" s="140"/>
      <c r="H198" s="393"/>
      <c r="J198" s="354"/>
      <c r="K198" s="196" t="s">
        <v>948</v>
      </c>
      <c r="L198" s="196" t="s">
        <v>867</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2">
      <c r="G199" s="140"/>
      <c r="H199" s="393"/>
      <c r="J199" s="354"/>
      <c r="K199" s="137" t="s">
        <v>948</v>
      </c>
      <c r="L199" s="187" t="s">
        <v>868</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25">
      <c r="G200" s="140"/>
      <c r="H200" s="393"/>
      <c r="J200" s="354"/>
      <c r="K200" s="198" t="s">
        <v>948</v>
      </c>
      <c r="L200" s="198" t="s">
        <v>869</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25">
      <c r="G201" s="140"/>
      <c r="H201" s="393"/>
      <c r="J201" s="354"/>
      <c r="K201" s="196" t="s">
        <v>949</v>
      </c>
      <c r="L201" s="196" t="s">
        <v>867</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2">
      <c r="G202" s="140"/>
      <c r="H202" s="393"/>
      <c r="J202" s="354"/>
      <c r="K202" s="137" t="s">
        <v>949</v>
      </c>
      <c r="L202" s="187" t="s">
        <v>868</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25">
      <c r="G203" s="140"/>
      <c r="H203" s="393"/>
      <c r="J203" s="354"/>
      <c r="K203" s="198" t="s">
        <v>949</v>
      </c>
      <c r="L203" s="198" t="s">
        <v>869</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25">
      <c r="G204" s="140"/>
      <c r="H204" s="393"/>
      <c r="J204" s="354"/>
      <c r="K204" s="196" t="s">
        <v>950</v>
      </c>
      <c r="L204" s="196" t="s">
        <v>867</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25">
      <c r="A205" s="132"/>
      <c r="B205" s="132"/>
      <c r="C205" s="132"/>
      <c r="D205" s="132"/>
      <c r="E205" s="132"/>
      <c r="F205" s="132"/>
      <c r="G205" s="140"/>
      <c r="H205" s="393"/>
      <c r="I205" s="132"/>
      <c r="J205" s="354"/>
      <c r="K205" s="137" t="s">
        <v>950</v>
      </c>
      <c r="L205" s="187" t="s">
        <v>868</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25">
      <c r="A206" s="132"/>
      <c r="B206" s="132"/>
      <c r="C206" s="132"/>
      <c r="D206" s="132"/>
      <c r="E206" s="132"/>
      <c r="F206" s="132"/>
      <c r="G206" s="140"/>
      <c r="H206" s="393"/>
      <c r="I206" s="132"/>
      <c r="J206" s="354"/>
      <c r="K206" s="198" t="s">
        <v>950</v>
      </c>
      <c r="L206" s="198" t="s">
        <v>869</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25">
      <c r="G207" s="140"/>
      <c r="H207" s="393"/>
      <c r="J207" s="354"/>
      <c r="K207" s="196" t="s">
        <v>951</v>
      </c>
      <c r="L207" s="196" t="s">
        <v>867</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25">
      <c r="A208" s="132"/>
      <c r="B208" s="132"/>
      <c r="C208" s="132"/>
      <c r="D208" s="132"/>
      <c r="E208" s="132"/>
      <c r="F208" s="132"/>
      <c r="G208" s="140"/>
      <c r="H208" s="393"/>
      <c r="I208" s="132"/>
      <c r="J208" s="354"/>
      <c r="K208" s="137" t="s">
        <v>951</v>
      </c>
      <c r="L208" s="187" t="s">
        <v>868</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25">
      <c r="A209" s="132"/>
      <c r="B209" s="132"/>
      <c r="C209" s="132"/>
      <c r="D209" s="132"/>
      <c r="E209" s="132"/>
      <c r="F209" s="132"/>
      <c r="G209" s="140"/>
      <c r="H209" s="393"/>
      <c r="I209" s="132"/>
      <c r="J209" s="354"/>
      <c r="K209" s="198" t="s">
        <v>951</v>
      </c>
      <c r="L209" s="198" t="s">
        <v>869</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2">
      <c r="G210" s="140"/>
      <c r="H210" s="393"/>
      <c r="J210" s="354"/>
      <c r="K210" s="196" t="s">
        <v>952</v>
      </c>
      <c r="L210" s="196" t="s">
        <v>867</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2">
      <c r="G211" s="140"/>
      <c r="H211" s="393"/>
      <c r="J211" s="354"/>
      <c r="K211" s="137" t="s">
        <v>952</v>
      </c>
      <c r="L211" s="187" t="s">
        <v>868</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25">
      <c r="G212" s="140"/>
      <c r="H212" s="393"/>
      <c r="J212" s="387"/>
      <c r="K212" s="198" t="s">
        <v>952</v>
      </c>
      <c r="L212" s="198" t="s">
        <v>869</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2">
      <c r="G213" s="140"/>
      <c r="H213" s="393"/>
      <c r="J213" s="203"/>
      <c r="K213" s="137"/>
      <c r="L213" s="137"/>
    </row>
    <row r="214" spans="1:89" ht="14.25" customHeight="1" x14ac:dyDescent="0.2">
      <c r="G214" s="140"/>
      <c r="H214" s="393"/>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2">
      <c r="G215" s="140"/>
      <c r="H215" s="393"/>
      <c r="J215" s="353" t="s">
        <v>887</v>
      </c>
      <c r="K215" s="196" t="s">
        <v>942</v>
      </c>
      <c r="L215" s="196" t="s">
        <v>867</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2">
      <c r="G216" s="140"/>
      <c r="H216" s="393"/>
      <c r="J216" s="354"/>
      <c r="K216" s="137" t="s">
        <v>942</v>
      </c>
      <c r="L216" s="187" t="s">
        <v>868</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25">
      <c r="G217" s="140"/>
      <c r="H217" s="393"/>
      <c r="J217" s="354"/>
      <c r="K217" s="198" t="s">
        <v>942</v>
      </c>
      <c r="L217" s="198" t="s">
        <v>869</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2">
      <c r="G218" s="140"/>
      <c r="H218" s="393"/>
      <c r="J218" s="354"/>
      <c r="K218" s="196" t="s">
        <v>944</v>
      </c>
      <c r="L218" s="196" t="s">
        <v>867</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25">
      <c r="G219" s="140"/>
      <c r="H219" s="393"/>
      <c r="J219" s="354"/>
      <c r="K219" s="137" t="s">
        <v>944</v>
      </c>
      <c r="L219" s="187" t="s">
        <v>868</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25">
      <c r="G220" s="140"/>
      <c r="H220" s="393"/>
      <c r="J220" s="354"/>
      <c r="K220" s="198" t="s">
        <v>944</v>
      </c>
      <c r="L220" s="198" t="s">
        <v>869</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25">
      <c r="G221" s="140"/>
      <c r="H221" s="393"/>
      <c r="J221" s="354"/>
      <c r="K221" s="196" t="s">
        <v>945</v>
      </c>
      <c r="L221" s="196" t="s">
        <v>867</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25">
      <c r="A222" s="132"/>
      <c r="B222" s="132"/>
      <c r="C222" s="132"/>
      <c r="D222" s="132"/>
      <c r="E222" s="132"/>
      <c r="F222" s="132"/>
      <c r="G222" s="140"/>
      <c r="H222" s="393"/>
      <c r="I222" s="132"/>
      <c r="J222" s="354"/>
      <c r="K222" s="137" t="s">
        <v>945</v>
      </c>
      <c r="L222" s="187" t="s">
        <v>868</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25">
      <c r="A223" s="132"/>
      <c r="B223" s="132"/>
      <c r="C223" s="132"/>
      <c r="D223" s="132"/>
      <c r="E223" s="132"/>
      <c r="F223" s="132"/>
      <c r="G223" s="140"/>
      <c r="H223" s="393"/>
      <c r="I223" s="132"/>
      <c r="J223" s="354"/>
      <c r="K223" s="198" t="s">
        <v>945</v>
      </c>
      <c r="L223" s="198" t="s">
        <v>869</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25">
      <c r="G224" s="140"/>
      <c r="H224" s="393"/>
      <c r="J224" s="354"/>
      <c r="K224" s="196" t="s">
        <v>946</v>
      </c>
      <c r="L224" s="196" t="s">
        <v>867</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25">
      <c r="A225" s="132"/>
      <c r="B225" s="132"/>
      <c r="C225" s="132"/>
      <c r="D225" s="132"/>
      <c r="E225" s="132"/>
      <c r="F225" s="132"/>
      <c r="G225" s="140"/>
      <c r="H225" s="393"/>
      <c r="I225" s="132"/>
      <c r="J225" s="354"/>
      <c r="K225" s="137" t="s">
        <v>946</v>
      </c>
      <c r="L225" s="187" t="s">
        <v>868</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25">
      <c r="A226" s="132"/>
      <c r="B226" s="132"/>
      <c r="C226" s="132"/>
      <c r="D226" s="132"/>
      <c r="E226" s="132"/>
      <c r="F226" s="132"/>
      <c r="G226" s="140"/>
      <c r="H226" s="393"/>
      <c r="I226" s="132"/>
      <c r="J226" s="354"/>
      <c r="K226" s="198" t="s">
        <v>946</v>
      </c>
      <c r="L226" s="198" t="s">
        <v>869</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25">
      <c r="G227" s="140"/>
      <c r="H227" s="393"/>
      <c r="J227" s="354"/>
      <c r="K227" s="196" t="s">
        <v>947</v>
      </c>
      <c r="L227" s="196" t="s">
        <v>867</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25">
      <c r="G228" s="140"/>
      <c r="H228" s="393"/>
      <c r="J228" s="354"/>
      <c r="K228" s="137" t="s">
        <v>947</v>
      </c>
      <c r="L228" s="187" t="s">
        <v>868</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3">
      <c r="G229" s="140"/>
      <c r="H229" s="393"/>
      <c r="J229" s="354"/>
      <c r="K229" s="198" t="s">
        <v>947</v>
      </c>
      <c r="L229" s="198" t="s">
        <v>869</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2">
      <c r="G230" s="140"/>
      <c r="H230" s="393"/>
      <c r="J230" s="354"/>
      <c r="K230" s="196" t="s">
        <v>948</v>
      </c>
      <c r="L230" s="196" t="s">
        <v>867</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2">
      <c r="G231" s="140"/>
      <c r="H231" s="393"/>
      <c r="J231" s="354"/>
      <c r="K231" s="137" t="s">
        <v>948</v>
      </c>
      <c r="L231" s="187" t="s">
        <v>868</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25">
      <c r="G232" s="140"/>
      <c r="H232" s="393"/>
      <c r="J232" s="354"/>
      <c r="K232" s="198" t="s">
        <v>948</v>
      </c>
      <c r="L232" s="198" t="s">
        <v>869</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2">
      <c r="G233" s="140"/>
      <c r="H233" s="393"/>
      <c r="J233" s="354"/>
      <c r="K233" s="196" t="s">
        <v>949</v>
      </c>
      <c r="L233" s="196" t="s">
        <v>867</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25">
      <c r="G234" s="140"/>
      <c r="H234" s="393"/>
      <c r="J234" s="354"/>
      <c r="K234" s="137" t="s">
        <v>949</v>
      </c>
      <c r="L234" s="187" t="s">
        <v>868</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25">
      <c r="G235" s="140"/>
      <c r="H235" s="393"/>
      <c r="J235" s="354"/>
      <c r="K235" s="198" t="s">
        <v>949</v>
      </c>
      <c r="L235" s="198" t="s">
        <v>869</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25">
      <c r="G236" s="140"/>
      <c r="H236" s="393"/>
      <c r="J236" s="354"/>
      <c r="K236" s="196" t="s">
        <v>950</v>
      </c>
      <c r="L236" s="196" t="s">
        <v>867</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25">
      <c r="A237" s="132"/>
      <c r="B237" s="132"/>
      <c r="C237" s="132"/>
      <c r="D237" s="132"/>
      <c r="E237" s="132"/>
      <c r="F237" s="132"/>
      <c r="G237" s="140"/>
      <c r="H237" s="393"/>
      <c r="I237" s="132"/>
      <c r="J237" s="354"/>
      <c r="K237" s="137" t="s">
        <v>950</v>
      </c>
      <c r="L237" s="187" t="s">
        <v>868</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25">
      <c r="A238" s="132"/>
      <c r="B238" s="132"/>
      <c r="C238" s="132"/>
      <c r="D238" s="132"/>
      <c r="E238" s="132"/>
      <c r="F238" s="132"/>
      <c r="G238" s="140"/>
      <c r="H238" s="393"/>
      <c r="I238" s="132"/>
      <c r="J238" s="354"/>
      <c r="K238" s="198" t="s">
        <v>950</v>
      </c>
      <c r="L238" s="198" t="s">
        <v>869</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25">
      <c r="G239" s="140"/>
      <c r="H239" s="393"/>
      <c r="J239" s="354"/>
      <c r="K239" s="196" t="s">
        <v>951</v>
      </c>
      <c r="L239" s="196" t="s">
        <v>867</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25">
      <c r="A240" s="132"/>
      <c r="B240" s="132"/>
      <c r="C240" s="132"/>
      <c r="D240" s="132"/>
      <c r="E240" s="132"/>
      <c r="F240" s="132"/>
      <c r="G240" s="140"/>
      <c r="H240" s="393"/>
      <c r="I240" s="132"/>
      <c r="J240" s="354"/>
      <c r="K240" s="137" t="s">
        <v>951</v>
      </c>
      <c r="L240" s="187" t="s">
        <v>868</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25">
      <c r="A241" s="132"/>
      <c r="B241" s="132"/>
      <c r="C241" s="132"/>
      <c r="D241" s="132"/>
      <c r="E241" s="132"/>
      <c r="F241" s="132"/>
      <c r="G241" s="140"/>
      <c r="H241" s="393"/>
      <c r="I241" s="132"/>
      <c r="J241" s="354"/>
      <c r="K241" s="198" t="s">
        <v>951</v>
      </c>
      <c r="L241" s="198" t="s">
        <v>869</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25">
      <c r="G242" s="140"/>
      <c r="H242" s="393"/>
      <c r="J242" s="354"/>
      <c r="K242" s="196" t="s">
        <v>952</v>
      </c>
      <c r="L242" s="196" t="s">
        <v>867</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25">
      <c r="G243" s="140"/>
      <c r="H243" s="393"/>
      <c r="J243" s="354"/>
      <c r="K243" s="137" t="s">
        <v>952</v>
      </c>
      <c r="L243" s="187" t="s">
        <v>868</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25">
      <c r="G244" s="140"/>
      <c r="H244" s="393"/>
      <c r="J244" s="387"/>
      <c r="K244" s="198" t="s">
        <v>952</v>
      </c>
      <c r="L244" s="198" t="s">
        <v>869</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25">
      <c r="G245" s="140"/>
      <c r="H245" s="393"/>
      <c r="J245" s="203"/>
      <c r="K245" s="137"/>
      <c r="L245" s="137"/>
      <c r="AX245"/>
      <c r="AY245"/>
    </row>
    <row r="246" spans="1:97" ht="14.25" customHeight="1" x14ac:dyDescent="0.2">
      <c r="G246" s="140"/>
      <c r="H246" s="393"/>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2">
      <c r="G247" s="140"/>
      <c r="H247" s="393"/>
      <c r="J247" s="353" t="s">
        <v>888</v>
      </c>
      <c r="K247" s="196" t="s">
        <v>942</v>
      </c>
      <c r="L247" s="196" t="s">
        <v>867</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25">
      <c r="G248" s="140"/>
      <c r="H248" s="393"/>
      <c r="J248" s="354"/>
      <c r="K248" s="137" t="s">
        <v>942</v>
      </c>
      <c r="L248" s="187" t="s">
        <v>868</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25">
      <c r="G249" s="140"/>
      <c r="H249" s="393"/>
      <c r="J249" s="354"/>
      <c r="K249" s="198" t="s">
        <v>942</v>
      </c>
      <c r="L249" s="198" t="s">
        <v>869</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2">
      <c r="G250" s="140"/>
      <c r="H250" s="393"/>
      <c r="J250" s="354"/>
      <c r="K250" s="196" t="s">
        <v>944</v>
      </c>
      <c r="L250" s="196" t="s">
        <v>867</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25">
      <c r="G251" s="140"/>
      <c r="H251" s="393"/>
      <c r="J251" s="354"/>
      <c r="K251" s="137" t="s">
        <v>944</v>
      </c>
      <c r="L251" s="187" t="s">
        <v>868</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3">
      <c r="G252" s="140"/>
      <c r="H252" s="393"/>
      <c r="J252" s="354"/>
      <c r="K252" s="198" t="s">
        <v>944</v>
      </c>
      <c r="L252" s="198" t="s">
        <v>869</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25">
      <c r="G253" s="140"/>
      <c r="H253" s="393"/>
      <c r="J253" s="354"/>
      <c r="K253" s="196" t="s">
        <v>945</v>
      </c>
      <c r="L253" s="196" t="s">
        <v>867</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25">
      <c r="G254" s="140"/>
      <c r="H254" s="393"/>
      <c r="J254" s="354"/>
      <c r="K254" s="137" t="s">
        <v>945</v>
      </c>
      <c r="L254" s="187" t="s">
        <v>868</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0"/>
      <c r="H255" s="393"/>
      <c r="J255" s="354"/>
      <c r="K255" s="198" t="s">
        <v>945</v>
      </c>
      <c r="L255" s="198" t="s">
        <v>869</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25">
      <c r="G256" s="140"/>
      <c r="H256" s="393"/>
      <c r="J256" s="354"/>
      <c r="K256" s="196" t="s">
        <v>946</v>
      </c>
      <c r="L256" s="196" t="s">
        <v>867</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25">
      <c r="G257" s="140"/>
      <c r="H257" s="393"/>
      <c r="J257" s="354"/>
      <c r="K257" s="137" t="s">
        <v>946</v>
      </c>
      <c r="L257" s="187" t="s">
        <v>868</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0"/>
      <c r="H258" s="393"/>
      <c r="J258" s="354"/>
      <c r="K258" s="198" t="s">
        <v>946</v>
      </c>
      <c r="L258" s="198" t="s">
        <v>869</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25">
      <c r="G259" s="140"/>
      <c r="H259" s="393"/>
      <c r="J259" s="354"/>
      <c r="K259" s="196" t="s">
        <v>947</v>
      </c>
      <c r="L259" s="196" t="s">
        <v>867</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25">
      <c r="G260" s="140"/>
      <c r="H260" s="393"/>
      <c r="J260" s="354"/>
      <c r="K260" s="137" t="s">
        <v>947</v>
      </c>
      <c r="L260" s="187" t="s">
        <v>868</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0"/>
      <c r="H261" s="393"/>
      <c r="J261" s="354"/>
      <c r="K261" s="198" t="s">
        <v>947</v>
      </c>
      <c r="L261" s="198" t="s">
        <v>869</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2">
      <c r="G262" s="140"/>
      <c r="H262" s="393"/>
      <c r="J262" s="354"/>
      <c r="K262" s="196" t="s">
        <v>948</v>
      </c>
      <c r="L262" s="196" t="s">
        <v>867</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25">
      <c r="G263" s="140"/>
      <c r="H263" s="393"/>
      <c r="J263" s="354"/>
      <c r="K263" s="137" t="s">
        <v>948</v>
      </c>
      <c r="L263" s="187" t="s">
        <v>868</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25">
      <c r="G264" s="140"/>
      <c r="H264" s="393"/>
      <c r="J264" s="354"/>
      <c r="K264" s="198" t="s">
        <v>948</v>
      </c>
      <c r="L264" s="198" t="s">
        <v>869</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2">
      <c r="G265" s="140"/>
      <c r="H265" s="393"/>
      <c r="J265" s="354"/>
      <c r="K265" s="196" t="s">
        <v>949</v>
      </c>
      <c r="L265" s="196" t="s">
        <v>867</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25">
      <c r="G266" s="140"/>
      <c r="H266" s="393"/>
      <c r="J266" s="354"/>
      <c r="K266" s="137" t="s">
        <v>949</v>
      </c>
      <c r="L266" s="187" t="s">
        <v>868</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3">
      <c r="G267" s="140"/>
      <c r="H267" s="393"/>
      <c r="J267" s="354"/>
      <c r="K267" s="198" t="s">
        <v>949</v>
      </c>
      <c r="L267" s="198" t="s">
        <v>869</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25">
      <c r="G268" s="140"/>
      <c r="H268" s="393"/>
      <c r="J268" s="354"/>
      <c r="K268" s="196" t="s">
        <v>950</v>
      </c>
      <c r="L268" s="196" t="s">
        <v>867</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25">
      <c r="G269" s="140"/>
      <c r="H269" s="393"/>
      <c r="J269" s="354"/>
      <c r="K269" s="137" t="s">
        <v>950</v>
      </c>
      <c r="L269" s="187" t="s">
        <v>868</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0"/>
      <c r="H270" s="393"/>
      <c r="J270" s="354"/>
      <c r="K270" s="198" t="s">
        <v>950</v>
      </c>
      <c r="L270" s="198" t="s">
        <v>869</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25">
      <c r="G271" s="140"/>
      <c r="H271" s="393"/>
      <c r="J271" s="354"/>
      <c r="K271" s="196" t="s">
        <v>951</v>
      </c>
      <c r="L271" s="196" t="s">
        <v>867</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25">
      <c r="G272" s="140"/>
      <c r="H272" s="393"/>
      <c r="J272" s="354"/>
      <c r="K272" s="137" t="s">
        <v>951</v>
      </c>
      <c r="L272" s="187" t="s">
        <v>868</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0"/>
      <c r="H273" s="393"/>
      <c r="J273" s="354"/>
      <c r="K273" s="198" t="s">
        <v>951</v>
      </c>
      <c r="L273" s="198" t="s">
        <v>869</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25">
      <c r="G274" s="140"/>
      <c r="H274" s="393"/>
      <c r="J274" s="354"/>
      <c r="K274" s="196" t="s">
        <v>952</v>
      </c>
      <c r="L274" s="196" t="s">
        <v>867</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25">
      <c r="G275" s="140"/>
      <c r="H275" s="393"/>
      <c r="J275" s="354"/>
      <c r="K275" s="137" t="s">
        <v>952</v>
      </c>
      <c r="L275" s="187" t="s">
        <v>868</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0"/>
      <c r="H276" s="393"/>
      <c r="J276" s="387"/>
      <c r="K276" s="198" t="s">
        <v>952</v>
      </c>
      <c r="L276" s="198" t="s">
        <v>869</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25">
      <c r="G277" s="140"/>
      <c r="H277" s="393"/>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
      <c r="A278" s="132" t="s">
        <v>821</v>
      </c>
      <c r="G278" s="140"/>
      <c r="H278" s="393"/>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2">
      <c r="G279" s="140"/>
      <c r="H279" s="393"/>
      <c r="J279" s="353" t="s">
        <v>889</v>
      </c>
      <c r="K279" s="196" t="s">
        <v>942</v>
      </c>
      <c r="L279" s="196" t="s">
        <v>867</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25">
      <c r="G280" s="140"/>
      <c r="H280" s="393"/>
      <c r="J280" s="354"/>
      <c r="K280" s="137" t="s">
        <v>942</v>
      </c>
      <c r="L280" s="187" t="s">
        <v>868</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25">
      <c r="G281" s="140"/>
      <c r="H281" s="393"/>
      <c r="J281" s="354"/>
      <c r="K281" s="198" t="s">
        <v>942</v>
      </c>
      <c r="L281" s="198" t="s">
        <v>869</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2">
      <c r="G282" s="140"/>
      <c r="H282" s="393"/>
      <c r="J282" s="354"/>
      <c r="K282" s="196" t="s">
        <v>944</v>
      </c>
      <c r="L282" s="196" t="s">
        <v>867</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25">
      <c r="G283" s="140"/>
      <c r="H283" s="393"/>
      <c r="J283" s="354"/>
      <c r="K283" s="137" t="s">
        <v>944</v>
      </c>
      <c r="L283" s="187" t="s">
        <v>868</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25">
      <c r="G284" s="140"/>
      <c r="H284" s="393"/>
      <c r="J284" s="354"/>
      <c r="K284" s="198" t="s">
        <v>944</v>
      </c>
      <c r="L284" s="198" t="s">
        <v>869</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2">
      <c r="G285" s="140"/>
      <c r="H285" s="393"/>
      <c r="J285" s="354"/>
      <c r="K285" s="196" t="s">
        <v>945</v>
      </c>
      <c r="L285" s="196" t="s">
        <v>867</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2">
      <c r="G286" s="140"/>
      <c r="H286" s="393"/>
      <c r="J286" s="354"/>
      <c r="K286" s="137" t="s">
        <v>945</v>
      </c>
      <c r="L286" s="187" t="s">
        <v>868</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25">
      <c r="G287" s="140"/>
      <c r="H287" s="393"/>
      <c r="J287" s="354"/>
      <c r="K287" s="198" t="s">
        <v>945</v>
      </c>
      <c r="L287" s="198" t="s">
        <v>869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2">
      <c r="G288" s="140"/>
      <c r="H288" s="393"/>
      <c r="J288" s="354"/>
      <c r="K288" s="196" t="s">
        <v>946</v>
      </c>
      <c r="L288" s="196" t="s">
        <v>867</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2">
      <c r="G289" s="140"/>
      <c r="H289" s="393"/>
      <c r="J289" s="354"/>
      <c r="K289" s="137" t="s">
        <v>946</v>
      </c>
      <c r="L289" s="187" t="s">
        <v>868</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25">
      <c r="G290" s="140"/>
      <c r="H290" s="393"/>
      <c r="J290" s="354"/>
      <c r="K290" s="198" t="s">
        <v>946</v>
      </c>
      <c r="L290" s="198" t="s">
        <v>869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2">
      <c r="G291" s="140"/>
      <c r="H291" s="393"/>
      <c r="J291" s="354"/>
      <c r="K291" s="196" t="s">
        <v>947</v>
      </c>
      <c r="L291" s="196" t="s">
        <v>867</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2">
      <c r="G292" s="140"/>
      <c r="H292" s="393"/>
      <c r="J292" s="354"/>
      <c r="K292" s="137" t="s">
        <v>947</v>
      </c>
      <c r="L292" s="187" t="s">
        <v>868</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2">
      <c r="G293" s="140"/>
      <c r="H293" s="393"/>
      <c r="J293" s="354"/>
      <c r="K293" s="198" t="s">
        <v>947</v>
      </c>
      <c r="L293" s="198" t="s">
        <v>869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2">
      <c r="G294" s="140"/>
      <c r="H294" s="393"/>
      <c r="J294" s="354"/>
      <c r="K294" s="196" t="s">
        <v>948</v>
      </c>
      <c r="L294" s="196" t="s">
        <v>867</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25">
      <c r="G295" s="140"/>
      <c r="H295" s="393"/>
      <c r="J295" s="354"/>
      <c r="K295" s="137" t="s">
        <v>948</v>
      </c>
      <c r="L295" s="187" t="s">
        <v>868</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25">
      <c r="G296" s="140"/>
      <c r="H296" s="393"/>
      <c r="J296" s="354"/>
      <c r="K296" s="198" t="s">
        <v>948</v>
      </c>
      <c r="L296" s="198" t="s">
        <v>869</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2">
      <c r="G297" s="140"/>
      <c r="H297" s="393"/>
      <c r="J297" s="354"/>
      <c r="K297" s="196" t="s">
        <v>949</v>
      </c>
      <c r="L297" s="196" t="s">
        <v>867</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25">
      <c r="G298" s="140"/>
      <c r="H298" s="393"/>
      <c r="J298" s="354"/>
      <c r="K298" s="137" t="s">
        <v>949</v>
      </c>
      <c r="L298" s="187" t="s">
        <v>868</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25">
      <c r="G299" s="140"/>
      <c r="H299" s="393"/>
      <c r="J299" s="354"/>
      <c r="K299" s="198" t="s">
        <v>949</v>
      </c>
      <c r="L299" s="198" t="s">
        <v>869</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2">
      <c r="G300" s="140"/>
      <c r="H300" s="393"/>
      <c r="J300" s="354"/>
      <c r="K300" s="196" t="s">
        <v>950</v>
      </c>
      <c r="L300" s="196" t="s">
        <v>867</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2">
      <c r="G301" s="140"/>
      <c r="H301" s="393"/>
      <c r="J301" s="354"/>
      <c r="K301" s="137" t="s">
        <v>950</v>
      </c>
      <c r="L301" s="187" t="s">
        <v>868</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25">
      <c r="G302" s="140"/>
      <c r="H302" s="393"/>
      <c r="J302" s="354"/>
      <c r="K302" s="198" t="s">
        <v>950</v>
      </c>
      <c r="L302" s="198" t="s">
        <v>869</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2">
      <c r="G303" s="140"/>
      <c r="H303" s="393"/>
      <c r="J303" s="354"/>
      <c r="K303" s="196" t="s">
        <v>951</v>
      </c>
      <c r="L303" s="196" t="s">
        <v>867</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2">
      <c r="G304" s="140"/>
      <c r="H304" s="393"/>
      <c r="J304" s="354"/>
      <c r="K304" s="137" t="s">
        <v>951</v>
      </c>
      <c r="L304" s="187" t="s">
        <v>868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25">
      <c r="G305" s="140"/>
      <c r="H305" s="393"/>
      <c r="J305" s="354"/>
      <c r="K305" s="198" t="s">
        <v>951</v>
      </c>
      <c r="L305" s="198" t="s">
        <v>869</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2">
      <c r="G306" s="140"/>
      <c r="H306" s="393"/>
      <c r="J306" s="354"/>
      <c r="K306" s="196" t="s">
        <v>952</v>
      </c>
      <c r="L306" s="196" t="s">
        <v>867</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2">
      <c r="G307" s="140"/>
      <c r="H307" s="393"/>
      <c r="J307" s="354"/>
      <c r="K307" s="137" t="s">
        <v>952</v>
      </c>
      <c r="L307" s="187" t="s">
        <v>868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0"/>
      <c r="H308" s="393"/>
      <c r="J308" s="387"/>
      <c r="K308" s="198" t="s">
        <v>952</v>
      </c>
      <c r="L308" s="198" t="s">
        <v>869</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25">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25">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2">
      <c r="G314" s="140"/>
      <c r="H314" s="386" t="s">
        <v>890</v>
      </c>
      <c r="J314" s="353" t="s">
        <v>891</v>
      </c>
      <c r="K314" s="196" t="s">
        <v>942</v>
      </c>
      <c r="L314" s="196" t="s">
        <v>867</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2">
      <c r="G315" s="140"/>
      <c r="H315" s="386"/>
      <c r="J315" s="354"/>
      <c r="K315" s="137" t="s">
        <v>942</v>
      </c>
      <c r="L315" s="187" t="s">
        <v>868</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25">
      <c r="G316" s="140"/>
      <c r="H316" s="386"/>
      <c r="J316" s="354"/>
      <c r="K316" s="198" t="s">
        <v>942</v>
      </c>
      <c r="L316" s="198" t="s">
        <v>869</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2">
      <c r="G317" s="140"/>
      <c r="H317" s="386"/>
      <c r="J317" s="354"/>
      <c r="K317" s="196" t="s">
        <v>944</v>
      </c>
      <c r="L317" s="196" t="s">
        <v>867</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2">
      <c r="G318" s="140"/>
      <c r="H318" s="386"/>
      <c r="J318" s="354"/>
      <c r="K318" s="137" t="s">
        <v>944</v>
      </c>
      <c r="L318" s="187" t="s">
        <v>868</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25">
      <c r="G319" s="140"/>
      <c r="H319" s="386"/>
      <c r="J319" s="354"/>
      <c r="K319" s="198" t="s">
        <v>944</v>
      </c>
      <c r="L319" s="198" t="s">
        <v>869</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2">
      <c r="G320" s="140"/>
      <c r="H320" s="386"/>
      <c r="J320" s="354"/>
      <c r="K320" s="196" t="s">
        <v>945</v>
      </c>
      <c r="L320" s="196" t="s">
        <v>867</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2">
      <c r="G321" s="140"/>
      <c r="H321" s="386"/>
      <c r="J321" s="354"/>
      <c r="K321" s="137" t="s">
        <v>945</v>
      </c>
      <c r="L321" s="187" t="s">
        <v>868</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25">
      <c r="G322" s="140"/>
      <c r="H322" s="386"/>
      <c r="J322" s="354"/>
      <c r="K322" s="198" t="s">
        <v>945</v>
      </c>
      <c r="L322" s="198" t="s">
        <v>869</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2">
      <c r="G323" s="140"/>
      <c r="H323" s="386"/>
      <c r="J323" s="354"/>
      <c r="K323" s="196" t="s">
        <v>946</v>
      </c>
      <c r="L323" s="196" t="s">
        <v>867</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2">
      <c r="G324" s="140"/>
      <c r="H324" s="386"/>
      <c r="J324" s="354"/>
      <c r="K324" s="137" t="s">
        <v>946</v>
      </c>
      <c r="L324" s="187" t="s">
        <v>868</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25">
      <c r="G325" s="140"/>
      <c r="H325" s="386"/>
      <c r="J325" s="354"/>
      <c r="K325" s="198" t="s">
        <v>946</v>
      </c>
      <c r="L325" s="198" t="s">
        <v>869</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2">
      <c r="G326" s="140"/>
      <c r="H326" s="386"/>
      <c r="J326" s="354"/>
      <c r="K326" s="196" t="s">
        <v>947</v>
      </c>
      <c r="L326" s="196" t="s">
        <v>867</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2">
      <c r="G327" s="140"/>
      <c r="H327" s="386"/>
      <c r="J327" s="354"/>
      <c r="K327" s="137" t="s">
        <v>947</v>
      </c>
      <c r="L327" s="187" t="s">
        <v>868</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2">
      <c r="G328" s="140"/>
      <c r="H328" s="386"/>
      <c r="J328" s="354"/>
      <c r="K328" s="198" t="s">
        <v>947</v>
      </c>
      <c r="L328" s="198" t="s">
        <v>869</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2">
      <c r="G329" s="140"/>
      <c r="H329" s="386"/>
      <c r="J329" s="354"/>
      <c r="K329" s="196" t="s">
        <v>948</v>
      </c>
      <c r="L329" s="196" t="s">
        <v>867</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2">
      <c r="G330" s="140"/>
      <c r="H330" s="386"/>
      <c r="J330" s="354"/>
      <c r="K330" s="137" t="s">
        <v>948</v>
      </c>
      <c r="L330" s="187" t="s">
        <v>868</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25">
      <c r="G331" s="140"/>
      <c r="H331" s="386"/>
      <c r="J331" s="354"/>
      <c r="K331" s="198" t="s">
        <v>948</v>
      </c>
      <c r="L331" s="198" t="s">
        <v>869</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2">
      <c r="G332" s="140"/>
      <c r="H332" s="386"/>
      <c r="J332" s="354"/>
      <c r="K332" s="196" t="s">
        <v>949</v>
      </c>
      <c r="L332" s="196" t="s">
        <v>867</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2">
      <c r="G333" s="140"/>
      <c r="H333" s="386"/>
      <c r="J333" s="354"/>
      <c r="K333" s="137" t="s">
        <v>949</v>
      </c>
      <c r="L333" s="187" t="s">
        <v>868</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25">
      <c r="G334" s="140"/>
      <c r="H334" s="386"/>
      <c r="J334" s="354"/>
      <c r="K334" s="198" t="s">
        <v>949</v>
      </c>
      <c r="L334" s="198" t="s">
        <v>869</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2">
      <c r="G335" s="140"/>
      <c r="H335" s="386"/>
      <c r="J335" s="354"/>
      <c r="K335" s="196" t="s">
        <v>950</v>
      </c>
      <c r="L335" s="196" t="s">
        <v>867</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2">
      <c r="G336" s="140"/>
      <c r="H336" s="386"/>
      <c r="J336" s="354"/>
      <c r="K336" s="137" t="s">
        <v>950</v>
      </c>
      <c r="L336" s="187" t="s">
        <v>868</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25">
      <c r="G337" s="140"/>
      <c r="H337" s="386"/>
      <c r="J337" s="354"/>
      <c r="K337" s="198" t="s">
        <v>950</v>
      </c>
      <c r="L337" s="198" t="s">
        <v>869</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2">
      <c r="G338" s="140"/>
      <c r="H338" s="386"/>
      <c r="J338" s="354"/>
      <c r="K338" s="196" t="s">
        <v>951</v>
      </c>
      <c r="L338" s="196" t="s">
        <v>867</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2">
      <c r="G339" s="140"/>
      <c r="H339" s="386"/>
      <c r="J339" s="354"/>
      <c r="K339" s="137" t="s">
        <v>951</v>
      </c>
      <c r="L339" s="187" t="s">
        <v>868</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25">
      <c r="G340" s="140"/>
      <c r="H340" s="386"/>
      <c r="J340" s="354"/>
      <c r="K340" s="198" t="s">
        <v>951</v>
      </c>
      <c r="L340" s="198" t="s">
        <v>869</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2">
      <c r="G341" s="140"/>
      <c r="H341" s="386"/>
      <c r="J341" s="354"/>
      <c r="K341" s="196" t="s">
        <v>952</v>
      </c>
      <c r="L341" s="196" t="s">
        <v>867</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2">
      <c r="G342" s="140"/>
      <c r="H342" s="386"/>
      <c r="J342" s="354"/>
      <c r="K342" s="137" t="s">
        <v>952</v>
      </c>
      <c r="L342" s="187" t="s">
        <v>868</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2">
      <c r="G343" s="140"/>
      <c r="H343" s="386"/>
      <c r="J343" s="387"/>
      <c r="K343" s="198" t="s">
        <v>952</v>
      </c>
      <c r="L343" s="198" t="s">
        <v>869</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25">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2">
      <c r="G347" s="140"/>
      <c r="H347" s="388" t="s">
        <v>892</v>
      </c>
      <c r="J347" s="390" t="s">
        <v>893</v>
      </c>
      <c r="K347" s="196" t="s">
        <v>942</v>
      </c>
      <c r="L347" s="196" t="s">
        <v>867</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2">
      <c r="G348" s="140"/>
      <c r="H348" s="388"/>
      <c r="J348" s="390"/>
      <c r="K348" s="137" t="s">
        <v>942</v>
      </c>
      <c r="L348" s="187" t="s">
        <v>868</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25">
      <c r="G349" s="140"/>
      <c r="H349" s="388"/>
      <c r="J349" s="390"/>
      <c r="K349" s="198" t="s">
        <v>942</v>
      </c>
      <c r="L349" s="198" t="s">
        <v>869</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2">
      <c r="G350" s="140"/>
      <c r="H350" s="388"/>
      <c r="J350" s="390"/>
      <c r="K350" s="196" t="s">
        <v>944</v>
      </c>
      <c r="L350" s="196" t="s">
        <v>867</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2">
      <c r="G351" s="140"/>
      <c r="H351" s="388"/>
      <c r="J351" s="390"/>
      <c r="K351" s="137" t="s">
        <v>944</v>
      </c>
      <c r="L351" s="187" t="s">
        <v>868</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25">
      <c r="G352" s="140"/>
      <c r="H352" s="388"/>
      <c r="J352" s="390"/>
      <c r="K352" s="198" t="s">
        <v>944</v>
      </c>
      <c r="L352" s="198" t="s">
        <v>869</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2">
      <c r="G353" s="140"/>
      <c r="H353" s="388"/>
      <c r="J353" s="390"/>
      <c r="K353" s="196" t="s">
        <v>945</v>
      </c>
      <c r="L353" s="196" t="s">
        <v>867</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2">
      <c r="G354" s="140"/>
      <c r="H354" s="388"/>
      <c r="J354" s="390"/>
      <c r="K354" s="137" t="s">
        <v>945</v>
      </c>
      <c r="L354" s="187" t="s">
        <v>868</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25">
      <c r="G355" s="140"/>
      <c r="H355" s="388"/>
      <c r="J355" s="390"/>
      <c r="K355" s="198" t="s">
        <v>945</v>
      </c>
      <c r="L355" s="198" t="s">
        <v>869</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2">
      <c r="G356" s="140"/>
      <c r="H356" s="388"/>
      <c r="J356" s="390"/>
      <c r="K356" s="196" t="s">
        <v>946</v>
      </c>
      <c r="L356" s="196" t="s">
        <v>867</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2">
      <c r="G357" s="140"/>
      <c r="H357" s="388"/>
      <c r="J357" s="390"/>
      <c r="K357" s="137" t="s">
        <v>946</v>
      </c>
      <c r="L357" s="187" t="s">
        <v>868</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25">
      <c r="G358" s="140"/>
      <c r="H358" s="388"/>
      <c r="J358" s="390"/>
      <c r="K358" s="198" t="s">
        <v>946</v>
      </c>
      <c r="L358" s="198" t="s">
        <v>869</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2">
      <c r="G359" s="140"/>
      <c r="H359" s="388"/>
      <c r="J359" s="390"/>
      <c r="K359" s="196" t="s">
        <v>947</v>
      </c>
      <c r="L359" s="196" t="s">
        <v>867</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2">
      <c r="G360" s="140"/>
      <c r="H360" s="388"/>
      <c r="J360" s="390"/>
      <c r="K360" s="137" t="s">
        <v>947</v>
      </c>
      <c r="L360" s="187" t="s">
        <v>868</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25">
      <c r="G361" s="140"/>
      <c r="H361" s="388"/>
      <c r="J361" s="390"/>
      <c r="K361" s="198" t="s">
        <v>947</v>
      </c>
      <c r="L361" s="198" t="s">
        <v>869</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2">
      <c r="G362" s="140"/>
      <c r="H362" s="388"/>
      <c r="J362" s="390"/>
      <c r="K362" s="196" t="s">
        <v>948</v>
      </c>
      <c r="L362" s="196" t="s">
        <v>867</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2">
      <c r="G363" s="140"/>
      <c r="H363" s="388"/>
      <c r="J363" s="390"/>
      <c r="K363" s="137" t="s">
        <v>948</v>
      </c>
      <c r="L363" s="187" t="s">
        <v>868</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25">
      <c r="G364" s="140"/>
      <c r="H364" s="388"/>
      <c r="J364" s="390"/>
      <c r="K364" s="198" t="s">
        <v>948</v>
      </c>
      <c r="L364" s="198" t="s">
        <v>869</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2">
      <c r="G365" s="140"/>
      <c r="H365" s="388"/>
      <c r="J365" s="390"/>
      <c r="K365" s="196" t="s">
        <v>949</v>
      </c>
      <c r="L365" s="196" t="s">
        <v>867</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2">
      <c r="G366" s="140"/>
      <c r="H366" s="388"/>
      <c r="J366" s="390"/>
      <c r="K366" s="137" t="s">
        <v>949</v>
      </c>
      <c r="L366" s="187" t="s">
        <v>868</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25">
      <c r="G367" s="140"/>
      <c r="H367" s="388"/>
      <c r="J367" s="390"/>
      <c r="K367" s="198" t="s">
        <v>949</v>
      </c>
      <c r="L367" s="198" t="s">
        <v>869</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2">
      <c r="G368" s="140"/>
      <c r="H368" s="388"/>
      <c r="J368" s="390"/>
      <c r="K368" s="196" t="s">
        <v>950</v>
      </c>
      <c r="L368" s="196" t="s">
        <v>867</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2">
      <c r="G369" s="140"/>
      <c r="H369" s="388"/>
      <c r="J369" s="390"/>
      <c r="K369" s="137" t="s">
        <v>950</v>
      </c>
      <c r="L369" s="187" t="s">
        <v>868</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25">
      <c r="G370" s="140"/>
      <c r="H370" s="388"/>
      <c r="J370" s="390"/>
      <c r="K370" s="198" t="s">
        <v>950</v>
      </c>
      <c r="L370" s="198" t="s">
        <v>869</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2">
      <c r="G371" s="140"/>
      <c r="H371" s="388"/>
      <c r="J371" s="390"/>
      <c r="K371" s="196" t="s">
        <v>951</v>
      </c>
      <c r="L371" s="196" t="s">
        <v>867</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2">
      <c r="G372" s="140"/>
      <c r="H372" s="388"/>
      <c r="J372" s="390"/>
      <c r="K372" s="137" t="s">
        <v>951</v>
      </c>
      <c r="L372" s="187" t="s">
        <v>868</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25">
      <c r="G373" s="140"/>
      <c r="H373" s="388"/>
      <c r="J373" s="390"/>
      <c r="K373" s="198" t="s">
        <v>951</v>
      </c>
      <c r="L373" s="198" t="s">
        <v>869</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2">
      <c r="G374" s="140"/>
      <c r="H374" s="388"/>
      <c r="J374" s="390"/>
      <c r="K374" s="196" t="s">
        <v>952</v>
      </c>
      <c r="L374" s="196" t="s">
        <v>867</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2">
      <c r="G375" s="140"/>
      <c r="H375" s="388"/>
      <c r="J375" s="390"/>
      <c r="K375" s="137" t="s">
        <v>952</v>
      </c>
      <c r="L375" s="187" t="s">
        <v>868</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25">
      <c r="G376" s="140"/>
      <c r="H376" s="389"/>
      <c r="J376" s="391"/>
      <c r="K376" s="198" t="s">
        <v>952</v>
      </c>
      <c r="L376" s="198" t="s">
        <v>869</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2">
      <c r="G379" s="140"/>
      <c r="H379" s="392" t="s">
        <v>894</v>
      </c>
      <c r="J379" s="353" t="s">
        <v>895</v>
      </c>
      <c r="K379" s="137" t="s">
        <v>896</v>
      </c>
      <c r="L379" s="137" t="s">
        <v>867</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2">
      <c r="G380" s="140"/>
      <c r="H380" s="392"/>
      <c r="J380" s="354"/>
      <c r="K380" s="137" t="s">
        <v>896</v>
      </c>
      <c r="L380" s="137" t="s">
        <v>868</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2">
      <c r="G381" s="140"/>
      <c r="H381" s="392"/>
      <c r="J381" s="354"/>
      <c r="K381" s="137" t="s">
        <v>896</v>
      </c>
      <c r="L381" s="137" t="s">
        <v>869</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2">
      <c r="G382" s="140"/>
      <c r="H382" s="392"/>
      <c r="J382" s="354"/>
      <c r="K382" s="137" t="s">
        <v>897</v>
      </c>
      <c r="L382" s="137" t="s">
        <v>865</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2">
      <c r="G383" s="140"/>
      <c r="H383" s="392"/>
      <c r="J383" s="354"/>
      <c r="K383" s="137" t="s">
        <v>713</v>
      </c>
      <c r="L383" s="137" t="s">
        <v>867</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2">
      <c r="G384" s="140"/>
      <c r="H384" s="392"/>
      <c r="J384" s="354"/>
      <c r="K384" s="137" t="s">
        <v>713</v>
      </c>
      <c r="L384" s="137" t="s">
        <v>868</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2">
      <c r="G385" s="140"/>
      <c r="H385" s="392"/>
      <c r="J385" s="354"/>
      <c r="K385" s="137" t="s">
        <v>713</v>
      </c>
      <c r="L385" s="137" t="s">
        <v>869</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2">
      <c r="G386" s="140"/>
      <c r="H386" s="392"/>
      <c r="J386" s="354"/>
      <c r="K386" s="137" t="s">
        <v>898</v>
      </c>
      <c r="L386" s="137" t="s">
        <v>867</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2">
      <c r="G387" s="140"/>
      <c r="H387" s="392"/>
      <c r="J387" s="354"/>
      <c r="K387" s="137" t="s">
        <v>898</v>
      </c>
      <c r="L387" s="137" t="s">
        <v>868</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2">
      <c r="G388" s="140"/>
      <c r="H388" s="392"/>
      <c r="J388" s="354"/>
      <c r="K388" s="137" t="s">
        <v>898</v>
      </c>
      <c r="L388" s="137" t="s">
        <v>869</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2">
      <c r="G389" s="140"/>
      <c r="H389" s="392"/>
      <c r="J389" s="354"/>
      <c r="K389" s="137" t="s">
        <v>899</v>
      </c>
      <c r="L389" s="137" t="s">
        <v>867</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2">
      <c r="G390" s="140"/>
      <c r="H390" s="392"/>
      <c r="J390" s="354"/>
      <c r="K390" s="137" t="s">
        <v>899</v>
      </c>
      <c r="L390" s="137" t="s">
        <v>868</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2">
      <c r="G391" s="140"/>
      <c r="H391" s="392"/>
      <c r="J391" s="354"/>
      <c r="K391" s="137" t="s">
        <v>899</v>
      </c>
      <c r="L391" s="137" t="s">
        <v>869</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2">
      <c r="G392" s="140"/>
      <c r="H392" s="235"/>
      <c r="I392" s="241" t="s">
        <v>900</v>
      </c>
      <c r="J392" s="242"/>
      <c r="K392" s="243" t="s">
        <v>902</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
      <c r="G393" s="140"/>
      <c r="H393" s="235"/>
      <c r="I393" s="132">
        <v>0.2</v>
      </c>
      <c r="J393" s="246" t="s">
        <v>901</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2">
      <c r="G399" s="140"/>
      <c r="H399" s="235"/>
      <c r="J399" s="246"/>
      <c r="K399" s="243" t="s">
        <v>903</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
      <c r="G406" s="140"/>
      <c r="H406" s="235"/>
      <c r="J406" s="246"/>
      <c r="K406" s="244" t="s">
        <v>904</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
      <c r="G413" s="310"/>
      <c r="J413" s="311"/>
      <c r="K413" s="311"/>
      <c r="L413" s="311"/>
      <c r="M413" s="311"/>
      <c r="N413" s="311"/>
    </row>
    <row r="414" spans="6:42" ht="15.75" customHeight="1" thickBot="1" x14ac:dyDescent="0.25">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25">
      <c r="F415" s="252"/>
      <c r="H415" s="235"/>
      <c r="J415" s="353" t="s">
        <v>905</v>
      </c>
      <c r="K415" s="137" t="s">
        <v>906</v>
      </c>
      <c r="L415" s="137" t="s">
        <v>867</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25">
      <c r="F416" s="252"/>
      <c r="H416" s="235"/>
      <c r="J416" s="354"/>
      <c r="K416" s="137" t="s">
        <v>906</v>
      </c>
      <c r="L416" s="137" t="s">
        <v>868</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2">
      <c r="F417" s="252"/>
      <c r="H417" s="235"/>
      <c r="J417" s="354"/>
      <c r="K417" s="137" t="s">
        <v>906</v>
      </c>
      <c r="L417" s="137" t="s">
        <v>869</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25">
      <c r="F418" s="252"/>
      <c r="H418" s="235"/>
      <c r="J418" s="127"/>
    </row>
    <row r="419" spans="6:42" ht="14.25" customHeight="1" thickTop="1" thickBot="1" x14ac:dyDescent="0.25">
      <c r="F419" s="252"/>
      <c r="H419" s="235"/>
      <c r="J419" s="246"/>
      <c r="K419" s="137" t="s">
        <v>907</v>
      </c>
      <c r="L419" s="137" t="s">
        <v>865</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25">
      <c r="F420" s="252"/>
      <c r="H420" s="235"/>
      <c r="J420" s="246"/>
      <c r="K420" s="137" t="s">
        <v>908</v>
      </c>
      <c r="L420" s="137" t="s">
        <v>865</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25">
      <c r="F421" s="252"/>
      <c r="H421" s="235"/>
      <c r="J421" s="246"/>
      <c r="K421" s="137" t="s">
        <v>909</v>
      </c>
      <c r="L421" s="137" t="s">
        <v>865</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25">
      <c r="F422" s="252"/>
      <c r="H422" s="235"/>
      <c r="J422" s="246"/>
      <c r="K422" s="137" t="s">
        <v>910</v>
      </c>
      <c r="L422" s="137" t="s">
        <v>867</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25">
      <c r="F423" s="252"/>
      <c r="H423" s="235"/>
      <c r="J423" s="246"/>
      <c r="K423" s="137" t="s">
        <v>911</v>
      </c>
      <c r="L423" s="137" t="s">
        <v>867</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25">
      <c r="F424" s="252"/>
      <c r="H424" s="235"/>
      <c r="J424" s="246"/>
      <c r="K424" s="137" t="s">
        <v>912</v>
      </c>
      <c r="L424" s="137" t="s">
        <v>867</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25">
      <c r="F425" s="252"/>
      <c r="H425" s="235"/>
      <c r="J425" s="246"/>
      <c r="K425" s="137" t="s">
        <v>910</v>
      </c>
      <c r="L425" s="137" t="s">
        <v>868</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25">
      <c r="F426" s="252"/>
      <c r="H426" s="235"/>
      <c r="J426" s="246"/>
      <c r="K426" s="137" t="s">
        <v>911</v>
      </c>
      <c r="L426" s="137" t="s">
        <v>868</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25">
      <c r="F427" s="252"/>
      <c r="H427" s="235"/>
      <c r="J427" s="246"/>
      <c r="K427" s="137" t="s">
        <v>912</v>
      </c>
      <c r="L427" s="137" t="s">
        <v>868</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25">
      <c r="F428" s="252"/>
      <c r="H428" s="235"/>
      <c r="J428" s="246"/>
      <c r="K428" s="137" t="s">
        <v>910</v>
      </c>
      <c r="L428" s="137" t="s">
        <v>869</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25">
      <c r="F429" s="252"/>
      <c r="H429" s="235"/>
      <c r="J429" s="246"/>
      <c r="K429" s="137" t="s">
        <v>911</v>
      </c>
      <c r="L429" s="137" t="s">
        <v>869</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2">
      <c r="F430" s="252"/>
      <c r="H430" s="235"/>
      <c r="J430" s="246"/>
      <c r="K430" s="137" t="s">
        <v>912</v>
      </c>
      <c r="L430" s="137" t="s">
        <v>869</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2">
      <c r="C433" s="138" t="s">
        <v>797</v>
      </c>
      <c r="G433" s="382" t="s">
        <v>913</v>
      </c>
      <c r="H433" s="383"/>
      <c r="I433" s="383"/>
      <c r="J433" s="383"/>
      <c r="K433" s="383"/>
      <c r="L433" s="383"/>
      <c r="M433" s="383"/>
      <c r="N433" s="383"/>
      <c r="O433" s="383"/>
      <c r="P433" s="383"/>
      <c r="Q433" s="383"/>
      <c r="R433" s="383"/>
      <c r="S433" s="383"/>
      <c r="T433" s="383"/>
      <c r="U433" s="383"/>
      <c r="V433" s="139"/>
      <c r="W433" s="139"/>
      <c r="X433" s="139"/>
      <c r="Y433" s="139"/>
      <c r="Z433" s="139"/>
      <c r="AA433" s="139"/>
      <c r="AB433" s="139"/>
    </row>
    <row r="434" spans="3:29" ht="14.25" customHeight="1" thickBot="1" x14ac:dyDescent="0.25">
      <c r="N434" s="312"/>
      <c r="O434" s="312"/>
      <c r="P434" s="312"/>
      <c r="Q434" s="312"/>
      <c r="R434" s="312"/>
      <c r="S434" s="312"/>
      <c r="T434" s="312"/>
      <c r="U434" s="312"/>
    </row>
    <row r="435" spans="3:29" ht="14.25" customHeight="1" x14ac:dyDescent="0.2">
      <c r="H435" s="373" t="s">
        <v>914</v>
      </c>
      <c r="I435" s="374"/>
      <c r="J435" s="374"/>
      <c r="K435" s="374"/>
      <c r="L435" s="374"/>
      <c r="M435" s="374"/>
      <c r="N435" s="376" t="s">
        <v>915</v>
      </c>
      <c r="O435" s="377"/>
      <c r="P435" s="377"/>
      <c r="Q435" s="377"/>
      <c r="R435" s="378"/>
      <c r="S435" s="313" t="s">
        <v>916</v>
      </c>
      <c r="T435" s="313" t="s">
        <v>917</v>
      </c>
      <c r="U435" s="314"/>
      <c r="V435" s="315"/>
      <c r="W435" s="315"/>
      <c r="X435" s="315"/>
      <c r="Y435" s="315"/>
      <c r="Z435" s="315"/>
      <c r="AA435" s="315"/>
      <c r="AB435" s="316"/>
    </row>
    <row r="436" spans="3:29" ht="14.25" customHeight="1" x14ac:dyDescent="0.25">
      <c r="H436" s="355" t="s">
        <v>940</v>
      </c>
      <c r="I436" s="356"/>
      <c r="J436" s="356"/>
      <c r="K436" s="356"/>
      <c r="L436" s="356"/>
      <c r="M436" s="357"/>
      <c r="N436" s="384" t="s">
        <v>953</v>
      </c>
      <c r="O436" s="385"/>
      <c r="P436" s="385"/>
      <c r="Q436" s="385"/>
      <c r="R436" s="385"/>
      <c r="S436" s="317"/>
      <c r="T436" s="317"/>
      <c r="U436" s="318"/>
      <c r="V436" s="318"/>
      <c r="W436" s="318"/>
      <c r="X436" s="318"/>
      <c r="Y436" s="318"/>
      <c r="Z436" s="318"/>
      <c r="AA436" s="318"/>
      <c r="AB436" s="319"/>
      <c r="AC436" s="132" t="s">
        <v>954</v>
      </c>
    </row>
    <row r="437" spans="3:29" ht="14.25" customHeight="1" x14ac:dyDescent="0.2">
      <c r="H437" s="355" t="s">
        <v>883</v>
      </c>
      <c r="I437" s="356"/>
      <c r="J437" s="356"/>
      <c r="K437" s="356"/>
      <c r="L437" s="356"/>
      <c r="M437" s="357"/>
      <c r="N437" s="379" t="s">
        <v>955</v>
      </c>
      <c r="O437" s="380"/>
      <c r="P437" s="380"/>
      <c r="Q437" s="380"/>
      <c r="R437" s="380"/>
      <c r="S437" s="320"/>
      <c r="T437" s="320"/>
      <c r="U437" s="321"/>
      <c r="V437" s="321"/>
      <c r="W437" s="321"/>
      <c r="X437" s="321"/>
      <c r="Y437" s="321"/>
      <c r="Z437" s="321"/>
      <c r="AA437" s="321"/>
      <c r="AB437" s="322"/>
    </row>
    <row r="438" spans="3:29" ht="30.4" customHeight="1" x14ac:dyDescent="0.25">
      <c r="H438" s="355" t="s">
        <v>887</v>
      </c>
      <c r="I438" s="356"/>
      <c r="J438" s="356"/>
      <c r="K438" s="356"/>
      <c r="L438" s="356"/>
      <c r="M438" s="357"/>
      <c r="N438" s="370" t="s">
        <v>956</v>
      </c>
      <c r="O438" s="371"/>
      <c r="P438" s="371"/>
      <c r="Q438" s="371"/>
      <c r="R438" s="372"/>
      <c r="S438" s="323"/>
      <c r="T438" s="323"/>
      <c r="U438" s="324"/>
      <c r="V438" s="324"/>
      <c r="W438" s="324"/>
      <c r="X438" s="324"/>
      <c r="Y438" s="324"/>
      <c r="Z438" s="324"/>
      <c r="AA438" s="324"/>
      <c r="AB438" s="325"/>
      <c r="AC438" s="132" t="s">
        <v>957</v>
      </c>
    </row>
    <row r="439" spans="3:29" ht="32.65" customHeight="1" x14ac:dyDescent="0.25">
      <c r="H439" s="355" t="s">
        <v>922</v>
      </c>
      <c r="I439" s="356"/>
      <c r="J439" s="356"/>
      <c r="K439" s="356"/>
      <c r="L439" s="356"/>
      <c r="M439" s="357"/>
      <c r="N439" s="370" t="s">
        <v>956</v>
      </c>
      <c r="O439" s="371"/>
      <c r="P439" s="371"/>
      <c r="Q439" s="371"/>
      <c r="R439" s="372"/>
      <c r="S439" s="326"/>
      <c r="T439" s="326"/>
      <c r="U439" s="327"/>
      <c r="V439" s="327"/>
      <c r="W439" s="327"/>
      <c r="X439" s="327"/>
      <c r="Y439" s="327"/>
      <c r="Z439" s="327"/>
      <c r="AA439" s="327"/>
      <c r="AB439" s="328"/>
      <c r="AC439" s="132" t="s">
        <v>957</v>
      </c>
    </row>
    <row r="440" spans="3:29" ht="14.25" customHeight="1" x14ac:dyDescent="0.2">
      <c r="H440" s="355" t="s">
        <v>923</v>
      </c>
      <c r="I440" s="356"/>
      <c r="J440" s="356"/>
      <c r="K440" s="356"/>
      <c r="L440" s="356"/>
      <c r="M440" s="357"/>
      <c r="N440" s="360" t="s">
        <v>924</v>
      </c>
      <c r="O440" s="361"/>
      <c r="P440" s="361"/>
      <c r="Q440" s="361"/>
      <c r="R440" s="361"/>
      <c r="S440" s="329"/>
      <c r="T440" s="329"/>
      <c r="U440" s="330"/>
      <c r="V440" s="330"/>
      <c r="W440" s="330"/>
      <c r="X440" s="330"/>
      <c r="Y440" s="330"/>
      <c r="Z440" s="330"/>
      <c r="AA440" s="330"/>
      <c r="AB440" s="331"/>
    </row>
    <row r="441" spans="3:29" ht="14.25" customHeight="1" thickBot="1" x14ac:dyDescent="0.25">
      <c r="H441" s="362" t="s">
        <v>925</v>
      </c>
      <c r="I441" s="363"/>
      <c r="J441" s="363"/>
      <c r="K441" s="363"/>
      <c r="L441" s="363"/>
      <c r="M441" s="364"/>
      <c r="N441" s="365" t="s">
        <v>924</v>
      </c>
      <c r="O441" s="366"/>
      <c r="P441" s="366"/>
      <c r="Q441" s="366"/>
      <c r="R441" s="366"/>
      <c r="S441" s="332"/>
      <c r="T441" s="333"/>
      <c r="U441" s="333"/>
      <c r="V441" s="334"/>
      <c r="W441" s="334"/>
      <c r="X441" s="334"/>
      <c r="Y441" s="334"/>
      <c r="Z441" s="334"/>
      <c r="AA441" s="334"/>
      <c r="AB441" s="335"/>
    </row>
    <row r="442" spans="3:29" ht="14.25" customHeight="1" thickBot="1" x14ac:dyDescent="0.25">
      <c r="H442" s="381"/>
      <c r="I442" s="381"/>
      <c r="J442" s="381"/>
      <c r="K442" s="381"/>
      <c r="L442" s="381"/>
      <c r="M442" s="381"/>
      <c r="N442" s="336"/>
      <c r="O442" s="336"/>
      <c r="P442" s="336"/>
      <c r="Q442" s="336"/>
      <c r="R442" s="336"/>
      <c r="S442" s="336"/>
      <c r="T442" s="336"/>
      <c r="U442" s="337"/>
      <c r="V442" s="337"/>
      <c r="W442" s="337"/>
      <c r="X442" s="337"/>
      <c r="Y442" s="337"/>
      <c r="Z442" s="337"/>
      <c r="AA442" s="337"/>
      <c r="AB442" s="337"/>
    </row>
    <row r="443" spans="3:29" ht="14.25" customHeight="1" x14ac:dyDescent="0.2">
      <c r="H443" s="373" t="s">
        <v>926</v>
      </c>
      <c r="I443" s="374"/>
      <c r="J443" s="374"/>
      <c r="K443" s="374"/>
      <c r="L443" s="374"/>
      <c r="M443" s="375"/>
      <c r="N443" s="376" t="s">
        <v>915</v>
      </c>
      <c r="O443" s="377"/>
      <c r="P443" s="377"/>
      <c r="Q443" s="377"/>
      <c r="R443" s="378"/>
      <c r="S443" s="313" t="s">
        <v>916</v>
      </c>
      <c r="T443" s="313" t="s">
        <v>917</v>
      </c>
      <c r="U443" s="338"/>
      <c r="V443" s="338"/>
      <c r="W443" s="338"/>
      <c r="X443" s="338"/>
      <c r="Y443" s="338"/>
      <c r="Z443" s="338"/>
      <c r="AA443" s="338"/>
      <c r="AB443" s="339"/>
    </row>
    <row r="444" spans="3:29" ht="14.25" customHeight="1" x14ac:dyDescent="0.2">
      <c r="H444" s="355" t="s">
        <v>883</v>
      </c>
      <c r="I444" s="356"/>
      <c r="J444" s="356"/>
      <c r="K444" s="356"/>
      <c r="L444" s="356"/>
      <c r="M444" s="357"/>
      <c r="N444" s="358" t="s">
        <v>958</v>
      </c>
      <c r="O444" s="359"/>
      <c r="P444" s="359"/>
      <c r="Q444" s="359"/>
      <c r="R444" s="359"/>
      <c r="S444" s="329"/>
      <c r="T444" s="329"/>
      <c r="U444" s="330"/>
      <c r="V444" s="330"/>
      <c r="W444" s="330"/>
      <c r="X444" s="330"/>
      <c r="Y444" s="330"/>
      <c r="Z444" s="330"/>
      <c r="AA444" s="330"/>
      <c r="AB444" s="340"/>
    </row>
    <row r="445" spans="3:29" ht="14.25" customHeight="1" x14ac:dyDescent="0.2">
      <c r="H445" s="355" t="s">
        <v>887</v>
      </c>
      <c r="I445" s="356"/>
      <c r="J445" s="356"/>
      <c r="K445" s="356"/>
      <c r="L445" s="356"/>
      <c r="M445" s="357"/>
      <c r="N445" s="358" t="s">
        <v>959</v>
      </c>
      <c r="O445" s="359"/>
      <c r="P445" s="359"/>
      <c r="Q445" s="359"/>
      <c r="R445" s="359"/>
      <c r="S445" s="329"/>
      <c r="T445" s="329"/>
      <c r="U445" s="330"/>
      <c r="V445" s="330"/>
      <c r="W445" s="330"/>
      <c r="X445" s="330"/>
      <c r="Y445" s="330"/>
      <c r="Z445" s="330"/>
      <c r="AA445" s="330"/>
      <c r="AB445" s="340"/>
    </row>
    <row r="446" spans="3:29" ht="30.4" customHeight="1" x14ac:dyDescent="0.25">
      <c r="H446" s="367" t="s">
        <v>929</v>
      </c>
      <c r="I446" s="368"/>
      <c r="J446" s="368"/>
      <c r="K446" s="368"/>
      <c r="L446" s="368"/>
      <c r="M446" s="369"/>
      <c r="N446" s="370" t="s">
        <v>956</v>
      </c>
      <c r="O446" s="371"/>
      <c r="P446" s="371"/>
      <c r="Q446" s="371"/>
      <c r="R446" s="372"/>
      <c r="S446" s="256"/>
      <c r="T446" s="263"/>
      <c r="U446" s="256"/>
      <c r="V446" s="256"/>
      <c r="W446" s="256"/>
      <c r="X446" s="256"/>
      <c r="Y446" s="256"/>
      <c r="Z446" s="256"/>
      <c r="AA446" s="256"/>
      <c r="AB446" s="257"/>
    </row>
    <row r="447" spans="3:29" ht="30.75" customHeight="1" x14ac:dyDescent="0.2">
      <c r="H447" s="355" t="s">
        <v>922</v>
      </c>
      <c r="I447" s="356"/>
      <c r="J447" s="356"/>
      <c r="K447" s="356"/>
      <c r="L447" s="356"/>
      <c r="M447" s="357"/>
      <c r="N447" s="358" t="s">
        <v>959</v>
      </c>
      <c r="O447" s="359"/>
      <c r="P447" s="359"/>
      <c r="Q447" s="359"/>
      <c r="R447" s="359"/>
      <c r="S447" s="329"/>
      <c r="T447" s="329"/>
      <c r="U447" s="330"/>
      <c r="V447" s="330"/>
      <c r="W447" s="330"/>
      <c r="X447" s="330"/>
      <c r="Y447" s="330"/>
      <c r="Z447" s="330"/>
      <c r="AA447" s="330"/>
      <c r="AB447" s="340"/>
    </row>
    <row r="448" spans="3:29" ht="13.5" customHeight="1" x14ac:dyDescent="0.2">
      <c r="H448" s="355" t="s">
        <v>923</v>
      </c>
      <c r="I448" s="356"/>
      <c r="J448" s="356"/>
      <c r="K448" s="356"/>
      <c r="L448" s="356"/>
      <c r="M448" s="357"/>
      <c r="N448" s="360" t="s">
        <v>924</v>
      </c>
      <c r="O448" s="361"/>
      <c r="P448" s="361"/>
      <c r="Q448" s="361"/>
      <c r="R448" s="361"/>
      <c r="S448" s="329"/>
      <c r="T448" s="329"/>
      <c r="U448" s="330"/>
      <c r="V448" s="330"/>
      <c r="W448" s="330"/>
      <c r="X448" s="330"/>
      <c r="Y448" s="330"/>
      <c r="Z448" s="330"/>
      <c r="AA448" s="330"/>
      <c r="AB448" s="340"/>
    </row>
    <row r="449" spans="8:28" ht="14.25" customHeight="1" thickBot="1" x14ac:dyDescent="0.25">
      <c r="H449" s="362" t="s">
        <v>931</v>
      </c>
      <c r="I449" s="363"/>
      <c r="J449" s="363"/>
      <c r="K449" s="363"/>
      <c r="L449" s="363"/>
      <c r="M449" s="364"/>
      <c r="N449" s="365" t="s">
        <v>924</v>
      </c>
      <c r="O449" s="366"/>
      <c r="P449" s="366"/>
      <c r="Q449" s="366"/>
      <c r="R449" s="366"/>
      <c r="S449" s="333"/>
      <c r="T449" s="333"/>
      <c r="U449" s="333"/>
      <c r="V449" s="334"/>
      <c r="W449" s="334"/>
      <c r="X449" s="334"/>
      <c r="Y449" s="334"/>
      <c r="Z449" s="334"/>
      <c r="AA449" s="334"/>
      <c r="AB449" s="335"/>
    </row>
    <row r="453" spans="8:28" ht="14.25" customHeight="1" x14ac:dyDescent="0.2">
      <c r="S453" s="132" t="s">
        <v>821</v>
      </c>
    </row>
    <row r="455" spans="8:28" ht="14.25" customHeight="1" x14ac:dyDescent="0.2">
      <c r="N455" s="341"/>
    </row>
    <row r="457" spans="8:28" ht="14.25" customHeight="1" x14ac:dyDescent="0.2">
      <c r="M457" s="341"/>
    </row>
    <row r="702" spans="13:44" ht="14.25" customHeight="1" x14ac:dyDescent="0.2">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bestFit="1" customWidth="1"/>
    <col min="10" max="10" width="16.42578125" style="132" customWidth="1"/>
    <col min="11" max="11" width="55" style="132" bestFit="1" customWidth="1"/>
    <col min="12" max="12" width="22.42578125" style="132" customWidth="1"/>
    <col min="13" max="16" width="11.42578125" style="132" customWidth="1"/>
    <col min="17" max="17" width="12.42578125" style="132" customWidth="1"/>
    <col min="18" max="18" width="13.42578125" style="132" customWidth="1"/>
    <col min="19" max="19" width="14" style="132" customWidth="1"/>
    <col min="20" max="24" width="11.42578125" style="132" customWidth="1"/>
    <col min="25" max="25" width="9.42578125" style="132" bestFit="1" customWidth="1"/>
    <col min="26" max="45" width="11.42578125" style="132" customWidth="1"/>
    <col min="46" max="16384" width="9.42578125" style="132"/>
  </cols>
  <sheetData>
    <row r="1" spans="1:110" ht="18" x14ac:dyDescent="0.25">
      <c r="A1" s="130" t="s">
        <v>770</v>
      </c>
      <c r="B1" s="130"/>
      <c r="C1" s="130"/>
      <c r="D1" s="130"/>
      <c r="E1" s="130"/>
      <c r="F1" s="130"/>
      <c r="G1" s="130"/>
      <c r="H1" s="130"/>
      <c r="I1" s="131"/>
      <c r="M1" s="133" t="s">
        <v>793</v>
      </c>
    </row>
    <row r="2" spans="1:110" ht="14.25" customHeight="1" x14ac:dyDescent="0.25">
      <c r="A2"/>
      <c r="B2"/>
      <c r="C2"/>
      <c r="D2"/>
      <c r="E2"/>
      <c r="F2" s="134"/>
      <c r="G2" s="134"/>
      <c r="H2" s="134"/>
      <c r="I2" s="134"/>
      <c r="J2" s="134"/>
      <c r="K2" s="134"/>
      <c r="L2" s="134"/>
      <c r="M2" s="134"/>
      <c r="N2" s="134"/>
      <c r="O2" s="134"/>
      <c r="P2" s="134"/>
      <c r="Q2" s="134"/>
      <c r="R2" s="134"/>
      <c r="S2" s="134"/>
      <c r="T2" s="134"/>
      <c r="U2" s="135" t="s">
        <v>794</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25">
      <c r="A3"/>
      <c r="B3"/>
      <c r="C3"/>
      <c r="D3"/>
      <c r="E3"/>
      <c r="U3" s="136" t="s">
        <v>795</v>
      </c>
    </row>
    <row r="4" spans="1:110" ht="14.25" customHeight="1" x14ac:dyDescent="0.2">
      <c r="J4" s="137"/>
      <c r="U4" s="408" t="s">
        <v>796</v>
      </c>
    </row>
    <row r="5" spans="1:110" ht="14.25" customHeight="1" x14ac:dyDescent="0.2">
      <c r="U5" s="409"/>
    </row>
    <row r="7" spans="1:110" ht="14.25" customHeight="1" x14ac:dyDescent="0.25">
      <c r="B7" s="138" t="s">
        <v>797</v>
      </c>
      <c r="G7" s="383" t="s">
        <v>798</v>
      </c>
      <c r="H7" s="470"/>
      <c r="I7" s="470"/>
      <c r="J7" s="470"/>
      <c r="K7" s="470"/>
      <c r="L7" s="470"/>
      <c r="M7" s="470"/>
      <c r="N7" s="470"/>
      <c r="O7" s="470"/>
      <c r="P7" s="470"/>
      <c r="Q7" s="470"/>
      <c r="R7" s="470"/>
      <c r="S7" s="470"/>
      <c r="T7" s="470"/>
      <c r="U7" s="470"/>
      <c r="V7" s="470"/>
      <c r="W7" s="470"/>
      <c r="X7" s="471"/>
    </row>
    <row r="8" spans="1:110" ht="14.25" customHeight="1" thickBot="1" x14ac:dyDescent="0.25">
      <c r="G8" s="140"/>
      <c r="X8" s="141"/>
    </row>
    <row r="9" spans="1:110" ht="14.25" customHeight="1" thickBot="1" x14ac:dyDescent="0.25">
      <c r="G9" s="140"/>
      <c r="H9" s="472" t="s">
        <v>799</v>
      </c>
      <c r="J9" s="413" t="s">
        <v>800</v>
      </c>
      <c r="K9" s="414"/>
      <c r="L9" s="415"/>
      <c r="M9" s="474">
        <v>2021</v>
      </c>
      <c r="N9" s="475"/>
      <c r="O9" s="475"/>
      <c r="P9" s="476"/>
      <c r="R9" s="142"/>
      <c r="X9" s="141"/>
    </row>
    <row r="10" spans="1:110" ht="14.25" customHeight="1" thickBot="1" x14ac:dyDescent="0.3">
      <c r="G10" s="140"/>
      <c r="H10" s="473"/>
      <c r="J10" s="143" t="s">
        <v>801</v>
      </c>
      <c r="P10" s="141"/>
      <c r="R10"/>
      <c r="S10"/>
      <c r="T10"/>
      <c r="U10"/>
      <c r="V10"/>
      <c r="X10" s="141"/>
      <c r="AB10"/>
      <c r="AC10"/>
    </row>
    <row r="11" spans="1:110" ht="14.25" customHeight="1" x14ac:dyDescent="0.25">
      <c r="G11" s="140"/>
      <c r="H11" s="473"/>
      <c r="J11" s="144" t="s">
        <v>802</v>
      </c>
      <c r="K11" s="145"/>
      <c r="L11" s="145"/>
      <c r="M11" s="145"/>
      <c r="N11" s="145"/>
      <c r="P11"/>
      <c r="Q11"/>
      <c r="R11"/>
      <c r="S11"/>
      <c r="T11"/>
      <c r="X11" s="141"/>
    </row>
    <row r="12" spans="1:110" ht="13.5" customHeight="1" thickBot="1" x14ac:dyDescent="0.25">
      <c r="G12" s="140"/>
      <c r="H12" s="473"/>
      <c r="X12" s="141"/>
    </row>
    <row r="13" spans="1:110" ht="45.75" customHeight="1" thickBot="1" x14ac:dyDescent="0.25">
      <c r="G13" s="140"/>
      <c r="H13" s="473"/>
      <c r="J13" s="390" t="s">
        <v>803</v>
      </c>
      <c r="K13" s="147" t="s">
        <v>804</v>
      </c>
      <c r="L13" s="147" t="s">
        <v>805</v>
      </c>
      <c r="M13" s="147" t="s">
        <v>806</v>
      </c>
      <c r="N13" s="147" t="s">
        <v>807</v>
      </c>
      <c r="O13" s="147" t="s">
        <v>808</v>
      </c>
      <c r="P13" s="147" t="s">
        <v>809</v>
      </c>
      <c r="Q13" s="147" t="s">
        <v>810</v>
      </c>
      <c r="R13" s="147" t="s">
        <v>811</v>
      </c>
      <c r="X13" s="141"/>
    </row>
    <row r="14" spans="1:110" ht="14.25" customHeight="1" x14ac:dyDescent="0.2">
      <c r="G14" s="140"/>
      <c r="H14" s="473"/>
      <c r="J14" s="390"/>
      <c r="K14" s="148" t="s">
        <v>812</v>
      </c>
      <c r="L14" s="148" t="s">
        <v>813</v>
      </c>
      <c r="M14" s="148" t="s">
        <v>814</v>
      </c>
      <c r="N14" s="148" t="s">
        <v>815</v>
      </c>
      <c r="O14" s="148" t="s">
        <v>816</v>
      </c>
      <c r="P14" s="148" t="s">
        <v>814</v>
      </c>
      <c r="Q14" s="148" t="s">
        <v>817</v>
      </c>
      <c r="R14" s="149">
        <v>9.5</v>
      </c>
      <c r="S14" s="150"/>
      <c r="X14" s="141"/>
    </row>
    <row r="15" spans="1:110" ht="14.25" customHeight="1" x14ac:dyDescent="0.2">
      <c r="G15" s="140"/>
      <c r="H15" s="473"/>
      <c r="J15" s="390"/>
      <c r="K15" s="151" t="s">
        <v>818</v>
      </c>
      <c r="L15" s="151" t="s">
        <v>813</v>
      </c>
      <c r="M15" s="151" t="s">
        <v>819</v>
      </c>
      <c r="N15" s="151" t="s">
        <v>815</v>
      </c>
      <c r="O15" s="151" t="s">
        <v>816</v>
      </c>
      <c r="P15" s="151" t="s">
        <v>819</v>
      </c>
      <c r="Q15" s="151" t="s">
        <v>820</v>
      </c>
      <c r="R15" s="152">
        <v>8.9</v>
      </c>
      <c r="X15" s="141"/>
      <c r="AA15" s="132" t="s">
        <v>821</v>
      </c>
    </row>
    <row r="16" spans="1:110" ht="14.25" customHeight="1" x14ac:dyDescent="0.2">
      <c r="G16" s="140"/>
      <c r="H16" s="473"/>
      <c r="J16" s="390"/>
      <c r="K16" s="153" t="s">
        <v>822</v>
      </c>
      <c r="L16" s="153" t="s">
        <v>813</v>
      </c>
      <c r="M16" s="153" t="s">
        <v>823</v>
      </c>
      <c r="N16" s="153" t="s">
        <v>815</v>
      </c>
      <c r="O16" s="153" t="s">
        <v>816</v>
      </c>
      <c r="P16" s="153" t="s">
        <v>823</v>
      </c>
      <c r="Q16" s="153" t="s">
        <v>824</v>
      </c>
      <c r="R16" s="154">
        <v>8.6999999999999993</v>
      </c>
      <c r="X16" s="141"/>
    </row>
    <row r="17" spans="7:29" ht="14.25" customHeight="1" x14ac:dyDescent="0.2">
      <c r="G17" s="140"/>
      <c r="H17" s="473"/>
      <c r="J17" s="390"/>
      <c r="K17" s="151" t="s">
        <v>825</v>
      </c>
      <c r="L17" s="151" t="s">
        <v>813</v>
      </c>
      <c r="M17" s="151" t="s">
        <v>826</v>
      </c>
      <c r="N17" s="151" t="s">
        <v>815</v>
      </c>
      <c r="O17" s="151" t="s">
        <v>816</v>
      </c>
      <c r="P17" s="151" t="s">
        <v>826</v>
      </c>
      <c r="Q17" s="151" t="s">
        <v>827</v>
      </c>
      <c r="R17" s="152">
        <v>8.5</v>
      </c>
      <c r="X17" s="141"/>
    </row>
    <row r="18" spans="7:29" ht="14.25" customHeight="1" x14ac:dyDescent="0.2">
      <c r="G18" s="140"/>
      <c r="H18" s="473"/>
      <c r="J18" s="390"/>
      <c r="K18" s="153" t="s">
        <v>828</v>
      </c>
      <c r="L18" s="153" t="s">
        <v>813</v>
      </c>
      <c r="M18" s="153" t="s">
        <v>829</v>
      </c>
      <c r="N18" s="153" t="s">
        <v>815</v>
      </c>
      <c r="O18" s="153" t="s">
        <v>816</v>
      </c>
      <c r="P18" s="153" t="s">
        <v>829</v>
      </c>
      <c r="Q18" s="153" t="s">
        <v>830</v>
      </c>
      <c r="R18" s="154">
        <v>8.1999999999999993</v>
      </c>
    </row>
    <row r="19" spans="7:29" ht="14.25" customHeight="1" x14ac:dyDescent="0.2">
      <c r="G19" s="140"/>
      <c r="H19" s="473"/>
      <c r="J19" s="390"/>
      <c r="K19" s="155" t="s">
        <v>831</v>
      </c>
      <c r="L19" s="155" t="s">
        <v>813</v>
      </c>
      <c r="M19" s="155" t="s">
        <v>832</v>
      </c>
      <c r="N19" s="155" t="s">
        <v>815</v>
      </c>
      <c r="O19" s="155" t="s">
        <v>816</v>
      </c>
      <c r="P19" s="155" t="s">
        <v>832</v>
      </c>
      <c r="Q19" s="155" t="s">
        <v>833</v>
      </c>
      <c r="R19" s="156">
        <v>7.8</v>
      </c>
    </row>
    <row r="20" spans="7:29" ht="14.25" customHeight="1" x14ac:dyDescent="0.2">
      <c r="G20" s="140"/>
      <c r="H20" s="473"/>
      <c r="J20" s="390"/>
      <c r="K20" s="153" t="s">
        <v>834</v>
      </c>
      <c r="L20" s="153" t="s">
        <v>813</v>
      </c>
      <c r="M20" s="153" t="s">
        <v>835</v>
      </c>
      <c r="N20" s="153" t="s">
        <v>815</v>
      </c>
      <c r="O20" s="153" t="s">
        <v>816</v>
      </c>
      <c r="P20" s="153" t="s">
        <v>835</v>
      </c>
      <c r="Q20" s="153" t="s">
        <v>836</v>
      </c>
      <c r="R20" s="154">
        <v>7.4</v>
      </c>
    </row>
    <row r="21" spans="7:29" ht="14.25" customHeight="1" x14ac:dyDescent="0.2">
      <c r="G21" s="140"/>
      <c r="H21" s="473"/>
      <c r="J21" s="390"/>
      <c r="K21" s="151" t="s">
        <v>837</v>
      </c>
      <c r="L21" s="151" t="s">
        <v>838</v>
      </c>
      <c r="M21" s="151" t="s">
        <v>839</v>
      </c>
      <c r="N21" s="151" t="s">
        <v>815</v>
      </c>
      <c r="O21" s="151" t="s">
        <v>816</v>
      </c>
      <c r="P21" s="151" t="s">
        <v>839</v>
      </c>
      <c r="Q21" s="151" t="s">
        <v>840</v>
      </c>
      <c r="R21" s="152">
        <v>6.8</v>
      </c>
    </row>
    <row r="22" spans="7:29" ht="14.25" customHeight="1" x14ac:dyDescent="0.2">
      <c r="G22" s="140"/>
      <c r="H22" s="473"/>
      <c r="J22" s="390"/>
      <c r="K22" s="153" t="s">
        <v>841</v>
      </c>
      <c r="L22" s="153" t="s">
        <v>842</v>
      </c>
      <c r="M22" s="153" t="s">
        <v>843</v>
      </c>
      <c r="N22" s="153" t="s">
        <v>815</v>
      </c>
      <c r="O22" s="153" t="s">
        <v>816</v>
      </c>
      <c r="P22" s="153" t="s">
        <v>843</v>
      </c>
      <c r="Q22" s="153" t="s">
        <v>844</v>
      </c>
      <c r="R22" s="154">
        <v>6.2</v>
      </c>
    </row>
    <row r="23" spans="7:29" ht="14.25" customHeight="1" thickBot="1" x14ac:dyDescent="0.25">
      <c r="G23" s="140"/>
      <c r="H23" s="473"/>
      <c r="J23" s="390"/>
      <c r="K23" s="157" t="s">
        <v>845</v>
      </c>
      <c r="L23" s="157" t="s">
        <v>846</v>
      </c>
      <c r="M23" s="157" t="s">
        <v>847</v>
      </c>
      <c r="N23" s="157" t="s">
        <v>815</v>
      </c>
      <c r="O23" s="157" t="s">
        <v>816</v>
      </c>
      <c r="P23" s="157" t="s">
        <v>847</v>
      </c>
      <c r="Q23" s="157" t="s">
        <v>848</v>
      </c>
      <c r="R23" s="158">
        <v>5.2</v>
      </c>
    </row>
    <row r="24" spans="7:29" ht="14.25" customHeight="1" x14ac:dyDescent="0.2">
      <c r="G24" s="140"/>
      <c r="H24" s="473"/>
      <c r="J24" s="390"/>
    </row>
    <row r="25" spans="7:29" ht="14.25" customHeight="1" x14ac:dyDescent="0.2">
      <c r="G25" s="140"/>
      <c r="H25" s="473"/>
      <c r="J25" s="390"/>
      <c r="P25" s="132" t="s">
        <v>849</v>
      </c>
      <c r="U25" s="141"/>
    </row>
    <row r="26" spans="7:29" ht="14.25" customHeight="1" x14ac:dyDescent="0.2">
      <c r="G26" s="140"/>
    </row>
    <row r="27" spans="7:29" ht="14.25" customHeight="1" thickBot="1" x14ac:dyDescent="0.25">
      <c r="G27" s="140"/>
      <c r="Q27" s="132" t="s">
        <v>850</v>
      </c>
      <c r="S27" s="159" t="s">
        <v>962</v>
      </c>
    </row>
    <row r="28" spans="7:29" ht="14.25" customHeight="1" x14ac:dyDescent="0.2">
      <c r="G28" s="140"/>
      <c r="H28" s="462" t="s">
        <v>851</v>
      </c>
      <c r="J28" s="396" t="s">
        <v>852</v>
      </c>
      <c r="K28" s="397"/>
      <c r="L28" s="397"/>
      <c r="M28" s="397"/>
      <c r="N28" s="397"/>
      <c r="O28" s="398"/>
      <c r="Q28" s="132" t="s">
        <v>853</v>
      </c>
      <c r="S28" s="160">
        <v>20</v>
      </c>
    </row>
    <row r="29" spans="7:29" ht="14.25" customHeight="1" thickBot="1" x14ac:dyDescent="0.25">
      <c r="G29" s="140"/>
      <c r="H29" s="463"/>
      <c r="J29" s="161" t="s">
        <v>854</v>
      </c>
      <c r="K29" s="162"/>
      <c r="L29" s="162"/>
      <c r="M29" s="162"/>
      <c r="N29" s="162"/>
      <c r="O29" s="163">
        <v>20</v>
      </c>
      <c r="Z29" s="164"/>
      <c r="AA29" s="164"/>
      <c r="AB29" s="164"/>
      <c r="AC29" s="164"/>
    </row>
    <row r="30" spans="7:29" ht="14.25" customHeight="1" x14ac:dyDescent="0.2">
      <c r="G30" s="140"/>
      <c r="H30" s="463"/>
      <c r="J30" s="165" t="s">
        <v>855</v>
      </c>
      <c r="K30" s="166"/>
      <c r="L30" s="166"/>
      <c r="M30" s="166"/>
      <c r="N30" s="166"/>
      <c r="O30" s="167">
        <v>5</v>
      </c>
    </row>
    <row r="31" spans="7:29" ht="14.25" customHeight="1" thickBot="1" x14ac:dyDescent="0.25">
      <c r="G31" s="140"/>
      <c r="H31" s="463"/>
      <c r="J31" s="464" t="s">
        <v>856</v>
      </c>
      <c r="K31" s="465"/>
      <c r="L31" s="465"/>
      <c r="M31" s="465"/>
      <c r="N31" s="465"/>
      <c r="O31" s="168">
        <v>0.02</v>
      </c>
    </row>
    <row r="32" spans="7:29" ht="14.25" customHeight="1" x14ac:dyDescent="0.2">
      <c r="G32" s="140"/>
      <c r="H32" s="463"/>
      <c r="J32" s="169" t="s">
        <v>857</v>
      </c>
      <c r="K32" s="170"/>
      <c r="L32" s="170"/>
      <c r="N32" s="171"/>
      <c r="O32" s="172">
        <v>3</v>
      </c>
    </row>
    <row r="33" spans="7:42" ht="26.25" customHeight="1" x14ac:dyDescent="0.2">
      <c r="G33" s="140"/>
      <c r="H33" s="463"/>
      <c r="J33" s="173" t="s">
        <v>172</v>
      </c>
      <c r="K33" s="174" t="s">
        <v>858</v>
      </c>
      <c r="L33" s="466" t="s">
        <v>859</v>
      </c>
      <c r="M33" s="468" t="s">
        <v>860</v>
      </c>
    </row>
    <row r="34" spans="7:42" ht="26.25" customHeight="1" x14ac:dyDescent="0.2">
      <c r="G34" s="140"/>
      <c r="H34" s="463"/>
      <c r="J34" s="175" t="s">
        <v>861</v>
      </c>
      <c r="K34" s="176" t="s">
        <v>862</v>
      </c>
      <c r="L34" s="467"/>
      <c r="M34" s="469"/>
    </row>
    <row r="35" spans="7:42" ht="14.25" customHeight="1" x14ac:dyDescent="0.2">
      <c r="G35" s="140"/>
      <c r="H35" s="463"/>
      <c r="J35" s="177">
        <v>0</v>
      </c>
      <c r="K35" s="178">
        <v>0.8</v>
      </c>
      <c r="L35" s="178">
        <v>0.8</v>
      </c>
      <c r="M35" s="179">
        <v>0.19999999999999996</v>
      </c>
    </row>
    <row r="36" spans="7:42" ht="14.25" customHeight="1" x14ac:dyDescent="0.2">
      <c r="G36" s="140"/>
      <c r="H36" s="463"/>
      <c r="J36" s="180">
        <v>1</v>
      </c>
      <c r="K36" s="181">
        <v>0.1</v>
      </c>
      <c r="L36" s="181">
        <v>0.8</v>
      </c>
      <c r="M36" s="179">
        <v>0.19999999999999996</v>
      </c>
      <c r="O36" s="182"/>
    </row>
    <row r="37" spans="7:42" ht="14.25" customHeight="1" thickBot="1" x14ac:dyDescent="0.25">
      <c r="G37" s="140"/>
      <c r="H37" s="463"/>
      <c r="J37" s="183">
        <v>2</v>
      </c>
      <c r="K37" s="184">
        <v>0.1</v>
      </c>
      <c r="L37" s="184">
        <v>0.8</v>
      </c>
      <c r="M37" s="185">
        <v>0.19999999999999996</v>
      </c>
    </row>
    <row r="38" spans="7:42" ht="14.25" customHeight="1" x14ac:dyDescent="0.2">
      <c r="G38" s="140"/>
      <c r="H38" s="463"/>
      <c r="M38" s="186"/>
    </row>
    <row r="39" spans="7:42" ht="14.25" customHeight="1" x14ac:dyDescent="0.25">
      <c r="H39" s="463"/>
      <c r="P39"/>
      <c r="Q39"/>
      <c r="R39"/>
      <c r="S39"/>
      <c r="T39"/>
    </row>
    <row r="40" spans="7:42" ht="14.25" customHeight="1" x14ac:dyDescent="0.2">
      <c r="H40" s="463"/>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2">
      <c r="H41" s="463"/>
      <c r="J41" s="390" t="s">
        <v>863</v>
      </c>
      <c r="K41" s="187" t="s">
        <v>864</v>
      </c>
      <c r="L41" s="187" t="s">
        <v>865</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2">
      <c r="H42" s="463"/>
      <c r="J42" s="390"/>
      <c r="K42" s="187" t="s">
        <v>866</v>
      </c>
      <c r="L42" s="187" t="s">
        <v>867</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2">
      <c r="H43" s="463"/>
      <c r="J43" s="390"/>
      <c r="K43" s="187" t="s">
        <v>866</v>
      </c>
      <c r="L43" s="187" t="s">
        <v>868</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2">
      <c r="H44" s="463"/>
      <c r="J44" s="390"/>
      <c r="K44" s="187" t="s">
        <v>866</v>
      </c>
      <c r="L44" s="187" t="s">
        <v>869</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25">
      <c r="H45" s="463"/>
      <c r="J45" s="390"/>
      <c r="K45" s="187" t="s">
        <v>870</v>
      </c>
      <c r="L45" s="187" t="s">
        <v>867</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25">
      <c r="H46" s="463"/>
      <c r="J46" s="390"/>
      <c r="K46" s="187" t="s">
        <v>870</v>
      </c>
      <c r="L46" s="187" t="s">
        <v>868</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25">
      <c r="H47" s="463"/>
      <c r="J47" s="390"/>
      <c r="K47" s="187" t="s">
        <v>870</v>
      </c>
      <c r="L47" s="187" t="s">
        <v>869</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2">
      <c r="H48" s="463"/>
      <c r="J48" s="390"/>
      <c r="K48" s="187" t="s">
        <v>871</v>
      </c>
      <c r="L48" s="187" t="s">
        <v>865</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2">
      <c r="H49" s="463"/>
      <c r="J49" s="390"/>
      <c r="K49" s="187" t="s">
        <v>872</v>
      </c>
      <c r="L49" s="187" t="s">
        <v>867</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2">
      <c r="H50" s="463"/>
      <c r="J50" s="390"/>
      <c r="K50" s="187" t="s">
        <v>872</v>
      </c>
      <c r="L50" s="187" t="s">
        <v>868</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2">
      <c r="H51" s="463"/>
      <c r="J51" s="390"/>
      <c r="K51" s="187" t="s">
        <v>872</v>
      </c>
      <c r="L51" s="187" t="s">
        <v>869</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25">
      <c r="H52" s="463"/>
      <c r="J52" s="390"/>
      <c r="K52" s="187" t="s">
        <v>873</v>
      </c>
      <c r="L52" s="187" t="s">
        <v>867</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25">
      <c r="H53" s="463"/>
      <c r="J53" s="390"/>
      <c r="K53" s="187" t="s">
        <v>873</v>
      </c>
      <c r="L53" s="187" t="s">
        <v>868</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25">
      <c r="H54" s="463"/>
      <c r="J54" s="390"/>
      <c r="K54" s="187" t="s">
        <v>873</v>
      </c>
      <c r="L54" s="187" t="s">
        <v>869</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2">
      <c r="H55" s="463"/>
      <c r="J55" s="390"/>
      <c r="K55" s="187" t="s">
        <v>874</v>
      </c>
      <c r="L55" s="187" t="s">
        <v>867</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2">
      <c r="H56" s="463"/>
      <c r="J56" s="390"/>
      <c r="K56" s="187" t="s">
        <v>874</v>
      </c>
      <c r="L56" s="187" t="s">
        <v>868</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2">
      <c r="H57" s="463"/>
      <c r="J57" s="390"/>
      <c r="K57" s="187" t="s">
        <v>874</v>
      </c>
      <c r="L57" s="187" t="s">
        <v>869</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2">
      <c r="H58" s="463"/>
      <c r="J58" s="390"/>
      <c r="K58" s="187" t="s">
        <v>875</v>
      </c>
      <c r="L58" s="187" t="s">
        <v>865</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2">
      <c r="H59" s="463"/>
      <c r="J59" s="390"/>
      <c r="K59" s="187" t="s">
        <v>876</v>
      </c>
      <c r="L59" s="187" t="s">
        <v>867</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2">
      <c r="H60" s="463"/>
      <c r="J60" s="390"/>
      <c r="K60" s="187" t="s">
        <v>876</v>
      </c>
      <c r="L60" s="187" t="s">
        <v>868</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2">
      <c r="H61" s="463"/>
      <c r="J61" s="390"/>
      <c r="K61" s="187" t="s">
        <v>876</v>
      </c>
      <c r="L61" s="187" t="s">
        <v>869</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25">
      <c r="H62" s="463"/>
      <c r="J62" s="390"/>
      <c r="K62" s="187" t="s">
        <v>877</v>
      </c>
      <c r="L62" s="187" t="s">
        <v>867</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25">
      <c r="H63" s="463"/>
      <c r="J63" s="390"/>
      <c r="K63" s="187" t="s">
        <v>877</v>
      </c>
      <c r="L63" s="187" t="s">
        <v>868</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25">
      <c r="H64" s="463"/>
      <c r="J64" s="390"/>
      <c r="K64" s="187" t="s">
        <v>877</v>
      </c>
      <c r="L64" s="187" t="s">
        <v>869</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2">
      <c r="H65" s="463"/>
      <c r="J65" s="390"/>
      <c r="K65" s="191" t="s">
        <v>878</v>
      </c>
      <c r="L65" s="187" t="s">
        <v>867</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2">
      <c r="H66" s="463"/>
      <c r="J66" s="390"/>
      <c r="K66" s="191" t="s">
        <v>878</v>
      </c>
      <c r="L66" s="187" t="s">
        <v>868</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2">
      <c r="H67" s="463"/>
      <c r="J67" s="390"/>
      <c r="K67" s="191" t="s">
        <v>878</v>
      </c>
      <c r="L67" s="187" t="s">
        <v>869</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2">
      <c r="H68" s="463"/>
      <c r="J68" s="390"/>
      <c r="K68" s="191" t="s">
        <v>879</v>
      </c>
      <c r="L68" s="187" t="s">
        <v>867</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2">
      <c r="H69" s="463"/>
      <c r="J69" s="146"/>
      <c r="K69" s="191" t="s">
        <v>879</v>
      </c>
      <c r="L69" s="187" t="s">
        <v>868</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2">
      <c r="H70" s="463"/>
      <c r="J70" s="146"/>
      <c r="K70" s="191" t="s">
        <v>879</v>
      </c>
      <c r="L70" s="187" t="s">
        <v>869</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
      <c r="X71" s="192"/>
    </row>
    <row r="72" spans="4:44" ht="14.25" customHeight="1" x14ac:dyDescent="0.2">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2">
      <c r="D73" s="138" t="s">
        <v>797</v>
      </c>
      <c r="G73" s="383" t="s">
        <v>880</v>
      </c>
      <c r="H73" s="383"/>
      <c r="I73" s="383"/>
      <c r="J73" s="383"/>
      <c r="K73" s="383"/>
      <c r="L73" s="383"/>
      <c r="M73" s="383"/>
      <c r="N73" s="383"/>
      <c r="O73" s="383"/>
      <c r="P73" s="383"/>
      <c r="Q73" s="383"/>
      <c r="R73" s="383"/>
      <c r="S73" s="383"/>
      <c r="T73" s="383"/>
      <c r="U73" s="383"/>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
      <c r="G74" s="140"/>
      <c r="M74" s="132" t="s">
        <v>881</v>
      </c>
    </row>
    <row r="75" spans="4:44" ht="14.25" customHeight="1" thickBot="1" x14ac:dyDescent="0.25">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2">
      <c r="G76" s="140"/>
      <c r="H76" s="393" t="s">
        <v>882</v>
      </c>
      <c r="J76" s="353" t="s">
        <v>883</v>
      </c>
      <c r="K76" s="196" t="s">
        <v>812</v>
      </c>
      <c r="L76" s="196" t="s">
        <v>867</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2">
      <c r="G77" s="140"/>
      <c r="H77" s="393"/>
      <c r="J77" s="354"/>
      <c r="K77" s="137" t="s">
        <v>812</v>
      </c>
      <c r="L77" s="187" t="s">
        <v>868</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25">
      <c r="G78" s="140"/>
      <c r="H78" s="393"/>
      <c r="J78" s="354"/>
      <c r="K78" s="198" t="s">
        <v>812</v>
      </c>
      <c r="L78" s="198" t="s">
        <v>869</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2">
      <c r="G79" s="140"/>
      <c r="H79" s="393"/>
      <c r="J79" s="354"/>
      <c r="K79" s="196" t="s">
        <v>818</v>
      </c>
      <c r="L79" s="196" t="s">
        <v>867</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2">
      <c r="G80" s="140"/>
      <c r="H80" s="393"/>
      <c r="J80" s="354"/>
      <c r="K80" s="137" t="s">
        <v>818</v>
      </c>
      <c r="L80" s="187" t="s">
        <v>868</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25">
      <c r="G81" s="140"/>
      <c r="H81" s="393"/>
      <c r="J81" s="354"/>
      <c r="K81" s="198" t="s">
        <v>818</v>
      </c>
      <c r="L81" s="198" t="s">
        <v>869</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2">
      <c r="G82" s="140"/>
      <c r="H82" s="393"/>
      <c r="J82" s="354"/>
      <c r="K82" s="196" t="s">
        <v>822</v>
      </c>
      <c r="L82" s="196" t="s">
        <v>867</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2">
      <c r="G83" s="140"/>
      <c r="H83" s="393"/>
      <c r="J83" s="354"/>
      <c r="K83" s="137" t="s">
        <v>822</v>
      </c>
      <c r="L83" s="187" t="s">
        <v>868</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25">
      <c r="G84" s="140"/>
      <c r="H84" s="393"/>
      <c r="J84" s="354"/>
      <c r="K84" s="198" t="s">
        <v>822</v>
      </c>
      <c r="L84" s="198" t="s">
        <v>869</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2">
      <c r="G85" s="140"/>
      <c r="H85" s="393"/>
      <c r="J85" s="354"/>
      <c r="K85" s="196" t="s">
        <v>825</v>
      </c>
      <c r="L85" s="196" t="s">
        <v>867</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2">
      <c r="G86" s="140"/>
      <c r="H86" s="393"/>
      <c r="J86" s="354"/>
      <c r="K86" s="137" t="s">
        <v>825</v>
      </c>
      <c r="L86" s="187" t="s">
        <v>868</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25">
      <c r="G87" s="140"/>
      <c r="H87" s="393"/>
      <c r="J87" s="354"/>
      <c r="K87" s="198" t="s">
        <v>825</v>
      </c>
      <c r="L87" s="198" t="s">
        <v>869</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2">
      <c r="G88" s="140"/>
      <c r="H88" s="393"/>
      <c r="J88" s="354"/>
      <c r="K88" s="196" t="s">
        <v>828</v>
      </c>
      <c r="L88" s="196" t="s">
        <v>867</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2">
      <c r="G89" s="140"/>
      <c r="H89" s="393"/>
      <c r="J89" s="354"/>
      <c r="K89" s="137" t="s">
        <v>828</v>
      </c>
      <c r="L89" s="187" t="s">
        <v>868</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25">
      <c r="G90" s="140"/>
      <c r="H90" s="393"/>
      <c r="J90" s="354"/>
      <c r="K90" s="198" t="s">
        <v>828</v>
      </c>
      <c r="L90" s="198" t="s">
        <v>869</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2">
      <c r="G91" s="140"/>
      <c r="H91" s="393"/>
      <c r="J91" s="354"/>
      <c r="K91" s="196" t="s">
        <v>831</v>
      </c>
      <c r="L91" s="196" t="s">
        <v>867</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2">
      <c r="G92" s="140"/>
      <c r="H92" s="393"/>
      <c r="J92" s="354"/>
      <c r="K92" s="137" t="s">
        <v>831</v>
      </c>
      <c r="L92" s="187" t="s">
        <v>868</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25">
      <c r="G93" s="140"/>
      <c r="H93" s="393"/>
      <c r="J93" s="354"/>
      <c r="K93" s="198" t="s">
        <v>831</v>
      </c>
      <c r="L93" s="198" t="s">
        <v>869</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2">
      <c r="G94" s="140"/>
      <c r="H94" s="393"/>
      <c r="J94" s="354"/>
      <c r="K94" s="196" t="s">
        <v>834</v>
      </c>
      <c r="L94" s="196" t="s">
        <v>867</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2">
      <c r="G95" s="140"/>
      <c r="H95" s="393"/>
      <c r="J95" s="354"/>
      <c r="K95" s="137" t="s">
        <v>834</v>
      </c>
      <c r="L95" s="187" t="s">
        <v>868</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25">
      <c r="G96" s="140"/>
      <c r="H96" s="393"/>
      <c r="J96" s="354"/>
      <c r="K96" s="198" t="s">
        <v>834</v>
      </c>
      <c r="L96" s="198" t="s">
        <v>869</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2">
      <c r="G97" s="140"/>
      <c r="H97" s="393"/>
      <c r="J97" s="354"/>
      <c r="K97" s="196" t="s">
        <v>837</v>
      </c>
      <c r="L97" s="196" t="s">
        <v>867</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2">
      <c r="G98" s="140"/>
      <c r="H98" s="393"/>
      <c r="J98" s="354"/>
      <c r="K98" s="137" t="s">
        <v>837</v>
      </c>
      <c r="L98" s="187" t="s">
        <v>868</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25">
      <c r="G99" s="140"/>
      <c r="H99" s="393"/>
      <c r="J99" s="354"/>
      <c r="K99" s="198" t="s">
        <v>837</v>
      </c>
      <c r="L99" s="198" t="s">
        <v>869</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2">
      <c r="G100" s="140"/>
      <c r="H100" s="393"/>
      <c r="J100" s="354"/>
      <c r="K100" s="196" t="s">
        <v>841</v>
      </c>
      <c r="L100" s="196" t="s">
        <v>867</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25">
      <c r="G101" s="140"/>
      <c r="H101" s="393"/>
      <c r="J101" s="354"/>
      <c r="K101" s="137" t="s">
        <v>841</v>
      </c>
      <c r="L101" s="187" t="s">
        <v>868</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25">
      <c r="G102" s="140"/>
      <c r="H102" s="393"/>
      <c r="J102" s="354"/>
      <c r="K102" s="198" t="s">
        <v>841</v>
      </c>
      <c r="L102" s="198" t="s">
        <v>869</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2">
      <c r="G103" s="140"/>
      <c r="H103" s="393"/>
      <c r="J103" s="354"/>
      <c r="K103" s="196" t="s">
        <v>845</v>
      </c>
      <c r="L103" s="196" t="s">
        <v>867</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2">
      <c r="G104" s="140"/>
      <c r="H104" s="393"/>
      <c r="J104" s="354"/>
      <c r="K104" s="137" t="s">
        <v>845</v>
      </c>
      <c r="L104" s="187" t="s">
        <v>868</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2">
      <c r="G105" s="140"/>
      <c r="H105" s="393"/>
      <c r="J105" s="387"/>
      <c r="K105" s="198" t="s">
        <v>845</v>
      </c>
      <c r="L105" s="198" t="s">
        <v>869</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2">
      <c r="G106" s="140"/>
      <c r="H106" s="393"/>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
      <c r="G107" s="140"/>
      <c r="H107" s="393"/>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2">
      <c r="G108" s="140"/>
      <c r="H108" s="393"/>
      <c r="J108" s="353" t="s">
        <v>884</v>
      </c>
      <c r="K108" s="196" t="s">
        <v>812</v>
      </c>
      <c r="L108" s="196" t="s">
        <v>867</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2">
      <c r="G109" s="140"/>
      <c r="H109" s="393"/>
      <c r="J109" s="354"/>
      <c r="K109" s="137" t="s">
        <v>812</v>
      </c>
      <c r="L109" s="187" t="s">
        <v>868</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25">
      <c r="G110" s="140"/>
      <c r="H110" s="393"/>
      <c r="J110" s="354"/>
      <c r="K110" s="198" t="s">
        <v>812</v>
      </c>
      <c r="L110" s="198" t="s">
        <v>869</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2">
      <c r="G111" s="140"/>
      <c r="H111" s="393"/>
      <c r="J111" s="354"/>
      <c r="K111" s="196" t="s">
        <v>818</v>
      </c>
      <c r="L111" s="196" t="s">
        <v>867</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2">
      <c r="G112" s="140"/>
      <c r="H112" s="393"/>
      <c r="J112" s="354"/>
      <c r="K112" s="137" t="s">
        <v>818</v>
      </c>
      <c r="L112" s="187" t="s">
        <v>868</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25">
      <c r="G113" s="140"/>
      <c r="H113" s="393"/>
      <c r="J113" s="354"/>
      <c r="K113" s="198" t="s">
        <v>818</v>
      </c>
      <c r="L113" s="198" t="s">
        <v>869</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2">
      <c r="G114" s="140"/>
      <c r="H114" s="393"/>
      <c r="J114" s="354"/>
      <c r="K114" s="196" t="s">
        <v>822</v>
      </c>
      <c r="L114" s="196" t="s">
        <v>867</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2">
      <c r="G115" s="140"/>
      <c r="H115" s="393"/>
      <c r="J115" s="354"/>
      <c r="K115" s="137" t="s">
        <v>822</v>
      </c>
      <c r="L115" s="187" t="s">
        <v>868</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25">
      <c r="G116" s="140"/>
      <c r="H116" s="393"/>
      <c r="J116" s="354"/>
      <c r="K116" s="198" t="s">
        <v>822</v>
      </c>
      <c r="L116" s="198" t="s">
        <v>869</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2">
      <c r="G117" s="140"/>
      <c r="H117" s="393"/>
      <c r="J117" s="354"/>
      <c r="K117" s="196" t="s">
        <v>825</v>
      </c>
      <c r="L117" s="196" t="s">
        <v>867</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2">
      <c r="G118" s="140"/>
      <c r="H118" s="393"/>
      <c r="J118" s="354"/>
      <c r="K118" s="137" t="s">
        <v>825</v>
      </c>
      <c r="L118" s="187" t="s">
        <v>868</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25">
      <c r="G119" s="140"/>
      <c r="H119" s="393"/>
      <c r="J119" s="354"/>
      <c r="K119" s="198" t="s">
        <v>825</v>
      </c>
      <c r="L119" s="198" t="s">
        <v>869</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2">
      <c r="G120" s="140"/>
      <c r="H120" s="393"/>
      <c r="J120" s="354"/>
      <c r="K120" s="196" t="s">
        <v>828</v>
      </c>
      <c r="L120" s="196" t="s">
        <v>867</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2">
      <c r="G121" s="140"/>
      <c r="H121" s="393"/>
      <c r="J121" s="354"/>
      <c r="K121" s="137" t="s">
        <v>828</v>
      </c>
      <c r="L121" s="187" t="s">
        <v>868</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25">
      <c r="G122" s="140"/>
      <c r="H122" s="393"/>
      <c r="J122" s="354"/>
      <c r="K122" s="198" t="s">
        <v>828</v>
      </c>
      <c r="L122" s="198" t="s">
        <v>869</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2">
      <c r="G123" s="140"/>
      <c r="H123" s="393"/>
      <c r="J123" s="354"/>
      <c r="K123" s="196" t="s">
        <v>831</v>
      </c>
      <c r="L123" s="196" t="s">
        <v>867</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25">
      <c r="A124" s="132"/>
      <c r="B124" s="132"/>
      <c r="C124" s="132"/>
      <c r="D124" s="132"/>
      <c r="E124" s="132"/>
      <c r="F124" s="132"/>
      <c r="G124" s="140"/>
      <c r="H124" s="393"/>
      <c r="I124" s="132"/>
      <c r="J124" s="354"/>
      <c r="K124" s="137" t="s">
        <v>831</v>
      </c>
      <c r="L124" s="187" t="s">
        <v>868</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25">
      <c r="A125" s="132"/>
      <c r="B125" s="132"/>
      <c r="C125" s="132"/>
      <c r="D125" s="132"/>
      <c r="E125" s="132"/>
      <c r="F125" s="132"/>
      <c r="G125" s="140"/>
      <c r="H125" s="393"/>
      <c r="I125" s="132"/>
      <c r="J125" s="354"/>
      <c r="K125" s="198" t="s">
        <v>831</v>
      </c>
      <c r="L125" s="198" t="s">
        <v>869</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2">
      <c r="G126" s="140"/>
      <c r="H126" s="393"/>
      <c r="J126" s="354"/>
      <c r="K126" s="196" t="s">
        <v>834</v>
      </c>
      <c r="L126" s="196" t="s">
        <v>867</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2">
      <c r="G127" s="140"/>
      <c r="H127" s="393"/>
      <c r="J127" s="354"/>
      <c r="K127" s="137" t="s">
        <v>834</v>
      </c>
      <c r="L127" s="187" t="s">
        <v>868</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25">
      <c r="G128" s="140"/>
      <c r="H128" s="393"/>
      <c r="J128" s="354"/>
      <c r="K128" s="198" t="s">
        <v>834</v>
      </c>
      <c r="L128" s="198" t="s">
        <v>869</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2">
      <c r="G129" s="140"/>
      <c r="H129" s="393"/>
      <c r="J129" s="354"/>
      <c r="K129" s="196" t="s">
        <v>837</v>
      </c>
      <c r="L129" s="196" t="s">
        <v>867</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2">
      <c r="G130" s="140"/>
      <c r="H130" s="393"/>
      <c r="J130" s="354"/>
      <c r="K130" s="137" t="s">
        <v>837</v>
      </c>
      <c r="L130" s="187" t="s">
        <v>868</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25">
      <c r="G131" s="140"/>
      <c r="H131" s="393"/>
      <c r="J131" s="354"/>
      <c r="K131" s="198" t="s">
        <v>837</v>
      </c>
      <c r="L131" s="198" t="s">
        <v>869</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2">
      <c r="G132" s="140"/>
      <c r="H132" s="393"/>
      <c r="J132" s="354"/>
      <c r="K132" s="196" t="s">
        <v>841</v>
      </c>
      <c r="L132" s="196" t="s">
        <v>867</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2">
      <c r="G133" s="140"/>
      <c r="H133" s="393"/>
      <c r="J133" s="354"/>
      <c r="K133" s="137" t="s">
        <v>841</v>
      </c>
      <c r="L133" s="187" t="s">
        <v>868</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25">
      <c r="G134" s="140"/>
      <c r="H134" s="393"/>
      <c r="J134" s="354"/>
      <c r="K134" s="198" t="s">
        <v>841</v>
      </c>
      <c r="L134" s="198" t="s">
        <v>869</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2">
      <c r="G135" s="140"/>
      <c r="H135" s="393"/>
      <c r="J135" s="354"/>
      <c r="K135" s="196" t="s">
        <v>845</v>
      </c>
      <c r="L135" s="196" t="s">
        <v>867</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2">
      <c r="G136" s="140"/>
      <c r="H136" s="393"/>
      <c r="J136" s="354"/>
      <c r="K136" s="137" t="s">
        <v>845</v>
      </c>
      <c r="L136" s="187" t="s">
        <v>868</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2">
      <c r="G137" s="140"/>
      <c r="H137" s="393"/>
      <c r="J137" s="387"/>
      <c r="K137" s="198" t="s">
        <v>845</v>
      </c>
      <c r="L137" s="198" t="s">
        <v>869</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2">
      <c r="G138" s="140"/>
      <c r="H138" s="393"/>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
      <c r="G139" s="140"/>
      <c r="H139" s="393"/>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2">
      <c r="G140" s="140"/>
      <c r="H140" s="393"/>
      <c r="J140" s="353" t="s">
        <v>885</v>
      </c>
      <c r="K140" s="196" t="s">
        <v>812</v>
      </c>
      <c r="L140" s="196" t="s">
        <v>867</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2">
      <c r="G141" s="140"/>
      <c r="H141" s="393"/>
      <c r="J141" s="354"/>
      <c r="K141" s="137" t="s">
        <v>812</v>
      </c>
      <c r="L141" s="187" t="s">
        <v>868</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25">
      <c r="G142" s="140"/>
      <c r="H142" s="393"/>
      <c r="J142" s="354"/>
      <c r="K142" s="198" t="s">
        <v>812</v>
      </c>
      <c r="L142" s="198" t="s">
        <v>869</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2">
      <c r="G143" s="140"/>
      <c r="H143" s="393"/>
      <c r="J143" s="354"/>
      <c r="K143" s="196" t="s">
        <v>818</v>
      </c>
      <c r="L143" s="196" t="s">
        <v>867</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2">
      <c r="G144" s="140"/>
      <c r="H144" s="393"/>
      <c r="J144" s="354"/>
      <c r="K144" s="137" t="s">
        <v>818</v>
      </c>
      <c r="L144" s="187" t="s">
        <v>868</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25">
      <c r="G145" s="140"/>
      <c r="H145" s="393"/>
      <c r="J145" s="354"/>
      <c r="K145" s="198" t="s">
        <v>818</v>
      </c>
      <c r="L145" s="198" t="s">
        <v>869</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2">
      <c r="G146" s="140"/>
      <c r="H146" s="393"/>
      <c r="J146" s="354"/>
      <c r="K146" s="196" t="s">
        <v>822</v>
      </c>
      <c r="L146" s="196" t="s">
        <v>867</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2">
      <c r="G147" s="140"/>
      <c r="H147" s="393"/>
      <c r="J147" s="354"/>
      <c r="K147" s="137" t="s">
        <v>822</v>
      </c>
      <c r="L147" s="187" t="s">
        <v>868</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25">
      <c r="G148" s="140"/>
      <c r="H148" s="393"/>
      <c r="J148" s="354"/>
      <c r="K148" s="198" t="s">
        <v>822</v>
      </c>
      <c r="L148" s="198" t="s">
        <v>869</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2">
      <c r="G149" s="140"/>
      <c r="H149" s="393"/>
      <c r="J149" s="354"/>
      <c r="K149" s="196" t="s">
        <v>825</v>
      </c>
      <c r="L149" s="196" t="s">
        <v>867</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2">
      <c r="G150" s="140"/>
      <c r="H150" s="393"/>
      <c r="J150" s="354"/>
      <c r="K150" s="137" t="s">
        <v>825</v>
      </c>
      <c r="L150" s="187" t="s">
        <v>868</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25">
      <c r="G151" s="140"/>
      <c r="H151" s="393"/>
      <c r="J151" s="354"/>
      <c r="K151" s="198" t="s">
        <v>825</v>
      </c>
      <c r="L151" s="198" t="s">
        <v>869</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2">
      <c r="G152" s="140"/>
      <c r="H152" s="393"/>
      <c r="J152" s="354"/>
      <c r="K152" s="196" t="s">
        <v>828</v>
      </c>
      <c r="L152" s="196" t="s">
        <v>867</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2">
      <c r="G153" s="140"/>
      <c r="H153" s="393"/>
      <c r="J153" s="354"/>
      <c r="K153" s="137" t="s">
        <v>828</v>
      </c>
      <c r="L153" s="187" t="s">
        <v>868</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25">
      <c r="G154" s="140"/>
      <c r="H154" s="393"/>
      <c r="J154" s="354"/>
      <c r="K154" s="198" t="s">
        <v>828</v>
      </c>
      <c r="L154" s="198" t="s">
        <v>869</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2">
      <c r="G155" s="140"/>
      <c r="H155" s="393"/>
      <c r="J155" s="354"/>
      <c r="K155" s="196" t="s">
        <v>831</v>
      </c>
      <c r="L155" s="196" t="s">
        <v>867</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2">
      <c r="G156" s="140"/>
      <c r="H156" s="393"/>
      <c r="J156" s="354"/>
      <c r="K156" s="137" t="s">
        <v>831</v>
      </c>
      <c r="L156" s="187" t="s">
        <v>868</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25">
      <c r="G157" s="140"/>
      <c r="H157" s="393"/>
      <c r="J157" s="354"/>
      <c r="K157" s="198" t="s">
        <v>831</v>
      </c>
      <c r="L157" s="198" t="s">
        <v>869</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2">
      <c r="G158" s="140"/>
      <c r="H158" s="393"/>
      <c r="J158" s="354"/>
      <c r="K158" s="196" t="s">
        <v>834</v>
      </c>
      <c r="L158" s="196" t="s">
        <v>867</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2">
      <c r="G159" s="140"/>
      <c r="H159" s="393"/>
      <c r="J159" s="354"/>
      <c r="K159" s="137" t="s">
        <v>834</v>
      </c>
      <c r="L159" s="187" t="s">
        <v>868</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25">
      <c r="G160" s="140"/>
      <c r="H160" s="393"/>
      <c r="J160" s="354"/>
      <c r="K160" s="198" t="s">
        <v>834</v>
      </c>
      <c r="L160" s="198" t="s">
        <v>869</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2">
      <c r="G161" s="140"/>
      <c r="H161" s="393"/>
      <c r="J161" s="354"/>
      <c r="K161" s="196" t="s">
        <v>837</v>
      </c>
      <c r="L161" s="196" t="s">
        <v>867</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2">
      <c r="G162" s="140"/>
      <c r="H162" s="393"/>
      <c r="J162" s="354"/>
      <c r="K162" s="137" t="s">
        <v>837</v>
      </c>
      <c r="L162" s="187" t="s">
        <v>868</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25">
      <c r="G163" s="140"/>
      <c r="H163" s="393"/>
      <c r="J163" s="354"/>
      <c r="K163" s="198" t="s">
        <v>837</v>
      </c>
      <c r="L163" s="198" t="s">
        <v>869</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2">
      <c r="G164" s="140"/>
      <c r="H164" s="393"/>
      <c r="J164" s="354"/>
      <c r="K164" s="196" t="s">
        <v>841</v>
      </c>
      <c r="L164" s="196" t="s">
        <v>867</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2">
      <c r="G165" s="140"/>
      <c r="H165" s="393"/>
      <c r="J165" s="354"/>
      <c r="K165" s="137" t="s">
        <v>841</v>
      </c>
      <c r="L165" s="187" t="s">
        <v>868</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25">
      <c r="G166" s="140"/>
      <c r="H166" s="393"/>
      <c r="J166" s="354"/>
      <c r="K166" s="198" t="s">
        <v>841</v>
      </c>
      <c r="L166" s="198" t="s">
        <v>869</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2">
      <c r="G167" s="140"/>
      <c r="H167" s="393"/>
      <c r="J167" s="354"/>
      <c r="K167" s="196" t="s">
        <v>845</v>
      </c>
      <c r="L167" s="196" t="s">
        <v>867</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2">
      <c r="G168" s="140"/>
      <c r="H168" s="393"/>
      <c r="J168" s="354"/>
      <c r="K168" s="137" t="s">
        <v>845</v>
      </c>
      <c r="L168" s="187" t="s">
        <v>868</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2">
      <c r="G169" s="140"/>
      <c r="H169" s="393"/>
      <c r="J169" s="387"/>
      <c r="K169" s="198" t="s">
        <v>845</v>
      </c>
      <c r="L169" s="198" t="s">
        <v>869</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2">
      <c r="G170" s="140"/>
      <c r="H170" s="393"/>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
      <c r="G171" s="140"/>
      <c r="H171" s="393"/>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2">
      <c r="G172" s="140"/>
      <c r="H172" s="393"/>
      <c r="J172" s="353" t="s">
        <v>886</v>
      </c>
      <c r="K172" s="196" t="s">
        <v>812</v>
      </c>
      <c r="L172" s="196" t="s">
        <v>867</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2">
      <c r="G173" s="140"/>
      <c r="H173" s="393"/>
      <c r="J173" s="354"/>
      <c r="K173" s="137" t="s">
        <v>812</v>
      </c>
      <c r="L173" s="187" t="s">
        <v>868</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25">
      <c r="G174" s="140"/>
      <c r="H174" s="393"/>
      <c r="J174" s="354"/>
      <c r="K174" s="198" t="s">
        <v>812</v>
      </c>
      <c r="L174" s="198" t="s">
        <v>869</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2">
      <c r="G175" s="140"/>
      <c r="H175" s="393"/>
      <c r="J175" s="354"/>
      <c r="K175" s="196" t="s">
        <v>818</v>
      </c>
      <c r="L175" s="196" t="s">
        <v>867</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2">
      <c r="G176" s="140"/>
      <c r="H176" s="393"/>
      <c r="J176" s="354"/>
      <c r="K176" s="137" t="s">
        <v>818</v>
      </c>
      <c r="L176" s="187" t="s">
        <v>868</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25">
      <c r="G177" s="140"/>
      <c r="H177" s="393"/>
      <c r="J177" s="354"/>
      <c r="K177" s="198" t="s">
        <v>818</v>
      </c>
      <c r="L177" s="198" t="s">
        <v>869</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2">
      <c r="G178" s="140"/>
      <c r="H178" s="393"/>
      <c r="J178" s="354"/>
      <c r="K178" s="196" t="s">
        <v>822</v>
      </c>
      <c r="L178" s="196" t="s">
        <v>867</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2">
      <c r="G179" s="140"/>
      <c r="H179" s="393"/>
      <c r="J179" s="354"/>
      <c r="K179" s="137" t="s">
        <v>822</v>
      </c>
      <c r="L179" s="187" t="s">
        <v>868</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25">
      <c r="G180" s="140"/>
      <c r="H180" s="393"/>
      <c r="J180" s="354"/>
      <c r="K180" s="198" t="s">
        <v>822</v>
      </c>
      <c r="L180" s="198" t="s">
        <v>869</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2">
      <c r="G181" s="140"/>
      <c r="H181" s="393"/>
      <c r="J181" s="354"/>
      <c r="K181" s="196" t="s">
        <v>825</v>
      </c>
      <c r="L181" s="196" t="s">
        <v>867</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2">
      <c r="G182" s="140"/>
      <c r="H182" s="393"/>
      <c r="J182" s="354"/>
      <c r="K182" s="137" t="s">
        <v>825</v>
      </c>
      <c r="L182" s="187" t="s">
        <v>868</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25">
      <c r="G183" s="140"/>
      <c r="H183" s="393"/>
      <c r="J183" s="354"/>
      <c r="K183" s="198" t="s">
        <v>825</v>
      </c>
      <c r="L183" s="198" t="s">
        <v>869</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2">
      <c r="G184" s="140"/>
      <c r="H184" s="393"/>
      <c r="J184" s="354"/>
      <c r="K184" s="196" t="s">
        <v>828</v>
      </c>
      <c r="L184" s="196" t="s">
        <v>867</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2">
      <c r="G185" s="140"/>
      <c r="H185" s="393"/>
      <c r="J185" s="354"/>
      <c r="K185" s="137" t="s">
        <v>828</v>
      </c>
      <c r="L185" s="187" t="s">
        <v>868</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25">
      <c r="G186" s="140"/>
      <c r="H186" s="393"/>
      <c r="J186" s="354"/>
      <c r="K186" s="198" t="s">
        <v>828</v>
      </c>
      <c r="L186" s="198" t="s">
        <v>869</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2">
      <c r="G187" s="140"/>
      <c r="H187" s="393"/>
      <c r="J187" s="354"/>
      <c r="K187" s="196" t="s">
        <v>831</v>
      </c>
      <c r="L187" s="196" t="s">
        <v>867</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2">
      <c r="G188" s="140"/>
      <c r="H188" s="393"/>
      <c r="J188" s="354"/>
      <c r="K188" s="137" t="s">
        <v>831</v>
      </c>
      <c r="L188" s="187" t="s">
        <v>868</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25">
      <c r="G189" s="140"/>
      <c r="H189" s="393"/>
      <c r="J189" s="354"/>
      <c r="K189" s="198" t="s">
        <v>831</v>
      </c>
      <c r="L189" s="198" t="s">
        <v>869</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2">
      <c r="G190" s="140"/>
      <c r="H190" s="393"/>
      <c r="J190" s="354"/>
      <c r="K190" s="196" t="s">
        <v>834</v>
      </c>
      <c r="L190" s="196" t="s">
        <v>867</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2">
      <c r="G191" s="140"/>
      <c r="H191" s="393"/>
      <c r="J191" s="354"/>
      <c r="K191" s="137" t="s">
        <v>834</v>
      </c>
      <c r="L191" s="187" t="s">
        <v>868</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25">
      <c r="G192" s="140"/>
      <c r="H192" s="393"/>
      <c r="J192" s="354"/>
      <c r="K192" s="198" t="s">
        <v>834</v>
      </c>
      <c r="L192" s="198" t="s">
        <v>869</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2">
      <c r="G193" s="140"/>
      <c r="H193" s="393"/>
      <c r="J193" s="354"/>
      <c r="K193" s="196" t="s">
        <v>837</v>
      </c>
      <c r="L193" s="196" t="s">
        <v>867</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2">
      <c r="G194" s="140"/>
      <c r="H194" s="393"/>
      <c r="J194" s="354"/>
      <c r="K194" s="137" t="s">
        <v>837</v>
      </c>
      <c r="L194" s="187" t="s">
        <v>868</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25">
      <c r="G195" s="140"/>
      <c r="H195" s="393"/>
      <c r="J195" s="354"/>
      <c r="K195" s="198" t="s">
        <v>837</v>
      </c>
      <c r="L195" s="198" t="s">
        <v>869</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2">
      <c r="G196" s="140"/>
      <c r="H196" s="393"/>
      <c r="J196" s="354"/>
      <c r="K196" s="196" t="s">
        <v>841</v>
      </c>
      <c r="L196" s="196" t="s">
        <v>867</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2">
      <c r="G197" s="140"/>
      <c r="H197" s="393"/>
      <c r="J197" s="354"/>
      <c r="K197" s="137" t="s">
        <v>841</v>
      </c>
      <c r="L197" s="187" t="s">
        <v>868</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25">
      <c r="G198" s="140"/>
      <c r="H198" s="393"/>
      <c r="J198" s="354"/>
      <c r="K198" s="198" t="s">
        <v>841</v>
      </c>
      <c r="L198" s="198" t="s">
        <v>869</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2">
      <c r="G199" s="140"/>
      <c r="H199" s="393"/>
      <c r="J199" s="354"/>
      <c r="K199" s="196" t="s">
        <v>845</v>
      </c>
      <c r="L199" s="196" t="s">
        <v>867</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2">
      <c r="G200" s="140"/>
      <c r="H200" s="393"/>
      <c r="J200" s="354"/>
      <c r="K200" s="137" t="s">
        <v>845</v>
      </c>
      <c r="L200" s="187" t="s">
        <v>868</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2">
      <c r="G201" s="140"/>
      <c r="H201" s="393"/>
      <c r="J201" s="387"/>
      <c r="K201" s="198" t="s">
        <v>845</v>
      </c>
      <c r="L201" s="198" t="s">
        <v>869</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2">
      <c r="G202" s="140"/>
      <c r="H202" s="393"/>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2">
      <c r="G203" s="140"/>
      <c r="H203" s="393"/>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2">
      <c r="G204" s="140"/>
      <c r="H204" s="393"/>
      <c r="J204" s="353" t="s">
        <v>887</v>
      </c>
      <c r="K204" s="196" t="s">
        <v>812</v>
      </c>
      <c r="L204" s="196" t="s">
        <v>867</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2">
      <c r="G205" s="140"/>
      <c r="H205" s="393"/>
      <c r="J205" s="354"/>
      <c r="K205" s="137" t="s">
        <v>812</v>
      </c>
      <c r="L205" s="187" t="s">
        <v>868</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25">
      <c r="G206" s="140"/>
      <c r="H206" s="393"/>
      <c r="J206" s="354"/>
      <c r="K206" s="198" t="s">
        <v>812</v>
      </c>
      <c r="L206" s="198" t="s">
        <v>869</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2">
      <c r="G207" s="140"/>
      <c r="H207" s="393"/>
      <c r="J207" s="354"/>
      <c r="K207" s="196" t="s">
        <v>818</v>
      </c>
      <c r="L207" s="196" t="s">
        <v>867</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2">
      <c r="G208" s="140"/>
      <c r="H208" s="393"/>
      <c r="J208" s="354"/>
      <c r="K208" s="137" t="s">
        <v>818</v>
      </c>
      <c r="L208" s="187" t="s">
        <v>868</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25">
      <c r="G209" s="140"/>
      <c r="H209" s="393"/>
      <c r="J209" s="354"/>
      <c r="K209" s="198" t="s">
        <v>818</v>
      </c>
      <c r="L209" s="198" t="s">
        <v>869</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2">
      <c r="G210" s="140"/>
      <c r="H210" s="393"/>
      <c r="J210" s="354"/>
      <c r="K210" s="196" t="s">
        <v>822</v>
      </c>
      <c r="L210" s="196" t="s">
        <v>867</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2">
      <c r="G211" s="140"/>
      <c r="H211" s="393"/>
      <c r="J211" s="354"/>
      <c r="K211" s="137" t="s">
        <v>822</v>
      </c>
      <c r="L211" s="187" t="s">
        <v>868</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25">
      <c r="G212" s="140"/>
      <c r="H212" s="393"/>
      <c r="J212" s="354"/>
      <c r="K212" s="198" t="s">
        <v>822</v>
      </c>
      <c r="L212" s="198" t="s">
        <v>869</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2">
      <c r="G213" s="140"/>
      <c r="H213" s="393"/>
      <c r="J213" s="354"/>
      <c r="K213" s="196" t="s">
        <v>825</v>
      </c>
      <c r="L213" s="196" t="s">
        <v>867</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2">
      <c r="G214" s="140"/>
      <c r="H214" s="393"/>
      <c r="J214" s="354"/>
      <c r="K214" s="137" t="s">
        <v>825</v>
      </c>
      <c r="L214" s="187" t="s">
        <v>868</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25">
      <c r="G215" s="140"/>
      <c r="H215" s="393"/>
      <c r="J215" s="354"/>
      <c r="K215" s="198" t="s">
        <v>825</v>
      </c>
      <c r="L215" s="198" t="s">
        <v>869</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2">
      <c r="G216" s="140"/>
      <c r="H216" s="393"/>
      <c r="J216" s="354"/>
      <c r="K216" s="196" t="s">
        <v>828</v>
      </c>
      <c r="L216" s="196" t="s">
        <v>867</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2">
      <c r="G217" s="140"/>
      <c r="H217" s="393"/>
      <c r="J217" s="354"/>
      <c r="K217" s="137" t="s">
        <v>828</v>
      </c>
      <c r="L217" s="187" t="s">
        <v>868</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25">
      <c r="G218" s="140"/>
      <c r="H218" s="393"/>
      <c r="J218" s="354"/>
      <c r="K218" s="198" t="s">
        <v>828</v>
      </c>
      <c r="L218" s="198" t="s">
        <v>869</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2">
      <c r="G219" s="140"/>
      <c r="H219" s="393"/>
      <c r="J219" s="354"/>
      <c r="K219" s="196" t="s">
        <v>831</v>
      </c>
      <c r="L219" s="196" t="s">
        <v>867</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2">
      <c r="G220" s="140"/>
      <c r="H220" s="393"/>
      <c r="J220" s="354"/>
      <c r="K220" s="137" t="s">
        <v>831</v>
      </c>
      <c r="L220" s="187" t="s">
        <v>868</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25">
      <c r="G221" s="140"/>
      <c r="H221" s="393"/>
      <c r="J221" s="354"/>
      <c r="K221" s="198" t="s">
        <v>831</v>
      </c>
      <c r="L221" s="198" t="s">
        <v>869</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2">
      <c r="G222" s="140"/>
      <c r="H222" s="393"/>
      <c r="J222" s="354"/>
      <c r="K222" s="196" t="s">
        <v>834</v>
      </c>
      <c r="L222" s="196" t="s">
        <v>867</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2">
      <c r="G223" s="140"/>
      <c r="H223" s="393"/>
      <c r="J223" s="354"/>
      <c r="K223" s="137" t="s">
        <v>834</v>
      </c>
      <c r="L223" s="187" t="s">
        <v>868</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25">
      <c r="G224" s="140"/>
      <c r="H224" s="393"/>
      <c r="J224" s="354"/>
      <c r="K224" s="198" t="s">
        <v>834</v>
      </c>
      <c r="L224" s="198" t="s">
        <v>869</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2">
      <c r="G225" s="140"/>
      <c r="H225" s="393"/>
      <c r="J225" s="354"/>
      <c r="K225" s="196" t="s">
        <v>837</v>
      </c>
      <c r="L225" s="196" t="s">
        <v>867</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2">
      <c r="G226" s="140"/>
      <c r="H226" s="393"/>
      <c r="J226" s="354"/>
      <c r="K226" s="137" t="s">
        <v>837</v>
      </c>
      <c r="L226" s="187" t="s">
        <v>868</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25">
      <c r="G227" s="140"/>
      <c r="H227" s="393"/>
      <c r="J227" s="354"/>
      <c r="K227" s="198" t="s">
        <v>837</v>
      </c>
      <c r="L227" s="198" t="s">
        <v>869</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2">
      <c r="G228" s="140"/>
      <c r="H228" s="393"/>
      <c r="J228" s="354"/>
      <c r="K228" s="196" t="s">
        <v>841</v>
      </c>
      <c r="L228" s="196" t="s">
        <v>867</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2">
      <c r="G229" s="140"/>
      <c r="H229" s="393"/>
      <c r="J229" s="354"/>
      <c r="K229" s="137" t="s">
        <v>841</v>
      </c>
      <c r="L229" s="187" t="s">
        <v>868</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25">
      <c r="G230" s="140"/>
      <c r="H230" s="393"/>
      <c r="J230" s="354"/>
      <c r="K230" s="198" t="s">
        <v>841</v>
      </c>
      <c r="L230" s="198" t="s">
        <v>869</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2">
      <c r="G231" s="140"/>
      <c r="H231" s="393"/>
      <c r="J231" s="354"/>
      <c r="K231" s="196" t="s">
        <v>845</v>
      </c>
      <c r="L231" s="196" t="s">
        <v>867</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2">
      <c r="G232" s="140"/>
      <c r="H232" s="393"/>
      <c r="J232" s="354"/>
      <c r="K232" s="137" t="s">
        <v>845</v>
      </c>
      <c r="L232" s="187" t="s">
        <v>868</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25">
      <c r="G233" s="140"/>
      <c r="H233" s="393"/>
      <c r="J233" s="387"/>
      <c r="K233" s="198" t="s">
        <v>845</v>
      </c>
      <c r="L233" s="198" t="s">
        <v>869</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2">
      <c r="G234" s="140"/>
      <c r="H234" s="393"/>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2">
      <c r="G235" s="140"/>
      <c r="H235" s="393"/>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2">
      <c r="G236" s="140"/>
      <c r="H236" s="393"/>
      <c r="J236" s="353" t="s">
        <v>888</v>
      </c>
      <c r="K236" s="196" t="s">
        <v>812</v>
      </c>
      <c r="L236" s="196" t="s">
        <v>867</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2">
      <c r="G237" s="140"/>
      <c r="H237" s="393"/>
      <c r="J237" s="354"/>
      <c r="K237" s="137" t="s">
        <v>812</v>
      </c>
      <c r="L237" s="187" t="s">
        <v>868</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25">
      <c r="G238" s="140"/>
      <c r="H238" s="393"/>
      <c r="J238" s="354"/>
      <c r="K238" s="198" t="s">
        <v>812</v>
      </c>
      <c r="L238" s="198" t="s">
        <v>869</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2">
      <c r="G239" s="140"/>
      <c r="H239" s="393"/>
      <c r="J239" s="354"/>
      <c r="K239" s="196" t="s">
        <v>818</v>
      </c>
      <c r="L239" s="196" t="s">
        <v>867</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2">
      <c r="G240" s="140"/>
      <c r="H240" s="393"/>
      <c r="J240" s="354"/>
      <c r="K240" s="137" t="s">
        <v>818</v>
      </c>
      <c r="L240" s="187" t="s">
        <v>868</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25">
      <c r="G241" s="140"/>
      <c r="H241" s="393"/>
      <c r="J241" s="354"/>
      <c r="K241" s="198" t="s">
        <v>818</v>
      </c>
      <c r="L241" s="198" t="s">
        <v>869</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2">
      <c r="G242" s="140"/>
      <c r="H242" s="393"/>
      <c r="J242" s="354"/>
      <c r="K242" s="196" t="s">
        <v>822</v>
      </c>
      <c r="L242" s="196" t="s">
        <v>867</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2">
      <c r="G243" s="140"/>
      <c r="H243" s="393"/>
      <c r="J243" s="354"/>
      <c r="K243" s="137" t="s">
        <v>822</v>
      </c>
      <c r="L243" s="187" t="s">
        <v>868</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25">
      <c r="G244" s="140"/>
      <c r="H244" s="393"/>
      <c r="J244" s="354"/>
      <c r="K244" s="198" t="s">
        <v>822</v>
      </c>
      <c r="L244" s="198" t="s">
        <v>869</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2">
      <c r="G245" s="140"/>
      <c r="H245" s="393"/>
      <c r="J245" s="354"/>
      <c r="K245" s="196" t="s">
        <v>825</v>
      </c>
      <c r="L245" s="196" t="s">
        <v>867</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2">
      <c r="G246" s="140"/>
      <c r="H246" s="393"/>
      <c r="J246" s="354"/>
      <c r="K246" s="137" t="s">
        <v>825</v>
      </c>
      <c r="L246" s="187" t="s">
        <v>868</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25">
      <c r="G247" s="140"/>
      <c r="H247" s="393"/>
      <c r="J247" s="354"/>
      <c r="K247" s="198" t="s">
        <v>825</v>
      </c>
      <c r="L247" s="198" t="s">
        <v>869</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2">
      <c r="G248" s="140"/>
      <c r="H248" s="393"/>
      <c r="J248" s="354"/>
      <c r="K248" s="196" t="s">
        <v>828</v>
      </c>
      <c r="L248" s="196" t="s">
        <v>867</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2">
      <c r="G249" s="140"/>
      <c r="H249" s="393"/>
      <c r="J249" s="354"/>
      <c r="K249" s="137" t="s">
        <v>828</v>
      </c>
      <c r="L249" s="187" t="s">
        <v>868</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25">
      <c r="G250" s="140"/>
      <c r="H250" s="393"/>
      <c r="J250" s="354"/>
      <c r="K250" s="198" t="s">
        <v>828</v>
      </c>
      <c r="L250" s="198" t="s">
        <v>869</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2">
      <c r="G251" s="140"/>
      <c r="H251" s="393"/>
      <c r="J251" s="354"/>
      <c r="K251" s="196" t="s">
        <v>831</v>
      </c>
      <c r="L251" s="196" t="s">
        <v>867</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2">
      <c r="G252" s="140"/>
      <c r="H252" s="393"/>
      <c r="J252" s="354"/>
      <c r="K252" s="137" t="s">
        <v>831</v>
      </c>
      <c r="L252" s="187" t="s">
        <v>868</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25">
      <c r="G253" s="140"/>
      <c r="H253" s="393"/>
      <c r="J253" s="354"/>
      <c r="K253" s="198" t="s">
        <v>831</v>
      </c>
      <c r="L253" s="198" t="s">
        <v>869</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2">
      <c r="G254" s="140"/>
      <c r="H254" s="393"/>
      <c r="J254" s="354"/>
      <c r="K254" s="196" t="s">
        <v>834</v>
      </c>
      <c r="L254" s="196" t="s">
        <v>867</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2">
      <c r="G255" s="140"/>
      <c r="H255" s="393"/>
      <c r="J255" s="354"/>
      <c r="K255" s="137" t="s">
        <v>834</v>
      </c>
      <c r="L255" s="187" t="s">
        <v>868</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25">
      <c r="G256" s="140"/>
      <c r="H256" s="393"/>
      <c r="J256" s="354"/>
      <c r="K256" s="198" t="s">
        <v>834</v>
      </c>
      <c r="L256" s="198" t="s">
        <v>869</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2">
      <c r="G257" s="140"/>
      <c r="H257" s="393"/>
      <c r="J257" s="354"/>
      <c r="K257" s="196" t="s">
        <v>837</v>
      </c>
      <c r="L257" s="196" t="s">
        <v>867</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2">
      <c r="G258" s="140"/>
      <c r="H258" s="393"/>
      <c r="J258" s="354"/>
      <c r="K258" s="137" t="s">
        <v>837</v>
      </c>
      <c r="L258" s="187" t="s">
        <v>868</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25">
      <c r="G259" s="140"/>
      <c r="H259" s="393"/>
      <c r="J259" s="354"/>
      <c r="K259" s="198" t="s">
        <v>837</v>
      </c>
      <c r="L259" s="198" t="s">
        <v>869</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2">
      <c r="G260" s="140"/>
      <c r="H260" s="393"/>
      <c r="J260" s="354"/>
      <c r="K260" s="196" t="s">
        <v>841</v>
      </c>
      <c r="L260" s="196" t="s">
        <v>867</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2">
      <c r="G261" s="140"/>
      <c r="H261" s="393"/>
      <c r="J261" s="354"/>
      <c r="K261" s="137" t="s">
        <v>841</v>
      </c>
      <c r="L261" s="187" t="s">
        <v>868</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25">
      <c r="G262" s="140"/>
      <c r="H262" s="393"/>
      <c r="J262" s="354"/>
      <c r="K262" s="198" t="s">
        <v>841</v>
      </c>
      <c r="L262" s="198" t="s">
        <v>869</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2">
      <c r="G263" s="140"/>
      <c r="H263" s="393"/>
      <c r="J263" s="354"/>
      <c r="K263" s="196" t="s">
        <v>845</v>
      </c>
      <c r="L263" s="196" t="s">
        <v>867</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2">
      <c r="G264" s="140"/>
      <c r="H264" s="393"/>
      <c r="J264" s="354"/>
      <c r="K264" s="137" t="s">
        <v>845</v>
      </c>
      <c r="L264" s="187" t="s">
        <v>868</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25">
      <c r="G265" s="140"/>
      <c r="H265" s="393"/>
      <c r="J265" s="387"/>
      <c r="K265" s="198" t="s">
        <v>845</v>
      </c>
      <c r="L265" s="198" t="s">
        <v>869</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2">
      <c r="G266" s="140"/>
      <c r="H266" s="393"/>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
      <c r="G267" s="140"/>
      <c r="H267" s="393"/>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2">
      <c r="G268" s="140"/>
      <c r="H268" s="393"/>
      <c r="J268" s="353" t="s">
        <v>889</v>
      </c>
      <c r="K268" s="196" t="s">
        <v>812</v>
      </c>
      <c r="L268" s="196" t="s">
        <v>867</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2">
      <c r="G269" s="140"/>
      <c r="H269" s="393"/>
      <c r="J269" s="354"/>
      <c r="K269" s="137" t="s">
        <v>812</v>
      </c>
      <c r="L269" s="187" t="s">
        <v>868</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25">
      <c r="G270" s="140"/>
      <c r="H270" s="393"/>
      <c r="J270" s="354"/>
      <c r="K270" s="198" t="s">
        <v>812</v>
      </c>
      <c r="L270" s="198" t="s">
        <v>869</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2">
      <c r="G271" s="140"/>
      <c r="H271" s="393"/>
      <c r="J271" s="354"/>
      <c r="K271" s="196" t="s">
        <v>818</v>
      </c>
      <c r="L271" s="196" t="s">
        <v>867</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2">
      <c r="G272" s="140"/>
      <c r="H272" s="393"/>
      <c r="J272" s="354"/>
      <c r="K272" s="137" t="s">
        <v>818</v>
      </c>
      <c r="L272" s="187" t="s">
        <v>868</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25">
      <c r="G273" s="140"/>
      <c r="H273" s="393"/>
      <c r="J273" s="354"/>
      <c r="K273" s="198" t="s">
        <v>818</v>
      </c>
      <c r="L273" s="198" t="s">
        <v>869</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2">
      <c r="G274" s="140"/>
      <c r="H274" s="393"/>
      <c r="J274" s="354"/>
      <c r="K274" s="196" t="s">
        <v>822</v>
      </c>
      <c r="L274" s="196" t="s">
        <v>867</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2">
      <c r="G275" s="140"/>
      <c r="H275" s="393"/>
      <c r="J275" s="354"/>
      <c r="K275" s="137" t="s">
        <v>822</v>
      </c>
      <c r="L275" s="187" t="s">
        <v>868</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25">
      <c r="G276" s="140"/>
      <c r="H276" s="393"/>
      <c r="J276" s="354"/>
      <c r="K276" s="198" t="s">
        <v>822</v>
      </c>
      <c r="L276" s="198" t="s">
        <v>869</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2">
      <c r="G277" s="140"/>
      <c r="H277" s="393"/>
      <c r="J277" s="354"/>
      <c r="K277" s="196" t="s">
        <v>825</v>
      </c>
      <c r="L277" s="196" t="s">
        <v>867</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2">
      <c r="G278" s="140"/>
      <c r="H278" s="393"/>
      <c r="J278" s="354"/>
      <c r="K278" s="137" t="s">
        <v>825</v>
      </c>
      <c r="L278" s="187" t="s">
        <v>868</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25">
      <c r="G279" s="140"/>
      <c r="H279" s="393"/>
      <c r="J279" s="354"/>
      <c r="K279" s="198" t="s">
        <v>825</v>
      </c>
      <c r="L279" s="198" t="s">
        <v>869</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2">
      <c r="G280" s="140"/>
      <c r="H280" s="393"/>
      <c r="J280" s="354"/>
      <c r="K280" s="196" t="s">
        <v>828</v>
      </c>
      <c r="L280" s="196" t="s">
        <v>867</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2">
      <c r="G281" s="140"/>
      <c r="H281" s="393"/>
      <c r="J281" s="354"/>
      <c r="K281" s="137" t="s">
        <v>828</v>
      </c>
      <c r="L281" s="187" t="s">
        <v>868</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25">
      <c r="G282" s="140"/>
      <c r="H282" s="393"/>
      <c r="J282" s="354"/>
      <c r="K282" s="198" t="s">
        <v>828</v>
      </c>
      <c r="L282" s="198" t="s">
        <v>869</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2">
      <c r="G283" s="140"/>
      <c r="H283" s="393"/>
      <c r="J283" s="354"/>
      <c r="K283" s="196" t="s">
        <v>831</v>
      </c>
      <c r="L283" s="196" t="s">
        <v>867</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2">
      <c r="G284" s="140"/>
      <c r="H284" s="393"/>
      <c r="J284" s="354"/>
      <c r="K284" s="137" t="s">
        <v>831</v>
      </c>
      <c r="L284" s="187" t="s">
        <v>868</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25">
      <c r="G285" s="140"/>
      <c r="H285" s="393"/>
      <c r="J285" s="354"/>
      <c r="K285" s="198" t="s">
        <v>831</v>
      </c>
      <c r="L285" s="198" t="s">
        <v>869</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2">
      <c r="G286" s="140"/>
      <c r="H286" s="393"/>
      <c r="J286" s="354"/>
      <c r="K286" s="196" t="s">
        <v>834</v>
      </c>
      <c r="L286" s="196" t="s">
        <v>867</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2">
      <c r="G287" s="140"/>
      <c r="H287" s="393"/>
      <c r="J287" s="354"/>
      <c r="K287" s="137" t="s">
        <v>834</v>
      </c>
      <c r="L287" s="187" t="s">
        <v>868</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25">
      <c r="G288" s="140"/>
      <c r="H288" s="393"/>
      <c r="J288" s="354"/>
      <c r="K288" s="198" t="s">
        <v>834</v>
      </c>
      <c r="L288" s="198" t="s">
        <v>869</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2">
      <c r="G289" s="140"/>
      <c r="H289" s="393"/>
      <c r="J289" s="354"/>
      <c r="K289" s="196" t="s">
        <v>837</v>
      </c>
      <c r="L289" s="196" t="s">
        <v>867</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2">
      <c r="G290" s="140"/>
      <c r="H290" s="393"/>
      <c r="J290" s="354"/>
      <c r="K290" s="137" t="s">
        <v>837</v>
      </c>
      <c r="L290" s="187" t="s">
        <v>868</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25">
      <c r="G291" s="140"/>
      <c r="H291" s="393"/>
      <c r="J291" s="354"/>
      <c r="K291" s="198" t="s">
        <v>837</v>
      </c>
      <c r="L291" s="198" t="s">
        <v>869</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2">
      <c r="G292" s="140"/>
      <c r="H292" s="393"/>
      <c r="J292" s="354"/>
      <c r="K292" s="196" t="s">
        <v>841</v>
      </c>
      <c r="L292" s="196" t="s">
        <v>867</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2">
      <c r="G293" s="140"/>
      <c r="H293" s="393"/>
      <c r="J293" s="354"/>
      <c r="K293" s="137" t="s">
        <v>841</v>
      </c>
      <c r="L293" s="187" t="s">
        <v>868</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25">
      <c r="G294" s="140"/>
      <c r="H294" s="393"/>
      <c r="J294" s="354"/>
      <c r="K294" s="198" t="s">
        <v>841</v>
      </c>
      <c r="L294" s="198" t="s">
        <v>869</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2">
      <c r="G295" s="140"/>
      <c r="H295" s="393"/>
      <c r="J295" s="354"/>
      <c r="K295" s="196" t="s">
        <v>845</v>
      </c>
      <c r="L295" s="196" t="s">
        <v>867</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2">
      <c r="G296" s="140"/>
      <c r="H296" s="393"/>
      <c r="J296" s="354"/>
      <c r="K296" s="137" t="s">
        <v>845</v>
      </c>
      <c r="L296" s="187" t="s">
        <v>868</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2">
      <c r="G297" s="140"/>
      <c r="H297" s="393"/>
      <c r="J297" s="387"/>
      <c r="K297" s="198" t="s">
        <v>845</v>
      </c>
      <c r="L297" s="198" t="s">
        <v>869</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25">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
      <c r="G299" s="140"/>
      <c r="H299" s="233"/>
      <c r="I299" s="233"/>
    </row>
    <row r="300" spans="7:42" ht="14.25" customHeight="1" x14ac:dyDescent="0.2">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2">
      <c r="G301" s="140"/>
      <c r="H301" s="460" t="s">
        <v>890</v>
      </c>
      <c r="J301" s="353" t="s">
        <v>891</v>
      </c>
      <c r="K301" s="196" t="s">
        <v>812</v>
      </c>
      <c r="L301" s="196" t="s">
        <v>867</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2">
      <c r="G302" s="140"/>
      <c r="H302" s="460"/>
      <c r="J302" s="354"/>
      <c r="K302" s="137" t="s">
        <v>812</v>
      </c>
      <c r="L302" s="187" t="s">
        <v>868</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25">
      <c r="G303" s="140"/>
      <c r="H303" s="460"/>
      <c r="J303" s="354"/>
      <c r="K303" s="198" t="s">
        <v>812</v>
      </c>
      <c r="L303" s="198" t="s">
        <v>869</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2">
      <c r="G304" s="140"/>
      <c r="H304" s="460"/>
      <c r="J304" s="354"/>
      <c r="K304" s="196" t="s">
        <v>818</v>
      </c>
      <c r="L304" s="196" t="s">
        <v>867</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2">
      <c r="G305" s="140"/>
      <c r="H305" s="460"/>
      <c r="J305" s="354"/>
      <c r="K305" s="137" t="s">
        <v>818</v>
      </c>
      <c r="L305" s="187" t="s">
        <v>868</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25">
      <c r="G306" s="140"/>
      <c r="H306" s="460"/>
      <c r="J306" s="354"/>
      <c r="K306" s="198" t="s">
        <v>818</v>
      </c>
      <c r="L306" s="198" t="s">
        <v>869</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2">
      <c r="G307" s="140"/>
      <c r="H307" s="460"/>
      <c r="J307" s="354"/>
      <c r="K307" s="196" t="s">
        <v>822</v>
      </c>
      <c r="L307" s="196" t="s">
        <v>867</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2">
      <c r="G308" s="140"/>
      <c r="H308" s="460"/>
      <c r="J308" s="354"/>
      <c r="K308" s="137" t="s">
        <v>822</v>
      </c>
      <c r="L308" s="187" t="s">
        <v>868</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25">
      <c r="G309" s="140"/>
      <c r="H309" s="460"/>
      <c r="J309" s="354"/>
      <c r="K309" s="198" t="s">
        <v>822</v>
      </c>
      <c r="L309" s="198" t="s">
        <v>869</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2">
      <c r="G310" s="140"/>
      <c r="H310" s="460"/>
      <c r="J310" s="354"/>
      <c r="K310" s="196" t="s">
        <v>825</v>
      </c>
      <c r="L310" s="196" t="s">
        <v>867</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2">
      <c r="G311" s="140"/>
      <c r="H311" s="460"/>
      <c r="J311" s="354"/>
      <c r="K311" s="137" t="s">
        <v>825</v>
      </c>
      <c r="L311" s="187" t="s">
        <v>868</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25">
      <c r="G312" s="140"/>
      <c r="H312" s="460"/>
      <c r="J312" s="354"/>
      <c r="K312" s="198" t="s">
        <v>825</v>
      </c>
      <c r="L312" s="198" t="s">
        <v>869</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2">
      <c r="G313" s="140"/>
      <c r="H313" s="460"/>
      <c r="J313" s="354"/>
      <c r="K313" s="196" t="s">
        <v>828</v>
      </c>
      <c r="L313" s="196" t="s">
        <v>867</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2">
      <c r="G314" s="140"/>
      <c r="H314" s="460"/>
      <c r="J314" s="354"/>
      <c r="K314" s="137" t="s">
        <v>828</v>
      </c>
      <c r="L314" s="187" t="s">
        <v>868</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25">
      <c r="G315" s="140"/>
      <c r="H315" s="460"/>
      <c r="J315" s="354"/>
      <c r="K315" s="198" t="s">
        <v>828</v>
      </c>
      <c r="L315" s="198" t="s">
        <v>869</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2">
      <c r="G316" s="140"/>
      <c r="H316" s="460"/>
      <c r="J316" s="354"/>
      <c r="K316" s="196" t="s">
        <v>831</v>
      </c>
      <c r="L316" s="196" t="s">
        <v>867</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2">
      <c r="G317" s="140"/>
      <c r="H317" s="460"/>
      <c r="J317" s="354"/>
      <c r="K317" s="137" t="s">
        <v>831</v>
      </c>
      <c r="L317" s="187" t="s">
        <v>868</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25">
      <c r="G318" s="140"/>
      <c r="H318" s="460"/>
      <c r="J318" s="354"/>
      <c r="K318" s="198" t="s">
        <v>831</v>
      </c>
      <c r="L318" s="198" t="s">
        <v>869</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2">
      <c r="G319" s="140"/>
      <c r="H319" s="460"/>
      <c r="J319" s="354"/>
      <c r="K319" s="196" t="s">
        <v>834</v>
      </c>
      <c r="L319" s="196" t="s">
        <v>867</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2">
      <c r="G320" s="140"/>
      <c r="H320" s="460"/>
      <c r="J320" s="354"/>
      <c r="K320" s="137" t="s">
        <v>834</v>
      </c>
      <c r="L320" s="187" t="s">
        <v>868</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25">
      <c r="G321" s="140"/>
      <c r="H321" s="460"/>
      <c r="J321" s="354"/>
      <c r="K321" s="198" t="s">
        <v>834</v>
      </c>
      <c r="L321" s="198" t="s">
        <v>869</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2">
      <c r="G322" s="140"/>
      <c r="H322" s="460"/>
      <c r="J322" s="354"/>
      <c r="K322" s="196" t="s">
        <v>837</v>
      </c>
      <c r="L322" s="196" t="s">
        <v>867</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2">
      <c r="G323" s="140"/>
      <c r="H323" s="460"/>
      <c r="J323" s="354"/>
      <c r="K323" s="137" t="s">
        <v>837</v>
      </c>
      <c r="L323" s="187" t="s">
        <v>868</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25">
      <c r="G324" s="140"/>
      <c r="H324" s="460"/>
      <c r="J324" s="354"/>
      <c r="K324" s="198" t="s">
        <v>837</v>
      </c>
      <c r="L324" s="198" t="s">
        <v>869</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2">
      <c r="G325" s="140"/>
      <c r="H325" s="460"/>
      <c r="J325" s="354"/>
      <c r="K325" s="196" t="s">
        <v>841</v>
      </c>
      <c r="L325" s="196" t="s">
        <v>867</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2">
      <c r="G326" s="140"/>
      <c r="H326" s="460"/>
      <c r="J326" s="354"/>
      <c r="K326" s="137" t="s">
        <v>841</v>
      </c>
      <c r="L326" s="187" t="s">
        <v>868</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25">
      <c r="G327" s="140"/>
      <c r="H327" s="460"/>
      <c r="J327" s="354"/>
      <c r="K327" s="198" t="s">
        <v>841</v>
      </c>
      <c r="L327" s="198" t="s">
        <v>869</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2">
      <c r="G328" s="140"/>
      <c r="H328" s="460"/>
      <c r="J328" s="354"/>
      <c r="K328" s="196" t="s">
        <v>845</v>
      </c>
      <c r="L328" s="196" t="s">
        <v>867</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2">
      <c r="G329" s="140"/>
      <c r="H329" s="460"/>
      <c r="J329" s="354"/>
      <c r="K329" s="137" t="s">
        <v>845</v>
      </c>
      <c r="L329" s="187" t="s">
        <v>868</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2">
      <c r="G330" s="140"/>
      <c r="H330" s="460"/>
      <c r="J330" s="387"/>
      <c r="K330" s="198" t="s">
        <v>845</v>
      </c>
      <c r="L330" s="198" t="s">
        <v>869</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25">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25">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2">
      <c r="G334" s="140"/>
      <c r="H334" s="388" t="s">
        <v>892</v>
      </c>
      <c r="J334" s="353" t="s">
        <v>893</v>
      </c>
      <c r="K334" s="196" t="s">
        <v>812</v>
      </c>
      <c r="L334" s="196" t="s">
        <v>867</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2">
      <c r="G335" s="140"/>
      <c r="H335" s="388"/>
      <c r="J335" s="354"/>
      <c r="K335" s="137" t="s">
        <v>812</v>
      </c>
      <c r="L335" s="187" t="s">
        <v>868</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25">
      <c r="G336" s="140"/>
      <c r="H336" s="388"/>
      <c r="J336" s="354"/>
      <c r="K336" s="198" t="s">
        <v>812</v>
      </c>
      <c r="L336" s="198" t="s">
        <v>869</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2">
      <c r="G337" s="140"/>
      <c r="H337" s="388"/>
      <c r="J337" s="354"/>
      <c r="K337" s="196" t="s">
        <v>818</v>
      </c>
      <c r="L337" s="196" t="s">
        <v>867</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2">
      <c r="G338" s="140"/>
      <c r="H338" s="388"/>
      <c r="J338" s="354"/>
      <c r="K338" s="137" t="s">
        <v>818</v>
      </c>
      <c r="L338" s="187" t="s">
        <v>868</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25">
      <c r="G339" s="140"/>
      <c r="H339" s="388"/>
      <c r="J339" s="354"/>
      <c r="K339" s="198" t="s">
        <v>818</v>
      </c>
      <c r="L339" s="198" t="s">
        <v>869</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2">
      <c r="G340" s="140"/>
      <c r="H340" s="388"/>
      <c r="J340" s="354"/>
      <c r="K340" s="196" t="s">
        <v>822</v>
      </c>
      <c r="L340" s="196" t="s">
        <v>867</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2">
      <c r="G341" s="140"/>
      <c r="H341" s="388"/>
      <c r="J341" s="354"/>
      <c r="K341" s="137" t="s">
        <v>822</v>
      </c>
      <c r="L341" s="187" t="s">
        <v>868</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25">
      <c r="G342" s="140"/>
      <c r="H342" s="388"/>
      <c r="J342" s="354"/>
      <c r="K342" s="198" t="s">
        <v>822</v>
      </c>
      <c r="L342" s="198" t="s">
        <v>869</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2">
      <c r="G343" s="140"/>
      <c r="H343" s="388"/>
      <c r="J343" s="354"/>
      <c r="K343" s="196" t="s">
        <v>825</v>
      </c>
      <c r="L343" s="196" t="s">
        <v>867</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2">
      <c r="G344" s="140"/>
      <c r="H344" s="388"/>
      <c r="J344" s="354"/>
      <c r="K344" s="137" t="s">
        <v>825</v>
      </c>
      <c r="L344" s="187" t="s">
        <v>868</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25">
      <c r="G345" s="140"/>
      <c r="H345" s="388"/>
      <c r="J345" s="354"/>
      <c r="K345" s="198" t="s">
        <v>825</v>
      </c>
      <c r="L345" s="198" t="s">
        <v>869</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2">
      <c r="G346" s="140"/>
      <c r="H346" s="388"/>
      <c r="J346" s="354"/>
      <c r="K346" s="196" t="s">
        <v>828</v>
      </c>
      <c r="L346" s="196" t="s">
        <v>867</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2">
      <c r="G347" s="140"/>
      <c r="H347" s="388"/>
      <c r="J347" s="354"/>
      <c r="K347" s="137" t="s">
        <v>828</v>
      </c>
      <c r="L347" s="187" t="s">
        <v>868</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25">
      <c r="G348" s="140"/>
      <c r="H348" s="388"/>
      <c r="J348" s="354"/>
      <c r="K348" s="198" t="s">
        <v>828</v>
      </c>
      <c r="L348" s="198" t="s">
        <v>869</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2">
      <c r="G349" s="140"/>
      <c r="H349" s="388"/>
      <c r="J349" s="354"/>
      <c r="K349" s="196" t="s">
        <v>831</v>
      </c>
      <c r="L349" s="196" t="s">
        <v>867</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2">
      <c r="G350" s="140"/>
      <c r="H350" s="388"/>
      <c r="J350" s="354"/>
      <c r="K350" s="137" t="s">
        <v>831</v>
      </c>
      <c r="L350" s="187" t="s">
        <v>868</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25">
      <c r="G351" s="140"/>
      <c r="H351" s="388"/>
      <c r="J351" s="354"/>
      <c r="K351" s="198" t="s">
        <v>831</v>
      </c>
      <c r="L351" s="198" t="s">
        <v>869</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2">
      <c r="G352" s="140"/>
      <c r="H352" s="388"/>
      <c r="J352" s="354"/>
      <c r="K352" s="196" t="s">
        <v>834</v>
      </c>
      <c r="L352" s="196" t="s">
        <v>867</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2">
      <c r="G353" s="140"/>
      <c r="H353" s="388"/>
      <c r="J353" s="354"/>
      <c r="K353" s="137" t="s">
        <v>834</v>
      </c>
      <c r="L353" s="187" t="s">
        <v>868</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25">
      <c r="G354" s="140"/>
      <c r="H354" s="388"/>
      <c r="J354" s="354"/>
      <c r="K354" s="198" t="s">
        <v>834</v>
      </c>
      <c r="L354" s="198" t="s">
        <v>869</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2">
      <c r="G355" s="140"/>
      <c r="H355" s="388"/>
      <c r="J355" s="354"/>
      <c r="K355" s="196" t="s">
        <v>837</v>
      </c>
      <c r="L355" s="196" t="s">
        <v>867</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2">
      <c r="G356" s="140"/>
      <c r="H356" s="388"/>
      <c r="J356" s="354"/>
      <c r="K356" s="137" t="s">
        <v>837</v>
      </c>
      <c r="L356" s="187" t="s">
        <v>868</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25">
      <c r="G357" s="140"/>
      <c r="H357" s="388"/>
      <c r="J357" s="354"/>
      <c r="K357" s="198" t="s">
        <v>837</v>
      </c>
      <c r="L357" s="198" t="s">
        <v>869</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2">
      <c r="G358" s="140"/>
      <c r="H358" s="388"/>
      <c r="J358" s="354"/>
      <c r="K358" s="196" t="s">
        <v>841</v>
      </c>
      <c r="L358" s="196" t="s">
        <v>867</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2">
      <c r="G359" s="140"/>
      <c r="H359" s="388"/>
      <c r="J359" s="354"/>
      <c r="K359" s="137" t="s">
        <v>841</v>
      </c>
      <c r="L359" s="187" t="s">
        <v>868</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25">
      <c r="G360" s="140"/>
      <c r="H360" s="388"/>
      <c r="J360" s="354"/>
      <c r="K360" s="198" t="s">
        <v>841</v>
      </c>
      <c r="L360" s="198" t="s">
        <v>869</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2">
      <c r="G361" s="140"/>
      <c r="H361" s="388"/>
      <c r="J361" s="354"/>
      <c r="K361" s="196" t="s">
        <v>845</v>
      </c>
      <c r="L361" s="196" t="s">
        <v>867</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2">
      <c r="G362" s="140"/>
      <c r="H362" s="388"/>
      <c r="J362" s="354"/>
      <c r="K362" s="137" t="s">
        <v>845</v>
      </c>
      <c r="L362" s="187" t="s">
        <v>868</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2">
      <c r="G363" s="140"/>
      <c r="H363" s="388"/>
      <c r="J363" s="387"/>
      <c r="K363" s="198" t="s">
        <v>845</v>
      </c>
      <c r="L363" s="198" t="s">
        <v>869</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25">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2">
      <c r="G367" s="140"/>
      <c r="H367" s="392" t="s">
        <v>894</v>
      </c>
      <c r="J367" s="353" t="s">
        <v>895</v>
      </c>
      <c r="K367" s="137" t="s">
        <v>896</v>
      </c>
      <c r="L367" s="137" t="s">
        <v>867</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2">
      <c r="G368" s="140"/>
      <c r="H368" s="392"/>
      <c r="J368" s="354"/>
      <c r="K368" s="137" t="s">
        <v>896</v>
      </c>
      <c r="L368" s="137" t="s">
        <v>868</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2">
      <c r="G369" s="140"/>
      <c r="H369" s="392"/>
      <c r="J369" s="354"/>
      <c r="K369" s="137" t="s">
        <v>896</v>
      </c>
      <c r="L369" s="137" t="s">
        <v>869</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2">
      <c r="G370" s="140"/>
      <c r="H370" s="392"/>
      <c r="J370" s="354"/>
      <c r="K370" s="137" t="s">
        <v>897</v>
      </c>
      <c r="L370" s="137" t="s">
        <v>865</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2">
      <c r="G371" s="140"/>
      <c r="H371" s="392"/>
      <c r="J371" s="354"/>
      <c r="K371" s="137" t="s">
        <v>713</v>
      </c>
      <c r="L371" s="137" t="s">
        <v>867</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2">
      <c r="G372" s="140"/>
      <c r="H372" s="392"/>
      <c r="J372" s="354"/>
      <c r="K372" s="137" t="s">
        <v>713</v>
      </c>
      <c r="L372" s="137" t="s">
        <v>868</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2">
      <c r="G373" s="140"/>
      <c r="H373" s="392"/>
      <c r="J373" s="354"/>
      <c r="K373" s="137" t="s">
        <v>713</v>
      </c>
      <c r="L373" s="137" t="s">
        <v>869</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2">
      <c r="G374" s="140"/>
      <c r="H374" s="238"/>
      <c r="J374" s="239"/>
      <c r="K374" s="137" t="s">
        <v>898</v>
      </c>
      <c r="L374" s="137" t="s">
        <v>867</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2">
      <c r="G375" s="140"/>
      <c r="H375" s="238"/>
      <c r="J375" s="239"/>
      <c r="K375" s="137" t="s">
        <v>898</v>
      </c>
      <c r="L375" s="137" t="s">
        <v>868</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2">
      <c r="G376" s="140"/>
      <c r="H376" s="238"/>
      <c r="J376" s="239"/>
      <c r="K376" s="137" t="s">
        <v>898</v>
      </c>
      <c r="L376" s="137" t="s">
        <v>869</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2">
      <c r="G377" s="140"/>
      <c r="H377" s="238"/>
      <c r="J377" s="239"/>
      <c r="K377" s="137" t="s">
        <v>899</v>
      </c>
      <c r="L377" s="137" t="s">
        <v>867</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2">
      <c r="G378" s="140"/>
      <c r="H378" s="238"/>
      <c r="J378" s="239"/>
      <c r="K378" s="137" t="s">
        <v>899</v>
      </c>
      <c r="L378" s="137" t="s">
        <v>868</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2">
      <c r="G379" s="140"/>
      <c r="H379" s="238"/>
      <c r="J379" s="239"/>
      <c r="K379" s="137" t="s">
        <v>899</v>
      </c>
      <c r="L379" s="137" t="s">
        <v>869</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2">
      <c r="G380" s="140"/>
      <c r="H380" s="235"/>
      <c r="I380" s="241" t="s">
        <v>900</v>
      </c>
      <c r="J380" s="461" t="s">
        <v>901</v>
      </c>
      <c r="K380" s="243" t="s">
        <v>902</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
      <c r="G381" s="140"/>
      <c r="H381" s="235"/>
      <c r="I381" s="132">
        <v>0.2</v>
      </c>
      <c r="J381" s="461"/>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
      <c r="G382" s="140"/>
      <c r="H382" s="235"/>
      <c r="I382" s="132">
        <v>0.32</v>
      </c>
      <c r="J382" s="461"/>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
      <c r="G383" s="140"/>
      <c r="H383" s="235"/>
      <c r="I383" s="132">
        <v>0.192</v>
      </c>
      <c r="J383" s="461"/>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
      <c r="G384" s="140"/>
      <c r="H384" s="235"/>
      <c r="I384" s="132">
        <v>0.1152</v>
      </c>
      <c r="J384" s="461"/>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
      <c r="G385" s="140"/>
      <c r="H385" s="235"/>
      <c r="I385" s="132">
        <v>0.1152</v>
      </c>
      <c r="J385" s="461"/>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
      <c r="G386" s="140"/>
      <c r="H386" s="235"/>
      <c r="I386" s="132">
        <v>5.7599999999999998E-2</v>
      </c>
      <c r="J386" s="461"/>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2">
      <c r="G387" s="140"/>
      <c r="H387" s="235"/>
      <c r="J387" s="246"/>
      <c r="K387" s="243" t="s">
        <v>903</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
      <c r="G394" s="140"/>
      <c r="H394" s="235"/>
      <c r="J394" s="246"/>
      <c r="K394" s="244" t="s">
        <v>904</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25">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2">
      <c r="G403" s="250"/>
      <c r="H403" s="235"/>
      <c r="J403" s="353" t="s">
        <v>905</v>
      </c>
      <c r="K403" s="137" t="s">
        <v>906</v>
      </c>
      <c r="L403" s="137" t="s">
        <v>867</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2">
      <c r="F404" s="252"/>
      <c r="H404" s="235"/>
      <c r="J404" s="354"/>
      <c r="K404" s="137" t="s">
        <v>906</v>
      </c>
      <c r="L404" s="137" t="s">
        <v>868</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2">
      <c r="F405" s="252"/>
      <c r="H405" s="235"/>
      <c r="J405" s="354"/>
      <c r="K405" s="137" t="s">
        <v>906</v>
      </c>
      <c r="L405" s="137" t="s">
        <v>869</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25">
      <c r="F406" s="252"/>
      <c r="H406" s="235"/>
      <c r="J406" s="127"/>
    </row>
    <row r="407" spans="6:42" ht="14.25" customHeight="1" thickTop="1" thickBot="1" x14ac:dyDescent="0.25">
      <c r="F407" s="252"/>
      <c r="H407" s="235"/>
      <c r="J407" s="246"/>
      <c r="K407" s="137" t="s">
        <v>907</v>
      </c>
      <c r="L407" s="137" t="s">
        <v>865</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25">
      <c r="F408" s="252"/>
      <c r="H408" s="235"/>
      <c r="J408" s="246"/>
      <c r="K408" s="137" t="s">
        <v>908</v>
      </c>
      <c r="L408" s="137" t="s">
        <v>865</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25">
      <c r="F409" s="252"/>
      <c r="H409" s="235"/>
      <c r="J409" s="246"/>
      <c r="K409" s="137" t="s">
        <v>909</v>
      </c>
      <c r="L409" s="137" t="s">
        <v>865</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25">
      <c r="F410" s="252"/>
      <c r="H410" s="235"/>
      <c r="J410" s="246"/>
      <c r="K410" s="137" t="s">
        <v>910</v>
      </c>
      <c r="L410" s="137" t="s">
        <v>867</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25">
      <c r="F411" s="252"/>
      <c r="H411" s="235"/>
      <c r="J411" s="246"/>
      <c r="K411" s="137" t="s">
        <v>911</v>
      </c>
      <c r="L411" s="137" t="s">
        <v>867</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25">
      <c r="F412" s="252"/>
      <c r="H412" s="235"/>
      <c r="J412" s="246"/>
      <c r="K412" s="137" t="s">
        <v>912</v>
      </c>
      <c r="L412" s="137" t="s">
        <v>867</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25">
      <c r="F413" s="252"/>
      <c r="H413" s="235"/>
      <c r="J413" s="246"/>
      <c r="K413" s="137" t="s">
        <v>910</v>
      </c>
      <c r="L413" s="137" t="s">
        <v>868</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25">
      <c r="F414" s="252"/>
      <c r="H414" s="235"/>
      <c r="J414" s="246"/>
      <c r="K414" s="137" t="s">
        <v>911</v>
      </c>
      <c r="L414" s="137" t="s">
        <v>868</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25">
      <c r="F415" s="252"/>
      <c r="H415" s="235"/>
      <c r="J415" s="246"/>
      <c r="K415" s="137" t="s">
        <v>912</v>
      </c>
      <c r="L415" s="137" t="s">
        <v>868</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25">
      <c r="F416" s="252"/>
      <c r="H416" s="235"/>
      <c r="J416" s="246"/>
      <c r="K416" s="137" t="s">
        <v>910</v>
      </c>
      <c r="L416" s="137" t="s">
        <v>869</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25">
      <c r="F417" s="252"/>
      <c r="H417" s="235"/>
      <c r="J417" s="246"/>
      <c r="K417" s="137" t="s">
        <v>911</v>
      </c>
      <c r="L417" s="137" t="s">
        <v>869</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2">
      <c r="F418" s="252"/>
      <c r="H418" s="235"/>
      <c r="J418" s="246"/>
      <c r="K418" s="137" t="s">
        <v>912</v>
      </c>
      <c r="L418" s="137" t="s">
        <v>869</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2">
      <c r="C420" s="138" t="s">
        <v>797</v>
      </c>
      <c r="G420" s="382" t="s">
        <v>913</v>
      </c>
      <c r="H420" s="383"/>
      <c r="I420" s="383"/>
      <c r="J420" s="383"/>
      <c r="K420" s="383"/>
      <c r="L420" s="383"/>
      <c r="M420" s="383"/>
      <c r="N420" s="383"/>
      <c r="O420" s="383"/>
      <c r="P420" s="383"/>
      <c r="Q420" s="383"/>
      <c r="R420" s="383"/>
      <c r="S420" s="383"/>
      <c r="T420" s="383"/>
      <c r="U420" s="383"/>
      <c r="V420" s="139"/>
      <c r="W420" s="139"/>
      <c r="X420" s="139"/>
      <c r="Y420" s="139"/>
      <c r="Z420" s="139"/>
      <c r="AA420" s="139"/>
      <c r="AB420" s="139"/>
    </row>
    <row r="422" spans="3:42" ht="14.25" customHeight="1" x14ac:dyDescent="0.2">
      <c r="H422" s="454" t="s">
        <v>914</v>
      </c>
      <c r="I422" s="455"/>
      <c r="J422" s="455"/>
      <c r="K422" s="455"/>
      <c r="L422" s="455"/>
      <c r="M422" s="455"/>
      <c r="N422" s="456" t="s">
        <v>915</v>
      </c>
      <c r="O422" s="457"/>
      <c r="P422" s="457"/>
      <c r="Q422" s="457"/>
      <c r="R422" s="458"/>
      <c r="S422" s="255" t="s">
        <v>916</v>
      </c>
      <c r="T422" s="255" t="s">
        <v>917</v>
      </c>
      <c r="U422" s="256"/>
      <c r="V422" s="256"/>
      <c r="W422" s="256"/>
      <c r="X422" s="256"/>
      <c r="Y422" s="256"/>
      <c r="Z422" s="256"/>
      <c r="AA422" s="256"/>
      <c r="AB422" s="257"/>
    </row>
    <row r="423" spans="3:42" ht="14.25" customHeight="1" x14ac:dyDescent="0.25">
      <c r="H423" s="450" t="s">
        <v>918</v>
      </c>
      <c r="I423" s="356"/>
      <c r="J423" s="356"/>
      <c r="K423" s="356"/>
      <c r="L423" s="356"/>
      <c r="M423" s="356"/>
      <c r="N423" s="453" t="s">
        <v>919</v>
      </c>
      <c r="O423" s="371"/>
      <c r="P423" s="371"/>
      <c r="Q423" s="371"/>
      <c r="R423" s="371"/>
      <c r="S423" s="259"/>
      <c r="T423" s="259"/>
      <c r="U423" s="260"/>
      <c r="V423" s="260"/>
      <c r="W423" s="260"/>
      <c r="X423" s="260"/>
      <c r="Y423" s="260"/>
      <c r="Z423" s="260"/>
      <c r="AA423" s="260"/>
      <c r="AB423" s="261"/>
    </row>
    <row r="424" spans="3:42" ht="14.25" customHeight="1" x14ac:dyDescent="0.25">
      <c r="H424" s="450" t="s">
        <v>883</v>
      </c>
      <c r="I424" s="356"/>
      <c r="J424" s="356"/>
      <c r="K424" s="356"/>
      <c r="L424" s="356"/>
      <c r="M424" s="356"/>
      <c r="N424" s="453" t="s">
        <v>920</v>
      </c>
      <c r="O424" s="371"/>
      <c r="P424" s="371"/>
      <c r="Q424" s="371"/>
      <c r="R424" s="371"/>
      <c r="S424" s="259"/>
      <c r="T424" s="259"/>
      <c r="U424" s="260"/>
      <c r="V424" s="260"/>
      <c r="W424" s="260"/>
      <c r="X424" s="260"/>
      <c r="Y424" s="260"/>
      <c r="Z424" s="260"/>
      <c r="AA424" s="260"/>
      <c r="AB424" s="261"/>
    </row>
    <row r="425" spans="3:42" ht="14.25" customHeight="1" x14ac:dyDescent="0.25">
      <c r="H425" s="450" t="s">
        <v>887</v>
      </c>
      <c r="I425" s="356"/>
      <c r="J425" s="356"/>
      <c r="K425" s="356"/>
      <c r="L425" s="356"/>
      <c r="M425" s="356"/>
      <c r="N425" s="453" t="s">
        <v>921</v>
      </c>
      <c r="O425" s="371"/>
      <c r="P425" s="371"/>
      <c r="Q425" s="371"/>
      <c r="R425" s="371"/>
      <c r="S425" s="259"/>
      <c r="T425" s="259"/>
      <c r="U425" s="260"/>
      <c r="V425" s="260"/>
      <c r="W425" s="260"/>
      <c r="X425" s="260"/>
      <c r="Y425" s="260"/>
      <c r="Z425" s="260"/>
      <c r="AA425" s="260"/>
      <c r="AB425" s="261"/>
    </row>
    <row r="426" spans="3:42" ht="14.25" customHeight="1" x14ac:dyDescent="0.25">
      <c r="H426" s="450" t="s">
        <v>922</v>
      </c>
      <c r="I426" s="356"/>
      <c r="J426" s="356"/>
      <c r="K426" s="356"/>
      <c r="L426" s="356"/>
      <c r="M426" s="356"/>
      <c r="N426" s="453" t="s">
        <v>921</v>
      </c>
      <c r="O426" s="371"/>
      <c r="P426" s="371"/>
      <c r="Q426" s="371"/>
      <c r="R426" s="371"/>
      <c r="S426" s="262"/>
      <c r="T426" s="262"/>
      <c r="U426"/>
      <c r="V426"/>
      <c r="W426"/>
      <c r="X426"/>
      <c r="Y426"/>
      <c r="Z426"/>
      <c r="AA426"/>
      <c r="AB426"/>
    </row>
    <row r="427" spans="3:42" ht="14.25" customHeight="1" x14ac:dyDescent="0.2">
      <c r="H427" s="450" t="s">
        <v>923</v>
      </c>
      <c r="I427" s="356"/>
      <c r="J427" s="356"/>
      <c r="K427" s="356"/>
      <c r="L427" s="356"/>
      <c r="M427" s="356"/>
      <c r="N427" s="451" t="s">
        <v>924</v>
      </c>
      <c r="O427" s="452"/>
      <c r="P427" s="452"/>
      <c r="Q427" s="452"/>
      <c r="R427" s="452"/>
      <c r="S427" s="263"/>
      <c r="T427" s="263"/>
      <c r="U427" s="256"/>
      <c r="V427" s="256"/>
      <c r="W427" s="256"/>
      <c r="X427" s="256"/>
      <c r="Y427" s="256"/>
      <c r="Z427" s="256"/>
      <c r="AA427" s="256"/>
      <c r="AB427" s="257"/>
    </row>
    <row r="428" spans="3:42" ht="14.25" customHeight="1" x14ac:dyDescent="0.2">
      <c r="H428" s="450" t="s">
        <v>925</v>
      </c>
      <c r="I428" s="356"/>
      <c r="J428" s="356"/>
      <c r="K428" s="356"/>
      <c r="L428" s="356"/>
      <c r="M428" s="356"/>
      <c r="N428" s="451" t="s">
        <v>924</v>
      </c>
      <c r="O428" s="452"/>
      <c r="P428" s="452"/>
      <c r="Q428" s="452"/>
      <c r="R428" s="452"/>
      <c r="S428" s="263"/>
      <c r="T428" s="263"/>
      <c r="U428" s="256"/>
      <c r="V428" s="256"/>
      <c r="W428" s="256"/>
      <c r="X428" s="256"/>
      <c r="Y428" s="256"/>
      <c r="Z428" s="256"/>
      <c r="AA428" s="256"/>
      <c r="AB428" s="257"/>
    </row>
    <row r="429" spans="3:42" ht="14.25" customHeight="1" x14ac:dyDescent="0.2">
      <c r="H429" s="459"/>
      <c r="I429" s="459"/>
      <c r="J429" s="459"/>
      <c r="K429" s="459"/>
      <c r="L429" s="459"/>
      <c r="M429" s="459"/>
      <c r="O429" s="256"/>
      <c r="P429" s="256"/>
      <c r="Q429" s="256"/>
      <c r="R429" s="256"/>
      <c r="S429" s="256"/>
      <c r="T429" s="256"/>
      <c r="U429" s="256"/>
      <c r="V429" s="256"/>
      <c r="W429" s="256"/>
      <c r="X429" s="256"/>
      <c r="Y429" s="256"/>
      <c r="Z429" s="256"/>
      <c r="AA429" s="256"/>
      <c r="AB429" s="257"/>
    </row>
    <row r="430" spans="3:42" ht="14.25" customHeight="1" x14ac:dyDescent="0.2">
      <c r="H430" s="454" t="s">
        <v>926</v>
      </c>
      <c r="I430" s="455"/>
      <c r="J430" s="455"/>
      <c r="K430" s="455"/>
      <c r="L430" s="455"/>
      <c r="M430" s="455"/>
      <c r="N430" s="456" t="s">
        <v>915</v>
      </c>
      <c r="O430" s="457"/>
      <c r="P430" s="457"/>
      <c r="Q430" s="457"/>
      <c r="R430" s="458"/>
      <c r="S430" s="255" t="s">
        <v>916</v>
      </c>
      <c r="T430" s="255" t="s">
        <v>917</v>
      </c>
      <c r="U430" s="256"/>
      <c r="V430" s="256"/>
      <c r="W430" s="256"/>
      <c r="X430" s="256"/>
      <c r="Y430" s="256"/>
      <c r="Z430" s="256"/>
      <c r="AA430" s="256"/>
      <c r="AB430" s="257"/>
    </row>
    <row r="431" spans="3:42" ht="14.25" customHeight="1" x14ac:dyDescent="0.25">
      <c r="H431" s="450" t="s">
        <v>883</v>
      </c>
      <c r="I431" s="356"/>
      <c r="J431" s="356"/>
      <c r="K431" s="356"/>
      <c r="L431" s="356"/>
      <c r="M431" s="357"/>
      <c r="N431" s="453" t="s">
        <v>920</v>
      </c>
      <c r="O431" s="371"/>
      <c r="P431" s="371"/>
      <c r="Q431" s="371"/>
      <c r="R431" s="371"/>
      <c r="S431" s="259"/>
      <c r="T431" s="259"/>
      <c r="U431" s="260"/>
      <c r="V431" s="260"/>
      <c r="W431" s="260"/>
      <c r="X431" s="260"/>
      <c r="Y431" s="260"/>
      <c r="Z431" s="260"/>
      <c r="AA431" s="260"/>
      <c r="AB431" s="261"/>
    </row>
    <row r="432" spans="3:42" ht="14.25" customHeight="1" x14ac:dyDescent="0.25">
      <c r="H432" s="450" t="s">
        <v>887</v>
      </c>
      <c r="I432" s="356"/>
      <c r="J432" s="356"/>
      <c r="K432" s="356"/>
      <c r="L432" s="356"/>
      <c r="M432" s="357"/>
      <c r="N432" s="258" t="s">
        <v>927</v>
      </c>
      <c r="Q432" s="264" t="s">
        <v>928</v>
      </c>
      <c r="R432" s="256"/>
      <c r="S432" s="263"/>
      <c r="T432" s="263"/>
      <c r="U432" s="256"/>
      <c r="V432" s="256"/>
      <c r="W432" s="256"/>
      <c r="X432" s="256"/>
      <c r="Y432" s="256"/>
      <c r="Z432" s="256"/>
      <c r="AA432" s="256"/>
      <c r="AB432" s="257"/>
    </row>
    <row r="433" spans="8:28" ht="14.25" customHeight="1" x14ac:dyDescent="0.25">
      <c r="H433" s="367" t="s">
        <v>929</v>
      </c>
      <c r="I433" s="368"/>
      <c r="J433" s="368"/>
      <c r="K433" s="368"/>
      <c r="L433" s="368"/>
      <c r="M433" s="369"/>
      <c r="N433" s="265"/>
      <c r="O433" s="266"/>
      <c r="P433" s="266"/>
      <c r="Q433" s="256"/>
      <c r="R433" s="257"/>
      <c r="S433" s="256"/>
      <c r="T433" s="263"/>
      <c r="U433" s="256"/>
      <c r="V433" s="256"/>
      <c r="W433" s="256"/>
      <c r="X433" s="256"/>
      <c r="Y433" s="256"/>
      <c r="Z433" s="256"/>
      <c r="AA433" s="256"/>
      <c r="AB433" s="257"/>
    </row>
    <row r="434" spans="8:28" ht="14.25" customHeight="1" x14ac:dyDescent="0.25">
      <c r="H434" s="450" t="s">
        <v>922</v>
      </c>
      <c r="I434" s="356"/>
      <c r="J434" s="356"/>
      <c r="K434" s="356"/>
      <c r="L434" s="356"/>
      <c r="M434" s="357"/>
      <c r="N434" s="453" t="s">
        <v>930</v>
      </c>
      <c r="O434" s="371"/>
      <c r="P434" s="371"/>
      <c r="Q434" s="371"/>
      <c r="R434" s="371"/>
      <c r="S434" s="259"/>
      <c r="T434" s="259"/>
      <c r="U434" s="260"/>
      <c r="V434" s="260"/>
      <c r="W434" s="260"/>
      <c r="X434" s="260"/>
      <c r="Y434" s="260"/>
      <c r="Z434" s="260"/>
      <c r="AA434" s="260"/>
      <c r="AB434" s="261"/>
    </row>
    <row r="435" spans="8:28" ht="14.25" customHeight="1" x14ac:dyDescent="0.2">
      <c r="H435" s="450" t="s">
        <v>923</v>
      </c>
      <c r="I435" s="356"/>
      <c r="J435" s="356"/>
      <c r="K435" s="356"/>
      <c r="L435" s="356"/>
      <c r="M435" s="357"/>
      <c r="N435" s="451" t="s">
        <v>924</v>
      </c>
      <c r="O435" s="452"/>
      <c r="P435" s="452"/>
      <c r="Q435" s="452"/>
      <c r="R435" s="452"/>
      <c r="S435" s="263"/>
      <c r="T435" s="263"/>
      <c r="U435" s="256"/>
      <c r="V435" s="256"/>
      <c r="W435" s="256"/>
      <c r="X435" s="256"/>
      <c r="Y435" s="256"/>
      <c r="Z435" s="256"/>
      <c r="AA435" s="256"/>
      <c r="AB435" s="257"/>
    </row>
    <row r="436" spans="8:28" ht="14.25" customHeight="1" x14ac:dyDescent="0.2">
      <c r="H436" s="450" t="s">
        <v>931</v>
      </c>
      <c r="I436" s="356"/>
      <c r="J436" s="356"/>
      <c r="K436" s="356"/>
      <c r="L436" s="356"/>
      <c r="M436" s="357"/>
      <c r="N436" s="451" t="s">
        <v>924</v>
      </c>
      <c r="O436" s="452"/>
      <c r="P436" s="452"/>
      <c r="Q436" s="452"/>
      <c r="R436" s="452"/>
      <c r="S436" s="263"/>
      <c r="T436" s="263"/>
      <c r="U436" s="256"/>
      <c r="V436" s="256"/>
      <c r="W436" s="256"/>
      <c r="X436" s="256"/>
      <c r="Y436" s="256"/>
      <c r="Z436" s="256"/>
      <c r="AA436" s="256"/>
      <c r="AB436" s="257"/>
    </row>
    <row r="437" spans="8:28" ht="14.25" customHeight="1" x14ac:dyDescent="0.2">
      <c r="H437" s="450" t="s">
        <v>925</v>
      </c>
      <c r="I437" s="356"/>
      <c r="J437" s="356"/>
      <c r="K437" s="356"/>
      <c r="L437" s="356"/>
      <c r="M437" s="357"/>
      <c r="N437" s="451" t="s">
        <v>924</v>
      </c>
      <c r="O437" s="452"/>
      <c r="P437" s="452"/>
      <c r="Q437" s="452"/>
      <c r="R437" s="452"/>
      <c r="S437" s="263"/>
      <c r="T437" s="263"/>
      <c r="U437" s="256"/>
      <c r="V437" s="256"/>
      <c r="W437" s="256"/>
      <c r="X437" s="256"/>
      <c r="Y437" s="256"/>
      <c r="Z437" s="256"/>
      <c r="AA437" s="256"/>
      <c r="AB437" s="257"/>
    </row>
    <row r="438" spans="8:28" ht="14.25" customHeight="1" x14ac:dyDescent="0.2">
      <c r="H438" s="132" t="s">
        <v>932</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2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2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2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2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313</v>
      </c>
      <c r="B10" s="54" t="s">
        <v>43</v>
      </c>
      <c r="AG10" s="51" t="s">
        <v>604</v>
      </c>
    </row>
    <row r="11" spans="1:33" ht="15" customHeight="1" x14ac:dyDescent="0.2">
      <c r="B11" s="53" t="s">
        <v>44</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545</v>
      </c>
    </row>
    <row r="73" spans="1:33" x14ac:dyDescent="0.2">
      <c r="B73" s="38" t="s">
        <v>527</v>
      </c>
    </row>
    <row r="74" spans="1:33" ht="15" customHeight="1" x14ac:dyDescent="0.2">
      <c r="B74" s="38" t="s">
        <v>68</v>
      </c>
    </row>
    <row r="75" spans="1:33" ht="15" customHeight="1" x14ac:dyDescent="0.2">
      <c r="B75" s="38" t="s">
        <v>597</v>
      </c>
    </row>
    <row r="76" spans="1:33" ht="15" customHeight="1" x14ac:dyDescent="0.2">
      <c r="B76" s="38" t="s">
        <v>69</v>
      </c>
    </row>
    <row r="77" spans="1:33" ht="15" customHeight="1" x14ac:dyDescent="0.2">
      <c r="B77" s="38" t="s">
        <v>529</v>
      </c>
    </row>
    <row r="78" spans="1:33" ht="15" customHeight="1" x14ac:dyDescent="0.2">
      <c r="B78" s="38" t="s">
        <v>596</v>
      </c>
    </row>
    <row r="79" spans="1:33" x14ac:dyDescent="0.2">
      <c r="B79" s="38" t="s">
        <v>71</v>
      </c>
    </row>
    <row r="80" spans="1:33" ht="15" customHeight="1" x14ac:dyDescent="0.2">
      <c r="B80" s="38" t="s">
        <v>530</v>
      </c>
    </row>
    <row r="81" spans="2:2" x14ac:dyDescent="0.2">
      <c r="B81" s="38" t="s">
        <v>531</v>
      </c>
    </row>
    <row r="82" spans="2:2" ht="15" customHeight="1" x14ac:dyDescent="0.2">
      <c r="B82" s="38" t="s">
        <v>532</v>
      </c>
    </row>
    <row r="83" spans="2:2" ht="15" customHeight="1" x14ac:dyDescent="0.2">
      <c r="B83" s="38" t="s">
        <v>533</v>
      </c>
    </row>
    <row r="84" spans="2:2" ht="15" customHeight="1" x14ac:dyDescent="0.2">
      <c r="B84" s="38" t="s">
        <v>534</v>
      </c>
    </row>
    <row r="85" spans="2:2" ht="15" customHeight="1" x14ac:dyDescent="0.2">
      <c r="B85" s="38" t="s">
        <v>535</v>
      </c>
    </row>
    <row r="86" spans="2:2" ht="15" customHeight="1" x14ac:dyDescent="0.2">
      <c r="B86" s="38" t="s">
        <v>192</v>
      </c>
    </row>
    <row r="87" spans="2:2" ht="15" customHeight="1" x14ac:dyDescent="0.2">
      <c r="B87" s="38" t="s">
        <v>72</v>
      </c>
    </row>
    <row r="88" spans="2:2" ht="15" customHeight="1" x14ac:dyDescent="0.2">
      <c r="B88" s="38" t="s">
        <v>536</v>
      </c>
    </row>
    <row r="89" spans="2:2" ht="15" customHeight="1" x14ac:dyDescent="0.2">
      <c r="B89" s="38" t="s">
        <v>595</v>
      </c>
    </row>
    <row r="90" spans="2:2" ht="15" customHeight="1" x14ac:dyDescent="0.2">
      <c r="B90" s="38" t="s">
        <v>73</v>
      </c>
    </row>
    <row r="91" spans="2:2" ht="15" customHeight="1" x14ac:dyDescent="0.2">
      <c r="B91" s="38" t="s">
        <v>538</v>
      </c>
    </row>
    <row r="92" spans="2:2" x14ac:dyDescent="0.2">
      <c r="B92" s="38" t="s">
        <v>539</v>
      </c>
    </row>
    <row r="93" spans="2:2" ht="15" customHeight="1" x14ac:dyDescent="0.2">
      <c r="B93" s="38" t="s">
        <v>74</v>
      </c>
    </row>
    <row r="94" spans="2:2" ht="15" customHeight="1" x14ac:dyDescent="0.2">
      <c r="B94" s="38" t="s">
        <v>540</v>
      </c>
    </row>
    <row r="95" spans="2:2" ht="15" customHeight="1" x14ac:dyDescent="0.2">
      <c r="B95" s="38" t="s">
        <v>541</v>
      </c>
    </row>
    <row r="96" spans="2:2" ht="15" customHeight="1" x14ac:dyDescent="0.2">
      <c r="B96" s="38" t="s">
        <v>542</v>
      </c>
    </row>
    <row r="97" spans="2:33" ht="15" customHeight="1" x14ac:dyDescent="0.2">
      <c r="B97" s="38" t="s">
        <v>543</v>
      </c>
    </row>
    <row r="98" spans="2:33" ht="15" customHeight="1" x14ac:dyDescent="0.2">
      <c r="B98" s="38" t="s">
        <v>544</v>
      </c>
    </row>
    <row r="99" spans="2:33" ht="15" customHeight="1" x14ac:dyDescent="0.2">
      <c r="B99" s="38" t="s">
        <v>594</v>
      </c>
    </row>
    <row r="100" spans="2:33" ht="15" customHeight="1" x14ac:dyDescent="0.2">
      <c r="B100" s="38" t="s">
        <v>593</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5" x14ac:dyDescent="0.25"/>
  <cols>
    <col min="1" max="1" width="18.7109375" customWidth="1"/>
    <col min="2" max="2" width="54.85546875" customWidth="1"/>
  </cols>
  <sheetData>
    <row r="1" spans="1:33" x14ac:dyDescent="0.25">
      <c r="A1" t="s">
        <v>1520</v>
      </c>
    </row>
    <row r="2" spans="1:33" x14ac:dyDescent="0.25">
      <c r="A2" t="s">
        <v>1519</v>
      </c>
    </row>
    <row r="3" spans="1:33" x14ac:dyDescent="0.25">
      <c r="A3" t="s">
        <v>1518</v>
      </c>
    </row>
    <row r="4" spans="1:33" x14ac:dyDescent="0.25">
      <c r="A4" t="s">
        <v>1094</v>
      </c>
    </row>
    <row r="5" spans="1:33" x14ac:dyDescent="0.25">
      <c r="B5" t="s">
        <v>1095</v>
      </c>
      <c r="C5" t="s">
        <v>1096</v>
      </c>
      <c r="D5" t="s">
        <v>1097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1098</v>
      </c>
    </row>
    <row r="6" spans="1:33" x14ac:dyDescent="0.25">
      <c r="A6" t="s">
        <v>46</v>
      </c>
    </row>
    <row r="7" spans="1:33" s="483" customFormat="1" x14ac:dyDescent="0.25">
      <c r="A7" s="483" t="s">
        <v>1517</v>
      </c>
      <c r="B7" s="483" t="s">
        <v>1516</v>
      </c>
      <c r="C7" s="483" t="s">
        <v>1515</v>
      </c>
      <c r="D7" s="483" t="s">
        <v>1452</v>
      </c>
      <c r="F7" s="483">
        <v>27.464071000000001</v>
      </c>
      <c r="G7" s="483">
        <v>28.262267999999999</v>
      </c>
      <c r="H7" s="483">
        <v>28.541277000000001</v>
      </c>
      <c r="I7" s="483">
        <v>28.920041999999999</v>
      </c>
      <c r="J7" s="483">
        <v>28.912859000000001</v>
      </c>
      <c r="K7" s="483">
        <v>28.885859</v>
      </c>
      <c r="L7" s="483">
        <v>28.679307999999999</v>
      </c>
      <c r="M7" s="483">
        <v>28.304096000000001</v>
      </c>
      <c r="N7" s="483">
        <v>27.836265999999998</v>
      </c>
      <c r="O7" s="483">
        <v>27.619070000000001</v>
      </c>
      <c r="P7" s="483">
        <v>27.394928</v>
      </c>
      <c r="Q7" s="483">
        <v>26.821155999999998</v>
      </c>
      <c r="R7" s="483">
        <v>26.303025999999999</v>
      </c>
      <c r="S7" s="483">
        <v>25.84412</v>
      </c>
      <c r="T7" s="483">
        <v>25.384385999999999</v>
      </c>
      <c r="U7" s="483">
        <v>25.005167</v>
      </c>
      <c r="V7" s="483">
        <v>24.713476</v>
      </c>
      <c r="W7" s="483">
        <v>24.388079000000001</v>
      </c>
      <c r="X7" s="483">
        <v>24.236376</v>
      </c>
      <c r="Y7" s="483">
        <v>23.936176</v>
      </c>
      <c r="Z7" s="483">
        <v>23.837074000000001</v>
      </c>
      <c r="AA7" s="483">
        <v>23.875831999999999</v>
      </c>
      <c r="AB7" s="483">
        <v>23.736609000000001</v>
      </c>
      <c r="AC7" s="483">
        <v>23.543897999999999</v>
      </c>
      <c r="AD7" s="483">
        <v>23.332934999999999</v>
      </c>
      <c r="AE7" s="483">
        <v>23.274857999999998</v>
      </c>
      <c r="AF7" s="483">
        <v>23.169499999999999</v>
      </c>
      <c r="AG7" s="484">
        <v>-7.0000000000000001E-3</v>
      </c>
    </row>
    <row r="8" spans="1:33" s="483" customFormat="1" x14ac:dyDescent="0.25">
      <c r="A8" s="483" t="s">
        <v>1143</v>
      </c>
      <c r="B8" s="483" t="s">
        <v>1514</v>
      </c>
      <c r="C8" s="483" t="s">
        <v>1513</v>
      </c>
      <c r="D8" s="483" t="s">
        <v>1452</v>
      </c>
      <c r="F8" s="483">
        <v>8.9447690000000009</v>
      </c>
      <c r="G8" s="483">
        <v>9.0518099999999997</v>
      </c>
      <c r="H8" s="483">
        <v>9.6017100000000006</v>
      </c>
      <c r="I8" s="483">
        <v>9.8761779999999995</v>
      </c>
      <c r="J8" s="483">
        <v>9.8714150000000007</v>
      </c>
      <c r="K8" s="483">
        <v>9.9262230000000002</v>
      </c>
      <c r="L8" s="483">
        <v>10.00989</v>
      </c>
      <c r="M8" s="483">
        <v>9.8951499999999992</v>
      </c>
      <c r="N8" s="483">
        <v>9.9907350000000008</v>
      </c>
      <c r="O8" s="483">
        <v>10.111236999999999</v>
      </c>
      <c r="P8" s="483">
        <v>10.230657000000001</v>
      </c>
      <c r="Q8" s="483">
        <v>10.516375</v>
      </c>
      <c r="R8" s="483">
        <v>10.493036999999999</v>
      </c>
      <c r="S8" s="483">
        <v>10.495532000000001</v>
      </c>
      <c r="T8" s="483">
        <v>10.641144000000001</v>
      </c>
      <c r="U8" s="483">
        <v>10.687873</v>
      </c>
      <c r="V8" s="483">
        <v>10.727968000000001</v>
      </c>
      <c r="W8" s="483">
        <v>10.720901</v>
      </c>
      <c r="X8" s="483">
        <v>10.776078999999999</v>
      </c>
      <c r="Y8" s="483">
        <v>10.805953000000001</v>
      </c>
      <c r="Z8" s="483">
        <v>10.850080999999999</v>
      </c>
      <c r="AA8" s="483">
        <v>10.89747</v>
      </c>
      <c r="AB8" s="483">
        <v>10.976542</v>
      </c>
      <c r="AC8" s="483">
        <v>11.038014</v>
      </c>
      <c r="AD8" s="483">
        <v>11.041052000000001</v>
      </c>
      <c r="AE8" s="483">
        <v>11.063836</v>
      </c>
      <c r="AF8" s="483">
        <v>11.13463</v>
      </c>
      <c r="AG8" s="484">
        <v>8.0000000000000002E-3</v>
      </c>
    </row>
    <row r="9" spans="1:33" s="483" customFormat="1" x14ac:dyDescent="0.25">
      <c r="A9" s="483" t="s">
        <v>1512</v>
      </c>
      <c r="B9" s="483" t="s">
        <v>1511</v>
      </c>
      <c r="C9" s="483" t="s">
        <v>1510</v>
      </c>
      <c r="D9" s="483" t="s">
        <v>1452</v>
      </c>
      <c r="F9" s="483">
        <v>39.777957999999998</v>
      </c>
      <c r="G9" s="483">
        <v>39.964314000000002</v>
      </c>
      <c r="H9" s="483">
        <v>40.376175000000003</v>
      </c>
      <c r="I9" s="483">
        <v>40.612423</v>
      </c>
      <c r="J9" s="483">
        <v>41.816150999999998</v>
      </c>
      <c r="K9" s="483">
        <v>42.651702999999998</v>
      </c>
      <c r="L9" s="483">
        <v>43.563282000000001</v>
      </c>
      <c r="M9" s="483">
        <v>43.656241999999999</v>
      </c>
      <c r="N9" s="483">
        <v>45.521186999999998</v>
      </c>
      <c r="O9" s="483">
        <v>45.501274000000002</v>
      </c>
      <c r="P9" s="483">
        <v>45.491351999999999</v>
      </c>
      <c r="Q9" s="483">
        <v>45.081741000000001</v>
      </c>
      <c r="R9" s="483">
        <v>44.722285999999997</v>
      </c>
      <c r="S9" s="483">
        <v>44.078887999999999</v>
      </c>
      <c r="T9" s="483">
        <v>43.848736000000002</v>
      </c>
      <c r="U9" s="483">
        <v>43.464911999999998</v>
      </c>
      <c r="V9" s="483">
        <v>43.734524</v>
      </c>
      <c r="W9" s="483">
        <v>44.301231000000001</v>
      </c>
      <c r="X9" s="483">
        <v>44.546782999999998</v>
      </c>
      <c r="Y9" s="483">
        <v>44.735222</v>
      </c>
      <c r="Z9" s="483">
        <v>44.901122999999998</v>
      </c>
      <c r="AA9" s="483">
        <v>45.162959999999998</v>
      </c>
      <c r="AB9" s="483">
        <v>45.552684999999997</v>
      </c>
      <c r="AC9" s="483">
        <v>45.824455</v>
      </c>
      <c r="AD9" s="483">
        <v>45.987712999999999</v>
      </c>
      <c r="AE9" s="483">
        <v>46.202480000000001</v>
      </c>
      <c r="AF9" s="483">
        <v>46.360294000000003</v>
      </c>
      <c r="AG9" s="484">
        <v>6.0000000000000001E-3</v>
      </c>
    </row>
    <row r="10" spans="1:33" s="486" customFormat="1" x14ac:dyDescent="0.25">
      <c r="A10" s="486" t="s">
        <v>226</v>
      </c>
      <c r="B10" s="486" t="s">
        <v>1509</v>
      </c>
      <c r="C10" s="486" t="s">
        <v>1508</v>
      </c>
      <c r="D10" s="486" t="s">
        <v>1452</v>
      </c>
      <c r="F10" s="486">
        <v>10.264849999999999</v>
      </c>
      <c r="G10" s="486">
        <v>10.131456</v>
      </c>
      <c r="H10" s="486">
        <v>9.2934970000000003</v>
      </c>
      <c r="I10" s="486">
        <v>8.2769279999999998</v>
      </c>
      <c r="J10" s="486">
        <v>8.2348909999999993</v>
      </c>
      <c r="K10" s="486">
        <v>7.8908149999999999</v>
      </c>
      <c r="L10" s="486">
        <v>7.0840399999999999</v>
      </c>
      <c r="M10" s="486">
        <v>6.7873130000000002</v>
      </c>
      <c r="N10" s="486">
        <v>4.3133929999999996</v>
      </c>
      <c r="O10" s="486">
        <v>4.312983</v>
      </c>
      <c r="P10" s="486">
        <v>4.2677050000000003</v>
      </c>
      <c r="Q10" s="486">
        <v>4.2984210000000003</v>
      </c>
      <c r="R10" s="486">
        <v>4.2260289999999996</v>
      </c>
      <c r="S10" s="486">
        <v>4.2382309999999999</v>
      </c>
      <c r="T10" s="486">
        <v>4.1615320000000002</v>
      </c>
      <c r="U10" s="486">
        <v>3.857612</v>
      </c>
      <c r="V10" s="486">
        <v>3.8928319999999998</v>
      </c>
      <c r="W10" s="486">
        <v>3.8492950000000001</v>
      </c>
      <c r="X10" s="486">
        <v>3.8536760000000001</v>
      </c>
      <c r="Y10" s="486">
        <v>3.865084</v>
      </c>
      <c r="Z10" s="486">
        <v>3.8757769999999998</v>
      </c>
      <c r="AA10" s="486">
        <v>3.9172259999999999</v>
      </c>
      <c r="AB10" s="486">
        <v>3.7810700000000002</v>
      </c>
      <c r="AC10" s="486">
        <v>3.8151899999999999</v>
      </c>
      <c r="AD10" s="486">
        <v>3.8247789999999999</v>
      </c>
      <c r="AE10" s="486">
        <v>3.8427159999999998</v>
      </c>
      <c r="AF10" s="486">
        <v>3.797269</v>
      </c>
      <c r="AG10" s="487">
        <v>-3.7999999999999999E-2</v>
      </c>
    </row>
    <row r="11" spans="1:33" x14ac:dyDescent="0.25">
      <c r="A11" t="s">
        <v>1468</v>
      </c>
      <c r="B11" t="s">
        <v>1507</v>
      </c>
      <c r="C11" t="s">
        <v>1506</v>
      </c>
      <c r="D11" t="s">
        <v>1452</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485">
        <v>0</v>
      </c>
    </row>
    <row r="12" spans="1:33" x14ac:dyDescent="0.25">
      <c r="A12" t="s">
        <v>1465</v>
      </c>
      <c r="B12" t="s">
        <v>1505</v>
      </c>
      <c r="C12" t="s">
        <v>1504</v>
      </c>
      <c r="D12" t="s">
        <v>1452</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485">
        <v>5.0000000000000001E-3</v>
      </c>
    </row>
    <row r="13" spans="1:33" x14ac:dyDescent="0.25">
      <c r="A13" t="s">
        <v>1462</v>
      </c>
      <c r="B13" t="s">
        <v>1503</v>
      </c>
      <c r="C13" t="s">
        <v>1502</v>
      </c>
      <c r="D13" t="s">
        <v>1452</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485">
        <v>1E-3</v>
      </c>
    </row>
    <row r="14" spans="1:33" x14ac:dyDescent="0.25">
      <c r="A14" t="s">
        <v>1459</v>
      </c>
      <c r="B14" t="s">
        <v>1501</v>
      </c>
      <c r="C14" t="s">
        <v>1500</v>
      </c>
      <c r="D14" t="s">
        <v>1452</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485">
        <v>0.06</v>
      </c>
    </row>
    <row r="15" spans="1:33" x14ac:dyDescent="0.25">
      <c r="A15" t="s">
        <v>1185</v>
      </c>
      <c r="B15" t="s">
        <v>1499</v>
      </c>
      <c r="C15" t="s">
        <v>1498</v>
      </c>
      <c r="D15" t="s">
        <v>1452</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485">
        <v>-3.9E-2</v>
      </c>
    </row>
    <row r="16" spans="1:33" x14ac:dyDescent="0.25">
      <c r="A16" t="s">
        <v>11</v>
      </c>
      <c r="B16" t="s">
        <v>1497</v>
      </c>
      <c r="C16" t="s">
        <v>1496</v>
      </c>
      <c r="D16" t="s">
        <v>1452</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485">
        <v>2E-3</v>
      </c>
    </row>
    <row r="17" spans="1:33" x14ac:dyDescent="0.25">
      <c r="A17" t="s">
        <v>56</v>
      </c>
    </row>
    <row r="18" spans="1:33" x14ac:dyDescent="0.25">
      <c r="A18" t="s">
        <v>1099</v>
      </c>
      <c r="B18" t="s">
        <v>1495</v>
      </c>
      <c r="C18" t="s">
        <v>1494</v>
      </c>
      <c r="D18" t="s">
        <v>1452</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485">
        <v>8.0000000000000002E-3</v>
      </c>
    </row>
    <row r="19" spans="1:33" x14ac:dyDescent="0.25">
      <c r="A19" t="s">
        <v>1475</v>
      </c>
      <c r="B19" t="s">
        <v>1493</v>
      </c>
      <c r="C19" t="s">
        <v>1492</v>
      </c>
      <c r="D19" t="s">
        <v>1452</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485">
        <v>-5.0000000000000001E-3</v>
      </c>
    </row>
    <row r="20" spans="1:33" x14ac:dyDescent="0.25">
      <c r="A20" t="s">
        <v>269</v>
      </c>
      <c r="B20" t="s">
        <v>1491</v>
      </c>
      <c r="C20" t="s">
        <v>1490</v>
      </c>
      <c r="D20" t="s">
        <v>1452</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485">
        <v>-6.0000000000000001E-3</v>
      </c>
    </row>
    <row r="21" spans="1:33" x14ac:dyDescent="0.25">
      <c r="A21" t="s">
        <v>1185</v>
      </c>
      <c r="B21" t="s">
        <v>1489</v>
      </c>
      <c r="C21" t="s">
        <v>1488</v>
      </c>
      <c r="D21" t="s">
        <v>1452</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485">
        <v>3.6999999999999998E-2</v>
      </c>
    </row>
    <row r="22" spans="1:33" x14ac:dyDescent="0.25">
      <c r="A22" t="s">
        <v>11</v>
      </c>
      <c r="B22" t="s">
        <v>1487</v>
      </c>
      <c r="C22" t="s">
        <v>1486</v>
      </c>
      <c r="D22" t="s">
        <v>1452</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485">
        <v>4.0000000000000001E-3</v>
      </c>
    </row>
    <row r="23" spans="1:33" x14ac:dyDescent="0.25">
      <c r="A23" t="s">
        <v>59</v>
      </c>
    </row>
    <row r="24" spans="1:33" x14ac:dyDescent="0.25">
      <c r="A24" t="s">
        <v>1475</v>
      </c>
      <c r="B24" t="s">
        <v>1485</v>
      </c>
      <c r="C24" t="s">
        <v>1484</v>
      </c>
      <c r="D24" t="s">
        <v>1452</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485">
        <v>1.2E-2</v>
      </c>
    </row>
    <row r="25" spans="1:33" x14ac:dyDescent="0.25">
      <c r="A25" t="s">
        <v>269</v>
      </c>
      <c r="B25" t="s">
        <v>1483</v>
      </c>
      <c r="C25" t="s">
        <v>1482</v>
      </c>
      <c r="D25" t="s">
        <v>1452</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485">
        <v>2.1000000000000001E-2</v>
      </c>
    </row>
    <row r="26" spans="1:33" x14ac:dyDescent="0.25">
      <c r="A26" t="s">
        <v>226</v>
      </c>
      <c r="B26" t="s">
        <v>1481</v>
      </c>
      <c r="C26" t="s">
        <v>1480</v>
      </c>
      <c r="D26" t="s">
        <v>1452</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485">
        <v>6.0000000000000001E-3</v>
      </c>
    </row>
    <row r="27" spans="1:33" x14ac:dyDescent="0.25">
      <c r="A27" t="s">
        <v>11</v>
      </c>
      <c r="B27" t="s">
        <v>1479</v>
      </c>
      <c r="C27" t="s">
        <v>1478</v>
      </c>
      <c r="D27" t="s">
        <v>1452</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485">
        <v>1.4E-2</v>
      </c>
    </row>
    <row r="28" spans="1:33" x14ac:dyDescent="0.25">
      <c r="A28" t="s">
        <v>1234</v>
      </c>
      <c r="B28" t="s">
        <v>1477</v>
      </c>
      <c r="C28" t="s">
        <v>1476</v>
      </c>
      <c r="D28" t="s">
        <v>1452</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485">
        <v>-4.9000000000000002E-2</v>
      </c>
    </row>
    <row r="29" spans="1:33" x14ac:dyDescent="0.25">
      <c r="A29" t="s">
        <v>61</v>
      </c>
    </row>
    <row r="30" spans="1:33" x14ac:dyDescent="0.25">
      <c r="A30" t="s">
        <v>1475</v>
      </c>
      <c r="B30" t="s">
        <v>1474</v>
      </c>
      <c r="C30" t="s">
        <v>1473</v>
      </c>
      <c r="D30" t="s">
        <v>1452</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485">
        <v>-8.0000000000000002E-3</v>
      </c>
    </row>
    <row r="31" spans="1:33" x14ac:dyDescent="0.25">
      <c r="A31" t="s">
        <v>269</v>
      </c>
      <c r="B31" t="s">
        <v>1472</v>
      </c>
      <c r="C31" t="s">
        <v>1471</v>
      </c>
      <c r="D31" t="s">
        <v>1452</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485">
        <v>1E-3</v>
      </c>
    </row>
    <row r="32" spans="1:33" x14ac:dyDescent="0.25">
      <c r="A32" t="s">
        <v>226</v>
      </c>
      <c r="B32" t="s">
        <v>1470</v>
      </c>
      <c r="C32" t="s">
        <v>1469</v>
      </c>
      <c r="D32" t="s">
        <v>1452</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485">
        <v>-9.1999999999999998E-2</v>
      </c>
    </row>
    <row r="33" spans="1:34" x14ac:dyDescent="0.25">
      <c r="A33" t="s">
        <v>1468</v>
      </c>
      <c r="B33" t="s">
        <v>1467</v>
      </c>
      <c r="C33" t="s">
        <v>1466</v>
      </c>
      <c r="D33" t="s">
        <v>1452</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485">
        <v>0</v>
      </c>
    </row>
    <row r="34" spans="1:34" x14ac:dyDescent="0.25">
      <c r="A34" t="s">
        <v>1465</v>
      </c>
      <c r="B34" t="s">
        <v>1464</v>
      </c>
      <c r="C34" t="s">
        <v>1463</v>
      </c>
      <c r="D34" t="s">
        <v>1452</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485">
        <v>5.0000000000000001E-3</v>
      </c>
    </row>
    <row r="35" spans="1:34" x14ac:dyDescent="0.25">
      <c r="A35" t="s">
        <v>1462</v>
      </c>
      <c r="B35" t="s">
        <v>1461</v>
      </c>
      <c r="C35" t="s">
        <v>1460</v>
      </c>
      <c r="D35" t="s">
        <v>1452</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485">
        <v>2E-3</v>
      </c>
    </row>
    <row r="36" spans="1:34" x14ac:dyDescent="0.25">
      <c r="A36" t="s">
        <v>1459</v>
      </c>
      <c r="B36" t="s">
        <v>1458</v>
      </c>
      <c r="C36" t="s">
        <v>1457</v>
      </c>
      <c r="D36" t="s">
        <v>1452</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485">
        <v>0.06</v>
      </c>
    </row>
    <row r="37" spans="1:34" x14ac:dyDescent="0.25">
      <c r="A37" t="s">
        <v>1185</v>
      </c>
      <c r="B37" t="s">
        <v>1456</v>
      </c>
      <c r="C37" t="s">
        <v>1455</v>
      </c>
      <c r="D37" t="s">
        <v>1452</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485">
        <v>1.9E-2</v>
      </c>
    </row>
    <row r="38" spans="1:34" x14ac:dyDescent="0.25">
      <c r="A38" t="s">
        <v>11</v>
      </c>
      <c r="B38" t="s">
        <v>1454</v>
      </c>
      <c r="C38" t="s">
        <v>1453</v>
      </c>
      <c r="D38" t="s">
        <v>1452</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485">
        <v>-2E-3</v>
      </c>
    </row>
    <row r="39" spans="1:34" x14ac:dyDescent="0.25">
      <c r="A39" t="s">
        <v>1451</v>
      </c>
    </row>
    <row r="40" spans="1:34" x14ac:dyDescent="0.25">
      <c r="A40" t="s">
        <v>1433</v>
      </c>
      <c r="B40" t="s">
        <v>1450</v>
      </c>
      <c r="C40" t="s">
        <v>1449</v>
      </c>
      <c r="D40" t="s">
        <v>1446</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485">
        <v>5.0000000000000001E-3</v>
      </c>
    </row>
    <row r="41" spans="1:34" x14ac:dyDescent="0.25">
      <c r="A41" t="s">
        <v>1430</v>
      </c>
      <c r="B41" t="s">
        <v>1448</v>
      </c>
      <c r="C41" t="s">
        <v>1447</v>
      </c>
      <c r="D41" t="s">
        <v>1446</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485">
        <v>6.0000000000000001E-3</v>
      </c>
    </row>
    <row r="42" spans="1:34" x14ac:dyDescent="0.25">
      <c r="A42" t="s">
        <v>1426</v>
      </c>
      <c r="B42" t="s">
        <v>1445</v>
      </c>
      <c r="C42" t="s">
        <v>1444</v>
      </c>
      <c r="D42" t="s">
        <v>1436</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485">
        <v>3.3000000000000002E-2</v>
      </c>
    </row>
    <row r="43" spans="1:34" x14ac:dyDescent="0.25">
      <c r="A43" t="s">
        <v>226</v>
      </c>
      <c r="B43" t="s">
        <v>1423</v>
      </c>
      <c r="C43" t="s">
        <v>1443</v>
      </c>
      <c r="D43" t="s">
        <v>1442</v>
      </c>
      <c r="E43" t="s">
        <v>1441</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485">
        <v>3.1E-2</v>
      </c>
    </row>
    <row r="44" spans="1:34" x14ac:dyDescent="0.25">
      <c r="A44" t="s">
        <v>226</v>
      </c>
      <c r="B44" t="s">
        <v>1419</v>
      </c>
      <c r="C44" t="s">
        <v>1440</v>
      </c>
      <c r="D44" t="s">
        <v>1439</v>
      </c>
      <c r="E44" t="s">
        <v>1436</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485">
        <v>2.3E-2</v>
      </c>
    </row>
    <row r="45" spans="1:34" x14ac:dyDescent="0.25">
      <c r="A45" t="s">
        <v>226</v>
      </c>
      <c r="B45" t="s">
        <v>1416</v>
      </c>
      <c r="C45" t="s">
        <v>1438</v>
      </c>
      <c r="D45" t="s">
        <v>1437</v>
      </c>
      <c r="E45" t="s">
        <v>1436</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485">
        <v>2.1000000000000001E-2</v>
      </c>
    </row>
    <row r="46" spans="1:34" x14ac:dyDescent="0.25">
      <c r="A46" t="s">
        <v>1412</v>
      </c>
      <c r="B46" t="s">
        <v>1435</v>
      </c>
      <c r="C46" t="s">
        <v>1434</v>
      </c>
      <c r="D46" t="s">
        <v>1279</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485">
        <v>-2E-3</v>
      </c>
    </row>
    <row r="47" spans="1:34" x14ac:dyDescent="0.25">
      <c r="A47" t="s">
        <v>67</v>
      </c>
    </row>
    <row r="48" spans="1:34" x14ac:dyDescent="0.25">
      <c r="A48" t="s">
        <v>1433</v>
      </c>
      <c r="B48" t="s">
        <v>1432</v>
      </c>
      <c r="C48" t="s">
        <v>1431</v>
      </c>
      <c r="D48" t="s">
        <v>1427</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485">
        <v>2.5999999999999999E-2</v>
      </c>
    </row>
    <row r="49" spans="1:34" x14ac:dyDescent="0.25">
      <c r="A49" t="s">
        <v>1430</v>
      </c>
      <c r="B49" t="s">
        <v>1429</v>
      </c>
      <c r="C49" t="s">
        <v>1428</v>
      </c>
      <c r="D49" t="s">
        <v>1427</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485">
        <v>2.7E-2</v>
      </c>
    </row>
    <row r="50" spans="1:34" x14ac:dyDescent="0.25">
      <c r="A50" t="s">
        <v>1426</v>
      </c>
      <c r="B50" t="s">
        <v>1425</v>
      </c>
      <c r="C50" t="s">
        <v>1424</v>
      </c>
      <c r="D50" t="s">
        <v>1413</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485">
        <v>5.5E-2</v>
      </c>
    </row>
    <row r="51" spans="1:34" x14ac:dyDescent="0.25">
      <c r="A51" t="s">
        <v>226</v>
      </c>
      <c r="B51" t="s">
        <v>1423</v>
      </c>
      <c r="C51" t="s">
        <v>1422</v>
      </c>
      <c r="D51" t="s">
        <v>1421</v>
      </c>
      <c r="E51" t="s">
        <v>1420</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485">
        <v>5.1999999999999998E-2</v>
      </c>
    </row>
    <row r="52" spans="1:34" x14ac:dyDescent="0.25">
      <c r="A52" t="s">
        <v>226</v>
      </c>
      <c r="B52" t="s">
        <v>1419</v>
      </c>
      <c r="C52" t="s">
        <v>1418</v>
      </c>
      <c r="D52" t="s">
        <v>1417</v>
      </c>
      <c r="E52" t="s">
        <v>1413</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485">
        <v>4.3999999999999997E-2</v>
      </c>
    </row>
    <row r="53" spans="1:34" x14ac:dyDescent="0.25">
      <c r="A53" t="s">
        <v>226</v>
      </c>
      <c r="B53" t="s">
        <v>1416</v>
      </c>
      <c r="C53" t="s">
        <v>1415</v>
      </c>
      <c r="D53" t="s">
        <v>1414</v>
      </c>
      <c r="E53" t="s">
        <v>1413</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485">
        <v>4.2999999999999997E-2</v>
      </c>
    </row>
    <row r="54" spans="1:34" x14ac:dyDescent="0.25">
      <c r="A54" t="s">
        <v>1412</v>
      </c>
      <c r="B54" t="s">
        <v>1411</v>
      </c>
      <c r="C54" t="s">
        <v>1410</v>
      </c>
      <c r="D54" t="s">
        <v>1269</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485">
        <v>1.9E-2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368</v>
      </c>
      <c r="B10" s="54" t="s">
        <v>117</v>
      </c>
      <c r="AG10" s="51" t="s">
        <v>604</v>
      </c>
    </row>
    <row r="11" spans="1:33" ht="15" customHeight="1" x14ac:dyDescent="0.2">
      <c r="B11" s="53" t="s">
        <v>118</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2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2">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613</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557</v>
      </c>
    </row>
    <row r="101" spans="1:33" x14ac:dyDescent="0.2">
      <c r="B101" s="38" t="s">
        <v>546</v>
      </c>
    </row>
    <row r="102" spans="1:33" x14ac:dyDescent="0.2">
      <c r="B102" s="38" t="s">
        <v>547</v>
      </c>
    </row>
    <row r="103" spans="1:33" ht="15" customHeight="1" x14ac:dyDescent="0.2">
      <c r="B103" s="38" t="s">
        <v>548</v>
      </c>
    </row>
    <row r="104" spans="1:33" ht="15" customHeight="1" x14ac:dyDescent="0.2">
      <c r="B104" s="38" t="s">
        <v>549</v>
      </c>
    </row>
    <row r="105" spans="1:33" ht="15" customHeight="1" x14ac:dyDescent="0.2">
      <c r="B105" s="38" t="s">
        <v>550</v>
      </c>
    </row>
    <row r="106" spans="1:33" ht="15" customHeight="1" x14ac:dyDescent="0.2">
      <c r="B106" s="38" t="s">
        <v>551</v>
      </c>
    </row>
    <row r="107" spans="1:33" ht="15" customHeight="1" x14ac:dyDescent="0.2">
      <c r="B107" s="38" t="s">
        <v>164</v>
      </c>
    </row>
    <row r="108" spans="1:33" ht="15" customHeight="1" x14ac:dyDescent="0.2">
      <c r="B108" s="38" t="s">
        <v>552</v>
      </c>
    </row>
    <row r="109" spans="1:33" ht="15" customHeight="1" x14ac:dyDescent="0.2">
      <c r="B109" s="38" t="s">
        <v>76</v>
      </c>
    </row>
    <row r="110" spans="1:33" ht="15" customHeight="1" x14ac:dyDescent="0.2">
      <c r="B110" s="38" t="s">
        <v>77</v>
      </c>
    </row>
    <row r="111" spans="1:33" ht="15" customHeight="1" x14ac:dyDescent="0.2">
      <c r="B111" s="38" t="s">
        <v>553</v>
      </c>
    </row>
    <row r="112" spans="1:33" ht="15" customHeight="1" x14ac:dyDescent="0.2">
      <c r="B112" s="478" t="s">
        <v>558</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spans="2:2" ht="15" customHeight="1" x14ac:dyDescent="0.2">
      <c r="B113" s="38" t="s">
        <v>554</v>
      </c>
    </row>
    <row r="114" spans="2:2" ht="15" customHeight="1" x14ac:dyDescent="0.2">
      <c r="B114" s="38" t="s">
        <v>555</v>
      </c>
    </row>
    <row r="115" spans="2:2" ht="15" customHeight="1" x14ac:dyDescent="0.2">
      <c r="B115" s="38" t="s">
        <v>556</v>
      </c>
    </row>
    <row r="116" spans="2:2" ht="15" customHeight="1" x14ac:dyDescent="0.2">
      <c r="B116" s="38" t="s">
        <v>165</v>
      </c>
    </row>
    <row r="117" spans="2:2" ht="15" customHeight="1" x14ac:dyDescent="0.2">
      <c r="B117" s="38" t="s">
        <v>543</v>
      </c>
    </row>
    <row r="118" spans="2:2" ht="15" customHeight="1" x14ac:dyDescent="0.2">
      <c r="B118" s="38" t="s">
        <v>544</v>
      </c>
    </row>
    <row r="119" spans="2:2" ht="15" customHeight="1" x14ac:dyDescent="0.2">
      <c r="B119" s="38" t="s">
        <v>612</v>
      </c>
    </row>
    <row r="120" spans="2:2" ht="15" customHeight="1" x14ac:dyDescent="0.2">
      <c r="B120" s="38" t="s">
        <v>611</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2">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2">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2">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9" t="s">
        <v>636</v>
      </c>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58"/>
    </row>
    <row r="101" spans="1:34" ht="12" x14ac:dyDescent="0.2">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8" t="s">
        <v>558</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2">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2">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2">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2">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2">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2">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2">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2">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2">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2">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2">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2">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2">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2">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2">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2">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2">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2">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2">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5" x14ac:dyDescent="0.25"/>
  <cols>
    <col min="1" max="1" width="13.5703125" customWidth="1"/>
    <col min="2" max="2" width="47.85546875" customWidth="1"/>
  </cols>
  <sheetData>
    <row r="1" spans="1:33" x14ac:dyDescent="0.25">
      <c r="A1" t="s">
        <v>1409</v>
      </c>
    </row>
    <row r="2" spans="1:33" x14ac:dyDescent="0.25">
      <c r="A2" t="s">
        <v>1408</v>
      </c>
    </row>
    <row r="3" spans="1:33" x14ac:dyDescent="0.25">
      <c r="A3" t="s">
        <v>1407</v>
      </c>
    </row>
    <row r="4" spans="1:33" x14ac:dyDescent="0.25">
      <c r="A4" t="s">
        <v>1094</v>
      </c>
    </row>
    <row r="5" spans="1:33" x14ac:dyDescent="0.25">
      <c r="B5" t="s">
        <v>1095</v>
      </c>
      <c r="C5" t="s">
        <v>1096</v>
      </c>
      <c r="D5" t="s">
        <v>1097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1098</v>
      </c>
    </row>
    <row r="6" spans="1:33" x14ac:dyDescent="0.25">
      <c r="A6" t="s">
        <v>120</v>
      </c>
    </row>
    <row r="7" spans="1:33" x14ac:dyDescent="0.25">
      <c r="A7" t="s">
        <v>1406</v>
      </c>
    </row>
    <row r="8" spans="1:33" x14ac:dyDescent="0.25">
      <c r="A8" t="s">
        <v>1405</v>
      </c>
    </row>
    <row r="9" spans="1:33" s="486" customFormat="1" x14ac:dyDescent="0.25">
      <c r="A9" s="486" t="s">
        <v>226</v>
      </c>
      <c r="B9" s="486" t="s">
        <v>1404</v>
      </c>
      <c r="C9" s="486" t="s">
        <v>1403</v>
      </c>
      <c r="D9" s="486" t="s">
        <v>1302</v>
      </c>
      <c r="F9" s="486">
        <v>648.30139199999996</v>
      </c>
      <c r="G9" s="486">
        <v>656.17211899999995</v>
      </c>
      <c r="H9" s="486">
        <v>565.657104</v>
      </c>
      <c r="I9" s="486">
        <v>450.2276</v>
      </c>
      <c r="J9" s="486">
        <v>433.82659899999999</v>
      </c>
      <c r="K9" s="486">
        <v>411.406586</v>
      </c>
      <c r="L9" s="486">
        <v>335.806915</v>
      </c>
      <c r="M9" s="486">
        <v>309.12512199999998</v>
      </c>
      <c r="N9" s="486">
        <v>67.686012000000005</v>
      </c>
      <c r="O9" s="486">
        <v>67.736923000000004</v>
      </c>
      <c r="P9" s="486">
        <v>65.641425999999996</v>
      </c>
      <c r="Q9" s="486">
        <v>61.754604</v>
      </c>
      <c r="R9" s="486">
        <v>59.323138999999998</v>
      </c>
      <c r="S9" s="486">
        <v>55.271309000000002</v>
      </c>
      <c r="T9" s="486">
        <v>50.305824000000001</v>
      </c>
      <c r="U9" s="486">
        <v>15.246185000000001</v>
      </c>
      <c r="V9" s="486">
        <v>15.276624999999999</v>
      </c>
      <c r="W9" s="486">
        <v>15.310402</v>
      </c>
      <c r="X9" s="486">
        <v>15.327474</v>
      </c>
      <c r="Y9" s="486">
        <v>15.363913999999999</v>
      </c>
      <c r="Z9" s="486">
        <v>15.06954</v>
      </c>
      <c r="AA9" s="486">
        <v>13.754477</v>
      </c>
      <c r="AB9" s="486">
        <v>3.278562</v>
      </c>
      <c r="AC9" s="486">
        <v>3.2768519999999999</v>
      </c>
      <c r="AD9" s="486">
        <v>3.2742870000000002</v>
      </c>
      <c r="AE9" s="486">
        <v>3.0372849999999998</v>
      </c>
      <c r="AF9" s="486">
        <v>3.04643</v>
      </c>
      <c r="AG9" s="487">
        <v>-0.186</v>
      </c>
    </row>
    <row r="10" spans="1:33" x14ac:dyDescent="0.25">
      <c r="A10" t="s">
        <v>1337</v>
      </c>
      <c r="B10" t="s">
        <v>1402</v>
      </c>
      <c r="C10" t="s">
        <v>1401</v>
      </c>
      <c r="D10" t="s">
        <v>1302</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485">
        <v>-3.9E-2</v>
      </c>
    </row>
    <row r="11" spans="1:33" x14ac:dyDescent="0.25">
      <c r="A11" t="s">
        <v>269</v>
      </c>
      <c r="B11" t="s">
        <v>1400</v>
      </c>
      <c r="C11" t="s">
        <v>1399</v>
      </c>
      <c r="D11" t="s">
        <v>1302</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485">
        <v>-2E-3</v>
      </c>
    </row>
    <row r="12" spans="1:33" s="486" customFormat="1" x14ac:dyDescent="0.25">
      <c r="A12" s="486" t="s">
        <v>1332</v>
      </c>
      <c r="B12" s="486" t="s">
        <v>1398</v>
      </c>
      <c r="C12" s="486" t="s">
        <v>1397</v>
      </c>
      <c r="D12" s="486" t="s">
        <v>1302</v>
      </c>
      <c r="F12" s="486">
        <v>777.12817399999994</v>
      </c>
      <c r="G12" s="486">
        <v>792.29125999999997</v>
      </c>
      <c r="H12" s="486">
        <v>799.81115699999998</v>
      </c>
      <c r="I12" s="486">
        <v>797.99230999999997</v>
      </c>
      <c r="J12" s="486">
        <v>797.97906499999999</v>
      </c>
      <c r="K12" s="486">
        <v>797.96838400000001</v>
      </c>
      <c r="L12" s="486">
        <v>789.04656999999997</v>
      </c>
      <c r="M12" s="486">
        <v>780.742615</v>
      </c>
      <c r="N12" s="486">
        <v>780.73840299999995</v>
      </c>
      <c r="O12" s="486">
        <v>780.753601</v>
      </c>
      <c r="P12" s="486">
        <v>780.753601</v>
      </c>
      <c r="Q12" s="486">
        <v>778.71734600000002</v>
      </c>
      <c r="R12" s="486">
        <v>773.74438499999997</v>
      </c>
      <c r="S12" s="486">
        <v>777.64660600000002</v>
      </c>
      <c r="T12" s="486">
        <v>777.35607900000002</v>
      </c>
      <c r="U12" s="486">
        <v>775.99267599999996</v>
      </c>
      <c r="V12" s="486">
        <v>775.86566200000004</v>
      </c>
      <c r="W12" s="486">
        <v>775.92944299999999</v>
      </c>
      <c r="X12" s="486">
        <v>775.96227999999996</v>
      </c>
      <c r="Y12" s="486">
        <v>776.00067100000001</v>
      </c>
      <c r="Z12" s="486">
        <v>775.80487100000005</v>
      </c>
      <c r="AA12" s="486">
        <v>775.94567900000004</v>
      </c>
      <c r="AB12" s="486">
        <v>775.59307899999999</v>
      </c>
      <c r="AC12" s="486">
        <v>775.92034899999999</v>
      </c>
      <c r="AD12" s="486">
        <v>775.83007799999996</v>
      </c>
      <c r="AE12" s="486">
        <v>775.65405299999998</v>
      </c>
      <c r="AF12" s="486">
        <v>775.728882</v>
      </c>
      <c r="AG12" s="487">
        <v>0</v>
      </c>
    </row>
    <row r="13" spans="1:33" x14ac:dyDescent="0.25">
      <c r="A13" t="s">
        <v>1396</v>
      </c>
      <c r="B13" t="s">
        <v>1395</v>
      </c>
      <c r="C13" t="s">
        <v>1394</v>
      </c>
      <c r="D13" t="s">
        <v>1302</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485">
        <v>6.9000000000000006E-2</v>
      </c>
    </row>
    <row r="14" spans="1:33" x14ac:dyDescent="0.25">
      <c r="A14" t="s">
        <v>1146</v>
      </c>
      <c r="B14" t="s">
        <v>1393</v>
      </c>
      <c r="C14" t="s">
        <v>1392</v>
      </c>
      <c r="D14" t="s">
        <v>1302</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1181</v>
      </c>
    </row>
    <row r="15" spans="1:33" x14ac:dyDescent="0.25">
      <c r="A15" t="s">
        <v>1329</v>
      </c>
      <c r="B15" t="s">
        <v>1391</v>
      </c>
      <c r="C15" t="s">
        <v>1390</v>
      </c>
      <c r="D15" t="s">
        <v>1302</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485">
        <v>5.2999999999999999E-2</v>
      </c>
    </row>
    <row r="16" spans="1:33" x14ac:dyDescent="0.25">
      <c r="A16" t="s">
        <v>1389</v>
      </c>
      <c r="B16" t="s">
        <v>1388</v>
      </c>
      <c r="C16" t="s">
        <v>1387</v>
      </c>
      <c r="D16" t="s">
        <v>1302</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1181</v>
      </c>
    </row>
    <row r="17" spans="1:33" x14ac:dyDescent="0.25">
      <c r="A17" t="s">
        <v>11</v>
      </c>
      <c r="B17" t="s">
        <v>1386</v>
      </c>
      <c r="C17" t="s">
        <v>1385</v>
      </c>
      <c r="D17" t="s">
        <v>1302</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485">
        <v>1.4999999999999999E-2</v>
      </c>
    </row>
    <row r="18" spans="1:33" x14ac:dyDescent="0.25">
      <c r="A18" t="s">
        <v>1384</v>
      </c>
    </row>
    <row r="19" spans="1:33" x14ac:dyDescent="0.25">
      <c r="A19" t="s">
        <v>226</v>
      </c>
      <c r="B19" t="s">
        <v>1383</v>
      </c>
      <c r="C19" t="s">
        <v>1382</v>
      </c>
      <c r="D19" t="s">
        <v>1302</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485">
        <v>-1</v>
      </c>
    </row>
    <row r="20" spans="1:33" x14ac:dyDescent="0.25">
      <c r="A20" t="s">
        <v>1337</v>
      </c>
      <c r="B20" t="s">
        <v>1381</v>
      </c>
      <c r="C20" t="s">
        <v>1380</v>
      </c>
      <c r="D20" t="s">
        <v>1302</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485">
        <v>-2E-3</v>
      </c>
    </row>
    <row r="21" spans="1:33" x14ac:dyDescent="0.25">
      <c r="A21" t="s">
        <v>269</v>
      </c>
      <c r="B21" t="s">
        <v>1379</v>
      </c>
      <c r="C21" t="s">
        <v>1378</v>
      </c>
      <c r="D21" t="s">
        <v>1302</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485">
        <v>-5.0000000000000001E-3</v>
      </c>
    </row>
    <row r="22" spans="1:33" x14ac:dyDescent="0.25">
      <c r="A22" t="s">
        <v>1329</v>
      </c>
      <c r="B22" t="s">
        <v>1377</v>
      </c>
      <c r="C22" t="s">
        <v>1376</v>
      </c>
      <c r="D22" t="s">
        <v>1302</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485">
        <v>0</v>
      </c>
    </row>
    <row r="23" spans="1:33" x14ac:dyDescent="0.25">
      <c r="A23" t="s">
        <v>1185</v>
      </c>
      <c r="B23" t="s">
        <v>1375</v>
      </c>
      <c r="C23" t="s">
        <v>1374</v>
      </c>
      <c r="D23" t="s">
        <v>1302</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485">
        <v>-6.0000000000000001E-3</v>
      </c>
    </row>
    <row r="24" spans="1:33" x14ac:dyDescent="0.25">
      <c r="A24" t="s">
        <v>11</v>
      </c>
      <c r="B24" t="s">
        <v>1373</v>
      </c>
      <c r="C24" t="s">
        <v>1372</v>
      </c>
      <c r="D24" t="s">
        <v>1302</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485">
        <v>-7.0000000000000001E-3</v>
      </c>
    </row>
    <row r="25" spans="1:33" x14ac:dyDescent="0.25">
      <c r="A25" t="s">
        <v>1371</v>
      </c>
      <c r="B25" t="s">
        <v>1370</v>
      </c>
      <c r="C25" t="s">
        <v>1369</v>
      </c>
      <c r="D25" t="s">
        <v>1302</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485">
        <v>1.4E-2</v>
      </c>
    </row>
    <row r="26" spans="1:33" x14ac:dyDescent="0.25">
      <c r="A26" t="s">
        <v>1346</v>
      </c>
      <c r="B26" t="s">
        <v>1368</v>
      </c>
      <c r="C26" t="s">
        <v>1367</v>
      </c>
      <c r="D26" t="s">
        <v>1302</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485">
        <v>-1.2E-2</v>
      </c>
    </row>
    <row r="27" spans="1:33" x14ac:dyDescent="0.25">
      <c r="A27" t="s">
        <v>1366</v>
      </c>
      <c r="B27" t="s">
        <v>1365</v>
      </c>
      <c r="C27" t="s">
        <v>1364</v>
      </c>
      <c r="D27" t="s">
        <v>1302</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485">
        <v>1.4999999999999999E-2</v>
      </c>
    </row>
    <row r="28" spans="1:33" x14ac:dyDescent="0.25">
      <c r="A28" t="s">
        <v>1363</v>
      </c>
    </row>
    <row r="29" spans="1:33" x14ac:dyDescent="0.25">
      <c r="A29" t="s">
        <v>226</v>
      </c>
      <c r="B29" t="s">
        <v>1362</v>
      </c>
      <c r="C29" t="s">
        <v>1361</v>
      </c>
      <c r="D29" t="s">
        <v>1302</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485">
        <v>-4.0000000000000001E-3</v>
      </c>
    </row>
    <row r="30" spans="1:33" x14ac:dyDescent="0.25">
      <c r="A30" t="s">
        <v>1337</v>
      </c>
      <c r="B30" t="s">
        <v>1360</v>
      </c>
      <c r="C30" t="s">
        <v>1359</v>
      </c>
      <c r="D30" t="s">
        <v>1302</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485">
        <v>-1.9E-2</v>
      </c>
    </row>
    <row r="31" spans="1:33" x14ac:dyDescent="0.25">
      <c r="A31" t="s">
        <v>269</v>
      </c>
      <c r="B31" t="s">
        <v>1358</v>
      </c>
      <c r="C31" t="s">
        <v>1357</v>
      </c>
      <c r="D31" t="s">
        <v>1302</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485">
        <v>6.0000000000000001E-3</v>
      </c>
    </row>
    <row r="32" spans="1:33" x14ac:dyDescent="0.25">
      <c r="A32" t="s">
        <v>1356</v>
      </c>
      <c r="B32" t="s">
        <v>1355</v>
      </c>
      <c r="C32" t="s">
        <v>1354</v>
      </c>
      <c r="D32" t="s">
        <v>1302</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485">
        <v>5.0000000000000001E-3</v>
      </c>
    </row>
    <row r="33" spans="1:33" x14ac:dyDescent="0.25">
      <c r="A33" t="s">
        <v>1329</v>
      </c>
      <c r="B33" t="s">
        <v>1353</v>
      </c>
      <c r="C33" t="s">
        <v>1352</v>
      </c>
      <c r="D33" t="s">
        <v>1302</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485">
        <v>4.8000000000000001E-2</v>
      </c>
    </row>
    <row r="34" spans="1:33" x14ac:dyDescent="0.25">
      <c r="A34" t="s">
        <v>1185</v>
      </c>
      <c r="B34" t="s">
        <v>1351</v>
      </c>
      <c r="C34" t="s">
        <v>1350</v>
      </c>
      <c r="D34" t="s">
        <v>1302</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485">
        <v>7.0000000000000001E-3</v>
      </c>
    </row>
    <row r="35" spans="1:33" x14ac:dyDescent="0.25">
      <c r="A35" t="s">
        <v>1349</v>
      </c>
      <c r="B35" t="s">
        <v>1348</v>
      </c>
      <c r="C35" t="s">
        <v>1347</v>
      </c>
      <c r="D35" t="s">
        <v>1302</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485">
        <v>3.2000000000000001E-2</v>
      </c>
    </row>
    <row r="36" spans="1:33" x14ac:dyDescent="0.25">
      <c r="A36" t="s">
        <v>1346</v>
      </c>
      <c r="B36" t="s">
        <v>1345</v>
      </c>
      <c r="C36" t="s">
        <v>1344</v>
      </c>
      <c r="D36" t="s">
        <v>1302</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485">
        <v>3.4000000000000002E-2</v>
      </c>
    </row>
    <row r="37" spans="1:33" x14ac:dyDescent="0.25">
      <c r="A37" t="s">
        <v>1343</v>
      </c>
      <c r="B37" t="s">
        <v>1342</v>
      </c>
      <c r="C37" t="s">
        <v>1341</v>
      </c>
      <c r="D37" t="s">
        <v>1302</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485">
        <v>2.4E-2</v>
      </c>
    </row>
    <row r="38" spans="1:33" x14ac:dyDescent="0.25">
      <c r="A38" t="s">
        <v>1340</v>
      </c>
    </row>
    <row r="39" spans="1:33" x14ac:dyDescent="0.25">
      <c r="A39" t="s">
        <v>226</v>
      </c>
      <c r="B39" t="s">
        <v>1339</v>
      </c>
      <c r="C39" t="s">
        <v>1338</v>
      </c>
      <c r="D39" t="s">
        <v>1302</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485">
        <v>-0.156</v>
      </c>
    </row>
    <row r="40" spans="1:33" x14ac:dyDescent="0.25">
      <c r="A40" t="s">
        <v>1337</v>
      </c>
      <c r="B40" t="s">
        <v>1336</v>
      </c>
      <c r="C40" t="s">
        <v>1335</v>
      </c>
      <c r="D40" t="s">
        <v>1302</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485">
        <v>-3.5000000000000003E-2</v>
      </c>
    </row>
    <row r="41" spans="1:33" x14ac:dyDescent="0.25">
      <c r="A41" t="s">
        <v>269</v>
      </c>
      <c r="B41" t="s">
        <v>1334</v>
      </c>
      <c r="C41" t="s">
        <v>1333</v>
      </c>
      <c r="D41" t="s">
        <v>1302</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485">
        <v>-2E-3</v>
      </c>
    </row>
    <row r="42" spans="1:33" x14ac:dyDescent="0.25">
      <c r="A42" t="s">
        <v>1332</v>
      </c>
      <c r="B42" t="s">
        <v>1331</v>
      </c>
      <c r="C42" t="s">
        <v>1330</v>
      </c>
      <c r="D42" t="s">
        <v>1302</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485">
        <v>0</v>
      </c>
    </row>
    <row r="43" spans="1:33" x14ac:dyDescent="0.25">
      <c r="A43" t="s">
        <v>1329</v>
      </c>
      <c r="B43" t="s">
        <v>1328</v>
      </c>
      <c r="C43" t="s">
        <v>1327</v>
      </c>
      <c r="D43" t="s">
        <v>1302</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485">
        <v>5.2999999999999999E-2</v>
      </c>
    </row>
    <row r="44" spans="1:33" x14ac:dyDescent="0.25">
      <c r="A44" t="s">
        <v>1146</v>
      </c>
      <c r="B44" t="s">
        <v>1326</v>
      </c>
      <c r="C44" t="s">
        <v>1325</v>
      </c>
      <c r="D44" t="s">
        <v>1302</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1181</v>
      </c>
    </row>
    <row r="45" spans="1:33" x14ac:dyDescent="0.25">
      <c r="A45" t="s">
        <v>1185</v>
      </c>
      <c r="B45" t="s">
        <v>1324</v>
      </c>
      <c r="C45" t="s">
        <v>1323</v>
      </c>
      <c r="D45" t="s">
        <v>1302</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485">
        <v>-6.4000000000000001E-2</v>
      </c>
    </row>
    <row r="46" spans="1:33" x14ac:dyDescent="0.25">
      <c r="A46" t="s">
        <v>196</v>
      </c>
      <c r="B46" t="s">
        <v>1322</v>
      </c>
      <c r="C46" t="s">
        <v>1321</v>
      </c>
      <c r="D46" t="s">
        <v>1302</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485">
        <v>1.6E-2</v>
      </c>
    </row>
    <row r="47" spans="1:33" x14ac:dyDescent="0.25">
      <c r="A47" t="s">
        <v>143</v>
      </c>
      <c r="B47" t="s">
        <v>1320</v>
      </c>
      <c r="C47" t="s">
        <v>1319</v>
      </c>
      <c r="D47" t="s">
        <v>1302</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485">
        <v>1.4999999999999999E-2</v>
      </c>
    </row>
    <row r="48" spans="1:33" x14ac:dyDescent="0.25">
      <c r="A48" t="s">
        <v>144</v>
      </c>
      <c r="B48" t="s">
        <v>1318</v>
      </c>
      <c r="C48" t="s">
        <v>1317</v>
      </c>
      <c r="D48" t="s">
        <v>1302</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485">
        <v>3.1E-2</v>
      </c>
    </row>
    <row r="49" spans="1:33" x14ac:dyDescent="0.25">
      <c r="A49" t="s">
        <v>145</v>
      </c>
    </row>
    <row r="50" spans="1:33" x14ac:dyDescent="0.25">
      <c r="A50" t="s">
        <v>1296</v>
      </c>
      <c r="B50" t="s">
        <v>1316</v>
      </c>
      <c r="C50" t="s">
        <v>1315</v>
      </c>
      <c r="D50" t="s">
        <v>1302</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485">
        <v>1.2E-2</v>
      </c>
    </row>
    <row r="51" spans="1:33" x14ac:dyDescent="0.25">
      <c r="A51" t="s">
        <v>1293</v>
      </c>
      <c r="B51" t="s">
        <v>1314</v>
      </c>
      <c r="C51" t="s">
        <v>1313</v>
      </c>
      <c r="D51" t="s">
        <v>1302</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485">
        <v>1.7999999999999999E-2</v>
      </c>
    </row>
    <row r="52" spans="1:33" x14ac:dyDescent="0.25">
      <c r="A52" t="s">
        <v>1220</v>
      </c>
      <c r="B52" t="s">
        <v>1312</v>
      </c>
      <c r="C52" t="s">
        <v>1311</v>
      </c>
      <c r="D52" t="s">
        <v>1302</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485">
        <v>1.4E-2</v>
      </c>
    </row>
    <row r="53" spans="1:33" x14ac:dyDescent="0.25">
      <c r="A53" t="s">
        <v>1223</v>
      </c>
      <c r="B53" t="s">
        <v>1310</v>
      </c>
      <c r="C53" t="s">
        <v>1309</v>
      </c>
      <c r="D53" t="s">
        <v>1302</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485">
        <v>1.0999999999999999E-2</v>
      </c>
    </row>
    <row r="54" spans="1:33" x14ac:dyDescent="0.25">
      <c r="A54" t="s">
        <v>11</v>
      </c>
      <c r="B54" t="s">
        <v>1308</v>
      </c>
      <c r="C54" t="s">
        <v>1307</v>
      </c>
      <c r="D54" t="s">
        <v>1302</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485">
        <v>1.4999999999999999E-2</v>
      </c>
    </row>
    <row r="55" spans="1:33" x14ac:dyDescent="0.25">
      <c r="A55" t="s">
        <v>151</v>
      </c>
      <c r="B55" t="s">
        <v>1306</v>
      </c>
      <c r="C55" t="s">
        <v>1305</v>
      </c>
      <c r="D55" t="s">
        <v>1302</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485">
        <v>3.1E-2</v>
      </c>
    </row>
    <row r="56" spans="1:33" x14ac:dyDescent="0.25">
      <c r="A56" t="s">
        <v>152</v>
      </c>
      <c r="B56" t="s">
        <v>1304</v>
      </c>
      <c r="C56" t="s">
        <v>1303</v>
      </c>
      <c r="D56" t="s">
        <v>1302</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485">
        <v>1.6E-2</v>
      </c>
    </row>
    <row r="57" spans="1:33" x14ac:dyDescent="0.25">
      <c r="A57" t="s">
        <v>153</v>
      </c>
    </row>
    <row r="58" spans="1:33" x14ac:dyDescent="0.25">
      <c r="A58" t="s">
        <v>1283</v>
      </c>
    </row>
    <row r="59" spans="1:33" x14ac:dyDescent="0.25">
      <c r="A59" t="s">
        <v>1296</v>
      </c>
      <c r="B59" t="s">
        <v>1295</v>
      </c>
      <c r="C59" t="s">
        <v>1301</v>
      </c>
      <c r="D59" t="s">
        <v>1279</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485">
        <v>-1E-3</v>
      </c>
    </row>
    <row r="60" spans="1:33" x14ac:dyDescent="0.25">
      <c r="A60" t="s">
        <v>1293</v>
      </c>
      <c r="B60" t="s">
        <v>1292</v>
      </c>
      <c r="C60" t="s">
        <v>1300</v>
      </c>
      <c r="D60" t="s">
        <v>1279</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485">
        <v>-2E-3</v>
      </c>
    </row>
    <row r="61" spans="1:33" x14ac:dyDescent="0.25">
      <c r="A61" t="s">
        <v>1220</v>
      </c>
      <c r="B61" t="s">
        <v>1290</v>
      </c>
      <c r="C61" t="s">
        <v>1299</v>
      </c>
      <c r="D61" t="s">
        <v>1279</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485">
        <v>-2E-3</v>
      </c>
    </row>
    <row r="62" spans="1:33" x14ac:dyDescent="0.25">
      <c r="A62" t="s">
        <v>1223</v>
      </c>
      <c r="B62" t="s">
        <v>1288</v>
      </c>
      <c r="C62" t="s">
        <v>1298</v>
      </c>
      <c r="D62" t="s">
        <v>1279</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485">
        <v>-1E-3</v>
      </c>
    </row>
    <row r="63" spans="1:33" x14ac:dyDescent="0.25">
      <c r="A63" t="s">
        <v>1286</v>
      </c>
      <c r="B63" t="s">
        <v>1285</v>
      </c>
      <c r="C63" t="s">
        <v>1297</v>
      </c>
      <c r="D63" t="s">
        <v>1279</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485">
        <v>-2E-3</v>
      </c>
    </row>
    <row r="64" spans="1:33" x14ac:dyDescent="0.25">
      <c r="A64" t="s">
        <v>155</v>
      </c>
    </row>
    <row r="65" spans="1:33" x14ac:dyDescent="0.25">
      <c r="A65" t="s">
        <v>1296</v>
      </c>
      <c r="B65" t="s">
        <v>1295</v>
      </c>
      <c r="C65" t="s">
        <v>1294</v>
      </c>
      <c r="D65" t="s">
        <v>1269</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485">
        <v>0.02</v>
      </c>
    </row>
    <row r="66" spans="1:33" x14ac:dyDescent="0.25">
      <c r="A66" t="s">
        <v>1293</v>
      </c>
      <c r="B66" t="s">
        <v>1292</v>
      </c>
      <c r="C66" t="s">
        <v>1291</v>
      </c>
      <c r="D66" t="s">
        <v>1269</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485">
        <v>1.9E-2</v>
      </c>
    </row>
    <row r="67" spans="1:33" x14ac:dyDescent="0.25">
      <c r="A67" t="s">
        <v>1220</v>
      </c>
      <c r="B67" t="s">
        <v>1290</v>
      </c>
      <c r="C67" t="s">
        <v>1289</v>
      </c>
      <c r="D67" t="s">
        <v>1269</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485">
        <v>1.9E-2</v>
      </c>
    </row>
    <row r="68" spans="1:33" x14ac:dyDescent="0.25">
      <c r="A68" t="s">
        <v>1223</v>
      </c>
      <c r="B68" t="s">
        <v>1288</v>
      </c>
      <c r="C68" t="s">
        <v>1287</v>
      </c>
      <c r="D68" t="s">
        <v>1269</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485">
        <v>0.02</v>
      </c>
    </row>
    <row r="69" spans="1:33" x14ac:dyDescent="0.25">
      <c r="A69" t="s">
        <v>1286</v>
      </c>
      <c r="B69" t="s">
        <v>1285</v>
      </c>
      <c r="C69" t="s">
        <v>1284</v>
      </c>
      <c r="D69" t="s">
        <v>1269</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485">
        <v>1.9E-2</v>
      </c>
    </row>
    <row r="70" spans="1:33" x14ac:dyDescent="0.25">
      <c r="A70" t="s">
        <v>156</v>
      </c>
    </row>
    <row r="71" spans="1:33" x14ac:dyDescent="0.25">
      <c r="A71" t="s">
        <v>1283</v>
      </c>
    </row>
    <row r="72" spans="1:33" x14ac:dyDescent="0.25">
      <c r="A72" t="s">
        <v>1278</v>
      </c>
      <c r="B72" t="s">
        <v>1277</v>
      </c>
      <c r="C72" t="s">
        <v>1282</v>
      </c>
      <c r="D72" t="s">
        <v>1279</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485">
        <v>-0.01</v>
      </c>
    </row>
    <row r="73" spans="1:33" x14ac:dyDescent="0.25">
      <c r="A73" t="s">
        <v>1275</v>
      </c>
      <c r="B73" t="s">
        <v>1274</v>
      </c>
      <c r="C73" t="s">
        <v>1281</v>
      </c>
      <c r="D73" t="s">
        <v>1279</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485">
        <v>1.2E-2</v>
      </c>
    </row>
    <row r="74" spans="1:33" x14ac:dyDescent="0.25">
      <c r="A74" t="s">
        <v>1272</v>
      </c>
      <c r="B74" t="s">
        <v>1271</v>
      </c>
      <c r="C74" t="s">
        <v>1280</v>
      </c>
      <c r="D74" t="s">
        <v>1279</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485">
        <v>6.0000000000000001E-3</v>
      </c>
    </row>
    <row r="75" spans="1:33" x14ac:dyDescent="0.25">
      <c r="A75" t="s">
        <v>155</v>
      </c>
    </row>
    <row r="76" spans="1:33" x14ac:dyDescent="0.25">
      <c r="A76" t="s">
        <v>1278</v>
      </c>
      <c r="B76" t="s">
        <v>1277</v>
      </c>
      <c r="C76" t="s">
        <v>1276</v>
      </c>
      <c r="D76" t="s">
        <v>1269</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485">
        <v>0.01</v>
      </c>
    </row>
    <row r="77" spans="1:33" x14ac:dyDescent="0.25">
      <c r="A77" t="s">
        <v>1275</v>
      </c>
      <c r="B77" t="s">
        <v>1274</v>
      </c>
      <c r="C77" t="s">
        <v>1273</v>
      </c>
      <c r="D77" t="s">
        <v>1269</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485">
        <v>3.3000000000000002E-2</v>
      </c>
    </row>
    <row r="78" spans="1:33" x14ac:dyDescent="0.25">
      <c r="A78" t="s">
        <v>1272</v>
      </c>
      <c r="B78" t="s">
        <v>1271</v>
      </c>
      <c r="C78" t="s">
        <v>1270</v>
      </c>
      <c r="D78" t="s">
        <v>1269</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485">
        <v>2.7E-2</v>
      </c>
    </row>
    <row r="79" spans="1:33" x14ac:dyDescent="0.25">
      <c r="A79" t="s">
        <v>1268</v>
      </c>
    </row>
    <row r="80" spans="1:33" x14ac:dyDescent="0.25">
      <c r="A80" t="s">
        <v>1267</v>
      </c>
      <c r="B80" t="s">
        <v>1266</v>
      </c>
      <c r="C80" t="s">
        <v>1265</v>
      </c>
      <c r="D80" t="s">
        <v>1261</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485">
        <v>-0.11600000000000001</v>
      </c>
    </row>
    <row r="81" spans="1:33" x14ac:dyDescent="0.25">
      <c r="A81" t="s">
        <v>1264</v>
      </c>
      <c r="B81" t="s">
        <v>1263</v>
      </c>
      <c r="C81" t="s">
        <v>1262</v>
      </c>
      <c r="D81" t="s">
        <v>1261</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485">
        <v>-4.2999999999999997E-2</v>
      </c>
    </row>
    <row r="82" spans="1:33" x14ac:dyDescent="0.25">
      <c r="A82" t="s">
        <v>1260</v>
      </c>
      <c r="B82" t="s">
        <v>1259</v>
      </c>
      <c r="C82" t="s">
        <v>1258</v>
      </c>
      <c r="D82" t="s">
        <v>1257</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485">
        <v>-0.18099999999999999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429</v>
      </c>
      <c r="B10" s="54" t="s">
        <v>78</v>
      </c>
      <c r="AG10" s="51" t="s">
        <v>604</v>
      </c>
    </row>
    <row r="11" spans="1:33" ht="15" customHeight="1" x14ac:dyDescent="0.2">
      <c r="B11" s="53" t="s">
        <v>79</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2">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5" x14ac:dyDescent="0.2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5" x14ac:dyDescent="0.2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5" x14ac:dyDescent="0.2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5" x14ac:dyDescent="0.2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5" x14ac:dyDescent="0.2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5" x14ac:dyDescent="0.2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5" x14ac:dyDescent="0.2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5" x14ac:dyDescent="0.2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2">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576</v>
      </c>
    </row>
    <row r="84" spans="2:2" ht="15" customHeight="1" x14ac:dyDescent="0.2">
      <c r="B84" s="38" t="s">
        <v>559</v>
      </c>
    </row>
    <row r="85" spans="2:2" ht="15" customHeight="1" x14ac:dyDescent="0.2">
      <c r="B85" s="38" t="s">
        <v>560</v>
      </c>
    </row>
    <row r="86" spans="2:2" ht="15" customHeight="1" x14ac:dyDescent="0.2">
      <c r="B86" s="38" t="s">
        <v>561</v>
      </c>
    </row>
    <row r="87" spans="2:2" ht="15" customHeight="1" x14ac:dyDescent="0.2">
      <c r="B87" s="38" t="s">
        <v>107</v>
      </c>
    </row>
    <row r="88" spans="2:2" ht="15" customHeight="1" x14ac:dyDescent="0.2">
      <c r="B88" s="38" t="s">
        <v>562</v>
      </c>
    </row>
    <row r="89" spans="2:2" ht="15" customHeight="1" x14ac:dyDescent="0.2">
      <c r="B89" s="38" t="s">
        <v>108</v>
      </c>
    </row>
    <row r="90" spans="2:2" ht="15" customHeight="1" x14ac:dyDescent="0.2">
      <c r="B90" s="38" t="s">
        <v>563</v>
      </c>
    </row>
    <row r="91" spans="2:2" ht="15" customHeight="1" x14ac:dyDescent="0.2">
      <c r="B91" s="38" t="s">
        <v>564</v>
      </c>
    </row>
    <row r="92" spans="2:2" x14ac:dyDescent="0.2">
      <c r="B92" s="38" t="s">
        <v>219</v>
      </c>
    </row>
    <row r="93" spans="2:2" ht="15" customHeight="1" x14ac:dyDescent="0.2">
      <c r="B93" s="38" t="s">
        <v>565</v>
      </c>
    </row>
    <row r="94" spans="2:2" ht="15" customHeight="1" x14ac:dyDescent="0.2">
      <c r="B94" s="38" t="s">
        <v>566</v>
      </c>
    </row>
    <row r="95" spans="2:2" ht="15" customHeight="1" x14ac:dyDescent="0.2">
      <c r="B95" s="38" t="s">
        <v>615</v>
      </c>
    </row>
    <row r="96" spans="2:2" ht="15" customHeight="1" x14ac:dyDescent="0.2">
      <c r="B96" s="38" t="s">
        <v>488</v>
      </c>
    </row>
    <row r="97" spans="2:33" ht="15" customHeight="1" x14ac:dyDescent="0.2">
      <c r="B97" s="38" t="s">
        <v>567</v>
      </c>
    </row>
    <row r="98" spans="2:33" ht="15" customHeight="1" x14ac:dyDescent="0.2">
      <c r="B98" s="38" t="s">
        <v>568</v>
      </c>
    </row>
    <row r="99" spans="2:33" ht="15" customHeight="1" x14ac:dyDescent="0.2">
      <c r="B99" s="38" t="s">
        <v>569</v>
      </c>
    </row>
    <row r="100" spans="2:33" ht="15" customHeight="1" x14ac:dyDescent="0.2">
      <c r="B100" s="38" t="s">
        <v>494</v>
      </c>
    </row>
    <row r="101" spans="2:33" x14ac:dyDescent="0.2">
      <c r="B101" s="38" t="s">
        <v>570</v>
      </c>
    </row>
    <row r="102" spans="2:33" x14ac:dyDescent="0.2">
      <c r="B102" s="38" t="s">
        <v>571</v>
      </c>
    </row>
    <row r="103" spans="2:33" ht="15" customHeight="1" x14ac:dyDescent="0.2">
      <c r="B103" s="38" t="s">
        <v>572</v>
      </c>
    </row>
    <row r="104" spans="2:33" ht="15" customHeight="1" x14ac:dyDescent="0.2">
      <c r="B104" s="38" t="s">
        <v>573</v>
      </c>
    </row>
    <row r="105" spans="2:33" ht="15" customHeight="1" x14ac:dyDescent="0.2">
      <c r="B105" s="38" t="s">
        <v>574</v>
      </c>
    </row>
    <row r="106" spans="2:33" ht="15" customHeight="1" x14ac:dyDescent="0.2">
      <c r="B106" s="38" t="s">
        <v>575</v>
      </c>
    </row>
    <row r="107" spans="2:33" ht="15" customHeight="1" x14ac:dyDescent="0.2">
      <c r="B107" s="38" t="s">
        <v>109</v>
      </c>
    </row>
    <row r="108" spans="2:33" ht="15" customHeight="1" x14ac:dyDescent="0.2">
      <c r="B108" s="38" t="s">
        <v>543</v>
      </c>
    </row>
    <row r="109" spans="2:33" ht="15" customHeight="1" x14ac:dyDescent="0.2">
      <c r="B109" s="38" t="s">
        <v>544</v>
      </c>
    </row>
    <row r="110" spans="2:33" ht="15" customHeight="1" x14ac:dyDescent="0.2">
      <c r="B110" s="38" t="s">
        <v>614</v>
      </c>
    </row>
    <row r="111" spans="2:33" ht="15" customHeight="1" x14ac:dyDescent="0.2">
      <c r="B111" s="38" t="s">
        <v>593</v>
      </c>
    </row>
    <row r="112" spans="2:33" ht="15" customHeight="1" x14ac:dyDescent="0.2">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2">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2">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2">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2">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2">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2">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2">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2">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9" t="s">
        <v>576</v>
      </c>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58"/>
    </row>
    <row r="85" spans="1:34" ht="15" customHeight="1" x14ac:dyDescent="0.2">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8" t="s">
        <v>634</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2">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2">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2">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2">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2">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2">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2">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2">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2">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2">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2">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2">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2">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2">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2">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2">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2">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2">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5" x14ac:dyDescent="0.25"/>
  <cols>
    <col min="1" max="1" width="27.7109375" customWidth="1"/>
    <col min="2" max="2" width="67" customWidth="1"/>
  </cols>
  <sheetData>
    <row r="1" spans="1:33" x14ac:dyDescent="0.25">
      <c r="A1" t="s">
        <v>1091</v>
      </c>
    </row>
    <row r="2" spans="1:33" x14ac:dyDescent="0.25">
      <c r="A2" t="s">
        <v>1092</v>
      </c>
    </row>
    <row r="3" spans="1:33" x14ac:dyDescent="0.25">
      <c r="A3" t="s">
        <v>1093</v>
      </c>
    </row>
    <row r="4" spans="1:33" x14ac:dyDescent="0.25">
      <c r="A4" t="s">
        <v>1094</v>
      </c>
    </row>
    <row r="5" spans="1:33" x14ac:dyDescent="0.25">
      <c r="B5" t="s">
        <v>1095</v>
      </c>
      <c r="C5" t="s">
        <v>1096</v>
      </c>
      <c r="D5" t="s">
        <v>1097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1098</v>
      </c>
    </row>
    <row r="6" spans="1:33" x14ac:dyDescent="0.25">
      <c r="A6" t="s">
        <v>1099</v>
      </c>
    </row>
    <row r="7" spans="1:33" s="483" customFormat="1" x14ac:dyDescent="0.25">
      <c r="A7" s="483" t="s">
        <v>1100</v>
      </c>
      <c r="B7" s="483" t="s">
        <v>1101</v>
      </c>
      <c r="C7" s="483" t="s">
        <v>1102</v>
      </c>
      <c r="D7" s="483" t="s">
        <v>1103</v>
      </c>
      <c r="F7" s="483">
        <v>13.266057999999999</v>
      </c>
      <c r="G7" s="483">
        <v>13.693652</v>
      </c>
      <c r="H7" s="483">
        <v>13.835194</v>
      </c>
      <c r="I7" s="483">
        <v>14.025308000000001</v>
      </c>
      <c r="J7" s="483">
        <v>14.023446</v>
      </c>
      <c r="K7" s="483">
        <v>14.009728000000001</v>
      </c>
      <c r="L7" s="483">
        <v>13.909203</v>
      </c>
      <c r="M7" s="483">
        <v>13.730183</v>
      </c>
      <c r="N7" s="483">
        <v>13.507175</v>
      </c>
      <c r="O7" s="483">
        <v>13.404424000000001</v>
      </c>
      <c r="P7" s="483">
        <v>13.299763</v>
      </c>
      <c r="Q7" s="483">
        <v>13.026337</v>
      </c>
      <c r="R7" s="483">
        <v>12.777983000000001</v>
      </c>
      <c r="S7" s="483">
        <v>12.557478</v>
      </c>
      <c r="T7" s="483">
        <v>12.337666</v>
      </c>
      <c r="U7" s="483">
        <v>12.155936000000001</v>
      </c>
      <c r="V7" s="483">
        <v>12.015428</v>
      </c>
      <c r="W7" s="483">
        <v>11.859089000000001</v>
      </c>
      <c r="X7" s="483">
        <v>11.788242</v>
      </c>
      <c r="Y7" s="483">
        <v>11.645022000000001</v>
      </c>
      <c r="Z7" s="483">
        <v>11.598876000000001</v>
      </c>
      <c r="AA7" s="483">
        <v>11.619228</v>
      </c>
      <c r="AB7" s="483">
        <v>11.552236000000001</v>
      </c>
      <c r="AC7" s="483">
        <v>11.458454</v>
      </c>
      <c r="AD7" s="483">
        <v>11.354692</v>
      </c>
      <c r="AE7" s="483">
        <v>11.326180000000001</v>
      </c>
      <c r="AF7" s="483">
        <v>11.279612999999999</v>
      </c>
      <c r="AG7" s="484">
        <v>-6.0000000000000001E-3</v>
      </c>
    </row>
    <row r="8" spans="1:33" x14ac:dyDescent="0.25">
      <c r="A8" t="s">
        <v>1104</v>
      </c>
      <c r="B8" t="s">
        <v>1105</v>
      </c>
      <c r="C8" t="s">
        <v>1106</v>
      </c>
      <c r="D8" t="s">
        <v>1103</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485">
        <v>-1.4E-2</v>
      </c>
    </row>
    <row r="9" spans="1:33" x14ac:dyDescent="0.25">
      <c r="A9" t="s">
        <v>1107</v>
      </c>
      <c r="B9" t="s">
        <v>1108</v>
      </c>
      <c r="C9" t="s">
        <v>1109</v>
      </c>
      <c r="D9" t="s">
        <v>1103</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485">
        <v>-6.0000000000000001E-3</v>
      </c>
    </row>
    <row r="10" spans="1:33" x14ac:dyDescent="0.25">
      <c r="A10" t="s">
        <v>144</v>
      </c>
      <c r="B10" t="s">
        <v>1110</v>
      </c>
      <c r="C10" t="s">
        <v>1111</v>
      </c>
      <c r="D10" t="s">
        <v>1103</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485">
        <v>1.9E-2</v>
      </c>
    </row>
    <row r="11" spans="1:33" x14ac:dyDescent="0.25">
      <c r="A11" t="s">
        <v>1112</v>
      </c>
      <c r="B11" t="s">
        <v>1113</v>
      </c>
      <c r="C11" t="s">
        <v>1114</v>
      </c>
      <c r="D11" t="s">
        <v>1103</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485">
        <v>7.0000000000000001E-3</v>
      </c>
    </row>
    <row r="12" spans="1:33" s="483" customFormat="1" x14ac:dyDescent="0.25">
      <c r="A12" s="483" t="s">
        <v>59</v>
      </c>
      <c r="B12" s="483" t="s">
        <v>1115</v>
      </c>
      <c r="C12" s="483" t="s">
        <v>1116</v>
      </c>
      <c r="D12" s="483" t="s">
        <v>1103</v>
      </c>
      <c r="F12" s="483">
        <v>4.13</v>
      </c>
      <c r="G12" s="483">
        <v>4.1989999999999998</v>
      </c>
      <c r="H12" s="483">
        <v>4.2410490000000003</v>
      </c>
      <c r="I12" s="483">
        <v>4.1699669999999998</v>
      </c>
      <c r="J12" s="483">
        <v>4.10968</v>
      </c>
      <c r="K12" s="483">
        <v>4.058122</v>
      </c>
      <c r="L12" s="483">
        <v>4.1569240000000001</v>
      </c>
      <c r="M12" s="483">
        <v>4.1957789999999999</v>
      </c>
      <c r="N12" s="483">
        <v>4.1122620000000003</v>
      </c>
      <c r="O12" s="483">
        <v>4.1175269999999999</v>
      </c>
      <c r="P12" s="483">
        <v>4.2058239999999998</v>
      </c>
      <c r="Q12" s="483">
        <v>4.1895189999999998</v>
      </c>
      <c r="R12" s="483">
        <v>4.1119529999999997</v>
      </c>
      <c r="S12" s="483">
        <v>4.050675</v>
      </c>
      <c r="T12" s="483">
        <v>4.0145280000000003</v>
      </c>
      <c r="U12" s="483">
        <v>3.9716420000000001</v>
      </c>
      <c r="V12" s="483">
        <v>3.9294509999999998</v>
      </c>
      <c r="W12" s="483">
        <v>3.9359999999999999</v>
      </c>
      <c r="X12" s="483">
        <v>4.1042899999999998</v>
      </c>
      <c r="Y12" s="483">
        <v>4.0081749999999996</v>
      </c>
      <c r="Z12" s="483">
        <v>4.0320119999999999</v>
      </c>
      <c r="AA12" s="483">
        <v>4.1320940000000004</v>
      </c>
      <c r="AB12" s="483">
        <v>4.0544580000000003</v>
      </c>
      <c r="AC12" s="483">
        <v>3.9867240000000002</v>
      </c>
      <c r="AD12" s="483">
        <v>3.9042469999999998</v>
      </c>
      <c r="AE12" s="483">
        <v>3.8887290000000001</v>
      </c>
      <c r="AF12" s="483">
        <v>3.9350309999999999</v>
      </c>
      <c r="AG12" s="484">
        <v>-2E-3</v>
      </c>
    </row>
    <row r="13" spans="1:33" x14ac:dyDescent="0.25">
      <c r="A13" t="s">
        <v>1117</v>
      </c>
      <c r="B13" t="s">
        <v>1118</v>
      </c>
      <c r="C13" t="s">
        <v>1119</v>
      </c>
      <c r="D13" t="s">
        <v>1103</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485">
        <v>-1</v>
      </c>
    </row>
    <row r="14" spans="1:33" s="483" customFormat="1" x14ac:dyDescent="0.25">
      <c r="A14" s="483" t="s">
        <v>1120</v>
      </c>
      <c r="B14" s="483" t="s">
        <v>1121</v>
      </c>
      <c r="C14" s="483" t="s">
        <v>1122</v>
      </c>
      <c r="D14" s="483" t="s">
        <v>1103</v>
      </c>
      <c r="F14" s="483">
        <v>16.256057999999999</v>
      </c>
      <c r="G14" s="483">
        <v>16.156652000000001</v>
      </c>
      <c r="H14" s="483">
        <v>16.103649000000001</v>
      </c>
      <c r="I14" s="483">
        <v>16.130469999999999</v>
      </c>
      <c r="J14" s="483">
        <v>16.148762000000001</v>
      </c>
      <c r="K14" s="483">
        <v>16.040789</v>
      </c>
      <c r="L14" s="483">
        <v>15.98813</v>
      </c>
      <c r="M14" s="483">
        <v>16.038397</v>
      </c>
      <c r="N14" s="483">
        <v>15.871942000000001</v>
      </c>
      <c r="O14" s="483">
        <v>15.788897</v>
      </c>
      <c r="P14" s="483">
        <v>15.667115000000001</v>
      </c>
      <c r="Q14" s="483">
        <v>15.583437</v>
      </c>
      <c r="R14" s="483">
        <v>15.534587999999999</v>
      </c>
      <c r="S14" s="483">
        <v>15.408065000000001</v>
      </c>
      <c r="T14" s="483">
        <v>15.305865000000001</v>
      </c>
      <c r="U14" s="483">
        <v>15.331977999999999</v>
      </c>
      <c r="V14" s="483">
        <v>15.336819999999999</v>
      </c>
      <c r="W14" s="483">
        <v>15.306452999999999</v>
      </c>
      <c r="X14" s="483">
        <v>15.152191999999999</v>
      </c>
      <c r="Y14" s="483">
        <v>15.322029000000001</v>
      </c>
      <c r="Z14" s="483">
        <v>15.312692</v>
      </c>
      <c r="AA14" s="483">
        <v>15.201649</v>
      </c>
      <c r="AB14" s="483">
        <v>15.245358</v>
      </c>
      <c r="AC14" s="483">
        <v>15.350652999999999</v>
      </c>
      <c r="AD14" s="483">
        <v>15.308672</v>
      </c>
      <c r="AE14" s="483">
        <v>15.373237</v>
      </c>
      <c r="AF14" s="483">
        <v>15.311733</v>
      </c>
      <c r="AG14" s="484">
        <v>-2E-3</v>
      </c>
    </row>
    <row r="15" spans="1:33" x14ac:dyDescent="0.25">
      <c r="A15" t="s">
        <v>1123</v>
      </c>
      <c r="B15" t="s">
        <v>1124</v>
      </c>
      <c r="C15" t="s">
        <v>1125</v>
      </c>
      <c r="D15" t="s">
        <v>1103</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485">
        <v>2.5999999999999999E-2</v>
      </c>
    </row>
    <row r="16" spans="1:33" x14ac:dyDescent="0.25">
      <c r="A16" t="s">
        <v>1126</v>
      </c>
      <c r="B16" t="s">
        <v>1127</v>
      </c>
      <c r="C16" t="s">
        <v>1128</v>
      </c>
      <c r="D16" t="s">
        <v>1103</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485">
        <v>7.0000000000000001E-3</v>
      </c>
    </row>
    <row r="17" spans="1:33" x14ac:dyDescent="0.25">
      <c r="A17" t="s">
        <v>1129</v>
      </c>
      <c r="B17" t="s">
        <v>1130</v>
      </c>
      <c r="C17" t="s">
        <v>1131</v>
      </c>
      <c r="D17" t="s">
        <v>1103</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485">
        <v>-3.0000000000000001E-3</v>
      </c>
    </row>
    <row r="18" spans="1:33" x14ac:dyDescent="0.25">
      <c r="A18" t="s">
        <v>1132</v>
      </c>
      <c r="B18" t="s">
        <v>1133</v>
      </c>
      <c r="C18" t="s">
        <v>1134</v>
      </c>
      <c r="D18" t="s">
        <v>1103</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485">
        <v>-3.3000000000000002E-2</v>
      </c>
    </row>
    <row r="19" spans="1:33" x14ac:dyDescent="0.25">
      <c r="A19" t="s">
        <v>59</v>
      </c>
      <c r="B19" t="s">
        <v>1135</v>
      </c>
      <c r="C19" t="s">
        <v>1136</v>
      </c>
      <c r="D19" t="s">
        <v>1103</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485">
        <v>1.9E-2</v>
      </c>
    </row>
    <row r="20" spans="1:33" x14ac:dyDescent="0.25">
      <c r="A20" t="s">
        <v>1137</v>
      </c>
      <c r="B20" t="s">
        <v>1138</v>
      </c>
      <c r="C20" t="s">
        <v>1139</v>
      </c>
      <c r="D20" t="s">
        <v>1103</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485">
        <v>-7.0000000000000001E-3</v>
      </c>
    </row>
    <row r="21" spans="1:33" x14ac:dyDescent="0.25">
      <c r="A21" t="s">
        <v>1140</v>
      </c>
      <c r="B21" t="s">
        <v>1141</v>
      </c>
      <c r="C21" t="s">
        <v>1142</v>
      </c>
      <c r="D21" t="s">
        <v>1103</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485">
        <v>-1</v>
      </c>
    </row>
    <row r="22" spans="1:33" x14ac:dyDescent="0.25">
      <c r="A22" t="s">
        <v>1143</v>
      </c>
      <c r="B22" t="s">
        <v>1144</v>
      </c>
      <c r="C22" t="s">
        <v>1145</v>
      </c>
      <c r="D22" t="s">
        <v>1103</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485">
        <v>8.9999999999999993E-3</v>
      </c>
    </row>
    <row r="23" spans="1:33" x14ac:dyDescent="0.25">
      <c r="A23" t="s">
        <v>1146</v>
      </c>
      <c r="B23" t="s">
        <v>1147</v>
      </c>
      <c r="C23" t="s">
        <v>1148</v>
      </c>
      <c r="D23" t="s">
        <v>1103</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485">
        <v>7.0000000000000001E-3</v>
      </c>
    </row>
    <row r="24" spans="1:33" x14ac:dyDescent="0.25">
      <c r="A24" t="s">
        <v>1149</v>
      </c>
      <c r="B24" t="s">
        <v>1150</v>
      </c>
      <c r="C24" t="s">
        <v>1151</v>
      </c>
      <c r="D24" t="s">
        <v>1103</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485">
        <v>-6.0000000000000001E-3</v>
      </c>
    </row>
    <row r="25" spans="1:33" x14ac:dyDescent="0.25">
      <c r="A25" t="s">
        <v>1152</v>
      </c>
      <c r="B25" t="s">
        <v>1153</v>
      </c>
      <c r="C25" t="s">
        <v>1154</v>
      </c>
      <c r="D25" t="s">
        <v>1103</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485">
        <v>-1.7000000000000001E-2</v>
      </c>
    </row>
    <row r="26" spans="1:33" x14ac:dyDescent="0.25">
      <c r="A26" t="s">
        <v>1155</v>
      </c>
      <c r="B26" t="s">
        <v>1156</v>
      </c>
      <c r="C26" t="s">
        <v>1157</v>
      </c>
      <c r="D26" t="s">
        <v>1103</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485">
        <v>-7.0000000000000001E-3</v>
      </c>
    </row>
    <row r="27" spans="1:33" x14ac:dyDescent="0.25">
      <c r="A27" t="s">
        <v>144</v>
      </c>
      <c r="B27" t="s">
        <v>1158</v>
      </c>
      <c r="C27" t="s">
        <v>1159</v>
      </c>
      <c r="D27" t="s">
        <v>1103</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485">
        <v>0.03</v>
      </c>
    </row>
    <row r="28" spans="1:33" x14ac:dyDescent="0.25">
      <c r="A28" t="s">
        <v>1160</v>
      </c>
      <c r="B28" t="s">
        <v>1161</v>
      </c>
      <c r="C28" t="s">
        <v>1162</v>
      </c>
      <c r="D28" t="s">
        <v>1103</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485">
        <v>-3.3000000000000002E-2</v>
      </c>
    </row>
    <row r="29" spans="1:33" x14ac:dyDescent="0.25">
      <c r="A29" t="s">
        <v>1155</v>
      </c>
      <c r="B29" t="s">
        <v>1163</v>
      </c>
      <c r="C29" t="s">
        <v>1164</v>
      </c>
      <c r="D29" t="s">
        <v>1103</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485">
        <v>-3.5999999999999997E-2</v>
      </c>
    </row>
    <row r="30" spans="1:33" x14ac:dyDescent="0.25">
      <c r="A30" t="s">
        <v>144</v>
      </c>
      <c r="B30" t="s">
        <v>1165</v>
      </c>
      <c r="C30" t="s">
        <v>1166</v>
      </c>
      <c r="D30" t="s">
        <v>1103</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485">
        <v>-1.4999999999999999E-2</v>
      </c>
    </row>
    <row r="31" spans="1:33" x14ac:dyDescent="0.25">
      <c r="A31" t="s">
        <v>1167</v>
      </c>
      <c r="B31" t="s">
        <v>1168</v>
      </c>
      <c r="C31" t="s">
        <v>1169</v>
      </c>
      <c r="D31" t="s">
        <v>1103</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485">
        <v>2.5000000000000001E-2</v>
      </c>
    </row>
    <row r="32" spans="1:33" x14ac:dyDescent="0.25">
      <c r="A32" t="s">
        <v>1155</v>
      </c>
      <c r="B32" t="s">
        <v>1170</v>
      </c>
      <c r="C32" t="s">
        <v>1171</v>
      </c>
      <c r="D32" t="s">
        <v>1103</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485">
        <v>2.8000000000000001E-2</v>
      </c>
    </row>
    <row r="33" spans="1:33" x14ac:dyDescent="0.25">
      <c r="A33" t="s">
        <v>144</v>
      </c>
      <c r="B33" t="s">
        <v>1172</v>
      </c>
      <c r="C33" t="s">
        <v>1173</v>
      </c>
      <c r="D33" t="s">
        <v>1103</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485">
        <v>0.01</v>
      </c>
    </row>
    <row r="34" spans="1:33" x14ac:dyDescent="0.25">
      <c r="A34" t="s">
        <v>1174</v>
      </c>
      <c r="B34" t="s">
        <v>1175</v>
      </c>
      <c r="C34" t="s">
        <v>1176</v>
      </c>
      <c r="D34" t="s">
        <v>1103</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485">
        <v>7.0000000000000007E-2</v>
      </c>
    </row>
    <row r="35" spans="1:33" x14ac:dyDescent="0.25">
      <c r="A35" t="s">
        <v>1155</v>
      </c>
      <c r="B35" t="s">
        <v>1177</v>
      </c>
      <c r="C35" t="s">
        <v>1178</v>
      </c>
      <c r="D35" t="s">
        <v>1103</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485">
        <v>7.0000000000000007E-2</v>
      </c>
    </row>
    <row r="36" spans="1:33" x14ac:dyDescent="0.25">
      <c r="A36" t="s">
        <v>144</v>
      </c>
      <c r="B36" t="s">
        <v>1179</v>
      </c>
      <c r="C36" t="s">
        <v>1180</v>
      </c>
      <c r="D36" t="s">
        <v>1103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1181</v>
      </c>
    </row>
    <row r="37" spans="1:33" x14ac:dyDescent="0.25">
      <c r="A37" t="s">
        <v>1182</v>
      </c>
      <c r="B37" t="s">
        <v>1183</v>
      </c>
      <c r="C37" t="s">
        <v>1184</v>
      </c>
      <c r="D37" t="s">
        <v>1103</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1181</v>
      </c>
    </row>
    <row r="38" spans="1:33" x14ac:dyDescent="0.25">
      <c r="A38" t="s">
        <v>1185</v>
      </c>
      <c r="B38" t="s">
        <v>1186</v>
      </c>
      <c r="C38" t="s">
        <v>1187</v>
      </c>
      <c r="D38" t="s">
        <v>1103</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485">
        <v>1E-3</v>
      </c>
    </row>
    <row r="39" spans="1:33" x14ac:dyDescent="0.25">
      <c r="A39" t="s">
        <v>1188</v>
      </c>
      <c r="B39" t="s">
        <v>1189</v>
      </c>
      <c r="C39" t="s">
        <v>1190</v>
      </c>
      <c r="D39" t="s">
        <v>1103</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485">
        <v>-8.0000000000000002E-3</v>
      </c>
    </row>
    <row r="40" spans="1:33" x14ac:dyDescent="0.25">
      <c r="A40" t="s">
        <v>1191</v>
      </c>
    </row>
    <row r="41" spans="1:33" x14ac:dyDescent="0.25">
      <c r="A41" t="s">
        <v>1192</v>
      </c>
    </row>
    <row r="42" spans="1:33" x14ac:dyDescent="0.25">
      <c r="A42" t="s">
        <v>1193</v>
      </c>
      <c r="B42" t="s">
        <v>1194</v>
      </c>
      <c r="C42" t="s">
        <v>1195</v>
      </c>
      <c r="D42" t="s">
        <v>1103</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485">
        <v>6.0000000000000001E-3</v>
      </c>
    </row>
    <row r="43" spans="1:33" x14ac:dyDescent="0.25">
      <c r="A43" t="s">
        <v>1196</v>
      </c>
      <c r="B43" t="s">
        <v>1197</v>
      </c>
      <c r="C43" t="s">
        <v>1198</v>
      </c>
      <c r="D43" t="s">
        <v>1103</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485">
        <v>-2.1999999999999999E-2</v>
      </c>
    </row>
    <row r="44" spans="1:33" x14ac:dyDescent="0.25">
      <c r="A44" t="s">
        <v>1199</v>
      </c>
      <c r="B44" t="s">
        <v>1200</v>
      </c>
      <c r="C44" t="s">
        <v>1201</v>
      </c>
      <c r="D44" t="s">
        <v>1103</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485">
        <v>-3.5000000000000003E-2</v>
      </c>
    </row>
    <row r="45" spans="1:33" x14ac:dyDescent="0.25">
      <c r="A45" t="s">
        <v>1202</v>
      </c>
      <c r="B45" t="s">
        <v>1203</v>
      </c>
      <c r="C45" t="s">
        <v>1204</v>
      </c>
      <c r="D45" t="s">
        <v>1103</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485">
        <v>8.9999999999999993E-3</v>
      </c>
    </row>
    <row r="46" spans="1:33" x14ac:dyDescent="0.25">
      <c r="A46" t="s">
        <v>1205</v>
      </c>
      <c r="B46" t="s">
        <v>1206</v>
      </c>
      <c r="C46" t="s">
        <v>1207</v>
      </c>
      <c r="D46" t="s">
        <v>1103</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485">
        <v>-0.01</v>
      </c>
    </row>
    <row r="47" spans="1:33" x14ac:dyDescent="0.25">
      <c r="A47" t="s">
        <v>1208</v>
      </c>
      <c r="B47" t="s">
        <v>1209</v>
      </c>
      <c r="C47" t="s">
        <v>1210</v>
      </c>
      <c r="D47" t="s">
        <v>1103</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485">
        <v>-8.0000000000000002E-3</v>
      </c>
    </row>
    <row r="48" spans="1:33" x14ac:dyDescent="0.25">
      <c r="A48" t="s">
        <v>1211</v>
      </c>
      <c r="B48" t="s">
        <v>1212</v>
      </c>
      <c r="C48" t="s">
        <v>1213</v>
      </c>
      <c r="D48" t="s">
        <v>1103</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485">
        <v>2E-3</v>
      </c>
    </row>
    <row r="49" spans="1:33" x14ac:dyDescent="0.25">
      <c r="A49" t="s">
        <v>1185</v>
      </c>
      <c r="B49" t="s">
        <v>1214</v>
      </c>
      <c r="C49" t="s">
        <v>1215</v>
      </c>
      <c r="D49" t="s">
        <v>1103</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485">
        <v>8.0000000000000002E-3</v>
      </c>
    </row>
    <row r="50" spans="1:33" x14ac:dyDescent="0.25">
      <c r="A50" t="s">
        <v>1216</v>
      </c>
    </row>
    <row r="51" spans="1:33" x14ac:dyDescent="0.25">
      <c r="A51" t="s">
        <v>1217</v>
      </c>
      <c r="B51" t="s">
        <v>1218</v>
      </c>
      <c r="C51" t="s">
        <v>1219</v>
      </c>
      <c r="D51" t="s">
        <v>1103</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485">
        <v>3.0000000000000001E-3</v>
      </c>
    </row>
    <row r="52" spans="1:33" x14ac:dyDescent="0.25">
      <c r="A52" t="s">
        <v>1220</v>
      </c>
      <c r="B52" t="s">
        <v>1221</v>
      </c>
      <c r="C52" t="s">
        <v>1222</v>
      </c>
      <c r="D52" t="s">
        <v>1103</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485">
        <v>8.0000000000000002E-3</v>
      </c>
    </row>
    <row r="53" spans="1:33" x14ac:dyDescent="0.25">
      <c r="A53" t="s">
        <v>1223</v>
      </c>
      <c r="B53" t="s">
        <v>1224</v>
      </c>
      <c r="C53" t="s">
        <v>1225</v>
      </c>
      <c r="D53" t="s">
        <v>1103</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485">
        <v>-1.6E-2</v>
      </c>
    </row>
    <row r="54" spans="1:33" x14ac:dyDescent="0.25">
      <c r="A54" t="s">
        <v>1226</v>
      </c>
      <c r="B54" t="s">
        <v>1227</v>
      </c>
      <c r="C54" t="s">
        <v>1228</v>
      </c>
      <c r="D54" t="s">
        <v>1103</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485">
        <v>-3.7999999999999999E-2</v>
      </c>
    </row>
    <row r="55" spans="1:33" x14ac:dyDescent="0.25">
      <c r="A55" t="s">
        <v>1229</v>
      </c>
      <c r="B55" t="s">
        <v>1230</v>
      </c>
      <c r="C55" t="s">
        <v>1231</v>
      </c>
      <c r="D55" t="s">
        <v>1103</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485">
        <v>-5.6000000000000001E-2</v>
      </c>
    </row>
    <row r="56" spans="1:33" x14ac:dyDescent="0.25">
      <c r="A56" t="s">
        <v>11</v>
      </c>
      <c r="B56" t="s">
        <v>1232</v>
      </c>
      <c r="C56" t="s">
        <v>1233</v>
      </c>
      <c r="D56" t="s">
        <v>1103</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485">
        <v>-7.0000000000000001E-3</v>
      </c>
    </row>
    <row r="57" spans="1:33" x14ac:dyDescent="0.25">
      <c r="A57" t="s">
        <v>1234</v>
      </c>
      <c r="B57" t="s">
        <v>1235</v>
      </c>
      <c r="C57" t="s">
        <v>1236</v>
      </c>
      <c r="D57" t="s">
        <v>1103</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485">
        <v>-0.14399999999999999</v>
      </c>
    </row>
    <row r="58" spans="1:33" x14ac:dyDescent="0.25">
      <c r="A58" t="s">
        <v>1237</v>
      </c>
      <c r="B58" t="s">
        <v>1238</v>
      </c>
      <c r="C58" t="s">
        <v>1239</v>
      </c>
      <c r="D58" t="s">
        <v>1103</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485">
        <v>0</v>
      </c>
    </row>
    <row r="59" spans="1:33" x14ac:dyDescent="0.25">
      <c r="A59" t="s">
        <v>1240</v>
      </c>
      <c r="B59" t="s">
        <v>1241</v>
      </c>
      <c r="C59" t="s">
        <v>1242</v>
      </c>
      <c r="D59" t="s">
        <v>1243</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485">
        <v>-2E-3</v>
      </c>
    </row>
    <row r="60" spans="1:33" x14ac:dyDescent="0.25">
      <c r="A60" t="s">
        <v>481</v>
      </c>
      <c r="B60" t="s">
        <v>1244</v>
      </c>
      <c r="C60" t="s">
        <v>1245</v>
      </c>
      <c r="D60" t="s">
        <v>1103</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485">
        <v>5.0000000000000001E-3</v>
      </c>
    </row>
    <row r="61" spans="1:33" x14ac:dyDescent="0.25">
      <c r="A61" t="s">
        <v>483</v>
      </c>
      <c r="B61" t="s">
        <v>1246</v>
      </c>
      <c r="C61" t="s">
        <v>1247</v>
      </c>
      <c r="D61" t="s">
        <v>1103</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485">
        <v>1.2999999999999999E-2</v>
      </c>
    </row>
    <row r="62" spans="1:33" x14ac:dyDescent="0.25">
      <c r="A62" t="s">
        <v>485</v>
      </c>
      <c r="B62" t="s">
        <v>1248</v>
      </c>
      <c r="C62" t="s">
        <v>1249</v>
      </c>
      <c r="D62" t="s">
        <v>1103</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485">
        <v>3.2000000000000001E-2</v>
      </c>
    </row>
    <row r="63" spans="1:33" x14ac:dyDescent="0.25">
      <c r="A63" t="s">
        <v>1250</v>
      </c>
      <c r="B63" t="s">
        <v>1251</v>
      </c>
      <c r="C63" t="s">
        <v>1252</v>
      </c>
      <c r="D63" t="s">
        <v>1243</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485">
        <v>0.04</v>
      </c>
    </row>
    <row r="64" spans="1:33" x14ac:dyDescent="0.25">
      <c r="A64" t="s">
        <v>218</v>
      </c>
    </row>
    <row r="65" spans="1:33" x14ac:dyDescent="0.25">
      <c r="A65" t="s">
        <v>1253</v>
      </c>
      <c r="B65" t="s">
        <v>1254</v>
      </c>
      <c r="C65" t="s">
        <v>1255</v>
      </c>
      <c r="D65" t="s">
        <v>1256</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485">
        <v>1.0999999999999999E-2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opLeftCell="A89" zoomScale="70" zoomScaleNormal="70" workbookViewId="0">
      <selection activeCell="B75" sqref="B75"/>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25">
      <c r="C6" s="481" t="s">
        <v>584</v>
      </c>
      <c r="D6" s="481"/>
      <c r="E6" s="481"/>
      <c r="F6" s="481"/>
      <c r="G6" s="481"/>
      <c r="H6" s="481"/>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25">
      <c r="I13" s="482" t="s">
        <v>585</v>
      </c>
      <c r="J13" s="482"/>
      <c r="K13" s="482"/>
    </row>
    <row r="14" spans="1:36" x14ac:dyDescent="0.2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25">
      <c r="C20" s="35"/>
      <c r="D20" s="481" t="s">
        <v>584</v>
      </c>
      <c r="E20" s="481"/>
      <c r="F20" s="481"/>
      <c r="G20" s="481"/>
      <c r="H20" s="481"/>
      <c r="I20" s="481"/>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1521</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488">
        <f>INDEX('AEO 2025 Table 8'!$9:$9,MATCH(G30,'AEO 2025 Table 8'!$5:$5,0))*10^6</f>
        <v>648301392</v>
      </c>
      <c r="H32" s="488">
        <f>INDEX('AEO 2025 Table 8'!$9:$9,MATCH(H30,'AEO 2025 Table 8'!$5:$5,0))*10^6</f>
        <v>656172119</v>
      </c>
      <c r="I32" s="488">
        <f>INDEX('AEO 2025 Table 8'!$9:$9,MATCH(I30,'AEO 2025 Table 8'!$5:$5,0))*10^6</f>
        <v>565657104</v>
      </c>
      <c r="J32" s="488">
        <f>INDEX('AEO 2025 Table 8'!$9:$9,MATCH(J30,'AEO 2025 Table 8'!$5:$5,0))*10^6</f>
        <v>450227600</v>
      </c>
      <c r="K32" s="488">
        <f>INDEX('AEO 2025 Table 8'!$9:$9,MATCH(K30,'AEO 2025 Table 8'!$5:$5,0))*10^6</f>
        <v>433826599</v>
      </c>
      <c r="L32" s="488">
        <f>INDEX('AEO 2025 Table 8'!$9:$9,MATCH(L30,'AEO 2025 Table 8'!$5:$5,0))*10^6</f>
        <v>411406586</v>
      </c>
      <c r="M32" s="488">
        <f>INDEX('AEO 2025 Table 8'!$9:$9,MATCH(M30,'AEO 2025 Table 8'!$5:$5,0))*10^6</f>
        <v>335806915</v>
      </c>
      <c r="N32" s="488">
        <f>INDEX('AEO 2025 Table 8'!$9:$9,MATCH(N30,'AEO 2025 Table 8'!$5:$5,0))*10^6</f>
        <v>309125122</v>
      </c>
      <c r="O32" s="488">
        <f>INDEX('AEO 2025 Table 8'!$9:$9,MATCH(O30,'AEO 2025 Table 8'!$5:$5,0))*10^6</f>
        <v>67686012</v>
      </c>
      <c r="P32" s="488">
        <f>INDEX('AEO 2025 Table 8'!$9:$9,MATCH(P30,'AEO 2025 Table 8'!$5:$5,0))*10^6</f>
        <v>67736923</v>
      </c>
      <c r="Q32" s="488">
        <f>INDEX('AEO 2025 Table 8'!$9:$9,MATCH(Q30,'AEO 2025 Table 8'!$5:$5,0))*10^6</f>
        <v>65641425.999999993</v>
      </c>
      <c r="R32" s="488">
        <f>INDEX('AEO 2025 Table 8'!$9:$9,MATCH(R30,'AEO 2025 Table 8'!$5:$5,0))*10^6</f>
        <v>61754604</v>
      </c>
      <c r="S32" s="488">
        <f>INDEX('AEO 2025 Table 8'!$9:$9,MATCH(S30,'AEO 2025 Table 8'!$5:$5,0))*10^6</f>
        <v>59323139</v>
      </c>
      <c r="T32" s="488">
        <f>INDEX('AEO 2025 Table 8'!$9:$9,MATCH(T30,'AEO 2025 Table 8'!$5:$5,0))*10^6</f>
        <v>55271309</v>
      </c>
      <c r="U32" s="488">
        <f>INDEX('AEO 2025 Table 8'!$9:$9,MATCH(U30,'AEO 2025 Table 8'!$5:$5,0))*10^6</f>
        <v>50305824</v>
      </c>
      <c r="V32" s="488">
        <f>INDEX('AEO 2025 Table 8'!$9:$9,MATCH(V30,'AEO 2025 Table 8'!$5:$5,0))*10^6</f>
        <v>15246185</v>
      </c>
      <c r="W32" s="488">
        <f>INDEX('AEO 2025 Table 8'!$9:$9,MATCH(W30,'AEO 2025 Table 8'!$5:$5,0))*10^6</f>
        <v>15276625</v>
      </c>
      <c r="X32" s="488">
        <f>INDEX('AEO 2025 Table 8'!$9:$9,MATCH(X30,'AEO 2025 Table 8'!$5:$5,0))*10^6</f>
        <v>15310402</v>
      </c>
      <c r="Y32" s="488">
        <f>INDEX('AEO 2025 Table 8'!$9:$9,MATCH(Y30,'AEO 2025 Table 8'!$5:$5,0))*10^6</f>
        <v>15327474</v>
      </c>
      <c r="Z32" s="488">
        <f>INDEX('AEO 2025 Table 8'!$9:$9,MATCH(Z30,'AEO 2025 Table 8'!$5:$5,0))*10^6</f>
        <v>15363914</v>
      </c>
      <c r="AA32" s="488">
        <f>INDEX('AEO 2025 Table 8'!$9:$9,MATCH(AA30,'AEO 2025 Table 8'!$5:$5,0))*10^6</f>
        <v>15069540</v>
      </c>
      <c r="AB32" s="488">
        <f>INDEX('AEO 2025 Table 8'!$9:$9,MATCH(AB30,'AEO 2025 Table 8'!$5:$5,0))*10^6</f>
        <v>13754477</v>
      </c>
      <c r="AC32" s="488">
        <f>INDEX('AEO 2025 Table 8'!$9:$9,MATCH(AC30,'AEO 2025 Table 8'!$5:$5,0))*10^6</f>
        <v>3278562</v>
      </c>
      <c r="AD32" s="488">
        <f>INDEX('AEO 2025 Table 8'!$9:$9,MATCH(AD30,'AEO 2025 Table 8'!$5:$5,0))*10^6</f>
        <v>3276852</v>
      </c>
      <c r="AE32" s="488">
        <f>INDEX('AEO 2025 Table 8'!$9:$9,MATCH(AE30,'AEO 2025 Table 8'!$5:$5,0))*10^6</f>
        <v>3274287</v>
      </c>
      <c r="AF32" s="488">
        <f>INDEX('AEO 2025 Table 8'!$9:$9,MATCH(AF30,'AEO 2025 Table 8'!$5:$5,0))*10^6</f>
        <v>3037285</v>
      </c>
      <c r="AG32" s="488">
        <f>INDEX('AEO 2025 Table 8'!$9:$9,MATCH(AG30,'AEO 2025 Table 8'!$5:$5,0))*10^6</f>
        <v>3046430</v>
      </c>
      <c r="AH32" s="5"/>
      <c r="AI32" s="5"/>
    </row>
    <row r="33" spans="1:35" x14ac:dyDescent="0.25">
      <c r="A33" t="s">
        <v>260</v>
      </c>
      <c r="D33">
        <f>D31/D32</f>
        <v>0.31989540904438946</v>
      </c>
      <c r="E33">
        <f t="shared" ref="E33:O33" si="5">E31/E32</f>
        <v>0.36047886675941437</v>
      </c>
      <c r="F33">
        <f t="shared" si="5"/>
        <v>0.38288809884212366</v>
      </c>
      <c r="G33">
        <f t="shared" si="5"/>
        <v>0.46274773385030771</v>
      </c>
      <c r="H33">
        <f t="shared" si="5"/>
        <v>0.4571971153806369</v>
      </c>
      <c r="I33">
        <f t="shared" si="5"/>
        <v>0.5303566381091539</v>
      </c>
      <c r="J33">
        <f t="shared" si="5"/>
        <v>0.66632965193604299</v>
      </c>
      <c r="K33">
        <f t="shared" si="5"/>
        <v>0.69152053076395159</v>
      </c>
      <c r="L33">
        <f t="shared" si="5"/>
        <v>0.72920563308629194</v>
      </c>
      <c r="M33">
        <f t="shared" si="5"/>
        <v>0.89337052514240212</v>
      </c>
      <c r="N33">
        <f t="shared" si="5"/>
        <v>0.97048081391456753</v>
      </c>
      <c r="O33">
        <f t="shared" si="5"/>
        <v>4.4322303993918268</v>
      </c>
      <c r="P33">
        <f t="shared" ref="P33:Q33" si="6">P31/P32</f>
        <v>4.4288991396907713</v>
      </c>
      <c r="Q33">
        <f t="shared" si="6"/>
        <v>4.5702846248343238</v>
      </c>
      <c r="R33">
        <f t="shared" ref="R33:Z33" si="7">R31/R32</f>
        <v>4.8579373936233159</v>
      </c>
      <c r="S33">
        <f t="shared" si="7"/>
        <v>5.0570486501059895</v>
      </c>
      <c r="T33">
        <f t="shared" si="7"/>
        <v>5.4277708530478259</v>
      </c>
      <c r="U33">
        <f t="shared" si="7"/>
        <v>5.9635242233583137</v>
      </c>
      <c r="V33">
        <f t="shared" si="7"/>
        <v>19.677053636696655</v>
      </c>
      <c r="W33">
        <f t="shared" si="7"/>
        <v>19.63784540106208</v>
      </c>
      <c r="X33">
        <f t="shared" si="7"/>
        <v>19.594521424061888</v>
      </c>
      <c r="Y33">
        <f t="shared" si="7"/>
        <v>19.572696714409695</v>
      </c>
      <c r="Z33">
        <f t="shared" si="7"/>
        <v>19.526274359515419</v>
      </c>
      <c r="AA33">
        <f t="shared" ref="AA33:AG33" si="8">AA31/AA32</f>
        <v>19.907707866331688</v>
      </c>
      <c r="AB33">
        <f t="shared" si="8"/>
        <v>21.81108013049133</v>
      </c>
      <c r="AC33">
        <f t="shared" si="8"/>
        <v>91.503531121265965</v>
      </c>
      <c r="AD33">
        <f t="shared" si="8"/>
        <v>91.551281534838921</v>
      </c>
      <c r="AE33">
        <f t="shared" si="8"/>
        <v>91.6230006715966</v>
      </c>
      <c r="AF33">
        <f t="shared" si="8"/>
        <v>98.772423397870142</v>
      </c>
      <c r="AG33">
        <f t="shared" si="8"/>
        <v>98.475920996051116</v>
      </c>
    </row>
    <row r="35" spans="1:35" x14ac:dyDescent="0.2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1521</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486">
        <f>INDEX('AEO 2025 Table 8'!12:12,MATCH(G36,'AEO 2025 Table 8'!5:5,0))*10^6</f>
        <v>777128174</v>
      </c>
      <c r="H38" s="486">
        <f>INDEX('AEO 2025 Table 8'!12:12,MATCH(H36,'AEO 2025 Table 8'!5:5,0))*10^6</f>
        <v>792291260</v>
      </c>
      <c r="I38" s="486">
        <f>INDEX('AEO 2025 Table 8'!12:12,MATCH(I36,'AEO 2025 Table 8'!5:5,0))*10^6</f>
        <v>799811157</v>
      </c>
      <c r="J38" s="486">
        <f>INDEX('AEO 2025 Table 8'!12:12,MATCH(J36,'AEO 2025 Table 8'!5:5,0))*10^6</f>
        <v>797992310</v>
      </c>
      <c r="K38" s="486">
        <f>INDEX('AEO 2025 Table 8'!12:12,MATCH(K36,'AEO 2025 Table 8'!5:5,0))*10^6</f>
        <v>797979065</v>
      </c>
      <c r="L38" s="486">
        <f>INDEX('AEO 2025 Table 8'!12:12,MATCH(L36,'AEO 2025 Table 8'!5:5,0))*10^6</f>
        <v>797968384</v>
      </c>
      <c r="M38" s="486">
        <f>INDEX('AEO 2025 Table 8'!12:12,MATCH(M36,'AEO 2025 Table 8'!5:5,0))*10^6</f>
        <v>789046570</v>
      </c>
      <c r="N38" s="486">
        <f>INDEX('AEO 2025 Table 8'!12:12,MATCH(N36,'AEO 2025 Table 8'!5:5,0))*10^6</f>
        <v>780742615</v>
      </c>
      <c r="O38" s="486">
        <f>INDEX('AEO 2025 Table 8'!12:12,MATCH(O36,'AEO 2025 Table 8'!5:5,0))*10^6</f>
        <v>780738403</v>
      </c>
      <c r="P38" s="486">
        <f>INDEX('AEO 2025 Table 8'!12:12,MATCH(P36,'AEO 2025 Table 8'!5:5,0))*10^6</f>
        <v>780753601</v>
      </c>
      <c r="Q38" s="486">
        <f>INDEX('AEO 2025 Table 8'!12:12,MATCH(Q36,'AEO 2025 Table 8'!5:5,0))*10^6</f>
        <v>780753601</v>
      </c>
      <c r="R38" s="486">
        <f>INDEX('AEO 2025 Table 8'!12:12,MATCH(R36,'AEO 2025 Table 8'!5:5,0))*10^6</f>
        <v>778717346</v>
      </c>
      <c r="S38" s="486">
        <f>INDEX('AEO 2025 Table 8'!12:12,MATCH(S36,'AEO 2025 Table 8'!5:5,0))*10^6</f>
        <v>773744385</v>
      </c>
      <c r="T38" s="486">
        <f>INDEX('AEO 2025 Table 8'!12:12,MATCH(T36,'AEO 2025 Table 8'!5:5,0))*10^6</f>
        <v>777646606</v>
      </c>
      <c r="U38" s="486">
        <f>INDEX('AEO 2025 Table 8'!12:12,MATCH(U36,'AEO 2025 Table 8'!5:5,0))*10^6</f>
        <v>777356079</v>
      </c>
      <c r="V38" s="486">
        <f>INDEX('AEO 2025 Table 8'!12:12,MATCH(V36,'AEO 2025 Table 8'!5:5,0))*10^6</f>
        <v>775992676</v>
      </c>
      <c r="W38" s="486">
        <f>INDEX('AEO 2025 Table 8'!12:12,MATCH(W36,'AEO 2025 Table 8'!5:5,0))*10^6</f>
        <v>775865662</v>
      </c>
      <c r="X38" s="486">
        <f>INDEX('AEO 2025 Table 8'!12:12,MATCH(X36,'AEO 2025 Table 8'!5:5,0))*10^6</f>
        <v>775929443</v>
      </c>
      <c r="Y38" s="486">
        <f>INDEX('AEO 2025 Table 8'!12:12,MATCH(Y36,'AEO 2025 Table 8'!5:5,0))*10^6</f>
        <v>775962280</v>
      </c>
      <c r="Z38" s="486">
        <f>INDEX('AEO 2025 Table 8'!12:12,MATCH(Z36,'AEO 2025 Table 8'!5:5,0))*10^6</f>
        <v>776000671</v>
      </c>
      <c r="AA38" s="486">
        <f>INDEX('AEO 2025 Table 8'!12:12,MATCH(AA36,'AEO 2025 Table 8'!5:5,0))*10^6</f>
        <v>775804871</v>
      </c>
      <c r="AB38" s="486">
        <f>INDEX('AEO 2025 Table 8'!12:12,MATCH(AB36,'AEO 2025 Table 8'!5:5,0))*10^6</f>
        <v>775945679</v>
      </c>
      <c r="AC38" s="486">
        <f>INDEX('AEO 2025 Table 8'!12:12,MATCH(AC36,'AEO 2025 Table 8'!5:5,0))*10^6</f>
        <v>775593079</v>
      </c>
      <c r="AD38" s="486">
        <f>INDEX('AEO 2025 Table 8'!12:12,MATCH(AD36,'AEO 2025 Table 8'!5:5,0))*10^6</f>
        <v>775920349</v>
      </c>
      <c r="AE38" s="486">
        <f>INDEX('AEO 2025 Table 8'!12:12,MATCH(AE36,'AEO 2025 Table 8'!5:5,0))*10^6</f>
        <v>775830078</v>
      </c>
      <c r="AF38" s="486">
        <f>INDEX('AEO 2025 Table 8'!12:12,MATCH(AF36,'AEO 2025 Table 8'!5:5,0))*10^6</f>
        <v>775654053</v>
      </c>
      <c r="AG38" s="486">
        <f>INDEX('AEO 2025 Table 8'!12:12,MATCH(AG36,'AEO 2025 Table 8'!5:5,0))*10^6</f>
        <v>775728882</v>
      </c>
      <c r="AH38" s="5"/>
      <c r="AI38" s="5"/>
    </row>
    <row r="39" spans="1:35" x14ac:dyDescent="0.25">
      <c r="A39" t="s">
        <v>261</v>
      </c>
      <c r="D39">
        <f t="shared" ref="D39" si="10">D37/D38</f>
        <v>0</v>
      </c>
      <c r="E39">
        <f t="shared" ref="E39:O39" si="11">E37/E38</f>
        <v>1.5544356062906066</v>
      </c>
      <c r="F39">
        <f t="shared" si="11"/>
        <v>1.5311670156123991</v>
      </c>
      <c r="G39">
        <f t="shared" si="11"/>
        <v>1.5441468217828376</v>
      </c>
      <c r="H39">
        <f t="shared" si="11"/>
        <v>1.5145945191923484</v>
      </c>
      <c r="I39">
        <f t="shared" si="11"/>
        <v>1.5003541642267939</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1522</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488">
        <f>INDEX('AEO 2025 Table 1'!10:10,MATCH(G43,'AEO 2025 Table 1'!5:5,0))*10^15</f>
        <v>1.026485E+16</v>
      </c>
      <c r="H45" s="488">
        <f>INDEX('AEO 2025 Table 1'!10:10,MATCH(H43,'AEO 2025 Table 1'!5:5,0))*10^15</f>
        <v>1.0131456E+16</v>
      </c>
      <c r="I45" s="488">
        <f>INDEX('AEO 2025 Table 1'!10:10,MATCH(I43,'AEO 2025 Table 1'!5:5,0))*10^15</f>
        <v>9293497000000000</v>
      </c>
      <c r="J45" s="488">
        <f>INDEX('AEO 2025 Table 1'!10:10,MATCH(J43,'AEO 2025 Table 1'!5:5,0))*10^15</f>
        <v>8276928000000000</v>
      </c>
      <c r="K45" s="488">
        <f>INDEX('AEO 2025 Table 1'!10:10,MATCH(K43,'AEO 2025 Table 1'!5:5,0))*10^15</f>
        <v>8234890999999999</v>
      </c>
      <c r="L45" s="488">
        <f>INDEX('AEO 2025 Table 1'!10:10,MATCH(L43,'AEO 2025 Table 1'!5:5,0))*10^15</f>
        <v>7890815000000000</v>
      </c>
      <c r="M45" s="488">
        <f>INDEX('AEO 2025 Table 1'!10:10,MATCH(M43,'AEO 2025 Table 1'!5:5,0))*10^15</f>
        <v>7084040000000000</v>
      </c>
      <c r="N45" s="488">
        <f>INDEX('AEO 2025 Table 1'!10:10,MATCH(N43,'AEO 2025 Table 1'!5:5,0))*10^15</f>
        <v>6787313000000000</v>
      </c>
      <c r="O45" s="488">
        <f>INDEX('AEO 2025 Table 1'!10:10,MATCH(O43,'AEO 2025 Table 1'!5:5,0))*10^15</f>
        <v>4313392999999999.5</v>
      </c>
      <c r="P45" s="488">
        <f>INDEX('AEO 2025 Table 1'!10:10,MATCH(P43,'AEO 2025 Table 1'!5:5,0))*10^15</f>
        <v>4312983000000000</v>
      </c>
      <c r="Q45" s="488">
        <f>INDEX('AEO 2025 Table 1'!10:10,MATCH(Q43,'AEO 2025 Table 1'!5:5,0))*10^15</f>
        <v>4267705000000000.5</v>
      </c>
      <c r="R45" s="488">
        <f>INDEX('AEO 2025 Table 1'!10:10,MATCH(R43,'AEO 2025 Table 1'!5:5,0))*10^15</f>
        <v>4298421000000000.5</v>
      </c>
      <c r="S45" s="488">
        <f>INDEX('AEO 2025 Table 1'!10:10,MATCH(S43,'AEO 2025 Table 1'!5:5,0))*10^15</f>
        <v>4226028999999999.5</v>
      </c>
      <c r="T45" s="488">
        <f>INDEX('AEO 2025 Table 1'!10:10,MATCH(T43,'AEO 2025 Table 1'!5:5,0))*10^15</f>
        <v>4238231000000000</v>
      </c>
      <c r="U45" s="488">
        <f>INDEX('AEO 2025 Table 1'!10:10,MATCH(U43,'AEO 2025 Table 1'!5:5,0))*10^15</f>
        <v>4161532000000000</v>
      </c>
      <c r="V45" s="488">
        <f>INDEX('AEO 2025 Table 1'!10:10,MATCH(V43,'AEO 2025 Table 1'!5:5,0))*10^15</f>
        <v>3857612000000000</v>
      </c>
      <c r="W45" s="488">
        <f>INDEX('AEO 2025 Table 1'!10:10,MATCH(W43,'AEO 2025 Table 1'!5:5,0))*10^15</f>
        <v>3892832000000000</v>
      </c>
      <c r="X45" s="488">
        <f>INDEX('AEO 2025 Table 1'!10:10,MATCH(X43,'AEO 2025 Table 1'!5:5,0))*10^15</f>
        <v>3849295000000000</v>
      </c>
      <c r="Y45" s="488">
        <f>INDEX('AEO 2025 Table 1'!10:10,MATCH(Y43,'AEO 2025 Table 1'!5:5,0))*10^15</f>
        <v>3853676000000000</v>
      </c>
      <c r="Z45" s="488">
        <f>INDEX('AEO 2025 Table 1'!10:10,MATCH(Z43,'AEO 2025 Table 1'!5:5,0))*10^15</f>
        <v>3865084000000000</v>
      </c>
      <c r="AA45" s="488">
        <f>INDEX('AEO 2025 Table 1'!10:10,MATCH(AA43,'AEO 2025 Table 1'!5:5,0))*10^15</f>
        <v>3875777000000000</v>
      </c>
      <c r="AB45" s="488">
        <f>INDEX('AEO 2025 Table 1'!10:10,MATCH(AB43,'AEO 2025 Table 1'!5:5,0))*10^15</f>
        <v>3917226000000000</v>
      </c>
      <c r="AC45" s="488">
        <f>INDEX('AEO 2025 Table 1'!10:10,MATCH(AC43,'AEO 2025 Table 1'!5:5,0))*10^15</f>
        <v>3781070000000000</v>
      </c>
      <c r="AD45" s="488">
        <f>INDEX('AEO 2025 Table 1'!10:10,MATCH(AD43,'AEO 2025 Table 1'!5:5,0))*10^15</f>
        <v>3815190000000000</v>
      </c>
      <c r="AE45" s="488">
        <f>INDEX('AEO 2025 Table 1'!10:10,MATCH(AE43,'AEO 2025 Table 1'!5:5,0))*10^15</f>
        <v>3824779000000000</v>
      </c>
      <c r="AF45" s="488">
        <f>INDEX('AEO 2025 Table 1'!10:10,MATCH(AF43,'AEO 2025 Table 1'!5:5,0))*10^15</f>
        <v>3842716000000000</v>
      </c>
      <c r="AG45" s="488">
        <f>INDEX('AEO 2025 Table 1'!10:10,MATCH(AG43,'AEO 2025 Table 1'!5:5,0))*10^15</f>
        <v>3797269000000000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9.7419835652737256E-9</v>
      </c>
      <c r="H46">
        <f t="shared" si="16"/>
        <v>9.8702496462502524E-9</v>
      </c>
      <c r="I46">
        <f t="shared" si="16"/>
        <v>1.0760212221513603E-8</v>
      </c>
      <c r="J46">
        <f t="shared" si="16"/>
        <v>1.2081777200429918E-8</v>
      </c>
      <c r="K46">
        <f t="shared" si="16"/>
        <v>1.2143451564811242E-8</v>
      </c>
      <c r="L46">
        <f t="shared" si="16"/>
        <v>1.2672962171841566E-8</v>
      </c>
      <c r="M46">
        <f t="shared" si="16"/>
        <v>1.4116238756415831E-8</v>
      </c>
      <c r="N46">
        <f t="shared" si="16"/>
        <v>1.4733370923073681E-8</v>
      </c>
      <c r="O46">
        <f t="shared" si="16"/>
        <v>2.3183605110872117E-8</v>
      </c>
      <c r="P46">
        <f t="shared" ref="P46:AG46" si="17">P44/P45</f>
        <v>2.3185808986494962E-8</v>
      </c>
      <c r="Q46">
        <f t="shared" si="17"/>
        <v>2.3431797652368192E-8</v>
      </c>
      <c r="R46">
        <f t="shared" si="17"/>
        <v>2.3264356841733277E-8</v>
      </c>
      <c r="S46">
        <f t="shared" si="17"/>
        <v>2.366287595281528E-8</v>
      </c>
      <c r="T46">
        <f t="shared" si="17"/>
        <v>2.3594749790655582E-8</v>
      </c>
      <c r="U46">
        <f t="shared" si="17"/>
        <v>2.4029612171671393E-8</v>
      </c>
      <c r="V46">
        <f t="shared" si="17"/>
        <v>2.5922772948653207E-8</v>
      </c>
      <c r="W46">
        <f t="shared" si="17"/>
        <v>2.5688239307527271E-8</v>
      </c>
      <c r="X46">
        <f t="shared" si="17"/>
        <v>2.5978783127819509E-8</v>
      </c>
      <c r="Y46">
        <f t="shared" si="17"/>
        <v>2.5949249495806083E-8</v>
      </c>
      <c r="Z46">
        <f t="shared" si="17"/>
        <v>2.5872658912458308E-8</v>
      </c>
      <c r="AA46">
        <f t="shared" si="17"/>
        <v>2.5801278040506459E-8</v>
      </c>
      <c r="AB46">
        <f t="shared" si="17"/>
        <v>2.5528269239507753E-8</v>
      </c>
      <c r="AC46">
        <f t="shared" si="17"/>
        <v>2.6447539982068569E-8</v>
      </c>
      <c r="AD46">
        <f t="shared" si="17"/>
        <v>2.6211014392468001E-8</v>
      </c>
      <c r="AE46">
        <f t="shared" si="17"/>
        <v>2.61453014670913E-8</v>
      </c>
      <c r="AF46">
        <f t="shared" si="17"/>
        <v>2.6023260631282665E-8</v>
      </c>
      <c r="AG46">
        <f t="shared" si="17"/>
        <v>2.6334715818131398E-8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1522</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488">
        <f>INDEX('AEO 2025 Table 1'!9:9,MATCH(G54,'AEO 2025 Table 1'!5:5,0))*10^15</f>
        <v>3.9777958E+16</v>
      </c>
      <c r="H56" s="488">
        <f>INDEX('AEO 2025 Table 1'!9:9,MATCH(H54,'AEO 2025 Table 1'!5:5,0))*10^15</f>
        <v>3.9964314E+16</v>
      </c>
      <c r="I56" s="488">
        <f>INDEX('AEO 2025 Table 1'!9:9,MATCH(I54,'AEO 2025 Table 1'!5:5,0))*10^15</f>
        <v>4.0376175E+16</v>
      </c>
      <c r="J56" s="488">
        <f>INDEX('AEO 2025 Table 1'!9:9,MATCH(J54,'AEO 2025 Table 1'!5:5,0))*10^15</f>
        <v>4.0612423E+16</v>
      </c>
      <c r="K56" s="488">
        <f>INDEX('AEO 2025 Table 1'!9:9,MATCH(K54,'AEO 2025 Table 1'!5:5,0))*10^15</f>
        <v>4.1816151E+16</v>
      </c>
      <c r="L56" s="488">
        <f>INDEX('AEO 2025 Table 1'!9:9,MATCH(L54,'AEO 2025 Table 1'!5:5,0))*10^15</f>
        <v>4.2651703E+16</v>
      </c>
      <c r="M56" s="488">
        <f>INDEX('AEO 2025 Table 1'!9:9,MATCH(M54,'AEO 2025 Table 1'!5:5,0))*10^15</f>
        <v>4.3563282E+16</v>
      </c>
      <c r="N56" s="488">
        <f>INDEX('AEO 2025 Table 1'!9:9,MATCH(N54,'AEO 2025 Table 1'!5:5,0))*10^15</f>
        <v>4.3656242E+16</v>
      </c>
      <c r="O56" s="488">
        <f>INDEX('AEO 2025 Table 1'!9:9,MATCH(O54,'AEO 2025 Table 1'!5:5,0))*10^15</f>
        <v>4.5521187E+16</v>
      </c>
      <c r="P56" s="488">
        <f>INDEX('AEO 2025 Table 1'!9:9,MATCH(P54,'AEO 2025 Table 1'!5:5,0))*10^15</f>
        <v>4.5501274E+16</v>
      </c>
      <c r="Q56" s="488">
        <f>INDEX('AEO 2025 Table 1'!9:9,MATCH(Q54,'AEO 2025 Table 1'!5:5,0))*10^15</f>
        <v>4.5491352E+16</v>
      </c>
      <c r="R56" s="488">
        <f>INDEX('AEO 2025 Table 1'!9:9,MATCH(R54,'AEO 2025 Table 1'!5:5,0))*10^15</f>
        <v>4.5081741E+16</v>
      </c>
      <c r="S56" s="488">
        <f>INDEX('AEO 2025 Table 1'!9:9,MATCH(S54,'AEO 2025 Table 1'!5:5,0))*10^15</f>
        <v>4.4722286E+16</v>
      </c>
      <c r="T56" s="488">
        <f>INDEX('AEO 2025 Table 1'!9:9,MATCH(T54,'AEO 2025 Table 1'!5:5,0))*10^15</f>
        <v>4.4078888E+16</v>
      </c>
      <c r="U56" s="488">
        <f>INDEX('AEO 2025 Table 1'!9:9,MATCH(U54,'AEO 2025 Table 1'!5:5,0))*10^15</f>
        <v>4.3848736E+16</v>
      </c>
      <c r="V56" s="488">
        <f>INDEX('AEO 2025 Table 1'!9:9,MATCH(V54,'AEO 2025 Table 1'!5:5,0))*10^15</f>
        <v>4.3464912E+16</v>
      </c>
      <c r="W56" s="488">
        <f>INDEX('AEO 2025 Table 1'!9:9,MATCH(W54,'AEO 2025 Table 1'!5:5,0))*10^15</f>
        <v>4.3734524E+16</v>
      </c>
      <c r="X56" s="488">
        <f>INDEX('AEO 2025 Table 1'!9:9,MATCH(X54,'AEO 2025 Table 1'!5:5,0))*10^15</f>
        <v>4.4301231E+16</v>
      </c>
      <c r="Y56" s="488">
        <f>INDEX('AEO 2025 Table 1'!9:9,MATCH(Y54,'AEO 2025 Table 1'!5:5,0))*10^15</f>
        <v>4.4546783E+16</v>
      </c>
      <c r="Z56" s="488">
        <f>INDEX('AEO 2025 Table 1'!9:9,MATCH(Z54,'AEO 2025 Table 1'!5:5,0))*10^15</f>
        <v>4.4735222E+16</v>
      </c>
      <c r="AA56" s="488">
        <f>INDEX('AEO 2025 Table 1'!9:9,MATCH(AA54,'AEO 2025 Table 1'!5:5,0))*10^15</f>
        <v>4.4901123E+16</v>
      </c>
      <c r="AB56" s="488">
        <f>INDEX('AEO 2025 Table 1'!9:9,MATCH(AB54,'AEO 2025 Table 1'!5:5,0))*10^15</f>
        <v>4.516296E+16</v>
      </c>
      <c r="AC56" s="488">
        <f>INDEX('AEO 2025 Table 1'!9:9,MATCH(AC54,'AEO 2025 Table 1'!5:5,0))*10^15</f>
        <v>4.5552685E+16</v>
      </c>
      <c r="AD56" s="488">
        <f>INDEX('AEO 2025 Table 1'!9:9,MATCH(AD54,'AEO 2025 Table 1'!5:5,0))*10^15</f>
        <v>4.5824455E+16</v>
      </c>
      <c r="AE56" s="488">
        <f>INDEX('AEO 2025 Table 1'!9:9,MATCH(AE54,'AEO 2025 Table 1'!5:5,0))*10^15</f>
        <v>4.5987713E+16</v>
      </c>
      <c r="AF56" s="488">
        <f>INDEX('AEO 2025 Table 1'!9:9,MATCH(AF54,'AEO 2025 Table 1'!5:5,0))*10^15</f>
        <v>4.620248E+16</v>
      </c>
      <c r="AG56" s="488">
        <f>INDEX('AEO 2025 Table 1'!9:9,MATCH(AG54,'AEO 2025 Table 1'!5:5,0))*10^15</f>
        <v>4.6360294E+16</v>
      </c>
      <c r="AH56" s="5"/>
      <c r="AI56" s="5"/>
    </row>
    <row r="57" spans="1:35" x14ac:dyDescent="0.25">
      <c r="A57" t="s">
        <v>277</v>
      </c>
      <c r="B57" t="s">
        <v>1522</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488">
        <f>SUM(INDEX('AEO 2025 Table 1'!7:8,0,MATCH(G54,'AEO 2025 Table 1'!5:5,0)))*10^15</f>
        <v>3.640884E+16</v>
      </c>
      <c r="H57" s="488">
        <f>SUM(INDEX('AEO 2025 Table 1'!7:8,0,MATCH(H54,'AEO 2025 Table 1'!5:5,0)))*10^15</f>
        <v>3.7314077999999992E+16</v>
      </c>
      <c r="I57" s="488">
        <f>SUM(INDEX('AEO 2025 Table 1'!7:8,0,MATCH(I54,'AEO 2025 Table 1'!5:5,0)))*10^15</f>
        <v>3.8142987000000008E+16</v>
      </c>
      <c r="J57" s="488">
        <f>SUM(INDEX('AEO 2025 Table 1'!7:8,0,MATCH(J54,'AEO 2025 Table 1'!5:5,0)))*10^15</f>
        <v>3.879622E+16</v>
      </c>
      <c r="K57" s="488">
        <f>SUM(INDEX('AEO 2025 Table 1'!7:8,0,MATCH(K54,'AEO 2025 Table 1'!5:5,0)))*10^15</f>
        <v>3.8784274E+16</v>
      </c>
      <c r="L57" s="488">
        <f>SUM(INDEX('AEO 2025 Table 1'!7:8,0,MATCH(L54,'AEO 2025 Table 1'!5:5,0)))*10^15</f>
        <v>3.8812082E+16</v>
      </c>
      <c r="M57" s="488">
        <f>SUM(INDEX('AEO 2025 Table 1'!7:8,0,MATCH(M54,'AEO 2025 Table 1'!5:5,0)))*10^15</f>
        <v>3.8689198E+16</v>
      </c>
      <c r="N57" s="488">
        <f>SUM(INDEX('AEO 2025 Table 1'!7:8,0,MATCH(N54,'AEO 2025 Table 1'!5:5,0)))*10^15</f>
        <v>3.8199246E+16</v>
      </c>
      <c r="O57" s="488">
        <f>SUM(INDEX('AEO 2025 Table 1'!7:8,0,MATCH(O54,'AEO 2025 Table 1'!5:5,0)))*10^15</f>
        <v>3.7827000999999992E+16</v>
      </c>
      <c r="P57" s="488">
        <f>SUM(INDEX('AEO 2025 Table 1'!7:8,0,MATCH(P54,'AEO 2025 Table 1'!5:5,0)))*10^15</f>
        <v>3.7730307E+16</v>
      </c>
      <c r="Q57" s="488">
        <f>SUM(INDEX('AEO 2025 Table 1'!7:8,0,MATCH(Q54,'AEO 2025 Table 1'!5:5,0)))*10^15</f>
        <v>3.7625585E+16</v>
      </c>
      <c r="R57" s="488">
        <f>SUM(INDEX('AEO 2025 Table 1'!7:8,0,MATCH(R54,'AEO 2025 Table 1'!5:5,0)))*10^15</f>
        <v>3.7337531E+16</v>
      </c>
      <c r="S57" s="488">
        <f>SUM(INDEX('AEO 2025 Table 1'!7:8,0,MATCH(S54,'AEO 2025 Table 1'!5:5,0)))*10^15</f>
        <v>3.6796063E+16</v>
      </c>
      <c r="T57" s="488">
        <f>SUM(INDEX('AEO 2025 Table 1'!7:8,0,MATCH(T54,'AEO 2025 Table 1'!5:5,0)))*10^15</f>
        <v>3.6339652E+16</v>
      </c>
      <c r="U57" s="488">
        <f>SUM(INDEX('AEO 2025 Table 1'!7:8,0,MATCH(U54,'AEO 2025 Table 1'!5:5,0)))*10^15</f>
        <v>3.6025530000000004E+16</v>
      </c>
      <c r="V57" s="488">
        <f>SUM(INDEX('AEO 2025 Table 1'!7:8,0,MATCH(V54,'AEO 2025 Table 1'!5:5,0)))*10^15</f>
        <v>3.5693039999999996E+16</v>
      </c>
      <c r="W57" s="488">
        <f>SUM(INDEX('AEO 2025 Table 1'!7:8,0,MATCH(W54,'AEO 2025 Table 1'!5:5,0)))*10^15</f>
        <v>3.5441444000000004E+16</v>
      </c>
      <c r="X57" s="488">
        <f>SUM(INDEX('AEO 2025 Table 1'!7:8,0,MATCH(X54,'AEO 2025 Table 1'!5:5,0)))*10^15</f>
        <v>3.5108980000000004E+16</v>
      </c>
      <c r="Y57" s="488">
        <f>SUM(INDEX('AEO 2025 Table 1'!7:8,0,MATCH(Y54,'AEO 2025 Table 1'!5:5,0)))*10^15</f>
        <v>3.5012455000000004E+16</v>
      </c>
      <c r="Z57" s="488">
        <f>SUM(INDEX('AEO 2025 Table 1'!7:8,0,MATCH(Z54,'AEO 2025 Table 1'!5:5,0)))*10^15</f>
        <v>3.4742129E+16</v>
      </c>
      <c r="AA57" s="488">
        <f>SUM(INDEX('AEO 2025 Table 1'!7:8,0,MATCH(AA54,'AEO 2025 Table 1'!5:5,0)))*10^15</f>
        <v>3.4687155000000004E+16</v>
      </c>
      <c r="AB57" s="488">
        <f>SUM(INDEX('AEO 2025 Table 1'!7:8,0,MATCH(AB54,'AEO 2025 Table 1'!5:5,0)))*10^15</f>
        <v>3.4773302E+16</v>
      </c>
      <c r="AC57" s="488">
        <f>SUM(INDEX('AEO 2025 Table 1'!7:8,0,MATCH(AC54,'AEO 2025 Table 1'!5:5,0)))*10^15</f>
        <v>3.4713151000000004E+16</v>
      </c>
      <c r="AD57" s="488">
        <f>SUM(INDEX('AEO 2025 Table 1'!7:8,0,MATCH(AD54,'AEO 2025 Table 1'!5:5,0)))*10^15</f>
        <v>3.4581912000000004E+16</v>
      </c>
      <c r="AE57" s="488">
        <f>SUM(INDEX('AEO 2025 Table 1'!7:8,0,MATCH(AE54,'AEO 2025 Table 1'!5:5,0)))*10^15</f>
        <v>3.4373987E+16</v>
      </c>
      <c r="AF57" s="488">
        <f>SUM(INDEX('AEO 2025 Table 1'!7:8,0,MATCH(AF54,'AEO 2025 Table 1'!5:5,0)))*10^15</f>
        <v>3.4338693999999996E+16</v>
      </c>
      <c r="AG57" s="488">
        <f>SUM(INDEX('AEO 2025 Table 1'!7:8,0,MATCH(AG54,'AEO 2025 Table 1'!5:5,0)))*10^15</f>
        <v>3.430413E+16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2.1263526523322325E-8</v>
      </c>
      <c r="H58" s="5">
        <f t="shared" si="20"/>
        <v>2.096316910941936E-8</v>
      </c>
      <c r="I58" s="5">
        <f t="shared" si="20"/>
        <v>2.0631906387386054E-8</v>
      </c>
      <c r="J58" s="5">
        <f t="shared" si="20"/>
        <v>2.0400801963081025E-8</v>
      </c>
      <c r="K58" s="5">
        <f t="shared" si="20"/>
        <v>2.0099149601258309E-8</v>
      </c>
      <c r="L58" s="5">
        <f t="shared" si="20"/>
        <v>1.9886137134433424E-8</v>
      </c>
      <c r="M58" s="5">
        <f t="shared" si="20"/>
        <v>1.9695454775345377E-8</v>
      </c>
      <c r="N58" s="5">
        <f t="shared" si="20"/>
        <v>1.9790976018614665E-8</v>
      </c>
      <c r="O58" s="5">
        <f t="shared" si="20"/>
        <v>1.943653532095983E-8</v>
      </c>
      <c r="P58" s="5">
        <f t="shared" ref="P58:AG58" si="21">P55*(P56/SUM(P56:P57))/P56</f>
        <v>1.9463765803030945E-8</v>
      </c>
      <c r="Q58" s="5">
        <f t="shared" si="21"/>
        <v>1.9490612364601455E-8</v>
      </c>
      <c r="R58" s="5">
        <f t="shared" si="21"/>
        <v>1.9655597055018884E-8</v>
      </c>
      <c r="S58" s="5">
        <f t="shared" si="21"/>
        <v>1.9872826423410518E-8</v>
      </c>
      <c r="T58" s="5">
        <f t="shared" si="21"/>
        <v>2.0144608444769083E-8</v>
      </c>
      <c r="U58" s="5">
        <f t="shared" si="21"/>
        <v>2.0281876518276865E-8</v>
      </c>
      <c r="V58" s="5">
        <f t="shared" si="21"/>
        <v>2.0465410727149687E-8</v>
      </c>
      <c r="W58" s="5">
        <f t="shared" si="21"/>
        <v>2.0460753949986445E-8</v>
      </c>
      <c r="X58" s="5">
        <f t="shared" si="21"/>
        <v>2.0400399137586982E-8</v>
      </c>
      <c r="Y58" s="5">
        <f t="shared" si="21"/>
        <v>2.0362185972671084E-8</v>
      </c>
      <c r="Z58" s="5">
        <f t="shared" si="21"/>
        <v>2.0383165513405199E-8</v>
      </c>
      <c r="AA58" s="5">
        <f t="shared" si="21"/>
        <v>2.0354756261971142E-8</v>
      </c>
      <c r="AB58" s="5">
        <f t="shared" si="21"/>
        <v>2.0266146545606553E-8</v>
      </c>
      <c r="AC58" s="5">
        <f t="shared" si="21"/>
        <v>2.0182933122380986E-8</v>
      </c>
      <c r="AD58" s="5">
        <f t="shared" si="21"/>
        <v>2.0147658207216356E-8</v>
      </c>
      <c r="AE58" s="5">
        <f t="shared" si="21"/>
        <v>2.0158856768833912E-8</v>
      </c>
      <c r="AF58" s="5">
        <f t="shared" si="21"/>
        <v>2.0113935761601889E-8</v>
      </c>
      <c r="AG58" s="5">
        <f t="shared" si="21"/>
        <v>2.0083202974337238E-8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620</v>
      </c>
      <c r="C62" s="5"/>
      <c r="D62" s="5">
        <f t="shared" ref="D62:AG62" si="41">D56</f>
        <v>3.5682777E+16</v>
      </c>
      <c r="E62" s="5">
        <f t="shared" si="41"/>
        <v>3.7814274E+16</v>
      </c>
      <c r="F62" s="5">
        <f t="shared" si="41"/>
        <v>3.7835823E+16</v>
      </c>
      <c r="G62" s="5">
        <f t="shared" si="41"/>
        <v>3.9777958E+16</v>
      </c>
      <c r="H62" s="5">
        <f t="shared" si="41"/>
        <v>3.9964314E+16</v>
      </c>
      <c r="I62" s="5">
        <f t="shared" si="41"/>
        <v>4.0376175E+16</v>
      </c>
      <c r="J62" s="5">
        <f t="shared" si="41"/>
        <v>4.0612423E+16</v>
      </c>
      <c r="K62" s="5">
        <f t="shared" si="41"/>
        <v>4.1816151E+16</v>
      </c>
      <c r="L62" s="5">
        <f t="shared" si="41"/>
        <v>4.2651703E+16</v>
      </c>
      <c r="M62" s="5">
        <f t="shared" si="41"/>
        <v>4.3563282E+16</v>
      </c>
      <c r="N62" s="5">
        <f t="shared" si="41"/>
        <v>4.3656242E+16</v>
      </c>
      <c r="O62" s="5">
        <f t="shared" si="41"/>
        <v>4.5521187E+16</v>
      </c>
      <c r="P62" s="5">
        <f t="shared" si="41"/>
        <v>4.5501274E+16</v>
      </c>
      <c r="Q62" s="5">
        <f t="shared" si="41"/>
        <v>4.5491352E+16</v>
      </c>
      <c r="R62" s="5">
        <f t="shared" si="41"/>
        <v>4.5081741E+16</v>
      </c>
      <c r="S62" s="5">
        <f t="shared" si="41"/>
        <v>4.4722286E+16</v>
      </c>
      <c r="T62" s="5">
        <f t="shared" si="41"/>
        <v>4.4078888E+16</v>
      </c>
      <c r="U62" s="5">
        <f t="shared" si="41"/>
        <v>4.3848736E+16</v>
      </c>
      <c r="V62" s="5">
        <f t="shared" si="41"/>
        <v>4.3464912E+16</v>
      </c>
      <c r="W62" s="5">
        <f t="shared" si="41"/>
        <v>4.3734524E+16</v>
      </c>
      <c r="X62" s="5">
        <f t="shared" si="41"/>
        <v>4.4301231E+16</v>
      </c>
      <c r="Y62" s="5">
        <f t="shared" si="41"/>
        <v>4.4546783E+16</v>
      </c>
      <c r="Z62" s="5">
        <f t="shared" si="41"/>
        <v>4.4735222E+16</v>
      </c>
      <c r="AA62" s="5">
        <f t="shared" si="41"/>
        <v>4.4901123E+16</v>
      </c>
      <c r="AB62" s="5">
        <f t="shared" si="41"/>
        <v>4.516296E+16</v>
      </c>
      <c r="AC62" s="5">
        <f t="shared" si="41"/>
        <v>4.5552685E+16</v>
      </c>
      <c r="AD62" s="5">
        <f t="shared" si="41"/>
        <v>4.5824455E+16</v>
      </c>
      <c r="AE62" s="5">
        <f t="shared" si="41"/>
        <v>4.5987713E+16</v>
      </c>
      <c r="AF62" s="5">
        <f t="shared" si="41"/>
        <v>4.620248E+16</v>
      </c>
      <c r="AG62" s="5">
        <f t="shared" si="41"/>
        <v>4.6360294E+16</v>
      </c>
      <c r="AH62" s="5"/>
      <c r="AI62" s="5"/>
    </row>
    <row r="63" spans="1:35" x14ac:dyDescent="0.25">
      <c r="A63" t="s">
        <v>277</v>
      </c>
      <c r="B63" t="s">
        <v>620</v>
      </c>
      <c r="C63" s="5"/>
      <c r="D63" s="5">
        <f t="shared" ref="D63:AG63" si="42">D57</f>
        <v>3.0179702000000004E+16</v>
      </c>
      <c r="E63" s="5">
        <f t="shared" si="42"/>
        <v>3.2355485E+16</v>
      </c>
      <c r="F63" s="5">
        <f t="shared" si="42"/>
        <v>3.3740817E+16</v>
      </c>
      <c r="G63" s="5">
        <f t="shared" si="42"/>
        <v>3.640884E+16</v>
      </c>
      <c r="H63" s="5">
        <f t="shared" si="42"/>
        <v>3.7314077999999992E+16</v>
      </c>
      <c r="I63" s="5">
        <f t="shared" si="42"/>
        <v>3.8142987000000008E+16</v>
      </c>
      <c r="J63" s="5">
        <f t="shared" si="42"/>
        <v>3.879622E+16</v>
      </c>
      <c r="K63" s="5">
        <f t="shared" si="42"/>
        <v>3.8784274E+16</v>
      </c>
      <c r="L63" s="5">
        <f t="shared" si="42"/>
        <v>3.8812082E+16</v>
      </c>
      <c r="M63" s="5">
        <f t="shared" si="42"/>
        <v>3.8689198E+16</v>
      </c>
      <c r="N63" s="5">
        <f t="shared" si="42"/>
        <v>3.8199246E+16</v>
      </c>
      <c r="O63" s="5">
        <f t="shared" si="42"/>
        <v>3.7827000999999992E+16</v>
      </c>
      <c r="P63" s="5">
        <f t="shared" si="42"/>
        <v>3.7730307E+16</v>
      </c>
      <c r="Q63" s="5">
        <f t="shared" si="42"/>
        <v>3.7625585E+16</v>
      </c>
      <c r="R63" s="5">
        <f t="shared" si="42"/>
        <v>3.7337531E+16</v>
      </c>
      <c r="S63" s="5">
        <f t="shared" si="42"/>
        <v>3.6796063E+16</v>
      </c>
      <c r="T63" s="5">
        <f t="shared" si="42"/>
        <v>3.6339652E+16</v>
      </c>
      <c r="U63" s="5">
        <f t="shared" si="42"/>
        <v>3.6025530000000004E+16</v>
      </c>
      <c r="V63" s="5">
        <f t="shared" si="42"/>
        <v>3.5693039999999996E+16</v>
      </c>
      <c r="W63" s="5">
        <f t="shared" si="42"/>
        <v>3.5441444000000004E+16</v>
      </c>
      <c r="X63" s="5">
        <f t="shared" si="42"/>
        <v>3.5108980000000004E+16</v>
      </c>
      <c r="Y63" s="5">
        <f t="shared" si="42"/>
        <v>3.5012455000000004E+16</v>
      </c>
      <c r="Z63" s="5">
        <f t="shared" si="42"/>
        <v>3.4742129E+16</v>
      </c>
      <c r="AA63" s="5">
        <f t="shared" si="42"/>
        <v>3.4687155000000004E+16</v>
      </c>
      <c r="AB63" s="5">
        <f t="shared" si="42"/>
        <v>3.4773302E+16</v>
      </c>
      <c r="AC63" s="5">
        <f t="shared" si="42"/>
        <v>3.4713151000000004E+16</v>
      </c>
      <c r="AD63" s="5">
        <f t="shared" si="42"/>
        <v>3.4581912000000004E+16</v>
      </c>
      <c r="AE63" s="5">
        <f t="shared" si="42"/>
        <v>3.4373987E+16</v>
      </c>
      <c r="AF63" s="5">
        <f t="shared" si="42"/>
        <v>3.4338693999999996E+16</v>
      </c>
      <c r="AG63" s="5">
        <f t="shared" si="42"/>
        <v>3.430413E+16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1.8375887118920525E-9</v>
      </c>
      <c r="H64" s="5">
        <f t="shared" si="43"/>
        <v>1.8116318983448828E-9</v>
      </c>
      <c r="I64" s="5">
        <f t="shared" si="43"/>
        <v>1.7830042557000291E-9</v>
      </c>
      <c r="J64" s="5">
        <f t="shared" si="43"/>
        <v>1.7630322684144094E-9</v>
      </c>
      <c r="K64" s="5">
        <f t="shared" si="43"/>
        <v>1.7369635457877546E-9</v>
      </c>
      <c r="L64" s="5">
        <f t="shared" si="43"/>
        <v>1.7185550610004187E-9</v>
      </c>
      <c r="M64" s="5">
        <f t="shared" si="43"/>
        <v>1.702076338610094E-9</v>
      </c>
      <c r="N64" s="5">
        <f t="shared" si="43"/>
        <v>1.7103312608679336E-9</v>
      </c>
      <c r="O64" s="5">
        <f t="shared" si="43"/>
        <v>1.6797005832928245E-9</v>
      </c>
      <c r="P64" s="5">
        <f t="shared" si="43"/>
        <v>1.6820538348298345E-9</v>
      </c>
      <c r="Q64" s="5">
        <f t="shared" si="43"/>
        <v>1.6843739080519771E-9</v>
      </c>
      <c r="R64" s="5">
        <f t="shared" si="43"/>
        <v>1.6986318442608908E-9</v>
      </c>
      <c r="S64" s="5">
        <f t="shared" si="43"/>
        <v>1.7174047526404151E-9</v>
      </c>
      <c r="T64" s="5">
        <f t="shared" si="43"/>
        <v>1.7408920878195502E-9</v>
      </c>
      <c r="U64" s="5">
        <f t="shared" si="43"/>
        <v>1.752754760838741E-9</v>
      </c>
      <c r="V64" s="5">
        <f t="shared" si="43"/>
        <v>1.7686157418524419E-9</v>
      </c>
      <c r="W64" s="5">
        <f t="shared" si="43"/>
        <v>1.768213304319816E-9</v>
      </c>
      <c r="X64" s="5">
        <f t="shared" si="43"/>
        <v>1.762997456334677E-9</v>
      </c>
      <c r="Y64" s="5">
        <f t="shared" si="43"/>
        <v>1.7596950840579947E-9</v>
      </c>
      <c r="Z64" s="5">
        <f t="shared" si="43"/>
        <v>1.7615081307881034E-9</v>
      </c>
      <c r="AA64" s="5">
        <f t="shared" si="43"/>
        <v>1.7590530102938024E-9</v>
      </c>
      <c r="AB64" s="5">
        <f t="shared" si="43"/>
        <v>1.7513953804845166E-9</v>
      </c>
      <c r="AC64" s="5">
        <f t="shared" si="43"/>
        <v>1.7442040969958877E-9</v>
      </c>
      <c r="AD64" s="5">
        <f t="shared" si="43"/>
        <v>1.7411556475372158E-9</v>
      </c>
      <c r="AE64" s="5">
        <f t="shared" si="43"/>
        <v>1.742123424467128E-9</v>
      </c>
      <c r="AF64" s="5">
        <f t="shared" si="43"/>
        <v>1.7382413621137431E-9</v>
      </c>
      <c r="AG64" s="5">
        <f t="shared" si="43"/>
        <v>1.7355854422266746E-9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620</v>
      </c>
      <c r="C68" s="5"/>
      <c r="D68" s="5">
        <f t="shared" ref="D68:AG68" si="63">D56</f>
        <v>3.5682777E+16</v>
      </c>
      <c r="E68" s="5">
        <f t="shared" si="63"/>
        <v>3.7814274E+16</v>
      </c>
      <c r="F68" s="5">
        <f t="shared" si="63"/>
        <v>3.7835823E+16</v>
      </c>
      <c r="G68" s="5">
        <f t="shared" si="63"/>
        <v>3.9777958E+16</v>
      </c>
      <c r="H68" s="5">
        <f t="shared" si="63"/>
        <v>3.9964314E+16</v>
      </c>
      <c r="I68" s="5">
        <f t="shared" si="63"/>
        <v>4.0376175E+16</v>
      </c>
      <c r="J68" s="5">
        <f t="shared" si="63"/>
        <v>4.0612423E+16</v>
      </c>
      <c r="K68" s="5">
        <f t="shared" si="63"/>
        <v>4.1816151E+16</v>
      </c>
      <c r="L68" s="5">
        <f t="shared" si="63"/>
        <v>4.2651703E+16</v>
      </c>
      <c r="M68" s="5">
        <f t="shared" si="63"/>
        <v>4.3563282E+16</v>
      </c>
      <c r="N68" s="5">
        <f t="shared" si="63"/>
        <v>4.3656242E+16</v>
      </c>
      <c r="O68" s="5">
        <f t="shared" si="63"/>
        <v>4.5521187E+16</v>
      </c>
      <c r="P68" s="5">
        <f t="shared" si="63"/>
        <v>4.5501274E+16</v>
      </c>
      <c r="Q68" s="5">
        <f t="shared" si="63"/>
        <v>4.5491352E+16</v>
      </c>
      <c r="R68" s="5">
        <f t="shared" si="63"/>
        <v>4.5081741E+16</v>
      </c>
      <c r="S68" s="5">
        <f t="shared" si="63"/>
        <v>4.4722286E+16</v>
      </c>
      <c r="T68" s="5">
        <f t="shared" si="63"/>
        <v>4.4078888E+16</v>
      </c>
      <c r="U68" s="5">
        <f t="shared" si="63"/>
        <v>4.3848736E+16</v>
      </c>
      <c r="V68" s="5">
        <f t="shared" si="63"/>
        <v>4.3464912E+16</v>
      </c>
      <c r="W68" s="5">
        <f t="shared" si="63"/>
        <v>4.3734524E+16</v>
      </c>
      <c r="X68" s="5">
        <f t="shared" si="63"/>
        <v>4.4301231E+16</v>
      </c>
      <c r="Y68" s="5">
        <f t="shared" si="63"/>
        <v>4.4546783E+16</v>
      </c>
      <c r="Z68" s="5">
        <f t="shared" si="63"/>
        <v>4.4735222E+16</v>
      </c>
      <c r="AA68" s="5">
        <f t="shared" si="63"/>
        <v>4.4901123E+16</v>
      </c>
      <c r="AB68" s="5">
        <f t="shared" si="63"/>
        <v>4.516296E+16</v>
      </c>
      <c r="AC68" s="5">
        <f t="shared" si="63"/>
        <v>4.5552685E+16</v>
      </c>
      <c r="AD68" s="5">
        <f t="shared" si="63"/>
        <v>4.5824455E+16</v>
      </c>
      <c r="AE68" s="5">
        <f t="shared" si="63"/>
        <v>4.5987713E+16</v>
      </c>
      <c r="AF68" s="5">
        <f t="shared" si="63"/>
        <v>4.620248E+16</v>
      </c>
      <c r="AG68" s="5">
        <f t="shared" si="63"/>
        <v>4.6360294E+16</v>
      </c>
      <c r="AH68" s="5"/>
      <c r="AI68" s="5"/>
    </row>
    <row r="69" spans="1:36" x14ac:dyDescent="0.25">
      <c r="A69" t="s">
        <v>277</v>
      </c>
      <c r="B69" t="s">
        <v>620</v>
      </c>
      <c r="C69" s="5"/>
      <c r="D69" s="5">
        <f t="shared" ref="D69:AG69" si="64">D57</f>
        <v>3.0179702000000004E+16</v>
      </c>
      <c r="E69" s="5">
        <f t="shared" si="64"/>
        <v>3.2355485E+16</v>
      </c>
      <c r="F69" s="5">
        <f t="shared" si="64"/>
        <v>3.3740817E+16</v>
      </c>
      <c r="G69" s="5">
        <f t="shared" si="64"/>
        <v>3.640884E+16</v>
      </c>
      <c r="H69" s="5">
        <f t="shared" si="64"/>
        <v>3.7314077999999992E+16</v>
      </c>
      <c r="I69" s="5">
        <f t="shared" si="64"/>
        <v>3.8142987000000008E+16</v>
      </c>
      <c r="J69" s="5">
        <f t="shared" si="64"/>
        <v>3.879622E+16</v>
      </c>
      <c r="K69" s="5">
        <f t="shared" si="64"/>
        <v>3.8784274E+16</v>
      </c>
      <c r="L69" s="5">
        <f t="shared" si="64"/>
        <v>3.8812082E+16</v>
      </c>
      <c r="M69" s="5">
        <f t="shared" si="64"/>
        <v>3.8689198E+16</v>
      </c>
      <c r="N69" s="5">
        <f t="shared" si="64"/>
        <v>3.8199246E+16</v>
      </c>
      <c r="O69" s="5">
        <f t="shared" si="64"/>
        <v>3.7827000999999992E+16</v>
      </c>
      <c r="P69" s="5">
        <f t="shared" si="64"/>
        <v>3.7730307E+16</v>
      </c>
      <c r="Q69" s="5">
        <f t="shared" si="64"/>
        <v>3.7625585E+16</v>
      </c>
      <c r="R69" s="5">
        <f t="shared" si="64"/>
        <v>3.7337531E+16</v>
      </c>
      <c r="S69" s="5">
        <f t="shared" si="64"/>
        <v>3.6796063E+16</v>
      </c>
      <c r="T69" s="5">
        <f t="shared" si="64"/>
        <v>3.6339652E+16</v>
      </c>
      <c r="U69" s="5">
        <f t="shared" si="64"/>
        <v>3.6025530000000004E+16</v>
      </c>
      <c r="V69" s="5">
        <f t="shared" si="64"/>
        <v>3.5693039999999996E+16</v>
      </c>
      <c r="W69" s="5">
        <f t="shared" si="64"/>
        <v>3.5441444000000004E+16</v>
      </c>
      <c r="X69" s="5">
        <f t="shared" si="64"/>
        <v>3.5108980000000004E+16</v>
      </c>
      <c r="Y69" s="5">
        <f t="shared" si="64"/>
        <v>3.5012455000000004E+16</v>
      </c>
      <c r="Z69" s="5">
        <f t="shared" si="64"/>
        <v>3.4742129E+16</v>
      </c>
      <c r="AA69" s="5">
        <f t="shared" si="64"/>
        <v>3.4687155000000004E+16</v>
      </c>
      <c r="AB69" s="5">
        <f t="shared" si="64"/>
        <v>3.4773302E+16</v>
      </c>
      <c r="AC69" s="5">
        <f t="shared" si="64"/>
        <v>3.4713151000000004E+16</v>
      </c>
      <c r="AD69" s="5">
        <f t="shared" si="64"/>
        <v>3.4581912000000004E+16</v>
      </c>
      <c r="AE69" s="5">
        <f t="shared" si="64"/>
        <v>3.4373987E+16</v>
      </c>
      <c r="AF69" s="5">
        <f t="shared" si="64"/>
        <v>3.4338693999999996E+16</v>
      </c>
      <c r="AG69" s="5">
        <f t="shared" si="64"/>
        <v>3.430413E+16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1.5750760387646166E-8</v>
      </c>
      <c r="H70" s="5">
        <f t="shared" si="65"/>
        <v>1.5528273414384707E-8</v>
      </c>
      <c r="I70" s="5">
        <f t="shared" si="65"/>
        <v>1.5282893620285964E-8</v>
      </c>
      <c r="J70" s="5">
        <f t="shared" si="65"/>
        <v>1.5111705157837792E-8</v>
      </c>
      <c r="K70" s="5">
        <f t="shared" si="65"/>
        <v>1.4888258963895039E-8</v>
      </c>
      <c r="L70" s="5">
        <f t="shared" si="65"/>
        <v>1.4730471951432162E-8</v>
      </c>
      <c r="M70" s="5">
        <f t="shared" si="65"/>
        <v>1.4589225759515092E-8</v>
      </c>
      <c r="N70" s="5">
        <f t="shared" si="65"/>
        <v>1.4659982236010858E-8</v>
      </c>
      <c r="O70" s="5">
        <f t="shared" si="65"/>
        <v>1.4397433571081353E-8</v>
      </c>
      <c r="P70" s="5">
        <f t="shared" si="65"/>
        <v>1.4417604298541439E-8</v>
      </c>
      <c r="Q70" s="5">
        <f t="shared" si="65"/>
        <v>1.443749064044552E-8</v>
      </c>
      <c r="R70" s="5">
        <f t="shared" si="65"/>
        <v>1.4559701522236208E-8</v>
      </c>
      <c r="S70" s="5">
        <f t="shared" si="65"/>
        <v>1.4720612165489271E-8</v>
      </c>
      <c r="T70" s="5">
        <f t="shared" si="65"/>
        <v>1.4921932181310428E-8</v>
      </c>
      <c r="U70" s="5">
        <f t="shared" si="65"/>
        <v>1.5023612235760637E-8</v>
      </c>
      <c r="V70" s="5">
        <f t="shared" si="65"/>
        <v>1.5159563501592362E-8</v>
      </c>
      <c r="W70" s="5">
        <f t="shared" si="65"/>
        <v>1.5156114037026993E-8</v>
      </c>
      <c r="X70" s="5">
        <f t="shared" si="65"/>
        <v>1.5111406768582949E-8</v>
      </c>
      <c r="Y70" s="5">
        <f t="shared" si="65"/>
        <v>1.5083100720497096E-8</v>
      </c>
      <c r="Z70" s="5">
        <f t="shared" si="65"/>
        <v>1.5098641121040886E-8</v>
      </c>
      <c r="AA70" s="5">
        <f t="shared" si="65"/>
        <v>1.5077597231089734E-8</v>
      </c>
      <c r="AB70" s="5">
        <f t="shared" si="65"/>
        <v>1.5011960404152999E-8</v>
      </c>
      <c r="AC70" s="5">
        <f t="shared" si="65"/>
        <v>1.4950320831393322E-8</v>
      </c>
      <c r="AD70" s="5">
        <f t="shared" si="65"/>
        <v>1.4924191264604708E-8</v>
      </c>
      <c r="AE70" s="5">
        <f t="shared" si="65"/>
        <v>1.4932486495432526E-8</v>
      </c>
      <c r="AF70" s="5">
        <f t="shared" si="65"/>
        <v>1.4899211675260655E-8</v>
      </c>
      <c r="AG70" s="5">
        <f t="shared" si="65"/>
        <v>1.4876446647657211E-8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89">
        <f>INDEX('AEO 2025 Table 11'!7:7,MATCH(H73,'AEO 2025 Table 11'!5:5,0))</f>
        <v>13.266057999999999</v>
      </c>
      <c r="I75" s="489">
        <f>INDEX('AEO 2025 Table 11'!7:7,MATCH(I73,'AEO 2025 Table 11'!5:5,0))</f>
        <v>13.693652</v>
      </c>
      <c r="J75" s="489">
        <f>INDEX('AEO 2025 Table 11'!7:7,MATCH(J73,'AEO 2025 Table 11'!5:5,0))</f>
        <v>13.835194</v>
      </c>
      <c r="K75" s="489">
        <f>INDEX('AEO 2025 Table 11'!7:7,MATCH(K73,'AEO 2025 Table 11'!5:5,0))</f>
        <v>14.025308000000001</v>
      </c>
      <c r="L75" s="489">
        <f>INDEX('AEO 2025 Table 11'!7:7,MATCH(L73,'AEO 2025 Table 11'!5:5,0))</f>
        <v>14.023446</v>
      </c>
      <c r="M75" s="489">
        <f>INDEX('AEO 2025 Table 11'!7:7,MATCH(M73,'AEO 2025 Table 11'!5:5,0))</f>
        <v>14.009728000000001</v>
      </c>
      <c r="N75" s="489">
        <f>INDEX('AEO 2025 Table 11'!7:7,MATCH(N73,'AEO 2025 Table 11'!5:5,0))</f>
        <v>13.909203</v>
      </c>
      <c r="O75" s="489">
        <f>INDEX('AEO 2025 Table 11'!7:7,MATCH(O73,'AEO 2025 Table 11'!5:5,0))</f>
        <v>13.730183</v>
      </c>
      <c r="P75" s="489">
        <f>INDEX('AEO 2025 Table 11'!7:7,MATCH(P73,'AEO 2025 Table 11'!5:5,0))</f>
        <v>13.507175</v>
      </c>
      <c r="Q75" s="489">
        <f>INDEX('AEO 2025 Table 11'!7:7,MATCH(Q73,'AEO 2025 Table 11'!5:5,0))</f>
        <v>13.404424000000001</v>
      </c>
      <c r="R75" s="489">
        <f>INDEX('AEO 2025 Table 11'!7:7,MATCH(R73,'AEO 2025 Table 11'!5:5,0))</f>
        <v>13.299763</v>
      </c>
      <c r="S75" s="489">
        <f>INDEX('AEO 2025 Table 11'!7:7,MATCH(S73,'AEO 2025 Table 11'!5:5,0))</f>
        <v>13.026337</v>
      </c>
      <c r="T75" s="489">
        <f>INDEX('AEO 2025 Table 11'!7:7,MATCH(T73,'AEO 2025 Table 11'!5:5,0))</f>
        <v>12.777983000000001</v>
      </c>
      <c r="U75" s="489">
        <f>INDEX('AEO 2025 Table 11'!7:7,MATCH(U73,'AEO 2025 Table 11'!5:5,0))</f>
        <v>12.557478</v>
      </c>
      <c r="V75" s="489">
        <f>INDEX('AEO 2025 Table 11'!7:7,MATCH(V73,'AEO 2025 Table 11'!5:5,0))</f>
        <v>12.337666</v>
      </c>
      <c r="W75" s="489">
        <f>INDEX('AEO 2025 Table 11'!7:7,MATCH(W73,'AEO 2025 Table 11'!5:5,0))</f>
        <v>12.155936000000001</v>
      </c>
      <c r="X75" s="489">
        <f>INDEX('AEO 2025 Table 11'!7:7,MATCH(X73,'AEO 2025 Table 11'!5:5,0))</f>
        <v>12.015428</v>
      </c>
      <c r="Y75" s="489">
        <f>INDEX('AEO 2025 Table 11'!7:7,MATCH(Y73,'AEO 2025 Table 11'!5:5,0))</f>
        <v>11.859089000000001</v>
      </c>
      <c r="Z75" s="489">
        <f>INDEX('AEO 2025 Table 11'!7:7,MATCH(Z73,'AEO 2025 Table 11'!5:5,0))</f>
        <v>11.788242</v>
      </c>
      <c r="AA75" s="489">
        <f>INDEX('AEO 2025 Table 11'!7:7,MATCH(AA73,'AEO 2025 Table 11'!5:5,0))</f>
        <v>11.645022000000001</v>
      </c>
      <c r="AB75" s="489">
        <f>INDEX('AEO 2025 Table 11'!7:7,MATCH(AB73,'AEO 2025 Table 11'!5:5,0))</f>
        <v>11.598876000000001</v>
      </c>
      <c r="AC75" s="489">
        <f>INDEX('AEO 2025 Table 11'!7:7,MATCH(AC73,'AEO 2025 Table 11'!5:5,0))</f>
        <v>11.619228</v>
      </c>
      <c r="AD75" s="489">
        <f>INDEX('AEO 2025 Table 11'!7:7,MATCH(AD73,'AEO 2025 Table 11'!5:5,0))</f>
        <v>11.552236000000001</v>
      </c>
      <c r="AE75" s="489">
        <f>INDEX('AEO 2025 Table 11'!7:7,MATCH(AE73,'AEO 2025 Table 11'!5:5,0))</f>
        <v>11.458454</v>
      </c>
      <c r="AF75" s="489">
        <f>INDEX('AEO 2025 Table 11'!7:7,MATCH(AF73,'AEO 2025 Table 11'!5:5,0))</f>
        <v>11.354692</v>
      </c>
      <c r="AG75" s="489">
        <f>INDEX('AEO 2025 Table 11'!7:7,MATCH(AG73,'AEO 2025 Table 11'!5:5,0))</f>
        <v>11.326180000000001</v>
      </c>
      <c r="AH75" s="489">
        <f>INDEX('AEO 2025 Table 11'!7:7,MATCH(AH73,'AEO 2025 Table 11'!5:5,0))</f>
        <v>11.279612999999999</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490">
        <f>(INDEX('AEO 2025 Table 11'!7:7,MATCH(H73,'AEO 2025 Table 11'!5:5,0))-INDEX('AEO 2025 Table 11'!12:12,MATCH(H73,'AEO 2025 Table 11'!5:5,0)))/INDEX('AEO 2025 Table 11'!14:14,MATCH(H73,'AEO 2025 Table 11'!5:5,0))</f>
        <v>0.56200943672814152</v>
      </c>
      <c r="I77" s="490">
        <f>(INDEX('AEO 2025 Table 11'!7:7,MATCH(I73,'AEO 2025 Table 11'!5:5,0))-INDEX('AEO 2025 Table 11'!12:12,MATCH(I73,'AEO 2025 Table 11'!5:5,0)))/INDEX('AEO 2025 Table 11'!14:14,MATCH(I73,'AEO 2025 Table 11'!5:5,0))</f>
        <v>0.58766209732065777</v>
      </c>
      <c r="J77" s="490">
        <f>(INDEX('AEO 2025 Table 11'!7:7,MATCH(J73,'AEO 2025 Table 11'!5:5,0))-INDEX('AEO 2025 Table 11'!12:12,MATCH(J73,'AEO 2025 Table 11'!5:5,0)))/INDEX('AEO 2025 Table 11'!14:14,MATCH(J73,'AEO 2025 Table 11'!5:5,0))</f>
        <v>0.59577459742198791</v>
      </c>
      <c r="K77" s="490">
        <f>(INDEX('AEO 2025 Table 11'!7:7,MATCH(K73,'AEO 2025 Table 11'!5:5,0))-INDEX('AEO 2025 Table 11'!12:12,MATCH(K73,'AEO 2025 Table 11'!5:5,0)))/INDEX('AEO 2025 Table 11'!14:14,MATCH(K73,'AEO 2025 Table 11'!5:5,0))</f>
        <v>0.61097667953878598</v>
      </c>
      <c r="L77" s="490">
        <f>(INDEX('AEO 2025 Table 11'!7:7,MATCH(L73,'AEO 2025 Table 11'!5:5,0))-INDEX('AEO 2025 Table 11'!12:12,MATCH(L73,'AEO 2025 Table 11'!5:5,0)))/INDEX('AEO 2025 Table 11'!14:14,MATCH(L73,'AEO 2025 Table 11'!5:5,0))</f>
        <v>0.6139025394020915</v>
      </c>
      <c r="M77" s="490">
        <f>(INDEX('AEO 2025 Table 11'!7:7,MATCH(M73,'AEO 2025 Table 11'!5:5,0))-INDEX('AEO 2025 Table 11'!12:12,MATCH(M73,'AEO 2025 Table 11'!5:5,0)))/INDEX('AEO 2025 Table 11'!14:14,MATCH(M73,'AEO 2025 Table 11'!5:5,0))</f>
        <v>0.62039379733752509</v>
      </c>
      <c r="N77" s="490">
        <f>(INDEX('AEO 2025 Table 11'!7:7,MATCH(N73,'AEO 2025 Table 11'!5:5,0))-INDEX('AEO 2025 Table 11'!12:12,MATCH(N73,'AEO 2025 Table 11'!5:5,0)))/INDEX('AEO 2025 Table 11'!14:14,MATCH(N73,'AEO 2025 Table 11'!5:5,0))</f>
        <v>0.60996995896330586</v>
      </c>
      <c r="O77" s="490">
        <f>(INDEX('AEO 2025 Table 11'!7:7,MATCH(O73,'AEO 2025 Table 11'!5:5,0))-INDEX('AEO 2025 Table 11'!12:12,MATCH(O73,'AEO 2025 Table 11'!5:5,0)))/INDEX('AEO 2025 Table 11'!14:14,MATCH(O73,'AEO 2025 Table 11'!5:5,0))</f>
        <v>0.59447362476437016</v>
      </c>
      <c r="P77" s="490">
        <f>(INDEX('AEO 2025 Table 11'!7:7,MATCH(P73,'AEO 2025 Table 11'!5:5,0))-INDEX('AEO 2025 Table 11'!12:12,MATCH(P73,'AEO 2025 Table 11'!5:5,0)))/INDEX('AEO 2025 Table 11'!14:14,MATCH(P73,'AEO 2025 Table 11'!5:5,0))</f>
        <v>0.59191956472623186</v>
      </c>
      <c r="Q77" s="490">
        <f>(INDEX('AEO 2025 Table 11'!7:7,MATCH(Q73,'AEO 2025 Table 11'!5:5,0))-INDEX('AEO 2025 Table 11'!12:12,MATCH(Q73,'AEO 2025 Table 11'!5:5,0)))/INDEX('AEO 2025 Table 11'!14:14,MATCH(Q73,'AEO 2025 Table 11'!5:5,0))</f>
        <v>0.58819162605215547</v>
      </c>
      <c r="R77" s="490">
        <f>(INDEX('AEO 2025 Table 11'!7:7,MATCH(R73,'AEO 2025 Table 11'!5:5,0))-INDEX('AEO 2025 Table 11'!12:12,MATCH(R73,'AEO 2025 Table 11'!5:5,0)))/INDEX('AEO 2025 Table 11'!14:14,MATCH(R73,'AEO 2025 Table 11'!5:5,0))</f>
        <v>0.58044758080859171</v>
      </c>
      <c r="S77" s="490">
        <f>(INDEX('AEO 2025 Table 11'!7:7,MATCH(S73,'AEO 2025 Table 11'!5:5,0))-INDEX('AEO 2025 Table 11'!12:12,MATCH(S73,'AEO 2025 Table 11'!5:5,0)))/INDEX('AEO 2025 Table 11'!14:14,MATCH(S73,'AEO 2025 Table 11'!5:5,0))</f>
        <v>0.56706476241409398</v>
      </c>
      <c r="T77" s="490">
        <f>(INDEX('AEO 2025 Table 11'!7:7,MATCH(T73,'AEO 2025 Table 11'!5:5,0))-INDEX('AEO 2025 Table 11'!12:12,MATCH(T73,'AEO 2025 Table 11'!5:5,0)))/INDEX('AEO 2025 Table 11'!14:14,MATCH(T73,'AEO 2025 Table 11'!5:5,0))</f>
        <v>0.55785386776913559</v>
      </c>
      <c r="U77" s="490">
        <f>(INDEX('AEO 2025 Table 11'!7:7,MATCH(U73,'AEO 2025 Table 11'!5:5,0))-INDEX('AEO 2025 Table 11'!12:12,MATCH(U73,'AEO 2025 Table 11'!5:5,0)))/INDEX('AEO 2025 Table 11'!14:14,MATCH(U73,'AEO 2025 Table 11'!5:5,0))</f>
        <v>0.55210066935724889</v>
      </c>
      <c r="V77" s="490">
        <f>(INDEX('AEO 2025 Table 11'!7:7,MATCH(V73,'AEO 2025 Table 11'!5:5,0))-INDEX('AEO 2025 Table 11'!12:12,MATCH(V73,'AEO 2025 Table 11'!5:5,0)))/INDEX('AEO 2025 Table 11'!14:14,MATCH(V73,'AEO 2025 Table 11'!5:5,0))</f>
        <v>0.54378749583901331</v>
      </c>
      <c r="W77" s="490">
        <f>(INDEX('AEO 2025 Table 11'!7:7,MATCH(W73,'AEO 2025 Table 11'!5:5,0))-INDEX('AEO 2025 Table 11'!12:12,MATCH(W73,'AEO 2025 Table 11'!5:5,0)))/INDEX('AEO 2025 Table 11'!14:14,MATCH(W73,'AEO 2025 Table 11'!5:5,0))</f>
        <v>0.53380548811118833</v>
      </c>
      <c r="X77" s="490">
        <f>(INDEX('AEO 2025 Table 11'!7:7,MATCH(X73,'AEO 2025 Table 11'!5:5,0))-INDEX('AEO 2025 Table 11'!12:12,MATCH(X73,'AEO 2025 Table 11'!5:5,0)))/INDEX('AEO 2025 Table 11'!14:14,MATCH(X73,'AEO 2025 Table 11'!5:5,0))</f>
        <v>0.52722643937921942</v>
      </c>
      <c r="Y77" s="490">
        <f>(INDEX('AEO 2025 Table 11'!7:7,MATCH(Y73,'AEO 2025 Table 11'!5:5,0))-INDEX('AEO 2025 Table 11'!12:12,MATCH(Y73,'AEO 2025 Table 11'!5:5,0)))/INDEX('AEO 2025 Table 11'!14:14,MATCH(Y73,'AEO 2025 Table 11'!5:5,0))</f>
        <v>0.51763063591545355</v>
      </c>
      <c r="Z77" s="490">
        <f>(INDEX('AEO 2025 Table 11'!7:7,MATCH(Z73,'AEO 2025 Table 11'!5:5,0))-INDEX('AEO 2025 Table 11'!12:12,MATCH(Z73,'AEO 2025 Table 11'!5:5,0)))/INDEX('AEO 2025 Table 11'!14:14,MATCH(Z73,'AEO 2025 Table 11'!5:5,0))</f>
        <v>0.50711817801675174</v>
      </c>
      <c r="AA77" s="490">
        <f>(INDEX('AEO 2025 Table 11'!7:7,MATCH(AA73,'AEO 2025 Table 11'!5:5,0))-INDEX('AEO 2025 Table 11'!12:12,MATCH(AA73,'AEO 2025 Table 11'!5:5,0)))/INDEX('AEO 2025 Table 11'!14:14,MATCH(AA73,'AEO 2025 Table 11'!5:5,0))</f>
        <v>0.49842269584530879</v>
      </c>
      <c r="AB77" s="490">
        <f>(INDEX('AEO 2025 Table 11'!7:7,MATCH(AB73,'AEO 2025 Table 11'!5:5,0))-INDEX('AEO 2025 Table 11'!12:12,MATCH(AB73,'AEO 2025 Table 11'!5:5,0)))/INDEX('AEO 2025 Table 11'!14:14,MATCH(AB73,'AEO 2025 Table 11'!5:5,0))</f>
        <v>0.49415635082322562</v>
      </c>
      <c r="AC77" s="490">
        <f>(INDEX('AEO 2025 Table 11'!7:7,MATCH(AC73,'AEO 2025 Table 11'!5:5,0))-INDEX('AEO 2025 Table 11'!12:12,MATCH(AC73,'AEO 2025 Table 11'!5:5,0)))/INDEX('AEO 2025 Table 11'!14:14,MATCH(AC73,'AEO 2025 Table 11'!5:5,0))</f>
        <v>0.49252117319640781</v>
      </c>
      <c r="AD77" s="490">
        <f>(INDEX('AEO 2025 Table 11'!7:7,MATCH(AD73,'AEO 2025 Table 11'!5:5,0))-INDEX('AEO 2025 Table 11'!12:12,MATCH(AD73,'AEO 2025 Table 11'!5:5,0)))/INDEX('AEO 2025 Table 11'!14:14,MATCH(AD73,'AEO 2025 Table 11'!5:5,0))</f>
        <v>0.49180727668054763</v>
      </c>
      <c r="AE77" s="490">
        <f>(INDEX('AEO 2025 Table 11'!7:7,MATCH(AE73,'AEO 2025 Table 11'!5:5,0))-INDEX('AEO 2025 Table 11'!12:12,MATCH(AE73,'AEO 2025 Table 11'!5:5,0)))/INDEX('AEO 2025 Table 11'!14:14,MATCH(AE73,'AEO 2025 Table 11'!5:5,0))</f>
        <v>0.48673694858453248</v>
      </c>
      <c r="AF77" s="490">
        <f>(INDEX('AEO 2025 Table 11'!7:7,MATCH(AF73,'AEO 2025 Table 11'!5:5,0))-INDEX('AEO 2025 Table 11'!12:12,MATCH(AF73,'AEO 2025 Table 11'!5:5,0)))/INDEX('AEO 2025 Table 11'!14:14,MATCH(AF73,'AEO 2025 Table 11'!5:5,0))</f>
        <v>0.48668133983143674</v>
      </c>
      <c r="AG77" s="490">
        <f>(INDEX('AEO 2025 Table 11'!7:7,MATCH(AG73,'AEO 2025 Table 11'!5:5,0))-INDEX('AEO 2025 Table 11'!12:12,MATCH(AG73,'AEO 2025 Table 11'!5:5,0)))/INDEX('AEO 2025 Table 11'!14:14,MATCH(AG73,'AEO 2025 Table 11'!5:5,0))</f>
        <v>0.48379212523686466</v>
      </c>
      <c r="AH77" s="490">
        <f>(INDEX('AEO 2025 Table 11'!7:7,MATCH(AH73,'AEO 2025 Table 11'!5:5,0))-INDEX('AEO 2025 Table 11'!12:12,MATCH(AH73,'AEO 2025 Table 11'!5:5,0)))/INDEX('AEO 2025 Table 11'!14:14,MATCH(AH73,'AEO 2025 Table 11'!5:5,0))</f>
        <v>0.47967019801089783</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2.6236677464641801E-8</v>
      </c>
      <c r="I78">
        <f t="shared" si="86"/>
        <v>2.6577584900988696E-8</v>
      </c>
      <c r="J78">
        <f t="shared" si="86"/>
        <v>2.6668822990374372E-8</v>
      </c>
      <c r="K78">
        <f t="shared" si="86"/>
        <v>2.697859613634956E-8</v>
      </c>
      <c r="L78">
        <f t="shared" si="86"/>
        <v>2.7111391196916588E-8</v>
      </c>
      <c r="M78">
        <f t="shared" si="86"/>
        <v>2.7424888076770457E-8</v>
      </c>
      <c r="N78">
        <f t="shared" si="86"/>
        <v>2.7158971617298199E-8</v>
      </c>
      <c r="O78">
        <f t="shared" si="86"/>
        <v>2.6814109924888811E-8</v>
      </c>
      <c r="P78">
        <f t="shared" si="86"/>
        <v>2.7139715363878878E-8</v>
      </c>
      <c r="Q78">
        <f t="shared" si="86"/>
        <v>2.7175516108640597E-8</v>
      </c>
      <c r="R78">
        <f t="shared" si="86"/>
        <v>2.7028766333446208E-8</v>
      </c>
      <c r="S78">
        <f t="shared" si="86"/>
        <v>2.6959850011100006E-8</v>
      </c>
      <c r="T78">
        <f t="shared" si="86"/>
        <v>2.7037420954729313E-8</v>
      </c>
      <c r="U78">
        <f t="shared" si="86"/>
        <v>2.7228453037492189E-8</v>
      </c>
      <c r="V78">
        <f t="shared" si="86"/>
        <v>2.7296271436418938E-8</v>
      </c>
      <c r="W78">
        <f t="shared" si="86"/>
        <v>2.7195794438461276E-8</v>
      </c>
      <c r="X78">
        <f t="shared" si="86"/>
        <v>2.7174718629703271E-8</v>
      </c>
      <c r="Y78">
        <f t="shared" si="86"/>
        <v>2.7031849695868958E-8</v>
      </c>
      <c r="Z78">
        <f t="shared" si="86"/>
        <v>2.6642026491596273E-8</v>
      </c>
      <c r="AA78">
        <f t="shared" si="86"/>
        <v>2.650724649957536E-8</v>
      </c>
      <c r="AB78">
        <f t="shared" si="86"/>
        <v>2.6384908712456328E-8</v>
      </c>
      <c r="AC78">
        <f t="shared" si="86"/>
        <v>2.6251537954017834E-8</v>
      </c>
      <c r="AD78">
        <f t="shared" si="86"/>
        <v>2.6365500373870832E-8</v>
      </c>
      <c r="AE78">
        <f t="shared" si="86"/>
        <v>2.6307247444939718E-8</v>
      </c>
      <c r="AF78">
        <f t="shared" si="86"/>
        <v>2.6544616598555657E-8</v>
      </c>
      <c r="AG78">
        <f t="shared" si="86"/>
        <v>2.6453458293116581E-8</v>
      </c>
      <c r="AH78">
        <f t="shared" si="86"/>
        <v>2.6336354378072695E-8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490">
        <f>INDEX('AEO 2025 Table 1'!7:7,MATCH(H73,'AEO 2025 Table 1'!5:5,0))/SUM(INDEX('AEO 2025 Table 1'!7:9,0,MATCH(H73,'AEO 2025 Table 1'!5:5,0)))</f>
        <v>0.36048333465858484</v>
      </c>
      <c r="I82" s="490">
        <f>INDEX('AEO 2025 Table 1'!7:7,MATCH(I73,'AEO 2025 Table 1'!5:5,0))/SUM(INDEX('AEO 2025 Table 1'!7:9,0,MATCH(I73,'AEO 2025 Table 1'!5:5,0)))</f>
        <v>0.36572018734551309</v>
      </c>
      <c r="J82" s="490">
        <f>INDEX('AEO 2025 Table 1'!7:7,MATCH(J73,'AEO 2025 Table 1'!5:5,0))/SUM(INDEX('AEO 2025 Table 1'!7:9,0,MATCH(J73,'AEO 2025 Table 1'!5:5,0)))</f>
        <v>0.36349441681509537</v>
      </c>
      <c r="K82" s="490">
        <f>INDEX('AEO 2025 Table 1'!7:7,MATCH(K73,'AEO 2025 Table 1'!5:5,0))/SUM(INDEX('AEO 2025 Table 1'!7:9,0,MATCH(K73,'AEO 2025 Table 1'!5:5,0)))</f>
        <v>0.36419262321357132</v>
      </c>
      <c r="L82" s="490">
        <f>INDEX('AEO 2025 Table 1'!7:7,MATCH(L73,'AEO 2025 Table 1'!5:5,0))/SUM(INDEX('AEO 2025 Table 1'!7:9,0,MATCH(L73,'AEO 2025 Table 1'!5:5,0)))</f>
        <v>0.35871844348215287</v>
      </c>
      <c r="M82" s="490">
        <f>INDEX('AEO 2025 Table 1'!7:7,MATCH(M73,'AEO 2025 Table 1'!5:5,0))/SUM(INDEX('AEO 2025 Table 1'!7:9,0,MATCH(M73,'AEO 2025 Table 1'!5:5,0)))</f>
        <v>0.35458527982710353</v>
      </c>
      <c r="N82" s="490">
        <f>INDEX('AEO 2025 Table 1'!7:7,MATCH(N73,'AEO 2025 Table 1'!5:5,0))/SUM(INDEX('AEO 2025 Table 1'!7:9,0,MATCH(N73,'AEO 2025 Table 1'!5:5,0)))</f>
        <v>0.34867408253222276</v>
      </c>
      <c r="O82" s="490">
        <f>INDEX('AEO 2025 Table 1'!7:7,MATCH(O73,'AEO 2025 Table 1'!5:5,0))/SUM(INDEX('AEO 2025 Table 1'!7:9,0,MATCH(O73,'AEO 2025 Table 1'!5:5,0)))</f>
        <v>0.34578128713862166</v>
      </c>
      <c r="P82" s="490">
        <f>INDEX('AEO 2025 Table 1'!7:7,MATCH(P73,'AEO 2025 Table 1'!5:5,0))/SUM(INDEX('AEO 2025 Table 1'!7:9,0,MATCH(P73,'AEO 2025 Table 1'!5:5,0)))</f>
        <v>0.33397565883495872</v>
      </c>
      <c r="Q82" s="490">
        <f>INDEX('AEO 2025 Table 1'!7:7,MATCH(Q73,'AEO 2025 Table 1'!5:5,0))/SUM(INDEX('AEO 2025 Table 1'!7:9,0,MATCH(Q73,'AEO 2025 Table 1'!5:5,0)))</f>
        <v>0.33183401862809742</v>
      </c>
      <c r="R82" s="490">
        <f>INDEX('AEO 2025 Table 1'!7:7,MATCH(R73,'AEO 2025 Table 1'!5:5,0))/SUM(INDEX('AEO 2025 Table 1'!7:9,0,MATCH(R73,'AEO 2025 Table 1'!5:5,0)))</f>
        <v>0.32959501382973244</v>
      </c>
      <c r="S82" s="490">
        <f>INDEX('AEO 2025 Table 1'!7:7,MATCH(S73,'AEO 2025 Table 1'!5:5,0))/SUM(INDEX('AEO 2025 Table 1'!7:9,0,MATCH(S73,'AEO 2025 Table 1'!5:5,0)))</f>
        <v>0.32542335486777896</v>
      </c>
      <c r="T82" s="490">
        <f>INDEX('AEO 2025 Table 1'!7:7,MATCH(T73,'AEO 2025 Table 1'!5:5,0))/SUM(INDEX('AEO 2025 Table 1'!7:9,0,MATCH(T73,'AEO 2025 Table 1'!5:5,0)))</f>
        <v>0.32266387043731709</v>
      </c>
      <c r="U82" s="490">
        <f>INDEX('AEO 2025 Table 1'!7:7,MATCH(U73,'AEO 2025 Table 1'!5:5,0))/SUM(INDEX('AEO 2025 Table 1'!7:9,0,MATCH(U73,'AEO 2025 Table 1'!5:5,0)))</f>
        <v>0.32137017160470704</v>
      </c>
      <c r="V82" s="490">
        <f>INDEX('AEO 2025 Table 1'!7:7,MATCH(V73,'AEO 2025 Table 1'!5:5,0))/SUM(INDEX('AEO 2025 Table 1'!7:9,0,MATCH(V73,'AEO 2025 Table 1'!5:5,0)))</f>
        <v>0.31780431008905918</v>
      </c>
      <c r="W82" s="490">
        <f>INDEX('AEO 2025 Table 1'!7:7,MATCH(W73,'AEO 2025 Table 1'!5:5,0))/SUM(INDEX('AEO 2025 Table 1'!7:9,0,MATCH(W73,'AEO 2025 Table 1'!5:5,0)))</f>
        <v>0.31588951417035149</v>
      </c>
      <c r="X82" s="490">
        <f>INDEX('AEO 2025 Table 1'!7:7,MATCH(X73,'AEO 2025 Table 1'!5:5,0))/SUM(INDEX('AEO 2025 Table 1'!7:9,0,MATCH(X73,'AEO 2025 Table 1'!5:5,0)))</f>
        <v>0.31213355042277469</v>
      </c>
      <c r="Y82" s="490">
        <f>INDEX('AEO 2025 Table 1'!7:7,MATCH(Y73,'AEO 2025 Table 1'!5:5,0))/SUM(INDEX('AEO 2025 Table 1'!7:9,0,MATCH(Y73,'AEO 2025 Table 1'!5:5,0)))</f>
        <v>0.3071151517277797</v>
      </c>
      <c r="Z82" s="490">
        <f>INDEX('AEO 2025 Table 1'!7:7,MATCH(Z73,'AEO 2025 Table 1'!5:5,0))/SUM(INDEX('AEO 2025 Table 1'!7:9,0,MATCH(Z73,'AEO 2025 Table 1'!5:5,0)))</f>
        <v>0.30463308358986546</v>
      </c>
      <c r="AA82" s="490">
        <f>INDEX('AEO 2025 Table 1'!7:7,MATCH(AA73,'AEO 2025 Table 1'!5:5,0))/SUM(INDEX('AEO 2025 Table 1'!7:9,0,MATCH(AA73,'AEO 2025 Table 1'!5:5,0)))</f>
        <v>0.30116977602839329</v>
      </c>
      <c r="AB82" s="490">
        <f>INDEX('AEO 2025 Table 1'!7:7,MATCH(AB73,'AEO 2025 Table 1'!5:5,0))/SUM(INDEX('AEO 2025 Table 1'!7:9,0,MATCH(AB73,'AEO 2025 Table 1'!5:5,0)))</f>
        <v>0.29950483411640094</v>
      </c>
      <c r="AC82" s="490">
        <f>INDEX('AEO 2025 Table 1'!7:7,MATCH(AC73,'AEO 2025 Table 1'!5:5,0))/SUM(INDEX('AEO 2025 Table 1'!7:9,0,MATCH(AC73,'AEO 2025 Table 1'!5:5,0)))</f>
        <v>0.29868587050017426</v>
      </c>
      <c r="AD82" s="490">
        <f>INDEX('AEO 2025 Table 1'!7:7,MATCH(AD73,'AEO 2025 Table 1'!5:5,0))/SUM(INDEX('AEO 2025 Table 1'!7:9,0,MATCH(AD73,'AEO 2025 Table 1'!5:5,0)))</f>
        <v>0.29572493333278183</v>
      </c>
      <c r="AE82" s="490">
        <f>INDEX('AEO 2025 Table 1'!7:7,MATCH(AE73,'AEO 2025 Table 1'!5:5,0))/SUM(INDEX('AEO 2025 Table 1'!7:9,0,MATCH(AE73,'AEO 2025 Table 1'!5:5,0)))</f>
        <v>0.29281136405528679</v>
      </c>
      <c r="AF82" s="490">
        <f>INDEX('AEO 2025 Table 1'!7:7,MATCH(AF73,'AEO 2025 Table 1'!5:5,0))/SUM(INDEX('AEO 2025 Table 1'!7:9,0,MATCH(AF73,'AEO 2025 Table 1'!5:5,0)))</f>
        <v>0.29034894732192074</v>
      </c>
      <c r="AG82" s="490">
        <f>INDEX('AEO 2025 Table 1'!7:7,MATCH(AG73,'AEO 2025 Table 1'!5:5,0))/SUM(INDEX('AEO 2025 Table 1'!7:9,0,MATCH(AG73,'AEO 2025 Table 1'!5:5,0)))</f>
        <v>0.2889808633780282</v>
      </c>
      <c r="AH82" s="490">
        <f>INDEX('AEO 2025 Table 1'!7:7,MATCH(AH73,'AEO 2025 Table 1'!5:5,0))/SUM(INDEX('AEO 2025 Table 1'!7:9,0,MATCH(AH73,'AEO 2025 Table 1'!5:5,0)))</f>
        <v>0.28723319216907817</v>
      </c>
      <c r="AI82" s="11"/>
      <c r="AJ82" s="11"/>
    </row>
    <row r="83" spans="1:36" x14ac:dyDescent="0.25">
      <c r="A83" t="s">
        <v>279</v>
      </c>
      <c r="B83" t="s">
        <v>621</v>
      </c>
      <c r="C83" s="4"/>
      <c r="D83" s="4"/>
      <c r="E83" s="4">
        <f t="shared" ref="E83:AH85" si="106">E75</f>
        <v>11.13137</v>
      </c>
      <c r="F83" s="4">
        <f t="shared" si="106"/>
        <v>11.828412999999999</v>
      </c>
      <c r="G83" s="4">
        <f t="shared" si="106"/>
        <v>12.317411</v>
      </c>
      <c r="H83" s="4">
        <f t="shared" si="106"/>
        <v>13.266057999999999</v>
      </c>
      <c r="I83" s="4">
        <f t="shared" si="106"/>
        <v>13.693652</v>
      </c>
      <c r="J83" s="4">
        <f t="shared" si="106"/>
        <v>13.835194</v>
      </c>
      <c r="K83" s="4">
        <f t="shared" si="106"/>
        <v>14.025308000000001</v>
      </c>
      <c r="L83" s="4">
        <f t="shared" si="106"/>
        <v>14.023446</v>
      </c>
      <c r="M83" s="4">
        <f t="shared" si="106"/>
        <v>14.009728000000001</v>
      </c>
      <c r="N83" s="4">
        <f t="shared" si="106"/>
        <v>13.909203</v>
      </c>
      <c r="O83" s="4">
        <f t="shared" si="106"/>
        <v>13.730183</v>
      </c>
      <c r="P83" s="4">
        <f t="shared" si="106"/>
        <v>13.507175</v>
      </c>
      <c r="Q83" s="4">
        <f t="shared" si="106"/>
        <v>13.404424000000001</v>
      </c>
      <c r="R83" s="4">
        <f t="shared" si="106"/>
        <v>13.299763</v>
      </c>
      <c r="S83" s="4">
        <f t="shared" si="106"/>
        <v>13.026337</v>
      </c>
      <c r="T83" s="4">
        <f t="shared" si="106"/>
        <v>12.777983000000001</v>
      </c>
      <c r="U83" s="4">
        <f t="shared" si="106"/>
        <v>12.557478</v>
      </c>
      <c r="V83" s="4">
        <f t="shared" si="106"/>
        <v>12.337666</v>
      </c>
      <c r="W83" s="4">
        <f t="shared" si="106"/>
        <v>12.155936000000001</v>
      </c>
      <c r="X83" s="4">
        <f t="shared" si="106"/>
        <v>12.015428</v>
      </c>
      <c r="Y83" s="4">
        <f t="shared" si="106"/>
        <v>11.859089000000001</v>
      </c>
      <c r="Z83" s="4">
        <f t="shared" si="106"/>
        <v>11.788242</v>
      </c>
      <c r="AA83" s="4">
        <f t="shared" si="106"/>
        <v>11.645022000000001</v>
      </c>
      <c r="AB83" s="4">
        <f t="shared" si="106"/>
        <v>11.598876000000001</v>
      </c>
      <c r="AC83" s="4">
        <f t="shared" si="106"/>
        <v>11.619228</v>
      </c>
      <c r="AD83" s="4">
        <f t="shared" si="106"/>
        <v>11.552236000000001</v>
      </c>
      <c r="AE83" s="4">
        <f t="shared" si="106"/>
        <v>11.458454</v>
      </c>
      <c r="AF83" s="4">
        <f t="shared" si="106"/>
        <v>11.354692</v>
      </c>
      <c r="AG83" s="4">
        <f t="shared" si="106"/>
        <v>11.326180000000001</v>
      </c>
      <c r="AH83" s="4">
        <f t="shared" si="106"/>
        <v>11.279612999999999</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621</v>
      </c>
      <c r="C85" s="11"/>
      <c r="D85" s="11"/>
      <c r="E85" s="11">
        <f t="shared" si="106"/>
        <v>0.53645091974861669</v>
      </c>
      <c r="F85" s="11">
        <f t="shared" si="106"/>
        <v>0.54997072969670069</v>
      </c>
      <c r="G85" s="11">
        <f t="shared" si="106"/>
        <v>0.56102856350540731</v>
      </c>
      <c r="H85" s="11">
        <f t="shared" si="106"/>
        <v>0.56200943672814152</v>
      </c>
      <c r="I85" s="11">
        <f t="shared" si="106"/>
        <v>0.58766209732065777</v>
      </c>
      <c r="J85" s="11">
        <f t="shared" si="106"/>
        <v>0.59577459742198791</v>
      </c>
      <c r="K85" s="11">
        <f t="shared" si="106"/>
        <v>0.61097667953878598</v>
      </c>
      <c r="L85" s="11">
        <f t="shared" si="106"/>
        <v>0.6139025394020915</v>
      </c>
      <c r="M85" s="11">
        <f t="shared" si="106"/>
        <v>0.62039379733752509</v>
      </c>
      <c r="N85" s="11">
        <f t="shared" si="106"/>
        <v>0.60996995896330586</v>
      </c>
      <c r="O85" s="11">
        <f t="shared" si="106"/>
        <v>0.59447362476437016</v>
      </c>
      <c r="P85" s="11">
        <f t="shared" si="106"/>
        <v>0.59191956472623186</v>
      </c>
      <c r="Q85" s="11">
        <f t="shared" si="106"/>
        <v>0.58819162605215547</v>
      </c>
      <c r="R85" s="11">
        <f t="shared" si="106"/>
        <v>0.58044758080859171</v>
      </c>
      <c r="S85" s="11">
        <f t="shared" si="106"/>
        <v>0.56706476241409398</v>
      </c>
      <c r="T85" s="11">
        <f t="shared" si="106"/>
        <v>0.55785386776913559</v>
      </c>
      <c r="U85" s="11">
        <f t="shared" si="106"/>
        <v>0.55210066935724889</v>
      </c>
      <c r="V85" s="11">
        <f t="shared" si="106"/>
        <v>0.54378749583901331</v>
      </c>
      <c r="W85" s="11">
        <f t="shared" si="106"/>
        <v>0.53380548811118833</v>
      </c>
      <c r="X85" s="11">
        <f t="shared" si="106"/>
        <v>0.52722643937921942</v>
      </c>
      <c r="Y85" s="11">
        <f t="shared" si="106"/>
        <v>0.51763063591545355</v>
      </c>
      <c r="Z85" s="11">
        <f t="shared" si="106"/>
        <v>0.50711817801675174</v>
      </c>
      <c r="AA85" s="11">
        <f t="shared" si="106"/>
        <v>0.49842269584530879</v>
      </c>
      <c r="AB85" s="11">
        <f t="shared" si="106"/>
        <v>0.49415635082322562</v>
      </c>
      <c r="AC85" s="11">
        <f t="shared" si="106"/>
        <v>0.49252117319640781</v>
      </c>
      <c r="AD85" s="11">
        <f t="shared" si="106"/>
        <v>0.49180727668054763</v>
      </c>
      <c r="AE85" s="11">
        <f t="shared" si="106"/>
        <v>0.48673694858453248</v>
      </c>
      <c r="AF85" s="11">
        <f t="shared" si="106"/>
        <v>0.48668133983143674</v>
      </c>
      <c r="AG85" s="11">
        <f t="shared" si="106"/>
        <v>0.48379212523686466</v>
      </c>
      <c r="AH85" s="11">
        <f t="shared" si="106"/>
        <v>0.47967019801089783</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1.1785979747816643E-8</v>
      </c>
      <c r="I86">
        <f t="shared" si="108"/>
        <v>1.2112564702517697E-8</v>
      </c>
      <c r="J86">
        <f t="shared" si="108"/>
        <v>1.2080175831731114E-8</v>
      </c>
      <c r="K86">
        <f t="shared" si="108"/>
        <v>1.224396709998231E-8</v>
      </c>
      <c r="L86">
        <f t="shared" si="108"/>
        <v>1.2119289847912102E-8</v>
      </c>
      <c r="M86">
        <f t="shared" si="108"/>
        <v>1.211817524072647E-8</v>
      </c>
      <c r="N86">
        <f t="shared" si="108"/>
        <v>1.1800615237009084E-8</v>
      </c>
      <c r="O86">
        <f t="shared" si="108"/>
        <v>1.1554110967810279E-8</v>
      </c>
      <c r="P86">
        <f t="shared" si="108"/>
        <v>1.1295143843981859E-8</v>
      </c>
      <c r="Q86">
        <f t="shared" si="108"/>
        <v>1.1237517203206883E-8</v>
      </c>
      <c r="R86">
        <f t="shared" si="108"/>
        <v>1.1101419626019965E-8</v>
      </c>
      <c r="S86">
        <f t="shared" si="108"/>
        <v>1.0932962335767504E-8</v>
      </c>
      <c r="T86">
        <f t="shared" si="108"/>
        <v>1.0871444772978072E-8</v>
      </c>
      <c r="U86">
        <f t="shared" si="108"/>
        <v>1.090436034831316E-8</v>
      </c>
      <c r="V86">
        <f t="shared" si="108"/>
        <v>1.0810225994772923E-8</v>
      </c>
      <c r="W86">
        <f t="shared" si="108"/>
        <v>1.0705541072369614E-8</v>
      </c>
      <c r="X86">
        <f t="shared" si="108"/>
        <v>1.0570053138737927E-8</v>
      </c>
      <c r="Y86">
        <f t="shared" si="108"/>
        <v>1.0345432927495012E-8</v>
      </c>
      <c r="Z86">
        <f t="shared" si="108"/>
        <v>1.0113837805240717E-8</v>
      </c>
      <c r="AA86">
        <f t="shared" si="108"/>
        <v>9.94827232006044E-9</v>
      </c>
      <c r="AB86">
        <f t="shared" si="108"/>
        <v>9.8476157580792276E-9</v>
      </c>
      <c r="AC86">
        <f t="shared" si="108"/>
        <v>9.7710467804138259E-9</v>
      </c>
      <c r="AD86">
        <f t="shared" si="108"/>
        <v>9.7161815856649144E-9</v>
      </c>
      <c r="AE86">
        <f t="shared" si="108"/>
        <v>9.5991991033894365E-9</v>
      </c>
      <c r="AF86">
        <f t="shared" si="108"/>
        <v>9.6043587754280653E-9</v>
      </c>
      <c r="AG86">
        <f t="shared" si="108"/>
        <v>9.5262769318036761E-9</v>
      </c>
      <c r="AH86">
        <f t="shared" si="108"/>
        <v>9.4267490182600253E-9</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620</v>
      </c>
      <c r="C90" s="11"/>
      <c r="D90" s="11"/>
      <c r="E90" s="11">
        <f t="shared" ref="D90:AH93" si="128">E82</f>
        <v>0.35184656502224881</v>
      </c>
      <c r="F90" s="11">
        <f t="shared" si="128"/>
        <v>0.35039299479423891</v>
      </c>
      <c r="G90" s="11">
        <f t="shared" si="128"/>
        <v>0.3572556772712438</v>
      </c>
      <c r="H90" s="11">
        <f t="shared" si="128"/>
        <v>0.36048333465858484</v>
      </c>
      <c r="I90" s="11">
        <f t="shared" si="128"/>
        <v>0.36572018734551309</v>
      </c>
      <c r="J90" s="11">
        <f t="shared" si="128"/>
        <v>0.36349441681509537</v>
      </c>
      <c r="K90" s="11">
        <f t="shared" si="128"/>
        <v>0.36419262321357132</v>
      </c>
      <c r="L90" s="11">
        <f t="shared" si="128"/>
        <v>0.35871844348215287</v>
      </c>
      <c r="M90" s="11">
        <f t="shared" si="128"/>
        <v>0.35458527982710353</v>
      </c>
      <c r="N90" s="11">
        <f t="shared" si="128"/>
        <v>0.34867408253222276</v>
      </c>
      <c r="O90" s="11">
        <f t="shared" si="128"/>
        <v>0.34578128713862166</v>
      </c>
      <c r="P90" s="11">
        <f t="shared" si="128"/>
        <v>0.33397565883495872</v>
      </c>
      <c r="Q90" s="11">
        <f t="shared" si="128"/>
        <v>0.33183401862809742</v>
      </c>
      <c r="R90" s="11">
        <f t="shared" si="128"/>
        <v>0.32959501382973244</v>
      </c>
      <c r="S90" s="11">
        <f t="shared" si="128"/>
        <v>0.32542335486777896</v>
      </c>
      <c r="T90" s="11">
        <f t="shared" si="128"/>
        <v>0.32266387043731709</v>
      </c>
      <c r="U90" s="11">
        <f t="shared" si="128"/>
        <v>0.32137017160470704</v>
      </c>
      <c r="V90" s="11">
        <f t="shared" si="128"/>
        <v>0.31780431008905918</v>
      </c>
      <c r="W90" s="11">
        <f t="shared" si="128"/>
        <v>0.31588951417035149</v>
      </c>
      <c r="X90" s="11">
        <f t="shared" si="128"/>
        <v>0.31213355042277469</v>
      </c>
      <c r="Y90" s="11">
        <f t="shared" si="128"/>
        <v>0.3071151517277797</v>
      </c>
      <c r="Z90" s="11">
        <f t="shared" si="128"/>
        <v>0.30463308358986546</v>
      </c>
      <c r="AA90" s="11">
        <f t="shared" si="128"/>
        <v>0.30116977602839329</v>
      </c>
      <c r="AB90" s="11">
        <f t="shared" si="128"/>
        <v>0.29950483411640094</v>
      </c>
      <c r="AC90" s="11">
        <f t="shared" si="128"/>
        <v>0.29868587050017426</v>
      </c>
      <c r="AD90" s="11">
        <f t="shared" si="128"/>
        <v>0.29572493333278183</v>
      </c>
      <c r="AE90" s="11">
        <f t="shared" si="128"/>
        <v>0.29281136405528679</v>
      </c>
      <c r="AF90" s="11">
        <f t="shared" si="128"/>
        <v>0.29034894732192074</v>
      </c>
      <c r="AG90" s="11">
        <f t="shared" si="128"/>
        <v>0.2889808633780282</v>
      </c>
      <c r="AH90" s="11">
        <f t="shared" si="128"/>
        <v>0.28723319216907817</v>
      </c>
      <c r="AI90" s="11"/>
      <c r="AJ90" s="11"/>
    </row>
    <row r="91" spans="1:36" x14ac:dyDescent="0.25">
      <c r="A91" t="s">
        <v>279</v>
      </c>
      <c r="B91" t="s">
        <v>621</v>
      </c>
      <c r="C91" s="4"/>
      <c r="D91" s="4"/>
      <c r="E91" s="4">
        <f t="shared" ref="C91:R92" si="129">E83</f>
        <v>11.13137</v>
      </c>
      <c r="F91" s="4">
        <f t="shared" si="129"/>
        <v>11.828412999999999</v>
      </c>
      <c r="G91" s="4">
        <f t="shared" si="129"/>
        <v>12.317411</v>
      </c>
      <c r="H91" s="4">
        <f t="shared" si="129"/>
        <v>13.266057999999999</v>
      </c>
      <c r="I91" s="4">
        <f t="shared" si="129"/>
        <v>13.693652</v>
      </c>
      <c r="J91" s="4">
        <f t="shared" si="129"/>
        <v>13.835194</v>
      </c>
      <c r="K91" s="4">
        <f t="shared" si="129"/>
        <v>14.025308000000001</v>
      </c>
      <c r="L91" s="4">
        <f t="shared" si="129"/>
        <v>14.023446</v>
      </c>
      <c r="M91" s="4">
        <f t="shared" si="129"/>
        <v>14.009728000000001</v>
      </c>
      <c r="N91" s="4">
        <f t="shared" si="129"/>
        <v>13.909203</v>
      </c>
      <c r="O91" s="4">
        <f t="shared" si="129"/>
        <v>13.730183</v>
      </c>
      <c r="P91" s="4">
        <f t="shared" si="129"/>
        <v>13.507175</v>
      </c>
      <c r="Q91" s="4">
        <f t="shared" si="129"/>
        <v>13.404424000000001</v>
      </c>
      <c r="R91" s="4">
        <f t="shared" si="129"/>
        <v>13.299763</v>
      </c>
      <c r="S91" s="4">
        <f t="shared" si="128"/>
        <v>13.026337</v>
      </c>
      <c r="T91" s="4">
        <f t="shared" si="128"/>
        <v>12.777983000000001</v>
      </c>
      <c r="U91" s="4">
        <f t="shared" si="128"/>
        <v>12.557478</v>
      </c>
      <c r="V91" s="4">
        <f t="shared" si="128"/>
        <v>12.337666</v>
      </c>
      <c r="W91" s="4">
        <f t="shared" si="128"/>
        <v>12.155936000000001</v>
      </c>
      <c r="X91" s="4">
        <f t="shared" si="128"/>
        <v>12.015428</v>
      </c>
      <c r="Y91" s="4">
        <f t="shared" si="128"/>
        <v>11.859089000000001</v>
      </c>
      <c r="Z91" s="4">
        <f t="shared" si="128"/>
        <v>11.788242</v>
      </c>
      <c r="AA91" s="4">
        <f t="shared" si="128"/>
        <v>11.645022000000001</v>
      </c>
      <c r="AB91" s="4">
        <f t="shared" si="128"/>
        <v>11.598876000000001</v>
      </c>
      <c r="AC91" s="4">
        <f t="shared" si="128"/>
        <v>11.619228</v>
      </c>
      <c r="AD91" s="4">
        <f t="shared" si="128"/>
        <v>11.552236000000001</v>
      </c>
      <c r="AE91" s="4">
        <f t="shared" si="128"/>
        <v>11.458454</v>
      </c>
      <c r="AF91" s="4">
        <f t="shared" si="128"/>
        <v>11.354692</v>
      </c>
      <c r="AG91" s="4">
        <f t="shared" si="128"/>
        <v>11.326180000000001</v>
      </c>
      <c r="AH91" s="4">
        <f t="shared" si="128"/>
        <v>11.279612999999999</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621</v>
      </c>
      <c r="C93" s="11"/>
      <c r="D93" s="11"/>
      <c r="E93" s="11">
        <f t="shared" si="128"/>
        <v>0.53645091974861669</v>
      </c>
      <c r="F93" s="11">
        <f t="shared" si="128"/>
        <v>0.54997072969670069</v>
      </c>
      <c r="G93" s="11">
        <f t="shared" si="128"/>
        <v>0.56102856350540731</v>
      </c>
      <c r="H93" s="11">
        <f t="shared" si="128"/>
        <v>0.56200943672814152</v>
      </c>
      <c r="I93" s="11">
        <f t="shared" si="128"/>
        <v>0.58766209732065777</v>
      </c>
      <c r="J93" s="11">
        <f t="shared" si="128"/>
        <v>0.59577459742198791</v>
      </c>
      <c r="K93" s="11">
        <f t="shared" si="128"/>
        <v>0.61097667953878598</v>
      </c>
      <c r="L93" s="11">
        <f t="shared" si="128"/>
        <v>0.6139025394020915</v>
      </c>
      <c r="M93" s="11">
        <f t="shared" si="128"/>
        <v>0.62039379733752509</v>
      </c>
      <c r="N93" s="11">
        <f t="shared" si="128"/>
        <v>0.60996995896330586</v>
      </c>
      <c r="O93" s="11">
        <f t="shared" si="128"/>
        <v>0.59447362476437016</v>
      </c>
      <c r="P93" s="11">
        <f t="shared" si="128"/>
        <v>0.59191956472623186</v>
      </c>
      <c r="Q93" s="11">
        <f t="shared" si="128"/>
        <v>0.58819162605215547</v>
      </c>
      <c r="R93" s="11">
        <f t="shared" si="128"/>
        <v>0.58044758080859171</v>
      </c>
      <c r="S93" s="11">
        <f t="shared" si="128"/>
        <v>0.56706476241409398</v>
      </c>
      <c r="T93" s="11">
        <f t="shared" si="128"/>
        <v>0.55785386776913559</v>
      </c>
      <c r="U93" s="11">
        <f t="shared" si="128"/>
        <v>0.55210066935724889</v>
      </c>
      <c r="V93" s="11">
        <f t="shared" si="128"/>
        <v>0.54378749583901331</v>
      </c>
      <c r="W93" s="11">
        <f t="shared" si="128"/>
        <v>0.53380548811118833</v>
      </c>
      <c r="X93" s="11">
        <f t="shared" si="128"/>
        <v>0.52722643937921942</v>
      </c>
      <c r="Y93" s="11">
        <f t="shared" si="128"/>
        <v>0.51763063591545355</v>
      </c>
      <c r="Z93" s="11">
        <f t="shared" si="128"/>
        <v>0.50711817801675174</v>
      </c>
      <c r="AA93" s="11">
        <f t="shared" si="128"/>
        <v>0.49842269584530879</v>
      </c>
      <c r="AB93" s="11">
        <f t="shared" si="128"/>
        <v>0.49415635082322562</v>
      </c>
      <c r="AC93" s="11">
        <f t="shared" si="128"/>
        <v>0.49252117319640781</v>
      </c>
      <c r="AD93" s="11">
        <f t="shared" si="128"/>
        <v>0.49180727668054763</v>
      </c>
      <c r="AE93" s="11">
        <f t="shared" si="128"/>
        <v>0.48673694858453248</v>
      </c>
      <c r="AF93" s="11">
        <f t="shared" si="128"/>
        <v>0.48668133983143674</v>
      </c>
      <c r="AG93" s="11">
        <f t="shared" si="128"/>
        <v>0.48379212523686466</v>
      </c>
      <c r="AH93" s="11">
        <f t="shared" si="128"/>
        <v>0.47967019801089783</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1.0185414596878578E-9</v>
      </c>
      <c r="I94">
        <f t="shared" si="130"/>
        <v>1.0467648508348627E-9</v>
      </c>
      <c r="J94">
        <f t="shared" si="130"/>
        <v>1.043965812618738E-9</v>
      </c>
      <c r="K94">
        <f t="shared" si="130"/>
        <v>1.0581206135787178E-9</v>
      </c>
      <c r="L94">
        <f t="shared" si="130"/>
        <v>1.0473460362393171E-9</v>
      </c>
      <c r="M94">
        <f t="shared" si="130"/>
        <v>1.0472497121615468E-9</v>
      </c>
      <c r="N94">
        <f t="shared" si="130"/>
        <v>1.0198062550501677E-9</v>
      </c>
      <c r="O94">
        <f t="shared" si="130"/>
        <v>9.9850341697125849E-10</v>
      </c>
      <c r="P94">
        <f t="shared" si="130"/>
        <v>9.7612354207250618E-10</v>
      </c>
      <c r="Q94">
        <f t="shared" si="130"/>
        <v>9.7114346200553303E-10</v>
      </c>
      <c r="R94">
        <f t="shared" si="130"/>
        <v>9.5938194298937946E-10</v>
      </c>
      <c r="S94">
        <f t="shared" si="130"/>
        <v>9.4482390556015448E-10</v>
      </c>
      <c r="T94">
        <f t="shared" si="130"/>
        <v>9.3950757297341355E-10</v>
      </c>
      <c r="U94">
        <f t="shared" si="130"/>
        <v>9.4235212886656914E-10</v>
      </c>
      <c r="V94">
        <f t="shared" si="130"/>
        <v>9.3421706127667225E-10</v>
      </c>
      <c r="W94">
        <f t="shared" si="130"/>
        <v>9.2517021613070725E-10</v>
      </c>
      <c r="X94">
        <f t="shared" si="130"/>
        <v>9.1346138236006769E-10</v>
      </c>
      <c r="Y94">
        <f t="shared" si="130"/>
        <v>8.9404975916623554E-10</v>
      </c>
      <c r="Z94">
        <f t="shared" si="130"/>
        <v>8.7403536588500017E-10</v>
      </c>
      <c r="AA94">
        <f t="shared" si="130"/>
        <v>8.5972723753608714E-10</v>
      </c>
      <c r="AB94">
        <f t="shared" si="130"/>
        <v>8.510285223031431E-10</v>
      </c>
      <c r="AC94">
        <f t="shared" si="130"/>
        <v>8.4441145015921937E-10</v>
      </c>
      <c r="AD94">
        <f t="shared" si="130"/>
        <v>8.3967001357598006E-10</v>
      </c>
      <c r="AE94">
        <f t="shared" si="130"/>
        <v>8.2956041634229696E-10</v>
      </c>
      <c r="AF94">
        <f t="shared" si="130"/>
        <v>8.3000631392588202E-10</v>
      </c>
      <c r="AG94">
        <f t="shared" si="130"/>
        <v>8.2325850027932984E-10</v>
      </c>
      <c r="AH94">
        <f t="shared" si="130"/>
        <v>8.1465732256568121E-10</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620</v>
      </c>
      <c r="C98" s="11"/>
      <c r="D98" s="11"/>
      <c r="E98" s="11">
        <f>E90</f>
        <v>0.35184656502224881</v>
      </c>
      <c r="F98" s="11">
        <f t="shared" ref="D98:AH101" si="150">F90</f>
        <v>0.35039299479423891</v>
      </c>
      <c r="G98" s="11">
        <f t="shared" si="150"/>
        <v>0.3572556772712438</v>
      </c>
      <c r="H98" s="11">
        <f t="shared" si="150"/>
        <v>0.36048333465858484</v>
      </c>
      <c r="I98" s="11">
        <f t="shared" si="150"/>
        <v>0.36572018734551309</v>
      </c>
      <c r="J98" s="11">
        <f t="shared" si="150"/>
        <v>0.36349441681509537</v>
      </c>
      <c r="K98" s="11">
        <f t="shared" si="150"/>
        <v>0.36419262321357132</v>
      </c>
      <c r="L98" s="11">
        <f t="shared" si="150"/>
        <v>0.35871844348215287</v>
      </c>
      <c r="M98" s="11">
        <f t="shared" si="150"/>
        <v>0.35458527982710353</v>
      </c>
      <c r="N98" s="11">
        <f t="shared" si="150"/>
        <v>0.34867408253222276</v>
      </c>
      <c r="O98" s="11">
        <f t="shared" si="150"/>
        <v>0.34578128713862166</v>
      </c>
      <c r="P98" s="11">
        <f t="shared" si="150"/>
        <v>0.33397565883495872</v>
      </c>
      <c r="Q98" s="11">
        <f t="shared" si="150"/>
        <v>0.33183401862809742</v>
      </c>
      <c r="R98" s="11">
        <f t="shared" si="150"/>
        <v>0.32959501382973244</v>
      </c>
      <c r="S98" s="11">
        <f t="shared" si="150"/>
        <v>0.32542335486777896</v>
      </c>
      <c r="T98" s="11">
        <f t="shared" si="150"/>
        <v>0.32266387043731709</v>
      </c>
      <c r="U98" s="11">
        <f t="shared" si="150"/>
        <v>0.32137017160470704</v>
      </c>
      <c r="V98" s="11">
        <f t="shared" si="150"/>
        <v>0.31780431008905918</v>
      </c>
      <c r="W98" s="11">
        <f t="shared" si="150"/>
        <v>0.31588951417035149</v>
      </c>
      <c r="X98" s="11">
        <f t="shared" si="150"/>
        <v>0.31213355042277469</v>
      </c>
      <c r="Y98" s="11">
        <f t="shared" si="150"/>
        <v>0.3071151517277797</v>
      </c>
      <c r="Z98" s="11">
        <f t="shared" si="150"/>
        <v>0.30463308358986546</v>
      </c>
      <c r="AA98" s="11">
        <f t="shared" si="150"/>
        <v>0.30116977602839329</v>
      </c>
      <c r="AB98" s="11">
        <f t="shared" si="150"/>
        <v>0.29950483411640094</v>
      </c>
      <c r="AC98" s="11">
        <f t="shared" si="150"/>
        <v>0.29868587050017426</v>
      </c>
      <c r="AD98" s="11">
        <f t="shared" si="150"/>
        <v>0.29572493333278183</v>
      </c>
      <c r="AE98" s="11">
        <f t="shared" si="150"/>
        <v>0.29281136405528679</v>
      </c>
      <c r="AF98" s="11">
        <f t="shared" si="150"/>
        <v>0.29034894732192074</v>
      </c>
      <c r="AG98" s="11">
        <f t="shared" si="150"/>
        <v>0.2889808633780282</v>
      </c>
      <c r="AH98" s="11">
        <f t="shared" si="150"/>
        <v>0.28723319216907817</v>
      </c>
      <c r="AI98" s="11"/>
      <c r="AJ98" s="11"/>
    </row>
    <row r="99" spans="1:36" x14ac:dyDescent="0.25">
      <c r="A99" t="s">
        <v>279</v>
      </c>
      <c r="B99" t="s">
        <v>621</v>
      </c>
      <c r="C99" s="4"/>
      <c r="D99" s="4"/>
      <c r="E99" s="4">
        <f t="shared" ref="C99:R100" si="151">E91</f>
        <v>11.13137</v>
      </c>
      <c r="F99" s="4">
        <f t="shared" si="151"/>
        <v>11.828412999999999</v>
      </c>
      <c r="G99" s="4">
        <f t="shared" si="151"/>
        <v>12.317411</v>
      </c>
      <c r="H99" s="4">
        <f t="shared" si="151"/>
        <v>13.266057999999999</v>
      </c>
      <c r="I99" s="4">
        <f t="shared" si="151"/>
        <v>13.693652</v>
      </c>
      <c r="J99" s="4">
        <f t="shared" si="151"/>
        <v>13.835194</v>
      </c>
      <c r="K99" s="4">
        <f t="shared" si="151"/>
        <v>14.025308000000001</v>
      </c>
      <c r="L99" s="4">
        <f t="shared" si="151"/>
        <v>14.023446</v>
      </c>
      <c r="M99" s="4">
        <f t="shared" si="151"/>
        <v>14.009728000000001</v>
      </c>
      <c r="N99" s="4">
        <f t="shared" si="151"/>
        <v>13.909203</v>
      </c>
      <c r="O99" s="4">
        <f t="shared" si="151"/>
        <v>13.730183</v>
      </c>
      <c r="P99" s="4">
        <f t="shared" si="151"/>
        <v>13.507175</v>
      </c>
      <c r="Q99" s="4">
        <f t="shared" si="151"/>
        <v>13.404424000000001</v>
      </c>
      <c r="R99" s="4">
        <f t="shared" si="151"/>
        <v>13.299763</v>
      </c>
      <c r="S99" s="4">
        <f t="shared" si="150"/>
        <v>13.026337</v>
      </c>
      <c r="T99" s="4">
        <f t="shared" si="150"/>
        <v>12.777983000000001</v>
      </c>
      <c r="U99" s="4">
        <f t="shared" si="150"/>
        <v>12.557478</v>
      </c>
      <c r="V99" s="4">
        <f t="shared" si="150"/>
        <v>12.337666</v>
      </c>
      <c r="W99" s="4">
        <f t="shared" si="150"/>
        <v>12.155936000000001</v>
      </c>
      <c r="X99" s="4">
        <f t="shared" si="150"/>
        <v>12.015428</v>
      </c>
      <c r="Y99" s="4">
        <f t="shared" si="150"/>
        <v>11.859089000000001</v>
      </c>
      <c r="Z99" s="4">
        <f t="shared" si="150"/>
        <v>11.788242</v>
      </c>
      <c r="AA99" s="4">
        <f t="shared" si="150"/>
        <v>11.645022000000001</v>
      </c>
      <c r="AB99" s="4">
        <f t="shared" si="150"/>
        <v>11.598876000000001</v>
      </c>
      <c r="AC99" s="4">
        <f t="shared" si="150"/>
        <v>11.619228</v>
      </c>
      <c r="AD99" s="4">
        <f t="shared" si="150"/>
        <v>11.552236000000001</v>
      </c>
      <c r="AE99" s="4">
        <f t="shared" si="150"/>
        <v>11.458454</v>
      </c>
      <c r="AF99" s="4">
        <f t="shared" si="150"/>
        <v>11.354692</v>
      </c>
      <c r="AG99" s="4">
        <f t="shared" si="150"/>
        <v>11.326180000000001</v>
      </c>
      <c r="AH99" s="4">
        <f t="shared" si="150"/>
        <v>11.279612999999999</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621</v>
      </c>
      <c r="C101" s="11"/>
      <c r="D101" s="11"/>
      <c r="E101" s="11">
        <f t="shared" si="150"/>
        <v>0.53645091974861669</v>
      </c>
      <c r="F101" s="11">
        <f t="shared" si="150"/>
        <v>0.54997072969670069</v>
      </c>
      <c r="G101" s="11">
        <f t="shared" si="150"/>
        <v>0.56102856350540731</v>
      </c>
      <c r="H101" s="11">
        <f t="shared" si="150"/>
        <v>0.56200943672814152</v>
      </c>
      <c r="I101" s="11">
        <f t="shared" si="150"/>
        <v>0.58766209732065777</v>
      </c>
      <c r="J101" s="11">
        <f t="shared" si="150"/>
        <v>0.59577459742198791</v>
      </c>
      <c r="K101" s="11">
        <f t="shared" si="150"/>
        <v>0.61097667953878598</v>
      </c>
      <c r="L101" s="11">
        <f t="shared" si="150"/>
        <v>0.6139025394020915</v>
      </c>
      <c r="M101" s="11">
        <f t="shared" si="150"/>
        <v>0.62039379733752509</v>
      </c>
      <c r="N101" s="11">
        <f t="shared" si="150"/>
        <v>0.60996995896330586</v>
      </c>
      <c r="O101" s="11">
        <f t="shared" si="150"/>
        <v>0.59447362476437016</v>
      </c>
      <c r="P101" s="11">
        <f t="shared" si="150"/>
        <v>0.59191956472623186</v>
      </c>
      <c r="Q101" s="11">
        <f t="shared" si="150"/>
        <v>0.58819162605215547</v>
      </c>
      <c r="R101" s="11">
        <f t="shared" si="150"/>
        <v>0.58044758080859171</v>
      </c>
      <c r="S101" s="11">
        <f t="shared" si="150"/>
        <v>0.56706476241409398</v>
      </c>
      <c r="T101" s="11">
        <f t="shared" si="150"/>
        <v>0.55785386776913559</v>
      </c>
      <c r="U101" s="11">
        <f t="shared" si="150"/>
        <v>0.55210066935724889</v>
      </c>
      <c r="V101" s="11">
        <f t="shared" si="150"/>
        <v>0.54378749583901331</v>
      </c>
      <c r="W101" s="11">
        <f t="shared" si="150"/>
        <v>0.53380548811118833</v>
      </c>
      <c r="X101" s="11">
        <f t="shared" si="150"/>
        <v>0.52722643937921942</v>
      </c>
      <c r="Y101" s="11">
        <f t="shared" si="150"/>
        <v>0.51763063591545355</v>
      </c>
      <c r="Z101" s="11">
        <f t="shared" si="150"/>
        <v>0.50711817801675174</v>
      </c>
      <c r="AA101" s="11">
        <f t="shared" si="150"/>
        <v>0.49842269584530879</v>
      </c>
      <c r="AB101" s="11">
        <f t="shared" si="150"/>
        <v>0.49415635082322562</v>
      </c>
      <c r="AC101" s="11">
        <f t="shared" si="150"/>
        <v>0.49252117319640781</v>
      </c>
      <c r="AD101" s="11">
        <f t="shared" si="150"/>
        <v>0.49180727668054763</v>
      </c>
      <c r="AE101" s="11">
        <f t="shared" si="150"/>
        <v>0.48673694858453248</v>
      </c>
      <c r="AF101" s="11">
        <f t="shared" si="150"/>
        <v>0.48668133983143674</v>
      </c>
      <c r="AG101" s="11">
        <f t="shared" si="150"/>
        <v>0.48379212523686466</v>
      </c>
      <c r="AH101" s="11">
        <f t="shared" si="150"/>
        <v>0.47967019801089783</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8.7303553687530673E-9</v>
      </c>
      <c r="I102">
        <f t="shared" si="152"/>
        <v>8.9722701500131076E-9</v>
      </c>
      <c r="J102">
        <f t="shared" si="152"/>
        <v>8.9482783938748991E-9</v>
      </c>
      <c r="K102">
        <f t="shared" si="152"/>
        <v>9.0696052592461523E-9</v>
      </c>
      <c r="L102">
        <f t="shared" si="152"/>
        <v>8.9772517391941475E-9</v>
      </c>
      <c r="M102">
        <f t="shared" si="152"/>
        <v>8.9764261042418291E-9</v>
      </c>
      <c r="N102">
        <f t="shared" si="152"/>
        <v>8.7411964718585795E-9</v>
      </c>
      <c r="O102">
        <f t="shared" si="152"/>
        <v>8.5586007168964999E-9</v>
      </c>
      <c r="P102">
        <f t="shared" si="152"/>
        <v>8.3667732177643392E-9</v>
      </c>
      <c r="Q102">
        <f t="shared" si="152"/>
        <v>8.3240868171902824E-9</v>
      </c>
      <c r="R102">
        <f t="shared" si="152"/>
        <v>8.2232737970518239E-9</v>
      </c>
      <c r="S102">
        <f t="shared" si="152"/>
        <v>8.0984906190870388E-9</v>
      </c>
      <c r="T102">
        <f t="shared" si="152"/>
        <v>8.0529220540578306E-9</v>
      </c>
      <c r="U102">
        <f t="shared" si="152"/>
        <v>8.0773039617134501E-9</v>
      </c>
      <c r="V102">
        <f t="shared" si="152"/>
        <v>8.0075748109429044E-9</v>
      </c>
      <c r="W102">
        <f t="shared" si="152"/>
        <v>7.9300304239774897E-9</v>
      </c>
      <c r="X102">
        <f t="shared" si="152"/>
        <v>7.8296689916577247E-9</v>
      </c>
      <c r="Y102">
        <f t="shared" si="152"/>
        <v>7.6632836499963049E-9</v>
      </c>
      <c r="Z102">
        <f t="shared" si="152"/>
        <v>7.4917317075857151E-9</v>
      </c>
      <c r="AA102">
        <f t="shared" si="152"/>
        <v>7.3690906074521765E-9</v>
      </c>
      <c r="AB102">
        <f t="shared" si="152"/>
        <v>7.2945301911697983E-9</v>
      </c>
      <c r="AC102">
        <f t="shared" si="152"/>
        <v>7.2378124299361666E-9</v>
      </c>
      <c r="AD102">
        <f t="shared" si="152"/>
        <v>7.1971715449369722E-9</v>
      </c>
      <c r="AE102">
        <f t="shared" si="152"/>
        <v>7.1105178543625449E-9</v>
      </c>
      <c r="AF102">
        <f t="shared" si="152"/>
        <v>7.1143398336504179E-9</v>
      </c>
      <c r="AG102">
        <f t="shared" si="152"/>
        <v>7.0565014309656839E-9</v>
      </c>
      <c r="AH102">
        <f t="shared" si="152"/>
        <v>6.9827770505629829E-9</v>
      </c>
    </row>
    <row r="104" spans="1:36" x14ac:dyDescent="0.25">
      <c r="A104" s="15" t="s">
        <v>250</v>
      </c>
    </row>
    <row r="105" spans="1:36" x14ac:dyDescent="0.25">
      <c r="A105" t="s">
        <v>272</v>
      </c>
      <c r="B105" t="s">
        <v>278</v>
      </c>
      <c r="E105">
        <f>'Subsidies Paid'!H20</f>
        <v>10000000</v>
      </c>
    </row>
    <row r="106" spans="1:36" x14ac:dyDescent="0.2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578</v>
      </c>
      <c r="B1">
        <v>10</v>
      </c>
    </row>
    <row r="2" spans="1:2" ht="30" x14ac:dyDescent="0.25">
      <c r="A2" s="36" t="s">
        <v>579</v>
      </c>
      <c r="B2">
        <v>30</v>
      </c>
    </row>
    <row r="3" spans="1:2" ht="45" x14ac:dyDescent="0.25">
      <c r="A3" s="36" t="s">
        <v>580</v>
      </c>
      <c r="B3">
        <v>0.39100000000000001</v>
      </c>
    </row>
    <row r="4" spans="1:2" ht="45" x14ac:dyDescent="0.25">
      <c r="A4" s="36" t="s">
        <v>581</v>
      </c>
      <c r="B4">
        <v>0.48799999999999999</v>
      </c>
    </row>
    <row r="5" spans="1:2" x14ac:dyDescent="0.25">
      <c r="A5" s="36" t="s">
        <v>582</v>
      </c>
      <c r="B5">
        <v>0.03</v>
      </c>
    </row>
    <row r="6" spans="1:2" x14ac:dyDescent="0.25">
      <c r="A6" s="36" t="s">
        <v>583</v>
      </c>
      <c r="B6">
        <v>8760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520</v>
      </c>
    </row>
    <row r="30" spans="1:1" x14ac:dyDescent="0.25">
      <c r="A30">
        <f>1-0.33</f>
        <v>0.66999999999999993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heetViews>
  <sheetFormatPr defaultColWidth="9.28515625" defaultRowHeight="15" x14ac:dyDescent="0.25"/>
  <cols>
    <col min="1" max="1" width="26.5703125" customWidth="1"/>
    <col min="2" max="2" width="11.7109375" bestFit="1" customWidth="1"/>
  </cols>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2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2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25">
      <c r="A18" t="s">
        <v>975</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25">
      <c r="A19" t="s">
        <v>976</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s="123" t="s">
        <v>745</v>
      </c>
      <c r="B22">
        <f>'Inflation Reduction Act - Hydgn'!B39</f>
        <v>0</v>
      </c>
      <c r="C22">
        <f>'Inflation Reduction Act - Hydgn'!C39</f>
        <v>0</v>
      </c>
      <c r="D22">
        <f>'Inflation Reduction Act - Hydgn'!D39</f>
        <v>0</v>
      </c>
      <c r="E22">
        <f>'Inflation Reduction Act - Hydgn'!E39</f>
        <v>0</v>
      </c>
      <c r="F22">
        <f>'Inflation Reduction Act - Hydgn'!F39</f>
        <v>4.9370741187354737E-6</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f>'Inflation Reduction Act - Hydgn'!B38</f>
        <v>0</v>
      </c>
      <c r="C22" s="5">
        <f>'Inflation Reduction Act - Hydgn'!C38</f>
        <v>0</v>
      </c>
      <c r="D22" s="5">
        <f>'Inflation Reduction Act - Hydgn'!D38</f>
        <v>0</v>
      </c>
      <c r="E22" s="5">
        <f>'Inflation Reduction Act - Hydgn'!E38</f>
        <v>0</v>
      </c>
      <c r="F22" s="5">
        <f>'Inflation Reduction Act - Hydgn'!F38</f>
        <v>4.9370741187354737E-6</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G22" sqref="G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G3" sqref="G3"/>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A3" sqref="A3"/>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f>'Inflation Reduction Act - Hydgn'!B37</f>
        <v>0</v>
      </c>
      <c r="C22" s="5">
        <f>'Inflation Reduction Act - Hydgn'!C37</f>
        <v>0</v>
      </c>
      <c r="D22" s="5">
        <f>'Inflation Reduction Act - Hydgn'!D37</f>
        <v>0</v>
      </c>
      <c r="E22" s="5">
        <f>'Inflation Reduction Act - Hydgn'!E37</f>
        <v>0</v>
      </c>
      <c r="F22" s="5">
        <f>'Inflation Reduction Act - Hydgn'!F37</f>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G3" sqref="G3"/>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G3" sqref="G3"/>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A7" sqref="A7"/>
    </sheetView>
  </sheetViews>
  <sheetFormatPr defaultColWidth="9.28515625" defaultRowHeight="15" x14ac:dyDescent="0.25"/>
  <cols>
    <col min="1" max="1" width="32.42578125" customWidth="1"/>
  </cols>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f>'Subsidies Paid'!L5*About!$A$79*1000</f>
        <v>0</v>
      </c>
      <c r="C6">
        <f>'Subsidies Paid'!M5*About!$A$79*1000</f>
        <v>0</v>
      </c>
      <c r="D6">
        <f>'Subsidies Paid'!N5*About!$A$79*1000</f>
        <v>0</v>
      </c>
      <c r="E6">
        <f>'Subsidies Paid'!O5*About!$A$79*1000</f>
        <v>0</v>
      </c>
      <c r="F6">
        <f>'Subsidies Paid'!P5*About!$A$79*1000</f>
        <v>0</v>
      </c>
      <c r="G6">
        <f>'Subsidies Paid'!Q5*About!$A$79*1000</f>
        <v>0</v>
      </c>
      <c r="H6">
        <f>'Subsidies Paid'!R5*About!$A$79*1000</f>
        <v>0</v>
      </c>
      <c r="I6">
        <f>'Subsidies Paid'!S5*About!$A$79*1000</f>
        <v>0</v>
      </c>
      <c r="J6">
        <f>'Subsidies Paid'!T5*About!$A$79*1000</f>
        <v>0</v>
      </c>
      <c r="K6">
        <f>'Subsidies Paid'!U5*About!$A$79*1000</f>
        <v>0</v>
      </c>
      <c r="L6">
        <f>'Subsidies Paid'!V5*About!$A$79*1000</f>
        <v>0</v>
      </c>
      <c r="M6">
        <f>'Subsidies Paid'!W5*About!$A$79*1000</f>
        <v>0</v>
      </c>
      <c r="N6">
        <v>0</v>
      </c>
      <c r="O6">
        <v>0</v>
      </c>
      <c r="P6">
        <v>0</v>
      </c>
      <c r="Q6">
        <v>0</v>
      </c>
      <c r="R6">
        <v>0</v>
      </c>
      <c r="S6">
        <v>0</v>
      </c>
      <c r="T6">
        <v>0</v>
      </c>
      <c r="U6">
        <v>0</v>
      </c>
      <c r="V6">
        <v>0</v>
      </c>
      <c r="W6">
        <v>0</v>
      </c>
      <c r="X6">
        <v>0</v>
      </c>
      <c r="Y6">
        <v>0</v>
      </c>
      <c r="Z6">
        <v>0</v>
      </c>
      <c r="AA6">
        <v>0</v>
      </c>
      <c r="AB6">
        <v>0</v>
      </c>
      <c r="AC6">
        <v>0</v>
      </c>
      <c r="AD6">
        <v>0</v>
      </c>
      <c r="AE6">
        <v>0</v>
      </c>
    </row>
    <row r="7" spans="1:31" x14ac:dyDescent="0.25">
      <c r="A7" t="s">
        <v>503</v>
      </c>
      <c r="B7">
        <f>-PV('Wind PV Calcs'!$B$5,'Wind PV Calcs'!$B$1,'Subsidies Paid'!M10*About!$A$83*1000*'Monetizing Tax Credit Penalty'!$A$30*'Wind PV Calcs'!$B$6*'Wind PV Calcs'!$B$3)/('Wind PV Calcs'!$B$3*'Wind PV Calcs'!$B$6*'Wind PV Calcs'!$B$2)</f>
        <v>2.5662975615208952</v>
      </c>
      <c r="C7">
        <f>-PV('Wind PV Calcs'!$B$5,'Wind PV Calcs'!$B$1,'Subsidies Paid'!N10*About!$A$83*1000*'Monetizing Tax Credit Penalty'!$A$30*'Wind PV Calcs'!$B$6*'Wind PV Calcs'!$B$3)/('Wind PV Calcs'!$B$3*'Wind PV Calcs'!$B$6*'Wind PV Calcs'!$B$2)</f>
        <v>2.5662975615208952</v>
      </c>
      <c r="D7">
        <f>'Inflation Reduction Act - Elec'!B117</f>
        <v>23.620381171332561</v>
      </c>
      <c r="E7">
        <f>'Inflation Reduction Act - Elec'!C117</f>
        <v>23.620381171332561</v>
      </c>
      <c r="F7">
        <f>'Inflation Reduction Act - Elec'!D117</f>
        <v>23.620381171332561</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729</v>
      </c>
      <c r="B8">
        <v>0</v>
      </c>
      <c r="C8">
        <v>0</v>
      </c>
      <c r="D8">
        <f>'Inflation Reduction Act - Elec'!B119</f>
        <v>0</v>
      </c>
      <c r="E8">
        <f>'Inflation Reduction Act - Elec'!C119</f>
        <v>0</v>
      </c>
      <c r="F8">
        <f>'Inflation Reduction Act - Elec'!D119</f>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25</v>
      </c>
      <c r="B10">
        <f>'Subsidies Paid'!L2*About!$A$79*1000</f>
        <v>0</v>
      </c>
      <c r="C10">
        <f>'Subsidies Paid'!M2*About!$A$79*1000</f>
        <v>0</v>
      </c>
      <c r="D10">
        <f>'Subsidies Paid'!N2*About!$A$79*1000</f>
        <v>0</v>
      </c>
      <c r="E10">
        <f>'Subsidies Paid'!O2*About!$A$79*1000</f>
        <v>0</v>
      </c>
      <c r="F10">
        <f>'Subsidies Paid'!P2*About!$A$79*1000</f>
        <v>0</v>
      </c>
      <c r="G10">
        <f>'Subsidies Paid'!Q2*About!$A$79*1000</f>
        <v>0</v>
      </c>
      <c r="H10">
        <f>'Subsidies Paid'!R2*About!$A$79*1000</f>
        <v>0</v>
      </c>
      <c r="I10">
        <f>'Subsidies Paid'!S2*About!$A$79*1000</f>
        <v>0</v>
      </c>
      <c r="J10">
        <f>'Subsidies Paid'!T2*About!$A$79*1000</f>
        <v>0</v>
      </c>
      <c r="K10">
        <f>'Subsidies Paid'!U2*About!$A$79*1000</f>
        <v>0</v>
      </c>
      <c r="L10">
        <f>'Subsidies Paid'!V2*About!$A$79*1000</f>
        <v>0</v>
      </c>
      <c r="M10">
        <f>'Subsidies Paid'!W2*About!$A$79*1000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2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G5" sqref="G5"/>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726</v>
      </c>
      <c r="B2" s="19">
        <f>Calculations!D33</f>
        <v>0.31989540904438946</v>
      </c>
      <c r="C2" s="19">
        <f>Calculations!E33</f>
        <v>0.36047886675941437</v>
      </c>
      <c r="D2" s="19">
        <f>Calculations!F33</f>
        <v>0.38288809884212366</v>
      </c>
      <c r="E2" s="19">
        <f>Calculations!G33</f>
        <v>0.46274773385030771</v>
      </c>
      <c r="F2" s="19">
        <f>Calculations!H33</f>
        <v>0.4571971153806369</v>
      </c>
      <c r="G2" s="19">
        <f>Calculations!I33</f>
        <v>0.5303566381091539</v>
      </c>
      <c r="H2" s="19">
        <f>Calculations!J33</f>
        <v>0.66632965193604299</v>
      </c>
      <c r="I2" s="19">
        <f>Calculations!K33</f>
        <v>0.69152053076395159</v>
      </c>
      <c r="J2" s="19">
        <f>Calculations!L33</f>
        <v>0.72920563308629194</v>
      </c>
      <c r="K2" s="19">
        <f>Calculations!M33</f>
        <v>0.89337052514240212</v>
      </c>
      <c r="L2" s="19">
        <f>Calculations!N33</f>
        <v>0.97048081391456753</v>
      </c>
      <c r="M2" s="19">
        <f>Calculations!O33</f>
        <v>4.4322303993918268</v>
      </c>
      <c r="N2" s="19">
        <f>Calculations!P33</f>
        <v>4.4288991396907713</v>
      </c>
      <c r="O2" s="19">
        <f>Calculations!Q33</f>
        <v>4.5702846248343238</v>
      </c>
      <c r="P2" s="19">
        <f>Calculations!R33</f>
        <v>4.8579373936233159</v>
      </c>
      <c r="Q2" s="19">
        <f>Calculations!S33</f>
        <v>5.0570486501059895</v>
      </c>
      <c r="R2" s="19">
        <f>Calculations!T33</f>
        <v>5.4277708530478259</v>
      </c>
      <c r="S2" s="19">
        <f>Calculations!U33</f>
        <v>5.9635242233583137</v>
      </c>
      <c r="T2" s="19">
        <f>Calculations!V33</f>
        <v>19.677053636696655</v>
      </c>
      <c r="U2" s="19">
        <f>Calculations!W33</f>
        <v>19.63784540106208</v>
      </c>
      <c r="V2" s="19">
        <f>Calculations!X33</f>
        <v>19.594521424061888</v>
      </c>
      <c r="W2" s="19">
        <f>Calculations!Y33</f>
        <v>19.572696714409695</v>
      </c>
      <c r="X2" s="19">
        <f>Calculations!Z33</f>
        <v>19.526274359515419</v>
      </c>
      <c r="Y2" s="19">
        <f>Calculations!AA33</f>
        <v>19.907707866331688</v>
      </c>
      <c r="Z2" s="19">
        <f>Calculations!AB33</f>
        <v>21.81108013049133</v>
      </c>
      <c r="AA2" s="19">
        <f>Calculations!AC33</f>
        <v>91.503531121265965</v>
      </c>
      <c r="AB2" s="19">
        <f>Calculations!AD33</f>
        <v>91.551281534838921</v>
      </c>
      <c r="AC2" s="19">
        <f>Calculations!AE33</f>
        <v>91.6230006715966</v>
      </c>
      <c r="AD2" s="19">
        <f>Calculations!AF33</f>
        <v>98.772423397870142</v>
      </c>
      <c r="AE2" s="19">
        <f>Calculations!AG33</f>
        <v>98.475920996051116</v>
      </c>
      <c r="AF2" s="19"/>
      <c r="AG2" s="19"/>
    </row>
    <row r="3" spans="1:33" x14ac:dyDescent="0.25">
      <c r="A3" t="s">
        <v>727</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25">
      <c r="A4" t="s">
        <v>728</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729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733</v>
      </c>
      <c r="B14" s="19">
        <f>'BS-BSpUEOfEP'!B2</f>
        <v>0.31989540904438946</v>
      </c>
      <c r="C14" s="19">
        <f>'BS-BSpUEOfEP'!C2</f>
        <v>0.36047886675941437</v>
      </c>
      <c r="D14" s="19">
        <f>'BS-BSpUEOfEP'!D2</f>
        <v>0.38288809884212366</v>
      </c>
      <c r="E14" s="19">
        <f>'BS-BSpUEOfEP'!E2</f>
        <v>0.46274773385030771</v>
      </c>
      <c r="F14" s="19">
        <f>'BS-BSpUEOfEP'!F2</f>
        <v>0.4571971153806369</v>
      </c>
      <c r="G14" s="19">
        <f>'BS-BSpUEOfEP'!G2</f>
        <v>0.5303566381091539</v>
      </c>
      <c r="H14" s="19">
        <f>'BS-BSpUEOfEP'!H2</f>
        <v>0.66632965193604299</v>
      </c>
      <c r="I14" s="19">
        <f>'BS-BSpUEOfEP'!I2</f>
        <v>0.69152053076395159</v>
      </c>
      <c r="J14" s="19">
        <f>'BS-BSpUEOfEP'!J2</f>
        <v>0.72920563308629194</v>
      </c>
      <c r="K14" s="19">
        <f>'BS-BSpUEOfEP'!K2</f>
        <v>0.89337052514240212</v>
      </c>
      <c r="L14" s="19">
        <f>'BS-BSpUEOfEP'!L2</f>
        <v>0.97048081391456753</v>
      </c>
      <c r="M14" s="19">
        <f>'BS-BSpUEOfEP'!M2</f>
        <v>4.4322303993918268</v>
      </c>
      <c r="N14" s="19">
        <f>'BS-BSpUEOfEP'!N2</f>
        <v>4.4288991396907713</v>
      </c>
      <c r="O14" s="19">
        <f>'BS-BSpUEOfEP'!O2</f>
        <v>4.5702846248343238</v>
      </c>
      <c r="P14" s="19">
        <f>'BS-BSpUEOfEP'!P2</f>
        <v>4.8579373936233159</v>
      </c>
      <c r="Q14" s="19">
        <f>'BS-BSpUEOfEP'!Q2</f>
        <v>5.0570486501059895</v>
      </c>
      <c r="R14" s="19">
        <f>'BS-BSpUEOfEP'!R2</f>
        <v>5.4277708530478259</v>
      </c>
      <c r="S14" s="19">
        <f>'BS-BSpUEOfEP'!S2</f>
        <v>5.9635242233583137</v>
      </c>
      <c r="T14" s="19">
        <f>'BS-BSpUEOfEP'!T2</f>
        <v>19.677053636696655</v>
      </c>
      <c r="U14" s="19">
        <f>'BS-BSpUEOfEP'!U2</f>
        <v>19.63784540106208</v>
      </c>
      <c r="V14" s="19">
        <f>'BS-BSpUEOfEP'!V2</f>
        <v>19.594521424061888</v>
      </c>
      <c r="W14" s="19">
        <f>'BS-BSpUEOfEP'!W2</f>
        <v>19.572696714409695</v>
      </c>
      <c r="X14" s="19">
        <f>'BS-BSpUEOfEP'!X2</f>
        <v>19.526274359515419</v>
      </c>
      <c r="Y14" s="19">
        <f>'BS-BSpUEOfEP'!Y2</f>
        <v>19.907707866331688</v>
      </c>
      <c r="Z14" s="19">
        <f>'BS-BSpUEOfEP'!Z2</f>
        <v>21.81108013049133</v>
      </c>
      <c r="AA14" s="19">
        <f>'BS-BSpUEOfEP'!AA2</f>
        <v>91.503531121265965</v>
      </c>
      <c r="AB14" s="19">
        <f>'BS-BSpUEOfEP'!AB2</f>
        <v>91.551281534838921</v>
      </c>
      <c r="AC14" s="19">
        <f>'BS-BSpUEOfEP'!AC2</f>
        <v>91.6230006715966</v>
      </c>
      <c r="AD14" s="19">
        <f>'BS-BSpUEOfEP'!AD2</f>
        <v>98.772423397870142</v>
      </c>
      <c r="AE14" s="19">
        <f>'BS-BSpUEOfEP'!AE2</f>
        <v>98.475920996051116</v>
      </c>
      <c r="AF14" s="19"/>
      <c r="AG14" s="19"/>
    </row>
    <row r="15" spans="1:33"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heetViews>
  <sheetFormatPr defaultColWidth="8.7109375" defaultRowHeight="15" x14ac:dyDescent="0.25"/>
  <cols>
    <col min="1" max="1" width="32.7109375" customWidth="1"/>
  </cols>
  <sheetData>
    <row r="1" spans="1:31" x14ac:dyDescent="0.25">
      <c r="A1" t="s">
        <v>744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729</v>
      </c>
      <c r="B8">
        <f>Calculations!D5</f>
        <v>0.20099999999999998</v>
      </c>
      <c r="C8">
        <f>Calculations!E5</f>
        <v>0.17419999999999999</v>
      </c>
      <c r="D8">
        <f>'Inflation Reduction Act - Elec'!B144</f>
        <v>0.37019212259371836</v>
      </c>
      <c r="E8">
        <f>'Inflation Reduction Act - Elec'!C144</f>
        <v>0.37753261144883488</v>
      </c>
      <c r="F8">
        <f>'Inflation Reduction Act - Elec'!D144</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730</v>
      </c>
      <c r="B9">
        <f>Calculations!D19</f>
        <v>0.20099999999999998</v>
      </c>
      <c r="C9">
        <f>Calculations!E19</f>
        <v>0.17419999999999999</v>
      </c>
      <c r="D9">
        <f>'Inflation Reduction Act - Elec'!B147</f>
        <v>0.41625000000000001</v>
      </c>
      <c r="E9">
        <f>'Inflation Reduction Act - Elec'!C147</f>
        <v>0.41625000000000001</v>
      </c>
      <c r="F9">
        <f>'Inflation Reduction Act - Elec'!D147</f>
        <v>0.41625000000000001</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25">
      <c r="A11" t="s">
        <v>301</v>
      </c>
      <c r="B11">
        <f>Calculations!D26</f>
        <v>6.699999999999999E-2</v>
      </c>
      <c r="C11">
        <f>Calculations!E26</f>
        <v>6.699999999999999E-2</v>
      </c>
      <c r="D11">
        <f>'Inflation Reduction Act - Elec'!B150</f>
        <v>0.41625000000000001</v>
      </c>
      <c r="E11">
        <f>'Inflation Reduction Act - Elec'!C150</f>
        <v>0.41625000000000001</v>
      </c>
      <c r="F11">
        <f>'Inflation Reduction Act - Elec'!D150</f>
        <v>0.41625000000000001</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2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25">
      <c r="A15" t="s">
        <v>504</v>
      </c>
      <c r="B15">
        <f>Calculations!D12</f>
        <v>0.20099999999999998</v>
      </c>
      <c r="C15">
        <f>Calculations!E12</f>
        <v>0.20099999999999998</v>
      </c>
      <c r="D15">
        <f>'Inflation Reduction Act - Elec'!B153</f>
        <v>0.41625000000000001</v>
      </c>
      <c r="E15">
        <f>'Inflation Reduction Act - Elec'!C153</f>
        <v>0.41625000000000001</v>
      </c>
      <c r="F15">
        <f>'Inflation Reduction Act - Elec'!D153</f>
        <v>0.41625000000000001</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734</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726</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727</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728</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729</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730</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731</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732</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733</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734</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735</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736</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737</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738</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739</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3" t="s">
        <v>742</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3" t="s">
        <v>743</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1</vt:i4>
      </vt:variant>
    </vt:vector>
  </HeadingPairs>
  <TitlesOfParts>
    <vt:vector size="33" baseType="lpstr">
      <vt:lpstr>About</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2025-12-05T00:34:37Z</dcterms:modified>
</cp:coreProperties>
</file>