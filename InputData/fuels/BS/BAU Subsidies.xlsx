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fuels\BS\"/>
    </mc:Choice>
  </mc:AlternateContent>
  <xr:revisionPtr revIDLastSave="0" documentId="13_ncr:1_{9795D2DC-4E73-489B-A37C-F36A9B91DA5F}" xr6:coauthVersionLast="47" xr6:coauthVersionMax="47" xr10:uidLastSave="{00000000-0000-0000-0000-000000000000}"/>
  <bookViews>
    <workbookView xWindow="7630" yWindow="0" windowWidth="11680" windowHeight="10155" tabRatio="813" xr2:uid="{00000000-000D-0000-FFFF-FFFF00000000}"/>
  </bookViews>
  <sheets>
    <sheet name="About" sheetId="1" r:id="rId1"/>
    <sheet name="Inflation Reduction Act - Elec"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5 Table 1" sheetId="42" r:id="rId9"/>
    <sheet name="AEO 2022 Table 8" sheetId="9" r:id="rId10"/>
    <sheet name="AEO 2023 Table 8" sheetId="22" r:id="rId11"/>
    <sheet name="AEO 2025 Table 8" sheetId="41" r:id="rId12"/>
    <sheet name="AEO 2022 Table 11" sheetId="6" r:id="rId13"/>
    <sheet name="AEO 2023 Table 11" sheetId="23" r:id="rId14"/>
    <sheet name="AEO 2025 Table 11" sheetId="40" r:id="rId15"/>
    <sheet name="Calculations" sheetId="14" r:id="rId16"/>
    <sheet name="Wind PV Calcs" sheetId="20" r:id="rId17"/>
    <sheet name="Monetizing Tax Credit Penalty" sheetId="17" r:id="rId18"/>
    <sheet name="BS-BSfTFpEUP-transportation" sheetId="32" r:id="rId19"/>
    <sheet name="BS-BSfTFpEUP-electricity" sheetId="30" r:id="rId20"/>
    <sheet name="BS-BSfTFpEUP-res-bldgs" sheetId="33" r:id="rId21"/>
    <sheet name="BS-BSfTFpEUP-com-bldgs" sheetId="34" r:id="rId22"/>
    <sheet name="BS-BSfTFpEUP-industry" sheetId="31" r:id="rId23"/>
    <sheet name="BS-BSfTFpEUP-dist-heat-hydgn" sheetId="35" r:id="rId24"/>
    <sheet name="BS-BSfTFpEUP-geoeng" sheetId="29" r:id="rId25"/>
    <sheet name="BS-BSpUEO" sheetId="19" r:id="rId26"/>
    <sheet name="BS-BSpUEOfEP" sheetId="39" r:id="rId27"/>
    <sheet name="BS-BSpUECB" sheetId="16" r:id="rId28"/>
    <sheet name="BS-DoSpUEO" sheetId="28" r:id="rId29"/>
    <sheet name="JCT Table 1_Notes" sheetId="15" r:id="rId30"/>
  </sheets>
  <definedNames>
    <definedName name="dollars_2018_to_2012">#REF!</definedName>
    <definedName name="dollars_2020_2012">About!$A$82</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77" i="14" l="1"/>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B14" i="39" l="1"/>
  <c r="C14" i="39"/>
  <c r="D14" i="39"/>
  <c r="B2" i="39"/>
  <c r="C2" i="39"/>
  <c r="D2"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B5" i="39"/>
  <c r="C122" i="24" l="1"/>
  <c r="D122" i="24"/>
  <c r="E122" i="24"/>
  <c r="F122" i="24"/>
  <c r="G122" i="24"/>
  <c r="H122" i="24"/>
  <c r="I122" i="24"/>
  <c r="J122" i="24"/>
  <c r="K122" i="24"/>
  <c r="B122" i="24"/>
  <c r="E8" i="19" l="1"/>
  <c r="F8" i="19"/>
  <c r="D8"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D19" i="35" l="1"/>
  <c r="C19" i="35"/>
  <c r="B19" i="35"/>
  <c r="D18" i="35"/>
  <c r="C18" i="35"/>
  <c r="B18" i="35"/>
  <c r="D17" i="35"/>
  <c r="C17" i="35"/>
  <c r="B17" i="35"/>
  <c r="D14" i="35"/>
  <c r="C14" i="35"/>
  <c r="B14" i="35"/>
  <c r="D11" i="35"/>
  <c r="C11" i="35"/>
  <c r="B11" i="35"/>
  <c r="D10" i="35"/>
  <c r="C10" i="35"/>
  <c r="B10" i="35"/>
  <c r="D4" i="35"/>
  <c r="C4" i="35"/>
  <c r="B4" i="35"/>
  <c r="D3" i="35"/>
  <c r="C3" i="35"/>
  <c r="B3" i="35"/>
  <c r="D19" i="34"/>
  <c r="C19" i="34"/>
  <c r="B19" i="34"/>
  <c r="D18" i="34"/>
  <c r="C18" i="34"/>
  <c r="B18" i="34"/>
  <c r="D17" i="34"/>
  <c r="C17" i="34"/>
  <c r="B17" i="34"/>
  <c r="D14" i="34"/>
  <c r="C14" i="34"/>
  <c r="B14" i="34"/>
  <c r="D11" i="34"/>
  <c r="C11" i="34"/>
  <c r="B11" i="34"/>
  <c r="D10" i="34"/>
  <c r="C10" i="34"/>
  <c r="B10" i="34"/>
  <c r="D4" i="34"/>
  <c r="C4" i="34"/>
  <c r="B4" i="34"/>
  <c r="D3" i="34"/>
  <c r="C3" i="34"/>
  <c r="B3" i="34"/>
  <c r="D19" i="33"/>
  <c r="C19" i="33"/>
  <c r="B19" i="33"/>
  <c r="D18" i="33"/>
  <c r="C18" i="33"/>
  <c r="B18" i="33"/>
  <c r="D17" i="33"/>
  <c r="C17" i="33"/>
  <c r="B17" i="33"/>
  <c r="D14" i="33"/>
  <c r="C14" i="33"/>
  <c r="B14" i="33"/>
  <c r="D11" i="33"/>
  <c r="C11" i="33"/>
  <c r="B11" i="33"/>
  <c r="D10" i="33"/>
  <c r="C10" i="33"/>
  <c r="B10" i="33"/>
  <c r="D4" i="33"/>
  <c r="C4" i="33"/>
  <c r="B4" i="33"/>
  <c r="D3" i="33"/>
  <c r="C3" i="33"/>
  <c r="B3" i="33"/>
  <c r="D19" i="32"/>
  <c r="C19" i="32"/>
  <c r="B19" i="32"/>
  <c r="D18" i="32"/>
  <c r="C18" i="32"/>
  <c r="B18" i="32"/>
  <c r="D17" i="32"/>
  <c r="C17" i="32"/>
  <c r="B17" i="32"/>
  <c r="D14" i="32"/>
  <c r="C14" i="32"/>
  <c r="B14" i="32"/>
  <c r="D11" i="32"/>
  <c r="C11" i="32"/>
  <c r="B11" i="32"/>
  <c r="D10" i="32"/>
  <c r="C10" i="32"/>
  <c r="B10" i="32"/>
  <c r="D4" i="32"/>
  <c r="C4" i="32"/>
  <c r="B4" i="32"/>
  <c r="D3" i="32"/>
  <c r="C3" i="32"/>
  <c r="B3" i="32"/>
  <c r="D19" i="31"/>
  <c r="C19" i="31"/>
  <c r="B19" i="31"/>
  <c r="D18" i="31"/>
  <c r="C18" i="31"/>
  <c r="B18" i="31"/>
  <c r="D17" i="31"/>
  <c r="C17" i="31"/>
  <c r="B17" i="31"/>
  <c r="D14" i="31"/>
  <c r="C14" i="31"/>
  <c r="B14" i="31"/>
  <c r="D11" i="31"/>
  <c r="C11" i="31"/>
  <c r="B11" i="31"/>
  <c r="D10" i="31"/>
  <c r="C10" i="31"/>
  <c r="B10" i="31"/>
  <c r="D4" i="31"/>
  <c r="C4" i="31"/>
  <c r="B4" i="31"/>
  <c r="D3" i="31"/>
  <c r="C3" i="31"/>
  <c r="B3" i="31"/>
  <c r="D19" i="30"/>
  <c r="C19" i="30"/>
  <c r="B19" i="30"/>
  <c r="D18" i="30"/>
  <c r="C18" i="30"/>
  <c r="B18" i="30"/>
  <c r="D17" i="30"/>
  <c r="C17" i="30"/>
  <c r="B17" i="30"/>
  <c r="D14" i="30"/>
  <c r="C14" i="30"/>
  <c r="B14" i="30"/>
  <c r="D11" i="30"/>
  <c r="C11" i="30"/>
  <c r="B11" i="30"/>
  <c r="D10" i="30"/>
  <c r="C10" i="30"/>
  <c r="B10" i="30"/>
  <c r="D4" i="30"/>
  <c r="C4" i="30"/>
  <c r="B4" i="30"/>
  <c r="D3" i="30"/>
  <c r="C3" i="30"/>
  <c r="B3" i="30"/>
  <c r="D19" i="29"/>
  <c r="C19" i="29"/>
  <c r="B19" i="29"/>
  <c r="D18" i="29"/>
  <c r="C18" i="29"/>
  <c r="B18" i="29"/>
  <c r="D17" i="29"/>
  <c r="C17" i="29"/>
  <c r="B17" i="29"/>
  <c r="D14" i="29"/>
  <c r="C14" i="29"/>
  <c r="B14" i="29"/>
  <c r="D11" i="29"/>
  <c r="C11" i="29"/>
  <c r="B11" i="29"/>
  <c r="D10" i="29"/>
  <c r="C10" i="29"/>
  <c r="B10" i="29"/>
  <c r="D4" i="29"/>
  <c r="C4" i="29"/>
  <c r="B4" i="29"/>
  <c r="D3" i="29"/>
  <c r="C3" i="29"/>
  <c r="B3" i="29"/>
  <c r="B9" i="16" l="1"/>
  <c r="C8" i="16" l="1"/>
  <c r="B8" i="16"/>
  <c r="B99" i="24"/>
  <c r="B46"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F77" i="14"/>
  <c r="G77" i="14"/>
  <c r="E108" i="14"/>
  <c r="F75" i="14"/>
  <c r="G75" i="14"/>
  <c r="E57" i="14"/>
  <c r="F57" i="14"/>
  <c r="E56" i="14"/>
  <c r="F56" i="14"/>
  <c r="E45" i="14"/>
  <c r="F45" i="14"/>
  <c r="E38" i="14"/>
  <c r="F38" i="14"/>
  <c r="E32" i="14"/>
  <c r="F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F7" i="19" s="1"/>
  <c r="E117" i="24"/>
  <c r="AB117" i="24"/>
  <c r="I117" i="24"/>
  <c r="B117" i="24"/>
  <c r="D7" i="19" s="1"/>
  <c r="Q117" i="24"/>
  <c r="X117" i="24"/>
  <c r="F117" i="24"/>
  <c r="Z117" i="24"/>
  <c r="AA117" i="24"/>
  <c r="Q119" i="24"/>
  <c r="T117" i="24"/>
  <c r="U117" i="24"/>
  <c r="V117" i="24"/>
  <c r="C117" i="24"/>
  <c r="E7" i="19" s="1"/>
  <c r="W117" i="24"/>
  <c r="F11" i="16"/>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15" i="16"/>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 i="16"/>
  <c r="E80" i="24"/>
  <c r="D144" i="24" s="1"/>
  <c r="F80" i="24"/>
  <c r="E119" i="24" s="1"/>
  <c r="G79" i="24"/>
  <c r="G80" i="24" s="1"/>
  <c r="F119" i="24" s="1"/>
  <c r="M11" i="12"/>
  <c r="L11" i="12"/>
  <c r="D161" i="24" l="1"/>
  <c r="D169" i="24" s="1"/>
  <c r="D171" i="24"/>
  <c r="D170" i="24"/>
  <c r="AA160" i="24"/>
  <c r="AA168" i="24" s="1"/>
  <c r="AA173" i="24" s="1"/>
  <c r="D8" i="16"/>
  <c r="B160" i="24"/>
  <c r="B168" i="24" s="1"/>
  <c r="B16" i="16"/>
  <c r="B17" i="16"/>
  <c r="F161" i="24" l="1"/>
  <c r="F169" i="24" s="1"/>
  <c r="E161" i="24"/>
  <c r="E169" i="24" s="1"/>
  <c r="D160" i="24"/>
  <c r="D168" i="24" s="1"/>
  <c r="D173" i="24" s="1"/>
  <c r="F8" i="16"/>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E3" i="30" l="1"/>
  <c r="E17" i="30" s="1"/>
  <c r="E3" i="35"/>
  <c r="E17" i="35" s="1"/>
  <c r="E3" i="31"/>
  <c r="E17" i="31" s="1"/>
  <c r="E3" i="34"/>
  <c r="E17" i="34" s="1"/>
  <c r="E3" i="32"/>
  <c r="E17" i="32" s="1"/>
  <c r="E3" i="33"/>
  <c r="E17" i="33" s="1"/>
  <c r="E3" i="29"/>
  <c r="E17" i="29" s="1"/>
  <c r="P27" i="14"/>
  <c r="Q21" i="14"/>
  <c r="I39" i="14"/>
  <c r="H67" i="14"/>
  <c r="G70" i="14"/>
  <c r="H102" i="14"/>
  <c r="I97" i="14"/>
  <c r="G61" i="14"/>
  <c r="F64" i="14"/>
  <c r="I74" i="14"/>
  <c r="H78" i="14"/>
  <c r="H46" i="14"/>
  <c r="I86" i="14"/>
  <c r="J81" i="14"/>
  <c r="I89" i="14"/>
  <c r="H94" i="14"/>
  <c r="G33" i="14"/>
  <c r="E2" i="39" s="1"/>
  <c r="E14" i="39" s="1"/>
  <c r="Q7" i="14"/>
  <c r="H109" i="14"/>
  <c r="G51" i="14"/>
  <c r="H58" i="14"/>
  <c r="E14" i="35" l="1"/>
  <c r="E19" i="34"/>
  <c r="E19" i="35"/>
  <c r="E10" i="32"/>
  <c r="E10" i="33"/>
  <c r="E10" i="34"/>
  <c r="E11" i="32"/>
  <c r="E18" i="31"/>
  <c r="E10" i="35"/>
  <c r="E11" i="33"/>
  <c r="E18" i="32"/>
  <c r="E14" i="31"/>
  <c r="E11" i="34"/>
  <c r="E18" i="33"/>
  <c r="E14" i="32"/>
  <c r="E19" i="31"/>
  <c r="E11" i="35"/>
  <c r="E18" i="34"/>
  <c r="E14" i="33"/>
  <c r="E19" i="32"/>
  <c r="E18" i="30"/>
  <c r="E14" i="29"/>
  <c r="E18" i="35"/>
  <c r="E14" i="30"/>
  <c r="E19" i="29"/>
  <c r="E18" i="29"/>
  <c r="E19" i="30"/>
  <c r="E14" i="34"/>
  <c r="E11" i="31"/>
  <c r="E10" i="29"/>
  <c r="E19" i="33"/>
  <c r="E10" i="30"/>
  <c r="E10" i="31"/>
  <c r="E11" i="29"/>
  <c r="E11" i="30"/>
  <c r="F3" i="35"/>
  <c r="F17" i="35" s="1"/>
  <c r="F3" i="31"/>
  <c r="F17" i="31" s="1"/>
  <c r="F3" i="30"/>
  <c r="F17" i="30" s="1"/>
  <c r="F3" i="34"/>
  <c r="F17" i="34" s="1"/>
  <c r="F3" i="32"/>
  <c r="F17" i="32" s="1"/>
  <c r="F3" i="33"/>
  <c r="F17" i="33" s="1"/>
  <c r="F3" i="29"/>
  <c r="F17" i="29" s="1"/>
  <c r="Q27" i="14"/>
  <c r="H33" i="14"/>
  <c r="F2" i="39" s="1"/>
  <c r="F14" i="39" s="1"/>
  <c r="J39" i="14"/>
  <c r="R7" i="14"/>
  <c r="I46" i="14"/>
  <c r="I67" i="14"/>
  <c r="H70" i="14"/>
  <c r="I78" i="14"/>
  <c r="J74" i="14"/>
  <c r="R21" i="14"/>
  <c r="I94" i="14"/>
  <c r="J89" i="14"/>
  <c r="G64" i="14"/>
  <c r="H61" i="14"/>
  <c r="J86" i="14"/>
  <c r="K81" i="14"/>
  <c r="I102" i="14"/>
  <c r="J97" i="14"/>
  <c r="I109" i="14"/>
  <c r="I58" i="14"/>
  <c r="H51" i="14"/>
  <c r="F19" i="35" l="1"/>
  <c r="F10" i="32"/>
  <c r="F10" i="33"/>
  <c r="F11" i="31"/>
  <c r="F10" i="34"/>
  <c r="F11" i="32"/>
  <c r="F18" i="31"/>
  <c r="F10" i="35"/>
  <c r="F11" i="33"/>
  <c r="F18" i="32"/>
  <c r="F14" i="31"/>
  <c r="F11" i="34"/>
  <c r="F18" i="33"/>
  <c r="F14" i="32"/>
  <c r="F19" i="31"/>
  <c r="F11" i="35"/>
  <c r="F18" i="34"/>
  <c r="F14" i="33"/>
  <c r="F19" i="32"/>
  <c r="F18" i="35"/>
  <c r="F14" i="34"/>
  <c r="F19" i="33"/>
  <c r="F14" i="30"/>
  <c r="F19" i="29"/>
  <c r="F19" i="30"/>
  <c r="F14" i="35"/>
  <c r="F10" i="29"/>
  <c r="F19" i="34"/>
  <c r="F10" i="30"/>
  <c r="F18" i="30"/>
  <c r="F10" i="31"/>
  <c r="F11" i="29"/>
  <c r="F14" i="29"/>
  <c r="F11" i="30"/>
  <c r="F18" i="29"/>
  <c r="E4" i="32"/>
  <c r="E4" i="35"/>
  <c r="E4" i="31"/>
  <c r="E4" i="29"/>
  <c r="E4" i="34"/>
  <c r="E4" i="30"/>
  <c r="E4" i="33"/>
  <c r="G3" i="32"/>
  <c r="G17" i="32" s="1"/>
  <c r="G3" i="33"/>
  <c r="G17" i="33" s="1"/>
  <c r="G3" i="29"/>
  <c r="G17" i="29" s="1"/>
  <c r="G3" i="31"/>
  <c r="G17" i="31" s="1"/>
  <c r="G3" i="34"/>
  <c r="G17" i="34" s="1"/>
  <c r="G3" i="30"/>
  <c r="G17" i="30" s="1"/>
  <c r="G3" i="35"/>
  <c r="G17" i="35" s="1"/>
  <c r="R27" i="14"/>
  <c r="S7" i="14"/>
  <c r="J78" i="14"/>
  <c r="K74" i="14"/>
  <c r="H64" i="14"/>
  <c r="I61" i="14"/>
  <c r="K39" i="14"/>
  <c r="S21" i="14"/>
  <c r="I70" i="14"/>
  <c r="J67" i="14"/>
  <c r="I33" i="14"/>
  <c r="G2" i="39" s="1"/>
  <c r="G14" i="39" s="1"/>
  <c r="L81" i="14"/>
  <c r="K86" i="14"/>
  <c r="K97" i="14"/>
  <c r="J102" i="14"/>
  <c r="J94" i="14"/>
  <c r="K89" i="14"/>
  <c r="J46" i="14"/>
  <c r="J109" i="14"/>
  <c r="I51" i="14"/>
  <c r="J58" i="14"/>
  <c r="G10" i="33" l="1"/>
  <c r="G11" i="31"/>
  <c r="G10" i="34"/>
  <c r="G11" i="32"/>
  <c r="G18" i="31"/>
  <c r="G10" i="35"/>
  <c r="G11" i="33"/>
  <c r="G18" i="32"/>
  <c r="G14" i="31"/>
  <c r="G11" i="34"/>
  <c r="G18" i="33"/>
  <c r="G14" i="32"/>
  <c r="G19" i="31"/>
  <c r="G11" i="35"/>
  <c r="G18" i="34"/>
  <c r="G14" i="33"/>
  <c r="G19" i="32"/>
  <c r="G18" i="35"/>
  <c r="G14" i="34"/>
  <c r="G19" i="33"/>
  <c r="G14" i="35"/>
  <c r="G19" i="34"/>
  <c r="G10" i="31"/>
  <c r="G10" i="32"/>
  <c r="G19" i="30"/>
  <c r="G19" i="35"/>
  <c r="G10" i="29"/>
  <c r="G10" i="30"/>
  <c r="G19" i="29"/>
  <c r="G11" i="29"/>
  <c r="G11" i="30"/>
  <c r="G18" i="29"/>
  <c r="G14" i="30"/>
  <c r="G18" i="30"/>
  <c r="G14" i="29"/>
  <c r="F4" i="35"/>
  <c r="F4" i="31"/>
  <c r="F4" i="34"/>
  <c r="F4" i="32"/>
  <c r="F4" i="30"/>
  <c r="F4" i="33"/>
  <c r="F4" i="29"/>
  <c r="H3" i="32"/>
  <c r="H17" i="32" s="1"/>
  <c r="H3" i="31"/>
  <c r="H17" i="31" s="1"/>
  <c r="H3" i="29"/>
  <c r="H17" i="29" s="1"/>
  <c r="H3" i="33"/>
  <c r="H17" i="33" s="1"/>
  <c r="H3" i="34"/>
  <c r="H17" i="34" s="1"/>
  <c r="H3" i="30"/>
  <c r="H17" i="30" s="1"/>
  <c r="H3" i="35"/>
  <c r="H17" i="35" s="1"/>
  <c r="S27" i="14"/>
  <c r="K46" i="14"/>
  <c r="L89" i="14"/>
  <c r="K94" i="14"/>
  <c r="K78" i="14"/>
  <c r="L74" i="14"/>
  <c r="T21" i="14"/>
  <c r="M81" i="14"/>
  <c r="L86" i="14"/>
  <c r="L39" i="14"/>
  <c r="T7" i="14"/>
  <c r="J61" i="14"/>
  <c r="I64" i="14"/>
  <c r="K67" i="14"/>
  <c r="J70" i="14"/>
  <c r="L97" i="14"/>
  <c r="K102" i="14"/>
  <c r="J33" i="14"/>
  <c r="H2" i="39" s="1"/>
  <c r="H14" i="39" s="1"/>
  <c r="K109" i="14"/>
  <c r="K58" i="14"/>
  <c r="J51" i="14"/>
  <c r="H10" i="34" l="1"/>
  <c r="H11" i="32"/>
  <c r="H18" i="31"/>
  <c r="H10" i="35"/>
  <c r="H11" i="33"/>
  <c r="H18" i="32"/>
  <c r="H14" i="31"/>
  <c r="H11" i="34"/>
  <c r="H18" i="33"/>
  <c r="H14" i="32"/>
  <c r="H19" i="31"/>
  <c r="H11" i="35"/>
  <c r="H18" i="34"/>
  <c r="H14" i="33"/>
  <c r="H19" i="32"/>
  <c r="H18" i="35"/>
  <c r="H14" i="34"/>
  <c r="H19" i="33"/>
  <c r="H14" i="35"/>
  <c r="H19" i="34"/>
  <c r="H19" i="35"/>
  <c r="H10" i="32"/>
  <c r="H10" i="33"/>
  <c r="H10" i="29"/>
  <c r="H11" i="29"/>
  <c r="H10" i="30"/>
  <c r="H11" i="31"/>
  <c r="H10" i="31"/>
  <c r="H11" i="30"/>
  <c r="H18" i="29"/>
  <c r="H18" i="30"/>
  <c r="H14" i="29"/>
  <c r="H14" i="30"/>
  <c r="H19" i="29"/>
  <c r="H19" i="30"/>
  <c r="G4" i="29"/>
  <c r="G4" i="34"/>
  <c r="G4" i="31"/>
  <c r="G4" i="30"/>
  <c r="G4" i="32"/>
  <c r="G4" i="33"/>
  <c r="G4" i="35"/>
  <c r="I3" i="33"/>
  <c r="I17" i="33" s="1"/>
  <c r="I3" i="29"/>
  <c r="I17" i="29" s="1"/>
  <c r="I3" i="32"/>
  <c r="I17" i="32" s="1"/>
  <c r="I3" i="34"/>
  <c r="I17" i="34" s="1"/>
  <c r="I3" i="30"/>
  <c r="I17" i="30" s="1"/>
  <c r="I3" i="35"/>
  <c r="I17" i="35" s="1"/>
  <c r="I3" i="31"/>
  <c r="I17" i="31" s="1"/>
  <c r="T27" i="14"/>
  <c r="L102" i="14"/>
  <c r="M97" i="14"/>
  <c r="M39" i="14"/>
  <c r="L94" i="14"/>
  <c r="M89" i="14"/>
  <c r="L78" i="14"/>
  <c r="M74" i="14"/>
  <c r="K70" i="14"/>
  <c r="L67" i="14"/>
  <c r="M86" i="14"/>
  <c r="N81" i="14"/>
  <c r="L46" i="14"/>
  <c r="U7" i="14"/>
  <c r="K33" i="14"/>
  <c r="I2" i="39" s="1"/>
  <c r="I14" i="39" s="1"/>
  <c r="K61" i="14"/>
  <c r="J64" i="14"/>
  <c r="U21" i="14"/>
  <c r="L109" i="14"/>
  <c r="K51" i="14"/>
  <c r="L58" i="14"/>
  <c r="I10" i="35" l="1"/>
  <c r="I11" i="33"/>
  <c r="I18" i="32"/>
  <c r="I14" i="31"/>
  <c r="I11" i="34"/>
  <c r="I18" i="33"/>
  <c r="I14" i="32"/>
  <c r="I19" i="31"/>
  <c r="I11" i="35"/>
  <c r="I18" i="34"/>
  <c r="I14" i="33"/>
  <c r="I19" i="32"/>
  <c r="I18" i="35"/>
  <c r="I14" i="34"/>
  <c r="I19" i="33"/>
  <c r="I14" i="35"/>
  <c r="I19" i="34"/>
  <c r="I19" i="35"/>
  <c r="I10" i="32"/>
  <c r="I10" i="33"/>
  <c r="I11" i="31"/>
  <c r="I10" i="34"/>
  <c r="I10" i="29"/>
  <c r="I11" i="32"/>
  <c r="I10" i="30"/>
  <c r="I18" i="29"/>
  <c r="I18" i="31"/>
  <c r="I11" i="29"/>
  <c r="I10" i="31"/>
  <c r="I11" i="30"/>
  <c r="I18" i="30"/>
  <c r="I14" i="29"/>
  <c r="I14" i="30"/>
  <c r="I19" i="29"/>
  <c r="I19" i="30"/>
  <c r="H4" i="34"/>
  <c r="H4" i="30"/>
  <c r="H4" i="29"/>
  <c r="H4" i="33"/>
  <c r="H4" i="35"/>
  <c r="H4" i="32"/>
  <c r="H4" i="31"/>
  <c r="J3" i="33"/>
  <c r="J17" i="33" s="1"/>
  <c r="J3" i="29"/>
  <c r="J17" i="29" s="1"/>
  <c r="J3" i="34"/>
  <c r="J17" i="34" s="1"/>
  <c r="J3" i="30"/>
  <c r="J17" i="30" s="1"/>
  <c r="J3" i="32"/>
  <c r="J17" i="32" s="1"/>
  <c r="J3" i="35"/>
  <c r="J17" i="35" s="1"/>
  <c r="J3" i="31"/>
  <c r="J17" i="31" s="1"/>
  <c r="U27" i="14"/>
  <c r="M94" i="14"/>
  <c r="N89" i="14"/>
  <c r="L61" i="14"/>
  <c r="K64" i="14"/>
  <c r="V7" i="14"/>
  <c r="M102" i="14"/>
  <c r="N97" i="14"/>
  <c r="N86" i="14"/>
  <c r="O81" i="14"/>
  <c r="L33" i="14"/>
  <c r="J2" i="39" s="1"/>
  <c r="J14" i="39" s="1"/>
  <c r="N39" i="14"/>
  <c r="L70" i="14"/>
  <c r="M67" i="14"/>
  <c r="M46" i="14"/>
  <c r="M78" i="14"/>
  <c r="N74" i="14"/>
  <c r="M109" i="14"/>
  <c r="M58" i="14"/>
  <c r="L51" i="14"/>
  <c r="J11" i="34" l="1"/>
  <c r="J18" i="33"/>
  <c r="J14" i="32"/>
  <c r="J19" i="31"/>
  <c r="J11" i="35"/>
  <c r="J18" i="34"/>
  <c r="J14" i="33"/>
  <c r="J19" i="32"/>
  <c r="J18" i="35"/>
  <c r="J14" i="34"/>
  <c r="J19" i="33"/>
  <c r="J14" i="35"/>
  <c r="J19" i="34"/>
  <c r="J19" i="35"/>
  <c r="J10" i="32"/>
  <c r="J10" i="33"/>
  <c r="J11" i="31"/>
  <c r="J10" i="34"/>
  <c r="J11" i="32"/>
  <c r="J18" i="31"/>
  <c r="J10" i="30"/>
  <c r="J11" i="29"/>
  <c r="J11" i="33"/>
  <c r="J18" i="32"/>
  <c r="J10" i="31"/>
  <c r="J11" i="30"/>
  <c r="J18" i="29"/>
  <c r="J14" i="29"/>
  <c r="J14" i="31"/>
  <c r="J18" i="30"/>
  <c r="J14" i="30"/>
  <c r="J19" i="29"/>
  <c r="J19" i="30"/>
  <c r="J10" i="29"/>
  <c r="J10" i="35"/>
  <c r="I4" i="34"/>
  <c r="I4" i="30"/>
  <c r="I4" i="33"/>
  <c r="I4" i="29"/>
  <c r="I4" i="32"/>
  <c r="I4" i="35"/>
  <c r="I4" i="31"/>
  <c r="K3" i="33"/>
  <c r="K17" i="33" s="1"/>
  <c r="K3" i="34"/>
  <c r="K17" i="34" s="1"/>
  <c r="K3" i="30"/>
  <c r="K17" i="30" s="1"/>
  <c r="K3" i="35"/>
  <c r="K17" i="35" s="1"/>
  <c r="K3" i="31"/>
  <c r="K17" i="31" s="1"/>
  <c r="K3" i="29"/>
  <c r="K17" i="29" s="1"/>
  <c r="K3" i="32"/>
  <c r="K17" i="32" s="1"/>
  <c r="V27" i="14"/>
  <c r="O86" i="14"/>
  <c r="P81" i="14"/>
  <c r="N46" i="14"/>
  <c r="L64" i="14"/>
  <c r="M61" i="14"/>
  <c r="W21" i="14"/>
  <c r="M70" i="14"/>
  <c r="N67" i="14"/>
  <c r="W7" i="14"/>
  <c r="N102" i="14"/>
  <c r="O97" i="14"/>
  <c r="N94" i="14"/>
  <c r="O89" i="14"/>
  <c r="M33" i="14"/>
  <c r="K2" i="39" s="1"/>
  <c r="K14" i="39" s="1"/>
  <c r="O74" i="14"/>
  <c r="N78" i="14"/>
  <c r="O39" i="14"/>
  <c r="N109" i="14"/>
  <c r="M51" i="14"/>
  <c r="N58" i="14"/>
  <c r="K11" i="35" l="1"/>
  <c r="K18" i="34"/>
  <c r="K14" i="33"/>
  <c r="K19" i="32"/>
  <c r="K18" i="35"/>
  <c r="K14" i="34"/>
  <c r="K19" i="33"/>
  <c r="K14" i="35"/>
  <c r="K19" i="34"/>
  <c r="K19" i="35"/>
  <c r="K10" i="32"/>
  <c r="K10" i="33"/>
  <c r="K10" i="34"/>
  <c r="K11" i="32"/>
  <c r="K18" i="31"/>
  <c r="K10" i="35"/>
  <c r="K11" i="33"/>
  <c r="K18" i="32"/>
  <c r="K14" i="31"/>
  <c r="K11" i="29"/>
  <c r="K10" i="31"/>
  <c r="K11" i="30"/>
  <c r="K18" i="29"/>
  <c r="K11" i="34"/>
  <c r="K11" i="31"/>
  <c r="K18" i="30"/>
  <c r="K14" i="29"/>
  <c r="K19" i="29"/>
  <c r="K18" i="33"/>
  <c r="K14" i="32"/>
  <c r="K14" i="30"/>
  <c r="K19" i="31"/>
  <c r="K19" i="30"/>
  <c r="K10" i="30"/>
  <c r="K10" i="29"/>
  <c r="J4" i="29"/>
  <c r="J4" i="34"/>
  <c r="J4" i="30"/>
  <c r="J4" i="32"/>
  <c r="J4" i="35"/>
  <c r="J4" i="31"/>
  <c r="J4" i="33"/>
  <c r="L3" i="34"/>
  <c r="L17" i="34" s="1"/>
  <c r="L3" i="30"/>
  <c r="L17" i="30" s="1"/>
  <c r="L3" i="33"/>
  <c r="L17" i="33" s="1"/>
  <c r="L3" i="35"/>
  <c r="L17" i="35" s="1"/>
  <c r="L3" i="31"/>
  <c r="L17" i="31" s="1"/>
  <c r="L3" i="32"/>
  <c r="L17" i="32" s="1"/>
  <c r="L3" i="29"/>
  <c r="L17" i="29" s="1"/>
  <c r="W27" i="14"/>
  <c r="O94" i="14"/>
  <c r="P89" i="14"/>
  <c r="N61" i="14"/>
  <c r="M64" i="14"/>
  <c r="X21" i="14"/>
  <c r="O78" i="14"/>
  <c r="P74" i="14"/>
  <c r="N33" i="14"/>
  <c r="L2" i="39" s="1"/>
  <c r="L14" i="39" s="1"/>
  <c r="X7" i="14"/>
  <c r="O46" i="14"/>
  <c r="N70" i="14"/>
  <c r="O67" i="14"/>
  <c r="Q81" i="14"/>
  <c r="P86" i="14"/>
  <c r="O102" i="14"/>
  <c r="P97" i="14"/>
  <c r="P39" i="14"/>
  <c r="O109" i="14"/>
  <c r="O58" i="14"/>
  <c r="N51" i="14"/>
  <c r="L18" i="35" l="1"/>
  <c r="L14" i="34"/>
  <c r="L19" i="33"/>
  <c r="L14" i="35"/>
  <c r="L19" i="34"/>
  <c r="L19" i="35"/>
  <c r="L10" i="32"/>
  <c r="L10" i="33"/>
  <c r="L11" i="31"/>
  <c r="L10" i="34"/>
  <c r="L11" i="32"/>
  <c r="L18" i="31"/>
  <c r="L10" i="35"/>
  <c r="L11" i="33"/>
  <c r="L18" i="32"/>
  <c r="L14" i="31"/>
  <c r="L11" i="34"/>
  <c r="L18" i="33"/>
  <c r="L14" i="32"/>
  <c r="L19" i="31"/>
  <c r="L10" i="31"/>
  <c r="L11" i="30"/>
  <c r="L18" i="29"/>
  <c r="L11" i="35"/>
  <c r="L18" i="30"/>
  <c r="L14" i="29"/>
  <c r="L11" i="29"/>
  <c r="L18" i="34"/>
  <c r="L14" i="30"/>
  <c r="L19" i="29"/>
  <c r="L19" i="30"/>
  <c r="L14" i="33"/>
  <c r="L19" i="32"/>
  <c r="L10" i="29"/>
  <c r="L10" i="30"/>
  <c r="K4" i="33"/>
  <c r="K4" i="29"/>
  <c r="K4" i="32"/>
  <c r="K4" i="35"/>
  <c r="K4" i="31"/>
  <c r="K4" i="30"/>
  <c r="K4" i="34"/>
  <c r="M3" i="35"/>
  <c r="M17" i="35" s="1"/>
  <c r="M3" i="31"/>
  <c r="M17" i="31" s="1"/>
  <c r="M3" i="32"/>
  <c r="M17" i="32" s="1"/>
  <c r="M3" i="34"/>
  <c r="M17" i="34" s="1"/>
  <c r="M3" i="30"/>
  <c r="M17" i="30" s="1"/>
  <c r="M3" i="33"/>
  <c r="M17" i="33" s="1"/>
  <c r="M3" i="29"/>
  <c r="M17" i="29" s="1"/>
  <c r="X27" i="14"/>
  <c r="P46" i="14"/>
  <c r="P78" i="14"/>
  <c r="Q74" i="14"/>
  <c r="Q97" i="14"/>
  <c r="P102" i="14"/>
  <c r="Y21" i="14"/>
  <c r="O70" i="14"/>
  <c r="P67" i="14"/>
  <c r="P94" i="14"/>
  <c r="Q89" i="14"/>
  <c r="Y7" i="14"/>
  <c r="O33" i="14"/>
  <c r="M2" i="39" s="1"/>
  <c r="M14" i="39" s="1"/>
  <c r="Q86" i="14"/>
  <c r="R81" i="14"/>
  <c r="N64" i="14"/>
  <c r="O61" i="14"/>
  <c r="Q39" i="14"/>
  <c r="P109" i="14"/>
  <c r="O51" i="14"/>
  <c r="P58" i="14"/>
  <c r="M14" i="35" l="1"/>
  <c r="M19" i="34"/>
  <c r="M19" i="35"/>
  <c r="M10" i="32"/>
  <c r="M10" i="33"/>
  <c r="M10" i="34"/>
  <c r="M11" i="32"/>
  <c r="M18" i="31"/>
  <c r="M10" i="35"/>
  <c r="M11" i="33"/>
  <c r="M18" i="32"/>
  <c r="M14" i="31"/>
  <c r="M11" i="34"/>
  <c r="M18" i="33"/>
  <c r="M14" i="32"/>
  <c r="M19" i="31"/>
  <c r="M11" i="35"/>
  <c r="M18" i="34"/>
  <c r="M14" i="33"/>
  <c r="M19" i="32"/>
  <c r="M18" i="35"/>
  <c r="M18" i="30"/>
  <c r="M14" i="29"/>
  <c r="M11" i="31"/>
  <c r="M14" i="30"/>
  <c r="M19" i="29"/>
  <c r="M19" i="30"/>
  <c r="M14" i="34"/>
  <c r="M18" i="29"/>
  <c r="M19" i="33"/>
  <c r="M10" i="29"/>
  <c r="M10" i="30"/>
  <c r="M11" i="30"/>
  <c r="M11" i="29"/>
  <c r="M10" i="31"/>
  <c r="L4" i="32"/>
  <c r="L4" i="35"/>
  <c r="L4" i="31"/>
  <c r="L4" i="29"/>
  <c r="L4" i="34"/>
  <c r="L4" i="33"/>
  <c r="L4" i="30"/>
  <c r="N3" i="35"/>
  <c r="N17" i="35" s="1"/>
  <c r="N3" i="31"/>
  <c r="N17" i="31" s="1"/>
  <c r="N3" i="32"/>
  <c r="N17" i="32" s="1"/>
  <c r="N3" i="29"/>
  <c r="N17" i="29" s="1"/>
  <c r="N3" i="33"/>
  <c r="N17" i="33" s="1"/>
  <c r="N3" i="30"/>
  <c r="N17" i="30" s="1"/>
  <c r="N3" i="34"/>
  <c r="N17" i="34" s="1"/>
  <c r="Y27" i="14"/>
  <c r="Z21" i="14"/>
  <c r="R97" i="14"/>
  <c r="Q102" i="14"/>
  <c r="O64" i="14"/>
  <c r="P61" i="14"/>
  <c r="Q94" i="14"/>
  <c r="R89" i="14"/>
  <c r="Q78" i="14"/>
  <c r="R74" i="14"/>
  <c r="R86" i="14"/>
  <c r="S81" i="14"/>
  <c r="P70" i="14"/>
  <c r="Q67" i="14"/>
  <c r="Q46" i="14"/>
  <c r="Z7" i="14"/>
  <c r="R39" i="14"/>
  <c r="P33" i="14"/>
  <c r="N2" i="39" s="1"/>
  <c r="N14" i="39" s="1"/>
  <c r="Q109" i="14"/>
  <c r="Q58" i="14"/>
  <c r="P51" i="14"/>
  <c r="N19" i="35" l="1"/>
  <c r="N10" i="32"/>
  <c r="N10" i="33"/>
  <c r="N11" i="31"/>
  <c r="N10" i="34"/>
  <c r="N11" i="32"/>
  <c r="N18" i="31"/>
  <c r="N10" i="35"/>
  <c r="N11" i="33"/>
  <c r="N18" i="32"/>
  <c r="N14" i="31"/>
  <c r="N11" i="34"/>
  <c r="N18" i="33"/>
  <c r="N14" i="32"/>
  <c r="N19" i="31"/>
  <c r="N11" i="35"/>
  <c r="N18" i="34"/>
  <c r="N14" i="33"/>
  <c r="N19" i="32"/>
  <c r="N18" i="35"/>
  <c r="N14" i="34"/>
  <c r="N19" i="33"/>
  <c r="N14" i="30"/>
  <c r="N19" i="29"/>
  <c r="N19" i="30"/>
  <c r="N10" i="29"/>
  <c r="N14" i="35"/>
  <c r="N19" i="34"/>
  <c r="N14" i="29"/>
  <c r="N10" i="30"/>
  <c r="N11" i="29"/>
  <c r="N10" i="31"/>
  <c r="N11" i="30"/>
  <c r="N18" i="29"/>
  <c r="N18" i="30"/>
  <c r="M4" i="32"/>
  <c r="M4" i="35"/>
  <c r="M4" i="31"/>
  <c r="M4" i="34"/>
  <c r="M4" i="30"/>
  <c r="M4" i="33"/>
  <c r="M4" i="29"/>
  <c r="O3" i="32"/>
  <c r="O17" i="32" s="1"/>
  <c r="O3" i="35"/>
  <c r="O17" i="35" s="1"/>
  <c r="O3" i="31"/>
  <c r="O17" i="31" s="1"/>
  <c r="O3" i="33"/>
  <c r="O17" i="33" s="1"/>
  <c r="O3" i="29"/>
  <c r="O17" i="29" s="1"/>
  <c r="O3" i="34"/>
  <c r="O17" i="34" s="1"/>
  <c r="O3" i="30"/>
  <c r="O17" i="30" s="1"/>
  <c r="Z27" i="14"/>
  <c r="R102" i="14"/>
  <c r="S97" i="14"/>
  <c r="R46" i="14"/>
  <c r="Q61" i="14"/>
  <c r="P64" i="14"/>
  <c r="R78" i="14"/>
  <c r="S74" i="14"/>
  <c r="AA21" i="14"/>
  <c r="R94" i="14"/>
  <c r="S89" i="14"/>
  <c r="R67" i="14"/>
  <c r="Q70" i="14"/>
  <c r="S39" i="14"/>
  <c r="T81" i="14"/>
  <c r="S86" i="14"/>
  <c r="AA7" i="14"/>
  <c r="Q33" i="14"/>
  <c r="O2" i="39" s="1"/>
  <c r="O14" i="39" s="1"/>
  <c r="R109" i="14"/>
  <c r="Q51" i="14"/>
  <c r="R58" i="14"/>
  <c r="O10" i="33" l="1"/>
  <c r="O11" i="31"/>
  <c r="O10" i="34"/>
  <c r="O11" i="32"/>
  <c r="O18" i="31"/>
  <c r="O10" i="35"/>
  <c r="O11" i="33"/>
  <c r="O18" i="32"/>
  <c r="O14" i="31"/>
  <c r="O11" i="34"/>
  <c r="O18" i="33"/>
  <c r="O14" i="32"/>
  <c r="O19" i="31"/>
  <c r="O11" i="35"/>
  <c r="O18" i="34"/>
  <c r="O14" i="33"/>
  <c r="O19" i="32"/>
  <c r="O18" i="35"/>
  <c r="O14" i="34"/>
  <c r="O19" i="33"/>
  <c r="O14" i="35"/>
  <c r="O19" i="34"/>
  <c r="O10" i="31"/>
  <c r="O19" i="30"/>
  <c r="O19" i="35"/>
  <c r="O10" i="29"/>
  <c r="O10" i="30"/>
  <c r="O11" i="29"/>
  <c r="O14" i="30"/>
  <c r="O11" i="30"/>
  <c r="O18" i="29"/>
  <c r="O19" i="29"/>
  <c r="O18" i="30"/>
  <c r="O14" i="29"/>
  <c r="O10" i="32"/>
  <c r="N4" i="35"/>
  <c r="N4" i="31"/>
  <c r="N4" i="34"/>
  <c r="N4" i="30"/>
  <c r="N4" i="29"/>
  <c r="N4" i="32"/>
  <c r="N4" i="33"/>
  <c r="P3" i="32"/>
  <c r="P17" i="32" s="1"/>
  <c r="P3" i="31"/>
  <c r="P17" i="31" s="1"/>
  <c r="P3" i="33"/>
  <c r="P17" i="33" s="1"/>
  <c r="P3" i="29"/>
  <c r="P17" i="29" s="1"/>
  <c r="P3" i="35"/>
  <c r="P17" i="35" s="1"/>
  <c r="P3" i="34"/>
  <c r="P17" i="34" s="1"/>
  <c r="P3" i="30"/>
  <c r="P17" i="30" s="1"/>
  <c r="AA27" i="14"/>
  <c r="T89" i="14"/>
  <c r="S94" i="14"/>
  <c r="R70" i="14"/>
  <c r="S67" i="14"/>
  <c r="T86" i="14"/>
  <c r="U81" i="14"/>
  <c r="Q64" i="14"/>
  <c r="R61" i="14"/>
  <c r="AB7" i="14"/>
  <c r="S78" i="14"/>
  <c r="T74" i="14"/>
  <c r="S102" i="14"/>
  <c r="T97" i="14"/>
  <c r="AB21" i="14"/>
  <c r="S46" i="14"/>
  <c r="T39" i="14"/>
  <c r="R33" i="14"/>
  <c r="P2" i="39" s="1"/>
  <c r="P14" i="39" s="1"/>
  <c r="S109" i="14"/>
  <c r="S58" i="14"/>
  <c r="R51" i="14"/>
  <c r="P10" i="34" l="1"/>
  <c r="P11" i="32"/>
  <c r="P18" i="31"/>
  <c r="P10" i="35"/>
  <c r="P11" i="33"/>
  <c r="P18" i="32"/>
  <c r="P14" i="31"/>
  <c r="P11" i="34"/>
  <c r="P18" i="33"/>
  <c r="P14" i="32"/>
  <c r="P19" i="31"/>
  <c r="P11" i="35"/>
  <c r="P18" i="34"/>
  <c r="P14" i="33"/>
  <c r="P19" i="32"/>
  <c r="P18" i="35"/>
  <c r="P14" i="34"/>
  <c r="P19" i="33"/>
  <c r="P14" i="35"/>
  <c r="P19" i="34"/>
  <c r="P10" i="31"/>
  <c r="P19" i="35"/>
  <c r="P10" i="32"/>
  <c r="P11" i="31"/>
  <c r="P10" i="29"/>
  <c r="P10" i="30"/>
  <c r="P11" i="29"/>
  <c r="P11" i="30"/>
  <c r="P18" i="29"/>
  <c r="P18" i="30"/>
  <c r="P14" i="29"/>
  <c r="P19" i="30"/>
  <c r="P14" i="30"/>
  <c r="P19" i="29"/>
  <c r="P10" i="33"/>
  <c r="O4" i="31"/>
  <c r="O4" i="29"/>
  <c r="O4" i="34"/>
  <c r="O4" i="32"/>
  <c r="O4" i="30"/>
  <c r="O4" i="33"/>
  <c r="O4" i="35"/>
  <c r="Q3" i="33"/>
  <c r="Q17" i="33" s="1"/>
  <c r="Q3" i="29"/>
  <c r="Q17" i="29" s="1"/>
  <c r="Q3" i="34"/>
  <c r="Q17" i="34" s="1"/>
  <c r="Q3" i="30"/>
  <c r="Q17" i="30" s="1"/>
  <c r="Q3" i="35"/>
  <c r="Q17" i="35" s="1"/>
  <c r="Q3" i="31"/>
  <c r="Q17" i="31" s="1"/>
  <c r="Q3" i="32"/>
  <c r="Q17" i="32" s="1"/>
  <c r="AB27" i="14"/>
  <c r="U86" i="14"/>
  <c r="V81" i="14"/>
  <c r="T94" i="14"/>
  <c r="U89" i="14"/>
  <c r="S33" i="14"/>
  <c r="Q2" i="39" s="1"/>
  <c r="Q14" i="39" s="1"/>
  <c r="U39" i="14"/>
  <c r="T46" i="14"/>
  <c r="AC7" i="14"/>
  <c r="S70" i="14"/>
  <c r="T67" i="14"/>
  <c r="U97" i="14"/>
  <c r="T102" i="14"/>
  <c r="T78" i="14"/>
  <c r="U74" i="14"/>
  <c r="AC21" i="14"/>
  <c r="R64" i="14"/>
  <c r="S61" i="14"/>
  <c r="T109" i="14"/>
  <c r="T58" i="14"/>
  <c r="S51" i="14"/>
  <c r="Q10" i="35" l="1"/>
  <c r="Q11" i="33"/>
  <c r="Q18" i="32"/>
  <c r="Q14" i="31"/>
  <c r="Q11" i="34"/>
  <c r="Q18" i="33"/>
  <c r="Q14" i="32"/>
  <c r="Q19" i="31"/>
  <c r="Q11" i="35"/>
  <c r="Q18" i="34"/>
  <c r="Q14" i="33"/>
  <c r="Q19" i="32"/>
  <c r="Q18" i="35"/>
  <c r="Q14" i="34"/>
  <c r="Q19" i="33"/>
  <c r="Q14" i="35"/>
  <c r="Q19" i="34"/>
  <c r="Q19" i="35"/>
  <c r="Q10" i="32"/>
  <c r="Q10" i="33"/>
  <c r="Q11" i="31"/>
  <c r="Q11" i="32"/>
  <c r="Q10" i="29"/>
  <c r="Q18" i="31"/>
  <c r="Q10" i="30"/>
  <c r="Q11" i="29"/>
  <c r="Q18" i="29"/>
  <c r="Q11" i="30"/>
  <c r="Q18" i="30"/>
  <c r="Q14" i="29"/>
  <c r="Q10" i="31"/>
  <c r="Q14" i="30"/>
  <c r="Q19" i="29"/>
  <c r="Q10" i="34"/>
  <c r="Q19" i="30"/>
  <c r="P4" i="29"/>
  <c r="P4" i="31"/>
  <c r="P4" i="34"/>
  <c r="P4" i="30"/>
  <c r="P4" i="33"/>
  <c r="P4" i="32"/>
  <c r="P4" i="35"/>
  <c r="R3" i="33"/>
  <c r="R17" i="33" s="1"/>
  <c r="R3" i="29"/>
  <c r="R17" i="29" s="1"/>
  <c r="R3" i="32"/>
  <c r="R17" i="32" s="1"/>
  <c r="R3" i="34"/>
  <c r="R17" i="34" s="1"/>
  <c r="R3" i="30"/>
  <c r="R17" i="30" s="1"/>
  <c r="R3" i="35"/>
  <c r="R17" i="35" s="1"/>
  <c r="R3" i="31"/>
  <c r="R17" i="31" s="1"/>
  <c r="AC27" i="14"/>
  <c r="V39" i="14"/>
  <c r="U102" i="14"/>
  <c r="V97" i="14"/>
  <c r="AD21" i="14"/>
  <c r="T70" i="14"/>
  <c r="U67" i="14"/>
  <c r="AD7" i="14"/>
  <c r="U94" i="14"/>
  <c r="V89" i="14"/>
  <c r="T33" i="14"/>
  <c r="R2" i="39" s="1"/>
  <c r="R14" i="39" s="1"/>
  <c r="U78" i="14"/>
  <c r="V74" i="14"/>
  <c r="U46" i="14"/>
  <c r="V86" i="14"/>
  <c r="W81" i="14"/>
  <c r="S64" i="14"/>
  <c r="T61" i="14"/>
  <c r="U109" i="14"/>
  <c r="T51" i="14"/>
  <c r="U58" i="14"/>
  <c r="R11" i="34" l="1"/>
  <c r="R18" i="33"/>
  <c r="R14" i="32"/>
  <c r="R19" i="31"/>
  <c r="R11" i="35"/>
  <c r="R18" i="34"/>
  <c r="R14" i="33"/>
  <c r="R19" i="32"/>
  <c r="R18" i="35"/>
  <c r="R14" i="34"/>
  <c r="R19" i="33"/>
  <c r="R14" i="35"/>
  <c r="R19" i="34"/>
  <c r="R10" i="31"/>
  <c r="R19" i="35"/>
  <c r="R10" i="32"/>
  <c r="R10" i="33"/>
  <c r="R11" i="31"/>
  <c r="R10" i="34"/>
  <c r="R11" i="32"/>
  <c r="R18" i="31"/>
  <c r="R10" i="30"/>
  <c r="R11" i="33"/>
  <c r="R18" i="32"/>
  <c r="R11" i="29"/>
  <c r="R14" i="31"/>
  <c r="R11" i="30"/>
  <c r="R18" i="29"/>
  <c r="R18" i="30"/>
  <c r="R14" i="29"/>
  <c r="R14" i="30"/>
  <c r="R19" i="29"/>
  <c r="R10" i="29"/>
  <c r="R19" i="30"/>
  <c r="R10" i="35"/>
  <c r="Q4" i="30"/>
  <c r="Q4" i="33"/>
  <c r="Q4" i="29"/>
  <c r="Q4" i="31"/>
  <c r="Q4" i="35"/>
  <c r="Q4" i="32"/>
  <c r="Q4" i="34"/>
  <c r="S3" i="29"/>
  <c r="S17" i="29" s="1"/>
  <c r="S3" i="34"/>
  <c r="S17" i="34" s="1"/>
  <c r="S3" i="30"/>
  <c r="S17" i="30" s="1"/>
  <c r="S3" i="35"/>
  <c r="S17" i="35" s="1"/>
  <c r="S3" i="31"/>
  <c r="S17" i="31" s="1"/>
  <c r="S3" i="32"/>
  <c r="S17" i="32" s="1"/>
  <c r="S3" i="33"/>
  <c r="S17" i="33" s="1"/>
  <c r="AD27" i="14"/>
  <c r="U70" i="14"/>
  <c r="V67" i="14"/>
  <c r="X81" i="14"/>
  <c r="W86" i="14"/>
  <c r="V46" i="14"/>
  <c r="V102" i="14"/>
  <c r="W97" i="14"/>
  <c r="V78" i="14"/>
  <c r="W74" i="14"/>
  <c r="AE7" i="14"/>
  <c r="U33" i="14"/>
  <c r="S2" i="39" s="1"/>
  <c r="S14" i="39" s="1"/>
  <c r="V94" i="14"/>
  <c r="W89" i="14"/>
  <c r="AE21" i="14"/>
  <c r="T64" i="14"/>
  <c r="U61" i="14"/>
  <c r="W39" i="14"/>
  <c r="V109" i="14"/>
  <c r="V58" i="14"/>
  <c r="U51" i="14"/>
  <c r="S11" i="35" l="1"/>
  <c r="S18" i="34"/>
  <c r="S14" i="33"/>
  <c r="S19" i="32"/>
  <c r="S18" i="35"/>
  <c r="S14" i="34"/>
  <c r="S19" i="33"/>
  <c r="S14" i="35"/>
  <c r="S19" i="34"/>
  <c r="S19" i="35"/>
  <c r="S10" i="32"/>
  <c r="S10" i="33"/>
  <c r="S11" i="31"/>
  <c r="S10" i="34"/>
  <c r="S11" i="32"/>
  <c r="S18" i="31"/>
  <c r="S10" i="35"/>
  <c r="S11" i="33"/>
  <c r="S18" i="32"/>
  <c r="S14" i="31"/>
  <c r="S11" i="29"/>
  <c r="S11" i="34"/>
  <c r="S11" i="30"/>
  <c r="S18" i="29"/>
  <c r="S18" i="33"/>
  <c r="S14" i="32"/>
  <c r="S18" i="30"/>
  <c r="S14" i="29"/>
  <c r="S19" i="29"/>
  <c r="S10" i="30"/>
  <c r="S19" i="31"/>
  <c r="S14" i="30"/>
  <c r="S10" i="31"/>
  <c r="S19" i="30"/>
  <c r="S10" i="29"/>
  <c r="R4" i="33"/>
  <c r="R4" i="32"/>
  <c r="R4" i="30"/>
  <c r="R4" i="29"/>
  <c r="R4" i="35"/>
  <c r="R4" i="31"/>
  <c r="R4" i="34"/>
  <c r="T3" i="34"/>
  <c r="T17" i="34" s="1"/>
  <c r="T3" i="30"/>
  <c r="T17" i="30" s="1"/>
  <c r="T3" i="35"/>
  <c r="T17" i="35" s="1"/>
  <c r="T3" i="31"/>
  <c r="T17" i="31" s="1"/>
  <c r="T3" i="29"/>
  <c r="T17" i="29" s="1"/>
  <c r="T3" i="32"/>
  <c r="T17" i="32" s="1"/>
  <c r="T3" i="33"/>
  <c r="T17" i="33" s="1"/>
  <c r="AE27" i="14"/>
  <c r="W94" i="14"/>
  <c r="X89" i="14"/>
  <c r="W46" i="14"/>
  <c r="AG7" i="14"/>
  <c r="AF7" i="14"/>
  <c r="Y81" i="14"/>
  <c r="X86" i="14"/>
  <c r="X39" i="14"/>
  <c r="V33" i="14"/>
  <c r="T2" i="39" s="1"/>
  <c r="T14" i="39" s="1"/>
  <c r="AG21" i="14"/>
  <c r="AF21" i="14"/>
  <c r="W78" i="14"/>
  <c r="X74" i="14"/>
  <c r="V70" i="14"/>
  <c r="W67" i="14"/>
  <c r="X97" i="14"/>
  <c r="W102" i="14"/>
  <c r="V61" i="14"/>
  <c r="U64" i="14"/>
  <c r="W109" i="14"/>
  <c r="V51" i="14"/>
  <c r="W58" i="14"/>
  <c r="T18" i="35" l="1"/>
  <c r="T14" i="34"/>
  <c r="T19" i="33"/>
  <c r="T14" i="35"/>
  <c r="T19" i="34"/>
  <c r="T10" i="31"/>
  <c r="T19" i="35"/>
  <c r="T10" i="32"/>
  <c r="T10" i="33"/>
  <c r="T11" i="31"/>
  <c r="T10" i="34"/>
  <c r="T11" i="32"/>
  <c r="T18" i="31"/>
  <c r="T10" i="35"/>
  <c r="T11" i="33"/>
  <c r="T18" i="32"/>
  <c r="T14" i="31"/>
  <c r="T11" i="34"/>
  <c r="T18" i="33"/>
  <c r="T14" i="32"/>
  <c r="T19" i="31"/>
  <c r="T11" i="35"/>
  <c r="T11" i="30"/>
  <c r="T18" i="29"/>
  <c r="T18" i="34"/>
  <c r="T18" i="30"/>
  <c r="T14" i="29"/>
  <c r="T14" i="30"/>
  <c r="T19" i="29"/>
  <c r="T11" i="29"/>
  <c r="T14" i="33"/>
  <c r="T19" i="32"/>
  <c r="T19" i="30"/>
  <c r="T10" i="29"/>
  <c r="T10" i="30"/>
  <c r="S4" i="35"/>
  <c r="S4" i="31"/>
  <c r="S4" i="30"/>
  <c r="S4" i="32"/>
  <c r="S4" i="34"/>
  <c r="S4" i="29"/>
  <c r="S4" i="33"/>
  <c r="U3" i="35"/>
  <c r="U17" i="35" s="1"/>
  <c r="U3" i="31"/>
  <c r="U17" i="31" s="1"/>
  <c r="U3" i="34"/>
  <c r="U17" i="34" s="1"/>
  <c r="U3" i="32"/>
  <c r="U17" i="32" s="1"/>
  <c r="U3" i="33"/>
  <c r="U17" i="33" s="1"/>
  <c r="U3" i="29"/>
  <c r="U17" i="29" s="1"/>
  <c r="U3" i="30"/>
  <c r="U17" i="30" s="1"/>
  <c r="AG27" i="14"/>
  <c r="AF27" i="14"/>
  <c r="X102" i="14"/>
  <c r="Y97" i="14"/>
  <c r="X46" i="14"/>
  <c r="W70" i="14"/>
  <c r="X67" i="14"/>
  <c r="Y39" i="14"/>
  <c r="X94" i="14"/>
  <c r="Y89" i="14"/>
  <c r="X78" i="14"/>
  <c r="Y74" i="14"/>
  <c r="Y86" i="14"/>
  <c r="Z81" i="14"/>
  <c r="V64" i="14"/>
  <c r="W61" i="14"/>
  <c r="W33" i="14"/>
  <c r="U2" i="39" s="1"/>
  <c r="U14" i="39" s="1"/>
  <c r="X109" i="14"/>
  <c r="X58" i="14"/>
  <c r="W51" i="14"/>
  <c r="U14" i="35" l="1"/>
  <c r="U19" i="34"/>
  <c r="U10" i="31"/>
  <c r="U19" i="35"/>
  <c r="U10" i="32"/>
  <c r="U10" i="33"/>
  <c r="U11" i="31"/>
  <c r="U10" i="34"/>
  <c r="U11" i="32"/>
  <c r="U18" i="31"/>
  <c r="U10" i="35"/>
  <c r="U11" i="33"/>
  <c r="U18" i="32"/>
  <c r="U14" i="31"/>
  <c r="U11" i="34"/>
  <c r="U18" i="33"/>
  <c r="U14" i="32"/>
  <c r="U19" i="31"/>
  <c r="U11" i="35"/>
  <c r="U18" i="34"/>
  <c r="U14" i="33"/>
  <c r="U19" i="32"/>
  <c r="U18" i="30"/>
  <c r="U14" i="29"/>
  <c r="U14" i="30"/>
  <c r="U19" i="29"/>
  <c r="U18" i="29"/>
  <c r="U14" i="34"/>
  <c r="U19" i="30"/>
  <c r="U19" i="33"/>
  <c r="U10" i="29"/>
  <c r="U11" i="30"/>
  <c r="U10" i="30"/>
  <c r="U18" i="35"/>
  <c r="U11" i="29"/>
  <c r="T4" i="35"/>
  <c r="T4" i="31"/>
  <c r="T4" i="33"/>
  <c r="T4" i="30"/>
  <c r="T4" i="29"/>
  <c r="T4" i="34"/>
  <c r="T4" i="32"/>
  <c r="V3" i="35"/>
  <c r="V17" i="35" s="1"/>
  <c r="V3" i="31"/>
  <c r="V17" i="31" s="1"/>
  <c r="V3" i="32"/>
  <c r="V17" i="32" s="1"/>
  <c r="V3" i="33"/>
  <c r="V17" i="33" s="1"/>
  <c r="V3" i="29"/>
  <c r="V17" i="29" s="1"/>
  <c r="V3" i="34"/>
  <c r="V17" i="34" s="1"/>
  <c r="V3" i="30"/>
  <c r="V17" i="30" s="1"/>
  <c r="AA81" i="14"/>
  <c r="Z86" i="14"/>
  <c r="Z39" i="14"/>
  <c r="Y94" i="14"/>
  <c r="Z89" i="14"/>
  <c r="Y78" i="14"/>
  <c r="Z74" i="14"/>
  <c r="X33" i="14"/>
  <c r="V2" i="39" s="1"/>
  <c r="V14" i="39" s="1"/>
  <c r="Y102" i="14"/>
  <c r="Z97" i="14"/>
  <c r="X70" i="14"/>
  <c r="Y67" i="14"/>
  <c r="Y46" i="14"/>
  <c r="W64" i="14"/>
  <c r="X61" i="14"/>
  <c r="Y109" i="14"/>
  <c r="X51" i="14"/>
  <c r="Y58" i="14"/>
  <c r="V19" i="35" l="1"/>
  <c r="V10" i="32"/>
  <c r="V10" i="33"/>
  <c r="V11" i="31"/>
  <c r="V10" i="34"/>
  <c r="V11" i="32"/>
  <c r="V18" i="31"/>
  <c r="V10" i="35"/>
  <c r="V11" i="33"/>
  <c r="V18" i="32"/>
  <c r="V14" i="31"/>
  <c r="V11" i="34"/>
  <c r="V18" i="33"/>
  <c r="V14" i="32"/>
  <c r="V19" i="31"/>
  <c r="V11" i="35"/>
  <c r="V18" i="34"/>
  <c r="V14" i="33"/>
  <c r="V19" i="32"/>
  <c r="V18" i="35"/>
  <c r="V14" i="34"/>
  <c r="V19" i="33"/>
  <c r="V14" i="30"/>
  <c r="V19" i="29"/>
  <c r="V10" i="29"/>
  <c r="V14" i="35"/>
  <c r="V19" i="30"/>
  <c r="V19" i="34"/>
  <c r="V10" i="31"/>
  <c r="V10" i="30"/>
  <c r="V14" i="29"/>
  <c r="V11" i="29"/>
  <c r="V18" i="30"/>
  <c r="V11" i="30"/>
  <c r="V18" i="29"/>
  <c r="U4" i="35"/>
  <c r="U4" i="31"/>
  <c r="U4" i="29"/>
  <c r="U4" i="34"/>
  <c r="U4" i="30"/>
  <c r="U4" i="33"/>
  <c r="U4" i="32"/>
  <c r="W3" i="32"/>
  <c r="W17" i="32" s="1"/>
  <c r="W3" i="33"/>
  <c r="W17" i="33" s="1"/>
  <c r="W3" i="29"/>
  <c r="W17" i="29" s="1"/>
  <c r="W3" i="35"/>
  <c r="W17" i="35" s="1"/>
  <c r="W3" i="34"/>
  <c r="W17" i="34" s="1"/>
  <c r="W3" i="30"/>
  <c r="W17" i="30" s="1"/>
  <c r="W3" i="31"/>
  <c r="W17" i="31" s="1"/>
  <c r="Y70" i="14"/>
  <c r="Z67" i="14"/>
  <c r="AA89" i="14"/>
  <c r="Z94" i="14"/>
  <c r="Z46" i="14"/>
  <c r="Z102" i="14"/>
  <c r="AA97" i="14"/>
  <c r="AA39" i="14"/>
  <c r="X64" i="14"/>
  <c r="Y61" i="14"/>
  <c r="Y33" i="14"/>
  <c r="W2" i="39" s="1"/>
  <c r="W14" i="39" s="1"/>
  <c r="AA74" i="14"/>
  <c r="Z78" i="14"/>
  <c r="AA86" i="14"/>
  <c r="AB81" i="14"/>
  <c r="Z109" i="14"/>
  <c r="Z58" i="14"/>
  <c r="Y51" i="14"/>
  <c r="W10" i="33" l="1"/>
  <c r="W11" i="31"/>
  <c r="W10" i="34"/>
  <c r="W11" i="32"/>
  <c r="W18" i="31"/>
  <c r="W10" i="35"/>
  <c r="W11" i="33"/>
  <c r="W18" i="32"/>
  <c r="W14" i="31"/>
  <c r="W11" i="34"/>
  <c r="W18" i="33"/>
  <c r="W14" i="32"/>
  <c r="W19" i="31"/>
  <c r="W11" i="35"/>
  <c r="W18" i="34"/>
  <c r="W14" i="33"/>
  <c r="W19" i="32"/>
  <c r="W18" i="35"/>
  <c r="W14" i="34"/>
  <c r="W19" i="33"/>
  <c r="W14" i="35"/>
  <c r="W19" i="34"/>
  <c r="W10" i="31"/>
  <c r="W19" i="35"/>
  <c r="W19" i="30"/>
  <c r="W19" i="29"/>
  <c r="W10" i="29"/>
  <c r="W10" i="30"/>
  <c r="W11" i="29"/>
  <c r="W11" i="30"/>
  <c r="W18" i="29"/>
  <c r="W10" i="32"/>
  <c r="W18" i="30"/>
  <c r="W14" i="29"/>
  <c r="W14" i="30"/>
  <c r="V4" i="32"/>
  <c r="V4" i="35"/>
  <c r="V4" i="31"/>
  <c r="V4" i="34"/>
  <c r="V4" i="30"/>
  <c r="V4" i="33"/>
  <c r="V4" i="29"/>
  <c r="X3" i="32"/>
  <c r="X17" i="32" s="1"/>
  <c r="X3" i="35"/>
  <c r="X17" i="35" s="1"/>
  <c r="X3" i="33"/>
  <c r="X17" i="33" s="1"/>
  <c r="X3" i="29"/>
  <c r="X17" i="29" s="1"/>
  <c r="X3" i="34"/>
  <c r="X17" i="34" s="1"/>
  <c r="X3" i="30"/>
  <c r="X17" i="30" s="1"/>
  <c r="X3" i="31"/>
  <c r="X17" i="31" s="1"/>
  <c r="AB74" i="14"/>
  <c r="AA78" i="14"/>
  <c r="Y64" i="14"/>
  <c r="Z61" i="14"/>
  <c r="AA46" i="14"/>
  <c r="AC81" i="14"/>
  <c r="AB86" i="14"/>
  <c r="AB89" i="14"/>
  <c r="AA94" i="14"/>
  <c r="AB97" i="14"/>
  <c r="AA102" i="14"/>
  <c r="Z33" i="14"/>
  <c r="X2" i="39" s="1"/>
  <c r="X14" i="39" s="1"/>
  <c r="Z70" i="14"/>
  <c r="AA67" i="14"/>
  <c r="AB39" i="14"/>
  <c r="AA109" i="14"/>
  <c r="Z51" i="14"/>
  <c r="AA58" i="14"/>
  <c r="X10" i="34" l="1"/>
  <c r="X11" i="32"/>
  <c r="X18" i="31"/>
  <c r="X10" i="35"/>
  <c r="X11" i="33"/>
  <c r="X18" i="32"/>
  <c r="X14" i="31"/>
  <c r="X11" i="34"/>
  <c r="X18" i="33"/>
  <c r="X14" i="32"/>
  <c r="X19" i="31"/>
  <c r="X11" i="35"/>
  <c r="X18" i="34"/>
  <c r="X14" i="33"/>
  <c r="X19" i="32"/>
  <c r="X18" i="35"/>
  <c r="X14" i="34"/>
  <c r="X19" i="33"/>
  <c r="X14" i="35"/>
  <c r="X19" i="34"/>
  <c r="X10" i="31"/>
  <c r="X19" i="35"/>
  <c r="X10" i="32"/>
  <c r="X10" i="29"/>
  <c r="X11" i="29"/>
  <c r="X10" i="30"/>
  <c r="X11" i="30"/>
  <c r="X18" i="29"/>
  <c r="X19" i="30"/>
  <c r="X18" i="30"/>
  <c r="X14" i="29"/>
  <c r="X11" i="31"/>
  <c r="X10" i="33"/>
  <c r="X14" i="30"/>
  <c r="X19" i="29"/>
  <c r="W4" i="35"/>
  <c r="W4" i="31"/>
  <c r="W4" i="34"/>
  <c r="W4" i="30"/>
  <c r="W4" i="29"/>
  <c r="W4" i="33"/>
  <c r="W4" i="32"/>
  <c r="Y3" i="32"/>
  <c r="Y17" i="32" s="1"/>
  <c r="Y3" i="33"/>
  <c r="Y17" i="33" s="1"/>
  <c r="Y3" i="29"/>
  <c r="Y17" i="29" s="1"/>
  <c r="Y3" i="34"/>
  <c r="Y17" i="34" s="1"/>
  <c r="Y3" i="30"/>
  <c r="Y17" i="30" s="1"/>
  <c r="Y3" i="35"/>
  <c r="Y17" i="35" s="1"/>
  <c r="Y3" i="31"/>
  <c r="Y17" i="31" s="1"/>
  <c r="AA33" i="14"/>
  <c r="Y2" i="39" s="1"/>
  <c r="Y14" i="39" s="1"/>
  <c r="AB46" i="14"/>
  <c r="AA70" i="14"/>
  <c r="AB67" i="14"/>
  <c r="Z64" i="14"/>
  <c r="AA61" i="14"/>
  <c r="AB102" i="14"/>
  <c r="AC97" i="14"/>
  <c r="AC86" i="14"/>
  <c r="AD81" i="14"/>
  <c r="AC39" i="14"/>
  <c r="AB94" i="14"/>
  <c r="AC89" i="14"/>
  <c r="AC74" i="14"/>
  <c r="AB78" i="14"/>
  <c r="AB109" i="14"/>
  <c r="AB58" i="14"/>
  <c r="AA51" i="14"/>
  <c r="Y10" i="35" l="1"/>
  <c r="Y11" i="33"/>
  <c r="Y18" i="32"/>
  <c r="Y14" i="31"/>
  <c r="Y11" i="34"/>
  <c r="Y18" i="33"/>
  <c r="Y14" i="32"/>
  <c r="Y19" i="31"/>
  <c r="Y11" i="35"/>
  <c r="Y18" i="34"/>
  <c r="Y14" i="33"/>
  <c r="Y19" i="32"/>
  <c r="Y18" i="35"/>
  <c r="Y14" i="34"/>
  <c r="Y19" i="33"/>
  <c r="Y14" i="35"/>
  <c r="Y19" i="34"/>
  <c r="Y19" i="35"/>
  <c r="Y10" i="32"/>
  <c r="Y10" i="33"/>
  <c r="Y11" i="31"/>
  <c r="Y18" i="31"/>
  <c r="Y10" i="29"/>
  <c r="Y10" i="30"/>
  <c r="Y10" i="31"/>
  <c r="Y11" i="29"/>
  <c r="Y18" i="29"/>
  <c r="Y11" i="30"/>
  <c r="Y18" i="30"/>
  <c r="Y14" i="29"/>
  <c r="Y14" i="30"/>
  <c r="Y19" i="29"/>
  <c r="Y11" i="32"/>
  <c r="Y10" i="34"/>
  <c r="Y19" i="30"/>
  <c r="X4" i="35"/>
  <c r="X4" i="34"/>
  <c r="X4" i="30"/>
  <c r="X4" i="31"/>
  <c r="X4" i="33"/>
  <c r="X4" i="29"/>
  <c r="X4" i="32"/>
  <c r="Z3" i="33"/>
  <c r="Z17" i="33" s="1"/>
  <c r="Z3" i="29"/>
  <c r="Z17" i="29" s="1"/>
  <c r="Z3" i="34"/>
  <c r="Z17" i="34" s="1"/>
  <c r="Z3" i="30"/>
  <c r="Z17" i="30" s="1"/>
  <c r="Z3" i="35"/>
  <c r="Z17" i="35" s="1"/>
  <c r="Z3" i="31"/>
  <c r="Z17" i="31" s="1"/>
  <c r="Z3" i="32"/>
  <c r="Z17" i="32" s="1"/>
  <c r="AD39" i="14"/>
  <c r="AE81" i="14"/>
  <c r="AD86" i="14"/>
  <c r="AC46" i="14"/>
  <c r="AB70" i="14"/>
  <c r="AC67" i="14"/>
  <c r="AC78" i="14"/>
  <c r="AD74" i="14"/>
  <c r="AC102" i="14"/>
  <c r="AD97" i="14"/>
  <c r="AB33" i="14"/>
  <c r="Z2" i="39" s="1"/>
  <c r="Z14" i="39" s="1"/>
  <c r="AB61" i="14"/>
  <c r="AA64" i="14"/>
  <c r="AD89" i="14"/>
  <c r="AC94" i="14"/>
  <c r="AC109" i="14"/>
  <c r="AB51" i="14"/>
  <c r="AC58" i="14"/>
  <c r="Z11" i="34" l="1"/>
  <c r="Z18" i="33"/>
  <c r="Z14" i="32"/>
  <c r="Z19" i="31"/>
  <c r="Z11" i="35"/>
  <c r="Z18" i="34"/>
  <c r="Z14" i="33"/>
  <c r="Z19" i="32"/>
  <c r="Z18" i="35"/>
  <c r="Z14" i="34"/>
  <c r="Z19" i="33"/>
  <c r="Z14" i="35"/>
  <c r="Z19" i="34"/>
  <c r="Z10" i="31"/>
  <c r="Z19" i="35"/>
  <c r="Z10" i="32"/>
  <c r="Z10" i="33"/>
  <c r="Z11" i="31"/>
  <c r="Z10" i="34"/>
  <c r="Z11" i="32"/>
  <c r="Z18" i="31"/>
  <c r="Z11" i="33"/>
  <c r="Z18" i="32"/>
  <c r="Z10" i="30"/>
  <c r="Z14" i="31"/>
  <c r="Z11" i="29"/>
  <c r="Z11" i="30"/>
  <c r="Z18" i="29"/>
  <c r="Z14" i="29"/>
  <c r="Z18" i="30"/>
  <c r="Z10" i="29"/>
  <c r="Z14" i="30"/>
  <c r="Z19" i="29"/>
  <c r="Z10" i="35"/>
  <c r="Z19" i="30"/>
  <c r="Y4" i="34"/>
  <c r="Y4" i="30"/>
  <c r="Y4" i="33"/>
  <c r="Y4" i="29"/>
  <c r="Y4" i="35"/>
  <c r="Y4" i="32"/>
  <c r="Y4" i="31"/>
  <c r="AA3" i="34"/>
  <c r="AA17" i="34" s="1"/>
  <c r="AA3" i="30"/>
  <c r="AA17" i="30" s="1"/>
  <c r="AA3" i="33"/>
  <c r="AA17" i="33" s="1"/>
  <c r="AA3" i="29"/>
  <c r="AA17" i="29" s="1"/>
  <c r="AA3" i="35"/>
  <c r="AA17" i="35" s="1"/>
  <c r="AA3" i="31"/>
  <c r="AA17" i="31" s="1"/>
  <c r="AA3" i="32"/>
  <c r="AA17" i="32" s="1"/>
  <c r="AC33" i="14"/>
  <c r="AA2" i="39" s="1"/>
  <c r="AA14" i="39" s="1"/>
  <c r="AD102" i="14"/>
  <c r="AE97" i="14"/>
  <c r="AB64" i="14"/>
  <c r="AC61" i="14"/>
  <c r="AF81" i="14"/>
  <c r="AE86" i="14"/>
  <c r="AD78" i="14"/>
  <c r="AE74" i="14"/>
  <c r="AD67" i="14"/>
  <c r="AC70" i="14"/>
  <c r="AD46" i="14"/>
  <c r="AD94" i="14"/>
  <c r="AE89" i="14"/>
  <c r="AE39" i="14"/>
  <c r="AD109" i="14"/>
  <c r="AD58" i="14"/>
  <c r="AC51" i="14"/>
  <c r="AA11" i="35" l="1"/>
  <c r="AA18" i="34"/>
  <c r="AA14" i="33"/>
  <c r="AA19" i="32"/>
  <c r="AA18" i="35"/>
  <c r="AA14" i="34"/>
  <c r="AA19" i="33"/>
  <c r="AA14" i="35"/>
  <c r="AA19" i="34"/>
  <c r="AA19" i="35"/>
  <c r="AA10" i="32"/>
  <c r="AA10" i="33"/>
  <c r="AA11" i="31"/>
  <c r="AA10" i="34"/>
  <c r="AA11" i="32"/>
  <c r="AA18" i="31"/>
  <c r="AA10" i="35"/>
  <c r="AA11" i="33"/>
  <c r="AA18" i="32"/>
  <c r="AA14" i="31"/>
  <c r="AA11" i="34"/>
  <c r="AA11" i="29"/>
  <c r="AA10" i="30"/>
  <c r="AA18" i="33"/>
  <c r="AA14" i="32"/>
  <c r="AA10" i="31"/>
  <c r="AA11" i="30"/>
  <c r="AA18" i="29"/>
  <c r="AA19" i="31"/>
  <c r="AA18" i="30"/>
  <c r="AA14" i="29"/>
  <c r="AA19" i="29"/>
  <c r="AA14" i="30"/>
  <c r="AA19" i="30"/>
  <c r="AA10" i="29"/>
  <c r="Z4" i="33"/>
  <c r="Z4" i="29"/>
  <c r="Z4" i="34"/>
  <c r="Z4" i="30"/>
  <c r="Z4" i="32"/>
  <c r="Z4" i="35"/>
  <c r="Z4" i="31"/>
  <c r="AB3" i="34"/>
  <c r="AB17" i="34" s="1"/>
  <c r="AB3" i="30"/>
  <c r="AB17" i="30" s="1"/>
  <c r="AB3" i="35"/>
  <c r="AB17" i="35" s="1"/>
  <c r="AB3" i="31"/>
  <c r="AB17" i="31" s="1"/>
  <c r="AB3" i="32"/>
  <c r="AB17" i="32" s="1"/>
  <c r="AB3" i="33"/>
  <c r="AB17" i="33" s="1"/>
  <c r="AB3" i="29"/>
  <c r="AB17" i="29" s="1"/>
  <c r="AG81" i="14"/>
  <c r="AF86" i="14"/>
  <c r="AE67" i="14"/>
  <c r="AD70" i="14"/>
  <c r="AF74" i="14"/>
  <c r="AE78" i="14"/>
  <c r="AE102" i="14"/>
  <c r="AF97" i="14"/>
  <c r="AF39" i="14"/>
  <c r="AD33" i="14"/>
  <c r="AB2" i="39" s="1"/>
  <c r="AB14" i="39" s="1"/>
  <c r="AE46" i="14"/>
  <c r="AD61" i="14"/>
  <c r="AC64" i="14"/>
  <c r="AE94" i="14"/>
  <c r="AF89" i="14"/>
  <c r="AE109" i="14"/>
  <c r="AD51" i="14"/>
  <c r="AE58" i="14"/>
  <c r="AB18" i="35" l="1"/>
  <c r="AB14" i="34"/>
  <c r="AB19" i="33"/>
  <c r="AB14" i="35"/>
  <c r="AB19" i="34"/>
  <c r="AB10" i="31"/>
  <c r="AB19" i="35"/>
  <c r="AB10" i="32"/>
  <c r="AB10" i="33"/>
  <c r="AB11" i="31"/>
  <c r="AB10" i="34"/>
  <c r="AB11" i="32"/>
  <c r="AB18" i="31"/>
  <c r="AB10" i="35"/>
  <c r="AB11" i="33"/>
  <c r="AB18" i="32"/>
  <c r="AB14" i="31"/>
  <c r="AB11" i="34"/>
  <c r="AB18" i="33"/>
  <c r="AB14" i="32"/>
  <c r="AB19" i="31"/>
  <c r="AB18" i="34"/>
  <c r="AB11" i="30"/>
  <c r="AB18" i="29"/>
  <c r="AB18" i="30"/>
  <c r="AB14" i="29"/>
  <c r="AB14" i="33"/>
  <c r="AB19" i="32"/>
  <c r="AB14" i="30"/>
  <c r="AB19" i="29"/>
  <c r="AB19" i="30"/>
  <c r="AB10" i="29"/>
  <c r="AB11" i="35"/>
  <c r="AB10" i="30"/>
  <c r="AB11" i="29"/>
  <c r="AA4" i="29"/>
  <c r="AA4" i="32"/>
  <c r="AA4" i="34"/>
  <c r="AA4" i="33"/>
  <c r="AA4" i="35"/>
  <c r="AA4" i="31"/>
  <c r="AA4" i="30"/>
  <c r="AC3" i="35"/>
  <c r="AC17" i="35" s="1"/>
  <c r="AC3" i="31"/>
  <c r="AC17" i="31" s="1"/>
  <c r="AC3" i="30"/>
  <c r="AC17" i="30" s="1"/>
  <c r="AC3" i="32"/>
  <c r="AC17" i="32" s="1"/>
  <c r="AC3" i="34"/>
  <c r="AC17" i="34" s="1"/>
  <c r="AC3" i="33"/>
  <c r="AC17" i="33" s="1"/>
  <c r="AC3" i="29"/>
  <c r="AC17" i="29" s="1"/>
  <c r="AG97" i="14"/>
  <c r="AF102" i="14"/>
  <c r="AG74" i="14"/>
  <c r="AF78" i="14"/>
  <c r="AF67" i="14"/>
  <c r="AE70" i="14"/>
  <c r="AG39" i="14"/>
  <c r="AE61" i="14"/>
  <c r="AD64" i="14"/>
  <c r="AF46" i="14"/>
  <c r="AE33" i="14"/>
  <c r="AC2" i="39" s="1"/>
  <c r="AC14" i="39" s="1"/>
  <c r="AF94" i="14"/>
  <c r="AG89" i="14"/>
  <c r="AG86" i="14"/>
  <c r="AH81" i="14"/>
  <c r="AF109" i="14"/>
  <c r="AG58" i="14"/>
  <c r="AF58" i="14"/>
  <c r="AE51" i="14"/>
  <c r="AC14" i="35" l="1"/>
  <c r="AC19" i="34"/>
  <c r="AC10" i="31"/>
  <c r="AC19" i="35"/>
  <c r="AC10" i="32"/>
  <c r="AC10" i="33"/>
  <c r="AC11" i="31"/>
  <c r="AC10" i="34"/>
  <c r="AC11" i="32"/>
  <c r="AC18" i="31"/>
  <c r="AC10" i="35"/>
  <c r="AC11" i="33"/>
  <c r="AC18" i="32"/>
  <c r="AC14" i="31"/>
  <c r="AC11" i="34"/>
  <c r="AC18" i="33"/>
  <c r="AC14" i="32"/>
  <c r="AC19" i="31"/>
  <c r="AC11" i="35"/>
  <c r="AC18" i="34"/>
  <c r="AC14" i="33"/>
  <c r="AC19" i="32"/>
  <c r="AC18" i="30"/>
  <c r="AC14" i="29"/>
  <c r="AC14" i="34"/>
  <c r="AC14" i="30"/>
  <c r="AC19" i="29"/>
  <c r="AC19" i="33"/>
  <c r="AC19" i="30"/>
  <c r="AC10" i="29"/>
  <c r="AC18" i="29"/>
  <c r="AC10" i="30"/>
  <c r="AC18" i="35"/>
  <c r="AC11" i="29"/>
  <c r="AC11" i="30"/>
  <c r="AB4" i="29"/>
  <c r="AB4" i="33"/>
  <c r="AB4" i="35"/>
  <c r="AB4" i="31"/>
  <c r="AB4" i="34"/>
  <c r="AB4" i="30"/>
  <c r="AB4" i="32"/>
  <c r="AD3" i="35"/>
  <c r="AD17" i="35" s="1"/>
  <c r="AD3" i="31"/>
  <c r="AD17" i="31" s="1"/>
  <c r="AD3" i="32"/>
  <c r="AD17" i="32" s="1"/>
  <c r="AD3" i="34"/>
  <c r="AD17" i="34" s="1"/>
  <c r="AD3" i="30"/>
  <c r="AD17" i="30" s="1"/>
  <c r="AD3" i="33"/>
  <c r="AD17" i="33" s="1"/>
  <c r="AD3" i="29"/>
  <c r="AD17" i="29" s="1"/>
  <c r="AG67" i="14"/>
  <c r="AF70" i="14"/>
  <c r="AH86" i="14"/>
  <c r="AG46" i="14"/>
  <c r="AG78" i="14"/>
  <c r="AH74" i="14"/>
  <c r="AF33" i="14"/>
  <c r="AD2" i="39" s="1"/>
  <c r="AD14" i="39" s="1"/>
  <c r="AH89" i="14"/>
  <c r="AG94" i="14"/>
  <c r="AE64" i="14"/>
  <c r="AF61" i="14"/>
  <c r="AH97" i="14"/>
  <c r="AG102" i="14"/>
  <c r="AG109" i="14"/>
  <c r="AF51" i="14"/>
  <c r="AD19" i="35" l="1"/>
  <c r="AD10" i="32"/>
  <c r="AD10" i="33"/>
  <c r="AD11" i="31"/>
  <c r="AD10" i="34"/>
  <c r="AD11" i="32"/>
  <c r="AD18" i="31"/>
  <c r="AD10" i="35"/>
  <c r="AD11" i="33"/>
  <c r="AD18" i="32"/>
  <c r="AD14" i="31"/>
  <c r="AD11" i="34"/>
  <c r="AD18" i="33"/>
  <c r="AD14" i="32"/>
  <c r="AD19" i="31"/>
  <c r="AD11" i="35"/>
  <c r="AD18" i="34"/>
  <c r="AD14" i="33"/>
  <c r="AD19" i="32"/>
  <c r="AD18" i="35"/>
  <c r="AD14" i="34"/>
  <c r="AD19" i="33"/>
  <c r="AD14" i="35"/>
  <c r="AD10" i="31"/>
  <c r="AD14" i="30"/>
  <c r="AD19" i="29"/>
  <c r="AD14" i="29"/>
  <c r="AD19" i="34"/>
  <c r="AD19" i="30"/>
  <c r="AD10" i="29"/>
  <c r="AD10" i="30"/>
  <c r="AD18" i="30"/>
  <c r="AD11" i="29"/>
  <c r="AD11" i="30"/>
  <c r="AD18" i="29"/>
  <c r="AC4" i="32"/>
  <c r="AC4" i="35"/>
  <c r="AC4" i="31"/>
  <c r="AC4" i="34"/>
  <c r="AC4" i="30"/>
  <c r="AC4" i="33"/>
  <c r="AC4" i="29"/>
  <c r="AE3" i="35"/>
  <c r="AE17" i="35" s="1"/>
  <c r="AE3" i="31"/>
  <c r="AE17" i="31" s="1"/>
  <c r="AE3" i="32"/>
  <c r="AE17" i="32" s="1"/>
  <c r="AE3" i="33"/>
  <c r="AE17" i="33" s="1"/>
  <c r="AE3" i="29"/>
  <c r="AE17" i="29" s="1"/>
  <c r="AE3" i="34"/>
  <c r="AE17" i="34" s="1"/>
  <c r="AE3" i="30"/>
  <c r="AE17" i="30" s="1"/>
  <c r="AG33" i="14"/>
  <c r="AE2" i="39" s="1"/>
  <c r="AE14" i="39" s="1"/>
  <c r="AH102" i="14"/>
  <c r="AH78" i="14"/>
  <c r="AH94" i="14"/>
  <c r="AF64" i="14"/>
  <c r="AG61" i="14"/>
  <c r="AG70" i="14"/>
  <c r="AH109" i="14"/>
  <c r="AG51" i="14"/>
  <c r="AE10" i="33" l="1"/>
  <c r="AE11" i="31"/>
  <c r="AE10" i="34"/>
  <c r="AE11" i="32"/>
  <c r="AE18" i="31"/>
  <c r="AE10" i="35"/>
  <c r="AE11" i="33"/>
  <c r="AE18" i="32"/>
  <c r="AE14" i="31"/>
  <c r="AE11" i="34"/>
  <c r="AE18" i="33"/>
  <c r="AE14" i="32"/>
  <c r="AE19" i="31"/>
  <c r="AE11" i="35"/>
  <c r="AE18" i="34"/>
  <c r="AE14" i="33"/>
  <c r="AE19" i="32"/>
  <c r="AE18" i="35"/>
  <c r="AE14" i="34"/>
  <c r="AE19" i="33"/>
  <c r="AE14" i="35"/>
  <c r="AE19" i="34"/>
  <c r="AE10" i="31"/>
  <c r="AE19" i="30"/>
  <c r="AE10" i="29"/>
  <c r="AE10" i="30"/>
  <c r="AE11" i="29"/>
  <c r="AE10" i="32"/>
  <c r="AE11" i="30"/>
  <c r="AE18" i="29"/>
  <c r="AE14" i="30"/>
  <c r="AE18" i="30"/>
  <c r="AE14" i="29"/>
  <c r="AE19" i="35"/>
  <c r="AE19" i="29"/>
  <c r="AD4" i="35"/>
  <c r="AD4" i="31"/>
  <c r="AD4" i="32"/>
  <c r="AD4" i="34"/>
  <c r="AD4" i="30"/>
  <c r="AD4" i="33"/>
  <c r="AD4" i="29"/>
  <c r="AG64" i="14"/>
  <c r="AE4" i="34" l="1"/>
  <c r="AE4" i="29"/>
  <c r="AE4" i="30"/>
  <c r="AE4" i="33"/>
  <c r="AE4" i="32"/>
  <c r="AE4" i="35"/>
  <c r="AE4" i="31"/>
  <c r="D73" i="24"/>
  <c r="E73" i="24" s="1"/>
  <c r="F73" i="24" s="1"/>
  <c r="G73" i="24" s="1"/>
  <c r="B161" i="24"/>
  <c r="B169" i="24" s="1"/>
  <c r="B170" i="24" l="1"/>
  <c r="B173" i="24" s="1"/>
  <c r="B171" i="24"/>
</calcChain>
</file>

<file path=xl/sharedStrings.xml><?xml version="1.0" encoding="utf-8"?>
<sst xmlns="http://schemas.openxmlformats.org/spreadsheetml/2006/main" count="4259" uniqueCount="1428">
  <si>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</si>
  <si>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</si>
  <si>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</si>
  <si>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</si>
  <si>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</si>
  <si>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</si>
  <si>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</si>
  <si>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</si>
  <si>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</si>
  <si>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</si>
  <si>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</si>
  <si>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</si>
  <si>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</si>
  <si>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</si>
  <si>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</si>
  <si>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</si>
  <si>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</si>
  <si>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</si>
  <si>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</si>
  <si>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</si>
  <si>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</si>
  <si>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</si>
  <si>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</si>
  <si>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</si>
  <si>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</si>
  <si>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</si>
  <si>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</si>
  <si>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</si>
  <si>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</si>
  <si>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</si>
  <si>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</si>
  <si>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</si>
  <si>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</si>
  <si>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</si>
  <si>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</si>
  <si>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</si>
  <si>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</si>
  <si>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</si>
  <si>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</si>
  <si>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</si>
  <si>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</si>
  <si>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</si>
  <si>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</si>
  <si>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</si>
  <si>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</si>
  <si>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</si>
  <si>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</si>
  <si>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</si>
  <si>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</si>
  <si>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</si>
  <si>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</si>
  <si>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</si>
  <si>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</si>
  <si>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</si>
  <si>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</si>
  <si>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</si>
  <si>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</si>
  <si>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</si>
  <si>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</si>
  <si>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</si>
  <si>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</si>
  <si>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</si>
  <si>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</si>
  <si>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</si>
  <si>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</si>
  <si>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</si>
  <si>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</si>
  <si>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</si>
  <si>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</si>
  <si>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</si>
  <si>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</si>
  <si>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</si>
  <si>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</si>
  <si>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</si>
  <si>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</si>
  <si>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</si>
  <si>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</si>
  <si>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</si>
  <si>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</si>
  <si>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</si>
  <si>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</si>
  <si>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</si>
  <si>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</si>
  <si>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</si>
  <si>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</si>
  <si>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</si>
  <si>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</si>
  <si>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</si>
  <si>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</si>
  <si>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</si>
  <si>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</si>
  <si>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</si>
  <si>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</si>
  <si>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</si>
  <si>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</si>
  <si>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</si>
  <si>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</si>
  <si>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</si>
  <si>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</si>
  <si>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</si>
  <si>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</si>
  <si>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</si>
  <si>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</si>
  <si>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</si>
  <si>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</si>
  <si>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</si>
  <si>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</si>
  <si>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</si>
  <si>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</si>
  <si>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</si>
  <si>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</si>
  <si>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</si>
  <si>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</si>
  <si>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</si>
  <si>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</si>
  <si>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</si>
  <si>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</si>
  <si>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</si>
  <si>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</si>
  <si>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</si>
  <si>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</si>
  <si>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</si>
  <si>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</si>
  <si>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</si>
  <si>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</si>
  <si>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</si>
  <si>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</si>
  <si>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</si>
  <si>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</si>
  <si>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</si>
  <si>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</si>
  <si>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</si>
  <si>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</si>
  <si>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</si>
  <si>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</si>
  <si>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</si>
  <si>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</si>
  <si>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</si>
  <si>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</si>
  <si>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</si>
  <si>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</si>
  <si>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</si>
  <si>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</si>
  <si>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</si>
  <si>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</si>
  <si>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</si>
  <si>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</si>
  <si>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</si>
  <si>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</si>
  <si>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</si>
  <si>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</si>
  <si>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</si>
  <si>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</si>
  <si>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</si>
  <si>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</si>
  <si>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</si>
  <si>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</si>
  <si>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</si>
  <si>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</si>
  <si>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</si>
  <si>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</si>
  <si>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</si>
  <si>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</si>
  <si>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</si>
  <si>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</si>
  <si>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</si>
  <si>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</si>
  <si>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</si>
  <si>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</si>
  <si>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</si>
  <si>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</si>
  <si>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</si>
  <si>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</si>
  <si>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</si>
  <si>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</si>
  <si>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</si>
  <si>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</si>
  <si>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</si>
  <si>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</si>
  <si>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</si>
  <si>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</si>
  <si>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</si>
  <si>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</si>
  <si>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</si>
  <si>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</si>
  <si>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</si>
  <si>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</si>
  <si>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</si>
  <si>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</si>
  <si>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</si>
  <si>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</si>
  <si>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</si>
  <si>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</si>
  <si>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</si>
  <si>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</si>
  <si>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</si>
  <si>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</si>
  <si>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</si>
  <si>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</si>
  <si>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</si>
  <si>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</si>
  <si>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</si>
  <si>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</si>
  <si>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</si>
  <si>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</si>
  <si>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</si>
  <si>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</si>
  <si>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</si>
  <si>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</si>
  <si>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</si>
  <si>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</si>
  <si>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</si>
  <si>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</si>
  <si>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</si>
  <si>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</si>
  <si>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</si>
  <si>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</si>
  <si>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</si>
  <si>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</si>
  <si>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</si>
  <si>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</si>
  <si>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</si>
  <si>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</si>
  <si>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</si>
  <si>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</si>
  <si>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</si>
  <si>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</si>
  <si>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</si>
  <si>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</si>
  <si>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</si>
  <si>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</si>
  <si>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</si>
  <si>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</si>
  <si>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</si>
  <si>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</si>
  <si>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</si>
  <si>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</si>
  <si>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</si>
  <si>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</si>
  <si>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</si>
  <si>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</si>
  <si>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</si>
  <si>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</si>
  <si>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</si>
  <si>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</si>
  <si>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</si>
  <si>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</si>
  <si>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</si>
  <si>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</si>
  <si>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</si>
  <si>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</si>
  <si>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</si>
  <si>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</si>
  <si>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</si>
  <si>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</si>
  <si>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</si>
  <si>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</si>
  <si>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</si>
  <si>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</si>
  <si>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</si>
  <si>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</si>
  <si>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</si>
  <si>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</si>
  <si>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</si>
  <si>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</si>
  <si>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</si>
  <si>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</si>
  <si>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</si>
  <si>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</si>
  <si>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</si>
  <si>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</si>
  <si>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</si>
  <si>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</si>
  <si>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</si>
  <si>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</si>
  <si>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</si>
  <si>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</si>
  <si>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</si>
  <si>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</si>
  <si>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</si>
  <si>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</si>
  <si>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</si>
  <si>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</si>
  <si>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</si>
  <si>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</si>
  <si>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</si>
  <si>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</si>
  <si>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</si>
  <si>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</si>
  <si>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</si>
  <si>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</si>
  <si>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</si>
  <si>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</si>
  <si>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</si>
  <si>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</si>
  <si>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</si>
  <si>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</si>
  <si>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</si>
  <si>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</si>
  <si>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</si>
  <si>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</si>
  <si>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</si>
  <si>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</si>
  <si>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</si>
  <si>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</si>
  <si>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</si>
  <si>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</si>
  <si>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</si>
  <si>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</si>
  <si>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</si>
  <si>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</si>
  <si>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</si>
  <si>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</si>
  <si>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</si>
  <si>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</si>
  <si>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</si>
  <si>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</si>
  <si>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</si>
  <si>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</si>
  <si>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</si>
  <si>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</si>
  <si>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</si>
  <si>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</si>
  <si>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</si>
  <si>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</si>
  <si>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</si>
  <si>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</si>
  <si>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</si>
  <si>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</si>
  <si>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</si>
  <si>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</si>
  <si>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</si>
  <si>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</si>
  <si>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</si>
  <si>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</si>
  <si>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</si>
  <si>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</si>
  <si>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</si>
  <si>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</si>
  <si>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</si>
  <si>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</si>
  <si>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</si>
  <si>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</si>
  <si>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</si>
  <si>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</si>
  <si>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</si>
  <si>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</si>
  <si>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</si>
  <si>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</si>
  <si>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</si>
  <si>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</si>
  <si>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</si>
  <si>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</si>
  <si>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</si>
  <si>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</si>
  <si>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</si>
  <si>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</si>
  <si>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</si>
  <si>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</si>
  <si>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</si>
  <si>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</si>
  <si>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</si>
  <si>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</si>
  <si>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</si>
  <si>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</si>
  <si>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</si>
  <si>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</si>
  <si>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</si>
  <si>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</si>
  <si>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</si>
  <si>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</si>
  <si>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</si>
  <si>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</si>
  <si>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</si>
  <si>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</si>
  <si>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</si>
  <si>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</si>
  <si>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</si>
  <si>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</si>
  <si>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</si>
  <si>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</si>
  <si>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</si>
  <si>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</si>
  <si>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</si>
  <si>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</si>
  <si>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</si>
  <si>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</si>
  <si>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</si>
  <si>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</si>
  <si>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</si>
  <si>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</si>
  <si>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</si>
  <si>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</si>
  <si>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</si>
  <si>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</si>
  <si>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</si>
  <si>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</si>
  <si>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</si>
  <si>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</si>
  <si>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</si>
  <si>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</si>
  <si>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</si>
  <si>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</si>
  <si>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</si>
  <si>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</si>
  <si>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</si>
  <si>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</si>
  <si>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</si>
  <si>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</si>
  <si>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</si>
  <si>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</si>
  <si>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</si>
  <si>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</si>
  <si>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</si>
  <si>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</si>
  <si>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</si>
  <si>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</si>
  <si>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</si>
  <si>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</si>
  <si>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</si>
  <si>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</si>
  <si>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</si>
  <si>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</si>
  <si>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</si>
  <si>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</si>
  <si>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</si>
  <si>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</si>
  <si>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</si>
  <si>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</si>
  <si>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</si>
  <si>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</si>
  <si>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</si>
  <si>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</si>
  <si>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</si>
  <si>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</si>
  <si>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</si>
  <si>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</si>
  <si>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</si>
  <si>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</si>
  <si>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</si>
  <si>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</si>
  <si>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</si>
  <si>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</si>
  <si>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</si>
  <si>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</si>
  <si>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</si>
  <si>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</si>
  <si>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</si>
  <si>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</si>
  <si>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</si>
  <si>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</si>
  <si>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</si>
  <si>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</si>
  <si>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</si>
  <si>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</si>
  <si>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</si>
  <si>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</si>
  <si>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</si>
  <si>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</si>
  <si>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</si>
  <si>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</si>
  <si>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</si>
  <si>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</si>
  <si>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</si>
  <si>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</si>
  <si>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</si>
  <si>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</si>
  <si>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</si>
  <si>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</si>
  <si>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</si>
  <si>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</si>
  <si>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</si>
  <si>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</si>
  <si>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</si>
  <si>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</si>
  <si>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</si>
  <si>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</si>
  <si>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</si>
  <si>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</si>
  <si>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</si>
  <si>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</si>
  <si>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</si>
  <si>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</si>
  <si>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</si>
  <si>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</si>
  <si>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</si>
  <si>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</si>
  <si>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</si>
  <si>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</si>
  <si>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</si>
  <si>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</si>
  <si>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</si>
  <si>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</si>
  <si>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</si>
  <si>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</si>
  <si>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</si>
  <si>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</si>
  <si>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</si>
  <si>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</si>
  <si>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</si>
  <si>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</si>
  <si>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</si>
  <si>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</si>
  <si>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</si>
  <si>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</si>
  <si>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</si>
  <si>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</si>
  <si>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</si>
  <si>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</si>
  <si>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</si>
  <si>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</si>
  <si>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</si>
  <si>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</si>
  <si>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</si>
  <si>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</si>
  <si>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</si>
  <si>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</si>
  <si>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</si>
  <si>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</si>
  <si>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</si>
  <si>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</si>
  <si>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</si>
  <si>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</si>
  <si>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</si>
  <si>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</si>
  <si>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</si>
  <si>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</si>
  <si>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</si>
  <si>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</si>
  <si>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</si>
  <si>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</si>
  <si>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</si>
  <si>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</si>
  <si>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</si>
  <si>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</si>
  <si>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</si>
  <si>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</si>
  <si>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</si>
  <si>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</si>
  <si>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</si>
  <si>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</si>
  <si>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</si>
  <si>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</si>
  <si>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</si>
  <si>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</si>
  <si>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</si>
  <si>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</si>
  <si>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</si>
  <si>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</si>
  <si>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</si>
  <si>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</si>
  <si>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</si>
  <si>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</si>
  <si>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</si>
  <si>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</si>
  <si>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</si>
  <si>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</si>
  <si>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</si>
  <si>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</si>
  <si>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</si>
  <si>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</si>
  <si>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</si>
  <si>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</si>
  <si>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</si>
  <si>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</si>
  <si>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</si>
  <si>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</si>
  <si>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</si>
  <si>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</si>
  <si>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</si>
  <si>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</si>
  <si>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</si>
  <si>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</si>
  <si>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</si>
  <si>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</si>
  <si>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</si>
  <si>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</si>
  <si>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</si>
  <si>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</si>
  <si>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</si>
  <si>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</si>
  <si>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</si>
  <si>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</si>
  <si>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</si>
  <si>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</si>
  <si>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</si>
  <si>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</si>
  <si>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</si>
  <si>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</si>
  <si>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</si>
  <si>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</si>
  <si>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</si>
  <si>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</si>
  <si>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</si>
  <si>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</si>
  <si>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</si>
  <si>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</si>
  <si>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</si>
  <si>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</si>
  <si>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</si>
  <si>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</si>
  <si>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</si>
  <si>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</si>
  <si>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</si>
  <si>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</si>
  <si>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</si>
  <si>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</si>
  <si>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</si>
  <si>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</si>
  <si>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</si>
  <si>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</si>
  <si>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</si>
  <si>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</si>
  <si>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</si>
  <si>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</si>
  <si>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</si>
  <si>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</si>
  <si>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</si>
  <si>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</si>
  <si>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</si>
  <si>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1 &amp; AEO22 Table 1 tabs</t>
  </si>
  <si>
    <t>See AEO21 Table 11 &amp; AEO22 Table 11 tabs</t>
  </si>
  <si>
    <t>Table 1, Table 8, Table 11</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</si>
  <si>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</si>
  <si>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</si>
  <si>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</si>
  <si>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</si>
  <si>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</si>
  <si>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</si>
  <si>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</si>
  <si>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</si>
  <si>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</si>
  <si>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</si>
  <si>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</si>
  <si>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</si>
  <si>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</si>
  <si>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</si>
  <si>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</si>
  <si>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</si>
  <si>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</si>
  <si>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</si>
  <si>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</si>
  <si>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</si>
  <si>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</si>
  <si>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</si>
  <si>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</si>
  <si>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</si>
  <si>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</si>
  <si>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</si>
  <si>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</si>
  <si>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</si>
  <si>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</si>
  <si>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</si>
  <si>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</si>
  <si>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</si>
  <si>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</si>
  <si>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</si>
  <si>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</si>
  <si>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</si>
  <si>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</si>
  <si>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</si>
  <si>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</si>
  <si>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</si>
  <si>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</si>
  <si>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</si>
  <si>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</si>
  <si>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</si>
  <si>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</si>
  <si>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</si>
  <si>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</si>
  <si>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</si>
  <si>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</si>
  <si>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</si>
  <si>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</si>
  <si>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</si>
  <si>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</si>
  <si>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</si>
  <si>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</si>
  <si>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</si>
  <si>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</si>
  <si>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</si>
  <si>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</si>
  <si>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</si>
  <si>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</si>
  <si>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</si>
  <si>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</si>
  <si>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</si>
  <si>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</si>
  <si>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</si>
  <si>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</si>
  <si>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</si>
  <si>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</si>
  <si>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</si>
  <si>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</si>
  <si>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</si>
  <si>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</si>
  <si>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</si>
  <si>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</si>
  <si>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</si>
  <si>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</si>
  <si>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</si>
  <si>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</si>
  <si>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</si>
  <si>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</si>
  <si>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</si>
  <si>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</si>
  <si>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</si>
  <si>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</si>
  <si>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</si>
  <si>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</si>
  <si>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</si>
  <si>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</si>
  <si>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</si>
  <si>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</si>
  <si>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</si>
  <si>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</si>
  <si>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</si>
  <si>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</si>
  <si>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</si>
  <si>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</si>
  <si>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</si>
  <si>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</si>
  <si>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</si>
  <si>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</si>
  <si>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</si>
  <si>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</si>
  <si>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</si>
  <si>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</si>
  <si>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</si>
  <si>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</si>
  <si>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</si>
  <si>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</si>
  <si>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</si>
  <si>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</si>
  <si>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</si>
  <si>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</si>
  <si>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</si>
  <si>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</si>
  <si>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</si>
  <si>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</si>
  <si>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</si>
  <si>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</si>
  <si>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</si>
  <si>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</si>
  <si>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</si>
  <si>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</si>
  <si>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</si>
  <si>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</si>
  <si>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</si>
  <si>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</si>
  <si>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</si>
  <si>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</si>
  <si>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</si>
  <si>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</si>
  <si>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</si>
  <si>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</si>
  <si>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</si>
  <si>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</si>
  <si>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</si>
  <si>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</si>
  <si>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</si>
  <si>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</si>
  <si>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</si>
  <si>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</si>
  <si>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</si>
  <si>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</si>
  <si>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</si>
  <si>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</si>
  <si>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</si>
  <si>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</si>
  <si>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</si>
  <si>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</si>
  <si>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</si>
  <si>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</si>
  <si>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</si>
  <si>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</si>
  <si>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</si>
  <si>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</si>
  <si>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</si>
  <si>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</si>
  <si>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</si>
  <si>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</si>
  <si>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</si>
  <si>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</si>
  <si>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</si>
  <si>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</si>
  <si>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</si>
  <si>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</si>
  <si>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</si>
  <si>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</si>
  <si>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</si>
  <si>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</si>
  <si>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</si>
  <si>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</si>
  <si>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</si>
  <si>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</si>
  <si>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</si>
  <si>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</si>
  <si>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</si>
  <si>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</si>
  <si>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</si>
  <si>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</si>
  <si>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</si>
  <si>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</si>
  <si>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</si>
  <si>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</si>
  <si>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</si>
  <si>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</si>
  <si>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</si>
  <si>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</si>
  <si>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</si>
  <si>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</si>
  <si>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</si>
  <si>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</si>
  <si>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</si>
  <si>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</si>
  <si>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</si>
  <si>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</si>
  <si>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</si>
  <si>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</si>
  <si>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</si>
  <si>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</si>
  <si>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</si>
  <si>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</si>
  <si>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</si>
  <si>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</si>
  <si>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</si>
  <si>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</si>
  <si>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</si>
  <si>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</si>
  <si>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</si>
  <si>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</si>
  <si>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</si>
  <si>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</si>
  <si>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</si>
  <si>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</si>
  <si>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</si>
  <si>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</si>
  <si>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</si>
  <si>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</si>
  <si>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</si>
  <si>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</si>
  <si>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</si>
  <si>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</si>
  <si>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</si>
  <si>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</si>
  <si>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</si>
  <si>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</si>
  <si>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</si>
  <si>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</si>
  <si>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</si>
  <si>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</si>
  <si>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</si>
  <si>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</si>
  <si>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</si>
  <si>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</si>
  <si>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</si>
  <si>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</si>
  <si>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</si>
  <si>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</si>
  <si>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</si>
  <si>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</si>
  <si>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</si>
  <si>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</si>
  <si>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</si>
  <si>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</si>
  <si>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</si>
  <si>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</si>
  <si>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</si>
  <si>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</si>
  <si>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</si>
  <si>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</si>
  <si>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</si>
  <si>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</si>
  <si>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</si>
  <si>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</si>
  <si>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</si>
  <si>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</si>
  <si>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</si>
  <si>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</si>
  <si>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</si>
  <si>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</si>
  <si>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</si>
  <si>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</si>
  <si>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</si>
  <si>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</si>
  <si>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</si>
  <si>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</si>
  <si>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</si>
  <si>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</si>
  <si>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</si>
  <si>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</si>
  <si>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</si>
  <si>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</si>
  <si>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</si>
  <si>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</si>
  <si>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</si>
  <si>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</si>
  <si>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</si>
  <si>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</si>
  <si>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</si>
  <si>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</si>
  <si>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</si>
  <si>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</si>
  <si>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</si>
  <si>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</si>
  <si>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</si>
  <si>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</si>
  <si>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</si>
  <si>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</si>
  <si>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</si>
  <si>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</si>
  <si>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</si>
  <si>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</si>
  <si>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</si>
  <si>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</si>
  <si>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</si>
  <si>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</si>
  <si>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</si>
  <si>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</si>
  <si>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</si>
  <si>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</si>
  <si>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</si>
  <si>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</si>
  <si>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</si>
  <si>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</si>
  <si>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</si>
  <si>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</si>
  <si>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</si>
  <si>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</si>
  <si>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</si>
  <si>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</si>
  <si>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</si>
  <si>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</si>
  <si>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</si>
  <si>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</si>
  <si>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</si>
  <si>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</si>
  <si>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</si>
  <si>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</si>
  <si>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</si>
  <si>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</si>
  <si>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</si>
  <si>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</si>
  <si>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</si>
  <si>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</si>
  <si>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</si>
  <si>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</si>
  <si>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</si>
  <si>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</si>
  <si>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</si>
  <si>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</si>
  <si>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</si>
  <si>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</si>
  <si>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</si>
  <si>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</si>
  <si>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</si>
  <si>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</si>
  <si>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</si>
  <si>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</si>
  <si>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</si>
  <si>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</si>
  <si>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</si>
  <si>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</si>
  <si>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</si>
  <si>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</si>
  <si>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</si>
  <si>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</si>
  <si>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</si>
  <si>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</si>
  <si>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</si>
  <si>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</si>
  <si>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</si>
  <si>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</si>
  <si>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</si>
  <si>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</si>
  <si>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</si>
  <si>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</si>
  <si>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</si>
  <si>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</si>
  <si>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</si>
  <si>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</si>
  <si>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</si>
  <si>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</si>
  <si>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</si>
  <si>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</si>
  <si>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</si>
  <si>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</si>
  <si>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</si>
  <si>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</si>
  <si>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</si>
  <si>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</si>
  <si>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2023 to 2012</t>
  </si>
  <si>
    <t>BS BAU Subsidy per Unit Electricity Output for Exisiting Plants</t>
  </si>
  <si>
    <t>Table 11.  Petroleum and Other Liquids Supply and Disposition</t>
  </si>
  <si>
    <t>https://www.eia.gov/outlooks/aeo/data/browser/#/?id=11-AEO2025&amp;cases=highZTC&amp;sourcekey=0</t>
  </si>
  <si>
    <t>Tue Dec 02 2025 13:19:39 GMT-0800 (Pacific Standard Time)</t>
  </si>
  <si>
    <t>Source: U.S. Energy Information Administration</t>
  </si>
  <si>
    <t>full name</t>
  </si>
  <si>
    <t>api key</t>
  </si>
  <si>
    <t>units</t>
  </si>
  <si>
    <t>Growth (2024-2050)</t>
  </si>
  <si>
    <t>Crude Oil</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</si>
  <si>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</si>
  <si>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</si>
  <si>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</si>
  <si>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</si>
  <si>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</si>
  <si>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</si>
  <si>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</si>
  <si>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</si>
  <si>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</si>
  <si>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</si>
  <si>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</si>
  <si>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</si>
  <si>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</si>
  <si>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</si>
  <si>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</si>
  <si>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</si>
  <si>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</si>
  <si>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</si>
  <si>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</si>
  <si>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</si>
  <si>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</si>
  <si>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</si>
  <si>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</si>
  <si>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</si>
  <si>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</si>
  <si>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</si>
  <si>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</si>
  <si>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</si>
  <si>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</si>
  <si>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</si>
  <si>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</si>
  <si>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</si>
  <si>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</si>
  <si>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</si>
  <si>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</si>
  <si>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</si>
  <si>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</si>
  <si>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</si>
  <si>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</si>
  <si>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</si>
  <si>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</si>
  <si>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</si>
  <si>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</si>
  <si>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Natural Gas Plant Liquids</t>
  </si>
  <si>
    <t>Liquid Fuels: Natural Gas Plant Liquids: High Zero-Carbon Technology Cost</t>
  </si>
  <si>
    <t>AEO.2025.HIGHZTC.SUP_NA_LFL_ONPS_NGP_NA_NA_NA.A</t>
  </si>
  <si>
    <t>Hydrogen</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</si>
  <si>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</si>
  <si>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</si>
  <si>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</si>
  <si>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</si>
  <si>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</si>
  <si>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</si>
  <si>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</si>
  <si>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</si>
  <si>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</si>
  <si>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</si>
  <si>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</si>
  <si>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</si>
  <si>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</si>
  <si>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</si>
  <si>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</si>
  <si>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</si>
  <si>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</si>
  <si>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</si>
  <si>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</si>
  <si>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</si>
  <si>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</si>
  <si>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</si>
  <si>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</si>
  <si>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</si>
  <si>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</si>
  <si>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</si>
  <si>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</si>
  <si>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</si>
  <si>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</si>
  <si>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</si>
  <si>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</si>
  <si>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</si>
  <si>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</si>
  <si>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</si>
  <si>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 -</t>
  </si>
  <si>
    <t>Stock Withdrawal</t>
  </si>
  <si>
    <t>Liquid Fuels: Biofuels: Other Biomass: Stock Withdrawal: High Zero-Carbon Technology Cost</t>
  </si>
  <si>
    <t>AEO.2025.HIGHZTC.SUP_STKW_LFL_ONPS_OBIOL_NA_NA_NA.A</t>
  </si>
  <si>
    <t>Other</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</si>
  <si>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</si>
  <si>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</si>
  <si>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</si>
  <si>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</si>
  <si>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</si>
  <si>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</si>
  <si>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</si>
  <si>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</si>
  <si>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</si>
  <si>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</si>
  <si>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</si>
  <si>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</si>
  <si>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</si>
  <si>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</si>
  <si>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</si>
  <si>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</si>
  <si>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</si>
  <si>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</si>
  <si>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</si>
  <si>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</si>
  <si>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</si>
  <si>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</si>
  <si>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</si>
  <si>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</si>
  <si>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</si>
  <si>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</si>
  <si>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</si>
  <si>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</si>
  <si>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</si>
  <si>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</si>
  <si>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</si>
  <si>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</si>
  <si>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</si>
  <si>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</si>
  <si>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Industrial</t>
  </si>
  <si>
    <t>Liquid Fuels: Liquid Fuels Use: by Sector: Industrial: High Zero-Carbon Technology Cost</t>
  </si>
  <si>
    <t>AEO.2025.HIGHZTC.CNSM_NA_LFL_NA_IDAL_NA_USA_MILLBRLPDY.A</t>
  </si>
  <si>
    <t>Transportation</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</si>
  <si>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</si>
  <si>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</si>
  <si>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</si>
  <si>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</si>
  <si>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</si>
  <si>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</si>
  <si>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</si>
  <si>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</si>
  <si>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</si>
  <si>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</si>
  <si>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Discrepancy</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</si>
  <si>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</si>
  <si>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</si>
  <si>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</si>
  <si>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</si>
  <si>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</si>
  <si>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</si>
  <si>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</si>
  <si>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</si>
  <si>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</si>
  <si>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</si>
  <si>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</si>
  <si>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</si>
  <si>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</si>
  <si>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</si>
  <si>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</si>
  <si>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</si>
  <si>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</si>
  <si>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</si>
  <si>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</si>
  <si>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</si>
  <si>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</si>
  <si>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</si>
  <si>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st</t>
  </si>
  <si>
    <t>AEO.2025.HIGHZTC.ENV_NA_ELEP_MER_EMI_MER_USA_TON.A</t>
  </si>
  <si>
    <t>Electricity: Electric Power Sector Emissions: Mercury: High Zero-Carbon Technology Cost</t>
  </si>
  <si>
    <t>Mercury (short tons)</t>
  </si>
  <si>
    <t>MMst</t>
  </si>
  <si>
    <t>AEO.2025.HIGHZTC.ENV_NA_ELEP_NIO_EMI_NIO_USA_MILLTON.A</t>
  </si>
  <si>
    <t>Electricity: Electric Power Sector Emissions: Nitrogen Oxide: High Zero-Carbon Technology Cost</t>
  </si>
  <si>
    <t>Nitrogen Oxide (million short tons)</t>
  </si>
  <si>
    <t>AEO.2025.HIGHZTC.ENV_NA_ELEP_SDO_EMI_SDO_USA_MILLTON.A</t>
  </si>
  <si>
    <t>Electricity: Electric Power Sector Emissions: Sulfur Dioxide: High Zero-Carbon Technology Cost</t>
  </si>
  <si>
    <t>Sulfur Dioxide (million short tons)</t>
  </si>
  <si>
    <t>Electric Power Sector Emissions</t>
  </si>
  <si>
    <t>nom cents/kWh</t>
  </si>
  <si>
    <t>AEO.2025.HIGHZTC.PRCE_NA_ELEP_NA_DSE_NA_USA_NCNTPKWH.A</t>
  </si>
  <si>
    <t>Electricity: Prices by Service Category: Distribution: High Zero-Carbon Technology Cost</t>
  </si>
  <si>
    <t>Distribution</t>
  </si>
  <si>
    <t>AEO.2025.HIGHZTC.PRCE_NA_ELEP_NA_TRAN_NA_USA_NCNTPKWH.A</t>
  </si>
  <si>
    <t>Electricity: Prices by Service Category: Transmission: High Zero-Carbon Technology Cost</t>
  </si>
  <si>
    <t>Transmission</t>
  </si>
  <si>
    <t>AEO.2025.HIGHZTC.PRCE_NA_ELEP_NA_GEN_NA_USA_NCNTPKWH.A</t>
  </si>
  <si>
    <t>Electricity: Prices by Service Category: Generation: High Zero-Carbon Technology Cost</t>
  </si>
  <si>
    <t>Generation</t>
  </si>
  <si>
    <t>2024 cents/kWh</t>
  </si>
  <si>
    <t>AEO.2025.HIGHZTC.PRCE_NA_ELEP_NA_DSE_NA_USA_Y13CNTPKWH.A</t>
  </si>
  <si>
    <t>AEO.2025.HIGHZTC.PRCE_NA_ELEP_NA_TRAN_NA_USA_Y13CNTPKWH.A</t>
  </si>
  <si>
    <t>AEO.2025.HIGHZTC.PRCE_NA_ELEP_NA_GEN_NA_USA_Y13CNTPKWH.A</t>
  </si>
  <si>
    <t>(2024 cents per kilowatthour)</t>
  </si>
  <si>
    <t>AEO.2025.HIGHZTC.PRCE_NA_ELEP_NA_EDU_NA_USA_NCNTPKWH.A</t>
  </si>
  <si>
    <t>Electricity: End-Use Prices: All Sectors Average: High Zero-Carbon Technology Cost</t>
  </si>
  <si>
    <t>All Sectors Average</t>
  </si>
  <si>
    <t>AEO.2025.HIGHZTC.PRCE_NA_TRN_NA_EDU_NA_USA_NCNTPKWH.A</t>
  </si>
  <si>
    <t>Electricity: End-Use Prices: Transportation: High Zero-Carbon Technology Cost</t>
  </si>
  <si>
    <t>AEO.2025.HIGHZTC.PRCE_NA_IDAL_NA_EDU_NA_USA_NCNTPKWH.A</t>
  </si>
  <si>
    <t>Electricity: End-Use Prices: Industrial: High Zero-Carbon Technology Cost</t>
  </si>
  <si>
    <t>AEO.2025.HIGHZTC.PRCE_NA_COMM_NA_EDU_NA_USA_NCNTPKWH.A</t>
  </si>
  <si>
    <t>Electricity: End-Use Prices: Commercial: High Zero-Carbon Technology Cost</t>
  </si>
  <si>
    <t>Commercial</t>
  </si>
  <si>
    <t>AEO.2025.HIGHZTC.PRCE_NA_RESD_NA_EDU_NA_USA_NCNTPKWH.A</t>
  </si>
  <si>
    <t>Electricity: End-Use Prices: Residential: High Zero-Carbon Technology Cost</t>
  </si>
  <si>
    <t>Residential</t>
  </si>
  <si>
    <t>AEO.2025.HIGHZTC.PRCE_NA_ELEP_NA_EDU_NA_USA_Y13CNTPKWH.A</t>
  </si>
  <si>
    <t>AEO.2025.HIGHZTC.PRCE_NA_TRN_NA_EDU_NA_USA_Y13CNTPKWH.A</t>
  </si>
  <si>
    <t>AEO.2025.HIGHZTC.PRCE_NA_IDAL_NA_EDU_NA_USA_Y13CNTPKWH.A</t>
  </si>
  <si>
    <t>AEO.2025.HIGHZTC.PRCE_NA_COMM_NA_EDU_NA_USA_Y13CNTPKWH.A</t>
  </si>
  <si>
    <t>AEO.2025.HIGHZTC.PRCE_NA_RESD_NA_EDU_NA_USA_Y13CNTPKWH.A</t>
  </si>
  <si>
    <t>BkWh</t>
  </si>
  <si>
    <t>AEO.2025.HIGHZTC.CNSM_NA_ELEP_NA_TEL_NA_USA_BLNKWH.A</t>
  </si>
  <si>
    <t>Electricity: Total Electricity Use: High Zero-Carbon Technology Cost</t>
  </si>
  <si>
    <t>AEO.2025.HIGHZTC.CNSM_NA_ELEP_NA_DRU_NA_USA_BLNKWH.A</t>
  </si>
  <si>
    <t>Electricity: Direct Use: High Zero-Carbon Technology Cost</t>
  </si>
  <si>
    <t>AEO.2025.HIGHZTC.CNSM_NA_ELEP_NA_ELS_NA_USA_BLNKWH.A</t>
  </si>
  <si>
    <t>Electricity: Electricity Sales by Sector: Total: High Zero-Carbon Technology Cost</t>
  </si>
  <si>
    <t>AEO.2025.HIGHZTC.CNSM_NA_TRN_NA_ELS_NA_USA_BLNKWH.A</t>
  </si>
  <si>
    <t>Electricity: Electricity Sales by Sector: Transportation: High Zero-Carbon Technology Cost</t>
  </si>
  <si>
    <t>AEO.2025.HIGHZTC.CNSM_NA_IDAL_NA_ELS_NA_USA_BLNKWH.A</t>
  </si>
  <si>
    <t>Electricity: Electricity Sales by Sector: Industrial: High Zero-Carbon Technology Cost</t>
  </si>
  <si>
    <t>AEO.2025.HIGHZTC.CNSM_NA_COMM_NA_ELS_NA_USA_BLNKWH.A</t>
  </si>
  <si>
    <t>Electricity: Electricity Sales by Sector: Commercial: High Zero-Carbon Technology Cost</t>
  </si>
  <si>
    <t>AEO.2025.HIGHZTC.CNSM_NA_RESD_NA_ELS_NA_USA_BLNKWH.A</t>
  </si>
  <si>
    <t>Electricity: Electricity Sales by Sector: Residential: High Zero-Carbon Technology Cost</t>
  </si>
  <si>
    <t>AEO.2025.HIGHZTC.TRAD_NA_ELEP_NA_NETIMP_NA_USA_BLNKWH.A</t>
  </si>
  <si>
    <t>Electricity: Net Imports: High Zero-Carbon Technology Cost</t>
  </si>
  <si>
    <t>AEO.2025.HIGHZTC.GEN_NA_ELEP_NA_TGG_NA_USA_BLNKWH.A</t>
  </si>
  <si>
    <t>Electricity: Total Net Generation to the Grid: High Zero-Carbon Technology Cost</t>
  </si>
  <si>
    <t>AEO.2025.HIGHZTC.GEN_NA_ELEP_NA_TEG_NA_USA_BLNKWH.A</t>
  </si>
  <si>
    <t>Electricity: Total Electricity Generation: High Zero-Carbon Technology Cost</t>
  </si>
  <si>
    <t>AEO.2025.HIGHZTC.GEN_NA_ELEP_TGE_OTH_NA_USA_BLNKWH.A</t>
  </si>
  <si>
    <t>Electricity: Total Electricity Generation by Fuel: Other: High Zero-Carbon Technology Cost</t>
  </si>
  <si>
    <t>AEO.2025.HIGHZTC.GEN_NA_ELEP_TGE_HDG_NA_USA_BLNKWH.A</t>
  </si>
  <si>
    <t>Electricity: Total Electricity Generation by Fuel: Hydrogen: High Zero-Carbon Technology Cost</t>
  </si>
  <si>
    <t>AEO.2025.HIGHZTC.GEN_NA_ELEP_TGE_RSU_NA_USA_BLNKWH.A</t>
  </si>
  <si>
    <t>Electricity: Total Electricity Generation by Fuel: Renewable Sources: High Zero-Carbon Technology Cost</t>
  </si>
  <si>
    <t>Renewable Sources</t>
  </si>
  <si>
    <t>AEO.2025.HIGHZTC.GEN_NA_ELEP_TGE_NUP_NA_USA_BLNKWH.A</t>
  </si>
  <si>
    <t>Electricity: Total Electricity Generation by Fuel: Nuclear: High Zero-Carbon Technology Cost</t>
  </si>
  <si>
    <t>Nuclear Power</t>
  </si>
  <si>
    <t>AEO.2025.HIGHZTC.GEN_NA_ELEP_TGE_NG_NA_USA_BLNKWH.A</t>
  </si>
  <si>
    <t>Electricity: Total Electricity Generation by Fuel: Natural Gas: High Zero-Carbon Technology Cost</t>
  </si>
  <si>
    <t>AEO.2025.HIGHZTC.GEN_NA_ELEP_TGE_PET_NA_USA_BLNKWH.A</t>
  </si>
  <si>
    <t>Electricity: Total Electricity Generation by Fuel: Petroleum: High Zero-Carbon Technology Cost</t>
  </si>
  <si>
    <t>Petroleum</t>
  </si>
  <si>
    <t>AEO.2025.HIGHZTC.GEN_NA_ELEP_TGE_CL_NA_USA_BLNKWH.A</t>
  </si>
  <si>
    <t>Electricity: Total Electricity Generation by Fuel: Coal: High Zero-Carbon Technology Cost</t>
  </si>
  <si>
    <t>Total Net Electricity Generation by Fuel</t>
  </si>
  <si>
    <t>AEO.2025.HIGHZTC.GEN_NA_ELEP_EUG_TSG_NA_USA_BLNKWH.A</t>
  </si>
  <si>
    <t>Electricity: End-Use Generation: Total Sales to the Grid: High Zero-Carbon Technology Cost</t>
  </si>
  <si>
    <t>Total Sales to the Grid</t>
  </si>
  <si>
    <t>AEO.2025.HIGHZTC.GEN_NA_ELEP_EUG_LDU_NA_USA_BLNKWH.A</t>
  </si>
  <si>
    <t>Electricity: End-Use Generation: Less Direct Use: High Zero-Carbon Technology Cost</t>
  </si>
  <si>
    <t>Less Direct Use</t>
  </si>
  <si>
    <t>AEO.2025.HIGHZTC.GEN_NA_ELEP_EUG_TOT_NA_USA_BLNKWH.A</t>
  </si>
  <si>
    <t>Electricity: End-Use Generation: Total: High Zero-Carbon Technology Cost</t>
  </si>
  <si>
    <t>Total End-Use Sector Net Generation</t>
  </si>
  <si>
    <t>AEO.2025.HIGHZTC.GEN_NA_ELEP_EUG_OTH_NA_USA_BLNKWH.A</t>
  </si>
  <si>
    <t>Electricity: End-Use Generation: Other: High Zero-Carbon Technology Cost</t>
  </si>
  <si>
    <t>AEO.2025.HIGHZTC.GEN_NA_ELEP_EUG_RNWBSRC_NA_USA_BLNKWH.A</t>
  </si>
  <si>
    <t>Electricity: End-Use Generation: Renewable Sources: High Zero-Carbon Technology Cost</t>
  </si>
  <si>
    <t>AEO.2025.HIGHZTC.GEN_NA_ELEP_EUG_OGF_NA_USA_BLNKWH.A</t>
  </si>
  <si>
    <t>Electricity: End-Use Generation: Other Gaseous Fuels: High Zero-Carbon Technology Cost</t>
  </si>
  <si>
    <t>Other Gaseous Fuels</t>
  </si>
  <si>
    <t>AEO.2025.HIGHZTC.GEN_NA_ELEP_EUG_NG_NA_USA_BLNKWH.A</t>
  </si>
  <si>
    <t>Electricity: End-Use Generation: Natural Gas: High Zero-Carbon Technology Cost</t>
  </si>
  <si>
    <t>AEO.2025.HIGHZTC.GEN_NA_ELEP_EUG_PET_NA_USA_BLNKWH.A</t>
  </si>
  <si>
    <t>Electricity: End-Use Generation: Petroleum: High Zero-Carbon Technology Cost</t>
  </si>
  <si>
    <t>AEO.2025.HIGHZTC.GEN_NA_ELEP_EUG_CL_NA_USA_BLNKWH.A</t>
  </si>
  <si>
    <t>Electricity: End-Use Generation: Coal: High Zero-Carbon Technology Cost</t>
  </si>
  <si>
    <t>End-Use Sector</t>
  </si>
  <si>
    <t>AEO.2025.HIGHZTC.GEN_NA_ELEP_NAG_NAG_NA_USA_BLNKWH.A</t>
  </si>
  <si>
    <t>Electricity: Electric Power Sector: Net Available to the Grid: High Zero-Carbon Technology Cost</t>
  </si>
  <si>
    <t>Net Available to the Grid</t>
  </si>
  <si>
    <t>AEO.2025.HIGHZTC.GEN_NA_ELEP_CHP_LDU_NA_USA_BLNKWH.A</t>
  </si>
  <si>
    <t>Electricity: Electric Power Sector: Less Direct Use: High Zero-Carbon Technology Cost</t>
  </si>
  <si>
    <t>AEO.2025.HIGHZTC.GEN_NA_ELEP_CHP_TTG_NA_USA_BLNKWH.A</t>
  </si>
  <si>
    <t>Electricity: Electric Power Sector: Total Net Generation: High Zero-Carbon Technology Cost</t>
  </si>
  <si>
    <t>Total Net Electric Power Sector Generation</t>
  </si>
  <si>
    <t>AEO.2025.HIGHZTC.GEN_NA_ELEP_CHP_TOT_NA_USA_BLNKWH.A</t>
  </si>
  <si>
    <t>Electricity: Electric Power Sector: Combined Heat and Power: Total: High Zero-Carbon Technology Cost</t>
  </si>
  <si>
    <t>AEO.2025.HIGHZTC.GEN_NA_ELEP_CHP_OTH_NA_USA_BLNKWH.A</t>
  </si>
  <si>
    <t>Electricity: Electric Power Sector: Combined Heat and Power: Other: High Zero-Carbon Technology Cost</t>
  </si>
  <si>
    <t>AEO.2025.HIGHZTC.GEN_NA_ELEP_CHP_RNWBSRC_NA_USA_BLNKWH.A</t>
  </si>
  <si>
    <t>Electricity: Electric Power Sector: Combined Heat and Power: Renewable Sources: High Zero-Carbon Technology Cost</t>
  </si>
  <si>
    <t>AEO.2025.HIGHZTC.GEN_NA_ELEP_CHP_NG_NA_USA_BLNKWH.A</t>
  </si>
  <si>
    <t>Electricity: Electric Power Sector: Combined Heat and Power: Natural Gas: High Zero-Carbon Technology Cost</t>
  </si>
  <si>
    <t>AEO.2025.HIGHZTC.GEN_NA_ELEP_CHP_PET_NA_USA_BLNKWH.A</t>
  </si>
  <si>
    <t>Electricity: Electric Power Sector: Combined Heat and Power: Petroleum: High Zero-Carbon Technology Cost</t>
  </si>
  <si>
    <t>AEO.2025.HIGHZTC.GEN_NA_ELEP_CHP_CL_NA_USA_BLNKWH.A</t>
  </si>
  <si>
    <t>Electricity: Electric Power Sector: Combined Heat and Power: Coal: High Zero-Carbon Technology Cost</t>
  </si>
  <si>
    <t>Combined Heat and Power</t>
  </si>
  <si>
    <t>AEO.2025.HIGHZTC.GEN_NA_ELEP_POW_TOT_NA_USA_BLNKWH.A</t>
  </si>
  <si>
    <t>Electricity: Electric Power Sector: Power Only: Total: High Zero-Carbon Technology Cost</t>
  </si>
  <si>
    <t>AEO.2025.HIGHZTC.GEN_NA_ELEP_POW_DISTGEN_NA_USA_BLNKWH.A</t>
  </si>
  <si>
    <t>Electricity: Electric Power Sector: Power Only: Distributed Generation: High Zero-Carbon Technology Cost</t>
  </si>
  <si>
    <t>Distributed Generation (Natural Gas)</t>
  </si>
  <si>
    <t>AEO.2025.HIGHZTC.GEN_NA_ELEP_POW_RNWBSRC_NA_USA_BLNKWH.A</t>
  </si>
  <si>
    <t>Electricity: Electric Power Sector: Power Only: Renewable Sources: High Zero-Carbon Technology Cost</t>
  </si>
  <si>
    <t>AEO.2025.HIGHZTC.GEN_NA_ELEP_POW_HDG_NA_USA_BLNKWH.A</t>
  </si>
  <si>
    <t>Electricity: Electric Power Sector: Power Only: Hydrogen: High Zero-Carbon Technology Cost</t>
  </si>
  <si>
    <t>AEO.2025.HIGHZTC.GEN_NA_ELEP_POW_PST_NA_USA_BLNKWH.A</t>
  </si>
  <si>
    <t>Electricity: Electric Power Sector: Power Only: Pumped Storage/Other: High Zero-Carbon Technology Cost</t>
  </si>
  <si>
    <t>Pumped Storage/Other</t>
  </si>
  <si>
    <t>AEO.2025.HIGHZTC.GEN_NA_ELEP_POW_NUP_NA_USA_BLNKWH.A</t>
  </si>
  <si>
    <t>Electricity: Electric Power Sector: Power Only: Nuclear: High Zero-Carbon Technology Cost</t>
  </si>
  <si>
    <t>AEO.2025.HIGHZTC.GEN_NA_ELEP_POW_NG_NA_USA_BLNKWH.A</t>
  </si>
  <si>
    <t>Electricity: Electric Power Sector: Power Only: Natural Gas: High Zero-Carbon Technology Cost</t>
  </si>
  <si>
    <t>AEO.2025.HIGHZTC.GEN_NA_ELEP_POW_PET_NA_USA_BLNKWH.A</t>
  </si>
  <si>
    <t>Electricity: Electric Power Sector: Power Only: Petroleum: High Zero-Carbon Technology Cost</t>
  </si>
  <si>
    <t>AEO.2025.HIGHZTC.GEN_NA_ELEP_POW_CL_NA_USA_BLNKWH.A</t>
  </si>
  <si>
    <t>Electricity: Electric Power Sector: Power Only: Coal: High Zero-Carbon Technology Cost</t>
  </si>
  <si>
    <t>Power Only</t>
  </si>
  <si>
    <t>Electric Power Sector</t>
  </si>
  <si>
    <t>Tue Dec 02 2025 13:19:13 GMT-0800 (Pacific Standard Time)</t>
  </si>
  <si>
    <t>https://www.eia.gov/outlooks/aeo/data/browser/#/?id=8-AEO2025&amp;cases=highZTC&amp;sourcekey=0</t>
  </si>
  <si>
    <t>Table 8.  Electricity Supply, Disposition, Prices, and Emissions</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</si>
  <si>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</si>
  <si>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</si>
  <si>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</si>
  <si>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</si>
  <si>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</si>
  <si>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</si>
  <si>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</si>
  <si>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</si>
  <si>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</si>
  <si>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</si>
  <si>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</si>
  <si>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</si>
  <si>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</si>
  <si>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</si>
  <si>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</si>
  <si>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</si>
  <si>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</si>
  <si>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</si>
  <si>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</si>
  <si>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</si>
  <si>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</si>
  <si>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</si>
  <si>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</si>
  <si>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</si>
  <si>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AEO.2025.HIGHZTC.PRCE_RLP_TEN_NA_ELC_NA_USA_Y13CNTPKWH.A</t>
  </si>
  <si>
    <t>Total Energy: Real Prices: Electricity: High Zero-Carbon Technology Cost</t>
  </si>
  <si>
    <t>2024 $/MMBtu</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</si>
  <si>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</si>
  <si>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</si>
  <si>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</si>
  <si>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</si>
  <si>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</si>
  <si>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</si>
  <si>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</si>
  <si>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</si>
  <si>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</si>
  <si>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2024 $/b</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</si>
  <si>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</si>
  <si>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</si>
  <si>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</si>
  <si>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</si>
  <si>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</si>
  <si>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quads</t>
  </si>
  <si>
    <t>AEO.2025.HIGHZTC.CNSM_USE_TEN_NA_TOT_NA_USA_QBTU.A</t>
  </si>
  <si>
    <t>Total Energy: Use: Total: High Zero-Carbon Technology Cost</t>
  </si>
  <si>
    <t>AEO.2025.HIGHZTC.CNSM_USE_TEN_NA_OTH_NA_USA_QBTU.A</t>
  </si>
  <si>
    <t>Total Energy: Use: Other: High Zero-Carbon Technology Cost</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</si>
  <si>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</si>
  <si>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</si>
  <si>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</si>
  <si>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</si>
  <si>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</si>
  <si>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</si>
  <si>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</si>
  <si>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</si>
  <si>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</si>
  <si>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</si>
  <si>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</si>
  <si>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</si>
  <si>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</si>
  <si>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</si>
  <si>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</si>
  <si>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</si>
  <si>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</si>
  <si>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</si>
  <si>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Petroleum and Other Liquids</t>
  </si>
  <si>
    <t>AEO.2025.HIGHZTC.UNC_NA_TEN_NA_DESCR_NA_USA_QBTU.A</t>
  </si>
  <si>
    <t>Total Energy: Discrepancy: High Zero-Carbon Technology Cost</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</si>
  <si>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</si>
  <si>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</si>
  <si>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</si>
  <si>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</si>
  <si>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</si>
  <si>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</si>
  <si>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</si>
  <si>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</si>
  <si>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</si>
  <si>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</si>
  <si>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</si>
  <si>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</si>
  <si>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</si>
  <si>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</si>
  <si>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</si>
  <si>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</si>
  <si>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</si>
  <si>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</si>
  <si>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</si>
  <si>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</si>
  <si>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</si>
  <si>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</si>
  <si>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</si>
  <si>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</si>
  <si>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</si>
  <si>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</si>
  <si>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</si>
  <si>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</si>
  <si>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</si>
  <si>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</si>
  <si>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</si>
  <si>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</si>
  <si>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</si>
  <si>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</si>
  <si>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</si>
  <si>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</si>
  <si>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</si>
  <si>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</si>
  <si>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</si>
  <si>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</si>
  <si>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</si>
  <si>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</si>
  <si>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</si>
  <si>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See AEO21 Table 8 &amp; AEO22 Table 8 tabs &amp; AEO25 Table 8</t>
  </si>
  <si>
    <t>See AEO21 Table 1 &amp; AEO22 Table 1 tabs &amp; AEO25 table 1</t>
  </si>
  <si>
    <t>2021, 2022, 2025</t>
  </si>
  <si>
    <t>Annual Energy Outlook 2021, Annual Energy Outlook 2022, Annual Energy Outlook 2025 (AEO 2025 High Zero-Carbon Technology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</si>
</sst>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5">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11" fontId="0" fillId="27" borderId="0" xfId="0" applyNumberFormat="1" applyFill="1"/>
    <xf numFmtId="2" fontId="0" fillId="27" borderId="0" xfId="0" applyNumberFormat="1" applyFill="1"/>
    <xf numFmtId="9" fontId="0" fillId="27" borderId="0" xfId="8" applyFont="1" applyFill="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40" fillId="15" borderId="0" xfId="0" applyFont="1" applyFill="1" applyAlignment="1">
      <alignment horizontal="center"/>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2" borderId="0" xfId="0" applyFont="1" applyFill="1" applyAlignment="1">
      <alignment horizontal="center" vertical="center" wrapText="1"/>
    </xf>
    <xf numFmtId="0" fontId="49" fillId="20" borderId="0" xfId="0" applyFont="1" applyFill="1" applyAlignment="1">
      <alignment horizontal="center" vertical="center" textRotation="90" wrapText="1"/>
    </xf>
    <xf numFmtId="0" fontId="40" fillId="12" borderId="67" xfId="0" applyFont="1" applyFill="1" applyBorder="1" applyAlignment="1">
      <alignment horizontal="center" vertical="center"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5" borderId="0" xfId="0" applyFont="1" applyFill="1" applyAlignment="1">
      <alignment horizontal="center" vertical="center" textRotation="90"/>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5"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7"/>
  <sheetViews>
    <sheetView tabSelected="1" topLeftCell="A42" workbookViewId="0">
      <selection activeCell="B46" sqref="B46"/>
    </sheetView>
  </sheetViews>
  <sheetFormatPr defaultColWidth="9.26953125" defaultRowHeight="14.75" x14ac:dyDescent="0.75"/>
  <cols>
    <col min="2" max="2" width="83.26953125" customWidth="1"/>
  </cols>
  <sheetData>
    <row r="1" spans="1:2" x14ac:dyDescent="0.75">
      <c r="A1" s="1" t="s">
        <v>184</v>
      </c>
    </row>
    <row r="2" spans="1:2" x14ac:dyDescent="0.75">
      <c r="A2" s="1" t="s">
        <v>183</v>
      </c>
    </row>
    <row r="3" spans="1:2" x14ac:dyDescent="0.75">
      <c r="A3" s="1" t="s">
        <v>993</v>
      </c>
    </row>
    <row r="4" spans="1:2" x14ac:dyDescent="0.75">
      <c r="A4" s="1" t="s">
        <v>307</v>
      </c>
    </row>
    <row r="5" spans="1:2" x14ac:dyDescent="0.75">
      <c r="A5" s="1" t="s">
        <v>958</v>
      </c>
    </row>
    <row r="7" spans="1:2" x14ac:dyDescent="0.75">
      <c r="A7" s="1" t="s">
        <v>0</v>
      </c>
      <c r="B7" s="27" t="s">
        <v>115</v>
      </c>
    </row>
    <row r="8" spans="1:2" x14ac:dyDescent="0.75">
      <c r="B8" t="s">
        <v>1</v>
      </c>
    </row>
    <row r="9" spans="1:2" x14ac:dyDescent="0.75">
      <c r="B9" s="2">
        <v>2014</v>
      </c>
    </row>
    <row r="10" spans="1:2" x14ac:dyDescent="0.75">
      <c r="B10" t="s">
        <v>2</v>
      </c>
    </row>
    <row r="11" spans="1:2" x14ac:dyDescent="0.75">
      <c r="B11" s="28" t="s">
        <v>3</v>
      </c>
    </row>
    <row r="12" spans="1:2" x14ac:dyDescent="0.75">
      <c r="B12" t="s">
        <v>4</v>
      </c>
    </row>
    <row r="14" spans="1:2" x14ac:dyDescent="0.75">
      <c r="B14" s="27" t="s">
        <v>256</v>
      </c>
    </row>
    <row r="15" spans="1:2" x14ac:dyDescent="0.75">
      <c r="B15" t="s">
        <v>288</v>
      </c>
    </row>
    <row r="16" spans="1:2" x14ac:dyDescent="0.75">
      <c r="B16" s="2">
        <v>2015</v>
      </c>
    </row>
    <row r="17" spans="2:2" x14ac:dyDescent="0.75">
      <c r="B17" t="s">
        <v>289</v>
      </c>
    </row>
    <row r="18" spans="2:2" x14ac:dyDescent="0.75">
      <c r="B18" s="28" t="s">
        <v>230</v>
      </c>
    </row>
    <row r="20" spans="2:2" x14ac:dyDescent="0.75">
      <c r="B20" s="27" t="s">
        <v>290</v>
      </c>
    </row>
    <row r="21" spans="2:2" x14ac:dyDescent="0.75">
      <c r="B21" t="s">
        <v>516</v>
      </c>
    </row>
    <row r="22" spans="2:2" x14ac:dyDescent="0.75">
      <c r="B22" s="2">
        <v>2020</v>
      </c>
    </row>
    <row r="23" spans="2:2" x14ac:dyDescent="0.75">
      <c r="B23" t="s">
        <v>515</v>
      </c>
    </row>
    <row r="24" spans="2:2" x14ac:dyDescent="0.75">
      <c r="B24" s="28" t="s">
        <v>514</v>
      </c>
    </row>
    <row r="26" spans="2:2" x14ac:dyDescent="0.75">
      <c r="B26" s="27" t="s">
        <v>291</v>
      </c>
    </row>
    <row r="27" spans="2:2" x14ac:dyDescent="0.75">
      <c r="B27" t="s">
        <v>292</v>
      </c>
    </row>
    <row r="28" spans="2:2" x14ac:dyDescent="0.75">
      <c r="B28" s="2">
        <v>2015</v>
      </c>
    </row>
    <row r="29" spans="2:2" x14ac:dyDescent="0.75">
      <c r="B29" t="s">
        <v>293</v>
      </c>
    </row>
    <row r="30" spans="2:2" x14ac:dyDescent="0.75">
      <c r="B30" s="28" t="s">
        <v>224</v>
      </c>
    </row>
    <row r="32" spans="2:2" x14ac:dyDescent="0.75">
      <c r="B32" s="27" t="s">
        <v>297</v>
      </c>
    </row>
    <row r="33" spans="2:2" x14ac:dyDescent="0.75">
      <c r="B33" t="s">
        <v>294</v>
      </c>
    </row>
    <row r="34" spans="2:2" x14ac:dyDescent="0.75">
      <c r="B34" s="2">
        <v>2015</v>
      </c>
    </row>
    <row r="35" spans="2:2" x14ac:dyDescent="0.75">
      <c r="B35" t="s">
        <v>295</v>
      </c>
    </row>
    <row r="36" spans="2:2" x14ac:dyDescent="0.75">
      <c r="B36" s="28" t="s">
        <v>235</v>
      </c>
    </row>
    <row r="37" spans="2:2" x14ac:dyDescent="0.75">
      <c r="B37" t="s">
        <v>296</v>
      </c>
    </row>
    <row r="39" spans="2:2" x14ac:dyDescent="0.75">
      <c r="B39" s="27" t="s">
        <v>167</v>
      </c>
    </row>
    <row r="40" spans="2:2" x14ac:dyDescent="0.75">
      <c r="B40" t="s">
        <v>168</v>
      </c>
    </row>
    <row r="41" spans="2:2" x14ac:dyDescent="0.75">
      <c r="B41" s="2" t="s">
        <v>1426</v>
      </c>
    </row>
    <row r="42" spans="2:2" x14ac:dyDescent="0.75">
      <c r="B42" t="s">
        <v>1427</v>
      </c>
    </row>
    <row r="43" spans="2:2" x14ac:dyDescent="0.75">
      <c r="B43" s="28" t="s">
        <v>577</v>
      </c>
    </row>
    <row r="44" spans="2:2" x14ac:dyDescent="0.75">
      <c r="B44" t="s">
        <v>622</v>
      </c>
    </row>
    <row r="46" spans="2:2" x14ac:dyDescent="0.75">
      <c r="B46" s="27" t="s">
        <v>521</v>
      </c>
    </row>
    <row r="47" spans="2:2" x14ac:dyDescent="0.75">
      <c r="B47" t="s">
        <v>517</v>
      </c>
    </row>
    <row r="48" spans="2:2" x14ac:dyDescent="0.75">
      <c r="B48" s="2">
        <v>2020</v>
      </c>
    </row>
    <row r="49" spans="1:2" x14ac:dyDescent="0.75">
      <c r="B49" t="s">
        <v>518</v>
      </c>
    </row>
    <row r="50" spans="1:2" x14ac:dyDescent="0.75">
      <c r="B50" s="28" t="s">
        <v>512</v>
      </c>
    </row>
    <row r="52" spans="1:2" x14ac:dyDescent="0.75">
      <c r="B52" s="27" t="s">
        <v>969</v>
      </c>
    </row>
    <row r="53" spans="1:2" x14ac:dyDescent="0.75">
      <c r="B53" t="s">
        <v>522</v>
      </c>
    </row>
    <row r="54" spans="1:2" x14ac:dyDescent="0.75">
      <c r="B54" s="2">
        <v>2020</v>
      </c>
    </row>
    <row r="55" spans="1:2" x14ac:dyDescent="0.75">
      <c r="B55" t="s">
        <v>523</v>
      </c>
    </row>
    <row r="56" spans="1:2" x14ac:dyDescent="0.75">
      <c r="B56" t="s">
        <v>524</v>
      </c>
    </row>
    <row r="57" spans="1:2" x14ac:dyDescent="0.75">
      <c r="B57" t="s">
        <v>525</v>
      </c>
    </row>
    <row r="60" spans="1:2" x14ac:dyDescent="0.75">
      <c r="A60" s="1" t="s">
        <v>169</v>
      </c>
    </row>
    <row r="61" spans="1:2" x14ac:dyDescent="0.75">
      <c r="A61" t="s">
        <v>959</v>
      </c>
    </row>
    <row r="62" spans="1:2" x14ac:dyDescent="0.75">
      <c r="A62" t="s">
        <v>960</v>
      </c>
    </row>
    <row r="63" spans="1:2" x14ac:dyDescent="0.75">
      <c r="A63" s="1"/>
    </row>
    <row r="64" spans="1:2" x14ac:dyDescent="0.75">
      <c r="A64" t="s">
        <v>655</v>
      </c>
    </row>
    <row r="65" spans="1:1" x14ac:dyDescent="0.75">
      <c r="A65" t="s">
        <v>656</v>
      </c>
    </row>
    <row r="66" spans="1:1" x14ac:dyDescent="0.75">
      <c r="A66" s="1"/>
    </row>
    <row r="67" spans="1:1" x14ac:dyDescent="0.75">
      <c r="A67" t="s">
        <v>170</v>
      </c>
    </row>
    <row r="68" spans="1:1" x14ac:dyDescent="0.75">
      <c r="A68" t="s">
        <v>171</v>
      </c>
    </row>
    <row r="70" spans="1:1" x14ac:dyDescent="0.75">
      <c r="A70" t="s">
        <v>174</v>
      </c>
    </row>
    <row r="71" spans="1:1" x14ac:dyDescent="0.75">
      <c r="A71" t="s">
        <v>175</v>
      </c>
    </row>
    <row r="72" spans="1:1" x14ac:dyDescent="0.75">
      <c r="A72" t="s">
        <v>176</v>
      </c>
    </row>
    <row r="73" spans="1:1" x14ac:dyDescent="0.75">
      <c r="A73" t="s">
        <v>177</v>
      </c>
    </row>
    <row r="75" spans="1:1" x14ac:dyDescent="0.75">
      <c r="A75" t="s">
        <v>186</v>
      </c>
    </row>
    <row r="76" spans="1:1" x14ac:dyDescent="0.75">
      <c r="A76" t="s">
        <v>187</v>
      </c>
    </row>
    <row r="77" spans="1:1" x14ac:dyDescent="0.75">
      <c r="A77" t="s">
        <v>188</v>
      </c>
    </row>
    <row r="78" spans="1:1" x14ac:dyDescent="0.75">
      <c r="A78" t="s">
        <v>190</v>
      </c>
    </row>
    <row r="79" spans="1:1" x14ac:dyDescent="0.75">
      <c r="A79">
        <v>0.97099999999999997</v>
      </c>
    </row>
    <row r="80" spans="1:1" x14ac:dyDescent="0.75">
      <c r="A80" t="s">
        <v>189</v>
      </c>
    </row>
    <row r="82" spans="1:5" x14ac:dyDescent="0.75">
      <c r="A82" t="s">
        <v>519</v>
      </c>
    </row>
    <row r="83" spans="1:5" x14ac:dyDescent="0.75">
      <c r="A83">
        <v>0.89805481563188172</v>
      </c>
    </row>
    <row r="84" spans="1:5" x14ac:dyDescent="0.75">
      <c r="A84" t="s">
        <v>189</v>
      </c>
    </row>
    <row r="85" spans="1:5" x14ac:dyDescent="0.75">
      <c r="A85">
        <v>0.88711067149387013</v>
      </c>
      <c r="B85" t="s">
        <v>526</v>
      </c>
      <c r="E85" s="19"/>
    </row>
    <row r="86" spans="1:5" x14ac:dyDescent="0.75">
      <c r="A86">
        <v>0.78452102304761584</v>
      </c>
      <c r="B86" t="s">
        <v>746</v>
      </c>
      <c r="E86" s="19"/>
    </row>
    <row r="87" spans="1:5" x14ac:dyDescent="0.75">
      <c r="A87">
        <v>0.75350342301658668</v>
      </c>
      <c r="B87" t="s">
        <v>992</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80" workbookViewId="0">
      <selection activeCell="A17" sqref="A17"/>
    </sheetView>
  </sheetViews>
  <sheetFormatPr defaultColWidth="12.54296875" defaultRowHeight="15.75" customHeight="1" x14ac:dyDescent="0.7"/>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7" ht="13.5" x14ac:dyDescent="0.7">
      <c r="A1" s="76" t="s">
        <v>657</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7">
      <c r="A2" s="79" t="s">
        <v>955</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3.5" x14ac:dyDescent="0.7">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3.5" x14ac:dyDescent="0.7">
      <c r="A4" s="76" t="s">
        <v>747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3.5" x14ac:dyDescent="0.7">
      <c r="A5" s="77" t="s">
        <v>956</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3.5" x14ac:dyDescent="0.7">
      <c r="A6" s="77" t="s">
        <v>963</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3.5" x14ac:dyDescent="0.7">
      <c r="A7" s="77" t="s">
        <v>748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3.5" x14ac:dyDescent="0.7">
      <c r="A8" s="77">
        <f>1554.4*0.25</f>
        <v>388.6</v>
      </c>
      <c r="B8" s="77" t="s">
        <v>749</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3.5" x14ac:dyDescent="0.7">
      <c r="A9" s="77" t="s">
        <v>991</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3.5" x14ac:dyDescent="0.7">
      <c r="A10" s="77" t="s">
        <v>964</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3.5" x14ac:dyDescent="0.7">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3.5" x14ac:dyDescent="0.7">
      <c r="A12" s="77" t="s">
        <v>752</v>
      </c>
      <c r="B12" s="77" t="s">
        <v>753</v>
      </c>
      <c r="C12" s="77" t="s">
        <v>754</v>
      </c>
      <c r="D12" s="77" t="s">
        <v>755</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3.5" x14ac:dyDescent="0.7">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3.5" x14ac:dyDescent="0.7">
      <c r="A14" s="87"/>
      <c r="B14" s="87"/>
      <c r="C14" s="87"/>
      <c r="D14" s="87"/>
      <c r="E14" s="77"/>
      <c r="F14" s="77"/>
      <c r="G14" s="77"/>
      <c r="H14" s="77"/>
      <c r="I14" s="77"/>
      <c r="J14" s="77"/>
      <c r="K14" s="77"/>
      <c r="L14" s="77"/>
      <c r="M14" s="77"/>
      <c r="N14" s="77"/>
      <c r="O14" s="77"/>
      <c r="P14" s="77"/>
      <c r="Q14" s="77" t="s">
        <v>965</v>
      </c>
      <c r="R14" s="77" t="s">
        <v>966</v>
      </c>
      <c r="S14" s="77" t="s">
        <v>967</v>
      </c>
      <c r="T14" s="77" t="s">
        <v>968</v>
      </c>
      <c r="U14" s="77"/>
      <c r="V14" s="77"/>
      <c r="W14" s="77"/>
      <c r="X14" s="77"/>
      <c r="Y14" s="77"/>
      <c r="Z14" s="77"/>
      <c r="AA14" s="77"/>
      <c r="AB14" s="77"/>
      <c r="AC14" s="77"/>
      <c r="AD14" s="77"/>
      <c r="AE14" s="77"/>
      <c r="AF14" s="77"/>
      <c r="AG14" s="77"/>
      <c r="AH14" s="77"/>
      <c r="AI14" s="77"/>
      <c r="AJ14" s="77"/>
    </row>
    <row r="15" spans="1:37" ht="13.5" x14ac:dyDescent="0.7">
      <c r="A15" s="87" t="s">
        <v>990</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3.5" x14ac:dyDescent="0.7">
      <c r="A16" s="78">
        <v>2020</v>
      </c>
      <c r="B16" s="342">
        <v>2021</v>
      </c>
      <c r="C16" s="342">
        <v>2022</v>
      </c>
      <c r="D16" s="342">
        <v>2023</v>
      </c>
      <c r="E16" s="342">
        <v>2024</v>
      </c>
      <c r="F16" s="342">
        <v>2025</v>
      </c>
      <c r="G16" s="342">
        <v>2026</v>
      </c>
      <c r="H16" s="342">
        <v>2027</v>
      </c>
      <c r="I16" s="342">
        <v>2028</v>
      </c>
      <c r="J16" s="342">
        <v>2029</v>
      </c>
      <c r="K16" s="342">
        <v>2030</v>
      </c>
      <c r="L16" s="342">
        <v>2031</v>
      </c>
      <c r="M16" s="342">
        <v>2032</v>
      </c>
      <c r="N16" s="342">
        <v>2033</v>
      </c>
      <c r="O16" s="342">
        <v>2034</v>
      </c>
      <c r="P16" s="342">
        <v>2035</v>
      </c>
      <c r="Q16" s="342">
        <v>2036</v>
      </c>
      <c r="R16" s="342">
        <v>2037</v>
      </c>
      <c r="S16" s="342">
        <v>2038</v>
      </c>
      <c r="T16" s="342">
        <v>2039</v>
      </c>
      <c r="U16" s="342">
        <v>2040</v>
      </c>
      <c r="V16" s="342">
        <v>2041</v>
      </c>
      <c r="W16" s="342">
        <v>2042</v>
      </c>
      <c r="X16" s="342">
        <v>2043</v>
      </c>
      <c r="Y16" s="342">
        <v>2044</v>
      </c>
      <c r="Z16" s="342">
        <v>2045</v>
      </c>
      <c r="AA16" s="342">
        <v>2046</v>
      </c>
      <c r="AB16" s="342">
        <v>2047</v>
      </c>
      <c r="AC16" s="342">
        <v>2048</v>
      </c>
      <c r="AD16" s="342">
        <v>2049</v>
      </c>
      <c r="AE16" s="342">
        <v>2050</v>
      </c>
      <c r="AF16" s="342"/>
      <c r="AG16" s="342"/>
      <c r="AH16" s="342"/>
      <c r="AI16" s="342"/>
      <c r="AJ16" s="342"/>
      <c r="AK16" s="342"/>
    </row>
    <row r="17" spans="1:51" ht="13.5" x14ac:dyDescent="0.7">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3.5" x14ac:dyDescent="0.7">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3.5" x14ac:dyDescent="0.7">
      <c r="A19" s="76" t="s">
        <v>658</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3.5" x14ac:dyDescent="0.7">
      <c r="A20" s="81" t="s">
        <v>659</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3.5" x14ac:dyDescent="0.7">
      <c r="A21" s="83" t="s">
        <v>660</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3.5" x14ac:dyDescent="0.7">
      <c r="A22" s="84" t="s">
        <v>661</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3.5" x14ac:dyDescent="0.7">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3.5" x14ac:dyDescent="0.7">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3.5" x14ac:dyDescent="0.7">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3.5" x14ac:dyDescent="0.7">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3.5" x14ac:dyDescent="0.7">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3.5" x14ac:dyDescent="0.7">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3.5" x14ac:dyDescent="0.7">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3.5" x14ac:dyDescent="0.7">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3.5" x14ac:dyDescent="0.7">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3.5" x14ac:dyDescent="0.7">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5" x14ac:dyDescent="0.7">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5" x14ac:dyDescent="0.7">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5" x14ac:dyDescent="0.7">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5" x14ac:dyDescent="0.7">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5" x14ac:dyDescent="0.7">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5" x14ac:dyDescent="0.7">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5" x14ac:dyDescent="0.7">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5" x14ac:dyDescent="0.7">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5" x14ac:dyDescent="0.7">
      <c r="A41" s="77" t="s">
        <v>662</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5" x14ac:dyDescent="0.7">
      <c r="A42" s="77" t="s">
        <v>663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5" x14ac:dyDescent="0.7">
      <c r="A43" s="77" t="s">
        <v>664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5" x14ac:dyDescent="0.7">
      <c r="A44" s="77" t="s">
        <v>750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5" x14ac:dyDescent="0.7">
      <c r="A45" s="78" t="s">
        <v>665</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5" x14ac:dyDescent="0.7">
      <c r="A46" s="78" t="s">
        <v>666</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5" x14ac:dyDescent="0.7">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5" x14ac:dyDescent="0.7">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3.5" x14ac:dyDescent="0.7">
      <c r="A49" s="88" t="s">
        <v>667</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3.5" x14ac:dyDescent="0.7">
      <c r="A50" s="88" t="s">
        <v>668</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3.5" x14ac:dyDescent="0.7">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5" x14ac:dyDescent="0.7">
      <c r="A52" s="81" t="s">
        <v>669</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3.5" x14ac:dyDescent="0.7">
      <c r="A53" s="77" t="s">
        <v>670</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5" x14ac:dyDescent="0.7">
      <c r="A54" s="89" t="s">
        <v>671</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5" x14ac:dyDescent="0.7">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5" x14ac:dyDescent="0.7">
      <c r="A56" s="90" t="s">
        <v>672</v>
      </c>
      <c r="B56" s="91" t="s">
        <v>673</v>
      </c>
      <c r="C56" s="77"/>
      <c r="D56" s="90" t="s">
        <v>674</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5" x14ac:dyDescent="0.7">
      <c r="A57" s="92" t="s">
        <v>675</v>
      </c>
      <c r="B57" s="93" t="s">
        <v>676</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5" x14ac:dyDescent="0.7">
      <c r="A58" s="94" t="s">
        <v>677</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5" x14ac:dyDescent="0.7">
      <c r="A59" s="94" t="s">
        <v>678</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5" x14ac:dyDescent="0.7">
      <c r="A60" s="94" t="s">
        <v>679</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5" x14ac:dyDescent="0.7">
      <c r="A61" s="94" t="s">
        <v>680</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5" x14ac:dyDescent="0.7">
      <c r="A62" s="94" t="s">
        <v>681</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5" x14ac:dyDescent="0.7">
      <c r="A63" s="94" t="s">
        <v>682</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5" x14ac:dyDescent="0.7">
      <c r="A64" s="94" t="s">
        <v>683</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5" x14ac:dyDescent="0.7">
      <c r="A65" s="94" t="s">
        <v>684</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5" x14ac:dyDescent="0.7">
      <c r="A66" s="94" t="s">
        <v>685</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5" x14ac:dyDescent="0.7">
      <c r="A67" s="97" t="s">
        <v>686</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5" x14ac:dyDescent="0.7">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5" x14ac:dyDescent="0.7">
      <c r="A69" s="77" t="s">
        <v>687</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5" x14ac:dyDescent="0.7">
      <c r="A70" s="77" t="s">
        <v>688</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5" x14ac:dyDescent="0.7">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5" x14ac:dyDescent="0.7">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5" x14ac:dyDescent="0.7">
      <c r="A73" s="79" t="s">
        <v>689</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5" x14ac:dyDescent="0.7">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7" x14ac:dyDescent="0.7">
      <c r="A75" s="79" t="s">
        <v>690</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3.5" x14ac:dyDescent="0.7">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3.5" x14ac:dyDescent="0.7">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3.5" x14ac:dyDescent="0.7">
      <c r="A78" s="96" t="s">
        <v>691</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3.5" x14ac:dyDescent="0.7">
      <c r="A79" s="96" t="s">
        <v>692</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3.5" x14ac:dyDescent="0.7">
      <c r="A80" s="77" t="s">
        <v>693</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3.5" x14ac:dyDescent="0.7">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13.5" x14ac:dyDescent="0.7">
      <c r="A82" s="79" t="s">
        <v>694</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3.5" x14ac:dyDescent="0.7">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3.5" x14ac:dyDescent="0.7">
      <c r="A84" s="81" t="s">
        <v>695</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3.5" x14ac:dyDescent="0.7">
      <c r="A85" s="83" t="s">
        <v>696</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5" x14ac:dyDescent="0.7">
      <c r="A86" s="83" t="s">
        <v>697</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5" x14ac:dyDescent="0.7">
      <c r="A87" s="83" t="s">
        <v>698</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5" x14ac:dyDescent="0.7">
      <c r="A88" s="83" t="s">
        <v>699</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5" x14ac:dyDescent="0.7">
      <c r="A89" s="83" t="s">
        <v>700</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5" x14ac:dyDescent="0.7">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5" x14ac:dyDescent="0.7">
      <c r="A91" s="81" t="s">
        <v>701</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3.5" x14ac:dyDescent="0.7">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5" x14ac:dyDescent="0.7">
      <c r="A93" s="103" t="s">
        <v>702</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5" x14ac:dyDescent="0.7">
      <c r="A94" s="103" t="s">
        <v>703</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5" x14ac:dyDescent="0.7">
      <c r="A95" s="103" t="s">
        <v>751</v>
      </c>
      <c r="B95" s="77">
        <v>1.6687000000000001</v>
      </c>
      <c r="C95" s="105" t="s">
        <v>704</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5" x14ac:dyDescent="0.7">
      <c r="A96" s="103" t="s">
        <v>705</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6.75" x14ac:dyDescent="1.1499999999999999">
      <c r="A97" s="103" t="s">
        <v>706</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75" x14ac:dyDescent="1.1499999999999999">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5" x14ac:dyDescent="0.7">
      <c r="A99" s="103" t="s">
        <v>707</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5" x14ac:dyDescent="0.7">
      <c r="A100" s="103" t="s">
        <v>708</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6.75" x14ac:dyDescent="1.1499999999999999">
      <c r="A101" s="103" t="s">
        <v>709</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5" x14ac:dyDescent="0.7">
      <c r="A102" s="103" t="s">
        <v>582</v>
      </c>
      <c r="B102" s="110">
        <v>0</v>
      </c>
      <c r="C102" s="77" t="s">
        <v>740</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5" x14ac:dyDescent="0.7">
      <c r="A103" s="103" t="s">
        <v>710</v>
      </c>
      <c r="B103" s="112">
        <v>7.4999999999999997E-2</v>
      </c>
      <c r="C103" s="77" t="s">
        <v>756</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5" x14ac:dyDescent="0.7">
      <c r="A104" s="103" t="s">
        <v>711</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5" x14ac:dyDescent="0.7">
      <c r="A105" s="103" t="s">
        <v>712</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5" x14ac:dyDescent="0.7">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3.5" x14ac:dyDescent="0.7">
      <c r="A107" s="113" t="s">
        <v>713</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3.5" x14ac:dyDescent="0.7">
      <c r="A108" s="343"/>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5" x14ac:dyDescent="0.7">
      <c r="A109" s="343" t="s">
        <v>972</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3.5" x14ac:dyDescent="0.7">
      <c r="A110" s="343"/>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5" x14ac:dyDescent="0.7">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3.5" x14ac:dyDescent="0.7">
      <c r="A112" s="103" t="s">
        <v>970</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3.5" x14ac:dyDescent="0.7">
      <c r="A113" s="103" t="s">
        <v>971</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3.5" x14ac:dyDescent="0.7">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3.5" x14ac:dyDescent="0.7">
      <c r="A115" s="103" t="s">
        <v>714</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3.5" x14ac:dyDescent="0.7">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3.5" x14ac:dyDescent="0.7">
      <c r="A117" s="103" t="s">
        <v>715</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3.5" x14ac:dyDescent="0.7">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3.5" x14ac:dyDescent="0.7">
      <c r="A119" s="103" t="s">
        <v>716</v>
      </c>
      <c r="B119" s="346">
        <v>0</v>
      </c>
      <c r="C119" s="346">
        <v>0</v>
      </c>
      <c r="D119" s="346">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3.5" x14ac:dyDescent="0.7">
      <c r="A120" s="103" t="s">
        <v>985</v>
      </c>
      <c r="B120" s="346"/>
      <c r="C120" s="346"/>
      <c r="D120" s="346"/>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5" x14ac:dyDescent="0.7">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5" x14ac:dyDescent="0.7">
      <c r="A122" s="103" t="s">
        <v>741</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3.5" x14ac:dyDescent="0.7">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3.5" x14ac:dyDescent="0.7">
      <c r="A124" s="113" t="s">
        <v>717</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7" x14ac:dyDescent="0.7">
      <c r="A125" s="343"/>
      <c r="B125" s="77" t="s">
        <v>729</v>
      </c>
      <c r="C125" s="118" t="s">
        <v>730</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3.5" x14ac:dyDescent="0.7">
      <c r="A126" s="343" t="s">
        <v>972</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3.5" x14ac:dyDescent="0.7">
      <c r="A127" s="34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5" x14ac:dyDescent="0.7">
      <c r="A128" s="103" t="s">
        <v>718</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3.5" x14ac:dyDescent="0.7">
      <c r="A129" s="103" t="s">
        <v>986</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3.5" x14ac:dyDescent="0.7">
      <c r="A130" s="103" t="s">
        <v>987</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3.5" x14ac:dyDescent="0.7">
      <c r="A131" s="103" t="s">
        <v>988</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3.5" x14ac:dyDescent="0.7">
      <c r="A132" s="103" t="s">
        <v>989</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3.5" x14ac:dyDescent="0.7">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3.5" x14ac:dyDescent="0.7">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5" x14ac:dyDescent="0.7">
      <c r="A135" s="103" t="s">
        <v>719</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5" x14ac:dyDescent="0.7">
      <c r="A136" s="103" t="s">
        <v>720</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5" x14ac:dyDescent="0.7">
      <c r="A137" s="103" t="s">
        <v>709</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5" x14ac:dyDescent="0.7">
      <c r="A138" s="77" t="s">
        <v>710</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5" x14ac:dyDescent="0.7">
      <c r="A139" s="103" t="s">
        <v>711</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5" x14ac:dyDescent="0.7">
      <c r="A140" s="103" t="s">
        <v>712</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5" x14ac:dyDescent="0.7">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5" x14ac:dyDescent="0.7">
      <c r="A142" s="121" t="s">
        <v>721</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5" x14ac:dyDescent="0.7">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3.5" x14ac:dyDescent="0.7">
      <c r="A144" s="77" t="s">
        <v>722</v>
      </c>
      <c r="B144" s="346">
        <f>(($B$136*C50+$B$135*(1-C50))+($B$137*C80)+($B$139*$B$140))*(1-$B$138)*B129</f>
        <v>0.37019212259371836</v>
      </c>
      <c r="C144" s="346">
        <f>(($B$136*D50+$B$135*(1-D50))+($B$137*D80)+($B$139*$B$140))*(1-$B$138)*C129</f>
        <v>0.37753261144883488</v>
      </c>
      <c r="D144" s="346">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3.5" x14ac:dyDescent="0.7">
      <c r="A145" s="103" t="s">
        <v>985</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3.5" x14ac:dyDescent="0.7">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3.5" x14ac:dyDescent="0.7">
      <c r="A147" s="77" t="s">
        <v>723</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3.5" x14ac:dyDescent="0.7">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3.5" x14ac:dyDescent="0.7">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3.5" x14ac:dyDescent="0.7">
      <c r="A150" s="77" t="s">
        <v>724</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3.5" x14ac:dyDescent="0.7">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3.5" x14ac:dyDescent="0.7">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3.5" x14ac:dyDescent="0.7">
      <c r="A153" s="77" t="s">
        <v>725</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3.5" x14ac:dyDescent="0.7">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3.5" x14ac:dyDescent="0.7">
      <c r="A155" s="113" t="s">
        <v>973</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3.5" x14ac:dyDescent="0.7">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3.5" x14ac:dyDescent="0.7">
      <c r="A157" s="77" t="s">
        <v>981</v>
      </c>
      <c r="B157" s="344">
        <f>'Solar - Utility PV'!O152/1000</f>
        <v>1.3313527873137889</v>
      </c>
      <c r="C157" s="344">
        <f>'Solar - Utility PV'!P152/1000</f>
        <v>1.2895074168949341</v>
      </c>
      <c r="D157" s="344">
        <f>'Solar - Utility PV'!Q152/1000</f>
        <v>1.2476620464760786</v>
      </c>
      <c r="E157" s="344">
        <f>'Solar - Utility PV'!R152/1000</f>
        <v>1.2058166760572233</v>
      </c>
      <c r="F157" s="344">
        <f>'Solar - Utility PV'!S152/1000</f>
        <v>1.1639713056383683</v>
      </c>
      <c r="G157" s="344">
        <f>'Solar - Utility PV'!T152/1000</f>
        <v>1.122125935219513</v>
      </c>
      <c r="H157" s="344">
        <f>'Solar - Utility PV'!U152/1000</f>
        <v>1.0802805648006577</v>
      </c>
      <c r="I157" s="344">
        <f>'Solar - Utility PV'!V152/1000</f>
        <v>1.0384351943818024</v>
      </c>
      <c r="J157" s="344">
        <f>'Solar - Utility PV'!W152/1000</f>
        <v>0.99658982396294715</v>
      </c>
      <c r="K157" s="344">
        <f>'Solar - Utility PV'!X152/1000</f>
        <v>0.95474445354409199</v>
      </c>
      <c r="L157" s="344">
        <f>'Solar - Utility PV'!Y152/1000</f>
        <v>0.91289908312523671</v>
      </c>
      <c r="M157" s="344">
        <f>'Solar - Utility PV'!Z152/1000</f>
        <v>0.87105371270638143</v>
      </c>
      <c r="N157" s="344">
        <f>'Solar - Utility PV'!AA152/1000</f>
        <v>0.8292083422875256</v>
      </c>
      <c r="O157" s="344">
        <f>'Solar - Utility PV'!AB152/1000</f>
        <v>0.81609242237332258</v>
      </c>
      <c r="P157" s="344">
        <f>'Solar - Utility PV'!AC152/1000</f>
        <v>0.80297650245911978</v>
      </c>
      <c r="Q157" s="344">
        <f>'Solar - Utility PV'!AD152/1000</f>
        <v>0.78986058254491687</v>
      </c>
      <c r="R157" s="344">
        <f>'Solar - Utility PV'!AE152/1000</f>
        <v>0.77674466263071396</v>
      </c>
      <c r="S157" s="344">
        <f>'Solar - Utility PV'!AF152/1000</f>
        <v>0.76362874271651093</v>
      </c>
      <c r="T157" s="344">
        <f>'Solar - Utility PV'!AG152/1000</f>
        <v>0.75051282280230802</v>
      </c>
      <c r="U157" s="344">
        <f>'Solar - Utility PV'!AH152/1000</f>
        <v>0.73739690288810511</v>
      </c>
      <c r="V157" s="344">
        <f>'Solar - Utility PV'!AI152/1000</f>
        <v>0.7242809829739022</v>
      </c>
      <c r="W157" s="344">
        <f>'Solar - Utility PV'!AJ152/1000</f>
        <v>0.7111650630596994</v>
      </c>
      <c r="X157" s="344">
        <f>'Solar - Utility PV'!AK152/1000</f>
        <v>0.69804914314549638</v>
      </c>
      <c r="Y157" s="344">
        <f>'Solar - Utility PV'!AL152/1000</f>
        <v>0.68493322323129346</v>
      </c>
      <c r="Z157" s="344">
        <f>'Solar - Utility PV'!AM152/1000</f>
        <v>0.67181730331709055</v>
      </c>
      <c r="AA157" s="344">
        <f>'Solar - Utility PV'!AN152/1000</f>
        <v>0.65870138340288764</v>
      </c>
      <c r="AB157" s="344">
        <f>'Solar - Utility PV'!AO152/1000</f>
        <v>0.64558546348868484</v>
      </c>
      <c r="AC157" s="344">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3.5" x14ac:dyDescent="0.7">
      <c r="A158" s="77" t="s">
        <v>984</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3.5" x14ac:dyDescent="0.7">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3.5" x14ac:dyDescent="0.7">
      <c r="A160" s="77" t="s">
        <v>717</v>
      </c>
      <c r="B160" s="344">
        <f>B144</f>
        <v>0.37019212259371836</v>
      </c>
      <c r="C160" s="344">
        <f t="shared" ref="C160:AC160" si="16">C144</f>
        <v>0.37753261144883488</v>
      </c>
      <c r="D160" s="344">
        <f t="shared" si="16"/>
        <v>0.38487310030395139</v>
      </c>
      <c r="E160" s="344">
        <f t="shared" si="16"/>
        <v>0</v>
      </c>
      <c r="F160" s="344">
        <f t="shared" si="16"/>
        <v>0</v>
      </c>
      <c r="G160" s="344">
        <f t="shared" si="16"/>
        <v>0</v>
      </c>
      <c r="H160" s="344">
        <f t="shared" si="16"/>
        <v>0</v>
      </c>
      <c r="I160" s="344">
        <f t="shared" si="16"/>
        <v>0</v>
      </c>
      <c r="J160" s="344">
        <f t="shared" si="16"/>
        <v>0</v>
      </c>
      <c r="K160" s="344">
        <f t="shared" si="16"/>
        <v>0</v>
      </c>
      <c r="L160" s="344">
        <f t="shared" si="16"/>
        <v>0</v>
      </c>
      <c r="M160" s="344">
        <f t="shared" si="16"/>
        <v>0</v>
      </c>
      <c r="N160" s="344">
        <f t="shared" si="16"/>
        <v>0</v>
      </c>
      <c r="O160" s="344">
        <f t="shared" si="16"/>
        <v>0</v>
      </c>
      <c r="P160" s="344">
        <f t="shared" si="16"/>
        <v>0</v>
      </c>
      <c r="Q160" s="344">
        <f t="shared" si="16"/>
        <v>0</v>
      </c>
      <c r="R160" s="344">
        <f t="shared" si="16"/>
        <v>0</v>
      </c>
      <c r="S160" s="344">
        <f t="shared" si="16"/>
        <v>0</v>
      </c>
      <c r="T160" s="344">
        <f t="shared" si="16"/>
        <v>0</v>
      </c>
      <c r="U160" s="344">
        <f t="shared" si="16"/>
        <v>0</v>
      </c>
      <c r="V160" s="344">
        <f t="shared" si="16"/>
        <v>0</v>
      </c>
      <c r="W160" s="344">
        <f t="shared" si="16"/>
        <v>0</v>
      </c>
      <c r="X160" s="344">
        <f t="shared" si="16"/>
        <v>0</v>
      </c>
      <c r="Y160" s="344">
        <f t="shared" si="16"/>
        <v>0</v>
      </c>
      <c r="Z160" s="344">
        <f t="shared" si="16"/>
        <v>0</v>
      </c>
      <c r="AA160" s="344">
        <f t="shared" si="16"/>
        <v>0</v>
      </c>
      <c r="AB160" s="344">
        <f t="shared" si="16"/>
        <v>0</v>
      </c>
      <c r="AC160" s="344">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5" x14ac:dyDescent="0.7">
      <c r="A161" s="77" t="s">
        <v>713</v>
      </c>
      <c r="B161" s="344">
        <f t="shared" ref="B161:AC161" si="17">B119</f>
        <v>0</v>
      </c>
      <c r="C161" s="344">
        <f t="shared" si="17"/>
        <v>0</v>
      </c>
      <c r="D161" s="344">
        <f t="shared" si="17"/>
        <v>0</v>
      </c>
      <c r="E161" s="344">
        <f t="shared" si="17"/>
        <v>22.91774335994446</v>
      </c>
      <c r="F161" s="344">
        <f t="shared" si="17"/>
        <v>22.913007930703568</v>
      </c>
      <c r="G161" s="344">
        <f t="shared" si="17"/>
        <v>22.90913348859738</v>
      </c>
      <c r="H161" s="344">
        <f t="shared" si="17"/>
        <v>22.90913348859738</v>
      </c>
      <c r="I161" s="344">
        <f t="shared" si="17"/>
        <v>22.90913348859738</v>
      </c>
      <c r="J161" s="344">
        <f t="shared" si="17"/>
        <v>22.90913348859738</v>
      </c>
      <c r="K161" s="344">
        <f t="shared" si="17"/>
        <v>22.90913348859738</v>
      </c>
      <c r="L161" s="344">
        <f t="shared" si="17"/>
        <v>22.90913348859738</v>
      </c>
      <c r="M161" s="344">
        <f t="shared" si="17"/>
        <v>22.90913348859738</v>
      </c>
      <c r="N161" s="344">
        <f t="shared" si="17"/>
        <v>22.90913348859738</v>
      </c>
      <c r="O161" s="344">
        <f t="shared" si="17"/>
        <v>22.90913348859738</v>
      </c>
      <c r="P161" s="344">
        <f t="shared" si="17"/>
        <v>22.90913348859738</v>
      </c>
      <c r="Q161" s="344">
        <f t="shared" si="17"/>
        <v>22.90913348859738</v>
      </c>
      <c r="R161" s="344">
        <f t="shared" si="17"/>
        <v>17.181850116448036</v>
      </c>
      <c r="S161" s="344">
        <f t="shared" si="17"/>
        <v>11.45456674429869</v>
      </c>
      <c r="T161" s="344">
        <f t="shared" si="17"/>
        <v>0</v>
      </c>
      <c r="U161" s="344">
        <f t="shared" si="17"/>
        <v>0</v>
      </c>
      <c r="V161" s="344">
        <f t="shared" si="17"/>
        <v>0</v>
      </c>
      <c r="W161" s="344">
        <f t="shared" si="17"/>
        <v>0</v>
      </c>
      <c r="X161" s="344">
        <f t="shared" si="17"/>
        <v>0</v>
      </c>
      <c r="Y161" s="344">
        <f t="shared" si="17"/>
        <v>0</v>
      </c>
      <c r="Z161" s="344">
        <f t="shared" si="17"/>
        <v>0</v>
      </c>
      <c r="AA161" s="344">
        <f t="shared" si="17"/>
        <v>0</v>
      </c>
      <c r="AB161" s="344">
        <f t="shared" si="17"/>
        <v>0</v>
      </c>
      <c r="AC161" s="344">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5" x14ac:dyDescent="0.7">
      <c r="A162" s="77"/>
      <c r="B162" s="344"/>
      <c r="C162" s="344"/>
      <c r="D162" s="344"/>
      <c r="E162" s="344"/>
      <c r="F162" s="344"/>
      <c r="G162" s="344"/>
      <c r="H162" s="344"/>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5" x14ac:dyDescent="0.7">
      <c r="A163" s="77" t="s">
        <v>974</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5" x14ac:dyDescent="0.7">
      <c r="A164" s="77" t="s">
        <v>975</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5" x14ac:dyDescent="0.7">
      <c r="A165" s="77" t="s">
        <v>976</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5" x14ac:dyDescent="0.7">
      <c r="A166" s="77" t="s">
        <v>982</v>
      </c>
      <c r="B166" s="342">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5" x14ac:dyDescent="0.7">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5" x14ac:dyDescent="0.7">
      <c r="A168" s="77" t="s">
        <v>977</v>
      </c>
      <c r="B168" s="345">
        <f>$B$163*10^6*B157*B160</f>
        <v>49285631.425675482</v>
      </c>
      <c r="C168" s="345">
        <f t="shared" ref="C168:AC168" si="19">$B$163*10^6*C157*C160</f>
        <v>48683110.258298583</v>
      </c>
      <c r="D168" s="345">
        <f t="shared" si="19"/>
        <v>48019155.995882109</v>
      </c>
      <c r="E168" s="345">
        <f t="shared" si="19"/>
        <v>0</v>
      </c>
      <c r="F168" s="345">
        <f t="shared" si="19"/>
        <v>0</v>
      </c>
      <c r="G168" s="345">
        <f t="shared" si="19"/>
        <v>0</v>
      </c>
      <c r="H168" s="345">
        <f t="shared" si="19"/>
        <v>0</v>
      </c>
      <c r="I168" s="345">
        <f t="shared" si="19"/>
        <v>0</v>
      </c>
      <c r="J168" s="345">
        <f t="shared" si="19"/>
        <v>0</v>
      </c>
      <c r="K168" s="345">
        <f t="shared" si="19"/>
        <v>0</v>
      </c>
      <c r="L168" s="345">
        <f t="shared" si="19"/>
        <v>0</v>
      </c>
      <c r="M168" s="345">
        <f t="shared" si="19"/>
        <v>0</v>
      </c>
      <c r="N168" s="345">
        <f t="shared" si="19"/>
        <v>0</v>
      </c>
      <c r="O168" s="345">
        <f t="shared" si="19"/>
        <v>0</v>
      </c>
      <c r="P168" s="345">
        <f t="shared" si="19"/>
        <v>0</v>
      </c>
      <c r="Q168" s="345">
        <f t="shared" si="19"/>
        <v>0</v>
      </c>
      <c r="R168" s="345">
        <f t="shared" si="19"/>
        <v>0</v>
      </c>
      <c r="S168" s="345">
        <f t="shared" si="19"/>
        <v>0</v>
      </c>
      <c r="T168" s="345">
        <f t="shared" si="19"/>
        <v>0</v>
      </c>
      <c r="U168" s="345">
        <f t="shared" si="19"/>
        <v>0</v>
      </c>
      <c r="V168" s="345">
        <f t="shared" si="19"/>
        <v>0</v>
      </c>
      <c r="W168" s="345">
        <f t="shared" si="19"/>
        <v>0</v>
      </c>
      <c r="X168" s="345">
        <f t="shared" si="19"/>
        <v>0</v>
      </c>
      <c r="Y168" s="345">
        <f t="shared" si="19"/>
        <v>0</v>
      </c>
      <c r="Z168" s="345">
        <f t="shared" si="19"/>
        <v>0</v>
      </c>
      <c r="AA168" s="345">
        <f t="shared" si="19"/>
        <v>0</v>
      </c>
      <c r="AB168" s="345">
        <f t="shared" si="19"/>
        <v>0</v>
      </c>
      <c r="AC168" s="345">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5" x14ac:dyDescent="0.7">
      <c r="A169" s="77" t="s">
        <v>978</v>
      </c>
      <c r="B169" s="345">
        <f>B164*B161</f>
        <v>0</v>
      </c>
      <c r="C169" s="345">
        <f t="shared" ref="C169:AC169" si="20">C164*C161</f>
        <v>0</v>
      </c>
      <c r="D169" s="345">
        <f t="shared" si="20"/>
        <v>0</v>
      </c>
      <c r="E169" s="345">
        <f t="shared" si="20"/>
        <v>5018985.7958278367</v>
      </c>
      <c r="F169" s="345">
        <f t="shared" si="20"/>
        <v>5017948.7368240813</v>
      </c>
      <c r="G169" s="345">
        <f t="shared" si="20"/>
        <v>5017100.2340028258</v>
      </c>
      <c r="H169" s="345">
        <f t="shared" si="20"/>
        <v>5017100.2340028258</v>
      </c>
      <c r="I169" s="345">
        <f t="shared" si="20"/>
        <v>5017100.2340028258</v>
      </c>
      <c r="J169" s="345">
        <f t="shared" si="20"/>
        <v>5017100.2340028258</v>
      </c>
      <c r="K169" s="345">
        <f t="shared" si="20"/>
        <v>5017100.2340028258</v>
      </c>
      <c r="L169" s="345">
        <f t="shared" si="20"/>
        <v>5017100.2340028258</v>
      </c>
      <c r="M169" s="345">
        <f t="shared" si="20"/>
        <v>5017100.2340028258</v>
      </c>
      <c r="N169" s="345">
        <f t="shared" si="20"/>
        <v>5017100.2340028258</v>
      </c>
      <c r="O169" s="345">
        <f t="shared" si="20"/>
        <v>5017100.2340028258</v>
      </c>
      <c r="P169" s="345">
        <f t="shared" si="20"/>
        <v>5017100.2340028258</v>
      </c>
      <c r="Q169" s="345">
        <f t="shared" si="20"/>
        <v>5017100.2340028258</v>
      </c>
      <c r="R169" s="345">
        <f t="shared" si="20"/>
        <v>3762825.1755021201</v>
      </c>
      <c r="S169" s="345">
        <f t="shared" si="20"/>
        <v>2508550.1170014129</v>
      </c>
      <c r="T169" s="345">
        <f t="shared" si="20"/>
        <v>0</v>
      </c>
      <c r="U169" s="345">
        <f t="shared" si="20"/>
        <v>0</v>
      </c>
      <c r="V169" s="345">
        <f t="shared" si="20"/>
        <v>0</v>
      </c>
      <c r="W169" s="345">
        <f t="shared" si="20"/>
        <v>0</v>
      </c>
      <c r="X169" s="345">
        <f t="shared" si="20"/>
        <v>0</v>
      </c>
      <c r="Y169" s="345">
        <f t="shared" si="20"/>
        <v>0</v>
      </c>
      <c r="Z169" s="345">
        <f t="shared" si="20"/>
        <v>0</v>
      </c>
      <c r="AA169" s="345">
        <f t="shared" si="20"/>
        <v>0</v>
      </c>
      <c r="AB169" s="345">
        <f t="shared" si="20"/>
        <v>0</v>
      </c>
      <c r="AC169" s="345">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5" x14ac:dyDescent="0.7">
      <c r="A170" s="77" t="s">
        <v>979</v>
      </c>
      <c r="B170" s="345">
        <f>NPV($B$165,B169*$B$166)</f>
        <v>0</v>
      </c>
      <c r="C170" s="345">
        <f t="shared" ref="C170:AC170" si="21">NPV($B$165,C169*$B$166)</f>
        <v>0</v>
      </c>
      <c r="D170" s="345">
        <f t="shared" si="21"/>
        <v>0</v>
      </c>
      <c r="E170" s="345">
        <f t="shared" si="21"/>
        <v>46906409.306802206</v>
      </c>
      <c r="F170" s="345">
        <f t="shared" si="21"/>
        <v>46896717.166580193</v>
      </c>
      <c r="G170" s="345">
        <f t="shared" si="21"/>
        <v>46888787.233671263</v>
      </c>
      <c r="H170" s="345">
        <f t="shared" si="21"/>
        <v>46888787.233671263</v>
      </c>
      <c r="I170" s="345">
        <f t="shared" si="21"/>
        <v>46888787.233671263</v>
      </c>
      <c r="J170" s="345">
        <f t="shared" si="21"/>
        <v>46888787.233671263</v>
      </c>
      <c r="K170" s="345">
        <f t="shared" si="21"/>
        <v>46888787.233671263</v>
      </c>
      <c r="L170" s="345">
        <f t="shared" si="21"/>
        <v>46888787.233671263</v>
      </c>
      <c r="M170" s="345">
        <f t="shared" si="21"/>
        <v>46888787.233671263</v>
      </c>
      <c r="N170" s="345">
        <f t="shared" si="21"/>
        <v>46888787.233671263</v>
      </c>
      <c r="O170" s="345">
        <f t="shared" si="21"/>
        <v>46888787.233671263</v>
      </c>
      <c r="P170" s="345">
        <f t="shared" si="21"/>
        <v>46888787.233671263</v>
      </c>
      <c r="Q170" s="345">
        <f t="shared" si="21"/>
        <v>46888787.233671263</v>
      </c>
      <c r="R170" s="345">
        <f t="shared" si="21"/>
        <v>35166590.425253458</v>
      </c>
      <c r="S170" s="345">
        <f t="shared" si="21"/>
        <v>23444393.616835631</v>
      </c>
      <c r="T170" s="345">
        <f t="shared" si="21"/>
        <v>0</v>
      </c>
      <c r="U170" s="345">
        <f t="shared" si="21"/>
        <v>0</v>
      </c>
      <c r="V170" s="345">
        <f t="shared" si="21"/>
        <v>0</v>
      </c>
      <c r="W170" s="345">
        <f t="shared" si="21"/>
        <v>0</v>
      </c>
      <c r="X170" s="345">
        <f t="shared" si="21"/>
        <v>0</v>
      </c>
      <c r="Y170" s="345">
        <f t="shared" si="21"/>
        <v>0</v>
      </c>
      <c r="Z170" s="345">
        <f t="shared" si="21"/>
        <v>0</v>
      </c>
      <c r="AA170" s="345">
        <f t="shared" si="21"/>
        <v>0</v>
      </c>
      <c r="AB170" s="345">
        <f t="shared" si="21"/>
        <v>0</v>
      </c>
      <c r="AC170" s="345">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5" x14ac:dyDescent="0.7">
      <c r="A171" s="77" t="s">
        <v>980</v>
      </c>
      <c r="B171" s="345">
        <f>B169*$B$166</f>
        <v>0</v>
      </c>
      <c r="C171" s="345">
        <f t="shared" ref="C171:AC171" si="22">C169*$B$166</f>
        <v>0</v>
      </c>
      <c r="D171" s="345">
        <f t="shared" si="22"/>
        <v>0</v>
      </c>
      <c r="E171" s="345">
        <f t="shared" si="22"/>
        <v>50189857.958278365</v>
      </c>
      <c r="F171" s="345">
        <f t="shared" si="22"/>
        <v>50179487.368240811</v>
      </c>
      <c r="G171" s="345">
        <f t="shared" si="22"/>
        <v>50171002.340028256</v>
      </c>
      <c r="H171" s="345">
        <f t="shared" si="22"/>
        <v>50171002.340028256</v>
      </c>
      <c r="I171" s="345">
        <f t="shared" si="22"/>
        <v>50171002.340028256</v>
      </c>
      <c r="J171" s="345">
        <f t="shared" si="22"/>
        <v>50171002.340028256</v>
      </c>
      <c r="K171" s="345">
        <f t="shared" si="22"/>
        <v>50171002.340028256</v>
      </c>
      <c r="L171" s="345">
        <f t="shared" si="22"/>
        <v>50171002.340028256</v>
      </c>
      <c r="M171" s="345">
        <f t="shared" si="22"/>
        <v>50171002.340028256</v>
      </c>
      <c r="N171" s="345">
        <f t="shared" si="22"/>
        <v>50171002.340028256</v>
      </c>
      <c r="O171" s="345">
        <f t="shared" si="22"/>
        <v>50171002.340028256</v>
      </c>
      <c r="P171" s="345">
        <f t="shared" si="22"/>
        <v>50171002.340028256</v>
      </c>
      <c r="Q171" s="345">
        <f t="shared" si="22"/>
        <v>50171002.340028256</v>
      </c>
      <c r="R171" s="345">
        <f t="shared" si="22"/>
        <v>37628251.7550212</v>
      </c>
      <c r="S171" s="345">
        <f t="shared" si="22"/>
        <v>25085501.170014128</v>
      </c>
      <c r="T171" s="345">
        <f t="shared" si="22"/>
        <v>0</v>
      </c>
      <c r="U171" s="345">
        <f t="shared" si="22"/>
        <v>0</v>
      </c>
      <c r="V171" s="345">
        <f t="shared" si="22"/>
        <v>0</v>
      </c>
      <c r="W171" s="345">
        <f t="shared" si="22"/>
        <v>0</v>
      </c>
      <c r="X171" s="345">
        <f t="shared" si="22"/>
        <v>0</v>
      </c>
      <c r="Y171" s="345">
        <f t="shared" si="22"/>
        <v>0</v>
      </c>
      <c r="Z171" s="345">
        <f t="shared" si="22"/>
        <v>0</v>
      </c>
      <c r="AA171" s="345">
        <f t="shared" si="22"/>
        <v>0</v>
      </c>
      <c r="AB171" s="345">
        <f t="shared" si="22"/>
        <v>0</v>
      </c>
      <c r="AC171" s="345">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5" x14ac:dyDescent="0.7">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5" x14ac:dyDescent="0.7">
      <c r="A173" s="77" t="s">
        <v>983</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5" x14ac:dyDescent="0.7">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5" x14ac:dyDescent="0.7">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5" x14ac:dyDescent="0.7">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5" x14ac:dyDescent="0.7">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5" x14ac:dyDescent="0.7">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5" x14ac:dyDescent="0.7">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5" x14ac:dyDescent="0.7">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5" x14ac:dyDescent="0.7">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5" x14ac:dyDescent="0.7">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5" x14ac:dyDescent="0.7">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5" x14ac:dyDescent="0.7">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5" x14ac:dyDescent="0.7">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5" x14ac:dyDescent="0.7">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5" x14ac:dyDescent="0.7">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5" x14ac:dyDescent="0.7">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5" x14ac:dyDescent="0.7">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5" x14ac:dyDescent="0.7">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5" x14ac:dyDescent="0.7">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5" x14ac:dyDescent="0.7">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5" x14ac:dyDescent="0.7">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5" x14ac:dyDescent="0.7">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5" x14ac:dyDescent="0.7">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5" x14ac:dyDescent="0.7">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5" x14ac:dyDescent="0.7">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5" x14ac:dyDescent="0.7">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5" x14ac:dyDescent="0.7">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5" x14ac:dyDescent="0.7">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5" x14ac:dyDescent="0.7">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5" x14ac:dyDescent="0.7">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5" x14ac:dyDescent="0.7">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5" x14ac:dyDescent="0.7">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5" x14ac:dyDescent="0.7">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5" x14ac:dyDescent="0.7">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5" x14ac:dyDescent="0.7">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5" x14ac:dyDescent="0.7">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5" x14ac:dyDescent="0.7">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5" x14ac:dyDescent="0.7">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5" x14ac:dyDescent="0.7">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5" x14ac:dyDescent="0.7">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5" x14ac:dyDescent="0.7">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5" x14ac:dyDescent="0.7">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5" x14ac:dyDescent="0.7">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5" x14ac:dyDescent="0.7">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5" x14ac:dyDescent="0.7">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5" x14ac:dyDescent="0.7">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5" x14ac:dyDescent="0.7">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5" x14ac:dyDescent="0.7">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5" x14ac:dyDescent="0.7">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5" x14ac:dyDescent="0.7">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5" x14ac:dyDescent="0.7">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5" x14ac:dyDescent="0.7">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5" x14ac:dyDescent="0.7">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5" x14ac:dyDescent="0.7">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5" x14ac:dyDescent="0.7">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5" x14ac:dyDescent="0.7">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5" x14ac:dyDescent="0.7">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5" x14ac:dyDescent="0.7">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5" x14ac:dyDescent="0.7">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5" x14ac:dyDescent="0.7">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5" x14ac:dyDescent="0.7">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5" x14ac:dyDescent="0.7">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5" x14ac:dyDescent="0.7">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5" x14ac:dyDescent="0.7">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5" x14ac:dyDescent="0.7">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5" x14ac:dyDescent="0.7">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3.5" x14ac:dyDescent="0.7">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3.5" x14ac:dyDescent="0.7">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3.5" x14ac:dyDescent="0.7">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3.5" x14ac:dyDescent="0.7">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3.5" x14ac:dyDescent="0.7">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3.5" x14ac:dyDescent="0.7">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3.5" x14ac:dyDescent="0.7">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3.5" x14ac:dyDescent="0.7">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3.5" x14ac:dyDescent="0.7">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3.5" x14ac:dyDescent="0.7">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75" x14ac:dyDescent="0.75"/>
  <cols>
    <col min="1" max="1" width="19.453125" customWidth="1"/>
    <col min="2" max="2" width="21.453125" customWidth="1"/>
  </cols>
  <sheetData>
    <row r="2" spans="1:34" x14ac:dyDescent="0.7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75">
      <c r="A3" t="s">
        <v>757</v>
      </c>
      <c r="B3" s="355" t="s">
        <v>758</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75">
      <c r="A4" t="s">
        <v>759</v>
      </c>
      <c r="B4" s="356"/>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7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75">
      <c r="B6" s="355" t="s">
        <v>760</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75">
      <c r="B7" s="356"/>
      <c r="C7" s="128" t="s">
        <v>761</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75">
      <c r="B8" s="356"/>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75">
      <c r="A9" s="1" t="s">
        <v>762</v>
      </c>
      <c r="B9" s="129" t="s">
        <v>763</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764</v>
      </c>
    </row>
    <row r="10" spans="1:34" x14ac:dyDescent="0.75">
      <c r="B10" s="129" t="s">
        <v>765</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75">
      <c r="A11" s="1"/>
      <c r="B11" s="129" t="s">
        <v>766</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767</v>
      </c>
    </row>
    <row r="12" spans="1:34" x14ac:dyDescent="0.75">
      <c r="B12" s="129" t="s">
        <v>768</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75">
      <c r="B13" s="129" t="s">
        <v>769</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767</v>
      </c>
    </row>
    <row r="14" spans="1:34" x14ac:dyDescent="0.75">
      <c r="B14" s="129" t="s">
        <v>770</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75">
      <c r="B15" s="129" t="s">
        <v>771</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772</v>
      </c>
    </row>
    <row r="16" spans="1:34" x14ac:dyDescent="0.75">
      <c r="B16" s="129" t="s">
        <v>773</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767</v>
      </c>
    </row>
    <row r="17" spans="1:34" x14ac:dyDescent="0.75">
      <c r="B17" s="129" t="s">
        <v>774</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767</v>
      </c>
    </row>
    <row r="18" spans="1:34" x14ac:dyDescent="0.75">
      <c r="B18" s="129" t="s">
        <v>775</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767</v>
      </c>
    </row>
    <row r="19" spans="1:34" x14ac:dyDescent="0.75">
      <c r="B19" s="129" t="s">
        <v>776</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75">
      <c r="B20" s="129" t="s">
        <v>777</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767</v>
      </c>
    </row>
    <row r="21" spans="1:34" x14ac:dyDescent="0.75">
      <c r="B21" s="129" t="s">
        <v>778</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767</v>
      </c>
    </row>
    <row r="22" spans="1:34" x14ac:dyDescent="0.75">
      <c r="B22" s="129" t="s">
        <v>779</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767</v>
      </c>
    </row>
    <row r="23" spans="1:34" x14ac:dyDescent="0.75">
      <c r="B23" s="129" t="s">
        <v>780</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772</v>
      </c>
    </row>
    <row r="24" spans="1:34" x14ac:dyDescent="0.75">
      <c r="B24" s="129" t="s">
        <v>781</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767</v>
      </c>
    </row>
    <row r="25" spans="1:34" x14ac:dyDescent="0.7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75">
      <c r="A26" s="1" t="s">
        <v>782</v>
      </c>
      <c r="B26" s="129" t="s">
        <v>763</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75">
      <c r="B27" s="129" t="s">
        <v>765</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767</v>
      </c>
    </row>
    <row r="28" spans="1:34" x14ac:dyDescent="0.75">
      <c r="A28" s="1"/>
      <c r="B28" s="129" t="s">
        <v>766</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75">
      <c r="B29" s="129" t="s">
        <v>768</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767</v>
      </c>
    </row>
    <row r="30" spans="1:34" x14ac:dyDescent="0.75">
      <c r="B30" s="129" t="s">
        <v>769</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75">
      <c r="B31" s="129" t="s">
        <v>770</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75">
      <c r="B32" s="129" t="s">
        <v>771</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75">
      <c r="B33" s="129" t="s">
        <v>773</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75">
      <c r="B34" s="129" t="s">
        <v>774</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75">
      <c r="B35" s="129" t="s">
        <v>775</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75">
      <c r="B36" s="129" t="s">
        <v>776</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767</v>
      </c>
    </row>
    <row r="37" spans="1:34" x14ac:dyDescent="0.75">
      <c r="B37" s="129" t="s">
        <v>777</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75">
      <c r="B38" s="129" t="s">
        <v>778</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75">
      <c r="B39" s="129" t="s">
        <v>779</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75">
      <c r="B40" s="129" t="s">
        <v>780</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75">
      <c r="B41" s="129" t="s">
        <v>781</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7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75">
      <c r="A43" s="1" t="s">
        <v>783</v>
      </c>
      <c r="B43" s="129" t="s">
        <v>784</v>
      </c>
    </row>
    <row r="44" spans="1:34" x14ac:dyDescent="0.75">
      <c r="B44" s="129" t="s">
        <v>785</v>
      </c>
    </row>
    <row r="45" spans="1:34" x14ac:dyDescent="0.75">
      <c r="B45" s="129" t="s">
        <v>786</v>
      </c>
    </row>
    <row r="46" spans="1:34" x14ac:dyDescent="0.75">
      <c r="B46" s="129" t="s">
        <v>787</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6"/>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8">
      <c r="A1" s="357" t="s">
        <v>928</v>
      </c>
      <c r="B1" s="357"/>
      <c r="C1" s="357"/>
      <c r="D1" s="357"/>
      <c r="E1" s="357"/>
      <c r="F1" s="357"/>
      <c r="G1" s="357"/>
      <c r="H1" s="357"/>
      <c r="I1" s="357"/>
      <c r="J1" s="357"/>
      <c r="M1" s="133" t="s">
        <v>929</v>
      </c>
    </row>
    <row r="2" spans="1:108" ht="14.25" customHeight="1" x14ac:dyDescent="0.7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75">
      <c r="A3"/>
      <c r="B3"/>
      <c r="C3"/>
      <c r="D3"/>
      <c r="E3"/>
      <c r="U3" s="136" t="s">
        <v>790</v>
      </c>
    </row>
    <row r="4" spans="1:108" ht="14.25" customHeight="1" x14ac:dyDescent="0.6">
      <c r="J4" s="137"/>
      <c r="U4" s="358" t="s">
        <v>791</v>
      </c>
    </row>
    <row r="5" spans="1:108" ht="14.25" customHeight="1" x14ac:dyDescent="0.6">
      <c r="U5" s="359"/>
    </row>
    <row r="7" spans="1:108" ht="14.25" customHeight="1" x14ac:dyDescent="0.75">
      <c r="B7" s="138" t="s">
        <v>792</v>
      </c>
      <c r="G7" s="360" t="s">
        <v>858</v>
      </c>
      <c r="H7" s="361"/>
      <c r="I7" s="361"/>
      <c r="J7" s="361"/>
      <c r="K7" s="361"/>
      <c r="L7" s="361"/>
      <c r="M7" s="361"/>
      <c r="N7" s="361"/>
      <c r="O7" s="361"/>
      <c r="P7" s="361"/>
      <c r="Q7" s="361"/>
      <c r="R7" s="361"/>
      <c r="S7" s="361"/>
      <c r="T7" s="361"/>
      <c r="U7" s="361"/>
      <c r="V7" s="361"/>
      <c r="W7" s="361"/>
      <c r="X7" s="361"/>
      <c r="Y7" s="361"/>
    </row>
    <row r="8" spans="1:108" ht="14.25" customHeight="1" thickBot="1" x14ac:dyDescent="0.75">
      <c r="G8" s="140"/>
      <c r="U8" s="141"/>
    </row>
    <row r="9" spans="1:108" ht="14.25" customHeight="1" thickBot="1" x14ac:dyDescent="0.9">
      <c r="A9"/>
      <c r="G9" s="140"/>
      <c r="H9" s="362" t="s">
        <v>794</v>
      </c>
      <c r="J9" s="364" t="s">
        <v>795</v>
      </c>
      <c r="K9" s="365"/>
      <c r="L9" s="366"/>
      <c r="M9" s="367">
        <v>2021</v>
      </c>
      <c r="N9" s="368"/>
      <c r="O9" s="368"/>
      <c r="P9" s="368"/>
      <c r="Q9" s="369"/>
      <c r="R9" s="370"/>
    </row>
    <row r="10" spans="1:108" ht="14.25" customHeight="1" thickBot="1" x14ac:dyDescent="0.75">
      <c r="G10" s="140"/>
      <c r="H10" s="363"/>
      <c r="J10" s="143" t="s">
        <v>796</v>
      </c>
      <c r="K10" s="268"/>
      <c r="L10" s="268"/>
      <c r="M10" s="268"/>
      <c r="N10" s="268"/>
      <c r="O10" s="268"/>
      <c r="P10" s="269"/>
      <c r="Q10" s="268"/>
      <c r="R10" s="270"/>
    </row>
    <row r="11" spans="1:108" ht="13.5" customHeight="1" thickBot="1" x14ac:dyDescent="0.9">
      <c r="G11" s="140"/>
      <c r="H11" s="363"/>
      <c r="J11" s="371" t="s">
        <v>930</v>
      </c>
      <c r="K11" s="372"/>
      <c r="L11" s="372"/>
      <c r="M11" s="372"/>
      <c r="N11" s="372"/>
      <c r="O11" s="372"/>
      <c r="P11" s="372"/>
      <c r="Q11" s="372"/>
      <c r="R11" s="373"/>
      <c r="W11" s="271"/>
      <c r="X11" s="272"/>
      <c r="Y11" s="272"/>
      <c r="Z11" s="272"/>
      <c r="AA11" s="272"/>
    </row>
    <row r="12" spans="1:108" ht="13.5" customHeight="1" thickBot="1" x14ac:dyDescent="0.9">
      <c r="G12" s="140"/>
      <c r="H12" s="363"/>
      <c r="J12" s="374" t="s">
        <v>931</v>
      </c>
      <c r="K12" s="375"/>
      <c r="L12" s="375"/>
      <c r="M12" s="375"/>
      <c r="N12" s="375"/>
      <c r="O12" s="375"/>
      <c r="P12" s="375"/>
      <c r="Q12" s="375"/>
      <c r="R12" s="376"/>
      <c r="W12" s="271"/>
      <c r="X12" s="272"/>
      <c r="Y12" s="272"/>
      <c r="Z12" s="272"/>
      <c r="AA12" s="272"/>
    </row>
    <row r="13" spans="1:108" ht="13.5" customHeight="1" thickBot="1" x14ac:dyDescent="0.9">
      <c r="G13" s="140"/>
      <c r="H13" s="363"/>
      <c r="J13" s="374" t="s">
        <v>932</v>
      </c>
      <c r="K13" s="375"/>
      <c r="L13" s="375"/>
      <c r="M13" s="375"/>
      <c r="N13" s="375"/>
      <c r="O13" s="375"/>
      <c r="P13" s="375"/>
      <c r="Q13" s="375"/>
      <c r="R13" s="376"/>
      <c r="W13" s="271"/>
      <c r="X13" s="272"/>
      <c r="Y13" s="272"/>
      <c r="Z13" s="272"/>
      <c r="AA13" s="272"/>
    </row>
    <row r="14" spans="1:108" ht="13.5" customHeight="1" thickBot="1" x14ac:dyDescent="0.9">
      <c r="G14" s="140"/>
      <c r="H14" s="363"/>
      <c r="J14" s="374" t="s">
        <v>933</v>
      </c>
      <c r="K14" s="375"/>
      <c r="L14" s="375"/>
      <c r="M14" s="375"/>
      <c r="N14" s="375"/>
      <c r="O14" s="375"/>
      <c r="P14" s="375"/>
      <c r="Q14" s="375"/>
      <c r="R14" s="376"/>
      <c r="W14" s="272"/>
      <c r="X14" s="272"/>
      <c r="Y14" s="272"/>
      <c r="Z14" s="272"/>
      <c r="AA14" s="272"/>
    </row>
    <row r="15" spans="1:108" ht="14.25" customHeight="1" thickBot="1" x14ac:dyDescent="0.9">
      <c r="G15" s="140"/>
      <c r="H15" s="363"/>
      <c r="J15" s="377" t="s">
        <v>934</v>
      </c>
      <c r="K15" s="378"/>
      <c r="L15" s="378"/>
      <c r="M15" s="378"/>
      <c r="N15" s="378"/>
      <c r="O15" s="378"/>
      <c r="P15" s="378"/>
      <c r="Q15" s="378"/>
      <c r="R15" s="379"/>
      <c r="W15" s="272"/>
      <c r="X15" s="272"/>
      <c r="Y15" s="272"/>
      <c r="Z15" s="272"/>
      <c r="AA15" s="272"/>
    </row>
    <row r="16" spans="1:108" ht="14.25" customHeight="1" thickTop="1" x14ac:dyDescent="0.75">
      <c r="G16" s="140"/>
      <c r="H16" s="363"/>
      <c r="J16" s="380" t="s">
        <v>935</v>
      </c>
      <c r="K16" s="381"/>
      <c r="L16" s="381"/>
      <c r="M16" s="381"/>
      <c r="N16" s="381"/>
      <c r="O16" s="381"/>
      <c r="P16" s="381"/>
      <c r="Q16" s="381"/>
      <c r="R16" s="382"/>
      <c r="W16" s="272"/>
      <c r="X16" s="272"/>
      <c r="Y16" s="272"/>
      <c r="Z16" s="272"/>
      <c r="AA16" s="272"/>
    </row>
    <row r="17" spans="7:27" ht="14.25" customHeight="1" x14ac:dyDescent="0.75">
      <c r="G17" s="140"/>
      <c r="H17" s="363"/>
      <c r="J17" s="383"/>
      <c r="K17" s="384"/>
      <c r="L17" s="384"/>
      <c r="M17" s="384"/>
      <c r="N17" s="384"/>
      <c r="O17" s="384"/>
      <c r="P17" s="384"/>
      <c r="Q17" s="384"/>
      <c r="R17" s="385"/>
      <c r="W17" s="272"/>
      <c r="X17" s="272"/>
      <c r="Y17" s="272"/>
      <c r="Z17" s="272"/>
      <c r="AA17" s="272"/>
    </row>
    <row r="18" spans="7:27" ht="14.25" customHeight="1" thickBot="1" x14ac:dyDescent="0.9">
      <c r="G18" s="140"/>
      <c r="H18" s="363"/>
      <c r="J18" s="386"/>
      <c r="K18" s="387"/>
      <c r="L18" s="387"/>
      <c r="M18" s="387"/>
      <c r="N18" s="387"/>
      <c r="O18" s="387"/>
      <c r="P18" s="387"/>
      <c r="Q18" s="387"/>
      <c r="R18" s="388"/>
      <c r="W18" s="272"/>
      <c r="X18" s="272"/>
      <c r="Y18" s="272"/>
      <c r="Z18" s="272"/>
      <c r="AA18" s="272"/>
    </row>
    <row r="19" spans="7:27" ht="24" customHeight="1" thickTop="1" thickBot="1" x14ac:dyDescent="0.9">
      <c r="G19" s="140"/>
      <c r="H19" s="363"/>
      <c r="J19" s="389">
        <v>118918</v>
      </c>
      <c r="K19" s="390"/>
      <c r="L19" s="390"/>
      <c r="M19" s="390"/>
      <c r="N19" s="390"/>
      <c r="O19" s="390"/>
      <c r="P19" s="390"/>
      <c r="Q19" s="390"/>
      <c r="R19" s="391"/>
      <c r="W19" s="272"/>
      <c r="X19" s="272"/>
      <c r="Y19" s="272"/>
      <c r="Z19" s="272"/>
      <c r="AA19" s="272"/>
    </row>
    <row r="20" spans="7:27" ht="14.25" customHeight="1" thickTop="1" x14ac:dyDescent="0.75">
      <c r="G20" s="140"/>
      <c r="H20" s="363"/>
      <c r="J20" s="273"/>
      <c r="K20" s="274"/>
      <c r="L20" s="275"/>
      <c r="M20" s="392" t="s">
        <v>936</v>
      </c>
      <c r="N20" s="393"/>
      <c r="O20" s="393"/>
      <c r="P20" s="393"/>
      <c r="Q20" s="393"/>
      <c r="R20" s="394"/>
      <c r="V20" s="276"/>
      <c r="W20" s="272"/>
      <c r="X20" s="272"/>
      <c r="Y20" s="272"/>
      <c r="Z20" s="272"/>
      <c r="AA20" s="272"/>
    </row>
    <row r="21" spans="7:27" ht="14.25" customHeight="1" x14ac:dyDescent="0.75">
      <c r="G21" s="140"/>
      <c r="H21" s="363"/>
      <c r="J21" s="277"/>
      <c r="M21" s="395"/>
      <c r="N21" s="396"/>
      <c r="O21" s="396"/>
      <c r="P21" s="396"/>
      <c r="Q21" s="396"/>
      <c r="R21" s="397"/>
      <c r="S21"/>
      <c r="V21" s="276"/>
      <c r="W21" s="272"/>
      <c r="X21" s="272"/>
      <c r="Y21" s="272"/>
      <c r="Z21" s="272"/>
      <c r="AA21" s="272"/>
    </row>
    <row r="22" spans="7:27" ht="14.25" customHeight="1" x14ac:dyDescent="0.75">
      <c r="G22" s="140"/>
      <c r="H22" s="363"/>
      <c r="J22" s="277"/>
      <c r="M22" s="395"/>
      <c r="N22" s="396"/>
      <c r="O22" s="396"/>
      <c r="P22" s="396"/>
      <c r="Q22" s="396"/>
      <c r="R22" s="397"/>
      <c r="S22"/>
      <c r="V22" s="276"/>
      <c r="W22" s="272"/>
      <c r="X22" s="272"/>
      <c r="Y22" s="272"/>
      <c r="Z22" s="272"/>
      <c r="AA22" s="272"/>
    </row>
    <row r="23" spans="7:27" ht="14.25" customHeight="1" x14ac:dyDescent="0.75">
      <c r="G23" s="140"/>
      <c r="H23" s="363"/>
      <c r="J23" s="277"/>
      <c r="M23" s="395"/>
      <c r="N23" s="396"/>
      <c r="O23" s="396"/>
      <c r="P23" s="396"/>
      <c r="Q23" s="396"/>
      <c r="R23" s="397"/>
      <c r="S23"/>
      <c r="V23" s="276"/>
      <c r="W23" s="272"/>
      <c r="X23" s="272"/>
      <c r="Y23" s="272"/>
      <c r="Z23" s="272"/>
      <c r="AA23" s="272"/>
    </row>
    <row r="24" spans="7:27" ht="14.25" customHeight="1" thickBot="1" x14ac:dyDescent="0.9">
      <c r="G24" s="140"/>
      <c r="H24" s="363"/>
      <c r="J24" s="279"/>
      <c r="K24" s="280"/>
      <c r="M24" s="398"/>
      <c r="N24" s="399"/>
      <c r="O24" s="399"/>
      <c r="P24" s="399"/>
      <c r="Q24" s="399"/>
      <c r="R24" s="400"/>
      <c r="S24"/>
      <c r="U24" s="272"/>
      <c r="V24" s="276"/>
      <c r="W24" s="272"/>
      <c r="X24" s="272"/>
      <c r="Y24" s="272"/>
      <c r="Z24" s="272"/>
      <c r="AA24" s="272"/>
    </row>
    <row r="25" spans="7:27" ht="14.25" customHeight="1" thickBot="1" x14ac:dyDescent="0.9">
      <c r="G25" s="140"/>
      <c r="H25" s="267"/>
      <c r="M25" s="278"/>
      <c r="N25" s="278"/>
      <c r="O25" s="278"/>
      <c r="P25" s="278"/>
      <c r="Q25" s="278"/>
      <c r="R25" s="278"/>
      <c r="S25"/>
      <c r="U25" s="272"/>
      <c r="V25" s="276"/>
      <c r="W25" s="272"/>
      <c r="X25" s="272"/>
      <c r="Y25" s="272"/>
      <c r="Z25" s="272"/>
      <c r="AA25" s="272"/>
    </row>
    <row r="26" spans="7:27" ht="14.25" customHeight="1" thickBot="1" x14ac:dyDescent="0.9">
      <c r="G26" s="140"/>
      <c r="H26" s="267"/>
      <c r="J26" s="401" t="s">
        <v>798</v>
      </c>
      <c r="K26" s="147" t="s">
        <v>799</v>
      </c>
      <c r="L26" s="147" t="s">
        <v>800</v>
      </c>
      <c r="M26" s="147" t="s">
        <v>801</v>
      </c>
      <c r="N26" s="147" t="s">
        <v>802</v>
      </c>
      <c r="O26" s="147" t="s">
        <v>803</v>
      </c>
      <c r="P26" s="278"/>
      <c r="Q26" s="278"/>
      <c r="R26" s="278"/>
      <c r="S26"/>
      <c r="U26" s="272"/>
      <c r="V26" s="276"/>
      <c r="W26" s="272"/>
      <c r="X26" s="272"/>
      <c r="Y26" s="272"/>
      <c r="Z26" s="272"/>
      <c r="AA26" s="272"/>
    </row>
    <row r="27" spans="7:27" ht="14.25" customHeight="1" x14ac:dyDescent="0.75">
      <c r="G27" s="140"/>
      <c r="H27" s="267"/>
      <c r="J27" s="401"/>
      <c r="K27" s="148" t="s">
        <v>937</v>
      </c>
      <c r="L27" s="148" t="s">
        <v>938</v>
      </c>
      <c r="M27" s="148" t="s">
        <v>809</v>
      </c>
      <c r="N27" s="148" t="s">
        <v>810</v>
      </c>
      <c r="O27" s="281" t="s">
        <v>811</v>
      </c>
      <c r="P27" s="278"/>
      <c r="Q27" s="278"/>
      <c r="R27" s="278"/>
      <c r="S27"/>
      <c r="U27" s="272"/>
      <c r="V27" s="276"/>
      <c r="W27" s="272"/>
      <c r="X27" s="272"/>
      <c r="Y27" s="272"/>
      <c r="Z27" s="272"/>
      <c r="AA27" s="272"/>
    </row>
    <row r="28" spans="7:27" ht="14.25" customHeight="1" x14ac:dyDescent="0.75">
      <c r="G28" s="140"/>
      <c r="H28" s="267"/>
      <c r="J28" s="401"/>
      <c r="K28" s="151" t="s">
        <v>939</v>
      </c>
      <c r="L28" s="151" t="s">
        <v>938</v>
      </c>
      <c r="M28" s="151" t="s">
        <v>814</v>
      </c>
      <c r="N28" s="151" t="s">
        <v>810</v>
      </c>
      <c r="O28" s="282" t="s">
        <v>811</v>
      </c>
      <c r="P28" s="278"/>
      <c r="Q28" s="278"/>
      <c r="R28" s="278"/>
      <c r="S28"/>
      <c r="U28" s="272"/>
      <c r="V28" s="276"/>
      <c r="W28" s="272"/>
      <c r="X28" s="272"/>
      <c r="Y28" s="272"/>
      <c r="Z28" s="272"/>
      <c r="AA28" s="272"/>
    </row>
    <row r="29" spans="7:27" ht="14.25" customHeight="1" x14ac:dyDescent="0.75">
      <c r="G29" s="140"/>
      <c r="H29" s="267"/>
      <c r="J29" s="401"/>
      <c r="K29" s="153" t="s">
        <v>940</v>
      </c>
      <c r="L29" s="153" t="s">
        <v>938</v>
      </c>
      <c r="M29" s="153" t="s">
        <v>818</v>
      </c>
      <c r="N29" s="153" t="s">
        <v>810</v>
      </c>
      <c r="O29" s="283" t="s">
        <v>811</v>
      </c>
      <c r="P29" s="278"/>
      <c r="Q29" s="278"/>
      <c r="R29" s="278"/>
      <c r="S29"/>
      <c r="U29" s="272"/>
      <c r="V29" s="276"/>
      <c r="W29" s="272"/>
      <c r="X29" s="272"/>
      <c r="Y29" s="272"/>
      <c r="Z29" s="272"/>
      <c r="AA29" s="272"/>
    </row>
    <row r="30" spans="7:27" ht="14.25" customHeight="1" x14ac:dyDescent="0.75">
      <c r="G30" s="140"/>
      <c r="H30" s="267"/>
      <c r="J30" s="401"/>
      <c r="K30" s="151" t="s">
        <v>941</v>
      </c>
      <c r="L30" s="151" t="s">
        <v>938</v>
      </c>
      <c r="M30" s="151" t="s">
        <v>821</v>
      </c>
      <c r="N30" s="151" t="s">
        <v>810</v>
      </c>
      <c r="O30" s="282" t="s">
        <v>811</v>
      </c>
      <c r="P30" s="278"/>
      <c r="Q30" s="278"/>
      <c r="R30" s="278"/>
      <c r="S30"/>
      <c r="U30" s="272"/>
      <c r="V30" s="276"/>
      <c r="W30" s="272"/>
      <c r="X30" s="272"/>
      <c r="Y30" s="272"/>
      <c r="Z30" s="272"/>
      <c r="AA30" s="272"/>
    </row>
    <row r="31" spans="7:27" ht="14.25" customHeight="1" x14ac:dyDescent="0.75">
      <c r="G31" s="140"/>
      <c r="H31" s="267"/>
      <c r="J31" s="401"/>
      <c r="K31" s="153" t="s">
        <v>942</v>
      </c>
      <c r="L31" s="153" t="s">
        <v>938</v>
      </c>
      <c r="M31" s="153" t="s">
        <v>824</v>
      </c>
      <c r="N31" s="153" t="s">
        <v>810</v>
      </c>
      <c r="O31" s="283" t="s">
        <v>811</v>
      </c>
      <c r="P31" s="278"/>
      <c r="Q31" s="278"/>
      <c r="R31" s="278"/>
      <c r="S31"/>
      <c r="U31" s="272"/>
      <c r="V31" s="276"/>
      <c r="W31" s="272"/>
      <c r="X31" s="272"/>
      <c r="Y31" s="272"/>
      <c r="Z31" s="272"/>
      <c r="AA31" s="272"/>
    </row>
    <row r="32" spans="7:27" ht="14.25" customHeight="1" x14ac:dyDescent="0.75">
      <c r="G32" s="140"/>
      <c r="H32" s="267"/>
      <c r="J32" s="401"/>
      <c r="K32" s="155" t="s">
        <v>943</v>
      </c>
      <c r="L32" s="155" t="s">
        <v>938</v>
      </c>
      <c r="M32" s="155" t="s">
        <v>827</v>
      </c>
      <c r="N32" s="155" t="s">
        <v>810</v>
      </c>
      <c r="O32" s="284" t="s">
        <v>811</v>
      </c>
      <c r="P32" s="278"/>
      <c r="Q32" s="278"/>
      <c r="R32" s="278"/>
      <c r="S32"/>
      <c r="U32" s="272"/>
      <c r="V32" s="276"/>
      <c r="W32" s="272"/>
      <c r="X32" s="272"/>
      <c r="Y32" s="272"/>
      <c r="Z32" s="272"/>
      <c r="AA32" s="272"/>
    </row>
    <row r="33" spans="6:27" ht="14.25" customHeight="1" x14ac:dyDescent="0.75">
      <c r="G33" s="140"/>
      <c r="H33" s="267"/>
      <c r="J33" s="401"/>
      <c r="K33" s="153" t="s">
        <v>944</v>
      </c>
      <c r="L33" s="153" t="s">
        <v>938</v>
      </c>
      <c r="M33" s="153" t="s">
        <v>830</v>
      </c>
      <c r="N33" s="153" t="s">
        <v>810</v>
      </c>
      <c r="O33" s="283" t="s">
        <v>811</v>
      </c>
      <c r="P33" s="278"/>
      <c r="Q33" s="278"/>
      <c r="R33" s="278"/>
      <c r="S33"/>
      <c r="U33" s="272"/>
      <c r="V33" s="276"/>
      <c r="W33" s="272"/>
      <c r="X33" s="272"/>
      <c r="Y33" s="272"/>
      <c r="Z33" s="272"/>
      <c r="AA33" s="272"/>
    </row>
    <row r="34" spans="6:27" ht="14.25" customHeight="1" x14ac:dyDescent="0.75">
      <c r="G34" s="140"/>
      <c r="H34" s="267"/>
      <c r="J34" s="401"/>
      <c r="K34" s="151" t="s">
        <v>945</v>
      </c>
      <c r="L34" s="151" t="s">
        <v>938</v>
      </c>
      <c r="M34" s="151" t="s">
        <v>834</v>
      </c>
      <c r="N34" s="151" t="s">
        <v>810</v>
      </c>
      <c r="O34" s="282" t="s">
        <v>811</v>
      </c>
      <c r="P34" s="278"/>
      <c r="Q34" s="278"/>
      <c r="R34" s="278"/>
      <c r="S34"/>
      <c r="U34" s="272"/>
      <c r="V34" s="276"/>
      <c r="W34" s="272"/>
      <c r="X34" s="272"/>
      <c r="Y34" s="272"/>
      <c r="Z34" s="272"/>
      <c r="AA34" s="272"/>
    </row>
    <row r="35" spans="6:27" ht="14.25" customHeight="1" x14ac:dyDescent="0.75">
      <c r="G35" s="140"/>
      <c r="H35" s="267"/>
      <c r="J35" s="401"/>
      <c r="K35" s="153" t="s">
        <v>946</v>
      </c>
      <c r="L35" s="153" t="s">
        <v>938</v>
      </c>
      <c r="M35" s="153" t="s">
        <v>838</v>
      </c>
      <c r="N35" s="153" t="s">
        <v>810</v>
      </c>
      <c r="O35" s="283" t="s">
        <v>811</v>
      </c>
      <c r="P35" s="278"/>
      <c r="Q35" s="278"/>
      <c r="R35" s="278"/>
      <c r="S35"/>
      <c r="U35" s="272"/>
      <c r="V35" s="276"/>
      <c r="W35" s="272"/>
      <c r="X35" s="272"/>
      <c r="Y35" s="272"/>
      <c r="Z35" s="272"/>
      <c r="AA35" s="272"/>
    </row>
    <row r="36" spans="6:27" ht="14.25" customHeight="1" thickBot="1" x14ac:dyDescent="0.9">
      <c r="G36" s="140"/>
      <c r="H36" s="267"/>
      <c r="J36" s="401"/>
      <c r="K36" s="157" t="s">
        <v>947</v>
      </c>
      <c r="L36" s="157" t="s">
        <v>938</v>
      </c>
      <c r="M36" s="157" t="s">
        <v>842</v>
      </c>
      <c r="N36" s="157" t="s">
        <v>810</v>
      </c>
      <c r="O36" s="285" t="s">
        <v>811</v>
      </c>
      <c r="P36" s="278"/>
      <c r="Q36" s="278"/>
      <c r="R36" s="278"/>
      <c r="S36"/>
      <c r="U36" s="272"/>
      <c r="V36" s="276"/>
      <c r="W36" s="272"/>
      <c r="X36" s="272"/>
      <c r="Y36" s="272"/>
      <c r="Z36" s="272"/>
      <c r="AA36" s="272"/>
    </row>
    <row r="37" spans="6:27" ht="14.25" customHeight="1" thickBot="1" x14ac:dyDescent="0.9">
      <c r="G37" s="140"/>
      <c r="H37"/>
      <c r="J37"/>
      <c r="K37"/>
      <c r="L37" s="286"/>
      <c r="M37"/>
      <c r="R37" s="276"/>
      <c r="S37" s="276"/>
      <c r="T37" s="276"/>
      <c r="U37" s="272"/>
      <c r="V37" s="276"/>
      <c r="W37" s="272"/>
      <c r="X37" s="272"/>
      <c r="Y37" s="272"/>
      <c r="Z37" s="272"/>
      <c r="AA37" s="272"/>
    </row>
    <row r="38" spans="6:27" ht="14.25" customHeight="1" x14ac:dyDescent="0.75">
      <c r="G38" s="140"/>
      <c r="H38" s="404" t="s">
        <v>846</v>
      </c>
      <c r="J38" s="406" t="s">
        <v>847</v>
      </c>
      <c r="K38" s="407"/>
      <c r="L38" s="407"/>
      <c r="M38" s="407"/>
      <c r="N38" s="407"/>
      <c r="O38" s="408"/>
      <c r="U38" s="272"/>
      <c r="W38" s="272"/>
      <c r="X38" s="272"/>
      <c r="Y38" s="272"/>
      <c r="Z38" s="272"/>
      <c r="AA38" s="272"/>
    </row>
    <row r="39" spans="6:27" ht="14.25" customHeight="1" thickBot="1" x14ac:dyDescent="0.9">
      <c r="G39" s="140"/>
      <c r="H39" s="405"/>
      <c r="J39" s="409" t="s">
        <v>849</v>
      </c>
      <c r="K39" s="410"/>
      <c r="L39" s="410"/>
      <c r="M39" s="410"/>
      <c r="N39" s="410"/>
      <c r="O39" s="287">
        <v>20</v>
      </c>
      <c r="P39" s="288"/>
      <c r="Q39" s="132" t="s">
        <v>845</v>
      </c>
      <c r="S39" s="159" t="s">
        <v>957</v>
      </c>
      <c r="U39" s="272"/>
    </row>
    <row r="40" spans="6:27" ht="14.25" customHeight="1" x14ac:dyDescent="0.75">
      <c r="G40" s="140"/>
      <c r="H40" s="405"/>
      <c r="J40" s="165" t="s">
        <v>850</v>
      </c>
      <c r="K40" s="166"/>
      <c r="L40" s="166"/>
      <c r="M40" s="166"/>
      <c r="N40" s="166"/>
      <c r="O40" s="167">
        <v>5</v>
      </c>
      <c r="Q40" s="132" t="s">
        <v>848</v>
      </c>
      <c r="S40" s="160">
        <v>20</v>
      </c>
      <c r="U40" s="272"/>
    </row>
    <row r="41" spans="6:27" ht="14.65" customHeight="1" thickBot="1" x14ac:dyDescent="0.75">
      <c r="F41" s="140"/>
      <c r="G41" s="140"/>
      <c r="H41" s="405"/>
      <c r="J41" s="289" t="s">
        <v>851</v>
      </c>
      <c r="K41" s="290"/>
      <c r="L41" s="290"/>
      <c r="M41" s="290"/>
      <c r="N41" s="290"/>
      <c r="O41" s="168">
        <v>0.02</v>
      </c>
      <c r="Z41" s="291"/>
      <c r="AA41" s="291"/>
    </row>
    <row r="42" spans="6:27" ht="15" customHeight="1" x14ac:dyDescent="0.6">
      <c r="F42" s="140"/>
      <c r="G42" s="140"/>
      <c r="H42" s="405"/>
      <c r="J42" s="292" t="s">
        <v>852</v>
      </c>
      <c r="K42" s="293"/>
      <c r="L42" s="293"/>
      <c r="M42" s="293"/>
      <c r="N42" s="293"/>
      <c r="O42" s="172">
        <v>1</v>
      </c>
    </row>
    <row r="43" spans="6:27" ht="15" customHeight="1" x14ac:dyDescent="0.75">
      <c r="G43" s="140"/>
      <c r="H43" s="405"/>
      <c r="J43" s="294" t="s">
        <v>172</v>
      </c>
      <c r="K43" s="295" t="s">
        <v>853</v>
      </c>
      <c r="L43" s="411" t="s">
        <v>854</v>
      </c>
      <c r="M43" s="414" t="s">
        <v>855</v>
      </c>
      <c r="O43"/>
    </row>
    <row r="44" spans="6:27" ht="15" customHeight="1" x14ac:dyDescent="0.75">
      <c r="G44" s="140"/>
      <c r="H44" s="405"/>
      <c r="J44" s="296" t="s">
        <v>856</v>
      </c>
      <c r="K44" s="142" t="s">
        <v>857</v>
      </c>
      <c r="L44" s="412"/>
      <c r="M44" s="415"/>
      <c r="O44"/>
    </row>
    <row r="45" spans="6:27" ht="15" customHeight="1" x14ac:dyDescent="0.75">
      <c r="G45" s="140"/>
      <c r="H45" s="405"/>
      <c r="J45" s="296"/>
      <c r="K45" s="142"/>
      <c r="L45" s="412"/>
      <c r="M45" s="415"/>
      <c r="O45"/>
    </row>
    <row r="46" spans="6:27" ht="15" customHeight="1" x14ac:dyDescent="0.75">
      <c r="G46" s="140"/>
      <c r="H46" s="405"/>
      <c r="J46" s="296"/>
      <c r="K46" s="142"/>
      <c r="L46" s="413"/>
      <c r="M46" s="416"/>
      <c r="O46"/>
    </row>
    <row r="47" spans="6:27" ht="14.25" customHeight="1" x14ac:dyDescent="0.6">
      <c r="G47" s="140"/>
      <c r="H47" s="405"/>
      <c r="J47" s="177">
        <v>0</v>
      </c>
      <c r="K47" s="178">
        <v>1</v>
      </c>
      <c r="L47" s="178">
        <v>0.8</v>
      </c>
      <c r="M47" s="297">
        <v>0.19999999999999996</v>
      </c>
      <c r="O47" s="182"/>
    </row>
    <row r="48" spans="6:27" ht="14.25" customHeight="1" x14ac:dyDescent="0.6">
      <c r="G48" s="140"/>
      <c r="H48" s="405"/>
      <c r="J48" s="180">
        <v>1</v>
      </c>
      <c r="K48" s="181">
        <v>0</v>
      </c>
      <c r="L48" s="181">
        <v>0.8</v>
      </c>
      <c r="M48" s="298">
        <v>0.19999999999999996</v>
      </c>
      <c r="O48" s="182"/>
    </row>
    <row r="49" spans="7:42" ht="14.25" customHeight="1" thickBot="1" x14ac:dyDescent="0.75">
      <c r="G49" s="140"/>
      <c r="H49" s="405"/>
      <c r="J49" s="183">
        <v>2</v>
      </c>
      <c r="K49" s="184">
        <v>0</v>
      </c>
      <c r="L49" s="184">
        <v>0.8</v>
      </c>
      <c r="M49" s="299">
        <v>0.19999999999999996</v>
      </c>
    </row>
    <row r="50" spans="7:42" ht="14.25" customHeight="1" x14ac:dyDescent="0.6">
      <c r="G50" s="140"/>
      <c r="H50" s="405"/>
      <c r="J50" s="300"/>
      <c r="K50" s="300"/>
      <c r="L50" s="300"/>
      <c r="M50" s="300"/>
      <c r="N50" s="182"/>
      <c r="O50" s="291"/>
    </row>
    <row r="51" spans="7:42" ht="14.25" customHeight="1" x14ac:dyDescent="0.6">
      <c r="G51" s="140"/>
      <c r="H51" s="405"/>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6">
      <c r="G52" s="140"/>
      <c r="H52" s="405"/>
      <c r="J52" s="401" t="s">
        <v>858</v>
      </c>
      <c r="K52" s="187" t="s">
        <v>859</v>
      </c>
      <c r="L52" s="187" t="s">
        <v>860</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6">
      <c r="G53" s="140"/>
      <c r="H53" s="405"/>
      <c r="J53" s="401"/>
      <c r="K53" s="187" t="s">
        <v>861</v>
      </c>
      <c r="L53" s="187" t="s">
        <v>862</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6">
      <c r="G54" s="140"/>
      <c r="H54" s="405"/>
      <c r="J54" s="401"/>
      <c r="K54" s="187" t="s">
        <v>861</v>
      </c>
      <c r="L54" s="187" t="s">
        <v>863</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6">
      <c r="G55" s="140"/>
      <c r="H55" s="405"/>
      <c r="J55" s="401"/>
      <c r="K55" s="187" t="s">
        <v>861</v>
      </c>
      <c r="L55" s="187" t="s">
        <v>864</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75">
      <c r="G56" s="140"/>
      <c r="H56" s="405"/>
      <c r="J56" s="401"/>
      <c r="K56" s="187" t="s">
        <v>865</v>
      </c>
      <c r="L56" s="187" t="s">
        <v>862</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75">
      <c r="G57" s="140"/>
      <c r="H57" s="405"/>
      <c r="J57" s="401"/>
      <c r="K57" s="187" t="s">
        <v>865</v>
      </c>
      <c r="L57" s="187" t="s">
        <v>863</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75">
      <c r="G58" s="140"/>
      <c r="H58" s="405"/>
      <c r="J58" s="401"/>
      <c r="K58" s="187" t="s">
        <v>865</v>
      </c>
      <c r="L58" s="187" t="s">
        <v>864</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6">
      <c r="G59" s="140"/>
      <c r="H59" s="405"/>
      <c r="J59" s="401"/>
      <c r="K59" s="187" t="s">
        <v>866</v>
      </c>
      <c r="L59" s="187" t="s">
        <v>860</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6">
      <c r="G60" s="140"/>
      <c r="H60" s="405"/>
      <c r="J60" s="401"/>
      <c r="K60" s="187" t="s">
        <v>867</v>
      </c>
      <c r="L60" s="187" t="s">
        <v>862</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6">
      <c r="G61" s="140"/>
      <c r="H61" s="405"/>
      <c r="J61" s="401"/>
      <c r="K61" s="187" t="s">
        <v>867</v>
      </c>
      <c r="L61" s="187" t="s">
        <v>863</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6">
      <c r="G62" s="140"/>
      <c r="H62" s="405"/>
      <c r="J62" s="401"/>
      <c r="K62" s="187" t="s">
        <v>867</v>
      </c>
      <c r="L62" s="187" t="s">
        <v>864</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75">
      <c r="G63" s="140"/>
      <c r="H63" s="405"/>
      <c r="J63" s="401"/>
      <c r="K63" s="187" t="s">
        <v>868</v>
      </c>
      <c r="L63" s="187" t="s">
        <v>862</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75">
      <c r="G64" s="140"/>
      <c r="H64" s="405"/>
      <c r="J64" s="401"/>
      <c r="K64" s="187" t="s">
        <v>868</v>
      </c>
      <c r="L64" s="187" t="s">
        <v>863</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75">
      <c r="G65" s="140"/>
      <c r="H65" s="405"/>
      <c r="J65" s="401"/>
      <c r="K65" s="187" t="s">
        <v>868</v>
      </c>
      <c r="L65" s="187" t="s">
        <v>864</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6">
      <c r="G66" s="140"/>
      <c r="H66" s="405"/>
      <c r="J66" s="401"/>
      <c r="K66" s="187" t="s">
        <v>869</v>
      </c>
      <c r="L66" s="187" t="s">
        <v>862</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6">
      <c r="G67" s="140"/>
      <c r="H67" s="405"/>
      <c r="J67" s="401"/>
      <c r="K67" s="187" t="s">
        <v>869</v>
      </c>
      <c r="L67" s="187" t="s">
        <v>863</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6">
      <c r="G68" s="140"/>
      <c r="H68" s="405"/>
      <c r="J68" s="401"/>
      <c r="K68" s="187" t="s">
        <v>869</v>
      </c>
      <c r="L68" s="187" t="s">
        <v>864</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6">
      <c r="G69" s="140"/>
      <c r="H69" s="405"/>
      <c r="J69" s="401"/>
      <c r="K69" s="187" t="s">
        <v>870</v>
      </c>
      <c r="L69" s="187" t="s">
        <v>860</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6">
      <c r="G70" s="140"/>
      <c r="H70" s="405"/>
      <c r="J70" s="401"/>
      <c r="K70" s="187" t="s">
        <v>871</v>
      </c>
      <c r="L70" s="187" t="s">
        <v>862</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6">
      <c r="G71" s="140"/>
      <c r="H71" s="405"/>
      <c r="J71" s="401"/>
      <c r="K71" s="187" t="s">
        <v>871</v>
      </c>
      <c r="L71" s="187" t="s">
        <v>863</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6">
      <c r="G72" s="140"/>
      <c r="H72" s="405"/>
      <c r="J72" s="401"/>
      <c r="K72" s="187" t="s">
        <v>871</v>
      </c>
      <c r="L72" s="187" t="s">
        <v>864</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75">
      <c r="G73" s="140"/>
      <c r="H73" s="405"/>
      <c r="J73" s="401"/>
      <c r="K73" s="187" t="s">
        <v>872</v>
      </c>
      <c r="L73" s="187" t="s">
        <v>862</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75">
      <c r="G74" s="140"/>
      <c r="H74" s="405"/>
      <c r="J74" s="401"/>
      <c r="K74" s="187" t="s">
        <v>872</v>
      </c>
      <c r="L74" s="187" t="s">
        <v>863</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75">
      <c r="G75" s="140"/>
      <c r="H75" s="405"/>
      <c r="J75" s="401"/>
      <c r="K75" s="187" t="s">
        <v>872</v>
      </c>
      <c r="L75" s="187" t="s">
        <v>864</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6">
      <c r="G76" s="140"/>
      <c r="H76" s="405"/>
      <c r="J76" s="401"/>
      <c r="K76" s="191" t="s">
        <v>873</v>
      </c>
      <c r="L76" s="187" t="s">
        <v>862</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6">
      <c r="G77" s="140"/>
      <c r="H77" s="405"/>
      <c r="J77" s="401"/>
      <c r="K77" s="191" t="s">
        <v>873</v>
      </c>
      <c r="L77" s="187" t="s">
        <v>863</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6">
      <c r="G78" s="140"/>
      <c r="H78" s="405"/>
      <c r="J78" s="401"/>
      <c r="K78" s="191" t="s">
        <v>873</v>
      </c>
      <c r="L78" s="187" t="s">
        <v>864</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6">
      <c r="G79" s="140"/>
      <c r="H79" s="405"/>
      <c r="J79" s="401"/>
      <c r="K79" s="191" t="s">
        <v>874</v>
      </c>
      <c r="L79" s="187" t="s">
        <v>862</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6">
      <c r="G80" s="140"/>
      <c r="H80" s="405"/>
      <c r="J80" s="146"/>
      <c r="K80" s="191" t="s">
        <v>874</v>
      </c>
      <c r="L80" s="187" t="s">
        <v>863</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6">
      <c r="G81" s="140"/>
      <c r="H81" s="405"/>
      <c r="J81" s="146"/>
      <c r="K81" s="191" t="s">
        <v>874</v>
      </c>
      <c r="L81" s="187" t="s">
        <v>864</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6">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6">
      <c r="D84" s="138" t="s">
        <v>792</v>
      </c>
      <c r="G84" s="360" t="s">
        <v>875</v>
      </c>
      <c r="H84" s="360"/>
      <c r="I84" s="360"/>
      <c r="J84" s="360"/>
      <c r="K84" s="360"/>
      <c r="L84" s="360"/>
      <c r="M84" s="360"/>
      <c r="N84" s="360"/>
      <c r="O84" s="360"/>
      <c r="P84" s="360"/>
      <c r="Q84" s="360"/>
      <c r="R84" s="360"/>
      <c r="S84" s="360"/>
      <c r="T84" s="360"/>
      <c r="U84" s="360"/>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6">
      <c r="G85" s="140"/>
      <c r="M85" s="132" t="s">
        <v>876</v>
      </c>
      <c r="AA85" s="301"/>
      <c r="AB85" s="301"/>
      <c r="AC85" s="301"/>
      <c r="AD85" s="301"/>
      <c r="AP85" s="301"/>
      <c r="AQ85" s="301"/>
    </row>
    <row r="86" spans="4:44" ht="14.25" customHeight="1" x14ac:dyDescent="0.6">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6">
      <c r="G87" s="140"/>
      <c r="H87" s="402" t="s">
        <v>877</v>
      </c>
      <c r="J87" s="355" t="s">
        <v>878</v>
      </c>
      <c r="K87" s="196" t="s">
        <v>937</v>
      </c>
      <c r="L87" s="196" t="s">
        <v>862</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6">
      <c r="G88" s="140"/>
      <c r="H88" s="402"/>
      <c r="J88" s="356"/>
      <c r="K88" s="137" t="s">
        <v>937</v>
      </c>
      <c r="L88" s="187" t="s">
        <v>863</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75">
      <c r="G89" s="140"/>
      <c r="H89" s="402"/>
      <c r="J89" s="356"/>
      <c r="K89" s="198" t="s">
        <v>937</v>
      </c>
      <c r="L89" s="198" t="s">
        <v>864</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6">
      <c r="G90" s="140"/>
      <c r="H90" s="402"/>
      <c r="J90" s="356"/>
      <c r="K90" s="196" t="s">
        <v>939</v>
      </c>
      <c r="L90" s="196" t="s">
        <v>862</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6">
      <c r="G91" s="140"/>
      <c r="H91" s="402"/>
      <c r="J91" s="356"/>
      <c r="K91" s="137" t="s">
        <v>939</v>
      </c>
      <c r="L91" s="187" t="s">
        <v>863</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75">
      <c r="G92" s="140"/>
      <c r="H92" s="402"/>
      <c r="J92" s="356"/>
      <c r="K92" s="198" t="s">
        <v>939</v>
      </c>
      <c r="L92" s="198" t="s">
        <v>864</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6">
      <c r="G93" s="140"/>
      <c r="H93" s="402"/>
      <c r="J93" s="356"/>
      <c r="K93" s="196" t="s">
        <v>940</v>
      </c>
      <c r="L93" s="196" t="s">
        <v>862</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6">
      <c r="G94" s="140"/>
      <c r="H94" s="402"/>
      <c r="J94" s="356"/>
      <c r="K94" s="137" t="s">
        <v>940</v>
      </c>
      <c r="L94" s="187" t="s">
        <v>863</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75">
      <c r="G95" s="140"/>
      <c r="H95" s="402"/>
      <c r="J95" s="356"/>
      <c r="K95" s="198" t="s">
        <v>940</v>
      </c>
      <c r="L95" s="198" t="s">
        <v>864</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6">
      <c r="G96" s="140"/>
      <c r="H96" s="402"/>
      <c r="J96" s="356"/>
      <c r="K96" s="196" t="s">
        <v>941</v>
      </c>
      <c r="L96" s="196" t="s">
        <v>862</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6">
      <c r="G97" s="140"/>
      <c r="H97" s="402"/>
      <c r="J97" s="356"/>
      <c r="K97" s="137" t="s">
        <v>941</v>
      </c>
      <c r="L97" s="187" t="s">
        <v>863</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75">
      <c r="G98" s="140"/>
      <c r="H98" s="402"/>
      <c r="J98" s="356"/>
      <c r="K98" s="198" t="s">
        <v>941</v>
      </c>
      <c r="L98" s="198" t="s">
        <v>864</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6">
      <c r="G99" s="140"/>
      <c r="H99" s="402"/>
      <c r="J99" s="356"/>
      <c r="K99" s="196" t="s">
        <v>942</v>
      </c>
      <c r="L99" s="196" t="s">
        <v>862</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6">
      <c r="G100" s="140"/>
      <c r="H100" s="402"/>
      <c r="J100" s="356"/>
      <c r="K100" s="137" t="s">
        <v>942</v>
      </c>
      <c r="L100" s="187" t="s">
        <v>863</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75">
      <c r="G101" s="140"/>
      <c r="H101" s="402"/>
      <c r="J101" s="356"/>
      <c r="K101" s="198" t="s">
        <v>942</v>
      </c>
      <c r="L101" s="198" t="s">
        <v>864</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6">
      <c r="G102" s="140"/>
      <c r="H102" s="402"/>
      <c r="J102" s="356"/>
      <c r="K102" s="196" t="s">
        <v>943</v>
      </c>
      <c r="L102" s="196" t="s">
        <v>862</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6">
      <c r="G103" s="140"/>
      <c r="H103" s="402"/>
      <c r="J103" s="356"/>
      <c r="K103" s="137" t="s">
        <v>943</v>
      </c>
      <c r="L103" s="187" t="s">
        <v>863</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75">
      <c r="G104" s="140"/>
      <c r="H104" s="402"/>
      <c r="J104" s="356"/>
      <c r="K104" s="198" t="s">
        <v>943</v>
      </c>
      <c r="L104" s="198" t="s">
        <v>864</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6">
      <c r="G105" s="140"/>
      <c r="H105" s="402"/>
      <c r="J105" s="356"/>
      <c r="K105" s="196" t="s">
        <v>944</v>
      </c>
      <c r="L105" s="196" t="s">
        <v>862</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6">
      <c r="G106" s="140"/>
      <c r="H106" s="402"/>
      <c r="J106" s="356"/>
      <c r="K106" s="137" t="s">
        <v>944</v>
      </c>
      <c r="L106" s="187" t="s">
        <v>863</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75">
      <c r="G107" s="140"/>
      <c r="H107" s="402"/>
      <c r="J107" s="356"/>
      <c r="K107" s="198" t="s">
        <v>944</v>
      </c>
      <c r="L107" s="198" t="s">
        <v>864</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6">
      <c r="G108" s="140"/>
      <c r="H108" s="402"/>
      <c r="J108" s="356"/>
      <c r="K108" s="196" t="s">
        <v>945</v>
      </c>
      <c r="L108" s="196" t="s">
        <v>862</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6">
      <c r="G109" s="140"/>
      <c r="H109" s="402"/>
      <c r="J109" s="356"/>
      <c r="K109" s="137" t="s">
        <v>945</v>
      </c>
      <c r="L109" s="187" t="s">
        <v>863</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75">
      <c r="G110" s="140"/>
      <c r="H110" s="402"/>
      <c r="J110" s="356"/>
      <c r="K110" s="198" t="s">
        <v>945</v>
      </c>
      <c r="L110" s="198" t="s">
        <v>864</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6">
      <c r="G111" s="140"/>
      <c r="H111" s="402"/>
      <c r="J111" s="356"/>
      <c r="K111" s="196" t="s">
        <v>946</v>
      </c>
      <c r="L111" s="196" t="s">
        <v>862</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6">
      <c r="G112" s="140"/>
      <c r="H112" s="402"/>
      <c r="J112" s="356"/>
      <c r="K112" s="137" t="s">
        <v>946</v>
      </c>
      <c r="L112" s="187" t="s">
        <v>863</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75">
      <c r="G113" s="140"/>
      <c r="H113" s="402"/>
      <c r="J113" s="356"/>
      <c r="K113" s="198" t="s">
        <v>946</v>
      </c>
      <c r="L113" s="198" t="s">
        <v>864</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6">
      <c r="G114" s="140"/>
      <c r="H114" s="402"/>
      <c r="J114" s="356"/>
      <c r="K114" s="196" t="s">
        <v>947</v>
      </c>
      <c r="L114" s="196" t="s">
        <v>862</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6">
      <c r="G115" s="140"/>
      <c r="H115" s="402"/>
      <c r="J115" s="356"/>
      <c r="K115" s="137" t="s">
        <v>947</v>
      </c>
      <c r="L115" s="187" t="s">
        <v>863</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75">
      <c r="G116" s="140"/>
      <c r="H116" s="402"/>
      <c r="J116" s="403"/>
      <c r="K116" s="198" t="s">
        <v>947</v>
      </c>
      <c r="L116" s="198" t="s">
        <v>864</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6">
      <c r="G117" s="140"/>
      <c r="H117" s="402"/>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6">
      <c r="G118" s="140"/>
      <c r="H118" s="402"/>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6">
      <c r="G119" s="140"/>
      <c r="H119" s="402"/>
      <c r="J119" s="355" t="s">
        <v>879</v>
      </c>
      <c r="K119" s="196" t="s">
        <v>937</v>
      </c>
      <c r="L119" s="196" t="s">
        <v>862</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6">
      <c r="G120" s="140"/>
      <c r="H120" s="402"/>
      <c r="J120" s="356"/>
      <c r="K120" s="137" t="s">
        <v>937</v>
      </c>
      <c r="L120" s="187" t="s">
        <v>863</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75">
      <c r="G121" s="140"/>
      <c r="H121" s="402"/>
      <c r="J121" s="356"/>
      <c r="K121" s="198" t="s">
        <v>937</v>
      </c>
      <c r="L121" s="198" t="s">
        <v>864</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6">
      <c r="G122" s="140"/>
      <c r="H122" s="402"/>
      <c r="J122" s="356"/>
      <c r="K122" s="196" t="s">
        <v>939</v>
      </c>
      <c r="L122" s="196" t="s">
        <v>862</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6">
      <c r="G123" s="140"/>
      <c r="H123" s="402"/>
      <c r="J123" s="356"/>
      <c r="K123" s="137" t="s">
        <v>939</v>
      </c>
      <c r="L123" s="187" t="s">
        <v>863</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75">
      <c r="G124" s="140"/>
      <c r="H124" s="402"/>
      <c r="J124" s="356"/>
      <c r="K124" s="198" t="s">
        <v>939</v>
      </c>
      <c r="L124" s="198" t="s">
        <v>864</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6">
      <c r="G125" s="140"/>
      <c r="H125" s="402"/>
      <c r="J125" s="356"/>
      <c r="K125" s="196" t="s">
        <v>940</v>
      </c>
      <c r="L125" s="196" t="s">
        <v>862</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6">
      <c r="G126" s="140"/>
      <c r="H126" s="402"/>
      <c r="J126" s="356"/>
      <c r="K126" s="137" t="s">
        <v>940</v>
      </c>
      <c r="L126" s="187" t="s">
        <v>863</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75">
      <c r="G127" s="140"/>
      <c r="H127" s="402"/>
      <c r="J127" s="356"/>
      <c r="K127" s="198" t="s">
        <v>940</v>
      </c>
      <c r="L127" s="198" t="s">
        <v>864</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6">
      <c r="G128" s="140"/>
      <c r="H128" s="402"/>
      <c r="J128" s="356"/>
      <c r="K128" s="196" t="s">
        <v>941</v>
      </c>
      <c r="L128" s="196" t="s">
        <v>862</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6">
      <c r="G129" s="140"/>
      <c r="H129" s="402"/>
      <c r="J129" s="356"/>
      <c r="K129" s="137" t="s">
        <v>941</v>
      </c>
      <c r="L129" s="187" t="s">
        <v>863</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75">
      <c r="G130" s="140"/>
      <c r="H130" s="402"/>
      <c r="J130" s="356"/>
      <c r="K130" s="198" t="s">
        <v>941</v>
      </c>
      <c r="L130" s="198" t="s">
        <v>864</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6">
      <c r="G131" s="140"/>
      <c r="H131" s="402"/>
      <c r="J131" s="356"/>
      <c r="K131" s="196" t="s">
        <v>942</v>
      </c>
      <c r="L131" s="196" t="s">
        <v>862</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6">
      <c r="G132" s="140"/>
      <c r="H132" s="402"/>
      <c r="J132" s="356"/>
      <c r="K132" s="137" t="s">
        <v>942</v>
      </c>
      <c r="L132" s="187" t="s">
        <v>863</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75">
      <c r="G133" s="140"/>
      <c r="H133" s="402"/>
      <c r="J133" s="356"/>
      <c r="K133" s="198" t="s">
        <v>942</v>
      </c>
      <c r="L133" s="198" t="s">
        <v>864</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6">
      <c r="G134" s="140"/>
      <c r="H134" s="402"/>
      <c r="J134" s="356"/>
      <c r="K134" s="196" t="s">
        <v>943</v>
      </c>
      <c r="L134" s="196" t="s">
        <v>862</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6">
      <c r="G135" s="140"/>
      <c r="H135" s="402"/>
      <c r="J135" s="356"/>
      <c r="K135" s="137" t="s">
        <v>943</v>
      </c>
      <c r="L135" s="187" t="s">
        <v>863</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75">
      <c r="G136" s="140"/>
      <c r="H136" s="402"/>
      <c r="J136" s="356"/>
      <c r="K136" s="198" t="s">
        <v>943</v>
      </c>
      <c r="L136" s="198" t="s">
        <v>864</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6">
      <c r="G137" s="140"/>
      <c r="H137" s="402"/>
      <c r="J137" s="356"/>
      <c r="K137" s="196" t="s">
        <v>944</v>
      </c>
      <c r="L137" s="196" t="s">
        <v>862</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6">
      <c r="G138" s="140"/>
      <c r="H138" s="402"/>
      <c r="J138" s="356"/>
      <c r="K138" s="137" t="s">
        <v>944</v>
      </c>
      <c r="L138" s="187" t="s">
        <v>863</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75">
      <c r="G139" s="140"/>
      <c r="H139" s="402"/>
      <c r="J139" s="356"/>
      <c r="K139" s="198" t="s">
        <v>944</v>
      </c>
      <c r="L139" s="198" t="s">
        <v>864</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6">
      <c r="G140" s="140"/>
      <c r="H140" s="402"/>
      <c r="J140" s="356"/>
      <c r="K140" s="196" t="s">
        <v>945</v>
      </c>
      <c r="L140" s="196" t="s">
        <v>862</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6">
      <c r="G141" s="140"/>
      <c r="H141" s="402"/>
      <c r="J141" s="356"/>
      <c r="K141" s="137" t="s">
        <v>945</v>
      </c>
      <c r="L141" s="187" t="s">
        <v>863</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75">
      <c r="G142" s="140"/>
      <c r="H142" s="402"/>
      <c r="J142" s="356"/>
      <c r="K142" s="198" t="s">
        <v>945</v>
      </c>
      <c r="L142" s="198" t="s">
        <v>864</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6">
      <c r="G143" s="140"/>
      <c r="H143" s="402"/>
      <c r="J143" s="356"/>
      <c r="K143" s="196" t="s">
        <v>946</v>
      </c>
      <c r="L143" s="196" t="s">
        <v>862</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6">
      <c r="G144" s="140"/>
      <c r="H144" s="402"/>
      <c r="J144" s="356"/>
      <c r="K144" s="137" t="s">
        <v>946</v>
      </c>
      <c r="L144" s="187" t="s">
        <v>863</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75">
      <c r="G145" s="140"/>
      <c r="H145" s="402"/>
      <c r="J145" s="356"/>
      <c r="K145" s="198" t="s">
        <v>946</v>
      </c>
      <c r="L145" s="198" t="s">
        <v>864</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6">
      <c r="G146" s="140"/>
      <c r="H146" s="402"/>
      <c r="J146" s="356"/>
      <c r="K146" s="196" t="s">
        <v>947</v>
      </c>
      <c r="L146" s="196" t="s">
        <v>862</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6">
      <c r="G147" s="140"/>
      <c r="H147" s="402"/>
      <c r="J147" s="356"/>
      <c r="K147" s="137" t="s">
        <v>947</v>
      </c>
      <c r="L147" s="187" t="s">
        <v>863</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75">
      <c r="G148" s="140"/>
      <c r="H148" s="402"/>
      <c r="J148" s="403"/>
      <c r="K148" s="198" t="s">
        <v>947</v>
      </c>
      <c r="L148" s="198" t="s">
        <v>864</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6">
      <c r="G149" s="140"/>
      <c r="H149" s="402"/>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6">
      <c r="G150" s="140"/>
      <c r="H150" s="402"/>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6">
      <c r="G151" s="140"/>
      <c r="H151" s="402"/>
      <c r="J151" s="355" t="s">
        <v>880</v>
      </c>
      <c r="K151" s="196" t="s">
        <v>937</v>
      </c>
      <c r="L151" s="196" t="s">
        <v>862</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6">
      <c r="G152" s="140"/>
      <c r="H152" s="402"/>
      <c r="J152" s="356"/>
      <c r="K152" s="137" t="s">
        <v>937</v>
      </c>
      <c r="L152" s="187" t="s">
        <v>863</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75">
      <c r="G153" s="140"/>
      <c r="H153" s="402"/>
      <c r="J153" s="356"/>
      <c r="K153" s="198" t="s">
        <v>937</v>
      </c>
      <c r="L153" s="198" t="s">
        <v>864</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6">
      <c r="G154" s="140"/>
      <c r="H154" s="402"/>
      <c r="J154" s="356"/>
      <c r="K154" s="196" t="s">
        <v>939</v>
      </c>
      <c r="L154" s="196" t="s">
        <v>862</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6">
      <c r="G155" s="140"/>
      <c r="H155" s="402"/>
      <c r="J155" s="356"/>
      <c r="K155" s="137" t="s">
        <v>939</v>
      </c>
      <c r="L155" s="187" t="s">
        <v>863</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75">
      <c r="G156" s="140"/>
      <c r="H156" s="402"/>
      <c r="J156" s="356"/>
      <c r="K156" s="198" t="s">
        <v>939</v>
      </c>
      <c r="L156" s="198" t="s">
        <v>864</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75">
      <c r="G157" s="140"/>
      <c r="H157" s="402"/>
      <c r="J157" s="356"/>
      <c r="K157" s="196" t="s">
        <v>940</v>
      </c>
      <c r="L157" s="196" t="s">
        <v>862</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75">
      <c r="A158" s="132"/>
      <c r="B158" s="132"/>
      <c r="C158" s="132"/>
      <c r="D158" s="132"/>
      <c r="E158" s="132"/>
      <c r="F158" s="132"/>
      <c r="G158" s="140"/>
      <c r="H158" s="402"/>
      <c r="I158" s="132"/>
      <c r="J158" s="356"/>
      <c r="K158" s="137" t="s">
        <v>940</v>
      </c>
      <c r="L158" s="187" t="s">
        <v>863</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75">
      <c r="A159" s="132"/>
      <c r="B159" s="132"/>
      <c r="C159" s="132"/>
      <c r="D159" s="132"/>
      <c r="E159" s="132"/>
      <c r="F159" s="132"/>
      <c r="G159" s="140"/>
      <c r="H159" s="402"/>
      <c r="I159" s="132"/>
      <c r="J159" s="356"/>
      <c r="K159" s="198" t="s">
        <v>940</v>
      </c>
      <c r="L159" s="198" t="s">
        <v>864</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75">
      <c r="G160" s="140"/>
      <c r="H160" s="402"/>
      <c r="J160" s="356"/>
      <c r="K160" s="196" t="s">
        <v>941</v>
      </c>
      <c r="L160" s="196" t="s">
        <v>862</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75">
      <c r="A161" s="132"/>
      <c r="B161" s="132"/>
      <c r="C161" s="132"/>
      <c r="D161" s="132"/>
      <c r="E161" s="132"/>
      <c r="F161" s="132"/>
      <c r="G161" s="140"/>
      <c r="H161" s="402"/>
      <c r="I161" s="132"/>
      <c r="J161" s="356"/>
      <c r="K161" s="137" t="s">
        <v>941</v>
      </c>
      <c r="L161" s="187" t="s">
        <v>863</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75">
      <c r="A162" s="132"/>
      <c r="B162" s="132"/>
      <c r="C162" s="132"/>
      <c r="D162" s="132"/>
      <c r="E162" s="132"/>
      <c r="F162" s="132"/>
      <c r="G162" s="140"/>
      <c r="H162" s="402"/>
      <c r="I162" s="132"/>
      <c r="J162" s="356"/>
      <c r="K162" s="198" t="s">
        <v>941</v>
      </c>
      <c r="L162" s="198" t="s">
        <v>864</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75">
      <c r="G163" s="140"/>
      <c r="H163" s="402"/>
      <c r="J163" s="356"/>
      <c r="K163" s="196" t="s">
        <v>942</v>
      </c>
      <c r="L163" s="196" t="s">
        <v>862</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75">
      <c r="A164" s="132"/>
      <c r="B164" s="132"/>
      <c r="C164" s="132"/>
      <c r="D164" s="132"/>
      <c r="E164" s="132"/>
      <c r="F164" s="132"/>
      <c r="G164" s="140"/>
      <c r="H164" s="402"/>
      <c r="I164" s="132"/>
      <c r="J164" s="356"/>
      <c r="K164" s="137" t="s">
        <v>942</v>
      </c>
      <c r="L164" s="187" t="s">
        <v>863</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75">
      <c r="A165" s="132"/>
      <c r="B165" s="132"/>
      <c r="C165" s="132"/>
      <c r="D165" s="132"/>
      <c r="E165" s="132"/>
      <c r="F165" s="132"/>
      <c r="G165" s="140"/>
      <c r="H165" s="402"/>
      <c r="I165" s="132"/>
      <c r="J165" s="356"/>
      <c r="K165" s="198" t="s">
        <v>942</v>
      </c>
      <c r="L165" s="198" t="s">
        <v>864</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6">
      <c r="G166" s="140"/>
      <c r="H166" s="402"/>
      <c r="J166" s="356"/>
      <c r="K166" s="196" t="s">
        <v>943</v>
      </c>
      <c r="L166" s="196" t="s">
        <v>862</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6">
      <c r="G167" s="140"/>
      <c r="H167" s="402"/>
      <c r="J167" s="356"/>
      <c r="K167" s="137" t="s">
        <v>943</v>
      </c>
      <c r="L167" s="187" t="s">
        <v>863</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75">
      <c r="G168" s="140"/>
      <c r="H168" s="402"/>
      <c r="J168" s="356"/>
      <c r="K168" s="198" t="s">
        <v>943</v>
      </c>
      <c r="L168" s="198" t="s">
        <v>864</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6">
      <c r="G169" s="140"/>
      <c r="H169" s="402"/>
      <c r="J169" s="356"/>
      <c r="K169" s="196" t="s">
        <v>944</v>
      </c>
      <c r="L169" s="196" t="s">
        <v>862</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6">
      <c r="G170" s="140"/>
      <c r="H170" s="402"/>
      <c r="J170" s="356"/>
      <c r="K170" s="137" t="s">
        <v>944</v>
      </c>
      <c r="L170" s="187" t="s">
        <v>863</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75">
      <c r="G171" s="140"/>
      <c r="H171" s="402"/>
      <c r="J171" s="356"/>
      <c r="K171" s="198" t="s">
        <v>944</v>
      </c>
      <c r="L171" s="198" t="s">
        <v>864</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75">
      <c r="G172" s="140"/>
      <c r="H172" s="402"/>
      <c r="J172" s="356"/>
      <c r="K172" s="196" t="s">
        <v>945</v>
      </c>
      <c r="L172" s="196" t="s">
        <v>862</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75">
      <c r="A173" s="132"/>
      <c r="B173" s="132"/>
      <c r="C173" s="132"/>
      <c r="D173" s="132"/>
      <c r="E173" s="132"/>
      <c r="F173" s="132"/>
      <c r="G173" s="140"/>
      <c r="H173" s="402"/>
      <c r="I173" s="132"/>
      <c r="J173" s="356"/>
      <c r="K173" s="137" t="s">
        <v>945</v>
      </c>
      <c r="L173" s="187" t="s">
        <v>863</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75">
      <c r="A174" s="132"/>
      <c r="B174" s="132"/>
      <c r="C174" s="132"/>
      <c r="D174" s="132"/>
      <c r="E174" s="132"/>
      <c r="F174" s="132"/>
      <c r="G174" s="140"/>
      <c r="H174" s="402"/>
      <c r="I174" s="132"/>
      <c r="J174" s="356"/>
      <c r="K174" s="198" t="s">
        <v>945</v>
      </c>
      <c r="L174" s="198" t="s">
        <v>864</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75">
      <c r="G175" s="140"/>
      <c r="H175" s="402"/>
      <c r="J175" s="356"/>
      <c r="K175" s="196" t="s">
        <v>946</v>
      </c>
      <c r="L175" s="196" t="s">
        <v>862</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75">
      <c r="A176" s="132"/>
      <c r="B176" s="132"/>
      <c r="C176" s="132"/>
      <c r="D176" s="132"/>
      <c r="E176" s="132"/>
      <c r="F176" s="132"/>
      <c r="G176" s="140"/>
      <c r="H176" s="402"/>
      <c r="I176" s="132"/>
      <c r="J176" s="356"/>
      <c r="K176" s="137" t="s">
        <v>946</v>
      </c>
      <c r="L176" s="187" t="s">
        <v>863</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75">
      <c r="A177" s="132"/>
      <c r="B177" s="132"/>
      <c r="C177" s="132"/>
      <c r="D177" s="132"/>
      <c r="E177" s="132"/>
      <c r="F177" s="132"/>
      <c r="G177" s="140"/>
      <c r="H177" s="402"/>
      <c r="I177" s="132"/>
      <c r="J177" s="356"/>
      <c r="K177" s="198" t="s">
        <v>946</v>
      </c>
      <c r="L177" s="198" t="s">
        <v>864</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75">
      <c r="G178" s="140"/>
      <c r="H178" s="402"/>
      <c r="J178" s="356"/>
      <c r="K178" s="196" t="s">
        <v>947</v>
      </c>
      <c r="L178" s="196" t="s">
        <v>862</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75">
      <c r="A179" s="132"/>
      <c r="B179" s="132"/>
      <c r="C179" s="132"/>
      <c r="D179" s="132"/>
      <c r="E179" s="132"/>
      <c r="F179" s="132"/>
      <c r="G179" s="140"/>
      <c r="H179" s="402"/>
      <c r="I179" s="132"/>
      <c r="J179" s="356"/>
      <c r="K179" s="137" t="s">
        <v>947</v>
      </c>
      <c r="L179" s="187" t="s">
        <v>863</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75">
      <c r="A180" s="132"/>
      <c r="B180" s="132"/>
      <c r="C180" s="132"/>
      <c r="D180" s="132"/>
      <c r="E180" s="132"/>
      <c r="F180" s="132"/>
      <c r="G180" s="140"/>
      <c r="H180" s="402"/>
      <c r="I180" s="132"/>
      <c r="J180" s="403"/>
      <c r="K180" s="198" t="s">
        <v>947</v>
      </c>
      <c r="L180" s="198" t="s">
        <v>864</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75">
      <c r="G181" s="140"/>
      <c r="H181" s="402"/>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75">
      <c r="G182" s="140"/>
      <c r="H182" s="402"/>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6">
      <c r="G183" s="140"/>
      <c r="H183" s="402"/>
      <c r="J183" s="355" t="s">
        <v>881</v>
      </c>
      <c r="K183" s="196" t="s">
        <v>937</v>
      </c>
      <c r="L183" s="196" t="s">
        <v>862</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6">
      <c r="G184" s="140"/>
      <c r="H184" s="402"/>
      <c r="J184" s="356"/>
      <c r="K184" s="137" t="s">
        <v>937</v>
      </c>
      <c r="L184" s="187" t="s">
        <v>863</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75">
      <c r="G185" s="140"/>
      <c r="H185" s="402"/>
      <c r="J185" s="356"/>
      <c r="K185" s="198" t="s">
        <v>937</v>
      </c>
      <c r="L185" s="198" t="s">
        <v>864</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75">
      <c r="G186" s="140"/>
      <c r="H186" s="402"/>
      <c r="J186" s="356"/>
      <c r="K186" s="196" t="s">
        <v>939</v>
      </c>
      <c r="L186" s="196" t="s">
        <v>862</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6">
      <c r="G187" s="140"/>
      <c r="H187" s="402"/>
      <c r="J187" s="356"/>
      <c r="K187" s="137" t="s">
        <v>939</v>
      </c>
      <c r="L187" s="187" t="s">
        <v>863</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75">
      <c r="G188" s="140"/>
      <c r="H188" s="402"/>
      <c r="J188" s="356"/>
      <c r="K188" s="198" t="s">
        <v>939</v>
      </c>
      <c r="L188" s="198" t="s">
        <v>864</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75">
      <c r="G189" s="140"/>
      <c r="H189" s="402"/>
      <c r="J189" s="356"/>
      <c r="K189" s="196" t="s">
        <v>940</v>
      </c>
      <c r="L189" s="196" t="s">
        <v>862</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75">
      <c r="A190" s="132"/>
      <c r="B190" s="132"/>
      <c r="C190" s="132"/>
      <c r="D190" s="132"/>
      <c r="E190" s="132"/>
      <c r="F190" s="132"/>
      <c r="G190" s="140"/>
      <c r="H190" s="402"/>
      <c r="I190" s="132"/>
      <c r="J190" s="356"/>
      <c r="K190" s="137" t="s">
        <v>940</v>
      </c>
      <c r="L190" s="187" t="s">
        <v>863</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75">
      <c r="A191" s="132"/>
      <c r="B191" s="132"/>
      <c r="C191" s="132"/>
      <c r="D191" s="132"/>
      <c r="E191" s="132"/>
      <c r="F191" s="132"/>
      <c r="G191" s="140"/>
      <c r="H191" s="402"/>
      <c r="I191" s="132"/>
      <c r="J191" s="356"/>
      <c r="K191" s="198" t="s">
        <v>940</v>
      </c>
      <c r="L191" s="198" t="s">
        <v>864</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75">
      <c r="G192" s="140"/>
      <c r="H192" s="402"/>
      <c r="J192" s="356"/>
      <c r="K192" s="196" t="s">
        <v>941</v>
      </c>
      <c r="L192" s="196" t="s">
        <v>862</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75">
      <c r="A193" s="132"/>
      <c r="B193" s="132"/>
      <c r="C193" s="132"/>
      <c r="D193" s="132"/>
      <c r="E193" s="132"/>
      <c r="F193" s="132"/>
      <c r="G193" s="140"/>
      <c r="H193" s="402"/>
      <c r="I193" s="132"/>
      <c r="J193" s="356"/>
      <c r="K193" s="137" t="s">
        <v>941</v>
      </c>
      <c r="L193" s="187" t="s">
        <v>863</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75">
      <c r="A194" s="132"/>
      <c r="B194" s="132"/>
      <c r="C194" s="132"/>
      <c r="D194" s="132"/>
      <c r="E194" s="132"/>
      <c r="F194" s="132"/>
      <c r="G194" s="140"/>
      <c r="H194" s="402"/>
      <c r="I194" s="132"/>
      <c r="J194" s="356"/>
      <c r="K194" s="198" t="s">
        <v>941</v>
      </c>
      <c r="L194" s="198" t="s">
        <v>864</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6">
      <c r="G195" s="140"/>
      <c r="H195" s="402"/>
      <c r="J195" s="356"/>
      <c r="K195" s="196" t="s">
        <v>942</v>
      </c>
      <c r="L195" s="196" t="s">
        <v>862</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6">
      <c r="G196" s="140"/>
      <c r="H196" s="402"/>
      <c r="J196" s="356"/>
      <c r="K196" s="137" t="s">
        <v>942</v>
      </c>
      <c r="L196" s="187" t="s">
        <v>863</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75">
      <c r="G197" s="140"/>
      <c r="H197" s="402"/>
      <c r="J197" s="356"/>
      <c r="K197" s="198" t="s">
        <v>942</v>
      </c>
      <c r="L197" s="198" t="s">
        <v>864</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6">
      <c r="G198" s="140"/>
      <c r="H198" s="402"/>
      <c r="J198" s="356"/>
      <c r="K198" s="196" t="s">
        <v>943</v>
      </c>
      <c r="L198" s="196" t="s">
        <v>862</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6">
      <c r="G199" s="140"/>
      <c r="H199" s="402"/>
      <c r="J199" s="356"/>
      <c r="K199" s="137" t="s">
        <v>943</v>
      </c>
      <c r="L199" s="187" t="s">
        <v>863</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75">
      <c r="G200" s="140"/>
      <c r="H200" s="402"/>
      <c r="J200" s="356"/>
      <c r="K200" s="198" t="s">
        <v>943</v>
      </c>
      <c r="L200" s="198" t="s">
        <v>864</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75">
      <c r="G201" s="140"/>
      <c r="H201" s="402"/>
      <c r="J201" s="356"/>
      <c r="K201" s="196" t="s">
        <v>944</v>
      </c>
      <c r="L201" s="196" t="s">
        <v>862</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6">
      <c r="G202" s="140"/>
      <c r="H202" s="402"/>
      <c r="J202" s="356"/>
      <c r="K202" s="137" t="s">
        <v>944</v>
      </c>
      <c r="L202" s="187" t="s">
        <v>863</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75">
      <c r="G203" s="140"/>
      <c r="H203" s="402"/>
      <c r="J203" s="356"/>
      <c r="K203" s="198" t="s">
        <v>944</v>
      </c>
      <c r="L203" s="198" t="s">
        <v>864</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75">
      <c r="G204" s="140"/>
      <c r="H204" s="402"/>
      <c r="J204" s="356"/>
      <c r="K204" s="196" t="s">
        <v>945</v>
      </c>
      <c r="L204" s="196" t="s">
        <v>862</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75">
      <c r="A205" s="132"/>
      <c r="B205" s="132"/>
      <c r="C205" s="132"/>
      <c r="D205" s="132"/>
      <c r="E205" s="132"/>
      <c r="F205" s="132"/>
      <c r="G205" s="140"/>
      <c r="H205" s="402"/>
      <c r="I205" s="132"/>
      <c r="J205" s="356"/>
      <c r="K205" s="137" t="s">
        <v>945</v>
      </c>
      <c r="L205" s="187" t="s">
        <v>863</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75">
      <c r="A206" s="132"/>
      <c r="B206" s="132"/>
      <c r="C206" s="132"/>
      <c r="D206" s="132"/>
      <c r="E206" s="132"/>
      <c r="F206" s="132"/>
      <c r="G206" s="140"/>
      <c r="H206" s="402"/>
      <c r="I206" s="132"/>
      <c r="J206" s="356"/>
      <c r="K206" s="198" t="s">
        <v>945</v>
      </c>
      <c r="L206" s="198" t="s">
        <v>864</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75">
      <c r="G207" s="140"/>
      <c r="H207" s="402"/>
      <c r="J207" s="356"/>
      <c r="K207" s="196" t="s">
        <v>946</v>
      </c>
      <c r="L207" s="196" t="s">
        <v>862</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75">
      <c r="A208" s="132"/>
      <c r="B208" s="132"/>
      <c r="C208" s="132"/>
      <c r="D208" s="132"/>
      <c r="E208" s="132"/>
      <c r="F208" s="132"/>
      <c r="G208" s="140"/>
      <c r="H208" s="402"/>
      <c r="I208" s="132"/>
      <c r="J208" s="356"/>
      <c r="K208" s="137" t="s">
        <v>946</v>
      </c>
      <c r="L208" s="187" t="s">
        <v>863</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75">
      <c r="A209" s="132"/>
      <c r="B209" s="132"/>
      <c r="C209" s="132"/>
      <c r="D209" s="132"/>
      <c r="E209" s="132"/>
      <c r="F209" s="132"/>
      <c r="G209" s="140"/>
      <c r="H209" s="402"/>
      <c r="I209" s="132"/>
      <c r="J209" s="356"/>
      <c r="K209" s="198" t="s">
        <v>946</v>
      </c>
      <c r="L209" s="198" t="s">
        <v>864</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6">
      <c r="G210" s="140"/>
      <c r="H210" s="402"/>
      <c r="J210" s="356"/>
      <c r="K210" s="196" t="s">
        <v>947</v>
      </c>
      <c r="L210" s="196" t="s">
        <v>862</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6">
      <c r="G211" s="140"/>
      <c r="H211" s="402"/>
      <c r="J211" s="356"/>
      <c r="K211" s="137" t="s">
        <v>947</v>
      </c>
      <c r="L211" s="187" t="s">
        <v>863</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75">
      <c r="G212" s="140"/>
      <c r="H212" s="402"/>
      <c r="J212" s="403"/>
      <c r="K212" s="198" t="s">
        <v>947</v>
      </c>
      <c r="L212" s="198" t="s">
        <v>864</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6">
      <c r="G213" s="140"/>
      <c r="H213" s="402"/>
      <c r="J213" s="203"/>
      <c r="K213" s="137"/>
      <c r="L213" s="137"/>
    </row>
    <row r="214" spans="1:89" ht="14.25" customHeight="1" x14ac:dyDescent="0.6">
      <c r="G214" s="140"/>
      <c r="H214" s="402"/>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6">
      <c r="G215" s="140"/>
      <c r="H215" s="402"/>
      <c r="J215" s="355" t="s">
        <v>882</v>
      </c>
      <c r="K215" s="196" t="s">
        <v>937</v>
      </c>
      <c r="L215" s="196" t="s">
        <v>862</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6">
      <c r="G216" s="140"/>
      <c r="H216" s="402"/>
      <c r="J216" s="356"/>
      <c r="K216" s="137" t="s">
        <v>937</v>
      </c>
      <c r="L216" s="187" t="s">
        <v>863</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75">
      <c r="G217" s="140"/>
      <c r="H217" s="402"/>
      <c r="J217" s="356"/>
      <c r="K217" s="198" t="s">
        <v>937</v>
      </c>
      <c r="L217" s="198" t="s">
        <v>864</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6">
      <c r="G218" s="140"/>
      <c r="H218" s="402"/>
      <c r="J218" s="356"/>
      <c r="K218" s="196" t="s">
        <v>939</v>
      </c>
      <c r="L218" s="196" t="s">
        <v>862</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75">
      <c r="G219" s="140"/>
      <c r="H219" s="402"/>
      <c r="J219" s="356"/>
      <c r="K219" s="137" t="s">
        <v>939</v>
      </c>
      <c r="L219" s="187" t="s">
        <v>863</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75">
      <c r="G220" s="140"/>
      <c r="H220" s="402"/>
      <c r="J220" s="356"/>
      <c r="K220" s="198" t="s">
        <v>939</v>
      </c>
      <c r="L220" s="198" t="s">
        <v>864</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75">
      <c r="G221" s="140"/>
      <c r="H221" s="402"/>
      <c r="J221" s="356"/>
      <c r="K221" s="196" t="s">
        <v>940</v>
      </c>
      <c r="L221" s="196" t="s">
        <v>862</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75">
      <c r="A222" s="132"/>
      <c r="B222" s="132"/>
      <c r="C222" s="132"/>
      <c r="D222" s="132"/>
      <c r="E222" s="132"/>
      <c r="F222" s="132"/>
      <c r="G222" s="140"/>
      <c r="H222" s="402"/>
      <c r="I222" s="132"/>
      <c r="J222" s="356"/>
      <c r="K222" s="137" t="s">
        <v>940</v>
      </c>
      <c r="L222" s="187" t="s">
        <v>863</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75">
      <c r="A223" s="132"/>
      <c r="B223" s="132"/>
      <c r="C223" s="132"/>
      <c r="D223" s="132"/>
      <c r="E223" s="132"/>
      <c r="F223" s="132"/>
      <c r="G223" s="140"/>
      <c r="H223" s="402"/>
      <c r="I223" s="132"/>
      <c r="J223" s="356"/>
      <c r="K223" s="198" t="s">
        <v>940</v>
      </c>
      <c r="L223" s="198" t="s">
        <v>864</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75">
      <c r="G224" s="140"/>
      <c r="H224" s="402"/>
      <c r="J224" s="356"/>
      <c r="K224" s="196" t="s">
        <v>941</v>
      </c>
      <c r="L224" s="196" t="s">
        <v>862</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75">
      <c r="A225" s="132"/>
      <c r="B225" s="132"/>
      <c r="C225" s="132"/>
      <c r="D225" s="132"/>
      <c r="E225" s="132"/>
      <c r="F225" s="132"/>
      <c r="G225" s="140"/>
      <c r="H225" s="402"/>
      <c r="I225" s="132"/>
      <c r="J225" s="356"/>
      <c r="K225" s="137" t="s">
        <v>941</v>
      </c>
      <c r="L225" s="187" t="s">
        <v>863</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75">
      <c r="A226" s="132"/>
      <c r="B226" s="132"/>
      <c r="C226" s="132"/>
      <c r="D226" s="132"/>
      <c r="E226" s="132"/>
      <c r="F226" s="132"/>
      <c r="G226" s="140"/>
      <c r="H226" s="402"/>
      <c r="I226" s="132"/>
      <c r="J226" s="356"/>
      <c r="K226" s="198" t="s">
        <v>941</v>
      </c>
      <c r="L226" s="198" t="s">
        <v>864</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75">
      <c r="G227" s="140"/>
      <c r="H227" s="402"/>
      <c r="J227" s="356"/>
      <c r="K227" s="196" t="s">
        <v>942</v>
      </c>
      <c r="L227" s="196" t="s">
        <v>862</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75">
      <c r="G228" s="140"/>
      <c r="H228" s="402"/>
      <c r="J228" s="356"/>
      <c r="K228" s="137" t="s">
        <v>942</v>
      </c>
      <c r="L228" s="187" t="s">
        <v>863</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9">
      <c r="G229" s="140"/>
      <c r="H229" s="402"/>
      <c r="J229" s="356"/>
      <c r="K229" s="198" t="s">
        <v>942</v>
      </c>
      <c r="L229" s="198" t="s">
        <v>864</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6">
      <c r="G230" s="140"/>
      <c r="H230" s="402"/>
      <c r="J230" s="356"/>
      <c r="K230" s="196" t="s">
        <v>943</v>
      </c>
      <c r="L230" s="196" t="s">
        <v>862</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6">
      <c r="G231" s="140"/>
      <c r="H231" s="402"/>
      <c r="J231" s="356"/>
      <c r="K231" s="137" t="s">
        <v>943</v>
      </c>
      <c r="L231" s="187" t="s">
        <v>863</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75">
      <c r="G232" s="140"/>
      <c r="H232" s="402"/>
      <c r="J232" s="356"/>
      <c r="K232" s="198" t="s">
        <v>943</v>
      </c>
      <c r="L232" s="198" t="s">
        <v>864</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6">
      <c r="G233" s="140"/>
      <c r="H233" s="402"/>
      <c r="J233" s="356"/>
      <c r="K233" s="196" t="s">
        <v>944</v>
      </c>
      <c r="L233" s="196" t="s">
        <v>862</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75">
      <c r="G234" s="140"/>
      <c r="H234" s="402"/>
      <c r="J234" s="356"/>
      <c r="K234" s="137" t="s">
        <v>944</v>
      </c>
      <c r="L234" s="187" t="s">
        <v>863</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75">
      <c r="G235" s="140"/>
      <c r="H235" s="402"/>
      <c r="J235" s="356"/>
      <c r="K235" s="198" t="s">
        <v>944</v>
      </c>
      <c r="L235" s="198" t="s">
        <v>864</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75">
      <c r="G236" s="140"/>
      <c r="H236" s="402"/>
      <c r="J236" s="356"/>
      <c r="K236" s="196" t="s">
        <v>945</v>
      </c>
      <c r="L236" s="196" t="s">
        <v>862</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75">
      <c r="A237" s="132"/>
      <c r="B237" s="132"/>
      <c r="C237" s="132"/>
      <c r="D237" s="132"/>
      <c r="E237" s="132"/>
      <c r="F237" s="132"/>
      <c r="G237" s="140"/>
      <c r="H237" s="402"/>
      <c r="I237" s="132"/>
      <c r="J237" s="356"/>
      <c r="K237" s="137" t="s">
        <v>945</v>
      </c>
      <c r="L237" s="187" t="s">
        <v>863</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75">
      <c r="A238" s="132"/>
      <c r="B238" s="132"/>
      <c r="C238" s="132"/>
      <c r="D238" s="132"/>
      <c r="E238" s="132"/>
      <c r="F238" s="132"/>
      <c r="G238" s="140"/>
      <c r="H238" s="402"/>
      <c r="I238" s="132"/>
      <c r="J238" s="356"/>
      <c r="K238" s="198" t="s">
        <v>945</v>
      </c>
      <c r="L238" s="198" t="s">
        <v>864</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75">
      <c r="G239" s="140"/>
      <c r="H239" s="402"/>
      <c r="J239" s="356"/>
      <c r="K239" s="196" t="s">
        <v>946</v>
      </c>
      <c r="L239" s="196" t="s">
        <v>862</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75">
      <c r="A240" s="132"/>
      <c r="B240" s="132"/>
      <c r="C240" s="132"/>
      <c r="D240" s="132"/>
      <c r="E240" s="132"/>
      <c r="F240" s="132"/>
      <c r="G240" s="140"/>
      <c r="H240" s="402"/>
      <c r="I240" s="132"/>
      <c r="J240" s="356"/>
      <c r="K240" s="137" t="s">
        <v>946</v>
      </c>
      <c r="L240" s="187" t="s">
        <v>863</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75">
      <c r="A241" s="132"/>
      <c r="B241" s="132"/>
      <c r="C241" s="132"/>
      <c r="D241" s="132"/>
      <c r="E241" s="132"/>
      <c r="F241" s="132"/>
      <c r="G241" s="140"/>
      <c r="H241" s="402"/>
      <c r="I241" s="132"/>
      <c r="J241" s="356"/>
      <c r="K241" s="198" t="s">
        <v>946</v>
      </c>
      <c r="L241" s="198" t="s">
        <v>864</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75">
      <c r="G242" s="140"/>
      <c r="H242" s="402"/>
      <c r="J242" s="356"/>
      <c r="K242" s="196" t="s">
        <v>947</v>
      </c>
      <c r="L242" s="196" t="s">
        <v>862</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75">
      <c r="G243" s="140"/>
      <c r="H243" s="402"/>
      <c r="J243" s="356"/>
      <c r="K243" s="137" t="s">
        <v>947</v>
      </c>
      <c r="L243" s="187" t="s">
        <v>863</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75">
      <c r="G244" s="140"/>
      <c r="H244" s="402"/>
      <c r="J244" s="403"/>
      <c r="K244" s="198" t="s">
        <v>947</v>
      </c>
      <c r="L244" s="198" t="s">
        <v>864</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75">
      <c r="G245" s="140"/>
      <c r="H245" s="402"/>
      <c r="J245" s="203"/>
      <c r="K245" s="137"/>
      <c r="L245" s="137"/>
      <c r="AX245"/>
      <c r="AY245"/>
    </row>
    <row r="246" spans="1:97" ht="14.25" customHeight="1" x14ac:dyDescent="0.6">
      <c r="G246" s="140"/>
      <c r="H246" s="402"/>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6">
      <c r="G247" s="140"/>
      <c r="H247" s="402"/>
      <c r="J247" s="355" t="s">
        <v>883</v>
      </c>
      <c r="K247" s="196" t="s">
        <v>937</v>
      </c>
      <c r="L247" s="196" t="s">
        <v>862</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75">
      <c r="G248" s="140"/>
      <c r="H248" s="402"/>
      <c r="J248" s="356"/>
      <c r="K248" s="137" t="s">
        <v>937</v>
      </c>
      <c r="L248" s="187" t="s">
        <v>863</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75">
      <c r="G249" s="140"/>
      <c r="H249" s="402"/>
      <c r="J249" s="356"/>
      <c r="K249" s="198" t="s">
        <v>937</v>
      </c>
      <c r="L249" s="198" t="s">
        <v>864</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6">
      <c r="G250" s="140"/>
      <c r="H250" s="402"/>
      <c r="J250" s="356"/>
      <c r="K250" s="196" t="s">
        <v>939</v>
      </c>
      <c r="L250" s="196" t="s">
        <v>862</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75">
      <c r="G251" s="140"/>
      <c r="H251" s="402"/>
      <c r="J251" s="356"/>
      <c r="K251" s="137" t="s">
        <v>939</v>
      </c>
      <c r="L251" s="187" t="s">
        <v>863</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9">
      <c r="G252" s="140"/>
      <c r="H252" s="402"/>
      <c r="J252" s="356"/>
      <c r="K252" s="198" t="s">
        <v>939</v>
      </c>
      <c r="L252" s="198" t="s">
        <v>864</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75">
      <c r="G253" s="140"/>
      <c r="H253" s="402"/>
      <c r="J253" s="356"/>
      <c r="K253" s="196" t="s">
        <v>940</v>
      </c>
      <c r="L253" s="196" t="s">
        <v>862</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75">
      <c r="G254" s="140"/>
      <c r="H254" s="402"/>
      <c r="J254" s="356"/>
      <c r="K254" s="137" t="s">
        <v>940</v>
      </c>
      <c r="L254" s="187" t="s">
        <v>863</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9">
      <c r="G255" s="140"/>
      <c r="H255" s="402"/>
      <c r="J255" s="356"/>
      <c r="K255" s="198" t="s">
        <v>940</v>
      </c>
      <c r="L255" s="198" t="s">
        <v>864</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75">
      <c r="G256" s="140"/>
      <c r="H256" s="402"/>
      <c r="J256" s="356"/>
      <c r="K256" s="196" t="s">
        <v>941</v>
      </c>
      <c r="L256" s="196" t="s">
        <v>862</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75">
      <c r="G257" s="140"/>
      <c r="H257" s="402"/>
      <c r="J257" s="356"/>
      <c r="K257" s="137" t="s">
        <v>941</v>
      </c>
      <c r="L257" s="187" t="s">
        <v>863</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9">
      <c r="G258" s="140"/>
      <c r="H258" s="402"/>
      <c r="J258" s="356"/>
      <c r="K258" s="198" t="s">
        <v>941</v>
      </c>
      <c r="L258" s="198" t="s">
        <v>864</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75">
      <c r="G259" s="140"/>
      <c r="H259" s="402"/>
      <c r="J259" s="356"/>
      <c r="K259" s="196" t="s">
        <v>942</v>
      </c>
      <c r="L259" s="196" t="s">
        <v>862</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75">
      <c r="G260" s="140"/>
      <c r="H260" s="402"/>
      <c r="J260" s="356"/>
      <c r="K260" s="137" t="s">
        <v>942</v>
      </c>
      <c r="L260" s="187" t="s">
        <v>863</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9">
      <c r="G261" s="140"/>
      <c r="H261" s="402"/>
      <c r="J261" s="356"/>
      <c r="K261" s="198" t="s">
        <v>942</v>
      </c>
      <c r="L261" s="198" t="s">
        <v>864</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6">
      <c r="G262" s="140"/>
      <c r="H262" s="402"/>
      <c r="J262" s="356"/>
      <c r="K262" s="196" t="s">
        <v>943</v>
      </c>
      <c r="L262" s="196" t="s">
        <v>862</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75">
      <c r="G263" s="140"/>
      <c r="H263" s="402"/>
      <c r="J263" s="356"/>
      <c r="K263" s="137" t="s">
        <v>943</v>
      </c>
      <c r="L263" s="187" t="s">
        <v>863</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75">
      <c r="G264" s="140"/>
      <c r="H264" s="402"/>
      <c r="J264" s="356"/>
      <c r="K264" s="198" t="s">
        <v>943</v>
      </c>
      <c r="L264" s="198" t="s">
        <v>864</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6">
      <c r="G265" s="140"/>
      <c r="H265" s="402"/>
      <c r="J265" s="356"/>
      <c r="K265" s="196" t="s">
        <v>944</v>
      </c>
      <c r="L265" s="196" t="s">
        <v>862</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75">
      <c r="G266" s="140"/>
      <c r="H266" s="402"/>
      <c r="J266" s="356"/>
      <c r="K266" s="137" t="s">
        <v>944</v>
      </c>
      <c r="L266" s="187" t="s">
        <v>863</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9">
      <c r="G267" s="140"/>
      <c r="H267" s="402"/>
      <c r="J267" s="356"/>
      <c r="K267" s="198" t="s">
        <v>944</v>
      </c>
      <c r="L267" s="198" t="s">
        <v>864</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75">
      <c r="G268" s="140"/>
      <c r="H268" s="402"/>
      <c r="J268" s="356"/>
      <c r="K268" s="196" t="s">
        <v>945</v>
      </c>
      <c r="L268" s="196" t="s">
        <v>862</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75">
      <c r="G269" s="140"/>
      <c r="H269" s="402"/>
      <c r="J269" s="356"/>
      <c r="K269" s="137" t="s">
        <v>945</v>
      </c>
      <c r="L269" s="187" t="s">
        <v>863</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9">
      <c r="G270" s="140"/>
      <c r="H270" s="402"/>
      <c r="J270" s="356"/>
      <c r="K270" s="198" t="s">
        <v>945</v>
      </c>
      <c r="L270" s="198" t="s">
        <v>864</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75">
      <c r="G271" s="140"/>
      <c r="H271" s="402"/>
      <c r="J271" s="356"/>
      <c r="K271" s="196" t="s">
        <v>946</v>
      </c>
      <c r="L271" s="196" t="s">
        <v>862</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75">
      <c r="G272" s="140"/>
      <c r="H272" s="402"/>
      <c r="J272" s="356"/>
      <c r="K272" s="137" t="s">
        <v>946</v>
      </c>
      <c r="L272" s="187" t="s">
        <v>863</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9">
      <c r="G273" s="140"/>
      <c r="H273" s="402"/>
      <c r="J273" s="356"/>
      <c r="K273" s="198" t="s">
        <v>946</v>
      </c>
      <c r="L273" s="198" t="s">
        <v>864</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75">
      <c r="G274" s="140"/>
      <c r="H274" s="402"/>
      <c r="J274" s="356"/>
      <c r="K274" s="196" t="s">
        <v>947</v>
      </c>
      <c r="L274" s="196" t="s">
        <v>862</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75">
      <c r="G275" s="140"/>
      <c r="H275" s="402"/>
      <c r="J275" s="356"/>
      <c r="K275" s="137" t="s">
        <v>947</v>
      </c>
      <c r="L275" s="187" t="s">
        <v>863</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9">
      <c r="G276" s="140"/>
      <c r="H276" s="402"/>
      <c r="J276" s="403"/>
      <c r="K276" s="198" t="s">
        <v>947</v>
      </c>
      <c r="L276" s="198" t="s">
        <v>864</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75">
      <c r="G277" s="140"/>
      <c r="H277" s="402"/>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6">
      <c r="A278" s="132" t="s">
        <v>816</v>
      </c>
      <c r="G278" s="140"/>
      <c r="H278" s="402"/>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6">
      <c r="G279" s="140"/>
      <c r="H279" s="402"/>
      <c r="J279" s="355" t="s">
        <v>884</v>
      </c>
      <c r="K279" s="196" t="s">
        <v>937</v>
      </c>
      <c r="L279" s="196" t="s">
        <v>862</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75">
      <c r="G280" s="140"/>
      <c r="H280" s="402"/>
      <c r="J280" s="356"/>
      <c r="K280" s="137" t="s">
        <v>937</v>
      </c>
      <c r="L280" s="187" t="s">
        <v>863</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75">
      <c r="G281" s="140"/>
      <c r="H281" s="402"/>
      <c r="J281" s="356"/>
      <c r="K281" s="198" t="s">
        <v>937</v>
      </c>
      <c r="L281" s="198" t="s">
        <v>864</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6">
      <c r="G282" s="140"/>
      <c r="H282" s="402"/>
      <c r="J282" s="356"/>
      <c r="K282" s="196" t="s">
        <v>939</v>
      </c>
      <c r="L282" s="196" t="s">
        <v>862</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75">
      <c r="G283" s="140"/>
      <c r="H283" s="402"/>
      <c r="J283" s="356"/>
      <c r="K283" s="137" t="s">
        <v>939</v>
      </c>
      <c r="L283" s="187" t="s">
        <v>863</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75">
      <c r="G284" s="140"/>
      <c r="H284" s="402"/>
      <c r="J284" s="356"/>
      <c r="K284" s="198" t="s">
        <v>939</v>
      </c>
      <c r="L284" s="198" t="s">
        <v>864</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6">
      <c r="G285" s="140"/>
      <c r="H285" s="402"/>
      <c r="J285" s="356"/>
      <c r="K285" s="196" t="s">
        <v>940</v>
      </c>
      <c r="L285" s="196" t="s">
        <v>862</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6">
      <c r="G286" s="140"/>
      <c r="H286" s="402"/>
      <c r="J286" s="356"/>
      <c r="K286" s="137" t="s">
        <v>940</v>
      </c>
      <c r="L286" s="187" t="s">
        <v>863</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75">
      <c r="G287" s="140"/>
      <c r="H287" s="402"/>
      <c r="J287" s="356"/>
      <c r="K287" s="198" t="s">
        <v>940</v>
      </c>
      <c r="L287" s="198" t="s">
        <v>864</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6">
      <c r="G288" s="140"/>
      <c r="H288" s="402"/>
      <c r="J288" s="356"/>
      <c r="K288" s="196" t="s">
        <v>941</v>
      </c>
      <c r="L288" s="196" t="s">
        <v>862</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6">
      <c r="G289" s="140"/>
      <c r="H289" s="402"/>
      <c r="J289" s="356"/>
      <c r="K289" s="137" t="s">
        <v>941</v>
      </c>
      <c r="L289" s="187" t="s">
        <v>863</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75">
      <c r="G290" s="140"/>
      <c r="H290" s="402"/>
      <c r="J290" s="356"/>
      <c r="K290" s="198" t="s">
        <v>941</v>
      </c>
      <c r="L290" s="198" t="s">
        <v>864</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6">
      <c r="G291" s="140"/>
      <c r="H291" s="402"/>
      <c r="J291" s="356"/>
      <c r="K291" s="196" t="s">
        <v>942</v>
      </c>
      <c r="L291" s="196" t="s">
        <v>862</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6">
      <c r="G292" s="140"/>
      <c r="H292" s="402"/>
      <c r="J292" s="356"/>
      <c r="K292" s="137" t="s">
        <v>942</v>
      </c>
      <c r="L292" s="187" t="s">
        <v>863</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6">
      <c r="G293" s="140"/>
      <c r="H293" s="402"/>
      <c r="J293" s="356"/>
      <c r="K293" s="198" t="s">
        <v>942</v>
      </c>
      <c r="L293" s="198" t="s">
        <v>864</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6">
      <c r="G294" s="140"/>
      <c r="H294" s="402"/>
      <c r="J294" s="356"/>
      <c r="K294" s="196" t="s">
        <v>943</v>
      </c>
      <c r="L294" s="196" t="s">
        <v>862</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75">
      <c r="G295" s="140"/>
      <c r="H295" s="402"/>
      <c r="J295" s="356"/>
      <c r="K295" s="137" t="s">
        <v>943</v>
      </c>
      <c r="L295" s="187" t="s">
        <v>863</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75">
      <c r="G296" s="140"/>
      <c r="H296" s="402"/>
      <c r="J296" s="356"/>
      <c r="K296" s="198" t="s">
        <v>943</v>
      </c>
      <c r="L296" s="198" t="s">
        <v>864</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6">
      <c r="G297" s="140"/>
      <c r="H297" s="402"/>
      <c r="J297" s="356"/>
      <c r="K297" s="196" t="s">
        <v>944</v>
      </c>
      <c r="L297" s="196" t="s">
        <v>862</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75">
      <c r="G298" s="140"/>
      <c r="H298" s="402"/>
      <c r="J298" s="356"/>
      <c r="K298" s="137" t="s">
        <v>944</v>
      </c>
      <c r="L298" s="187" t="s">
        <v>863</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75">
      <c r="G299" s="140"/>
      <c r="H299" s="402"/>
      <c r="J299" s="356"/>
      <c r="K299" s="198" t="s">
        <v>944</v>
      </c>
      <c r="L299" s="198" t="s">
        <v>864</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6">
      <c r="G300" s="140"/>
      <c r="H300" s="402"/>
      <c r="J300" s="356"/>
      <c r="K300" s="196" t="s">
        <v>945</v>
      </c>
      <c r="L300" s="196" t="s">
        <v>862</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6">
      <c r="G301" s="140"/>
      <c r="H301" s="402"/>
      <c r="J301" s="356"/>
      <c r="K301" s="137" t="s">
        <v>945</v>
      </c>
      <c r="L301" s="187" t="s">
        <v>863</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75">
      <c r="G302" s="140"/>
      <c r="H302" s="402"/>
      <c r="J302" s="356"/>
      <c r="K302" s="198" t="s">
        <v>945</v>
      </c>
      <c r="L302" s="198" t="s">
        <v>864</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6">
      <c r="G303" s="140"/>
      <c r="H303" s="402"/>
      <c r="J303" s="356"/>
      <c r="K303" s="196" t="s">
        <v>946</v>
      </c>
      <c r="L303" s="196" t="s">
        <v>862</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6">
      <c r="G304" s="140"/>
      <c r="H304" s="402"/>
      <c r="J304" s="356"/>
      <c r="K304" s="137" t="s">
        <v>946</v>
      </c>
      <c r="L304" s="187" t="s">
        <v>863</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75">
      <c r="G305" s="140"/>
      <c r="H305" s="402"/>
      <c r="J305" s="356"/>
      <c r="K305" s="198" t="s">
        <v>946</v>
      </c>
      <c r="L305" s="198" t="s">
        <v>864</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6">
      <c r="G306" s="140"/>
      <c r="H306" s="402"/>
      <c r="J306" s="356"/>
      <c r="K306" s="196" t="s">
        <v>947</v>
      </c>
      <c r="L306" s="196" t="s">
        <v>862</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6">
      <c r="G307" s="140"/>
      <c r="H307" s="402"/>
      <c r="J307" s="356"/>
      <c r="K307" s="137" t="s">
        <v>947</v>
      </c>
      <c r="L307" s="187" t="s">
        <v>863</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6">
      <c r="G308" s="140"/>
      <c r="H308" s="402"/>
      <c r="J308" s="403"/>
      <c r="K308" s="198" t="s">
        <v>947</v>
      </c>
      <c r="L308" s="198" t="s">
        <v>864</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75">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6">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75">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6">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6">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6">
      <c r="G314" s="140"/>
      <c r="H314" s="417" t="s">
        <v>885</v>
      </c>
      <c r="J314" s="355" t="s">
        <v>886</v>
      </c>
      <c r="K314" s="196" t="s">
        <v>937</v>
      </c>
      <c r="L314" s="196" t="s">
        <v>862</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6">
      <c r="G315" s="140"/>
      <c r="H315" s="417"/>
      <c r="J315" s="356"/>
      <c r="K315" s="137" t="s">
        <v>937</v>
      </c>
      <c r="L315" s="187" t="s">
        <v>863</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75">
      <c r="G316" s="140"/>
      <c r="H316" s="417"/>
      <c r="J316" s="356"/>
      <c r="K316" s="198" t="s">
        <v>937</v>
      </c>
      <c r="L316" s="198" t="s">
        <v>864</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6">
      <c r="G317" s="140"/>
      <c r="H317" s="417"/>
      <c r="J317" s="356"/>
      <c r="K317" s="196" t="s">
        <v>939</v>
      </c>
      <c r="L317" s="196" t="s">
        <v>862</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6">
      <c r="G318" s="140"/>
      <c r="H318" s="417"/>
      <c r="J318" s="356"/>
      <c r="K318" s="137" t="s">
        <v>939</v>
      </c>
      <c r="L318" s="187" t="s">
        <v>863</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75">
      <c r="G319" s="140"/>
      <c r="H319" s="417"/>
      <c r="J319" s="356"/>
      <c r="K319" s="198" t="s">
        <v>939</v>
      </c>
      <c r="L319" s="198" t="s">
        <v>864</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6">
      <c r="G320" s="140"/>
      <c r="H320" s="417"/>
      <c r="J320" s="356"/>
      <c r="K320" s="196" t="s">
        <v>940</v>
      </c>
      <c r="L320" s="196" t="s">
        <v>862</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6">
      <c r="G321" s="140"/>
      <c r="H321" s="417"/>
      <c r="J321" s="356"/>
      <c r="K321" s="137" t="s">
        <v>940</v>
      </c>
      <c r="L321" s="187" t="s">
        <v>863</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75">
      <c r="G322" s="140"/>
      <c r="H322" s="417"/>
      <c r="J322" s="356"/>
      <c r="K322" s="198" t="s">
        <v>940</v>
      </c>
      <c r="L322" s="198" t="s">
        <v>864</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6">
      <c r="G323" s="140"/>
      <c r="H323" s="417"/>
      <c r="J323" s="356"/>
      <c r="K323" s="196" t="s">
        <v>941</v>
      </c>
      <c r="L323" s="196" t="s">
        <v>862</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6">
      <c r="G324" s="140"/>
      <c r="H324" s="417"/>
      <c r="J324" s="356"/>
      <c r="K324" s="137" t="s">
        <v>941</v>
      </c>
      <c r="L324" s="187" t="s">
        <v>863</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75">
      <c r="G325" s="140"/>
      <c r="H325" s="417"/>
      <c r="J325" s="356"/>
      <c r="K325" s="198" t="s">
        <v>941</v>
      </c>
      <c r="L325" s="198" t="s">
        <v>864</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6">
      <c r="G326" s="140"/>
      <c r="H326" s="417"/>
      <c r="J326" s="356"/>
      <c r="K326" s="196" t="s">
        <v>942</v>
      </c>
      <c r="L326" s="196" t="s">
        <v>862</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6">
      <c r="G327" s="140"/>
      <c r="H327" s="417"/>
      <c r="J327" s="356"/>
      <c r="K327" s="137" t="s">
        <v>942</v>
      </c>
      <c r="L327" s="187" t="s">
        <v>863</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6">
      <c r="G328" s="140"/>
      <c r="H328" s="417"/>
      <c r="J328" s="356"/>
      <c r="K328" s="198" t="s">
        <v>942</v>
      </c>
      <c r="L328" s="198" t="s">
        <v>864</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6">
      <c r="G329" s="140"/>
      <c r="H329" s="417"/>
      <c r="J329" s="356"/>
      <c r="K329" s="196" t="s">
        <v>943</v>
      </c>
      <c r="L329" s="196" t="s">
        <v>862</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6">
      <c r="G330" s="140"/>
      <c r="H330" s="417"/>
      <c r="J330" s="356"/>
      <c r="K330" s="137" t="s">
        <v>943</v>
      </c>
      <c r="L330" s="187" t="s">
        <v>863</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75">
      <c r="G331" s="140"/>
      <c r="H331" s="417"/>
      <c r="J331" s="356"/>
      <c r="K331" s="198" t="s">
        <v>943</v>
      </c>
      <c r="L331" s="198" t="s">
        <v>864</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6">
      <c r="G332" s="140"/>
      <c r="H332" s="417"/>
      <c r="J332" s="356"/>
      <c r="K332" s="196" t="s">
        <v>944</v>
      </c>
      <c r="L332" s="196" t="s">
        <v>862</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6">
      <c r="G333" s="140"/>
      <c r="H333" s="417"/>
      <c r="J333" s="356"/>
      <c r="K333" s="137" t="s">
        <v>944</v>
      </c>
      <c r="L333" s="187" t="s">
        <v>863</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75">
      <c r="G334" s="140"/>
      <c r="H334" s="417"/>
      <c r="J334" s="356"/>
      <c r="K334" s="198" t="s">
        <v>944</v>
      </c>
      <c r="L334" s="198" t="s">
        <v>864</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6">
      <c r="G335" s="140"/>
      <c r="H335" s="417"/>
      <c r="J335" s="356"/>
      <c r="K335" s="196" t="s">
        <v>945</v>
      </c>
      <c r="L335" s="196" t="s">
        <v>862</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6">
      <c r="G336" s="140"/>
      <c r="H336" s="417"/>
      <c r="J336" s="356"/>
      <c r="K336" s="137" t="s">
        <v>945</v>
      </c>
      <c r="L336" s="187" t="s">
        <v>863</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75">
      <c r="G337" s="140"/>
      <c r="H337" s="417"/>
      <c r="J337" s="356"/>
      <c r="K337" s="198" t="s">
        <v>945</v>
      </c>
      <c r="L337" s="198" t="s">
        <v>864</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6">
      <c r="G338" s="140"/>
      <c r="H338" s="417"/>
      <c r="J338" s="356"/>
      <c r="K338" s="196" t="s">
        <v>946</v>
      </c>
      <c r="L338" s="196" t="s">
        <v>862</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6">
      <c r="G339" s="140"/>
      <c r="H339" s="417"/>
      <c r="J339" s="356"/>
      <c r="K339" s="137" t="s">
        <v>946</v>
      </c>
      <c r="L339" s="187" t="s">
        <v>863</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75">
      <c r="G340" s="140"/>
      <c r="H340" s="417"/>
      <c r="J340" s="356"/>
      <c r="K340" s="198" t="s">
        <v>946</v>
      </c>
      <c r="L340" s="198" t="s">
        <v>864</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6">
      <c r="G341" s="140"/>
      <c r="H341" s="417"/>
      <c r="J341" s="356"/>
      <c r="K341" s="196" t="s">
        <v>947</v>
      </c>
      <c r="L341" s="196" t="s">
        <v>862</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6">
      <c r="G342" s="140"/>
      <c r="H342" s="417"/>
      <c r="J342" s="356"/>
      <c r="K342" s="137" t="s">
        <v>947</v>
      </c>
      <c r="L342" s="187" t="s">
        <v>863</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6">
      <c r="G343" s="140"/>
      <c r="H343" s="417"/>
      <c r="J343" s="403"/>
      <c r="K343" s="198" t="s">
        <v>947</v>
      </c>
      <c r="L343" s="198" t="s">
        <v>864</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75">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6">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6">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6">
      <c r="G347" s="140"/>
      <c r="H347" s="418" t="s">
        <v>887</v>
      </c>
      <c r="J347" s="401" t="s">
        <v>888</v>
      </c>
      <c r="K347" s="196" t="s">
        <v>937</v>
      </c>
      <c r="L347" s="196" t="s">
        <v>862</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6">
      <c r="G348" s="140"/>
      <c r="H348" s="418"/>
      <c r="J348" s="401"/>
      <c r="K348" s="137" t="s">
        <v>937</v>
      </c>
      <c r="L348" s="187" t="s">
        <v>863</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75">
      <c r="G349" s="140"/>
      <c r="H349" s="418"/>
      <c r="J349" s="401"/>
      <c r="K349" s="198" t="s">
        <v>937</v>
      </c>
      <c r="L349" s="198" t="s">
        <v>864</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6">
      <c r="G350" s="140"/>
      <c r="H350" s="418"/>
      <c r="J350" s="401"/>
      <c r="K350" s="196" t="s">
        <v>939</v>
      </c>
      <c r="L350" s="196" t="s">
        <v>862</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6">
      <c r="G351" s="140"/>
      <c r="H351" s="418"/>
      <c r="J351" s="401"/>
      <c r="K351" s="137" t="s">
        <v>939</v>
      </c>
      <c r="L351" s="187" t="s">
        <v>863</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75">
      <c r="G352" s="140"/>
      <c r="H352" s="418"/>
      <c r="J352" s="401"/>
      <c r="K352" s="198" t="s">
        <v>939</v>
      </c>
      <c r="L352" s="198" t="s">
        <v>864</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6">
      <c r="G353" s="140"/>
      <c r="H353" s="418"/>
      <c r="J353" s="401"/>
      <c r="K353" s="196" t="s">
        <v>940</v>
      </c>
      <c r="L353" s="196" t="s">
        <v>862</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6">
      <c r="G354" s="140"/>
      <c r="H354" s="418"/>
      <c r="J354" s="401"/>
      <c r="K354" s="137" t="s">
        <v>940</v>
      </c>
      <c r="L354" s="187" t="s">
        <v>863</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75">
      <c r="G355" s="140"/>
      <c r="H355" s="418"/>
      <c r="J355" s="401"/>
      <c r="K355" s="198" t="s">
        <v>940</v>
      </c>
      <c r="L355" s="198" t="s">
        <v>864</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6">
      <c r="G356" s="140"/>
      <c r="H356" s="418"/>
      <c r="J356" s="401"/>
      <c r="K356" s="196" t="s">
        <v>941</v>
      </c>
      <c r="L356" s="196" t="s">
        <v>862</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6">
      <c r="G357" s="140"/>
      <c r="H357" s="418"/>
      <c r="J357" s="401"/>
      <c r="K357" s="137" t="s">
        <v>941</v>
      </c>
      <c r="L357" s="187" t="s">
        <v>863</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75">
      <c r="G358" s="140"/>
      <c r="H358" s="418"/>
      <c r="J358" s="401"/>
      <c r="K358" s="198" t="s">
        <v>941</v>
      </c>
      <c r="L358" s="198" t="s">
        <v>864</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6">
      <c r="G359" s="140"/>
      <c r="H359" s="418"/>
      <c r="J359" s="401"/>
      <c r="K359" s="196" t="s">
        <v>942</v>
      </c>
      <c r="L359" s="196" t="s">
        <v>862</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6">
      <c r="G360" s="140"/>
      <c r="H360" s="418"/>
      <c r="J360" s="401"/>
      <c r="K360" s="137" t="s">
        <v>942</v>
      </c>
      <c r="L360" s="187" t="s">
        <v>863</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75">
      <c r="G361" s="140"/>
      <c r="H361" s="418"/>
      <c r="J361" s="401"/>
      <c r="K361" s="198" t="s">
        <v>942</v>
      </c>
      <c r="L361" s="198" t="s">
        <v>864</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6">
      <c r="G362" s="140"/>
      <c r="H362" s="418"/>
      <c r="J362" s="401"/>
      <c r="K362" s="196" t="s">
        <v>943</v>
      </c>
      <c r="L362" s="196" t="s">
        <v>862</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6">
      <c r="G363" s="140"/>
      <c r="H363" s="418"/>
      <c r="J363" s="401"/>
      <c r="K363" s="137" t="s">
        <v>943</v>
      </c>
      <c r="L363" s="187" t="s">
        <v>863</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75">
      <c r="G364" s="140"/>
      <c r="H364" s="418"/>
      <c r="J364" s="401"/>
      <c r="K364" s="198" t="s">
        <v>943</v>
      </c>
      <c r="L364" s="198" t="s">
        <v>864</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6">
      <c r="G365" s="140"/>
      <c r="H365" s="418"/>
      <c r="J365" s="401"/>
      <c r="K365" s="196" t="s">
        <v>944</v>
      </c>
      <c r="L365" s="196" t="s">
        <v>862</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6">
      <c r="G366" s="140"/>
      <c r="H366" s="418"/>
      <c r="J366" s="401"/>
      <c r="K366" s="137" t="s">
        <v>944</v>
      </c>
      <c r="L366" s="187" t="s">
        <v>863</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75">
      <c r="G367" s="140"/>
      <c r="H367" s="418"/>
      <c r="J367" s="401"/>
      <c r="K367" s="198" t="s">
        <v>944</v>
      </c>
      <c r="L367" s="198" t="s">
        <v>864</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6">
      <c r="G368" s="140"/>
      <c r="H368" s="418"/>
      <c r="J368" s="401"/>
      <c r="K368" s="196" t="s">
        <v>945</v>
      </c>
      <c r="L368" s="196" t="s">
        <v>862</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6">
      <c r="G369" s="140"/>
      <c r="H369" s="418"/>
      <c r="J369" s="401"/>
      <c r="K369" s="137" t="s">
        <v>945</v>
      </c>
      <c r="L369" s="187" t="s">
        <v>863</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75">
      <c r="G370" s="140"/>
      <c r="H370" s="418"/>
      <c r="J370" s="401"/>
      <c r="K370" s="198" t="s">
        <v>945</v>
      </c>
      <c r="L370" s="198" t="s">
        <v>864</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6">
      <c r="G371" s="140"/>
      <c r="H371" s="418"/>
      <c r="J371" s="401"/>
      <c r="K371" s="196" t="s">
        <v>946</v>
      </c>
      <c r="L371" s="196" t="s">
        <v>862</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6">
      <c r="G372" s="140"/>
      <c r="H372" s="418"/>
      <c r="J372" s="401"/>
      <c r="K372" s="137" t="s">
        <v>946</v>
      </c>
      <c r="L372" s="187" t="s">
        <v>863</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75">
      <c r="G373" s="140"/>
      <c r="H373" s="418"/>
      <c r="J373" s="401"/>
      <c r="K373" s="198" t="s">
        <v>946</v>
      </c>
      <c r="L373" s="198" t="s">
        <v>864</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6">
      <c r="G374" s="140"/>
      <c r="H374" s="418"/>
      <c r="J374" s="401"/>
      <c r="K374" s="196" t="s">
        <v>947</v>
      </c>
      <c r="L374" s="196" t="s">
        <v>862</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6">
      <c r="G375" s="140"/>
      <c r="H375" s="418"/>
      <c r="J375" s="401"/>
      <c r="K375" s="137" t="s">
        <v>947</v>
      </c>
      <c r="L375" s="187" t="s">
        <v>863</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75">
      <c r="G376" s="140"/>
      <c r="H376" s="419"/>
      <c r="J376" s="420"/>
      <c r="K376" s="198" t="s">
        <v>947</v>
      </c>
      <c r="L376" s="198" t="s">
        <v>864</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6">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6">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6">
      <c r="G379" s="140"/>
      <c r="H379" s="421" t="s">
        <v>889</v>
      </c>
      <c r="J379" s="355" t="s">
        <v>890</v>
      </c>
      <c r="K379" s="137" t="s">
        <v>891</v>
      </c>
      <c r="L379" s="137" t="s">
        <v>862</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6">
      <c r="G380" s="140"/>
      <c r="H380" s="421"/>
      <c r="J380" s="356"/>
      <c r="K380" s="137" t="s">
        <v>891</v>
      </c>
      <c r="L380" s="137" t="s">
        <v>863</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6">
      <c r="G381" s="140"/>
      <c r="H381" s="421"/>
      <c r="J381" s="356"/>
      <c r="K381" s="137" t="s">
        <v>891</v>
      </c>
      <c r="L381" s="137" t="s">
        <v>864</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6">
      <c r="G382" s="140"/>
      <c r="H382" s="421"/>
      <c r="J382" s="356"/>
      <c r="K382" s="137" t="s">
        <v>892</v>
      </c>
      <c r="L382" s="137" t="s">
        <v>860</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6">
      <c r="G383" s="140"/>
      <c r="H383" s="421"/>
      <c r="J383" s="356"/>
      <c r="K383" s="137" t="s">
        <v>713</v>
      </c>
      <c r="L383" s="137" t="s">
        <v>862</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6">
      <c r="G384" s="140"/>
      <c r="H384" s="421"/>
      <c r="J384" s="356"/>
      <c r="K384" s="137" t="s">
        <v>713</v>
      </c>
      <c r="L384" s="137" t="s">
        <v>863</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6">
      <c r="G385" s="140"/>
      <c r="H385" s="421"/>
      <c r="J385" s="356"/>
      <c r="K385" s="137" t="s">
        <v>713</v>
      </c>
      <c r="L385" s="137" t="s">
        <v>864</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6">
      <c r="G386" s="140"/>
      <c r="H386" s="421"/>
      <c r="J386" s="356"/>
      <c r="K386" s="137" t="s">
        <v>893</v>
      </c>
      <c r="L386" s="137" t="s">
        <v>862</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6">
      <c r="G387" s="140"/>
      <c r="H387" s="421"/>
      <c r="J387" s="356"/>
      <c r="K387" s="137" t="s">
        <v>893</v>
      </c>
      <c r="L387" s="137" t="s">
        <v>863</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6">
      <c r="G388" s="140"/>
      <c r="H388" s="421"/>
      <c r="J388" s="356"/>
      <c r="K388" s="137" t="s">
        <v>893</v>
      </c>
      <c r="L388" s="137" t="s">
        <v>864</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6">
      <c r="G389" s="140"/>
      <c r="H389" s="421"/>
      <c r="J389" s="356"/>
      <c r="K389" s="137" t="s">
        <v>894</v>
      </c>
      <c r="L389" s="137" t="s">
        <v>862</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6">
      <c r="G390" s="140"/>
      <c r="H390" s="421"/>
      <c r="J390" s="356"/>
      <c r="K390" s="137" t="s">
        <v>894</v>
      </c>
      <c r="L390" s="137" t="s">
        <v>863</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6">
      <c r="G391" s="140"/>
      <c r="H391" s="421"/>
      <c r="J391" s="356"/>
      <c r="K391" s="137" t="s">
        <v>894</v>
      </c>
      <c r="L391" s="137" t="s">
        <v>864</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6">
      <c r="G392" s="140"/>
      <c r="H392" s="235"/>
      <c r="I392" s="241" t="s">
        <v>895</v>
      </c>
      <c r="J392" s="242"/>
      <c r="K392" s="243" t="s">
        <v>897</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6">
      <c r="G393" s="140"/>
      <c r="H393" s="235"/>
      <c r="I393" s="132">
        <v>0.2</v>
      </c>
      <c r="J393" s="246" t="s">
        <v>896</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6">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6">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6">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6">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6">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6">
      <c r="G399" s="140"/>
      <c r="H399" s="235"/>
      <c r="J399" s="246"/>
      <c r="K399" s="243" t="s">
        <v>898</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6">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6">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6">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6">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6">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6">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6">
      <c r="G406" s="140"/>
      <c r="H406" s="235"/>
      <c r="J406" s="246"/>
      <c r="K406" s="244" t="s">
        <v>899</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6">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6">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6">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6">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6">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6">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6">
      <c r="G413" s="310"/>
      <c r="J413" s="311"/>
      <c r="K413" s="311"/>
      <c r="L413" s="311"/>
      <c r="M413" s="311"/>
      <c r="N413" s="311"/>
    </row>
    <row r="414" spans="6:42" ht="15.75" customHeight="1" thickBot="1" x14ac:dyDescent="0.75">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75">
      <c r="F415" s="252"/>
      <c r="H415" s="235"/>
      <c r="J415" s="355" t="s">
        <v>900</v>
      </c>
      <c r="K415" s="137" t="s">
        <v>901</v>
      </c>
      <c r="L415" s="137" t="s">
        <v>862</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75">
      <c r="F416" s="252"/>
      <c r="H416" s="235"/>
      <c r="J416" s="356"/>
      <c r="K416" s="137" t="s">
        <v>901</v>
      </c>
      <c r="L416" s="137" t="s">
        <v>863</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6">
      <c r="F417" s="252"/>
      <c r="H417" s="235"/>
      <c r="J417" s="356"/>
      <c r="K417" s="137" t="s">
        <v>901</v>
      </c>
      <c r="L417" s="137" t="s">
        <v>864</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75">
      <c r="F418" s="252"/>
      <c r="H418" s="235"/>
      <c r="J418" s="127"/>
    </row>
    <row r="419" spans="6:42" ht="14.25" customHeight="1" thickTop="1" thickBot="1" x14ac:dyDescent="0.75">
      <c r="F419" s="252"/>
      <c r="H419" s="235"/>
      <c r="J419" s="246"/>
      <c r="K419" s="137" t="s">
        <v>902</v>
      </c>
      <c r="L419" s="137" t="s">
        <v>860</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75">
      <c r="F420" s="252"/>
      <c r="H420" s="235"/>
      <c r="J420" s="246"/>
      <c r="K420" s="137" t="s">
        <v>903</v>
      </c>
      <c r="L420" s="137" t="s">
        <v>860</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75">
      <c r="F421" s="252"/>
      <c r="H421" s="235"/>
      <c r="J421" s="246"/>
      <c r="K421" s="137" t="s">
        <v>904</v>
      </c>
      <c r="L421" s="137" t="s">
        <v>860</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75">
      <c r="F422" s="252"/>
      <c r="H422" s="235"/>
      <c r="J422" s="246"/>
      <c r="K422" s="137" t="s">
        <v>905</v>
      </c>
      <c r="L422" s="137" t="s">
        <v>862</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75">
      <c r="F423" s="252"/>
      <c r="H423" s="235"/>
      <c r="J423" s="246"/>
      <c r="K423" s="137" t="s">
        <v>906</v>
      </c>
      <c r="L423" s="137" t="s">
        <v>862</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75">
      <c r="F424" s="252"/>
      <c r="H424" s="235"/>
      <c r="J424" s="246"/>
      <c r="K424" s="137" t="s">
        <v>907</v>
      </c>
      <c r="L424" s="137" t="s">
        <v>862</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75">
      <c r="F425" s="252"/>
      <c r="H425" s="235"/>
      <c r="J425" s="246"/>
      <c r="K425" s="137" t="s">
        <v>905</v>
      </c>
      <c r="L425" s="137" t="s">
        <v>863</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75">
      <c r="F426" s="252"/>
      <c r="H426" s="235"/>
      <c r="J426" s="246"/>
      <c r="K426" s="137" t="s">
        <v>906</v>
      </c>
      <c r="L426" s="137" t="s">
        <v>863</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75">
      <c r="F427" s="252"/>
      <c r="H427" s="235"/>
      <c r="J427" s="246"/>
      <c r="K427" s="137" t="s">
        <v>907</v>
      </c>
      <c r="L427" s="137" t="s">
        <v>863</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75">
      <c r="F428" s="252"/>
      <c r="H428" s="235"/>
      <c r="J428" s="246"/>
      <c r="K428" s="137" t="s">
        <v>905</v>
      </c>
      <c r="L428" s="137" t="s">
        <v>864</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75">
      <c r="F429" s="252"/>
      <c r="H429" s="235"/>
      <c r="J429" s="246"/>
      <c r="K429" s="137" t="s">
        <v>906</v>
      </c>
      <c r="L429" s="137" t="s">
        <v>864</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6">
      <c r="F430" s="252"/>
      <c r="H430" s="235"/>
      <c r="J430" s="246"/>
      <c r="K430" s="137" t="s">
        <v>907</v>
      </c>
      <c r="L430" s="137" t="s">
        <v>864</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6">
      <c r="C433" s="138" t="s">
        <v>792</v>
      </c>
      <c r="G433" s="422" t="s">
        <v>908</v>
      </c>
      <c r="H433" s="360"/>
      <c r="I433" s="360"/>
      <c r="J433" s="360"/>
      <c r="K433" s="360"/>
      <c r="L433" s="360"/>
      <c r="M433" s="360"/>
      <c r="N433" s="360"/>
      <c r="O433" s="360"/>
      <c r="P433" s="360"/>
      <c r="Q433" s="360"/>
      <c r="R433" s="360"/>
      <c r="S433" s="360"/>
      <c r="T433" s="360"/>
      <c r="U433" s="360"/>
      <c r="V433" s="139"/>
      <c r="W433" s="139"/>
      <c r="X433" s="139"/>
      <c r="Y433" s="139"/>
      <c r="Z433" s="139"/>
      <c r="AA433" s="139"/>
      <c r="AB433" s="139"/>
    </row>
    <row r="434" spans="3:29" ht="14.25" customHeight="1" thickBot="1" x14ac:dyDescent="0.75">
      <c r="N434" s="312"/>
      <c r="O434" s="312"/>
      <c r="P434" s="312"/>
      <c r="Q434" s="312"/>
      <c r="R434" s="312"/>
      <c r="S434" s="312"/>
      <c r="T434" s="312"/>
      <c r="U434" s="312"/>
    </row>
    <row r="435" spans="3:29" ht="14.25" customHeight="1" x14ac:dyDescent="0.6">
      <c r="H435" s="423" t="s">
        <v>909</v>
      </c>
      <c r="I435" s="424"/>
      <c r="J435" s="424"/>
      <c r="K435" s="424"/>
      <c r="L435" s="424"/>
      <c r="M435" s="424"/>
      <c r="N435" s="425" t="s">
        <v>910</v>
      </c>
      <c r="O435" s="426"/>
      <c r="P435" s="426"/>
      <c r="Q435" s="426"/>
      <c r="R435" s="427"/>
      <c r="S435" s="313" t="s">
        <v>911</v>
      </c>
      <c r="T435" s="313" t="s">
        <v>912</v>
      </c>
      <c r="U435" s="314"/>
      <c r="V435" s="315"/>
      <c r="W435" s="315"/>
      <c r="X435" s="315"/>
      <c r="Y435" s="315"/>
      <c r="Z435" s="315"/>
      <c r="AA435" s="315"/>
      <c r="AB435" s="316"/>
    </row>
    <row r="436" spans="3:29" ht="14.25" customHeight="1" x14ac:dyDescent="0.75">
      <c r="H436" s="428" t="s">
        <v>935</v>
      </c>
      <c r="I436" s="429"/>
      <c r="J436" s="429"/>
      <c r="K436" s="429"/>
      <c r="L436" s="429"/>
      <c r="M436" s="430"/>
      <c r="N436" s="431" t="s">
        <v>948</v>
      </c>
      <c r="O436" s="432"/>
      <c r="P436" s="432"/>
      <c r="Q436" s="432"/>
      <c r="R436" s="432"/>
      <c r="S436" s="317"/>
      <c r="T436" s="317"/>
      <c r="U436" s="318"/>
      <c r="V436" s="318"/>
      <c r="W436" s="318"/>
      <c r="X436" s="318"/>
      <c r="Y436" s="318"/>
      <c r="Z436" s="318"/>
      <c r="AA436" s="318"/>
      <c r="AB436" s="319"/>
      <c r="AC436" s="132" t="s">
        <v>949</v>
      </c>
    </row>
    <row r="437" spans="3:29" ht="14.25" customHeight="1" x14ac:dyDescent="0.6">
      <c r="H437" s="428" t="s">
        <v>878</v>
      </c>
      <c r="I437" s="429"/>
      <c r="J437" s="429"/>
      <c r="K437" s="429"/>
      <c r="L437" s="429"/>
      <c r="M437" s="430"/>
      <c r="N437" s="434" t="s">
        <v>950</v>
      </c>
      <c r="O437" s="435"/>
      <c r="P437" s="435"/>
      <c r="Q437" s="435"/>
      <c r="R437" s="435"/>
      <c r="S437" s="320"/>
      <c r="T437" s="320"/>
      <c r="U437" s="321"/>
      <c r="V437" s="321"/>
      <c r="W437" s="321"/>
      <c r="X437" s="321"/>
      <c r="Y437" s="321"/>
      <c r="Z437" s="321"/>
      <c r="AA437" s="321"/>
      <c r="AB437" s="322"/>
    </row>
    <row r="438" spans="3:29" ht="30.4" customHeight="1" x14ac:dyDescent="0.75">
      <c r="H438" s="428" t="s">
        <v>882</v>
      </c>
      <c r="I438" s="429"/>
      <c r="J438" s="429"/>
      <c r="K438" s="429"/>
      <c r="L438" s="429"/>
      <c r="M438" s="430"/>
      <c r="N438" s="436" t="s">
        <v>951</v>
      </c>
      <c r="O438" s="437"/>
      <c r="P438" s="437"/>
      <c r="Q438" s="437"/>
      <c r="R438" s="438"/>
      <c r="S438" s="323"/>
      <c r="T438" s="323"/>
      <c r="U438" s="324"/>
      <c r="V438" s="324"/>
      <c r="W438" s="324"/>
      <c r="X438" s="324"/>
      <c r="Y438" s="324"/>
      <c r="Z438" s="324"/>
      <c r="AA438" s="324"/>
      <c r="AB438" s="325"/>
      <c r="AC438" s="132" t="s">
        <v>952</v>
      </c>
    </row>
    <row r="439" spans="3:29" ht="32.65" customHeight="1" x14ac:dyDescent="0.75">
      <c r="H439" s="428" t="s">
        <v>917</v>
      </c>
      <c r="I439" s="429"/>
      <c r="J439" s="429"/>
      <c r="K439" s="429"/>
      <c r="L439" s="429"/>
      <c r="M439" s="430"/>
      <c r="N439" s="436" t="s">
        <v>951</v>
      </c>
      <c r="O439" s="437"/>
      <c r="P439" s="437"/>
      <c r="Q439" s="437"/>
      <c r="R439" s="438"/>
      <c r="S439" s="326"/>
      <c r="T439" s="326"/>
      <c r="U439" s="327"/>
      <c r="V439" s="327"/>
      <c r="W439" s="327"/>
      <c r="X439" s="327"/>
      <c r="Y439" s="327"/>
      <c r="Z439" s="327"/>
      <c r="AA439" s="327"/>
      <c r="AB439" s="328"/>
      <c r="AC439" s="132" t="s">
        <v>952</v>
      </c>
    </row>
    <row r="440" spans="3:29" ht="14.25" customHeight="1" x14ac:dyDescent="0.6">
      <c r="H440" s="428" t="s">
        <v>918</v>
      </c>
      <c r="I440" s="429"/>
      <c r="J440" s="429"/>
      <c r="K440" s="429"/>
      <c r="L440" s="429"/>
      <c r="M440" s="430"/>
      <c r="N440" s="439" t="s">
        <v>919</v>
      </c>
      <c r="O440" s="440"/>
      <c r="P440" s="440"/>
      <c r="Q440" s="440"/>
      <c r="R440" s="440"/>
      <c r="S440" s="329"/>
      <c r="T440" s="329"/>
      <c r="U440" s="330"/>
      <c r="V440" s="330"/>
      <c r="W440" s="330"/>
      <c r="X440" s="330"/>
      <c r="Y440" s="330"/>
      <c r="Z440" s="330"/>
      <c r="AA440" s="330"/>
      <c r="AB440" s="331"/>
    </row>
    <row r="441" spans="3:29" ht="14.25" customHeight="1" thickBot="1" x14ac:dyDescent="0.75">
      <c r="H441" s="441" t="s">
        <v>920</v>
      </c>
      <c r="I441" s="442"/>
      <c r="J441" s="442"/>
      <c r="K441" s="442"/>
      <c r="L441" s="442"/>
      <c r="M441" s="443"/>
      <c r="N441" s="444" t="s">
        <v>919</v>
      </c>
      <c r="O441" s="445"/>
      <c r="P441" s="445"/>
      <c r="Q441" s="445"/>
      <c r="R441" s="445"/>
      <c r="S441" s="332"/>
      <c r="T441" s="333"/>
      <c r="U441" s="333"/>
      <c r="V441" s="334"/>
      <c r="W441" s="334"/>
      <c r="X441" s="334"/>
      <c r="Y441" s="334"/>
      <c r="Z441" s="334"/>
      <c r="AA441" s="334"/>
      <c r="AB441" s="335"/>
    </row>
    <row r="442" spans="3:29" ht="14.25" customHeight="1" thickBot="1" x14ac:dyDescent="0.75">
      <c r="H442" s="446"/>
      <c r="I442" s="446"/>
      <c r="J442" s="446"/>
      <c r="K442" s="446"/>
      <c r="L442" s="446"/>
      <c r="M442" s="446"/>
      <c r="N442" s="336"/>
      <c r="O442" s="336"/>
      <c r="P442" s="336"/>
      <c r="Q442" s="336"/>
      <c r="R442" s="336"/>
      <c r="S442" s="336"/>
      <c r="T442" s="336"/>
      <c r="U442" s="337"/>
      <c r="V442" s="337"/>
      <c r="W442" s="337"/>
      <c r="X442" s="337"/>
      <c r="Y442" s="337"/>
      <c r="Z442" s="337"/>
      <c r="AA442" s="337"/>
      <c r="AB442" s="337"/>
    </row>
    <row r="443" spans="3:29" ht="14.25" customHeight="1" x14ac:dyDescent="0.6">
      <c r="H443" s="423" t="s">
        <v>921</v>
      </c>
      <c r="I443" s="424"/>
      <c r="J443" s="424"/>
      <c r="K443" s="424"/>
      <c r="L443" s="424"/>
      <c r="M443" s="433"/>
      <c r="N443" s="425" t="s">
        <v>910</v>
      </c>
      <c r="O443" s="426"/>
      <c r="P443" s="426"/>
      <c r="Q443" s="426"/>
      <c r="R443" s="427"/>
      <c r="S443" s="313" t="s">
        <v>911</v>
      </c>
      <c r="T443" s="313" t="s">
        <v>912</v>
      </c>
      <c r="U443" s="338"/>
      <c r="V443" s="338"/>
      <c r="W443" s="338"/>
      <c r="X443" s="338"/>
      <c r="Y443" s="338"/>
      <c r="Z443" s="338"/>
      <c r="AA443" s="338"/>
      <c r="AB443" s="339"/>
    </row>
    <row r="444" spans="3:29" ht="14.25" customHeight="1" x14ac:dyDescent="0.6">
      <c r="H444" s="428" t="s">
        <v>878</v>
      </c>
      <c r="I444" s="429"/>
      <c r="J444" s="429"/>
      <c r="K444" s="429"/>
      <c r="L444" s="429"/>
      <c r="M444" s="430"/>
      <c r="N444" s="447" t="s">
        <v>953</v>
      </c>
      <c r="O444" s="448"/>
      <c r="P444" s="448"/>
      <c r="Q444" s="448"/>
      <c r="R444" s="448"/>
      <c r="S444" s="329"/>
      <c r="T444" s="329"/>
      <c r="U444" s="330"/>
      <c r="V444" s="330"/>
      <c r="W444" s="330"/>
      <c r="X444" s="330"/>
      <c r="Y444" s="330"/>
      <c r="Z444" s="330"/>
      <c r="AA444" s="330"/>
      <c r="AB444" s="340"/>
    </row>
    <row r="445" spans="3:29" ht="14.25" customHeight="1" x14ac:dyDescent="0.6">
      <c r="H445" s="428" t="s">
        <v>882</v>
      </c>
      <c r="I445" s="429"/>
      <c r="J445" s="429"/>
      <c r="K445" s="429"/>
      <c r="L445" s="429"/>
      <c r="M445" s="430"/>
      <c r="N445" s="447" t="s">
        <v>954</v>
      </c>
      <c r="O445" s="448"/>
      <c r="P445" s="448"/>
      <c r="Q445" s="448"/>
      <c r="R445" s="448"/>
      <c r="S445" s="329"/>
      <c r="T445" s="329"/>
      <c r="U445" s="330"/>
      <c r="V445" s="330"/>
      <c r="W445" s="330"/>
      <c r="X445" s="330"/>
      <c r="Y445" s="330"/>
      <c r="Z445" s="330"/>
      <c r="AA445" s="330"/>
      <c r="AB445" s="340"/>
    </row>
    <row r="446" spans="3:29" ht="30.4" customHeight="1" x14ac:dyDescent="0.75">
      <c r="H446" s="449" t="s">
        <v>924</v>
      </c>
      <c r="I446" s="450"/>
      <c r="J446" s="450"/>
      <c r="K446" s="450"/>
      <c r="L446" s="450"/>
      <c r="M446" s="451"/>
      <c r="N446" s="436" t="s">
        <v>951</v>
      </c>
      <c r="O446" s="437"/>
      <c r="P446" s="437"/>
      <c r="Q446" s="437"/>
      <c r="R446" s="438"/>
      <c r="S446" s="256"/>
      <c r="T446" s="263"/>
      <c r="U446" s="256"/>
      <c r="V446" s="256"/>
      <c r="W446" s="256"/>
      <c r="X446" s="256"/>
      <c r="Y446" s="256"/>
      <c r="Z446" s="256"/>
      <c r="AA446" s="256"/>
      <c r="AB446" s="257"/>
    </row>
    <row r="447" spans="3:29" ht="30.75" customHeight="1" x14ac:dyDescent="0.6">
      <c r="H447" s="428" t="s">
        <v>917</v>
      </c>
      <c r="I447" s="429"/>
      <c r="J447" s="429"/>
      <c r="K447" s="429"/>
      <c r="L447" s="429"/>
      <c r="M447" s="430"/>
      <c r="N447" s="447" t="s">
        <v>954</v>
      </c>
      <c r="O447" s="448"/>
      <c r="P447" s="448"/>
      <c r="Q447" s="448"/>
      <c r="R447" s="448"/>
      <c r="S447" s="329"/>
      <c r="T447" s="329"/>
      <c r="U447" s="330"/>
      <c r="V447" s="330"/>
      <c r="W447" s="330"/>
      <c r="X447" s="330"/>
      <c r="Y447" s="330"/>
      <c r="Z447" s="330"/>
      <c r="AA447" s="330"/>
      <c r="AB447" s="340"/>
    </row>
    <row r="448" spans="3:29" ht="13.5" customHeight="1" x14ac:dyDescent="0.6">
      <c r="H448" s="428" t="s">
        <v>918</v>
      </c>
      <c r="I448" s="429"/>
      <c r="J448" s="429"/>
      <c r="K448" s="429"/>
      <c r="L448" s="429"/>
      <c r="M448" s="430"/>
      <c r="N448" s="439" t="s">
        <v>919</v>
      </c>
      <c r="O448" s="440"/>
      <c r="P448" s="440"/>
      <c r="Q448" s="440"/>
      <c r="R448" s="440"/>
      <c r="S448" s="329"/>
      <c r="T448" s="329"/>
      <c r="U448" s="330"/>
      <c r="V448" s="330"/>
      <c r="W448" s="330"/>
      <c r="X448" s="330"/>
      <c r="Y448" s="330"/>
      <c r="Z448" s="330"/>
      <c r="AA448" s="330"/>
      <c r="AB448" s="340"/>
    </row>
    <row r="449" spans="8:28" ht="14.25" customHeight="1" thickBot="1" x14ac:dyDescent="0.75">
      <c r="H449" s="441" t="s">
        <v>926</v>
      </c>
      <c r="I449" s="442"/>
      <c r="J449" s="442"/>
      <c r="K449" s="442"/>
      <c r="L449" s="442"/>
      <c r="M449" s="443"/>
      <c r="N449" s="444" t="s">
        <v>919</v>
      </c>
      <c r="O449" s="445"/>
      <c r="P449" s="445"/>
      <c r="Q449" s="445"/>
      <c r="R449" s="445"/>
      <c r="S449" s="333"/>
      <c r="T449" s="333"/>
      <c r="U449" s="333"/>
      <c r="V449" s="334"/>
      <c r="W449" s="334"/>
      <c r="X449" s="334"/>
      <c r="Y449" s="334"/>
      <c r="Z449" s="334"/>
      <c r="AA449" s="334"/>
      <c r="AB449" s="335"/>
    </row>
    <row r="453" spans="8:28" ht="14.25" customHeight="1" x14ac:dyDescent="0.6">
      <c r="S453" s="132" t="s">
        <v>816</v>
      </c>
    </row>
    <row r="455" spans="8:28" ht="14.25" customHeight="1" x14ac:dyDescent="0.6">
      <c r="N455" s="341"/>
    </row>
    <row r="457" spans="8:28" ht="14.25" customHeight="1" x14ac:dyDescent="0.6">
      <c r="M457" s="341"/>
    </row>
    <row r="702" spans="13:44" ht="14.25" customHeight="1" x14ac:dyDescent="0.6">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6"/>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8">
      <c r="A1" s="130" t="s">
        <v>765</v>
      </c>
      <c r="B1" s="130"/>
      <c r="C1" s="130"/>
      <c r="D1" s="130"/>
      <c r="E1" s="130"/>
      <c r="F1" s="130"/>
      <c r="G1" s="130"/>
      <c r="H1" s="130"/>
      <c r="I1" s="131"/>
      <c r="M1" s="133" t="s">
        <v>788</v>
      </c>
    </row>
    <row r="2" spans="1:110" ht="14.25" customHeight="1" x14ac:dyDescent="0.7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75">
      <c r="A3"/>
      <c r="B3"/>
      <c r="C3"/>
      <c r="D3"/>
      <c r="E3"/>
      <c r="U3" s="136" t="s">
        <v>790</v>
      </c>
    </row>
    <row r="4" spans="1:110" ht="14.25" customHeight="1" x14ac:dyDescent="0.6">
      <c r="J4" s="137"/>
      <c r="U4" s="358" t="s">
        <v>791</v>
      </c>
    </row>
    <row r="5" spans="1:110" ht="14.25" customHeight="1" x14ac:dyDescent="0.6">
      <c r="U5" s="359"/>
    </row>
    <row r="7" spans="1:110" ht="14.25" customHeight="1" x14ac:dyDescent="0.75">
      <c r="B7" s="138" t="s">
        <v>792</v>
      </c>
      <c r="G7" s="360" t="s">
        <v>793</v>
      </c>
      <c r="H7" s="452"/>
      <c r="I7" s="452"/>
      <c r="J7" s="452"/>
      <c r="K7" s="452"/>
      <c r="L7" s="452"/>
      <c r="M7" s="452"/>
      <c r="N7" s="452"/>
      <c r="O7" s="452"/>
      <c r="P7" s="452"/>
      <c r="Q7" s="452"/>
      <c r="R7" s="452"/>
      <c r="S7" s="452"/>
      <c r="T7" s="452"/>
      <c r="U7" s="452"/>
      <c r="V7" s="452"/>
      <c r="W7" s="452"/>
      <c r="X7" s="453"/>
    </row>
    <row r="8" spans="1:110" ht="14.25" customHeight="1" thickBot="1" x14ac:dyDescent="0.75">
      <c r="G8" s="140"/>
      <c r="X8" s="141"/>
    </row>
    <row r="9" spans="1:110" ht="14.25" customHeight="1" thickBot="1" x14ac:dyDescent="0.75">
      <c r="G9" s="140"/>
      <c r="H9" s="454" t="s">
        <v>794</v>
      </c>
      <c r="J9" s="364" t="s">
        <v>795</v>
      </c>
      <c r="K9" s="365"/>
      <c r="L9" s="366"/>
      <c r="M9" s="456">
        <v>2021</v>
      </c>
      <c r="N9" s="457"/>
      <c r="O9" s="457"/>
      <c r="P9" s="458"/>
      <c r="R9" s="142"/>
      <c r="X9" s="141"/>
    </row>
    <row r="10" spans="1:110" ht="14.25" customHeight="1" thickBot="1" x14ac:dyDescent="0.9">
      <c r="G10" s="140"/>
      <c r="H10" s="455"/>
      <c r="J10" s="143" t="s">
        <v>796</v>
      </c>
      <c r="P10" s="141"/>
      <c r="R10"/>
      <c r="S10"/>
      <c r="T10"/>
      <c r="U10"/>
      <c r="V10"/>
      <c r="X10" s="141"/>
      <c r="AB10"/>
      <c r="AC10"/>
    </row>
    <row r="11" spans="1:110" ht="14.25" customHeight="1" x14ac:dyDescent="0.75">
      <c r="G11" s="140"/>
      <c r="H11" s="455"/>
      <c r="J11" s="144" t="s">
        <v>797</v>
      </c>
      <c r="K11" s="145"/>
      <c r="L11" s="145"/>
      <c r="M11" s="145"/>
      <c r="N11" s="145"/>
      <c r="P11"/>
      <c r="Q11"/>
      <c r="R11"/>
      <c r="S11"/>
      <c r="T11"/>
      <c r="X11" s="141"/>
    </row>
    <row r="12" spans="1:110" ht="13.5" customHeight="1" thickBot="1" x14ac:dyDescent="0.75">
      <c r="G12" s="140"/>
      <c r="H12" s="455"/>
      <c r="X12" s="141"/>
    </row>
    <row r="13" spans="1:110" ht="45.75" customHeight="1" thickBot="1" x14ac:dyDescent="0.75">
      <c r="G13" s="140"/>
      <c r="H13" s="455"/>
      <c r="J13" s="401" t="s">
        <v>798</v>
      </c>
      <c r="K13" s="147" t="s">
        <v>799</v>
      </c>
      <c r="L13" s="147" t="s">
        <v>800</v>
      </c>
      <c r="M13" s="147" t="s">
        <v>801</v>
      </c>
      <c r="N13" s="147" t="s">
        <v>802</v>
      </c>
      <c r="O13" s="147" t="s">
        <v>803</v>
      </c>
      <c r="P13" s="147" t="s">
        <v>804</v>
      </c>
      <c r="Q13" s="147" t="s">
        <v>805</v>
      </c>
      <c r="R13" s="147" t="s">
        <v>806</v>
      </c>
      <c r="X13" s="141"/>
    </row>
    <row r="14" spans="1:110" ht="14.25" customHeight="1" x14ac:dyDescent="0.6">
      <c r="G14" s="140"/>
      <c r="H14" s="455"/>
      <c r="J14" s="401"/>
      <c r="K14" s="148" t="s">
        <v>807</v>
      </c>
      <c r="L14" s="148" t="s">
        <v>808</v>
      </c>
      <c r="M14" s="148" t="s">
        <v>809</v>
      </c>
      <c r="N14" s="148" t="s">
        <v>810</v>
      </c>
      <c r="O14" s="148" t="s">
        <v>811</v>
      </c>
      <c r="P14" s="148" t="s">
        <v>809</v>
      </c>
      <c r="Q14" s="148" t="s">
        <v>812</v>
      </c>
      <c r="R14" s="149">
        <v>9.5</v>
      </c>
      <c r="S14" s="150"/>
      <c r="X14" s="141"/>
    </row>
    <row r="15" spans="1:110" ht="14.25" customHeight="1" x14ac:dyDescent="0.6">
      <c r="G15" s="140"/>
      <c r="H15" s="455"/>
      <c r="J15" s="401"/>
      <c r="K15" s="151" t="s">
        <v>813</v>
      </c>
      <c r="L15" s="151" t="s">
        <v>808</v>
      </c>
      <c r="M15" s="151" t="s">
        <v>814</v>
      </c>
      <c r="N15" s="151" t="s">
        <v>810</v>
      </c>
      <c r="O15" s="151" t="s">
        <v>811</v>
      </c>
      <c r="P15" s="151" t="s">
        <v>814</v>
      </c>
      <c r="Q15" s="151" t="s">
        <v>815</v>
      </c>
      <c r="R15" s="152">
        <v>8.9</v>
      </c>
      <c r="X15" s="141"/>
      <c r="AA15" s="132" t="s">
        <v>816</v>
      </c>
    </row>
    <row r="16" spans="1:110" ht="14.25" customHeight="1" x14ac:dyDescent="0.6">
      <c r="G16" s="140"/>
      <c r="H16" s="455"/>
      <c r="J16" s="401"/>
      <c r="K16" s="153" t="s">
        <v>817</v>
      </c>
      <c r="L16" s="153" t="s">
        <v>808</v>
      </c>
      <c r="M16" s="153" t="s">
        <v>818</v>
      </c>
      <c r="N16" s="153" t="s">
        <v>810</v>
      </c>
      <c r="O16" s="153" t="s">
        <v>811</v>
      </c>
      <c r="P16" s="153" t="s">
        <v>818</v>
      </c>
      <c r="Q16" s="153" t="s">
        <v>819</v>
      </c>
      <c r="R16" s="154">
        <v>8.6999999999999993</v>
      </c>
      <c r="X16" s="141"/>
    </row>
    <row r="17" spans="7:29" ht="14.25" customHeight="1" x14ac:dyDescent="0.6">
      <c r="G17" s="140"/>
      <c r="H17" s="455"/>
      <c r="J17" s="401"/>
      <c r="K17" s="151" t="s">
        <v>820</v>
      </c>
      <c r="L17" s="151" t="s">
        <v>808</v>
      </c>
      <c r="M17" s="151" t="s">
        <v>821</v>
      </c>
      <c r="N17" s="151" t="s">
        <v>810</v>
      </c>
      <c r="O17" s="151" t="s">
        <v>811</v>
      </c>
      <c r="P17" s="151" t="s">
        <v>821</v>
      </c>
      <c r="Q17" s="151" t="s">
        <v>822</v>
      </c>
      <c r="R17" s="152">
        <v>8.5</v>
      </c>
      <c r="X17" s="141"/>
    </row>
    <row r="18" spans="7:29" ht="14.25" customHeight="1" x14ac:dyDescent="0.6">
      <c r="G18" s="140"/>
      <c r="H18" s="455"/>
      <c r="J18" s="401"/>
      <c r="K18" s="153" t="s">
        <v>823</v>
      </c>
      <c r="L18" s="153" t="s">
        <v>808</v>
      </c>
      <c r="M18" s="153" t="s">
        <v>824</v>
      </c>
      <c r="N18" s="153" t="s">
        <v>810</v>
      </c>
      <c r="O18" s="153" t="s">
        <v>811</v>
      </c>
      <c r="P18" s="153" t="s">
        <v>824</v>
      </c>
      <c r="Q18" s="153" t="s">
        <v>825</v>
      </c>
      <c r="R18" s="154">
        <v>8.1999999999999993</v>
      </c>
    </row>
    <row r="19" spans="7:29" ht="14.25" customHeight="1" x14ac:dyDescent="0.6">
      <c r="G19" s="140"/>
      <c r="H19" s="455"/>
      <c r="J19" s="401"/>
      <c r="K19" s="155" t="s">
        <v>826</v>
      </c>
      <c r="L19" s="155" t="s">
        <v>808</v>
      </c>
      <c r="M19" s="155" t="s">
        <v>827</v>
      </c>
      <c r="N19" s="155" t="s">
        <v>810</v>
      </c>
      <c r="O19" s="155" t="s">
        <v>811</v>
      </c>
      <c r="P19" s="155" t="s">
        <v>827</v>
      </c>
      <c r="Q19" s="155" t="s">
        <v>828</v>
      </c>
      <c r="R19" s="156">
        <v>7.8</v>
      </c>
    </row>
    <row r="20" spans="7:29" ht="14.25" customHeight="1" x14ac:dyDescent="0.6">
      <c r="G20" s="140"/>
      <c r="H20" s="455"/>
      <c r="J20" s="401"/>
      <c r="K20" s="153" t="s">
        <v>829</v>
      </c>
      <c r="L20" s="153" t="s">
        <v>808</v>
      </c>
      <c r="M20" s="153" t="s">
        <v>830</v>
      </c>
      <c r="N20" s="153" t="s">
        <v>810</v>
      </c>
      <c r="O20" s="153" t="s">
        <v>811</v>
      </c>
      <c r="P20" s="153" t="s">
        <v>830</v>
      </c>
      <c r="Q20" s="153" t="s">
        <v>831</v>
      </c>
      <c r="R20" s="154">
        <v>7.4</v>
      </c>
    </row>
    <row r="21" spans="7:29" ht="14.25" customHeight="1" x14ac:dyDescent="0.6">
      <c r="G21" s="140"/>
      <c r="H21" s="455"/>
      <c r="J21" s="401"/>
      <c r="K21" s="151" t="s">
        <v>832</v>
      </c>
      <c r="L21" s="151" t="s">
        <v>833</v>
      </c>
      <c r="M21" s="151" t="s">
        <v>834</v>
      </c>
      <c r="N21" s="151" t="s">
        <v>810</v>
      </c>
      <c r="O21" s="151" t="s">
        <v>811</v>
      </c>
      <c r="P21" s="151" t="s">
        <v>834</v>
      </c>
      <c r="Q21" s="151" t="s">
        <v>835</v>
      </c>
      <c r="R21" s="152">
        <v>6.8</v>
      </c>
    </row>
    <row r="22" spans="7:29" ht="14.25" customHeight="1" x14ac:dyDescent="0.6">
      <c r="G22" s="140"/>
      <c r="H22" s="455"/>
      <c r="J22" s="401"/>
      <c r="K22" s="153" t="s">
        <v>836</v>
      </c>
      <c r="L22" s="153" t="s">
        <v>837</v>
      </c>
      <c r="M22" s="153" t="s">
        <v>838</v>
      </c>
      <c r="N22" s="153" t="s">
        <v>810</v>
      </c>
      <c r="O22" s="153" t="s">
        <v>811</v>
      </c>
      <c r="P22" s="153" t="s">
        <v>838</v>
      </c>
      <c r="Q22" s="153" t="s">
        <v>839</v>
      </c>
      <c r="R22" s="154">
        <v>6.2</v>
      </c>
    </row>
    <row r="23" spans="7:29" ht="14.25" customHeight="1" thickBot="1" x14ac:dyDescent="0.75">
      <c r="G23" s="140"/>
      <c r="H23" s="455"/>
      <c r="J23" s="401"/>
      <c r="K23" s="157" t="s">
        <v>840</v>
      </c>
      <c r="L23" s="157" t="s">
        <v>841</v>
      </c>
      <c r="M23" s="157" t="s">
        <v>842</v>
      </c>
      <c r="N23" s="157" t="s">
        <v>810</v>
      </c>
      <c r="O23" s="157" t="s">
        <v>811</v>
      </c>
      <c r="P23" s="157" t="s">
        <v>842</v>
      </c>
      <c r="Q23" s="157" t="s">
        <v>843</v>
      </c>
      <c r="R23" s="158">
        <v>5.2</v>
      </c>
    </row>
    <row r="24" spans="7:29" ht="14.25" customHeight="1" x14ac:dyDescent="0.6">
      <c r="G24" s="140"/>
      <c r="H24" s="455"/>
      <c r="J24" s="401"/>
    </row>
    <row r="25" spans="7:29" ht="14.25" customHeight="1" x14ac:dyDescent="0.6">
      <c r="G25" s="140"/>
      <c r="H25" s="455"/>
      <c r="J25" s="401"/>
      <c r="P25" s="132" t="s">
        <v>844</v>
      </c>
      <c r="U25" s="141"/>
    </row>
    <row r="26" spans="7:29" ht="14.25" customHeight="1" x14ac:dyDescent="0.6">
      <c r="G26" s="140"/>
    </row>
    <row r="27" spans="7:29" ht="14.25" customHeight="1" thickBot="1" x14ac:dyDescent="0.75">
      <c r="G27" s="140"/>
      <c r="Q27" s="132" t="s">
        <v>845</v>
      </c>
      <c r="S27" s="159" t="s">
        <v>957</v>
      </c>
    </row>
    <row r="28" spans="7:29" ht="14.25" customHeight="1" x14ac:dyDescent="0.6">
      <c r="G28" s="140"/>
      <c r="H28" s="459" t="s">
        <v>846</v>
      </c>
      <c r="J28" s="406" t="s">
        <v>847</v>
      </c>
      <c r="K28" s="407"/>
      <c r="L28" s="407"/>
      <c r="M28" s="407"/>
      <c r="N28" s="407"/>
      <c r="O28" s="408"/>
      <c r="Q28" s="132" t="s">
        <v>848</v>
      </c>
      <c r="S28" s="160">
        <v>20</v>
      </c>
    </row>
    <row r="29" spans="7:29" ht="14.25" customHeight="1" thickBot="1" x14ac:dyDescent="0.75">
      <c r="G29" s="140"/>
      <c r="H29" s="460"/>
      <c r="J29" s="161" t="s">
        <v>849</v>
      </c>
      <c r="K29" s="162"/>
      <c r="L29" s="162"/>
      <c r="M29" s="162"/>
      <c r="N29" s="162"/>
      <c r="O29" s="163">
        <v>20</v>
      </c>
      <c r="Z29" s="164"/>
      <c r="AA29" s="164"/>
      <c r="AB29" s="164"/>
      <c r="AC29" s="164"/>
    </row>
    <row r="30" spans="7:29" ht="14.25" customHeight="1" x14ac:dyDescent="0.6">
      <c r="G30" s="140"/>
      <c r="H30" s="460"/>
      <c r="J30" s="165" t="s">
        <v>850</v>
      </c>
      <c r="K30" s="166"/>
      <c r="L30" s="166"/>
      <c r="M30" s="166"/>
      <c r="N30" s="166"/>
      <c r="O30" s="167">
        <v>5</v>
      </c>
    </row>
    <row r="31" spans="7:29" ht="14.25" customHeight="1" thickBot="1" x14ac:dyDescent="0.75">
      <c r="G31" s="140"/>
      <c r="H31" s="460"/>
      <c r="J31" s="461" t="s">
        <v>851</v>
      </c>
      <c r="K31" s="462"/>
      <c r="L31" s="462"/>
      <c r="M31" s="462"/>
      <c r="N31" s="462"/>
      <c r="O31" s="168">
        <v>0.02</v>
      </c>
    </row>
    <row r="32" spans="7:29" ht="14.25" customHeight="1" x14ac:dyDescent="0.6">
      <c r="G32" s="140"/>
      <c r="H32" s="460"/>
      <c r="J32" s="169" t="s">
        <v>852</v>
      </c>
      <c r="K32" s="170"/>
      <c r="L32" s="170"/>
      <c r="N32" s="171"/>
      <c r="O32" s="172">
        <v>3</v>
      </c>
    </row>
    <row r="33" spans="7:42" ht="26.25" customHeight="1" x14ac:dyDescent="0.6">
      <c r="G33" s="140"/>
      <c r="H33" s="460"/>
      <c r="J33" s="173" t="s">
        <v>172</v>
      </c>
      <c r="K33" s="174" t="s">
        <v>853</v>
      </c>
      <c r="L33" s="463" t="s">
        <v>854</v>
      </c>
      <c r="M33" s="465" t="s">
        <v>855</v>
      </c>
    </row>
    <row r="34" spans="7:42" ht="26.25" customHeight="1" x14ac:dyDescent="0.6">
      <c r="G34" s="140"/>
      <c r="H34" s="460"/>
      <c r="J34" s="175" t="s">
        <v>856</v>
      </c>
      <c r="K34" s="176" t="s">
        <v>857</v>
      </c>
      <c r="L34" s="464"/>
      <c r="M34" s="466"/>
    </row>
    <row r="35" spans="7:42" ht="14.25" customHeight="1" x14ac:dyDescent="0.6">
      <c r="G35" s="140"/>
      <c r="H35" s="460"/>
      <c r="J35" s="177">
        <v>0</v>
      </c>
      <c r="K35" s="178">
        <v>0.8</v>
      </c>
      <c r="L35" s="178">
        <v>0.8</v>
      </c>
      <c r="M35" s="179">
        <v>0.19999999999999996</v>
      </c>
    </row>
    <row r="36" spans="7:42" ht="14.25" customHeight="1" x14ac:dyDescent="0.6">
      <c r="G36" s="140"/>
      <c r="H36" s="460"/>
      <c r="J36" s="180">
        <v>1</v>
      </c>
      <c r="K36" s="181">
        <v>0.1</v>
      </c>
      <c r="L36" s="181">
        <v>0.8</v>
      </c>
      <c r="M36" s="179">
        <v>0.19999999999999996</v>
      </c>
      <c r="O36" s="182"/>
    </row>
    <row r="37" spans="7:42" ht="14.25" customHeight="1" thickBot="1" x14ac:dyDescent="0.75">
      <c r="G37" s="140"/>
      <c r="H37" s="460"/>
      <c r="J37" s="183">
        <v>2</v>
      </c>
      <c r="K37" s="184">
        <v>0.1</v>
      </c>
      <c r="L37" s="184">
        <v>0.8</v>
      </c>
      <c r="M37" s="185">
        <v>0.19999999999999996</v>
      </c>
    </row>
    <row r="38" spans="7:42" ht="14.25" customHeight="1" x14ac:dyDescent="0.6">
      <c r="G38" s="140"/>
      <c r="H38" s="460"/>
      <c r="M38" s="186"/>
    </row>
    <row r="39" spans="7:42" ht="14.25" customHeight="1" x14ac:dyDescent="0.75">
      <c r="H39" s="460"/>
      <c r="P39"/>
      <c r="Q39"/>
      <c r="R39"/>
      <c r="S39"/>
      <c r="T39"/>
    </row>
    <row r="40" spans="7:42" ht="14.25" customHeight="1" x14ac:dyDescent="0.6">
      <c r="H40" s="460"/>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6">
      <c r="H41" s="460"/>
      <c r="J41" s="401" t="s">
        <v>858</v>
      </c>
      <c r="K41" s="187" t="s">
        <v>859</v>
      </c>
      <c r="L41" s="187" t="s">
        <v>860</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6">
      <c r="H42" s="460"/>
      <c r="J42" s="401"/>
      <c r="K42" s="187" t="s">
        <v>861</v>
      </c>
      <c r="L42" s="187" t="s">
        <v>862</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6">
      <c r="H43" s="460"/>
      <c r="J43" s="401"/>
      <c r="K43" s="187" t="s">
        <v>861</v>
      </c>
      <c r="L43" s="187" t="s">
        <v>863</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6">
      <c r="H44" s="460"/>
      <c r="J44" s="401"/>
      <c r="K44" s="187" t="s">
        <v>861</v>
      </c>
      <c r="L44" s="187" t="s">
        <v>864</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75">
      <c r="H45" s="460"/>
      <c r="J45" s="401"/>
      <c r="K45" s="187" t="s">
        <v>865</v>
      </c>
      <c r="L45" s="187" t="s">
        <v>862</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75">
      <c r="H46" s="460"/>
      <c r="J46" s="401"/>
      <c r="K46" s="187" t="s">
        <v>865</v>
      </c>
      <c r="L46" s="187" t="s">
        <v>863</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75">
      <c r="H47" s="460"/>
      <c r="J47" s="401"/>
      <c r="K47" s="187" t="s">
        <v>865</v>
      </c>
      <c r="L47" s="187" t="s">
        <v>864</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6">
      <c r="H48" s="460"/>
      <c r="J48" s="401"/>
      <c r="K48" s="187" t="s">
        <v>866</v>
      </c>
      <c r="L48" s="187" t="s">
        <v>860</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6">
      <c r="H49" s="460"/>
      <c r="J49" s="401"/>
      <c r="K49" s="187" t="s">
        <v>867</v>
      </c>
      <c r="L49" s="187" t="s">
        <v>862</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6">
      <c r="H50" s="460"/>
      <c r="J50" s="401"/>
      <c r="K50" s="187" t="s">
        <v>867</v>
      </c>
      <c r="L50" s="187" t="s">
        <v>863</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6">
      <c r="H51" s="460"/>
      <c r="J51" s="401"/>
      <c r="K51" s="187" t="s">
        <v>867</v>
      </c>
      <c r="L51" s="187" t="s">
        <v>864</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75">
      <c r="H52" s="460"/>
      <c r="J52" s="401"/>
      <c r="K52" s="187" t="s">
        <v>868</v>
      </c>
      <c r="L52" s="187" t="s">
        <v>862</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75">
      <c r="H53" s="460"/>
      <c r="J53" s="401"/>
      <c r="K53" s="187" t="s">
        <v>868</v>
      </c>
      <c r="L53" s="187" t="s">
        <v>863</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75">
      <c r="H54" s="460"/>
      <c r="J54" s="401"/>
      <c r="K54" s="187" t="s">
        <v>868</v>
      </c>
      <c r="L54" s="187" t="s">
        <v>864</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6">
      <c r="H55" s="460"/>
      <c r="J55" s="401"/>
      <c r="K55" s="187" t="s">
        <v>869</v>
      </c>
      <c r="L55" s="187" t="s">
        <v>862</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6">
      <c r="H56" s="460"/>
      <c r="J56" s="401"/>
      <c r="K56" s="187" t="s">
        <v>869</v>
      </c>
      <c r="L56" s="187" t="s">
        <v>863</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6">
      <c r="H57" s="460"/>
      <c r="J57" s="401"/>
      <c r="K57" s="187" t="s">
        <v>869</v>
      </c>
      <c r="L57" s="187" t="s">
        <v>864</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6">
      <c r="H58" s="460"/>
      <c r="J58" s="401"/>
      <c r="K58" s="187" t="s">
        <v>870</v>
      </c>
      <c r="L58" s="187" t="s">
        <v>860</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6">
      <c r="H59" s="460"/>
      <c r="J59" s="401"/>
      <c r="K59" s="187" t="s">
        <v>871</v>
      </c>
      <c r="L59" s="187" t="s">
        <v>862</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6">
      <c r="H60" s="460"/>
      <c r="J60" s="401"/>
      <c r="K60" s="187" t="s">
        <v>871</v>
      </c>
      <c r="L60" s="187" t="s">
        <v>863</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6">
      <c r="H61" s="460"/>
      <c r="J61" s="401"/>
      <c r="K61" s="187" t="s">
        <v>871</v>
      </c>
      <c r="L61" s="187" t="s">
        <v>864</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75">
      <c r="H62" s="460"/>
      <c r="J62" s="401"/>
      <c r="K62" s="187" t="s">
        <v>872</v>
      </c>
      <c r="L62" s="187" t="s">
        <v>862</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75">
      <c r="H63" s="460"/>
      <c r="J63" s="401"/>
      <c r="K63" s="187" t="s">
        <v>872</v>
      </c>
      <c r="L63" s="187" t="s">
        <v>863</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75">
      <c r="H64" s="460"/>
      <c r="J64" s="401"/>
      <c r="K64" s="187" t="s">
        <v>872</v>
      </c>
      <c r="L64" s="187" t="s">
        <v>864</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6">
      <c r="H65" s="460"/>
      <c r="J65" s="401"/>
      <c r="K65" s="191" t="s">
        <v>873</v>
      </c>
      <c r="L65" s="187" t="s">
        <v>862</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6">
      <c r="H66" s="460"/>
      <c r="J66" s="401"/>
      <c r="K66" s="191" t="s">
        <v>873</v>
      </c>
      <c r="L66" s="187" t="s">
        <v>863</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6">
      <c r="H67" s="460"/>
      <c r="J67" s="401"/>
      <c r="K67" s="191" t="s">
        <v>873</v>
      </c>
      <c r="L67" s="187" t="s">
        <v>864</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6">
      <c r="H68" s="460"/>
      <c r="J68" s="401"/>
      <c r="K68" s="191" t="s">
        <v>874</v>
      </c>
      <c r="L68" s="187" t="s">
        <v>862</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6">
      <c r="H69" s="460"/>
      <c r="J69" s="146"/>
      <c r="K69" s="191" t="s">
        <v>874</v>
      </c>
      <c r="L69" s="187" t="s">
        <v>863</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6">
      <c r="H70" s="460"/>
      <c r="J70" s="146"/>
      <c r="K70" s="191" t="s">
        <v>874</v>
      </c>
      <c r="L70" s="187" t="s">
        <v>864</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6">
      <c r="X71" s="192"/>
    </row>
    <row r="72" spans="4:44" ht="14.25" customHeight="1" x14ac:dyDescent="0.6">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6">
      <c r="D73" s="138" t="s">
        <v>792</v>
      </c>
      <c r="G73" s="360" t="s">
        <v>875</v>
      </c>
      <c r="H73" s="360"/>
      <c r="I73" s="360"/>
      <c r="J73" s="360"/>
      <c r="K73" s="360"/>
      <c r="L73" s="360"/>
      <c r="M73" s="360"/>
      <c r="N73" s="360"/>
      <c r="O73" s="360"/>
      <c r="P73" s="360"/>
      <c r="Q73" s="360"/>
      <c r="R73" s="360"/>
      <c r="S73" s="360"/>
      <c r="T73" s="360"/>
      <c r="U73" s="360"/>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6">
      <c r="G74" s="140"/>
      <c r="M74" s="132" t="s">
        <v>876</v>
      </c>
    </row>
    <row r="75" spans="4:44" ht="14.25" customHeight="1" thickBot="1" x14ac:dyDescent="0.75">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6">
      <c r="G76" s="140"/>
      <c r="H76" s="402" t="s">
        <v>877</v>
      </c>
      <c r="J76" s="355" t="s">
        <v>878</v>
      </c>
      <c r="K76" s="196" t="s">
        <v>807</v>
      </c>
      <c r="L76" s="196" t="s">
        <v>862</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6">
      <c r="G77" s="140"/>
      <c r="H77" s="402"/>
      <c r="J77" s="356"/>
      <c r="K77" s="137" t="s">
        <v>807</v>
      </c>
      <c r="L77" s="187" t="s">
        <v>863</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75">
      <c r="G78" s="140"/>
      <c r="H78" s="402"/>
      <c r="J78" s="356"/>
      <c r="K78" s="198" t="s">
        <v>807</v>
      </c>
      <c r="L78" s="198" t="s">
        <v>864</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6">
      <c r="G79" s="140"/>
      <c r="H79" s="402"/>
      <c r="J79" s="356"/>
      <c r="K79" s="196" t="s">
        <v>813</v>
      </c>
      <c r="L79" s="196" t="s">
        <v>862</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6">
      <c r="G80" s="140"/>
      <c r="H80" s="402"/>
      <c r="J80" s="356"/>
      <c r="K80" s="137" t="s">
        <v>813</v>
      </c>
      <c r="L80" s="187" t="s">
        <v>863</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75">
      <c r="G81" s="140"/>
      <c r="H81" s="402"/>
      <c r="J81" s="356"/>
      <c r="K81" s="198" t="s">
        <v>813</v>
      </c>
      <c r="L81" s="198" t="s">
        <v>864</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6">
      <c r="G82" s="140"/>
      <c r="H82" s="402"/>
      <c r="J82" s="356"/>
      <c r="K82" s="196" t="s">
        <v>817</v>
      </c>
      <c r="L82" s="196" t="s">
        <v>862</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6">
      <c r="G83" s="140"/>
      <c r="H83" s="402"/>
      <c r="J83" s="356"/>
      <c r="K83" s="137" t="s">
        <v>817</v>
      </c>
      <c r="L83" s="187" t="s">
        <v>863</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75">
      <c r="G84" s="140"/>
      <c r="H84" s="402"/>
      <c r="J84" s="356"/>
      <c r="K84" s="198" t="s">
        <v>817</v>
      </c>
      <c r="L84" s="198" t="s">
        <v>864</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6">
      <c r="G85" s="140"/>
      <c r="H85" s="402"/>
      <c r="J85" s="356"/>
      <c r="K85" s="196" t="s">
        <v>820</v>
      </c>
      <c r="L85" s="196" t="s">
        <v>862</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6">
      <c r="G86" s="140"/>
      <c r="H86" s="402"/>
      <c r="J86" s="356"/>
      <c r="K86" s="137" t="s">
        <v>820</v>
      </c>
      <c r="L86" s="187" t="s">
        <v>863</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75">
      <c r="G87" s="140"/>
      <c r="H87" s="402"/>
      <c r="J87" s="356"/>
      <c r="K87" s="198" t="s">
        <v>820</v>
      </c>
      <c r="L87" s="198" t="s">
        <v>864</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6">
      <c r="G88" s="140"/>
      <c r="H88" s="402"/>
      <c r="J88" s="356"/>
      <c r="K88" s="196" t="s">
        <v>823</v>
      </c>
      <c r="L88" s="196" t="s">
        <v>862</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6">
      <c r="G89" s="140"/>
      <c r="H89" s="402"/>
      <c r="J89" s="356"/>
      <c r="K89" s="137" t="s">
        <v>823</v>
      </c>
      <c r="L89" s="187" t="s">
        <v>863</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75">
      <c r="G90" s="140"/>
      <c r="H90" s="402"/>
      <c r="J90" s="356"/>
      <c r="K90" s="198" t="s">
        <v>823</v>
      </c>
      <c r="L90" s="198" t="s">
        <v>864</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6">
      <c r="G91" s="140"/>
      <c r="H91" s="402"/>
      <c r="J91" s="356"/>
      <c r="K91" s="196" t="s">
        <v>826</v>
      </c>
      <c r="L91" s="196" t="s">
        <v>862</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6">
      <c r="G92" s="140"/>
      <c r="H92" s="402"/>
      <c r="J92" s="356"/>
      <c r="K92" s="137" t="s">
        <v>826</v>
      </c>
      <c r="L92" s="187" t="s">
        <v>863</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75">
      <c r="G93" s="140"/>
      <c r="H93" s="402"/>
      <c r="J93" s="356"/>
      <c r="K93" s="198" t="s">
        <v>826</v>
      </c>
      <c r="L93" s="198" t="s">
        <v>864</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6">
      <c r="G94" s="140"/>
      <c r="H94" s="402"/>
      <c r="J94" s="356"/>
      <c r="K94" s="196" t="s">
        <v>829</v>
      </c>
      <c r="L94" s="196" t="s">
        <v>862</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6">
      <c r="G95" s="140"/>
      <c r="H95" s="402"/>
      <c r="J95" s="356"/>
      <c r="K95" s="137" t="s">
        <v>829</v>
      </c>
      <c r="L95" s="187" t="s">
        <v>863</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75">
      <c r="G96" s="140"/>
      <c r="H96" s="402"/>
      <c r="J96" s="356"/>
      <c r="K96" s="198" t="s">
        <v>829</v>
      </c>
      <c r="L96" s="198" t="s">
        <v>864</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6">
      <c r="G97" s="140"/>
      <c r="H97" s="402"/>
      <c r="J97" s="356"/>
      <c r="K97" s="196" t="s">
        <v>832</v>
      </c>
      <c r="L97" s="196" t="s">
        <v>862</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6">
      <c r="G98" s="140"/>
      <c r="H98" s="402"/>
      <c r="J98" s="356"/>
      <c r="K98" s="137" t="s">
        <v>832</v>
      </c>
      <c r="L98" s="187" t="s">
        <v>863</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75">
      <c r="G99" s="140"/>
      <c r="H99" s="402"/>
      <c r="J99" s="356"/>
      <c r="K99" s="198" t="s">
        <v>832</v>
      </c>
      <c r="L99" s="198" t="s">
        <v>864</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6">
      <c r="G100" s="140"/>
      <c r="H100" s="402"/>
      <c r="J100" s="356"/>
      <c r="K100" s="196" t="s">
        <v>836</v>
      </c>
      <c r="L100" s="196" t="s">
        <v>862</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75">
      <c r="G101" s="140"/>
      <c r="H101" s="402"/>
      <c r="J101" s="356"/>
      <c r="K101" s="137" t="s">
        <v>836</v>
      </c>
      <c r="L101" s="187" t="s">
        <v>863</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75">
      <c r="G102" s="140"/>
      <c r="H102" s="402"/>
      <c r="J102" s="356"/>
      <c r="K102" s="198" t="s">
        <v>836</v>
      </c>
      <c r="L102" s="198" t="s">
        <v>864</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6">
      <c r="G103" s="140"/>
      <c r="H103" s="402"/>
      <c r="J103" s="356"/>
      <c r="K103" s="196" t="s">
        <v>840</v>
      </c>
      <c r="L103" s="196" t="s">
        <v>862</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6">
      <c r="G104" s="140"/>
      <c r="H104" s="402"/>
      <c r="J104" s="356"/>
      <c r="K104" s="137" t="s">
        <v>840</v>
      </c>
      <c r="L104" s="187" t="s">
        <v>863</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6">
      <c r="G105" s="140"/>
      <c r="H105" s="402"/>
      <c r="J105" s="403"/>
      <c r="K105" s="198" t="s">
        <v>840</v>
      </c>
      <c r="L105" s="198" t="s">
        <v>864</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6">
      <c r="G106" s="140"/>
      <c r="H106" s="402"/>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6">
      <c r="G107" s="140"/>
      <c r="H107" s="402"/>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6">
      <c r="G108" s="140"/>
      <c r="H108" s="402"/>
      <c r="J108" s="355" t="s">
        <v>879</v>
      </c>
      <c r="K108" s="196" t="s">
        <v>807</v>
      </c>
      <c r="L108" s="196" t="s">
        <v>862</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6">
      <c r="G109" s="140"/>
      <c r="H109" s="402"/>
      <c r="J109" s="356"/>
      <c r="K109" s="137" t="s">
        <v>807</v>
      </c>
      <c r="L109" s="187" t="s">
        <v>863</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75">
      <c r="G110" s="140"/>
      <c r="H110" s="402"/>
      <c r="J110" s="356"/>
      <c r="K110" s="198" t="s">
        <v>807</v>
      </c>
      <c r="L110" s="198" t="s">
        <v>864</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6">
      <c r="G111" s="140"/>
      <c r="H111" s="402"/>
      <c r="J111" s="356"/>
      <c r="K111" s="196" t="s">
        <v>813</v>
      </c>
      <c r="L111" s="196" t="s">
        <v>862</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6">
      <c r="G112" s="140"/>
      <c r="H112" s="402"/>
      <c r="J112" s="356"/>
      <c r="K112" s="137" t="s">
        <v>813</v>
      </c>
      <c r="L112" s="187" t="s">
        <v>863</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75">
      <c r="G113" s="140"/>
      <c r="H113" s="402"/>
      <c r="J113" s="356"/>
      <c r="K113" s="198" t="s">
        <v>813</v>
      </c>
      <c r="L113" s="198" t="s">
        <v>864</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6">
      <c r="G114" s="140"/>
      <c r="H114" s="402"/>
      <c r="J114" s="356"/>
      <c r="K114" s="196" t="s">
        <v>817</v>
      </c>
      <c r="L114" s="196" t="s">
        <v>862</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6">
      <c r="G115" s="140"/>
      <c r="H115" s="402"/>
      <c r="J115" s="356"/>
      <c r="K115" s="137" t="s">
        <v>817</v>
      </c>
      <c r="L115" s="187" t="s">
        <v>863</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75">
      <c r="G116" s="140"/>
      <c r="H116" s="402"/>
      <c r="J116" s="356"/>
      <c r="K116" s="198" t="s">
        <v>817</v>
      </c>
      <c r="L116" s="198" t="s">
        <v>864</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6">
      <c r="G117" s="140"/>
      <c r="H117" s="402"/>
      <c r="J117" s="356"/>
      <c r="K117" s="196" t="s">
        <v>820</v>
      </c>
      <c r="L117" s="196" t="s">
        <v>862</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6">
      <c r="G118" s="140"/>
      <c r="H118" s="402"/>
      <c r="J118" s="356"/>
      <c r="K118" s="137" t="s">
        <v>820</v>
      </c>
      <c r="L118" s="187" t="s">
        <v>863</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75">
      <c r="G119" s="140"/>
      <c r="H119" s="402"/>
      <c r="J119" s="356"/>
      <c r="K119" s="198" t="s">
        <v>820</v>
      </c>
      <c r="L119" s="198" t="s">
        <v>864</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6">
      <c r="G120" s="140"/>
      <c r="H120" s="402"/>
      <c r="J120" s="356"/>
      <c r="K120" s="196" t="s">
        <v>823</v>
      </c>
      <c r="L120" s="196" t="s">
        <v>862</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6">
      <c r="G121" s="140"/>
      <c r="H121" s="402"/>
      <c r="J121" s="356"/>
      <c r="K121" s="137" t="s">
        <v>823</v>
      </c>
      <c r="L121" s="187" t="s">
        <v>863</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75">
      <c r="G122" s="140"/>
      <c r="H122" s="402"/>
      <c r="J122" s="356"/>
      <c r="K122" s="198" t="s">
        <v>823</v>
      </c>
      <c r="L122" s="198" t="s">
        <v>864</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6">
      <c r="G123" s="140"/>
      <c r="H123" s="402"/>
      <c r="J123" s="356"/>
      <c r="K123" s="196" t="s">
        <v>826</v>
      </c>
      <c r="L123" s="196" t="s">
        <v>862</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75">
      <c r="A124" s="132"/>
      <c r="B124" s="132"/>
      <c r="C124" s="132"/>
      <c r="D124" s="132"/>
      <c r="E124" s="132"/>
      <c r="F124" s="132"/>
      <c r="G124" s="140"/>
      <c r="H124" s="402"/>
      <c r="I124" s="132"/>
      <c r="J124" s="356"/>
      <c r="K124" s="137" t="s">
        <v>826</v>
      </c>
      <c r="L124" s="187" t="s">
        <v>863</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75">
      <c r="A125" s="132"/>
      <c r="B125" s="132"/>
      <c r="C125" s="132"/>
      <c r="D125" s="132"/>
      <c r="E125" s="132"/>
      <c r="F125" s="132"/>
      <c r="G125" s="140"/>
      <c r="H125" s="402"/>
      <c r="I125" s="132"/>
      <c r="J125" s="356"/>
      <c r="K125" s="198" t="s">
        <v>826</v>
      </c>
      <c r="L125" s="198" t="s">
        <v>864</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6">
      <c r="G126" s="140"/>
      <c r="H126" s="402"/>
      <c r="J126" s="356"/>
      <c r="K126" s="196" t="s">
        <v>829</v>
      </c>
      <c r="L126" s="196" t="s">
        <v>862</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6">
      <c r="G127" s="140"/>
      <c r="H127" s="402"/>
      <c r="J127" s="356"/>
      <c r="K127" s="137" t="s">
        <v>829</v>
      </c>
      <c r="L127" s="187" t="s">
        <v>863</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75">
      <c r="G128" s="140"/>
      <c r="H128" s="402"/>
      <c r="J128" s="356"/>
      <c r="K128" s="198" t="s">
        <v>829</v>
      </c>
      <c r="L128" s="198" t="s">
        <v>864</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6">
      <c r="G129" s="140"/>
      <c r="H129" s="402"/>
      <c r="J129" s="356"/>
      <c r="K129" s="196" t="s">
        <v>832</v>
      </c>
      <c r="L129" s="196" t="s">
        <v>862</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6">
      <c r="G130" s="140"/>
      <c r="H130" s="402"/>
      <c r="J130" s="356"/>
      <c r="K130" s="137" t="s">
        <v>832</v>
      </c>
      <c r="L130" s="187" t="s">
        <v>863</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75">
      <c r="G131" s="140"/>
      <c r="H131" s="402"/>
      <c r="J131" s="356"/>
      <c r="K131" s="198" t="s">
        <v>832</v>
      </c>
      <c r="L131" s="198" t="s">
        <v>864</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6">
      <c r="G132" s="140"/>
      <c r="H132" s="402"/>
      <c r="J132" s="356"/>
      <c r="K132" s="196" t="s">
        <v>836</v>
      </c>
      <c r="L132" s="196" t="s">
        <v>862</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6">
      <c r="G133" s="140"/>
      <c r="H133" s="402"/>
      <c r="J133" s="356"/>
      <c r="K133" s="137" t="s">
        <v>836</v>
      </c>
      <c r="L133" s="187" t="s">
        <v>863</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75">
      <c r="G134" s="140"/>
      <c r="H134" s="402"/>
      <c r="J134" s="356"/>
      <c r="K134" s="198" t="s">
        <v>836</v>
      </c>
      <c r="L134" s="198" t="s">
        <v>864</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6">
      <c r="G135" s="140"/>
      <c r="H135" s="402"/>
      <c r="J135" s="356"/>
      <c r="K135" s="196" t="s">
        <v>840</v>
      </c>
      <c r="L135" s="196" t="s">
        <v>862</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6">
      <c r="G136" s="140"/>
      <c r="H136" s="402"/>
      <c r="J136" s="356"/>
      <c r="K136" s="137" t="s">
        <v>840</v>
      </c>
      <c r="L136" s="187" t="s">
        <v>863</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6">
      <c r="G137" s="140"/>
      <c r="H137" s="402"/>
      <c r="J137" s="403"/>
      <c r="K137" s="198" t="s">
        <v>840</v>
      </c>
      <c r="L137" s="198" t="s">
        <v>864</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6">
      <c r="G138" s="140"/>
      <c r="H138" s="402"/>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6">
      <c r="G139" s="140"/>
      <c r="H139" s="402"/>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6">
      <c r="G140" s="140"/>
      <c r="H140" s="402"/>
      <c r="J140" s="355" t="s">
        <v>880</v>
      </c>
      <c r="K140" s="196" t="s">
        <v>807</v>
      </c>
      <c r="L140" s="196" t="s">
        <v>862</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6">
      <c r="G141" s="140"/>
      <c r="H141" s="402"/>
      <c r="J141" s="356"/>
      <c r="K141" s="137" t="s">
        <v>807</v>
      </c>
      <c r="L141" s="187" t="s">
        <v>863</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75">
      <c r="G142" s="140"/>
      <c r="H142" s="402"/>
      <c r="J142" s="356"/>
      <c r="K142" s="198" t="s">
        <v>807</v>
      </c>
      <c r="L142" s="198" t="s">
        <v>864</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6">
      <c r="G143" s="140"/>
      <c r="H143" s="402"/>
      <c r="J143" s="356"/>
      <c r="K143" s="196" t="s">
        <v>813</v>
      </c>
      <c r="L143" s="196" t="s">
        <v>862</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6">
      <c r="G144" s="140"/>
      <c r="H144" s="402"/>
      <c r="J144" s="356"/>
      <c r="K144" s="137" t="s">
        <v>813</v>
      </c>
      <c r="L144" s="187" t="s">
        <v>863</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75">
      <c r="G145" s="140"/>
      <c r="H145" s="402"/>
      <c r="J145" s="356"/>
      <c r="K145" s="198" t="s">
        <v>813</v>
      </c>
      <c r="L145" s="198" t="s">
        <v>864</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6">
      <c r="G146" s="140"/>
      <c r="H146" s="402"/>
      <c r="J146" s="356"/>
      <c r="K146" s="196" t="s">
        <v>817</v>
      </c>
      <c r="L146" s="196" t="s">
        <v>862</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6">
      <c r="G147" s="140"/>
      <c r="H147" s="402"/>
      <c r="J147" s="356"/>
      <c r="K147" s="137" t="s">
        <v>817</v>
      </c>
      <c r="L147" s="187" t="s">
        <v>863</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75">
      <c r="G148" s="140"/>
      <c r="H148" s="402"/>
      <c r="J148" s="356"/>
      <c r="K148" s="198" t="s">
        <v>817</v>
      </c>
      <c r="L148" s="198" t="s">
        <v>864</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6">
      <c r="G149" s="140"/>
      <c r="H149" s="402"/>
      <c r="J149" s="356"/>
      <c r="K149" s="196" t="s">
        <v>820</v>
      </c>
      <c r="L149" s="196" t="s">
        <v>862</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6">
      <c r="G150" s="140"/>
      <c r="H150" s="402"/>
      <c r="J150" s="356"/>
      <c r="K150" s="137" t="s">
        <v>820</v>
      </c>
      <c r="L150" s="187" t="s">
        <v>863</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75">
      <c r="G151" s="140"/>
      <c r="H151" s="402"/>
      <c r="J151" s="356"/>
      <c r="K151" s="198" t="s">
        <v>820</v>
      </c>
      <c r="L151" s="198" t="s">
        <v>864</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6">
      <c r="G152" s="140"/>
      <c r="H152" s="402"/>
      <c r="J152" s="356"/>
      <c r="K152" s="196" t="s">
        <v>823</v>
      </c>
      <c r="L152" s="196" t="s">
        <v>862</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6">
      <c r="G153" s="140"/>
      <c r="H153" s="402"/>
      <c r="J153" s="356"/>
      <c r="K153" s="137" t="s">
        <v>823</v>
      </c>
      <c r="L153" s="187" t="s">
        <v>863</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75">
      <c r="G154" s="140"/>
      <c r="H154" s="402"/>
      <c r="J154" s="356"/>
      <c r="K154" s="198" t="s">
        <v>823</v>
      </c>
      <c r="L154" s="198" t="s">
        <v>864</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6">
      <c r="G155" s="140"/>
      <c r="H155" s="402"/>
      <c r="J155" s="356"/>
      <c r="K155" s="196" t="s">
        <v>826</v>
      </c>
      <c r="L155" s="196" t="s">
        <v>862</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6">
      <c r="G156" s="140"/>
      <c r="H156" s="402"/>
      <c r="J156" s="356"/>
      <c r="K156" s="137" t="s">
        <v>826</v>
      </c>
      <c r="L156" s="187" t="s">
        <v>863</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75">
      <c r="G157" s="140"/>
      <c r="H157" s="402"/>
      <c r="J157" s="356"/>
      <c r="K157" s="198" t="s">
        <v>826</v>
      </c>
      <c r="L157" s="198" t="s">
        <v>864</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6">
      <c r="G158" s="140"/>
      <c r="H158" s="402"/>
      <c r="J158" s="356"/>
      <c r="K158" s="196" t="s">
        <v>829</v>
      </c>
      <c r="L158" s="196" t="s">
        <v>862</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6">
      <c r="G159" s="140"/>
      <c r="H159" s="402"/>
      <c r="J159" s="356"/>
      <c r="K159" s="137" t="s">
        <v>829</v>
      </c>
      <c r="L159" s="187" t="s">
        <v>863</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75">
      <c r="G160" s="140"/>
      <c r="H160" s="402"/>
      <c r="J160" s="356"/>
      <c r="K160" s="198" t="s">
        <v>829</v>
      </c>
      <c r="L160" s="198" t="s">
        <v>864</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6">
      <c r="G161" s="140"/>
      <c r="H161" s="402"/>
      <c r="J161" s="356"/>
      <c r="K161" s="196" t="s">
        <v>832</v>
      </c>
      <c r="L161" s="196" t="s">
        <v>862</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6">
      <c r="G162" s="140"/>
      <c r="H162" s="402"/>
      <c r="J162" s="356"/>
      <c r="K162" s="137" t="s">
        <v>832</v>
      </c>
      <c r="L162" s="187" t="s">
        <v>863</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75">
      <c r="G163" s="140"/>
      <c r="H163" s="402"/>
      <c r="J163" s="356"/>
      <c r="K163" s="198" t="s">
        <v>832</v>
      </c>
      <c r="L163" s="198" t="s">
        <v>864</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6">
      <c r="G164" s="140"/>
      <c r="H164" s="402"/>
      <c r="J164" s="356"/>
      <c r="K164" s="196" t="s">
        <v>836</v>
      </c>
      <c r="L164" s="196" t="s">
        <v>862</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6">
      <c r="G165" s="140"/>
      <c r="H165" s="402"/>
      <c r="J165" s="356"/>
      <c r="K165" s="137" t="s">
        <v>836</v>
      </c>
      <c r="L165" s="187" t="s">
        <v>863</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75">
      <c r="G166" s="140"/>
      <c r="H166" s="402"/>
      <c r="J166" s="356"/>
      <c r="K166" s="198" t="s">
        <v>836</v>
      </c>
      <c r="L166" s="198" t="s">
        <v>864</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6">
      <c r="G167" s="140"/>
      <c r="H167" s="402"/>
      <c r="J167" s="356"/>
      <c r="K167" s="196" t="s">
        <v>840</v>
      </c>
      <c r="L167" s="196" t="s">
        <v>862</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6">
      <c r="G168" s="140"/>
      <c r="H168" s="402"/>
      <c r="J168" s="356"/>
      <c r="K168" s="137" t="s">
        <v>840</v>
      </c>
      <c r="L168" s="187" t="s">
        <v>863</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6">
      <c r="G169" s="140"/>
      <c r="H169" s="402"/>
      <c r="J169" s="403"/>
      <c r="K169" s="198" t="s">
        <v>840</v>
      </c>
      <c r="L169" s="198" t="s">
        <v>864</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6">
      <c r="G170" s="140"/>
      <c r="H170" s="402"/>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6">
      <c r="G171" s="140"/>
      <c r="H171" s="402"/>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6">
      <c r="G172" s="140"/>
      <c r="H172" s="402"/>
      <c r="J172" s="355" t="s">
        <v>881</v>
      </c>
      <c r="K172" s="196" t="s">
        <v>807</v>
      </c>
      <c r="L172" s="196" t="s">
        <v>862</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6">
      <c r="G173" s="140"/>
      <c r="H173" s="402"/>
      <c r="J173" s="356"/>
      <c r="K173" s="137" t="s">
        <v>807</v>
      </c>
      <c r="L173" s="187" t="s">
        <v>863</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75">
      <c r="G174" s="140"/>
      <c r="H174" s="402"/>
      <c r="J174" s="356"/>
      <c r="K174" s="198" t="s">
        <v>807</v>
      </c>
      <c r="L174" s="198" t="s">
        <v>864</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6">
      <c r="G175" s="140"/>
      <c r="H175" s="402"/>
      <c r="J175" s="356"/>
      <c r="K175" s="196" t="s">
        <v>813</v>
      </c>
      <c r="L175" s="196" t="s">
        <v>862</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6">
      <c r="G176" s="140"/>
      <c r="H176" s="402"/>
      <c r="J176" s="356"/>
      <c r="K176" s="137" t="s">
        <v>813</v>
      </c>
      <c r="L176" s="187" t="s">
        <v>863</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75">
      <c r="G177" s="140"/>
      <c r="H177" s="402"/>
      <c r="J177" s="356"/>
      <c r="K177" s="198" t="s">
        <v>813</v>
      </c>
      <c r="L177" s="198" t="s">
        <v>864</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6">
      <c r="G178" s="140"/>
      <c r="H178" s="402"/>
      <c r="J178" s="356"/>
      <c r="K178" s="196" t="s">
        <v>817</v>
      </c>
      <c r="L178" s="196" t="s">
        <v>862</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6">
      <c r="G179" s="140"/>
      <c r="H179" s="402"/>
      <c r="J179" s="356"/>
      <c r="K179" s="137" t="s">
        <v>817</v>
      </c>
      <c r="L179" s="187" t="s">
        <v>863</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75">
      <c r="G180" s="140"/>
      <c r="H180" s="402"/>
      <c r="J180" s="356"/>
      <c r="K180" s="198" t="s">
        <v>817</v>
      </c>
      <c r="L180" s="198" t="s">
        <v>864</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6">
      <c r="G181" s="140"/>
      <c r="H181" s="402"/>
      <c r="J181" s="356"/>
      <c r="K181" s="196" t="s">
        <v>820</v>
      </c>
      <c r="L181" s="196" t="s">
        <v>862</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6">
      <c r="G182" s="140"/>
      <c r="H182" s="402"/>
      <c r="J182" s="356"/>
      <c r="K182" s="137" t="s">
        <v>820</v>
      </c>
      <c r="L182" s="187" t="s">
        <v>863</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75">
      <c r="G183" s="140"/>
      <c r="H183" s="402"/>
      <c r="J183" s="356"/>
      <c r="K183" s="198" t="s">
        <v>820</v>
      </c>
      <c r="L183" s="198" t="s">
        <v>864</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6">
      <c r="G184" s="140"/>
      <c r="H184" s="402"/>
      <c r="J184" s="356"/>
      <c r="K184" s="196" t="s">
        <v>823</v>
      </c>
      <c r="L184" s="196" t="s">
        <v>862</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6">
      <c r="G185" s="140"/>
      <c r="H185" s="402"/>
      <c r="J185" s="356"/>
      <c r="K185" s="137" t="s">
        <v>823</v>
      </c>
      <c r="L185" s="187" t="s">
        <v>863</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75">
      <c r="G186" s="140"/>
      <c r="H186" s="402"/>
      <c r="J186" s="356"/>
      <c r="K186" s="198" t="s">
        <v>823</v>
      </c>
      <c r="L186" s="198" t="s">
        <v>864</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6">
      <c r="G187" s="140"/>
      <c r="H187" s="402"/>
      <c r="J187" s="356"/>
      <c r="K187" s="196" t="s">
        <v>826</v>
      </c>
      <c r="L187" s="196" t="s">
        <v>862</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6">
      <c r="G188" s="140"/>
      <c r="H188" s="402"/>
      <c r="J188" s="356"/>
      <c r="K188" s="137" t="s">
        <v>826</v>
      </c>
      <c r="L188" s="187" t="s">
        <v>863</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75">
      <c r="G189" s="140"/>
      <c r="H189" s="402"/>
      <c r="J189" s="356"/>
      <c r="K189" s="198" t="s">
        <v>826</v>
      </c>
      <c r="L189" s="198" t="s">
        <v>864</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6">
      <c r="G190" s="140"/>
      <c r="H190" s="402"/>
      <c r="J190" s="356"/>
      <c r="K190" s="196" t="s">
        <v>829</v>
      </c>
      <c r="L190" s="196" t="s">
        <v>862</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6">
      <c r="G191" s="140"/>
      <c r="H191" s="402"/>
      <c r="J191" s="356"/>
      <c r="K191" s="137" t="s">
        <v>829</v>
      </c>
      <c r="L191" s="187" t="s">
        <v>863</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75">
      <c r="G192" s="140"/>
      <c r="H192" s="402"/>
      <c r="J192" s="356"/>
      <c r="K192" s="198" t="s">
        <v>829</v>
      </c>
      <c r="L192" s="198" t="s">
        <v>864</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6">
      <c r="G193" s="140"/>
      <c r="H193" s="402"/>
      <c r="J193" s="356"/>
      <c r="K193" s="196" t="s">
        <v>832</v>
      </c>
      <c r="L193" s="196" t="s">
        <v>862</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6">
      <c r="G194" s="140"/>
      <c r="H194" s="402"/>
      <c r="J194" s="356"/>
      <c r="K194" s="137" t="s">
        <v>832</v>
      </c>
      <c r="L194" s="187" t="s">
        <v>863</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75">
      <c r="G195" s="140"/>
      <c r="H195" s="402"/>
      <c r="J195" s="356"/>
      <c r="K195" s="198" t="s">
        <v>832</v>
      </c>
      <c r="L195" s="198" t="s">
        <v>864</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6">
      <c r="G196" s="140"/>
      <c r="H196" s="402"/>
      <c r="J196" s="356"/>
      <c r="K196" s="196" t="s">
        <v>836</v>
      </c>
      <c r="L196" s="196" t="s">
        <v>862</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6">
      <c r="G197" s="140"/>
      <c r="H197" s="402"/>
      <c r="J197" s="356"/>
      <c r="K197" s="137" t="s">
        <v>836</v>
      </c>
      <c r="L197" s="187" t="s">
        <v>863</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75">
      <c r="G198" s="140"/>
      <c r="H198" s="402"/>
      <c r="J198" s="356"/>
      <c r="K198" s="198" t="s">
        <v>836</v>
      </c>
      <c r="L198" s="198" t="s">
        <v>864</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6">
      <c r="G199" s="140"/>
      <c r="H199" s="402"/>
      <c r="J199" s="356"/>
      <c r="K199" s="196" t="s">
        <v>840</v>
      </c>
      <c r="L199" s="196" t="s">
        <v>862</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6">
      <c r="G200" s="140"/>
      <c r="H200" s="402"/>
      <c r="J200" s="356"/>
      <c r="K200" s="137" t="s">
        <v>840</v>
      </c>
      <c r="L200" s="187" t="s">
        <v>863</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6">
      <c r="G201" s="140"/>
      <c r="H201" s="402"/>
      <c r="J201" s="403"/>
      <c r="K201" s="198" t="s">
        <v>840</v>
      </c>
      <c r="L201" s="198" t="s">
        <v>864</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6">
      <c r="G202" s="140"/>
      <c r="H202" s="402"/>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6">
      <c r="G203" s="140"/>
      <c r="H203" s="402"/>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6">
      <c r="G204" s="140"/>
      <c r="H204" s="402"/>
      <c r="J204" s="355" t="s">
        <v>882</v>
      </c>
      <c r="K204" s="196" t="s">
        <v>807</v>
      </c>
      <c r="L204" s="196" t="s">
        <v>862</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6">
      <c r="G205" s="140"/>
      <c r="H205" s="402"/>
      <c r="J205" s="356"/>
      <c r="K205" s="137" t="s">
        <v>807</v>
      </c>
      <c r="L205" s="187" t="s">
        <v>863</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75">
      <c r="G206" s="140"/>
      <c r="H206" s="402"/>
      <c r="J206" s="356"/>
      <c r="K206" s="198" t="s">
        <v>807</v>
      </c>
      <c r="L206" s="198" t="s">
        <v>864</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6">
      <c r="G207" s="140"/>
      <c r="H207" s="402"/>
      <c r="J207" s="356"/>
      <c r="K207" s="196" t="s">
        <v>813</v>
      </c>
      <c r="L207" s="196" t="s">
        <v>862</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6">
      <c r="G208" s="140"/>
      <c r="H208" s="402"/>
      <c r="J208" s="356"/>
      <c r="K208" s="137" t="s">
        <v>813</v>
      </c>
      <c r="L208" s="187" t="s">
        <v>863</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75">
      <c r="G209" s="140"/>
      <c r="H209" s="402"/>
      <c r="J209" s="356"/>
      <c r="K209" s="198" t="s">
        <v>813</v>
      </c>
      <c r="L209" s="198" t="s">
        <v>864</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6">
      <c r="G210" s="140"/>
      <c r="H210" s="402"/>
      <c r="J210" s="356"/>
      <c r="K210" s="196" t="s">
        <v>817</v>
      </c>
      <c r="L210" s="196" t="s">
        <v>862</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6">
      <c r="G211" s="140"/>
      <c r="H211" s="402"/>
      <c r="J211" s="356"/>
      <c r="K211" s="137" t="s">
        <v>817</v>
      </c>
      <c r="L211" s="187" t="s">
        <v>863</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75">
      <c r="G212" s="140"/>
      <c r="H212" s="402"/>
      <c r="J212" s="356"/>
      <c r="K212" s="198" t="s">
        <v>817</v>
      </c>
      <c r="L212" s="198" t="s">
        <v>864</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6">
      <c r="G213" s="140"/>
      <c r="H213" s="402"/>
      <c r="J213" s="356"/>
      <c r="K213" s="196" t="s">
        <v>820</v>
      </c>
      <c r="L213" s="196" t="s">
        <v>862</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6">
      <c r="G214" s="140"/>
      <c r="H214" s="402"/>
      <c r="J214" s="356"/>
      <c r="K214" s="137" t="s">
        <v>820</v>
      </c>
      <c r="L214" s="187" t="s">
        <v>863</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75">
      <c r="G215" s="140"/>
      <c r="H215" s="402"/>
      <c r="J215" s="356"/>
      <c r="K215" s="198" t="s">
        <v>820</v>
      </c>
      <c r="L215" s="198" t="s">
        <v>864</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6">
      <c r="G216" s="140"/>
      <c r="H216" s="402"/>
      <c r="J216" s="356"/>
      <c r="K216" s="196" t="s">
        <v>823</v>
      </c>
      <c r="L216" s="196" t="s">
        <v>862</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6">
      <c r="G217" s="140"/>
      <c r="H217" s="402"/>
      <c r="J217" s="356"/>
      <c r="K217" s="137" t="s">
        <v>823</v>
      </c>
      <c r="L217" s="187" t="s">
        <v>863</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75">
      <c r="G218" s="140"/>
      <c r="H218" s="402"/>
      <c r="J218" s="356"/>
      <c r="K218" s="198" t="s">
        <v>823</v>
      </c>
      <c r="L218" s="198" t="s">
        <v>864</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6">
      <c r="G219" s="140"/>
      <c r="H219" s="402"/>
      <c r="J219" s="356"/>
      <c r="K219" s="196" t="s">
        <v>826</v>
      </c>
      <c r="L219" s="196" t="s">
        <v>862</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6">
      <c r="G220" s="140"/>
      <c r="H220" s="402"/>
      <c r="J220" s="356"/>
      <c r="K220" s="137" t="s">
        <v>826</v>
      </c>
      <c r="L220" s="187" t="s">
        <v>863</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75">
      <c r="G221" s="140"/>
      <c r="H221" s="402"/>
      <c r="J221" s="356"/>
      <c r="K221" s="198" t="s">
        <v>826</v>
      </c>
      <c r="L221" s="198" t="s">
        <v>864</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6">
      <c r="G222" s="140"/>
      <c r="H222" s="402"/>
      <c r="J222" s="356"/>
      <c r="K222" s="196" t="s">
        <v>829</v>
      </c>
      <c r="L222" s="196" t="s">
        <v>862</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6">
      <c r="G223" s="140"/>
      <c r="H223" s="402"/>
      <c r="J223" s="356"/>
      <c r="K223" s="137" t="s">
        <v>829</v>
      </c>
      <c r="L223" s="187" t="s">
        <v>863</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75">
      <c r="G224" s="140"/>
      <c r="H224" s="402"/>
      <c r="J224" s="356"/>
      <c r="K224" s="198" t="s">
        <v>829</v>
      </c>
      <c r="L224" s="198" t="s">
        <v>864</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6">
      <c r="G225" s="140"/>
      <c r="H225" s="402"/>
      <c r="J225" s="356"/>
      <c r="K225" s="196" t="s">
        <v>832</v>
      </c>
      <c r="L225" s="196" t="s">
        <v>862</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6">
      <c r="G226" s="140"/>
      <c r="H226" s="402"/>
      <c r="J226" s="356"/>
      <c r="K226" s="137" t="s">
        <v>832</v>
      </c>
      <c r="L226" s="187" t="s">
        <v>863</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75">
      <c r="G227" s="140"/>
      <c r="H227" s="402"/>
      <c r="J227" s="356"/>
      <c r="K227" s="198" t="s">
        <v>832</v>
      </c>
      <c r="L227" s="198" t="s">
        <v>864</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6">
      <c r="G228" s="140"/>
      <c r="H228" s="402"/>
      <c r="J228" s="356"/>
      <c r="K228" s="196" t="s">
        <v>836</v>
      </c>
      <c r="L228" s="196" t="s">
        <v>862</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6">
      <c r="G229" s="140"/>
      <c r="H229" s="402"/>
      <c r="J229" s="356"/>
      <c r="K229" s="137" t="s">
        <v>836</v>
      </c>
      <c r="L229" s="187" t="s">
        <v>863</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75">
      <c r="G230" s="140"/>
      <c r="H230" s="402"/>
      <c r="J230" s="356"/>
      <c r="K230" s="198" t="s">
        <v>836</v>
      </c>
      <c r="L230" s="198" t="s">
        <v>864</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6">
      <c r="G231" s="140"/>
      <c r="H231" s="402"/>
      <c r="J231" s="356"/>
      <c r="K231" s="196" t="s">
        <v>840</v>
      </c>
      <c r="L231" s="196" t="s">
        <v>862</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6">
      <c r="G232" s="140"/>
      <c r="H232" s="402"/>
      <c r="J232" s="356"/>
      <c r="K232" s="137" t="s">
        <v>840</v>
      </c>
      <c r="L232" s="187" t="s">
        <v>863</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75">
      <c r="G233" s="140"/>
      <c r="H233" s="402"/>
      <c r="J233" s="403"/>
      <c r="K233" s="198" t="s">
        <v>840</v>
      </c>
      <c r="L233" s="198" t="s">
        <v>864</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6">
      <c r="G234" s="140"/>
      <c r="H234" s="402"/>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6">
      <c r="G235" s="140"/>
      <c r="H235" s="402"/>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6">
      <c r="G236" s="140"/>
      <c r="H236" s="402"/>
      <c r="J236" s="355" t="s">
        <v>883</v>
      </c>
      <c r="K236" s="196" t="s">
        <v>807</v>
      </c>
      <c r="L236" s="196" t="s">
        <v>862</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6">
      <c r="G237" s="140"/>
      <c r="H237" s="402"/>
      <c r="J237" s="356"/>
      <c r="K237" s="137" t="s">
        <v>807</v>
      </c>
      <c r="L237" s="187" t="s">
        <v>863</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75">
      <c r="G238" s="140"/>
      <c r="H238" s="402"/>
      <c r="J238" s="356"/>
      <c r="K238" s="198" t="s">
        <v>807</v>
      </c>
      <c r="L238" s="198" t="s">
        <v>864</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6">
      <c r="G239" s="140"/>
      <c r="H239" s="402"/>
      <c r="J239" s="356"/>
      <c r="K239" s="196" t="s">
        <v>813</v>
      </c>
      <c r="L239" s="196" t="s">
        <v>862</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6">
      <c r="G240" s="140"/>
      <c r="H240" s="402"/>
      <c r="J240" s="356"/>
      <c r="K240" s="137" t="s">
        <v>813</v>
      </c>
      <c r="L240" s="187" t="s">
        <v>863</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75">
      <c r="G241" s="140"/>
      <c r="H241" s="402"/>
      <c r="J241" s="356"/>
      <c r="K241" s="198" t="s">
        <v>813</v>
      </c>
      <c r="L241" s="198" t="s">
        <v>864</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6">
      <c r="G242" s="140"/>
      <c r="H242" s="402"/>
      <c r="J242" s="356"/>
      <c r="K242" s="196" t="s">
        <v>817</v>
      </c>
      <c r="L242" s="196" t="s">
        <v>862</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6">
      <c r="G243" s="140"/>
      <c r="H243" s="402"/>
      <c r="J243" s="356"/>
      <c r="K243" s="137" t="s">
        <v>817</v>
      </c>
      <c r="L243" s="187" t="s">
        <v>863</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75">
      <c r="G244" s="140"/>
      <c r="H244" s="402"/>
      <c r="J244" s="356"/>
      <c r="K244" s="198" t="s">
        <v>817</v>
      </c>
      <c r="L244" s="198" t="s">
        <v>864</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6">
      <c r="G245" s="140"/>
      <c r="H245" s="402"/>
      <c r="J245" s="356"/>
      <c r="K245" s="196" t="s">
        <v>820</v>
      </c>
      <c r="L245" s="196" t="s">
        <v>862</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6">
      <c r="G246" s="140"/>
      <c r="H246" s="402"/>
      <c r="J246" s="356"/>
      <c r="K246" s="137" t="s">
        <v>820</v>
      </c>
      <c r="L246" s="187" t="s">
        <v>863</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75">
      <c r="G247" s="140"/>
      <c r="H247" s="402"/>
      <c r="J247" s="356"/>
      <c r="K247" s="198" t="s">
        <v>820</v>
      </c>
      <c r="L247" s="198" t="s">
        <v>864</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6">
      <c r="G248" s="140"/>
      <c r="H248" s="402"/>
      <c r="J248" s="356"/>
      <c r="K248" s="196" t="s">
        <v>823</v>
      </c>
      <c r="L248" s="196" t="s">
        <v>862</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6">
      <c r="G249" s="140"/>
      <c r="H249" s="402"/>
      <c r="J249" s="356"/>
      <c r="K249" s="137" t="s">
        <v>823</v>
      </c>
      <c r="L249" s="187" t="s">
        <v>863</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75">
      <c r="G250" s="140"/>
      <c r="H250" s="402"/>
      <c r="J250" s="356"/>
      <c r="K250" s="198" t="s">
        <v>823</v>
      </c>
      <c r="L250" s="198" t="s">
        <v>864</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6">
      <c r="G251" s="140"/>
      <c r="H251" s="402"/>
      <c r="J251" s="356"/>
      <c r="K251" s="196" t="s">
        <v>826</v>
      </c>
      <c r="L251" s="196" t="s">
        <v>862</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6">
      <c r="G252" s="140"/>
      <c r="H252" s="402"/>
      <c r="J252" s="356"/>
      <c r="K252" s="137" t="s">
        <v>826</v>
      </c>
      <c r="L252" s="187" t="s">
        <v>863</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75">
      <c r="G253" s="140"/>
      <c r="H253" s="402"/>
      <c r="J253" s="356"/>
      <c r="K253" s="198" t="s">
        <v>826</v>
      </c>
      <c r="L253" s="198" t="s">
        <v>864</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6">
      <c r="G254" s="140"/>
      <c r="H254" s="402"/>
      <c r="J254" s="356"/>
      <c r="K254" s="196" t="s">
        <v>829</v>
      </c>
      <c r="L254" s="196" t="s">
        <v>862</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6">
      <c r="G255" s="140"/>
      <c r="H255" s="402"/>
      <c r="J255" s="356"/>
      <c r="K255" s="137" t="s">
        <v>829</v>
      </c>
      <c r="L255" s="187" t="s">
        <v>863</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75">
      <c r="G256" s="140"/>
      <c r="H256" s="402"/>
      <c r="J256" s="356"/>
      <c r="K256" s="198" t="s">
        <v>829</v>
      </c>
      <c r="L256" s="198" t="s">
        <v>864</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6">
      <c r="G257" s="140"/>
      <c r="H257" s="402"/>
      <c r="J257" s="356"/>
      <c r="K257" s="196" t="s">
        <v>832</v>
      </c>
      <c r="L257" s="196" t="s">
        <v>862</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6">
      <c r="G258" s="140"/>
      <c r="H258" s="402"/>
      <c r="J258" s="356"/>
      <c r="K258" s="137" t="s">
        <v>832</v>
      </c>
      <c r="L258" s="187" t="s">
        <v>863</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75">
      <c r="G259" s="140"/>
      <c r="H259" s="402"/>
      <c r="J259" s="356"/>
      <c r="K259" s="198" t="s">
        <v>832</v>
      </c>
      <c r="L259" s="198" t="s">
        <v>864</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6">
      <c r="G260" s="140"/>
      <c r="H260" s="402"/>
      <c r="J260" s="356"/>
      <c r="K260" s="196" t="s">
        <v>836</v>
      </c>
      <c r="L260" s="196" t="s">
        <v>862</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6">
      <c r="G261" s="140"/>
      <c r="H261" s="402"/>
      <c r="J261" s="356"/>
      <c r="K261" s="137" t="s">
        <v>836</v>
      </c>
      <c r="L261" s="187" t="s">
        <v>863</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75">
      <c r="G262" s="140"/>
      <c r="H262" s="402"/>
      <c r="J262" s="356"/>
      <c r="K262" s="198" t="s">
        <v>836</v>
      </c>
      <c r="L262" s="198" t="s">
        <v>864</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6">
      <c r="G263" s="140"/>
      <c r="H263" s="402"/>
      <c r="J263" s="356"/>
      <c r="K263" s="196" t="s">
        <v>840</v>
      </c>
      <c r="L263" s="196" t="s">
        <v>862</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6">
      <c r="G264" s="140"/>
      <c r="H264" s="402"/>
      <c r="J264" s="356"/>
      <c r="K264" s="137" t="s">
        <v>840</v>
      </c>
      <c r="L264" s="187" t="s">
        <v>863</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75">
      <c r="G265" s="140"/>
      <c r="H265" s="402"/>
      <c r="J265" s="403"/>
      <c r="K265" s="198" t="s">
        <v>840</v>
      </c>
      <c r="L265" s="198" t="s">
        <v>864</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6">
      <c r="G266" s="140"/>
      <c r="H266" s="402"/>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6">
      <c r="G267" s="140"/>
      <c r="H267" s="402"/>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6">
      <c r="G268" s="140"/>
      <c r="H268" s="402"/>
      <c r="J268" s="355" t="s">
        <v>884</v>
      </c>
      <c r="K268" s="196" t="s">
        <v>807</v>
      </c>
      <c r="L268" s="196" t="s">
        <v>862</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6">
      <c r="G269" s="140"/>
      <c r="H269" s="402"/>
      <c r="J269" s="356"/>
      <c r="K269" s="137" t="s">
        <v>807</v>
      </c>
      <c r="L269" s="187" t="s">
        <v>863</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75">
      <c r="G270" s="140"/>
      <c r="H270" s="402"/>
      <c r="J270" s="356"/>
      <c r="K270" s="198" t="s">
        <v>807</v>
      </c>
      <c r="L270" s="198" t="s">
        <v>864</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6">
      <c r="G271" s="140"/>
      <c r="H271" s="402"/>
      <c r="J271" s="356"/>
      <c r="K271" s="196" t="s">
        <v>813</v>
      </c>
      <c r="L271" s="196" t="s">
        <v>862</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6">
      <c r="G272" s="140"/>
      <c r="H272" s="402"/>
      <c r="J272" s="356"/>
      <c r="K272" s="137" t="s">
        <v>813</v>
      </c>
      <c r="L272" s="187" t="s">
        <v>863</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75">
      <c r="G273" s="140"/>
      <c r="H273" s="402"/>
      <c r="J273" s="356"/>
      <c r="K273" s="198" t="s">
        <v>813</v>
      </c>
      <c r="L273" s="198" t="s">
        <v>864</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6">
      <c r="G274" s="140"/>
      <c r="H274" s="402"/>
      <c r="J274" s="356"/>
      <c r="K274" s="196" t="s">
        <v>817</v>
      </c>
      <c r="L274" s="196" t="s">
        <v>862</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6">
      <c r="G275" s="140"/>
      <c r="H275" s="402"/>
      <c r="J275" s="356"/>
      <c r="K275" s="137" t="s">
        <v>817</v>
      </c>
      <c r="L275" s="187" t="s">
        <v>863</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75">
      <c r="G276" s="140"/>
      <c r="H276" s="402"/>
      <c r="J276" s="356"/>
      <c r="K276" s="198" t="s">
        <v>817</v>
      </c>
      <c r="L276" s="198" t="s">
        <v>864</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6">
      <c r="G277" s="140"/>
      <c r="H277" s="402"/>
      <c r="J277" s="356"/>
      <c r="K277" s="196" t="s">
        <v>820</v>
      </c>
      <c r="L277" s="196" t="s">
        <v>862</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6">
      <c r="G278" s="140"/>
      <c r="H278" s="402"/>
      <c r="J278" s="356"/>
      <c r="K278" s="137" t="s">
        <v>820</v>
      </c>
      <c r="L278" s="187" t="s">
        <v>863</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75">
      <c r="G279" s="140"/>
      <c r="H279" s="402"/>
      <c r="J279" s="356"/>
      <c r="K279" s="198" t="s">
        <v>820</v>
      </c>
      <c r="L279" s="198" t="s">
        <v>864</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6">
      <c r="G280" s="140"/>
      <c r="H280" s="402"/>
      <c r="J280" s="356"/>
      <c r="K280" s="196" t="s">
        <v>823</v>
      </c>
      <c r="L280" s="196" t="s">
        <v>862</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6">
      <c r="G281" s="140"/>
      <c r="H281" s="402"/>
      <c r="J281" s="356"/>
      <c r="K281" s="137" t="s">
        <v>823</v>
      </c>
      <c r="L281" s="187" t="s">
        <v>863</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75">
      <c r="G282" s="140"/>
      <c r="H282" s="402"/>
      <c r="J282" s="356"/>
      <c r="K282" s="198" t="s">
        <v>823</v>
      </c>
      <c r="L282" s="198" t="s">
        <v>864</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6">
      <c r="G283" s="140"/>
      <c r="H283" s="402"/>
      <c r="J283" s="356"/>
      <c r="K283" s="196" t="s">
        <v>826</v>
      </c>
      <c r="L283" s="196" t="s">
        <v>862</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6">
      <c r="G284" s="140"/>
      <c r="H284" s="402"/>
      <c r="J284" s="356"/>
      <c r="K284" s="137" t="s">
        <v>826</v>
      </c>
      <c r="L284" s="187" t="s">
        <v>863</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75">
      <c r="G285" s="140"/>
      <c r="H285" s="402"/>
      <c r="J285" s="356"/>
      <c r="K285" s="198" t="s">
        <v>826</v>
      </c>
      <c r="L285" s="198" t="s">
        <v>864</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6">
      <c r="G286" s="140"/>
      <c r="H286" s="402"/>
      <c r="J286" s="356"/>
      <c r="K286" s="196" t="s">
        <v>829</v>
      </c>
      <c r="L286" s="196" t="s">
        <v>862</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6">
      <c r="G287" s="140"/>
      <c r="H287" s="402"/>
      <c r="J287" s="356"/>
      <c r="K287" s="137" t="s">
        <v>829</v>
      </c>
      <c r="L287" s="187" t="s">
        <v>863</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75">
      <c r="G288" s="140"/>
      <c r="H288" s="402"/>
      <c r="J288" s="356"/>
      <c r="K288" s="198" t="s">
        <v>829</v>
      </c>
      <c r="L288" s="198" t="s">
        <v>864</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6">
      <c r="G289" s="140"/>
      <c r="H289" s="402"/>
      <c r="J289" s="356"/>
      <c r="K289" s="196" t="s">
        <v>832</v>
      </c>
      <c r="L289" s="196" t="s">
        <v>862</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6">
      <c r="G290" s="140"/>
      <c r="H290" s="402"/>
      <c r="J290" s="356"/>
      <c r="K290" s="137" t="s">
        <v>832</v>
      </c>
      <c r="L290" s="187" t="s">
        <v>863</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75">
      <c r="G291" s="140"/>
      <c r="H291" s="402"/>
      <c r="J291" s="356"/>
      <c r="K291" s="198" t="s">
        <v>832</v>
      </c>
      <c r="L291" s="198" t="s">
        <v>864</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6">
      <c r="G292" s="140"/>
      <c r="H292" s="402"/>
      <c r="J292" s="356"/>
      <c r="K292" s="196" t="s">
        <v>836</v>
      </c>
      <c r="L292" s="196" t="s">
        <v>862</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6">
      <c r="G293" s="140"/>
      <c r="H293" s="402"/>
      <c r="J293" s="356"/>
      <c r="K293" s="137" t="s">
        <v>836</v>
      </c>
      <c r="L293" s="187" t="s">
        <v>863</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75">
      <c r="G294" s="140"/>
      <c r="H294" s="402"/>
      <c r="J294" s="356"/>
      <c r="K294" s="198" t="s">
        <v>836</v>
      </c>
      <c r="L294" s="198" t="s">
        <v>864</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6">
      <c r="G295" s="140"/>
      <c r="H295" s="402"/>
      <c r="J295" s="356"/>
      <c r="K295" s="196" t="s">
        <v>840</v>
      </c>
      <c r="L295" s="196" t="s">
        <v>862</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6">
      <c r="G296" s="140"/>
      <c r="H296" s="402"/>
      <c r="J296" s="356"/>
      <c r="K296" s="137" t="s">
        <v>840</v>
      </c>
      <c r="L296" s="187" t="s">
        <v>863</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6">
      <c r="G297" s="140"/>
      <c r="H297" s="402"/>
      <c r="J297" s="403"/>
      <c r="K297" s="198" t="s">
        <v>840</v>
      </c>
      <c r="L297" s="198" t="s">
        <v>864</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75">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6">
      <c r="G299" s="140"/>
      <c r="H299" s="233"/>
      <c r="I299" s="233"/>
    </row>
    <row r="300" spans="7:42" ht="14.25" customHeight="1" x14ac:dyDescent="0.6">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6">
      <c r="G301" s="140"/>
      <c r="H301" s="469" t="s">
        <v>885</v>
      </c>
      <c r="J301" s="355" t="s">
        <v>886</v>
      </c>
      <c r="K301" s="196" t="s">
        <v>807</v>
      </c>
      <c r="L301" s="196" t="s">
        <v>862</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6">
      <c r="G302" s="140"/>
      <c r="H302" s="469"/>
      <c r="J302" s="356"/>
      <c r="K302" s="137" t="s">
        <v>807</v>
      </c>
      <c r="L302" s="187" t="s">
        <v>863</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75">
      <c r="G303" s="140"/>
      <c r="H303" s="469"/>
      <c r="J303" s="356"/>
      <c r="K303" s="198" t="s">
        <v>807</v>
      </c>
      <c r="L303" s="198" t="s">
        <v>864</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6">
      <c r="G304" s="140"/>
      <c r="H304" s="469"/>
      <c r="J304" s="356"/>
      <c r="K304" s="196" t="s">
        <v>813</v>
      </c>
      <c r="L304" s="196" t="s">
        <v>862</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6">
      <c r="G305" s="140"/>
      <c r="H305" s="469"/>
      <c r="J305" s="356"/>
      <c r="K305" s="137" t="s">
        <v>813</v>
      </c>
      <c r="L305" s="187" t="s">
        <v>863</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75">
      <c r="G306" s="140"/>
      <c r="H306" s="469"/>
      <c r="J306" s="356"/>
      <c r="K306" s="198" t="s">
        <v>813</v>
      </c>
      <c r="L306" s="198" t="s">
        <v>864</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6">
      <c r="G307" s="140"/>
      <c r="H307" s="469"/>
      <c r="J307" s="356"/>
      <c r="K307" s="196" t="s">
        <v>817</v>
      </c>
      <c r="L307" s="196" t="s">
        <v>862</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6">
      <c r="G308" s="140"/>
      <c r="H308" s="469"/>
      <c r="J308" s="356"/>
      <c r="K308" s="137" t="s">
        <v>817</v>
      </c>
      <c r="L308" s="187" t="s">
        <v>863</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75">
      <c r="G309" s="140"/>
      <c r="H309" s="469"/>
      <c r="J309" s="356"/>
      <c r="K309" s="198" t="s">
        <v>817</v>
      </c>
      <c r="L309" s="198" t="s">
        <v>864</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6">
      <c r="G310" s="140"/>
      <c r="H310" s="469"/>
      <c r="J310" s="356"/>
      <c r="K310" s="196" t="s">
        <v>820</v>
      </c>
      <c r="L310" s="196" t="s">
        <v>862</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6">
      <c r="G311" s="140"/>
      <c r="H311" s="469"/>
      <c r="J311" s="356"/>
      <c r="K311" s="137" t="s">
        <v>820</v>
      </c>
      <c r="L311" s="187" t="s">
        <v>863</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75">
      <c r="G312" s="140"/>
      <c r="H312" s="469"/>
      <c r="J312" s="356"/>
      <c r="K312" s="198" t="s">
        <v>820</v>
      </c>
      <c r="L312" s="198" t="s">
        <v>864</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6">
      <c r="G313" s="140"/>
      <c r="H313" s="469"/>
      <c r="J313" s="356"/>
      <c r="K313" s="196" t="s">
        <v>823</v>
      </c>
      <c r="L313" s="196" t="s">
        <v>862</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6">
      <c r="G314" s="140"/>
      <c r="H314" s="469"/>
      <c r="J314" s="356"/>
      <c r="K314" s="137" t="s">
        <v>823</v>
      </c>
      <c r="L314" s="187" t="s">
        <v>863</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75">
      <c r="G315" s="140"/>
      <c r="H315" s="469"/>
      <c r="J315" s="356"/>
      <c r="K315" s="198" t="s">
        <v>823</v>
      </c>
      <c r="L315" s="198" t="s">
        <v>864</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6">
      <c r="G316" s="140"/>
      <c r="H316" s="469"/>
      <c r="J316" s="356"/>
      <c r="K316" s="196" t="s">
        <v>826</v>
      </c>
      <c r="L316" s="196" t="s">
        <v>862</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6">
      <c r="G317" s="140"/>
      <c r="H317" s="469"/>
      <c r="J317" s="356"/>
      <c r="K317" s="137" t="s">
        <v>826</v>
      </c>
      <c r="L317" s="187" t="s">
        <v>863</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75">
      <c r="G318" s="140"/>
      <c r="H318" s="469"/>
      <c r="J318" s="356"/>
      <c r="K318" s="198" t="s">
        <v>826</v>
      </c>
      <c r="L318" s="198" t="s">
        <v>864</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6">
      <c r="G319" s="140"/>
      <c r="H319" s="469"/>
      <c r="J319" s="356"/>
      <c r="K319" s="196" t="s">
        <v>829</v>
      </c>
      <c r="L319" s="196" t="s">
        <v>862</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6">
      <c r="G320" s="140"/>
      <c r="H320" s="469"/>
      <c r="J320" s="356"/>
      <c r="K320" s="137" t="s">
        <v>829</v>
      </c>
      <c r="L320" s="187" t="s">
        <v>863</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75">
      <c r="G321" s="140"/>
      <c r="H321" s="469"/>
      <c r="J321" s="356"/>
      <c r="K321" s="198" t="s">
        <v>829</v>
      </c>
      <c r="L321" s="198" t="s">
        <v>864</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6">
      <c r="G322" s="140"/>
      <c r="H322" s="469"/>
      <c r="J322" s="356"/>
      <c r="K322" s="196" t="s">
        <v>832</v>
      </c>
      <c r="L322" s="196" t="s">
        <v>862</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6">
      <c r="G323" s="140"/>
      <c r="H323" s="469"/>
      <c r="J323" s="356"/>
      <c r="K323" s="137" t="s">
        <v>832</v>
      </c>
      <c r="L323" s="187" t="s">
        <v>863</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75">
      <c r="G324" s="140"/>
      <c r="H324" s="469"/>
      <c r="J324" s="356"/>
      <c r="K324" s="198" t="s">
        <v>832</v>
      </c>
      <c r="L324" s="198" t="s">
        <v>864</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6">
      <c r="G325" s="140"/>
      <c r="H325" s="469"/>
      <c r="J325" s="356"/>
      <c r="K325" s="196" t="s">
        <v>836</v>
      </c>
      <c r="L325" s="196" t="s">
        <v>862</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6">
      <c r="G326" s="140"/>
      <c r="H326" s="469"/>
      <c r="J326" s="356"/>
      <c r="K326" s="137" t="s">
        <v>836</v>
      </c>
      <c r="L326" s="187" t="s">
        <v>863</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75">
      <c r="G327" s="140"/>
      <c r="H327" s="469"/>
      <c r="J327" s="356"/>
      <c r="K327" s="198" t="s">
        <v>836</v>
      </c>
      <c r="L327" s="198" t="s">
        <v>864</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6">
      <c r="G328" s="140"/>
      <c r="H328" s="469"/>
      <c r="J328" s="356"/>
      <c r="K328" s="196" t="s">
        <v>840</v>
      </c>
      <c r="L328" s="196" t="s">
        <v>862</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6">
      <c r="G329" s="140"/>
      <c r="H329" s="469"/>
      <c r="J329" s="356"/>
      <c r="K329" s="137" t="s">
        <v>840</v>
      </c>
      <c r="L329" s="187" t="s">
        <v>863</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6">
      <c r="G330" s="140"/>
      <c r="H330" s="469"/>
      <c r="J330" s="403"/>
      <c r="K330" s="198" t="s">
        <v>840</v>
      </c>
      <c r="L330" s="198" t="s">
        <v>864</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75">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6">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75">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6">
      <c r="G334" s="140"/>
      <c r="H334" s="418" t="s">
        <v>887</v>
      </c>
      <c r="J334" s="355" t="s">
        <v>888</v>
      </c>
      <c r="K334" s="196" t="s">
        <v>807</v>
      </c>
      <c r="L334" s="196" t="s">
        <v>862</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6">
      <c r="G335" s="140"/>
      <c r="H335" s="418"/>
      <c r="J335" s="356"/>
      <c r="K335" s="137" t="s">
        <v>807</v>
      </c>
      <c r="L335" s="187" t="s">
        <v>863</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75">
      <c r="G336" s="140"/>
      <c r="H336" s="418"/>
      <c r="J336" s="356"/>
      <c r="K336" s="198" t="s">
        <v>807</v>
      </c>
      <c r="L336" s="198" t="s">
        <v>864</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6">
      <c r="G337" s="140"/>
      <c r="H337" s="418"/>
      <c r="J337" s="356"/>
      <c r="K337" s="196" t="s">
        <v>813</v>
      </c>
      <c r="L337" s="196" t="s">
        <v>862</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6">
      <c r="G338" s="140"/>
      <c r="H338" s="418"/>
      <c r="J338" s="356"/>
      <c r="K338" s="137" t="s">
        <v>813</v>
      </c>
      <c r="L338" s="187" t="s">
        <v>863</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75">
      <c r="G339" s="140"/>
      <c r="H339" s="418"/>
      <c r="J339" s="356"/>
      <c r="K339" s="198" t="s">
        <v>813</v>
      </c>
      <c r="L339" s="198" t="s">
        <v>864</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6">
      <c r="G340" s="140"/>
      <c r="H340" s="418"/>
      <c r="J340" s="356"/>
      <c r="K340" s="196" t="s">
        <v>817</v>
      </c>
      <c r="L340" s="196" t="s">
        <v>862</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6">
      <c r="G341" s="140"/>
      <c r="H341" s="418"/>
      <c r="J341" s="356"/>
      <c r="K341" s="137" t="s">
        <v>817</v>
      </c>
      <c r="L341" s="187" t="s">
        <v>863</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75">
      <c r="G342" s="140"/>
      <c r="H342" s="418"/>
      <c r="J342" s="356"/>
      <c r="K342" s="198" t="s">
        <v>817</v>
      </c>
      <c r="L342" s="198" t="s">
        <v>864</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6">
      <c r="G343" s="140"/>
      <c r="H343" s="418"/>
      <c r="J343" s="356"/>
      <c r="K343" s="196" t="s">
        <v>820</v>
      </c>
      <c r="L343" s="196" t="s">
        <v>862</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6">
      <c r="G344" s="140"/>
      <c r="H344" s="418"/>
      <c r="J344" s="356"/>
      <c r="K344" s="137" t="s">
        <v>820</v>
      </c>
      <c r="L344" s="187" t="s">
        <v>863</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75">
      <c r="G345" s="140"/>
      <c r="H345" s="418"/>
      <c r="J345" s="356"/>
      <c r="K345" s="198" t="s">
        <v>820</v>
      </c>
      <c r="L345" s="198" t="s">
        <v>864</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6">
      <c r="G346" s="140"/>
      <c r="H346" s="418"/>
      <c r="J346" s="356"/>
      <c r="K346" s="196" t="s">
        <v>823</v>
      </c>
      <c r="L346" s="196" t="s">
        <v>862</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6">
      <c r="G347" s="140"/>
      <c r="H347" s="418"/>
      <c r="J347" s="356"/>
      <c r="K347" s="137" t="s">
        <v>823</v>
      </c>
      <c r="L347" s="187" t="s">
        <v>863</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75">
      <c r="G348" s="140"/>
      <c r="H348" s="418"/>
      <c r="J348" s="356"/>
      <c r="K348" s="198" t="s">
        <v>823</v>
      </c>
      <c r="L348" s="198" t="s">
        <v>864</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6">
      <c r="G349" s="140"/>
      <c r="H349" s="418"/>
      <c r="J349" s="356"/>
      <c r="K349" s="196" t="s">
        <v>826</v>
      </c>
      <c r="L349" s="196" t="s">
        <v>862</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6">
      <c r="G350" s="140"/>
      <c r="H350" s="418"/>
      <c r="J350" s="356"/>
      <c r="K350" s="137" t="s">
        <v>826</v>
      </c>
      <c r="L350" s="187" t="s">
        <v>863</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75">
      <c r="G351" s="140"/>
      <c r="H351" s="418"/>
      <c r="J351" s="356"/>
      <c r="K351" s="198" t="s">
        <v>826</v>
      </c>
      <c r="L351" s="198" t="s">
        <v>864</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6">
      <c r="G352" s="140"/>
      <c r="H352" s="418"/>
      <c r="J352" s="356"/>
      <c r="K352" s="196" t="s">
        <v>829</v>
      </c>
      <c r="L352" s="196" t="s">
        <v>862</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6">
      <c r="G353" s="140"/>
      <c r="H353" s="418"/>
      <c r="J353" s="356"/>
      <c r="K353" s="137" t="s">
        <v>829</v>
      </c>
      <c r="L353" s="187" t="s">
        <v>863</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75">
      <c r="G354" s="140"/>
      <c r="H354" s="418"/>
      <c r="J354" s="356"/>
      <c r="K354" s="198" t="s">
        <v>829</v>
      </c>
      <c r="L354" s="198" t="s">
        <v>864</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6">
      <c r="G355" s="140"/>
      <c r="H355" s="418"/>
      <c r="J355" s="356"/>
      <c r="K355" s="196" t="s">
        <v>832</v>
      </c>
      <c r="L355" s="196" t="s">
        <v>862</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6">
      <c r="G356" s="140"/>
      <c r="H356" s="418"/>
      <c r="J356" s="356"/>
      <c r="K356" s="137" t="s">
        <v>832</v>
      </c>
      <c r="L356" s="187" t="s">
        <v>863</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75">
      <c r="G357" s="140"/>
      <c r="H357" s="418"/>
      <c r="J357" s="356"/>
      <c r="K357" s="198" t="s">
        <v>832</v>
      </c>
      <c r="L357" s="198" t="s">
        <v>864</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6">
      <c r="G358" s="140"/>
      <c r="H358" s="418"/>
      <c r="J358" s="356"/>
      <c r="K358" s="196" t="s">
        <v>836</v>
      </c>
      <c r="L358" s="196" t="s">
        <v>862</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6">
      <c r="G359" s="140"/>
      <c r="H359" s="418"/>
      <c r="J359" s="356"/>
      <c r="K359" s="137" t="s">
        <v>836</v>
      </c>
      <c r="L359" s="187" t="s">
        <v>863</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75">
      <c r="G360" s="140"/>
      <c r="H360" s="418"/>
      <c r="J360" s="356"/>
      <c r="K360" s="198" t="s">
        <v>836</v>
      </c>
      <c r="L360" s="198" t="s">
        <v>864</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6">
      <c r="G361" s="140"/>
      <c r="H361" s="418"/>
      <c r="J361" s="356"/>
      <c r="K361" s="196" t="s">
        <v>840</v>
      </c>
      <c r="L361" s="196" t="s">
        <v>862</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6">
      <c r="G362" s="140"/>
      <c r="H362" s="418"/>
      <c r="J362" s="356"/>
      <c r="K362" s="137" t="s">
        <v>840</v>
      </c>
      <c r="L362" s="187" t="s">
        <v>863</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6">
      <c r="G363" s="140"/>
      <c r="H363" s="418"/>
      <c r="J363" s="403"/>
      <c r="K363" s="198" t="s">
        <v>840</v>
      </c>
      <c r="L363" s="198" t="s">
        <v>864</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75">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6">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6">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6">
      <c r="G367" s="140"/>
      <c r="H367" s="421" t="s">
        <v>889</v>
      </c>
      <c r="J367" s="355" t="s">
        <v>890</v>
      </c>
      <c r="K367" s="137" t="s">
        <v>891</v>
      </c>
      <c r="L367" s="137" t="s">
        <v>862</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6">
      <c r="G368" s="140"/>
      <c r="H368" s="421"/>
      <c r="J368" s="356"/>
      <c r="K368" s="137" t="s">
        <v>891</v>
      </c>
      <c r="L368" s="137" t="s">
        <v>863</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6">
      <c r="G369" s="140"/>
      <c r="H369" s="421"/>
      <c r="J369" s="356"/>
      <c r="K369" s="137" t="s">
        <v>891</v>
      </c>
      <c r="L369" s="137" t="s">
        <v>864</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6">
      <c r="G370" s="140"/>
      <c r="H370" s="421"/>
      <c r="J370" s="356"/>
      <c r="K370" s="137" t="s">
        <v>892</v>
      </c>
      <c r="L370" s="137" t="s">
        <v>860</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6">
      <c r="G371" s="140"/>
      <c r="H371" s="421"/>
      <c r="J371" s="356"/>
      <c r="K371" s="137" t="s">
        <v>713</v>
      </c>
      <c r="L371" s="137" t="s">
        <v>862</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6">
      <c r="G372" s="140"/>
      <c r="H372" s="421"/>
      <c r="J372" s="356"/>
      <c r="K372" s="137" t="s">
        <v>713</v>
      </c>
      <c r="L372" s="137" t="s">
        <v>863</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6">
      <c r="G373" s="140"/>
      <c r="H373" s="421"/>
      <c r="J373" s="356"/>
      <c r="K373" s="137" t="s">
        <v>713</v>
      </c>
      <c r="L373" s="137" t="s">
        <v>864</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6">
      <c r="G374" s="140"/>
      <c r="H374" s="238"/>
      <c r="J374" s="239"/>
      <c r="K374" s="137" t="s">
        <v>893</v>
      </c>
      <c r="L374" s="137" t="s">
        <v>862</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6">
      <c r="G375" s="140"/>
      <c r="H375" s="238"/>
      <c r="J375" s="239"/>
      <c r="K375" s="137" t="s">
        <v>893</v>
      </c>
      <c r="L375" s="137" t="s">
        <v>863</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6">
      <c r="G376" s="140"/>
      <c r="H376" s="238"/>
      <c r="J376" s="239"/>
      <c r="K376" s="137" t="s">
        <v>893</v>
      </c>
      <c r="L376" s="137" t="s">
        <v>864</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6">
      <c r="G377" s="140"/>
      <c r="H377" s="238"/>
      <c r="J377" s="239"/>
      <c r="K377" s="137" t="s">
        <v>894</v>
      </c>
      <c r="L377" s="137" t="s">
        <v>862</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6">
      <c r="G378" s="140"/>
      <c r="H378" s="238"/>
      <c r="J378" s="239"/>
      <c r="K378" s="137" t="s">
        <v>894</v>
      </c>
      <c r="L378" s="137" t="s">
        <v>863</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6">
      <c r="G379" s="140"/>
      <c r="H379" s="238"/>
      <c r="J379" s="239"/>
      <c r="K379" s="137" t="s">
        <v>894</v>
      </c>
      <c r="L379" s="137" t="s">
        <v>864</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6">
      <c r="G380" s="140"/>
      <c r="H380" s="235"/>
      <c r="I380" s="241" t="s">
        <v>895</v>
      </c>
      <c r="J380" s="470" t="s">
        <v>896</v>
      </c>
      <c r="K380" s="243" t="s">
        <v>897</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6">
      <c r="G381" s="140"/>
      <c r="H381" s="235"/>
      <c r="I381" s="132">
        <v>0.2</v>
      </c>
      <c r="J381" s="470"/>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6">
      <c r="G382" s="140"/>
      <c r="H382" s="235"/>
      <c r="I382" s="132">
        <v>0.32</v>
      </c>
      <c r="J382" s="470"/>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6">
      <c r="G383" s="140"/>
      <c r="H383" s="235"/>
      <c r="I383" s="132">
        <v>0.192</v>
      </c>
      <c r="J383" s="470"/>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6">
      <c r="G384" s="140"/>
      <c r="H384" s="235"/>
      <c r="I384" s="132">
        <v>0.1152</v>
      </c>
      <c r="J384" s="470"/>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6">
      <c r="G385" s="140"/>
      <c r="H385" s="235"/>
      <c r="I385" s="132">
        <v>0.1152</v>
      </c>
      <c r="J385" s="470"/>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6">
      <c r="G386" s="140"/>
      <c r="H386" s="235"/>
      <c r="I386" s="132">
        <v>5.7599999999999998E-2</v>
      </c>
      <c r="J386" s="470"/>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6">
      <c r="G387" s="140"/>
      <c r="H387" s="235"/>
      <c r="J387" s="246"/>
      <c r="K387" s="243" t="s">
        <v>898</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6">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6">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6">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6">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6">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6">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6">
      <c r="G394" s="140"/>
      <c r="H394" s="235"/>
      <c r="J394" s="246"/>
      <c r="K394" s="244" t="s">
        <v>899</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6">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6">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6">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6">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6">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6">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6">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75">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6">
      <c r="G403" s="250"/>
      <c r="H403" s="235"/>
      <c r="J403" s="355" t="s">
        <v>900</v>
      </c>
      <c r="K403" s="137" t="s">
        <v>901</v>
      </c>
      <c r="L403" s="137" t="s">
        <v>862</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6">
      <c r="F404" s="252"/>
      <c r="H404" s="235"/>
      <c r="J404" s="356"/>
      <c r="K404" s="137" t="s">
        <v>901</v>
      </c>
      <c r="L404" s="137" t="s">
        <v>863</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6">
      <c r="F405" s="252"/>
      <c r="H405" s="235"/>
      <c r="J405" s="356"/>
      <c r="K405" s="137" t="s">
        <v>901</v>
      </c>
      <c r="L405" s="137" t="s">
        <v>864</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75">
      <c r="F406" s="252"/>
      <c r="H406" s="235"/>
      <c r="J406" s="127"/>
    </row>
    <row r="407" spans="6:42" ht="14.25" customHeight="1" thickTop="1" thickBot="1" x14ac:dyDescent="0.75">
      <c r="F407" s="252"/>
      <c r="H407" s="235"/>
      <c r="J407" s="246"/>
      <c r="K407" s="137" t="s">
        <v>902</v>
      </c>
      <c r="L407" s="137" t="s">
        <v>860</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75">
      <c r="F408" s="252"/>
      <c r="H408" s="235"/>
      <c r="J408" s="246"/>
      <c r="K408" s="137" t="s">
        <v>903</v>
      </c>
      <c r="L408" s="137" t="s">
        <v>860</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75">
      <c r="F409" s="252"/>
      <c r="H409" s="235"/>
      <c r="J409" s="246"/>
      <c r="K409" s="137" t="s">
        <v>904</v>
      </c>
      <c r="L409" s="137" t="s">
        <v>860</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75">
      <c r="F410" s="252"/>
      <c r="H410" s="235"/>
      <c r="J410" s="246"/>
      <c r="K410" s="137" t="s">
        <v>905</v>
      </c>
      <c r="L410" s="137" t="s">
        <v>862</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75">
      <c r="F411" s="252"/>
      <c r="H411" s="235"/>
      <c r="J411" s="246"/>
      <c r="K411" s="137" t="s">
        <v>906</v>
      </c>
      <c r="L411" s="137" t="s">
        <v>862</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75">
      <c r="F412" s="252"/>
      <c r="H412" s="235"/>
      <c r="J412" s="246"/>
      <c r="K412" s="137" t="s">
        <v>907</v>
      </c>
      <c r="L412" s="137" t="s">
        <v>862</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75">
      <c r="F413" s="252"/>
      <c r="H413" s="235"/>
      <c r="J413" s="246"/>
      <c r="K413" s="137" t="s">
        <v>905</v>
      </c>
      <c r="L413" s="137" t="s">
        <v>863</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75">
      <c r="F414" s="252"/>
      <c r="H414" s="235"/>
      <c r="J414" s="246"/>
      <c r="K414" s="137" t="s">
        <v>906</v>
      </c>
      <c r="L414" s="137" t="s">
        <v>863</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75">
      <c r="F415" s="252"/>
      <c r="H415" s="235"/>
      <c r="J415" s="246"/>
      <c r="K415" s="137" t="s">
        <v>907</v>
      </c>
      <c r="L415" s="137" t="s">
        <v>863</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75">
      <c r="F416" s="252"/>
      <c r="H416" s="235"/>
      <c r="J416" s="246"/>
      <c r="K416" s="137" t="s">
        <v>905</v>
      </c>
      <c r="L416" s="137" t="s">
        <v>864</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75">
      <c r="F417" s="252"/>
      <c r="H417" s="235"/>
      <c r="J417" s="246"/>
      <c r="K417" s="137" t="s">
        <v>906</v>
      </c>
      <c r="L417" s="137" t="s">
        <v>864</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6">
      <c r="F418" s="252"/>
      <c r="H418" s="235"/>
      <c r="J418" s="246"/>
      <c r="K418" s="137" t="s">
        <v>907</v>
      </c>
      <c r="L418" s="137" t="s">
        <v>864</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6">
      <c r="C420" s="138" t="s">
        <v>792</v>
      </c>
      <c r="G420" s="422" t="s">
        <v>908</v>
      </c>
      <c r="H420" s="360"/>
      <c r="I420" s="360"/>
      <c r="J420" s="360"/>
      <c r="K420" s="360"/>
      <c r="L420" s="360"/>
      <c r="M420" s="360"/>
      <c r="N420" s="360"/>
      <c r="O420" s="360"/>
      <c r="P420" s="360"/>
      <c r="Q420" s="360"/>
      <c r="R420" s="360"/>
      <c r="S420" s="360"/>
      <c r="T420" s="360"/>
      <c r="U420" s="360"/>
      <c r="V420" s="139"/>
      <c r="W420" s="139"/>
      <c r="X420" s="139"/>
      <c r="Y420" s="139"/>
      <c r="Z420" s="139"/>
      <c r="AA420" s="139"/>
      <c r="AB420" s="139"/>
    </row>
    <row r="422" spans="3:42" ht="14.25" customHeight="1" x14ac:dyDescent="0.6">
      <c r="H422" s="471" t="s">
        <v>909</v>
      </c>
      <c r="I422" s="472"/>
      <c r="J422" s="472"/>
      <c r="K422" s="472"/>
      <c r="L422" s="472"/>
      <c r="M422" s="472"/>
      <c r="N422" s="473" t="s">
        <v>910</v>
      </c>
      <c r="O422" s="474"/>
      <c r="P422" s="474"/>
      <c r="Q422" s="474"/>
      <c r="R422" s="475"/>
      <c r="S422" s="255" t="s">
        <v>911</v>
      </c>
      <c r="T422" s="255" t="s">
        <v>912</v>
      </c>
      <c r="U422" s="256"/>
      <c r="V422" s="256"/>
      <c r="W422" s="256"/>
      <c r="X422" s="256"/>
      <c r="Y422" s="256"/>
      <c r="Z422" s="256"/>
      <c r="AA422" s="256"/>
      <c r="AB422" s="257"/>
    </row>
    <row r="423" spans="3:42" ht="14.25" customHeight="1" x14ac:dyDescent="0.75">
      <c r="H423" s="467" t="s">
        <v>913</v>
      </c>
      <c r="I423" s="429"/>
      <c r="J423" s="429"/>
      <c r="K423" s="429"/>
      <c r="L423" s="429"/>
      <c r="M423" s="429"/>
      <c r="N423" s="468" t="s">
        <v>914</v>
      </c>
      <c r="O423" s="437"/>
      <c r="P423" s="437"/>
      <c r="Q423" s="437"/>
      <c r="R423" s="437"/>
      <c r="S423" s="259"/>
      <c r="T423" s="259"/>
      <c r="U423" s="260"/>
      <c r="V423" s="260"/>
      <c r="W423" s="260"/>
      <c r="X423" s="260"/>
      <c r="Y423" s="260"/>
      <c r="Z423" s="260"/>
      <c r="AA423" s="260"/>
      <c r="AB423" s="261"/>
    </row>
    <row r="424" spans="3:42" ht="14.25" customHeight="1" x14ac:dyDescent="0.75">
      <c r="H424" s="467" t="s">
        <v>878</v>
      </c>
      <c r="I424" s="429"/>
      <c r="J424" s="429"/>
      <c r="K424" s="429"/>
      <c r="L424" s="429"/>
      <c r="M424" s="429"/>
      <c r="N424" s="468" t="s">
        <v>915</v>
      </c>
      <c r="O424" s="437"/>
      <c r="P424" s="437"/>
      <c r="Q424" s="437"/>
      <c r="R424" s="437"/>
      <c r="S424" s="259"/>
      <c r="T424" s="259"/>
      <c r="U424" s="260"/>
      <c r="V424" s="260"/>
      <c r="W424" s="260"/>
      <c r="X424" s="260"/>
      <c r="Y424" s="260"/>
      <c r="Z424" s="260"/>
      <c r="AA424" s="260"/>
      <c r="AB424" s="261"/>
    </row>
    <row r="425" spans="3:42" ht="14.25" customHeight="1" x14ac:dyDescent="0.75">
      <c r="H425" s="467" t="s">
        <v>882</v>
      </c>
      <c r="I425" s="429"/>
      <c r="J425" s="429"/>
      <c r="K425" s="429"/>
      <c r="L425" s="429"/>
      <c r="M425" s="429"/>
      <c r="N425" s="468" t="s">
        <v>916</v>
      </c>
      <c r="O425" s="437"/>
      <c r="P425" s="437"/>
      <c r="Q425" s="437"/>
      <c r="R425" s="437"/>
      <c r="S425" s="259"/>
      <c r="T425" s="259"/>
      <c r="U425" s="260"/>
      <c r="V425" s="260"/>
      <c r="W425" s="260"/>
      <c r="X425" s="260"/>
      <c r="Y425" s="260"/>
      <c r="Z425" s="260"/>
      <c r="AA425" s="260"/>
      <c r="AB425" s="261"/>
    </row>
    <row r="426" spans="3:42" ht="14.25" customHeight="1" x14ac:dyDescent="0.75">
      <c r="H426" s="467" t="s">
        <v>917</v>
      </c>
      <c r="I426" s="429"/>
      <c r="J426" s="429"/>
      <c r="K426" s="429"/>
      <c r="L426" s="429"/>
      <c r="M426" s="429"/>
      <c r="N426" s="468" t="s">
        <v>916</v>
      </c>
      <c r="O426" s="437"/>
      <c r="P426" s="437"/>
      <c r="Q426" s="437"/>
      <c r="R426" s="437"/>
      <c r="S426" s="262"/>
      <c r="T426" s="262"/>
      <c r="U426"/>
      <c r="V426"/>
      <c r="W426"/>
      <c r="X426"/>
      <c r="Y426"/>
      <c r="Z426"/>
      <c r="AA426"/>
      <c r="AB426"/>
    </row>
    <row r="427" spans="3:42" ht="14.25" customHeight="1" x14ac:dyDescent="0.6">
      <c r="H427" s="467" t="s">
        <v>918</v>
      </c>
      <c r="I427" s="429"/>
      <c r="J427" s="429"/>
      <c r="K427" s="429"/>
      <c r="L427" s="429"/>
      <c r="M427" s="429"/>
      <c r="N427" s="476" t="s">
        <v>919</v>
      </c>
      <c r="O427" s="477"/>
      <c r="P427" s="477"/>
      <c r="Q427" s="477"/>
      <c r="R427" s="477"/>
      <c r="S427" s="263"/>
      <c r="T427" s="263"/>
      <c r="U427" s="256"/>
      <c r="V427" s="256"/>
      <c r="W427" s="256"/>
      <c r="X427" s="256"/>
      <c r="Y427" s="256"/>
      <c r="Z427" s="256"/>
      <c r="AA427" s="256"/>
      <c r="AB427" s="257"/>
    </row>
    <row r="428" spans="3:42" ht="14.25" customHeight="1" x14ac:dyDescent="0.6">
      <c r="H428" s="467" t="s">
        <v>920</v>
      </c>
      <c r="I428" s="429"/>
      <c r="J428" s="429"/>
      <c r="K428" s="429"/>
      <c r="L428" s="429"/>
      <c r="M428" s="429"/>
      <c r="N428" s="476" t="s">
        <v>919</v>
      </c>
      <c r="O428" s="477"/>
      <c r="P428" s="477"/>
      <c r="Q428" s="477"/>
      <c r="R428" s="477"/>
      <c r="S428" s="263"/>
      <c r="T428" s="263"/>
      <c r="U428" s="256"/>
      <c r="V428" s="256"/>
      <c r="W428" s="256"/>
      <c r="X428" s="256"/>
      <c r="Y428" s="256"/>
      <c r="Z428" s="256"/>
      <c r="AA428" s="256"/>
      <c r="AB428" s="257"/>
    </row>
    <row r="429" spans="3:42" ht="14.25" customHeight="1" x14ac:dyDescent="0.6">
      <c r="H429" s="478"/>
      <c r="I429" s="478"/>
      <c r="J429" s="478"/>
      <c r="K429" s="478"/>
      <c r="L429" s="478"/>
      <c r="M429" s="478"/>
      <c r="O429" s="256"/>
      <c r="P429" s="256"/>
      <c r="Q429" s="256"/>
      <c r="R429" s="256"/>
      <c r="S429" s="256"/>
      <c r="T429" s="256"/>
      <c r="U429" s="256"/>
      <c r="V429" s="256"/>
      <c r="W429" s="256"/>
      <c r="X429" s="256"/>
      <c r="Y429" s="256"/>
      <c r="Z429" s="256"/>
      <c r="AA429" s="256"/>
      <c r="AB429" s="257"/>
    </row>
    <row r="430" spans="3:42" ht="14.25" customHeight="1" x14ac:dyDescent="0.6">
      <c r="H430" s="471" t="s">
        <v>921</v>
      </c>
      <c r="I430" s="472"/>
      <c r="J430" s="472"/>
      <c r="K430" s="472"/>
      <c r="L430" s="472"/>
      <c r="M430" s="472"/>
      <c r="N430" s="473" t="s">
        <v>910</v>
      </c>
      <c r="O430" s="474"/>
      <c r="P430" s="474"/>
      <c r="Q430" s="474"/>
      <c r="R430" s="475"/>
      <c r="S430" s="255" t="s">
        <v>911</v>
      </c>
      <c r="T430" s="255" t="s">
        <v>912</v>
      </c>
      <c r="U430" s="256"/>
      <c r="V430" s="256"/>
      <c r="W430" s="256"/>
      <c r="X430" s="256"/>
      <c r="Y430" s="256"/>
      <c r="Z430" s="256"/>
      <c r="AA430" s="256"/>
      <c r="AB430" s="257"/>
    </row>
    <row r="431" spans="3:42" ht="14.25" customHeight="1" x14ac:dyDescent="0.75">
      <c r="H431" s="467" t="s">
        <v>878</v>
      </c>
      <c r="I431" s="429"/>
      <c r="J431" s="429"/>
      <c r="K431" s="429"/>
      <c r="L431" s="429"/>
      <c r="M431" s="430"/>
      <c r="N431" s="468" t="s">
        <v>915</v>
      </c>
      <c r="O431" s="437"/>
      <c r="P431" s="437"/>
      <c r="Q431" s="437"/>
      <c r="R431" s="437"/>
      <c r="S431" s="259"/>
      <c r="T431" s="259"/>
      <c r="U431" s="260"/>
      <c r="V431" s="260"/>
      <c r="W431" s="260"/>
      <c r="X431" s="260"/>
      <c r="Y431" s="260"/>
      <c r="Z431" s="260"/>
      <c r="AA431" s="260"/>
      <c r="AB431" s="261"/>
    </row>
    <row r="432" spans="3:42" ht="14.25" customHeight="1" x14ac:dyDescent="0.75">
      <c r="H432" s="467" t="s">
        <v>882</v>
      </c>
      <c r="I432" s="429"/>
      <c r="J432" s="429"/>
      <c r="K432" s="429"/>
      <c r="L432" s="429"/>
      <c r="M432" s="430"/>
      <c r="N432" s="258" t="s">
        <v>922</v>
      </c>
      <c r="Q432" s="264" t="s">
        <v>923</v>
      </c>
      <c r="R432" s="256"/>
      <c r="S432" s="263"/>
      <c r="T432" s="263"/>
      <c r="U432" s="256"/>
      <c r="V432" s="256"/>
      <c r="W432" s="256"/>
      <c r="X432" s="256"/>
      <c r="Y432" s="256"/>
      <c r="Z432" s="256"/>
      <c r="AA432" s="256"/>
      <c r="AB432" s="257"/>
    </row>
    <row r="433" spans="8:28" ht="14.25" customHeight="1" x14ac:dyDescent="0.75">
      <c r="H433" s="449" t="s">
        <v>924</v>
      </c>
      <c r="I433" s="450"/>
      <c r="J433" s="450"/>
      <c r="K433" s="450"/>
      <c r="L433" s="450"/>
      <c r="M433" s="451"/>
      <c r="N433" s="265"/>
      <c r="O433" s="266"/>
      <c r="P433" s="266"/>
      <c r="Q433" s="256"/>
      <c r="R433" s="257"/>
      <c r="S433" s="256"/>
      <c r="T433" s="263"/>
      <c r="U433" s="256"/>
      <c r="V433" s="256"/>
      <c r="W433" s="256"/>
      <c r="X433" s="256"/>
      <c r="Y433" s="256"/>
      <c r="Z433" s="256"/>
      <c r="AA433" s="256"/>
      <c r="AB433" s="257"/>
    </row>
    <row r="434" spans="8:28" ht="14.25" customHeight="1" x14ac:dyDescent="0.75">
      <c r="H434" s="467" t="s">
        <v>917</v>
      </c>
      <c r="I434" s="429"/>
      <c r="J434" s="429"/>
      <c r="K434" s="429"/>
      <c r="L434" s="429"/>
      <c r="M434" s="430"/>
      <c r="N434" s="468" t="s">
        <v>925</v>
      </c>
      <c r="O434" s="437"/>
      <c r="P434" s="437"/>
      <c r="Q434" s="437"/>
      <c r="R434" s="437"/>
      <c r="S434" s="259"/>
      <c r="T434" s="259"/>
      <c r="U434" s="260"/>
      <c r="V434" s="260"/>
      <c r="W434" s="260"/>
      <c r="X434" s="260"/>
      <c r="Y434" s="260"/>
      <c r="Z434" s="260"/>
      <c r="AA434" s="260"/>
      <c r="AB434" s="261"/>
    </row>
    <row r="435" spans="8:28" ht="14.25" customHeight="1" x14ac:dyDescent="0.6">
      <c r="H435" s="467" t="s">
        <v>918</v>
      </c>
      <c r="I435" s="429"/>
      <c r="J435" s="429"/>
      <c r="K435" s="429"/>
      <c r="L435" s="429"/>
      <c r="M435" s="430"/>
      <c r="N435" s="476" t="s">
        <v>919</v>
      </c>
      <c r="O435" s="477"/>
      <c r="P435" s="477"/>
      <c r="Q435" s="477"/>
      <c r="R435" s="477"/>
      <c r="S435" s="263"/>
      <c r="T435" s="263"/>
      <c r="U435" s="256"/>
      <c r="V435" s="256"/>
      <c r="W435" s="256"/>
      <c r="X435" s="256"/>
      <c r="Y435" s="256"/>
      <c r="Z435" s="256"/>
      <c r="AA435" s="256"/>
      <c r="AB435" s="257"/>
    </row>
    <row r="436" spans="8:28" ht="14.25" customHeight="1" x14ac:dyDescent="0.6">
      <c r="H436" s="467" t="s">
        <v>926</v>
      </c>
      <c r="I436" s="429"/>
      <c r="J436" s="429"/>
      <c r="K436" s="429"/>
      <c r="L436" s="429"/>
      <c r="M436" s="430"/>
      <c r="N436" s="476" t="s">
        <v>919</v>
      </c>
      <c r="O436" s="477"/>
      <c r="P436" s="477"/>
      <c r="Q436" s="477"/>
      <c r="R436" s="477"/>
      <c r="S436" s="263"/>
      <c r="T436" s="263"/>
      <c r="U436" s="256"/>
      <c r="V436" s="256"/>
      <c r="W436" s="256"/>
      <c r="X436" s="256"/>
      <c r="Y436" s="256"/>
      <c r="Z436" s="256"/>
      <c r="AA436" s="256"/>
      <c r="AB436" s="257"/>
    </row>
    <row r="437" spans="8:28" ht="14.25" customHeight="1" x14ac:dyDescent="0.6">
      <c r="H437" s="467" t="s">
        <v>920</v>
      </c>
      <c r="I437" s="429"/>
      <c r="J437" s="429"/>
      <c r="K437" s="429"/>
      <c r="L437" s="429"/>
      <c r="M437" s="430"/>
      <c r="N437" s="476" t="s">
        <v>919</v>
      </c>
      <c r="O437" s="477"/>
      <c r="P437" s="477"/>
      <c r="Q437" s="477"/>
      <c r="R437" s="477"/>
      <c r="S437" s="263"/>
      <c r="T437" s="263"/>
      <c r="U437" s="256"/>
      <c r="V437" s="256"/>
      <c r="W437" s="256"/>
      <c r="X437" s="256"/>
      <c r="Y437" s="256"/>
      <c r="Z437" s="256"/>
      <c r="AA437" s="256"/>
      <c r="AB437" s="257"/>
    </row>
    <row r="438" spans="8:28" ht="14.25" customHeight="1" x14ac:dyDescent="0.6">
      <c r="H438" s="132" t="s">
        <v>927</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6953125" defaultRowHeight="14.75" x14ac:dyDescent="0.7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7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7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7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7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7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7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7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7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7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7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7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7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7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7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7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7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7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7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7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7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25" x14ac:dyDescent="0.65"/>
  <cols>
    <col min="1" max="1" width="21.26953125" style="37" bestFit="1" customWidth="1"/>
    <col min="2" max="2" width="46.7265625" style="37" customWidth="1"/>
    <col min="3" max="16384" width="8.7265625" style="37"/>
  </cols>
  <sheetData>
    <row r="1" spans="1:33" ht="15" customHeight="1" thickBot="1" x14ac:dyDescent="0.8">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489</v>
      </c>
      <c r="D3" s="55" t="s">
        <v>609</v>
      </c>
      <c r="E3" s="55"/>
      <c r="F3" s="55"/>
      <c r="G3" s="55"/>
    </row>
    <row r="4" spans="1:33" ht="15" customHeight="1" x14ac:dyDescent="0.65">
      <c r="C4" s="55" t="s">
        <v>490</v>
      </c>
      <c r="D4" s="55" t="s">
        <v>608</v>
      </c>
      <c r="E4" s="55"/>
      <c r="F4" s="55"/>
      <c r="G4" s="55" t="s">
        <v>607</v>
      </c>
    </row>
    <row r="5" spans="1:33" ht="15" customHeight="1" x14ac:dyDescent="0.65">
      <c r="C5" s="55" t="s">
        <v>491</v>
      </c>
      <c r="D5" s="55" t="s">
        <v>606</v>
      </c>
      <c r="E5" s="55"/>
      <c r="F5" s="55"/>
      <c r="G5" s="55"/>
    </row>
    <row r="6" spans="1:33" ht="15" customHeight="1" x14ac:dyDescent="0.65">
      <c r="C6" s="55" t="s">
        <v>492</v>
      </c>
      <c r="D6" s="55"/>
      <c r="E6" s="55" t="s">
        <v>605</v>
      </c>
      <c r="F6" s="55"/>
      <c r="G6" s="55"/>
    </row>
    <row r="10" spans="1:33" ht="15" customHeight="1" x14ac:dyDescent="0.8">
      <c r="A10" s="43" t="s">
        <v>313</v>
      </c>
      <c r="B10" s="54" t="s">
        <v>43</v>
      </c>
      <c r="AG10" s="51" t="s">
        <v>604</v>
      </c>
    </row>
    <row r="11" spans="1:33" ht="15" customHeight="1" x14ac:dyDescent="0.65">
      <c r="B11" s="53" t="s">
        <v>44</v>
      </c>
      <c r="AG11" s="51" t="s">
        <v>603</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8">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65"/>
    <row r="15" spans="1:33" ht="15" customHeight="1" x14ac:dyDescent="0.7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7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7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7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7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7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7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7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7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65">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7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7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7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7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75" x14ac:dyDescent="0.7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65">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75" x14ac:dyDescent="0.75">
      <c r="B33"/>
      <c r="C33"/>
      <c r="D33"/>
      <c r="E33"/>
      <c r="F33"/>
      <c r="G33"/>
      <c r="H33"/>
      <c r="I33"/>
      <c r="J33"/>
      <c r="K33"/>
      <c r="L33"/>
      <c r="M33"/>
      <c r="N33"/>
      <c r="O33"/>
      <c r="P33"/>
      <c r="Q33"/>
      <c r="R33"/>
      <c r="S33"/>
      <c r="T33"/>
      <c r="U33"/>
      <c r="V33"/>
      <c r="W33"/>
      <c r="X33"/>
      <c r="Y33"/>
      <c r="Z33"/>
      <c r="AA33"/>
      <c r="AB33"/>
      <c r="AC33"/>
      <c r="AD33"/>
      <c r="AE33"/>
      <c r="AF33"/>
      <c r="AG33"/>
    </row>
    <row r="34" spans="1:33" ht="14.75" x14ac:dyDescent="0.75">
      <c r="B34" s="46" t="s">
        <v>59</v>
      </c>
      <c r="C34"/>
      <c r="D34"/>
      <c r="E34"/>
      <c r="F34"/>
      <c r="G34"/>
      <c r="H34"/>
      <c r="I34"/>
      <c r="J34"/>
      <c r="K34"/>
      <c r="L34"/>
      <c r="M34"/>
      <c r="N34"/>
      <c r="O34"/>
      <c r="P34"/>
      <c r="Q34"/>
      <c r="R34"/>
      <c r="S34"/>
      <c r="T34"/>
      <c r="U34"/>
      <c r="V34"/>
      <c r="W34"/>
      <c r="X34"/>
      <c r="Y34"/>
      <c r="Z34"/>
      <c r="AA34"/>
      <c r="AB34"/>
      <c r="AC34"/>
      <c r="AD34"/>
      <c r="AE34"/>
      <c r="AF34"/>
      <c r="AG34"/>
    </row>
    <row r="35" spans="1:33" ht="14.75" x14ac:dyDescent="0.7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75" x14ac:dyDescent="0.7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75" x14ac:dyDescent="0.7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65">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75" x14ac:dyDescent="0.75">
      <c r="B39"/>
      <c r="C39"/>
      <c r="D39"/>
      <c r="E39"/>
      <c r="F39"/>
      <c r="G39"/>
      <c r="H39"/>
      <c r="I39"/>
      <c r="J39"/>
      <c r="K39"/>
      <c r="L39"/>
      <c r="M39"/>
      <c r="N39"/>
      <c r="O39"/>
      <c r="P39"/>
      <c r="Q39"/>
      <c r="R39"/>
      <c r="S39"/>
      <c r="T39"/>
      <c r="U39"/>
      <c r="V39"/>
      <c r="W39"/>
      <c r="X39"/>
      <c r="Y39"/>
      <c r="Z39"/>
      <c r="AA39"/>
      <c r="AB39"/>
      <c r="AC39"/>
      <c r="AD39"/>
      <c r="AE39"/>
      <c r="AF39"/>
      <c r="AG39"/>
    </row>
    <row r="40" spans="1:33" x14ac:dyDescent="0.65">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75" x14ac:dyDescent="0.75">
      <c r="B41"/>
      <c r="C41"/>
      <c r="D41"/>
      <c r="E41"/>
      <c r="F41"/>
      <c r="G41"/>
      <c r="H41"/>
      <c r="I41"/>
      <c r="J41"/>
      <c r="K41"/>
      <c r="L41"/>
      <c r="M41"/>
      <c r="N41"/>
      <c r="O41"/>
      <c r="P41"/>
      <c r="Q41"/>
      <c r="R41"/>
      <c r="S41"/>
      <c r="T41"/>
      <c r="U41"/>
      <c r="V41"/>
      <c r="W41"/>
      <c r="X41"/>
      <c r="Y41"/>
      <c r="Z41"/>
      <c r="AA41"/>
      <c r="AB41"/>
      <c r="AC41"/>
      <c r="AD41"/>
      <c r="AE41"/>
      <c r="AF41"/>
      <c r="AG41"/>
    </row>
    <row r="42" spans="1:33" ht="14.75" x14ac:dyDescent="0.75">
      <c r="B42" s="46" t="s">
        <v>61</v>
      </c>
      <c r="C42"/>
      <c r="D42"/>
      <c r="E42"/>
      <c r="F42"/>
      <c r="G42"/>
      <c r="H42"/>
      <c r="I42"/>
      <c r="J42"/>
      <c r="K42"/>
      <c r="L42"/>
      <c r="M42"/>
      <c r="N42"/>
      <c r="O42"/>
      <c r="P42"/>
      <c r="Q42"/>
      <c r="R42"/>
      <c r="S42"/>
      <c r="T42"/>
      <c r="U42"/>
      <c r="V42"/>
      <c r="W42"/>
      <c r="X42"/>
      <c r="Y42"/>
      <c r="Z42"/>
      <c r="AA42"/>
      <c r="AB42"/>
      <c r="AC42"/>
      <c r="AD42"/>
      <c r="AE42"/>
      <c r="AF42"/>
      <c r="AG42"/>
    </row>
    <row r="43" spans="1:33" ht="14.75" x14ac:dyDescent="0.7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75" x14ac:dyDescent="0.7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75" x14ac:dyDescent="0.7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75" x14ac:dyDescent="0.7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75" x14ac:dyDescent="0.7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75" x14ac:dyDescent="0.7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75" x14ac:dyDescent="0.7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7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65">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7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7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7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7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7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7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7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75" x14ac:dyDescent="0.7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7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7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7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7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8"/>
    <row r="72" spans="1:33" ht="15" customHeight="1" x14ac:dyDescent="0.65">
      <c r="B72" s="39" t="s">
        <v>545</v>
      </c>
    </row>
    <row r="73" spans="1:33" x14ac:dyDescent="0.65">
      <c r="B73" s="38" t="s">
        <v>527</v>
      </c>
    </row>
    <row r="74" spans="1:33" ht="15" customHeight="1" x14ac:dyDescent="0.65">
      <c r="B74" s="38" t="s">
        <v>68</v>
      </c>
    </row>
    <row r="75" spans="1:33" ht="15" customHeight="1" x14ac:dyDescent="0.65">
      <c r="B75" s="38" t="s">
        <v>597</v>
      </c>
    </row>
    <row r="76" spans="1:33" ht="15" customHeight="1" x14ac:dyDescent="0.65">
      <c r="B76" s="38" t="s">
        <v>69</v>
      </c>
    </row>
    <row r="77" spans="1:33" ht="15" customHeight="1" x14ac:dyDescent="0.65">
      <c r="B77" s="38" t="s">
        <v>529</v>
      </c>
    </row>
    <row r="78" spans="1:33" ht="15" customHeight="1" x14ac:dyDescent="0.65">
      <c r="B78" s="38" t="s">
        <v>596</v>
      </c>
    </row>
    <row r="79" spans="1:33" x14ac:dyDescent="0.65">
      <c r="B79" s="38" t="s">
        <v>71</v>
      </c>
    </row>
    <row r="80" spans="1:33" ht="15" customHeight="1" x14ac:dyDescent="0.65">
      <c r="B80" s="38" t="s">
        <v>530</v>
      </c>
    </row>
    <row r="81" spans="2:2" x14ac:dyDescent="0.65">
      <c r="B81" s="38" t="s">
        <v>531</v>
      </c>
    </row>
    <row r="82" spans="2:2" ht="15" customHeight="1" x14ac:dyDescent="0.65">
      <c r="B82" s="38" t="s">
        <v>532</v>
      </c>
    </row>
    <row r="83" spans="2:2" ht="15" customHeight="1" x14ac:dyDescent="0.65">
      <c r="B83" s="38" t="s">
        <v>533</v>
      </c>
    </row>
    <row r="84" spans="2:2" ht="15" customHeight="1" x14ac:dyDescent="0.65">
      <c r="B84" s="38" t="s">
        <v>534</v>
      </c>
    </row>
    <row r="85" spans="2:2" ht="15" customHeight="1" x14ac:dyDescent="0.65">
      <c r="B85" s="38" t="s">
        <v>535</v>
      </c>
    </row>
    <row r="86" spans="2:2" ht="15" customHeight="1" x14ac:dyDescent="0.65">
      <c r="B86" s="38" t="s">
        <v>192</v>
      </c>
    </row>
    <row r="87" spans="2:2" ht="15" customHeight="1" x14ac:dyDescent="0.65">
      <c r="B87" s="38" t="s">
        <v>72</v>
      </c>
    </row>
    <row r="88" spans="2:2" ht="15" customHeight="1" x14ac:dyDescent="0.65">
      <c r="B88" s="38" t="s">
        <v>536</v>
      </c>
    </row>
    <row r="89" spans="2:2" ht="15" customHeight="1" x14ac:dyDescent="0.65">
      <c r="B89" s="38" t="s">
        <v>595</v>
      </c>
    </row>
    <row r="90" spans="2:2" ht="15" customHeight="1" x14ac:dyDescent="0.65">
      <c r="B90" s="38" t="s">
        <v>73</v>
      </c>
    </row>
    <row r="91" spans="2:2" ht="15" customHeight="1" x14ac:dyDescent="0.65">
      <c r="B91" s="38" t="s">
        <v>538</v>
      </c>
    </row>
    <row r="92" spans="2:2" x14ac:dyDescent="0.65">
      <c r="B92" s="38" t="s">
        <v>539</v>
      </c>
    </row>
    <row r="93" spans="2:2" ht="15" customHeight="1" x14ac:dyDescent="0.65">
      <c r="B93" s="38" t="s">
        <v>74</v>
      </c>
    </row>
    <row r="94" spans="2:2" ht="15" customHeight="1" x14ac:dyDescent="0.65">
      <c r="B94" s="38" t="s">
        <v>540</v>
      </c>
    </row>
    <row r="95" spans="2:2" ht="15" customHeight="1" x14ac:dyDescent="0.65">
      <c r="B95" s="38" t="s">
        <v>541</v>
      </c>
    </row>
    <row r="96" spans="2:2" ht="15" customHeight="1" x14ac:dyDescent="0.65">
      <c r="B96" s="38" t="s">
        <v>542</v>
      </c>
    </row>
    <row r="97" spans="2:33" ht="15" customHeight="1" x14ac:dyDescent="0.65">
      <c r="B97" s="38" t="s">
        <v>543</v>
      </c>
    </row>
    <row r="98" spans="2:33" ht="15" customHeight="1" x14ac:dyDescent="0.65">
      <c r="B98" s="38" t="s">
        <v>544</v>
      </c>
    </row>
    <row r="99" spans="2:33" ht="15" customHeight="1" x14ac:dyDescent="0.65">
      <c r="B99" s="38" t="s">
        <v>594</v>
      </c>
    </row>
    <row r="100" spans="2:33" ht="15" customHeight="1" x14ac:dyDescent="0.65">
      <c r="B100" s="38" t="s">
        <v>593</v>
      </c>
    </row>
    <row r="103" spans="2:33" ht="15" customHeight="1" x14ac:dyDescent="0.65"/>
    <row r="104" spans="2:33" ht="15" customHeight="1" x14ac:dyDescent="0.65"/>
    <row r="105" spans="2:33" ht="15" customHeight="1" x14ac:dyDescent="0.65"/>
    <row r="106" spans="2:33" ht="15" customHeight="1" x14ac:dyDescent="0.65"/>
    <row r="107" spans="2:33" ht="15" customHeight="1" x14ac:dyDescent="0.65"/>
    <row r="108" spans="2:33" ht="15" customHeight="1" x14ac:dyDescent="0.65"/>
    <row r="109" spans="2:33" ht="15" customHeight="1" x14ac:dyDescent="0.65"/>
    <row r="110" spans="2:33" ht="15" customHeight="1" x14ac:dyDescent="0.65"/>
    <row r="111" spans="2:33" ht="15" customHeight="1" x14ac:dyDescent="0.65"/>
    <row r="112" spans="2:33" ht="15" customHeight="1" x14ac:dyDescent="0.65">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10" spans="2:33" ht="15" customHeight="1" x14ac:dyDescent="0.65"/>
    <row r="511" spans="2:33" ht="15" customHeight="1" x14ac:dyDescent="0.65">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7"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6" ht="15" customHeight="1" x14ac:dyDescent="0.65"/>
    <row r="627" ht="15" customHeight="1" x14ac:dyDescent="0.65"/>
    <row r="628" ht="15" customHeight="1" x14ac:dyDescent="0.65"/>
    <row r="629" ht="15" customHeight="1" x14ac:dyDescent="0.65"/>
    <row r="630"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9"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60"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2" ht="15" customHeight="1" x14ac:dyDescent="0.65"/>
    <row r="783" ht="15" customHeight="1" x14ac:dyDescent="0.65"/>
    <row r="784" ht="15" customHeight="1" x14ac:dyDescent="0.65"/>
    <row r="785" ht="15" customHeight="1" x14ac:dyDescent="0.65"/>
    <row r="787" ht="15" customHeight="1" x14ac:dyDescent="0.65"/>
    <row r="788" ht="15" customHeight="1" x14ac:dyDescent="0.65"/>
    <row r="789" ht="15" customHeight="1" x14ac:dyDescent="0.65"/>
    <row r="790"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6" ht="15" customHeight="1" x14ac:dyDescent="0.65"/>
    <row r="817" ht="15" customHeight="1" x14ac:dyDescent="0.65"/>
    <row r="818" ht="15" customHeight="1" x14ac:dyDescent="0.65"/>
    <row r="819" ht="15" customHeight="1" x14ac:dyDescent="0.65"/>
    <row r="820" ht="15" customHeight="1" x14ac:dyDescent="0.65"/>
    <row r="822" ht="15" customHeight="1" x14ac:dyDescent="0.65"/>
    <row r="823"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40"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7" ht="15" customHeight="1" x14ac:dyDescent="0.65"/>
    <row r="858" ht="15" customHeight="1" x14ac:dyDescent="0.65"/>
    <row r="859" ht="15" customHeight="1" x14ac:dyDescent="0.65"/>
    <row r="860" ht="15" customHeight="1" x14ac:dyDescent="0.65"/>
    <row r="861"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7"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50"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9"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500" spans="2:33" ht="15" customHeight="1" x14ac:dyDescent="0.65"/>
    <row r="1501" spans="2:33" ht="15" customHeight="1" x14ac:dyDescent="0.65"/>
    <row r="1502" spans="2:33" ht="15" customHeight="1" x14ac:dyDescent="0.65">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2" ht="15" customHeight="1" x14ac:dyDescent="0.65"/>
    <row r="1583" ht="15" customHeight="1" x14ac:dyDescent="0.65"/>
    <row r="1584" ht="15" customHeight="1" x14ac:dyDescent="0.65"/>
    <row r="1585" ht="15" customHeight="1" x14ac:dyDescent="0.65"/>
    <row r="1587" ht="15" customHeight="1" x14ac:dyDescent="0.65"/>
    <row r="1588" ht="15" customHeight="1" x14ac:dyDescent="0.65"/>
    <row r="1589" ht="15" customHeight="1" x14ac:dyDescent="0.65"/>
    <row r="1590" ht="15" customHeight="1" x14ac:dyDescent="0.65"/>
    <row r="1592" ht="15" customHeight="1" x14ac:dyDescent="0.65"/>
    <row r="1594" ht="15" customHeight="1" x14ac:dyDescent="0.65"/>
    <row r="1595" ht="15" customHeight="1" x14ac:dyDescent="0.65"/>
    <row r="1596" ht="15" customHeight="1" x14ac:dyDescent="0.65"/>
    <row r="1597"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5"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6"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7" spans="2:33" ht="15" customHeight="1" x14ac:dyDescent="0.65"/>
    <row r="1698" spans="2:33" ht="15" customHeight="1" x14ac:dyDescent="0.65">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1" ht="15" customHeight="1" x14ac:dyDescent="0.65"/>
    <row r="1863" ht="15" customHeight="1" x14ac:dyDescent="0.65"/>
    <row r="1864" ht="15" customHeight="1" x14ac:dyDescent="0.65"/>
    <row r="1865" ht="15" customHeight="1" x14ac:dyDescent="0.65"/>
    <row r="1867" ht="15" customHeight="1" x14ac:dyDescent="0.65"/>
    <row r="1868" ht="15" customHeight="1" x14ac:dyDescent="0.65"/>
    <row r="1869" ht="15" customHeight="1" x14ac:dyDescent="0.65"/>
    <row r="1870"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8" ht="15" customHeight="1" x14ac:dyDescent="0.65"/>
    <row r="1889" ht="15" customHeight="1" x14ac:dyDescent="0.65"/>
    <row r="1890" ht="15" customHeight="1" x14ac:dyDescent="0.65"/>
    <row r="1891"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5" ht="15" customHeight="1" x14ac:dyDescent="0.65"/>
    <row r="1916" ht="15" customHeight="1" x14ac:dyDescent="0.65"/>
    <row r="1917" ht="15" customHeight="1" x14ac:dyDescent="0.65"/>
    <row r="1919" ht="15" customHeight="1" x14ac:dyDescent="0.65"/>
    <row r="1920" ht="15" customHeight="1" x14ac:dyDescent="0.65"/>
    <row r="1921" ht="15" customHeight="1" x14ac:dyDescent="0.65"/>
    <row r="1922"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3" ht="15" customHeight="1" x14ac:dyDescent="0.65"/>
    <row r="1934" ht="15" customHeight="1" x14ac:dyDescent="0.65"/>
    <row r="1935"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4" ht="15" customHeight="1" x14ac:dyDescent="0.65"/>
    <row r="1985" ht="15" customHeight="1" x14ac:dyDescent="0.65"/>
    <row r="1986" ht="15" customHeight="1" x14ac:dyDescent="0.65"/>
    <row r="1988"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4" ht="15" customHeight="1" x14ac:dyDescent="0.65"/>
    <row r="2006" ht="15" customHeight="1" x14ac:dyDescent="0.65"/>
    <row r="2008" ht="15" customHeight="1" x14ac:dyDescent="0.65"/>
    <row r="2009"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7" ht="15" customHeight="1" x14ac:dyDescent="0.65"/>
    <row r="2108"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1" ht="15" customHeight="1" x14ac:dyDescent="0.65"/>
    <row r="2133" ht="15" customHeight="1" x14ac:dyDescent="0.65"/>
    <row r="2134"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8" spans="2:33" ht="15" customHeight="1" x14ac:dyDescent="0.65"/>
    <row r="2151" spans="2:33" ht="15" customHeight="1" x14ac:dyDescent="0.65"/>
    <row r="2152" spans="2:33" ht="15" customHeight="1" x14ac:dyDescent="0.65"/>
    <row r="2153" spans="2:33" ht="15" customHeight="1" x14ac:dyDescent="0.65">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60" ht="15" customHeight="1" x14ac:dyDescent="0.65"/>
    <row r="2261" ht="15" customHeight="1" x14ac:dyDescent="0.65"/>
    <row r="2262" ht="15" customHeight="1" x14ac:dyDescent="0.65"/>
    <row r="2264" ht="15" customHeight="1" x14ac:dyDescent="0.65"/>
    <row r="2266" ht="15" customHeight="1" x14ac:dyDescent="0.65"/>
    <row r="2267" ht="15" customHeight="1" x14ac:dyDescent="0.65"/>
    <row r="2268" ht="15" customHeight="1" x14ac:dyDescent="0.65"/>
    <row r="2269" ht="15" customHeight="1" x14ac:dyDescent="0.65"/>
    <row r="2271"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2" ht="15" customHeight="1" x14ac:dyDescent="0.65"/>
    <row r="2284" ht="15" customHeight="1" x14ac:dyDescent="0.65"/>
    <row r="2285" ht="15" customHeight="1" x14ac:dyDescent="0.65"/>
    <row r="2286"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301" ht="15" customHeight="1" x14ac:dyDescent="0.65"/>
    <row r="2302" ht="15" customHeight="1" x14ac:dyDescent="0.65"/>
    <row r="2303"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7" ht="15" customHeight="1" x14ac:dyDescent="0.65"/>
    <row r="2459"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6"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5" ht="15" customHeight="1" x14ac:dyDescent="0.65"/>
    <row r="2496"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8" ht="15" customHeight="1" x14ac:dyDescent="0.65"/>
    <row r="2789" ht="15" customHeight="1" x14ac:dyDescent="0.65"/>
    <row r="2790" ht="15" customHeight="1" x14ac:dyDescent="0.65"/>
    <row r="2791"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4" ht="15" customHeight="1" x14ac:dyDescent="0.65"/>
    <row r="2805" ht="15" customHeight="1" x14ac:dyDescent="0.65"/>
    <row r="2806" ht="15" customHeight="1" x14ac:dyDescent="0.65"/>
    <row r="2807"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5" ht="15" customHeight="1" x14ac:dyDescent="0.65"/>
    <row r="2826" ht="15" customHeight="1" x14ac:dyDescent="0.65"/>
    <row r="2827" ht="15" customHeight="1" x14ac:dyDescent="0.65"/>
    <row r="2828"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row r="2838" spans="2:33" ht="15" customHeight="1" x14ac:dyDescent="0.65"/>
    <row r="2839" spans="2:33" ht="15" customHeight="1" x14ac:dyDescent="0.65"/>
    <row r="2840" spans="2:33" ht="15" customHeight="1" x14ac:dyDescent="0.65"/>
    <row r="2841" spans="2:33" ht="15" customHeight="1" x14ac:dyDescent="0.65"/>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65"/>
  <cols>
    <col min="1" max="1" width="21.26953125" style="37" bestFit="1" customWidth="1"/>
    <col min="2" max="2" width="46.7265625" style="37" customWidth="1"/>
    <col min="3" max="16384" width="8.7265625" style="37"/>
  </cols>
  <sheetData>
    <row r="1" spans="1:33" ht="15" customHeight="1" thickBot="1" x14ac:dyDescent="0.8">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489</v>
      </c>
      <c r="D3" s="73" t="s">
        <v>624</v>
      </c>
      <c r="E3" s="55"/>
      <c r="F3" s="55"/>
      <c r="G3" s="55"/>
    </row>
    <row r="4" spans="1:33" ht="15" customHeight="1" x14ac:dyDescent="0.7">
      <c r="C4" s="73" t="s">
        <v>490</v>
      </c>
      <c r="D4" s="73" t="s">
        <v>625</v>
      </c>
      <c r="E4" s="55"/>
      <c r="F4" s="55"/>
      <c r="G4" s="73" t="s">
        <v>607</v>
      </c>
    </row>
    <row r="5" spans="1:33" ht="15" customHeight="1" x14ac:dyDescent="0.7">
      <c r="C5" s="73" t="s">
        <v>491</v>
      </c>
      <c r="D5" s="73" t="s">
        <v>626</v>
      </c>
      <c r="E5" s="55"/>
      <c r="F5" s="55"/>
      <c r="G5" s="55"/>
    </row>
    <row r="6" spans="1:33" ht="15" customHeight="1" x14ac:dyDescent="0.7">
      <c r="C6" s="73" t="s">
        <v>492</v>
      </c>
      <c r="D6" s="55"/>
      <c r="E6" s="73" t="s">
        <v>627</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65">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8">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65">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65">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65">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65">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65">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65">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65">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65">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65">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65">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65">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65">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65">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25" x14ac:dyDescent="0.65">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25" x14ac:dyDescent="0.65">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25" x14ac:dyDescent="0.65">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25" x14ac:dyDescent="0.65">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25" x14ac:dyDescent="0.65">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25" x14ac:dyDescent="0.65">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25" x14ac:dyDescent="0.65">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25" x14ac:dyDescent="0.65">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25" x14ac:dyDescent="0.65">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25" x14ac:dyDescent="0.65">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25" x14ac:dyDescent="0.65">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25" x14ac:dyDescent="0.65">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25" x14ac:dyDescent="0.65">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25" x14ac:dyDescent="0.65">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25" x14ac:dyDescent="0.65">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25" x14ac:dyDescent="0.65">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25" x14ac:dyDescent="0.65">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25" x14ac:dyDescent="0.65">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65">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65">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65" t="s">
        <v>629</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65">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65">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65">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65">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65">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65">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65">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65">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25" x14ac:dyDescent="0.65">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65">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65">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65">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65">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65">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25" x14ac:dyDescent="0.65">
      <c r="B73" s="38" t="s">
        <v>630</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65">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65">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65">
      <c r="B76" s="38" t="s">
        <v>631</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65">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65">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25" x14ac:dyDescent="0.65">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65">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25" x14ac:dyDescent="0.65">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65">
      <c r="B82" s="38" t="s">
        <v>632</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65">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65">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65">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65">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65">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65">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65">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65">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65">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25" x14ac:dyDescent="0.65">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65">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65">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65">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65">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633</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634</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89E87-5B83-4886-AEC1-642E9A1B0BFD}">
  <dimension ref="A1:AH54"/>
  <sheetViews>
    <sheetView zoomScale="90" zoomScaleNormal="90" workbookViewId="0">
      <selection activeCell="A7" sqref="A7:XFD9"/>
    </sheetView>
  </sheetViews>
  <sheetFormatPr defaultRowHeight="14.75" x14ac:dyDescent="0.75"/>
  <cols>
    <col min="1" max="1" width="18.7265625" customWidth="1"/>
    <col min="2" max="2" width="54.81640625" customWidth="1"/>
  </cols>
  <sheetData>
    <row r="1" spans="1:33" x14ac:dyDescent="0.75">
      <c r="A1" t="s">
        <v>1423</v>
      </c>
    </row>
    <row r="2" spans="1:33" x14ac:dyDescent="0.75">
      <c r="A2" t="s">
        <v>1422</v>
      </c>
    </row>
    <row r="3" spans="1:33" x14ac:dyDescent="0.75">
      <c r="A3" t="s">
        <v>1421</v>
      </c>
    </row>
    <row r="4" spans="1:33" x14ac:dyDescent="0.75">
      <c r="A4" t="s">
        <v>997</v>
      </c>
    </row>
    <row r="5" spans="1:33" x14ac:dyDescent="0.75">
      <c r="B5" t="s">
        <v>998</v>
      </c>
      <c r="C5" t="s">
        <v>999</v>
      </c>
      <c r="D5" t="s">
        <v>1000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1001</v>
      </c>
    </row>
    <row r="6" spans="1:33" x14ac:dyDescent="0.75">
      <c r="A6" t="s">
        <v>46</v>
      </c>
    </row>
    <row r="7" spans="1:33" s="347" customFormat="1" x14ac:dyDescent="0.75">
      <c r="A7" s="347" t="s">
        <v>1420</v>
      </c>
      <c r="B7" s="347" t="s">
        <v>1419</v>
      </c>
      <c r="C7" s="347" t="s">
        <v>1418</v>
      </c>
      <c r="D7" s="347" t="s">
        <v>1355</v>
      </c>
      <c r="F7" s="347">
        <v>27.464071000000001</v>
      </c>
      <c r="G7" s="347">
        <v>28.262267999999999</v>
      </c>
      <c r="H7" s="347">
        <v>28.541277000000001</v>
      </c>
      <c r="I7" s="347">
        <v>28.920041999999999</v>
      </c>
      <c r="J7" s="347">
        <v>28.912859000000001</v>
      </c>
      <c r="K7" s="347">
        <v>28.885859</v>
      </c>
      <c r="L7" s="347">
        <v>28.679307999999999</v>
      </c>
      <c r="M7" s="347">
        <v>28.304096000000001</v>
      </c>
      <c r="N7" s="347">
        <v>27.836265999999998</v>
      </c>
      <c r="O7" s="347">
        <v>27.619070000000001</v>
      </c>
      <c r="P7" s="347">
        <v>27.394928</v>
      </c>
      <c r="Q7" s="347">
        <v>26.821155999999998</v>
      </c>
      <c r="R7" s="347">
        <v>26.303025999999999</v>
      </c>
      <c r="S7" s="347">
        <v>25.84412</v>
      </c>
      <c r="T7" s="347">
        <v>25.384385999999999</v>
      </c>
      <c r="U7" s="347">
        <v>25.005167</v>
      </c>
      <c r="V7" s="347">
        <v>24.713476</v>
      </c>
      <c r="W7" s="347">
        <v>24.388079000000001</v>
      </c>
      <c r="X7" s="347">
        <v>24.236376</v>
      </c>
      <c r="Y7" s="347">
        <v>23.936176</v>
      </c>
      <c r="Z7" s="347">
        <v>23.837074000000001</v>
      </c>
      <c r="AA7" s="347">
        <v>23.875831999999999</v>
      </c>
      <c r="AB7" s="347">
        <v>23.736609000000001</v>
      </c>
      <c r="AC7" s="347">
        <v>23.543897999999999</v>
      </c>
      <c r="AD7" s="347">
        <v>23.332934999999999</v>
      </c>
      <c r="AE7" s="347">
        <v>23.274857999999998</v>
      </c>
      <c r="AF7" s="347">
        <v>23.169499999999999</v>
      </c>
      <c r="AG7" s="348">
        <v>-7.0000000000000001E-3</v>
      </c>
    </row>
    <row r="8" spans="1:33" s="347" customFormat="1" x14ac:dyDescent="0.75">
      <c r="A8" s="347" t="s">
        <v>1046</v>
      </c>
      <c r="B8" s="347" t="s">
        <v>1417</v>
      </c>
      <c r="C8" s="347" t="s">
        <v>1416</v>
      </c>
      <c r="D8" s="347" t="s">
        <v>1355</v>
      </c>
      <c r="F8" s="347">
        <v>8.9447690000000009</v>
      </c>
      <c r="G8" s="347">
        <v>9.0518099999999997</v>
      </c>
      <c r="H8" s="347">
        <v>9.6017100000000006</v>
      </c>
      <c r="I8" s="347">
        <v>9.8761779999999995</v>
      </c>
      <c r="J8" s="347">
        <v>9.8714150000000007</v>
      </c>
      <c r="K8" s="347">
        <v>9.9262230000000002</v>
      </c>
      <c r="L8" s="347">
        <v>10.00989</v>
      </c>
      <c r="M8" s="347">
        <v>9.8951499999999992</v>
      </c>
      <c r="N8" s="347">
        <v>9.9907350000000008</v>
      </c>
      <c r="O8" s="347">
        <v>10.111236999999999</v>
      </c>
      <c r="P8" s="347">
        <v>10.230657000000001</v>
      </c>
      <c r="Q8" s="347">
        <v>10.516375</v>
      </c>
      <c r="R8" s="347">
        <v>10.493036999999999</v>
      </c>
      <c r="S8" s="347">
        <v>10.495532000000001</v>
      </c>
      <c r="T8" s="347">
        <v>10.641144000000001</v>
      </c>
      <c r="U8" s="347">
        <v>10.687873</v>
      </c>
      <c r="V8" s="347">
        <v>10.727968000000001</v>
      </c>
      <c r="W8" s="347">
        <v>10.720901</v>
      </c>
      <c r="X8" s="347">
        <v>10.776078999999999</v>
      </c>
      <c r="Y8" s="347">
        <v>10.805953000000001</v>
      </c>
      <c r="Z8" s="347">
        <v>10.850080999999999</v>
      </c>
      <c r="AA8" s="347">
        <v>10.89747</v>
      </c>
      <c r="AB8" s="347">
        <v>10.976542</v>
      </c>
      <c r="AC8" s="347">
        <v>11.038014</v>
      </c>
      <c r="AD8" s="347">
        <v>11.041052000000001</v>
      </c>
      <c r="AE8" s="347">
        <v>11.063836</v>
      </c>
      <c r="AF8" s="347">
        <v>11.13463</v>
      </c>
      <c r="AG8" s="348">
        <v>8.0000000000000002E-3</v>
      </c>
    </row>
    <row r="9" spans="1:33" s="347" customFormat="1" x14ac:dyDescent="0.75">
      <c r="A9" s="347" t="s">
        <v>1415</v>
      </c>
      <c r="B9" s="347" t="s">
        <v>1414</v>
      </c>
      <c r="C9" s="347" t="s">
        <v>1413</v>
      </c>
      <c r="D9" s="347" t="s">
        <v>1355</v>
      </c>
      <c r="F9" s="347">
        <v>39.777957999999998</v>
      </c>
      <c r="G9" s="347">
        <v>39.964314000000002</v>
      </c>
      <c r="H9" s="347">
        <v>40.376175000000003</v>
      </c>
      <c r="I9" s="347">
        <v>40.612423</v>
      </c>
      <c r="J9" s="347">
        <v>41.816150999999998</v>
      </c>
      <c r="K9" s="347">
        <v>42.651702999999998</v>
      </c>
      <c r="L9" s="347">
        <v>43.563282000000001</v>
      </c>
      <c r="M9" s="347">
        <v>43.656241999999999</v>
      </c>
      <c r="N9" s="347">
        <v>45.521186999999998</v>
      </c>
      <c r="O9" s="347">
        <v>45.501274000000002</v>
      </c>
      <c r="P9" s="347">
        <v>45.491351999999999</v>
      </c>
      <c r="Q9" s="347">
        <v>45.081741000000001</v>
      </c>
      <c r="R9" s="347">
        <v>44.722285999999997</v>
      </c>
      <c r="S9" s="347">
        <v>44.078887999999999</v>
      </c>
      <c r="T9" s="347">
        <v>43.848736000000002</v>
      </c>
      <c r="U9" s="347">
        <v>43.464911999999998</v>
      </c>
      <c r="V9" s="347">
        <v>43.734524</v>
      </c>
      <c r="W9" s="347">
        <v>44.301231000000001</v>
      </c>
      <c r="X9" s="347">
        <v>44.546782999999998</v>
      </c>
      <c r="Y9" s="347">
        <v>44.735222</v>
      </c>
      <c r="Z9" s="347">
        <v>44.901122999999998</v>
      </c>
      <c r="AA9" s="347">
        <v>45.162959999999998</v>
      </c>
      <c r="AB9" s="347">
        <v>45.552684999999997</v>
      </c>
      <c r="AC9" s="347">
        <v>45.824455</v>
      </c>
      <c r="AD9" s="347">
        <v>45.987712999999999</v>
      </c>
      <c r="AE9" s="347">
        <v>46.202480000000001</v>
      </c>
      <c r="AF9" s="347">
        <v>46.360294000000003</v>
      </c>
      <c r="AG9" s="348">
        <v>6.0000000000000001E-3</v>
      </c>
    </row>
    <row r="10" spans="1:33" s="350" customFormat="1" x14ac:dyDescent="0.75">
      <c r="A10" s="350" t="s">
        <v>226</v>
      </c>
      <c r="B10" s="350" t="s">
        <v>1412</v>
      </c>
      <c r="C10" s="350" t="s">
        <v>1411</v>
      </c>
      <c r="D10" s="350" t="s">
        <v>1355</v>
      </c>
      <c r="F10" s="350">
        <v>10.264849999999999</v>
      </c>
      <c r="G10" s="350">
        <v>10.131456</v>
      </c>
      <c r="H10" s="350">
        <v>9.2934970000000003</v>
      </c>
      <c r="I10" s="350">
        <v>8.2769279999999998</v>
      </c>
      <c r="J10" s="350">
        <v>8.2348909999999993</v>
      </c>
      <c r="K10" s="350">
        <v>7.8908149999999999</v>
      </c>
      <c r="L10" s="350">
        <v>7.0840399999999999</v>
      </c>
      <c r="M10" s="350">
        <v>6.7873130000000002</v>
      </c>
      <c r="N10" s="350">
        <v>4.3133929999999996</v>
      </c>
      <c r="O10" s="350">
        <v>4.312983</v>
      </c>
      <c r="P10" s="350">
        <v>4.2677050000000003</v>
      </c>
      <c r="Q10" s="350">
        <v>4.2984210000000003</v>
      </c>
      <c r="R10" s="350">
        <v>4.2260289999999996</v>
      </c>
      <c r="S10" s="350">
        <v>4.2382309999999999</v>
      </c>
      <c r="T10" s="350">
        <v>4.1615320000000002</v>
      </c>
      <c r="U10" s="350">
        <v>3.857612</v>
      </c>
      <c r="V10" s="350">
        <v>3.8928319999999998</v>
      </c>
      <c r="W10" s="350">
        <v>3.8492950000000001</v>
      </c>
      <c r="X10" s="350">
        <v>3.8536760000000001</v>
      </c>
      <c r="Y10" s="350">
        <v>3.865084</v>
      </c>
      <c r="Z10" s="350">
        <v>3.8757769999999998</v>
      </c>
      <c r="AA10" s="350">
        <v>3.9172259999999999</v>
      </c>
      <c r="AB10" s="350">
        <v>3.7810700000000002</v>
      </c>
      <c r="AC10" s="350">
        <v>3.8151899999999999</v>
      </c>
      <c r="AD10" s="350">
        <v>3.8247789999999999</v>
      </c>
      <c r="AE10" s="350">
        <v>3.8427159999999998</v>
      </c>
      <c r="AF10" s="350">
        <v>3.797269</v>
      </c>
      <c r="AG10" s="351">
        <v>-3.7999999999999999E-2</v>
      </c>
    </row>
    <row r="11" spans="1:33" x14ac:dyDescent="0.75">
      <c r="A11" t="s">
        <v>1371</v>
      </c>
      <c r="B11" t="s">
        <v>1410</v>
      </c>
      <c r="C11" t="s">
        <v>1409</v>
      </c>
      <c r="D11" t="s">
        <v>1355</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9">
        <v>0</v>
      </c>
    </row>
    <row r="12" spans="1:33" x14ac:dyDescent="0.75">
      <c r="A12" t="s">
        <v>1368</v>
      </c>
      <c r="B12" t="s">
        <v>1408</v>
      </c>
      <c r="C12" t="s">
        <v>1407</v>
      </c>
      <c r="D12" t="s">
        <v>1355</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9">
        <v>5.0000000000000001E-3</v>
      </c>
    </row>
    <row r="13" spans="1:33" x14ac:dyDescent="0.75">
      <c r="A13" t="s">
        <v>1365</v>
      </c>
      <c r="B13" t="s">
        <v>1406</v>
      </c>
      <c r="C13" t="s">
        <v>1405</v>
      </c>
      <c r="D13" t="s">
        <v>1355</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9">
        <v>1E-3</v>
      </c>
    </row>
    <row r="14" spans="1:33" x14ac:dyDescent="0.75">
      <c r="A14" t="s">
        <v>1362</v>
      </c>
      <c r="B14" t="s">
        <v>1404</v>
      </c>
      <c r="C14" t="s">
        <v>1403</v>
      </c>
      <c r="D14" t="s">
        <v>1355</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9">
        <v>0.06</v>
      </c>
    </row>
    <row r="15" spans="1:33" x14ac:dyDescent="0.75">
      <c r="A15" t="s">
        <v>1088</v>
      </c>
      <c r="B15" t="s">
        <v>1402</v>
      </c>
      <c r="C15" t="s">
        <v>1401</v>
      </c>
      <c r="D15" t="s">
        <v>1355</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9">
        <v>-3.9E-2</v>
      </c>
    </row>
    <row r="16" spans="1:33" x14ac:dyDescent="0.75">
      <c r="A16" t="s">
        <v>11</v>
      </c>
      <c r="B16" t="s">
        <v>1400</v>
      </c>
      <c r="C16" t="s">
        <v>1399</v>
      </c>
      <c r="D16" t="s">
        <v>1355</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9">
        <v>2E-3</v>
      </c>
    </row>
    <row r="17" spans="1:33" x14ac:dyDescent="0.75">
      <c r="A17" t="s">
        <v>56</v>
      </c>
    </row>
    <row r="18" spans="1:33" x14ac:dyDescent="0.75">
      <c r="A18" t="s">
        <v>1002</v>
      </c>
      <c r="B18" t="s">
        <v>1398</v>
      </c>
      <c r="C18" t="s">
        <v>1397</v>
      </c>
      <c r="D18" t="s">
        <v>1355</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9">
        <v>8.0000000000000002E-3</v>
      </c>
    </row>
    <row r="19" spans="1:33" x14ac:dyDescent="0.75">
      <c r="A19" t="s">
        <v>1378</v>
      </c>
      <c r="B19" t="s">
        <v>1396</v>
      </c>
      <c r="C19" t="s">
        <v>1395</v>
      </c>
      <c r="D19" t="s">
        <v>1355</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9">
        <v>-5.0000000000000001E-3</v>
      </c>
    </row>
    <row r="20" spans="1:33" x14ac:dyDescent="0.75">
      <c r="A20" t="s">
        <v>269</v>
      </c>
      <c r="B20" t="s">
        <v>1394</v>
      </c>
      <c r="C20" t="s">
        <v>1393</v>
      </c>
      <c r="D20" t="s">
        <v>1355</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9">
        <v>-6.0000000000000001E-3</v>
      </c>
    </row>
    <row r="21" spans="1:33" x14ac:dyDescent="0.75">
      <c r="A21" t="s">
        <v>1088</v>
      </c>
      <c r="B21" t="s">
        <v>1392</v>
      </c>
      <c r="C21" t="s">
        <v>1391</v>
      </c>
      <c r="D21" t="s">
        <v>1355</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9">
        <v>3.6999999999999998E-2</v>
      </c>
    </row>
    <row r="22" spans="1:33" x14ac:dyDescent="0.75">
      <c r="A22" t="s">
        <v>11</v>
      </c>
      <c r="B22" t="s">
        <v>1390</v>
      </c>
      <c r="C22" t="s">
        <v>1389</v>
      </c>
      <c r="D22" t="s">
        <v>1355</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9">
        <v>4.0000000000000001E-3</v>
      </c>
    </row>
    <row r="23" spans="1:33" x14ac:dyDescent="0.75">
      <c r="A23" t="s">
        <v>59</v>
      </c>
    </row>
    <row r="24" spans="1:33" x14ac:dyDescent="0.75">
      <c r="A24" t="s">
        <v>1378</v>
      </c>
      <c r="B24" t="s">
        <v>1388</v>
      </c>
      <c r="C24" t="s">
        <v>1387</v>
      </c>
      <c r="D24" t="s">
        <v>1355</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9">
        <v>1.2E-2</v>
      </c>
    </row>
    <row r="25" spans="1:33" x14ac:dyDescent="0.75">
      <c r="A25" t="s">
        <v>269</v>
      </c>
      <c r="B25" t="s">
        <v>1386</v>
      </c>
      <c r="C25" t="s">
        <v>1385</v>
      </c>
      <c r="D25" t="s">
        <v>1355</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9">
        <v>2.1000000000000001E-2</v>
      </c>
    </row>
    <row r="26" spans="1:33" x14ac:dyDescent="0.75">
      <c r="A26" t="s">
        <v>226</v>
      </c>
      <c r="B26" t="s">
        <v>1384</v>
      </c>
      <c r="C26" t="s">
        <v>1383</v>
      </c>
      <c r="D26" t="s">
        <v>1355</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9">
        <v>6.0000000000000001E-3</v>
      </c>
    </row>
    <row r="27" spans="1:33" x14ac:dyDescent="0.75">
      <c r="A27" t="s">
        <v>11</v>
      </c>
      <c r="B27" t="s">
        <v>1382</v>
      </c>
      <c r="C27" t="s">
        <v>1381</v>
      </c>
      <c r="D27" t="s">
        <v>1355</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9">
        <v>1.4E-2</v>
      </c>
    </row>
    <row r="28" spans="1:33" x14ac:dyDescent="0.75">
      <c r="A28" t="s">
        <v>1137</v>
      </c>
      <c r="B28" t="s">
        <v>1380</v>
      </c>
      <c r="C28" t="s">
        <v>1379</v>
      </c>
      <c r="D28" t="s">
        <v>1355</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9">
        <v>-4.9000000000000002E-2</v>
      </c>
    </row>
    <row r="29" spans="1:33" x14ac:dyDescent="0.75">
      <c r="A29" t="s">
        <v>61</v>
      </c>
    </row>
    <row r="30" spans="1:33" x14ac:dyDescent="0.75">
      <c r="A30" t="s">
        <v>1378</v>
      </c>
      <c r="B30" t="s">
        <v>1377</v>
      </c>
      <c r="C30" t="s">
        <v>1376</v>
      </c>
      <c r="D30" t="s">
        <v>1355</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9">
        <v>-8.0000000000000002E-3</v>
      </c>
    </row>
    <row r="31" spans="1:33" x14ac:dyDescent="0.75">
      <c r="A31" t="s">
        <v>269</v>
      </c>
      <c r="B31" t="s">
        <v>1375</v>
      </c>
      <c r="C31" t="s">
        <v>1374</v>
      </c>
      <c r="D31" t="s">
        <v>1355</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9">
        <v>1E-3</v>
      </c>
    </row>
    <row r="32" spans="1:33" x14ac:dyDescent="0.75">
      <c r="A32" t="s">
        <v>226</v>
      </c>
      <c r="B32" t="s">
        <v>1373</v>
      </c>
      <c r="C32" t="s">
        <v>1372</v>
      </c>
      <c r="D32" t="s">
        <v>1355</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9">
        <v>-9.1999999999999998E-2</v>
      </c>
    </row>
    <row r="33" spans="1:34" x14ac:dyDescent="0.75">
      <c r="A33" t="s">
        <v>1371</v>
      </c>
      <c r="B33" t="s">
        <v>1370</v>
      </c>
      <c r="C33" t="s">
        <v>1369</v>
      </c>
      <c r="D33" t="s">
        <v>1355</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9">
        <v>0</v>
      </c>
    </row>
    <row r="34" spans="1:34" x14ac:dyDescent="0.75">
      <c r="A34" t="s">
        <v>1368</v>
      </c>
      <c r="B34" t="s">
        <v>1367</v>
      </c>
      <c r="C34" t="s">
        <v>1366</v>
      </c>
      <c r="D34" t="s">
        <v>1355</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9">
        <v>5.0000000000000001E-3</v>
      </c>
    </row>
    <row r="35" spans="1:34" x14ac:dyDescent="0.75">
      <c r="A35" t="s">
        <v>1365</v>
      </c>
      <c r="B35" t="s">
        <v>1364</v>
      </c>
      <c r="C35" t="s">
        <v>1363</v>
      </c>
      <c r="D35" t="s">
        <v>1355</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9">
        <v>2E-3</v>
      </c>
    </row>
    <row r="36" spans="1:34" x14ac:dyDescent="0.75">
      <c r="A36" t="s">
        <v>1362</v>
      </c>
      <c r="B36" t="s">
        <v>1361</v>
      </c>
      <c r="C36" t="s">
        <v>1360</v>
      </c>
      <c r="D36" t="s">
        <v>1355</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9">
        <v>0.06</v>
      </c>
    </row>
    <row r="37" spans="1:34" x14ac:dyDescent="0.75">
      <c r="A37" t="s">
        <v>1088</v>
      </c>
      <c r="B37" t="s">
        <v>1359</v>
      </c>
      <c r="C37" t="s">
        <v>1358</v>
      </c>
      <c r="D37" t="s">
        <v>1355</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9">
        <v>1.9E-2</v>
      </c>
    </row>
    <row r="38" spans="1:34" x14ac:dyDescent="0.75">
      <c r="A38" t="s">
        <v>11</v>
      </c>
      <c r="B38" t="s">
        <v>1357</v>
      </c>
      <c r="C38" t="s">
        <v>1356</v>
      </c>
      <c r="D38" t="s">
        <v>1355</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9">
        <v>-2E-3</v>
      </c>
    </row>
    <row r="39" spans="1:34" x14ac:dyDescent="0.75">
      <c r="A39" t="s">
        <v>1354</v>
      </c>
    </row>
    <row r="40" spans="1:34" x14ac:dyDescent="0.75">
      <c r="A40" t="s">
        <v>1336</v>
      </c>
      <c r="B40" t="s">
        <v>1353</v>
      </c>
      <c r="C40" t="s">
        <v>1352</v>
      </c>
      <c r="D40" t="s">
        <v>1349</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9">
        <v>5.0000000000000001E-3</v>
      </c>
    </row>
    <row r="41" spans="1:34" x14ac:dyDescent="0.75">
      <c r="A41" t="s">
        <v>1333</v>
      </c>
      <c r="B41" t="s">
        <v>1351</v>
      </c>
      <c r="C41" t="s">
        <v>1350</v>
      </c>
      <c r="D41" t="s">
        <v>1349</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9">
        <v>6.0000000000000001E-3</v>
      </c>
    </row>
    <row r="42" spans="1:34" x14ac:dyDescent="0.75">
      <c r="A42" t="s">
        <v>1329</v>
      </c>
      <c r="B42" t="s">
        <v>1348</v>
      </c>
      <c r="C42" t="s">
        <v>1347</v>
      </c>
      <c r="D42" t="s">
        <v>1339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9">
        <v>3.3000000000000002E-2</v>
      </c>
    </row>
    <row r="43" spans="1:34" x14ac:dyDescent="0.75">
      <c r="A43" t="s">
        <v>226</v>
      </c>
      <c r="B43" t="s">
        <v>1326</v>
      </c>
      <c r="C43" t="s">
        <v>1346</v>
      </c>
      <c r="D43" t="s">
        <v>1345</v>
      </c>
      <c r="E43" t="s">
        <v>1344</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9">
        <v>3.1E-2</v>
      </c>
    </row>
    <row r="44" spans="1:34" x14ac:dyDescent="0.75">
      <c r="A44" t="s">
        <v>226</v>
      </c>
      <c r="B44" t="s">
        <v>1322</v>
      </c>
      <c r="C44" t="s">
        <v>1343</v>
      </c>
      <c r="D44" t="s">
        <v>1342</v>
      </c>
      <c r="E44" t="s">
        <v>1339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9">
        <v>2.3E-2</v>
      </c>
    </row>
    <row r="45" spans="1:34" x14ac:dyDescent="0.75">
      <c r="A45" t="s">
        <v>226</v>
      </c>
      <c r="B45" t="s">
        <v>1319</v>
      </c>
      <c r="C45" t="s">
        <v>1341</v>
      </c>
      <c r="D45" t="s">
        <v>1340</v>
      </c>
      <c r="E45" t="s">
        <v>1339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9">
        <v>2.1000000000000001E-2</v>
      </c>
    </row>
    <row r="46" spans="1:34" x14ac:dyDescent="0.75">
      <c r="A46" t="s">
        <v>1315</v>
      </c>
      <c r="B46" t="s">
        <v>1338</v>
      </c>
      <c r="C46" t="s">
        <v>1337</v>
      </c>
      <c r="D46" t="s">
        <v>1182</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9">
        <v>-2E-3</v>
      </c>
    </row>
    <row r="47" spans="1:34" x14ac:dyDescent="0.75">
      <c r="A47" t="s">
        <v>67</v>
      </c>
    </row>
    <row r="48" spans="1:34" x14ac:dyDescent="0.75">
      <c r="A48" t="s">
        <v>1336</v>
      </c>
      <c r="B48" t="s">
        <v>1335</v>
      </c>
      <c r="C48" t="s">
        <v>1334</v>
      </c>
      <c r="D48" t="s">
        <v>1330</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9">
        <v>2.5999999999999999E-2</v>
      </c>
    </row>
    <row r="49" spans="1:34" x14ac:dyDescent="0.75">
      <c r="A49" t="s">
        <v>1333</v>
      </c>
      <c r="B49" t="s">
        <v>1332</v>
      </c>
      <c r="C49" t="s">
        <v>1331</v>
      </c>
      <c r="D49" t="s">
        <v>1330</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9">
        <v>2.7E-2</v>
      </c>
    </row>
    <row r="50" spans="1:34" x14ac:dyDescent="0.75">
      <c r="A50" t="s">
        <v>1329</v>
      </c>
      <c r="B50" t="s">
        <v>1328</v>
      </c>
      <c r="C50" t="s">
        <v>1327</v>
      </c>
      <c r="D50" t="s">
        <v>1316</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9">
        <v>5.5E-2</v>
      </c>
    </row>
    <row r="51" spans="1:34" x14ac:dyDescent="0.75">
      <c r="A51" t="s">
        <v>226</v>
      </c>
      <c r="B51" t="s">
        <v>1326</v>
      </c>
      <c r="C51" t="s">
        <v>1325</v>
      </c>
      <c r="D51" t="s">
        <v>1324</v>
      </c>
      <c r="E51" t="s">
        <v>1323</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9">
        <v>5.1999999999999998E-2</v>
      </c>
    </row>
    <row r="52" spans="1:34" x14ac:dyDescent="0.75">
      <c r="A52" t="s">
        <v>226</v>
      </c>
      <c r="B52" t="s">
        <v>1322</v>
      </c>
      <c r="C52" t="s">
        <v>1321</v>
      </c>
      <c r="D52" t="s">
        <v>1320</v>
      </c>
      <c r="E52" t="s">
        <v>1316</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9">
        <v>4.3999999999999997E-2</v>
      </c>
    </row>
    <row r="53" spans="1:34" x14ac:dyDescent="0.75">
      <c r="A53" t="s">
        <v>226</v>
      </c>
      <c r="B53" t="s">
        <v>1319</v>
      </c>
      <c r="C53" t="s">
        <v>1318</v>
      </c>
      <c r="D53" t="s">
        <v>1317</v>
      </c>
      <c r="E53" t="s">
        <v>1316</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9">
        <v>4.2999999999999997E-2</v>
      </c>
    </row>
    <row r="54" spans="1:34" x14ac:dyDescent="0.75">
      <c r="A54" t="s">
        <v>1315</v>
      </c>
      <c r="B54" t="s">
        <v>1314</v>
      </c>
      <c r="C54" t="s">
        <v>1313</v>
      </c>
      <c r="D54" t="s">
        <v>1172</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9">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25" x14ac:dyDescent="0.65"/>
  <cols>
    <col min="1" max="1" width="19.7265625" style="37" bestFit="1" customWidth="1"/>
    <col min="2" max="2" width="46.7265625" style="37" customWidth="1"/>
    <col min="3" max="16384" width="8.7265625" style="37"/>
  </cols>
  <sheetData>
    <row r="1" spans="1:33" ht="15" customHeight="1" thickBot="1" x14ac:dyDescent="0.8">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489</v>
      </c>
      <c r="D3" s="55" t="s">
        <v>609</v>
      </c>
      <c r="E3" s="55"/>
      <c r="F3" s="55"/>
      <c r="G3" s="55"/>
    </row>
    <row r="4" spans="1:33" ht="15" customHeight="1" x14ac:dyDescent="0.65">
      <c r="C4" s="55" t="s">
        <v>490</v>
      </c>
      <c r="D4" s="55" t="s">
        <v>608</v>
      </c>
      <c r="E4" s="55"/>
      <c r="F4" s="55"/>
      <c r="G4" s="55" t="s">
        <v>607</v>
      </c>
    </row>
    <row r="5" spans="1:33" ht="15" customHeight="1" x14ac:dyDescent="0.65">
      <c r="C5" s="55" t="s">
        <v>491</v>
      </c>
      <c r="D5" s="55" t="s">
        <v>606</v>
      </c>
      <c r="E5" s="55"/>
      <c r="F5" s="55"/>
      <c r="G5" s="55"/>
    </row>
    <row r="6" spans="1:33" ht="15" customHeight="1" x14ac:dyDescent="0.65">
      <c r="C6" s="55" t="s">
        <v>492</v>
      </c>
      <c r="D6" s="55"/>
      <c r="E6" s="55" t="s">
        <v>605</v>
      </c>
      <c r="F6" s="55"/>
      <c r="G6" s="55"/>
    </row>
    <row r="10" spans="1:33" ht="15" customHeight="1" x14ac:dyDescent="0.8">
      <c r="A10" s="43" t="s">
        <v>368</v>
      </c>
      <c r="B10" s="54" t="s">
        <v>117</v>
      </c>
      <c r="AG10" s="51" t="s">
        <v>604</v>
      </c>
    </row>
    <row r="11" spans="1:33" ht="15" customHeight="1" x14ac:dyDescent="0.65">
      <c r="B11" s="53" t="s">
        <v>118</v>
      </c>
      <c r="AG11" s="51" t="s">
        <v>603</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8">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65"/>
    <row r="15" spans="1:33" ht="15" customHeight="1" x14ac:dyDescent="0.65">
      <c r="B15" s="46" t="s">
        <v>120</v>
      </c>
    </row>
    <row r="16" spans="1:33" ht="15" customHeight="1" x14ac:dyDescent="0.65"/>
    <row r="17" spans="1:33" ht="15" customHeight="1" x14ac:dyDescent="0.7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7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7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7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7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7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7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7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7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65">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7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7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7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75" x14ac:dyDescent="0.7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75" x14ac:dyDescent="0.7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65">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65">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75" x14ac:dyDescent="0.7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75" x14ac:dyDescent="0.75">
      <c r="B36"/>
      <c r="C36"/>
      <c r="D36"/>
      <c r="E36"/>
      <c r="F36"/>
      <c r="G36"/>
      <c r="H36"/>
      <c r="I36"/>
      <c r="J36"/>
      <c r="K36"/>
      <c r="L36"/>
      <c r="M36"/>
      <c r="N36"/>
      <c r="O36"/>
      <c r="P36"/>
      <c r="Q36"/>
      <c r="R36"/>
      <c r="S36"/>
      <c r="T36"/>
      <c r="U36"/>
      <c r="V36"/>
      <c r="W36"/>
      <c r="X36"/>
      <c r="Y36"/>
      <c r="Z36"/>
      <c r="AA36"/>
      <c r="AB36"/>
      <c r="AC36"/>
      <c r="AD36"/>
      <c r="AE36"/>
      <c r="AF36"/>
      <c r="AG36"/>
    </row>
    <row r="37" spans="1:33" x14ac:dyDescent="0.65">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75" x14ac:dyDescent="0.75">
      <c r="B38"/>
      <c r="C38"/>
      <c r="D38"/>
      <c r="E38"/>
      <c r="F38"/>
      <c r="G38"/>
      <c r="H38"/>
      <c r="I38"/>
      <c r="J38"/>
      <c r="K38"/>
      <c r="L38"/>
      <c r="M38"/>
      <c r="N38"/>
      <c r="O38"/>
      <c r="P38"/>
      <c r="Q38"/>
      <c r="R38"/>
      <c r="S38"/>
      <c r="T38"/>
      <c r="U38"/>
      <c r="V38"/>
      <c r="W38"/>
      <c r="X38"/>
      <c r="Y38"/>
      <c r="Z38"/>
      <c r="AA38"/>
      <c r="AB38"/>
      <c r="AC38"/>
      <c r="AD38"/>
      <c r="AE38"/>
      <c r="AF38"/>
      <c r="AG38"/>
    </row>
    <row r="39" spans="1:33" ht="14.75" x14ac:dyDescent="0.75">
      <c r="B39" s="46" t="s">
        <v>135</v>
      </c>
      <c r="C39"/>
      <c r="D39"/>
      <c r="E39"/>
      <c r="F39"/>
      <c r="G39"/>
      <c r="H39"/>
      <c r="I39"/>
      <c r="J39"/>
      <c r="K39"/>
      <c r="L39"/>
      <c r="M39"/>
      <c r="N39"/>
      <c r="O39"/>
      <c r="P39"/>
      <c r="Q39"/>
      <c r="R39"/>
      <c r="S39"/>
      <c r="T39"/>
      <c r="U39"/>
      <c r="V39"/>
      <c r="W39"/>
      <c r="X39"/>
      <c r="Y39"/>
      <c r="Z39"/>
      <c r="AA39"/>
      <c r="AB39"/>
      <c r="AC39"/>
      <c r="AD39"/>
      <c r="AE39"/>
      <c r="AF39"/>
      <c r="AG39"/>
    </row>
    <row r="40" spans="1:33" ht="14.75" x14ac:dyDescent="0.7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75" x14ac:dyDescent="0.7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75" x14ac:dyDescent="0.7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75" x14ac:dyDescent="0.7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75" x14ac:dyDescent="0.7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75" x14ac:dyDescent="0.7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65">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75" x14ac:dyDescent="0.7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65">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7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7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7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7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7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7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7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65">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65">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7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65">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7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7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75" x14ac:dyDescent="0.7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65">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7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65">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75">
      <c r="B72" s="46" t="s">
        <v>613</v>
      </c>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7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7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7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65">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75">
      <c r="B78" s="46" t="s">
        <v>155</v>
      </c>
      <c r="C78"/>
      <c r="D78"/>
      <c r="E78"/>
      <c r="F78"/>
      <c r="G78"/>
      <c r="H78"/>
      <c r="I78"/>
      <c r="J78"/>
      <c r="K78"/>
      <c r="L78"/>
      <c r="M78"/>
      <c r="N78"/>
      <c r="O78"/>
      <c r="P78"/>
      <c r="Q78"/>
      <c r="R78"/>
      <c r="S78"/>
      <c r="T78"/>
      <c r="U78"/>
      <c r="V78"/>
      <c r="W78"/>
      <c r="X78"/>
      <c r="Y78"/>
      <c r="Z78"/>
      <c r="AA78"/>
      <c r="AB78"/>
      <c r="AC78"/>
      <c r="AD78"/>
      <c r="AE78"/>
      <c r="AF78"/>
      <c r="AG78"/>
    </row>
    <row r="79" spans="1:33" ht="14.75" x14ac:dyDescent="0.7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7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75" x14ac:dyDescent="0.7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7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65">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7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7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7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7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7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7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7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7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75" x14ac:dyDescent="0.7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7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7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7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7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7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7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8"/>
    <row r="100" spans="1:33" ht="15" customHeight="1" x14ac:dyDescent="0.65">
      <c r="B100" s="39" t="s">
        <v>557</v>
      </c>
    </row>
    <row r="101" spans="1:33" x14ac:dyDescent="0.65">
      <c r="B101" s="38" t="s">
        <v>546</v>
      </c>
    </row>
    <row r="102" spans="1:33" x14ac:dyDescent="0.65">
      <c r="B102" s="38" t="s">
        <v>547</v>
      </c>
    </row>
    <row r="103" spans="1:33" ht="15" customHeight="1" x14ac:dyDescent="0.65">
      <c r="B103" s="38" t="s">
        <v>548</v>
      </c>
    </row>
    <row r="104" spans="1:33" ht="15" customHeight="1" x14ac:dyDescent="0.65">
      <c r="B104" s="38" t="s">
        <v>549</v>
      </c>
    </row>
    <row r="105" spans="1:33" ht="15" customHeight="1" x14ac:dyDescent="0.65">
      <c r="B105" s="38" t="s">
        <v>550</v>
      </c>
    </row>
    <row r="106" spans="1:33" ht="15" customHeight="1" x14ac:dyDescent="0.65">
      <c r="B106" s="38" t="s">
        <v>551</v>
      </c>
    </row>
    <row r="107" spans="1:33" ht="15" customHeight="1" x14ac:dyDescent="0.65">
      <c r="B107" s="38" t="s">
        <v>164</v>
      </c>
    </row>
    <row r="108" spans="1:33" ht="15" customHeight="1" x14ac:dyDescent="0.65">
      <c r="B108" s="38" t="s">
        <v>552</v>
      </c>
    </row>
    <row r="109" spans="1:33" ht="15" customHeight="1" x14ac:dyDescent="0.65">
      <c r="B109" s="38" t="s">
        <v>76</v>
      </c>
    </row>
    <row r="110" spans="1:33" ht="15" customHeight="1" x14ac:dyDescent="0.65">
      <c r="B110" s="38" t="s">
        <v>77</v>
      </c>
    </row>
    <row r="111" spans="1:33" ht="15" customHeight="1" x14ac:dyDescent="0.65">
      <c r="B111" s="38" t="s">
        <v>553</v>
      </c>
    </row>
    <row r="112" spans="1:33" ht="15" customHeight="1" x14ac:dyDescent="0.65">
      <c r="B112" s="480" t="s">
        <v>558</v>
      </c>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spans="2:2" ht="15" customHeight="1" x14ac:dyDescent="0.65">
      <c r="B113" s="38" t="s">
        <v>554</v>
      </c>
    </row>
    <row r="114" spans="2:2" ht="15" customHeight="1" x14ac:dyDescent="0.65">
      <c r="B114" s="38" t="s">
        <v>555</v>
      </c>
    </row>
    <row r="115" spans="2:2" ht="15" customHeight="1" x14ac:dyDescent="0.65">
      <c r="B115" s="38" t="s">
        <v>556</v>
      </c>
    </row>
    <row r="116" spans="2:2" ht="15" customHeight="1" x14ac:dyDescent="0.65">
      <c r="B116" s="38" t="s">
        <v>165</v>
      </c>
    </row>
    <row r="117" spans="2:2" ht="15" customHeight="1" x14ac:dyDescent="0.65">
      <c r="B117" s="38" t="s">
        <v>543</v>
      </c>
    </row>
    <row r="118" spans="2:2" ht="15" customHeight="1" x14ac:dyDescent="0.65">
      <c r="B118" s="38" t="s">
        <v>544</v>
      </c>
    </row>
    <row r="119" spans="2:2" ht="15" customHeight="1" x14ac:dyDescent="0.65">
      <c r="B119" s="38" t="s">
        <v>612</v>
      </c>
    </row>
    <row r="120" spans="2:2" ht="15" customHeight="1" x14ac:dyDescent="0.65">
      <c r="B120" s="38" t="s">
        <v>611</v>
      </c>
    </row>
    <row r="121" spans="2:2" ht="15" customHeight="1" x14ac:dyDescent="0.65"/>
    <row r="122" spans="2:2" ht="15" customHeight="1" x14ac:dyDescent="0.65"/>
    <row r="123" spans="2:2" ht="15" customHeight="1" x14ac:dyDescent="0.65"/>
    <row r="124" spans="2:2" ht="15" customHeight="1" x14ac:dyDescent="0.65"/>
    <row r="125" spans="2:2" ht="15" customHeight="1" x14ac:dyDescent="0.65"/>
    <row r="126" spans="2:2" ht="15" customHeight="1" x14ac:dyDescent="0.65"/>
    <row r="127" spans="2:2" ht="15" customHeight="1" x14ac:dyDescent="0.65"/>
    <row r="128" spans="2:2"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41" ht="15" customHeight="1" x14ac:dyDescent="0.65"/>
    <row r="142" ht="15" customHeight="1" x14ac:dyDescent="0.65"/>
    <row r="143" ht="15" customHeight="1" x14ac:dyDescent="0.65"/>
    <row r="144" ht="15" customHeight="1" x14ac:dyDescent="0.65"/>
    <row r="145" ht="15" customHeight="1" x14ac:dyDescent="0.65"/>
    <row r="146" ht="15" customHeight="1" x14ac:dyDescent="0.65"/>
    <row r="147" ht="15" customHeight="1" x14ac:dyDescent="0.65"/>
    <row r="148" ht="15" customHeight="1" x14ac:dyDescent="0.65"/>
    <row r="149"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5"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0"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5" ht="15" customHeight="1" x14ac:dyDescent="0.65"/>
    <row r="206"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3" ht="15" customHeight="1" x14ac:dyDescent="0.65"/>
    <row r="224" ht="15" customHeight="1" x14ac:dyDescent="0.65"/>
    <row r="225" ht="15" customHeight="1" x14ac:dyDescent="0.65"/>
    <row r="226"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65"/>
  <cols>
    <col min="1" max="1" width="19.7265625" style="37" bestFit="1" customWidth="1"/>
    <col min="2" max="2" width="46.7265625" style="37" customWidth="1"/>
    <col min="3" max="16384" width="8.7265625" style="37"/>
  </cols>
  <sheetData>
    <row r="1" spans="1:33" ht="15" customHeight="1" thickBot="1" x14ac:dyDescent="0.8">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489</v>
      </c>
      <c r="D3" s="73" t="s">
        <v>624</v>
      </c>
      <c r="E3" s="55"/>
      <c r="F3" s="55"/>
      <c r="G3" s="55"/>
    </row>
    <row r="4" spans="1:33" ht="15" customHeight="1" x14ac:dyDescent="0.7">
      <c r="C4" s="73" t="s">
        <v>490</v>
      </c>
      <c r="D4" s="73" t="s">
        <v>625</v>
      </c>
      <c r="E4" s="55"/>
      <c r="F4" s="55"/>
      <c r="G4" s="73" t="s">
        <v>607</v>
      </c>
    </row>
    <row r="5" spans="1:33" ht="15" customHeight="1" x14ac:dyDescent="0.7">
      <c r="C5" s="73" t="s">
        <v>491</v>
      </c>
      <c r="D5" s="73" t="s">
        <v>626</v>
      </c>
      <c r="E5" s="55"/>
      <c r="F5" s="55"/>
      <c r="G5" s="55"/>
    </row>
    <row r="6" spans="1:33" ht="15" customHeight="1" x14ac:dyDescent="0.7">
      <c r="C6" s="73" t="s">
        <v>492</v>
      </c>
      <c r="D6" s="55"/>
      <c r="E6" s="73" t="s">
        <v>627</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65">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8">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65">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65">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65">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65">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65">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65">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65">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65">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65">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65">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65">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65">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65">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25" x14ac:dyDescent="0.65">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25" x14ac:dyDescent="0.65">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25" x14ac:dyDescent="0.65">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25" x14ac:dyDescent="0.65">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25" x14ac:dyDescent="0.65">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25" x14ac:dyDescent="0.65">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25" x14ac:dyDescent="0.65">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25" x14ac:dyDescent="0.65">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25" x14ac:dyDescent="0.65">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25" x14ac:dyDescent="0.65">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25" x14ac:dyDescent="0.65">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25" x14ac:dyDescent="0.65">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25" x14ac:dyDescent="0.65">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25" x14ac:dyDescent="0.65">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25" x14ac:dyDescent="0.65">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25" x14ac:dyDescent="0.65">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25" x14ac:dyDescent="0.65">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25" x14ac:dyDescent="0.65">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65">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65">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65">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65">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65">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65">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65">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65">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65">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65">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65">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65">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25" x14ac:dyDescent="0.65">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65">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65">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65">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65">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65">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B72" s="65" t="s">
        <v>635</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25" x14ac:dyDescent="0.65">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65">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65">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65">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65">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65">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25" x14ac:dyDescent="0.65">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65">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25" x14ac:dyDescent="0.65">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65">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65">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65">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65">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65">
      <c r="B86" s="65" t="s">
        <v>635</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65">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65">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65">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65">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65">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25" x14ac:dyDescent="0.65">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65">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65">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65">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65">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65">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65">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65">
      <c r="B100" s="481" t="s">
        <v>636</v>
      </c>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c r="AC100" s="482"/>
      <c r="AD100" s="482"/>
      <c r="AE100" s="482"/>
      <c r="AF100" s="482"/>
      <c r="AG100" s="482"/>
      <c r="AH100" s="58"/>
    </row>
    <row r="101" spans="1:34" ht="12.25" x14ac:dyDescent="0.65">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25" x14ac:dyDescent="0.65">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65">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65">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65">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65">
      <c r="B106" s="38" t="s">
        <v>637</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65">
      <c r="B107" s="38" t="s">
        <v>638</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65">
      <c r="B108" s="38" t="s">
        <v>639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65">
      <c r="B109" s="38" t="s">
        <v>640</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65">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65">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65">
      <c r="B112" s="480" t="s">
        <v>558</v>
      </c>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38"/>
    </row>
    <row r="113" spans="2:33" ht="15" customHeight="1" x14ac:dyDescent="0.65">
      <c r="B113" s="38" t="s">
        <v>641</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t="s">
        <v>642</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t="s">
        <v>643</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65">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row>
    <row r="511" spans="2:32" ht="15" customHeight="1" x14ac:dyDescent="0.65">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row>
    <row r="712" spans="2:32" ht="15" customHeight="1" x14ac:dyDescent="0.65">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row>
    <row r="887" spans="2:32" ht="15" customHeight="1" x14ac:dyDescent="0.65">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row>
    <row r="1101" spans="2:32" ht="15" customHeight="1" x14ac:dyDescent="0.65">
      <c r="B1101" s="479"/>
      <c r="C1101" s="479"/>
      <c r="D1101" s="479"/>
      <c r="E1101" s="479"/>
      <c r="F1101" s="479"/>
      <c r="G1101" s="479"/>
      <c r="H1101" s="479"/>
      <c r="I1101" s="479"/>
      <c r="J1101" s="479"/>
      <c r="K1101" s="479"/>
      <c r="L1101" s="479"/>
      <c r="M1101" s="479"/>
      <c r="N1101" s="479"/>
      <c r="O1101" s="479"/>
      <c r="P1101" s="479"/>
      <c r="Q1101" s="479"/>
      <c r="R1101" s="479"/>
      <c r="S1101" s="479"/>
      <c r="T1101" s="479"/>
      <c r="U1101" s="479"/>
      <c r="V1101" s="479"/>
      <c r="W1101" s="479"/>
      <c r="X1101" s="479"/>
      <c r="Y1101" s="479"/>
      <c r="Z1101" s="479"/>
      <c r="AA1101" s="479"/>
      <c r="AB1101" s="479"/>
      <c r="AC1101" s="479"/>
      <c r="AD1101" s="479"/>
      <c r="AE1101" s="479"/>
      <c r="AF1101" s="479"/>
    </row>
    <row r="1229" spans="2:32" ht="15" customHeight="1" x14ac:dyDescent="0.65">
      <c r="B1229" s="479"/>
      <c r="C1229" s="479"/>
      <c r="D1229" s="479"/>
      <c r="E1229" s="479"/>
      <c r="F1229" s="479"/>
      <c r="G1229" s="479"/>
      <c r="H1229" s="479"/>
      <c r="I1229" s="479"/>
      <c r="J1229" s="479"/>
      <c r="K1229" s="479"/>
      <c r="L1229" s="479"/>
      <c r="M1229" s="479"/>
      <c r="N1229" s="479"/>
      <c r="O1229" s="479"/>
      <c r="P1229" s="479"/>
      <c r="Q1229" s="479"/>
      <c r="R1229" s="479"/>
      <c r="S1229" s="479"/>
      <c r="T1229" s="479"/>
      <c r="U1229" s="479"/>
      <c r="V1229" s="479"/>
      <c r="W1229" s="479"/>
      <c r="X1229" s="479"/>
      <c r="Y1229" s="479"/>
      <c r="Z1229" s="479"/>
      <c r="AA1229" s="479"/>
      <c r="AB1229" s="479"/>
      <c r="AC1229" s="479"/>
      <c r="AD1229" s="479"/>
      <c r="AE1229" s="479"/>
      <c r="AF1229" s="479"/>
    </row>
    <row r="1390" spans="2:32" ht="15" customHeight="1" x14ac:dyDescent="0.65">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row>
    <row r="1502" spans="2:32" ht="15" customHeight="1" x14ac:dyDescent="0.65">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row>
    <row r="1604" spans="2:32" ht="15" customHeight="1" x14ac:dyDescent="0.65">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row>
    <row r="1699" spans="2:32" ht="15" customHeight="1" x14ac:dyDescent="0.65">
      <c r="B1699" s="479"/>
      <c r="C1699" s="479"/>
      <c r="D1699" s="479"/>
      <c r="E1699" s="479"/>
      <c r="F1699" s="479"/>
      <c r="G1699" s="479"/>
      <c r="H1699" s="479"/>
      <c r="I1699" s="479"/>
      <c r="J1699" s="479"/>
      <c r="K1699" s="479"/>
      <c r="L1699" s="479"/>
      <c r="M1699" s="479"/>
      <c r="N1699" s="479"/>
      <c r="O1699" s="479"/>
      <c r="P1699" s="479"/>
      <c r="Q1699" s="479"/>
      <c r="R1699" s="479"/>
      <c r="S1699" s="479"/>
      <c r="T1699" s="479"/>
      <c r="U1699" s="479"/>
      <c r="V1699" s="479"/>
      <c r="W1699" s="479"/>
      <c r="X1699" s="479"/>
      <c r="Y1699" s="479"/>
      <c r="Z1699" s="479"/>
      <c r="AA1699" s="479"/>
      <c r="AB1699" s="479"/>
      <c r="AC1699" s="479"/>
      <c r="AD1699" s="479"/>
      <c r="AE1699" s="479"/>
      <c r="AF1699" s="479"/>
    </row>
    <row r="1945" spans="2:32" ht="15" customHeight="1" x14ac:dyDescent="0.65">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row>
    <row r="2031" spans="2:32" ht="15" customHeight="1" x14ac:dyDescent="0.65">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row>
    <row r="2153" spans="2:32" ht="15" customHeight="1" x14ac:dyDescent="0.65">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row>
    <row r="2317" spans="2:32" ht="15" customHeight="1" x14ac:dyDescent="0.65">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row>
    <row r="2419" spans="2:32" ht="15" customHeight="1" x14ac:dyDescent="0.65">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row>
    <row r="2509" spans="2:32" ht="15" customHeight="1" x14ac:dyDescent="0.65">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row>
    <row r="2598" spans="2:32" ht="15" customHeight="1" x14ac:dyDescent="0.65">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row>
    <row r="2719" spans="2:32" ht="15" customHeight="1" x14ac:dyDescent="0.65">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row>
    <row r="2837" spans="2:32" ht="15" customHeight="1" x14ac:dyDescent="0.65">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3252-A58D-43C0-9E86-9A2569E99FE8}">
  <dimension ref="A1:AG82"/>
  <sheetViews>
    <sheetView topLeftCell="B1" workbookViewId="0">
      <selection activeCell="C7" sqref="C7"/>
    </sheetView>
  </sheetViews>
  <sheetFormatPr defaultRowHeight="14.75" x14ac:dyDescent="0.75"/>
  <cols>
    <col min="1" max="1" width="13.54296875" customWidth="1"/>
    <col min="2" max="2" width="47.81640625" customWidth="1"/>
  </cols>
  <sheetData>
    <row r="1" spans="1:33" x14ac:dyDescent="0.75">
      <c r="A1" t="s">
        <v>1312</v>
      </c>
    </row>
    <row r="2" spans="1:33" x14ac:dyDescent="0.75">
      <c r="A2" t="s">
        <v>1311</v>
      </c>
    </row>
    <row r="3" spans="1:33" x14ac:dyDescent="0.75">
      <c r="A3" t="s">
        <v>1310</v>
      </c>
    </row>
    <row r="4" spans="1:33" x14ac:dyDescent="0.75">
      <c r="A4" t="s">
        <v>997</v>
      </c>
    </row>
    <row r="5" spans="1:33" x14ac:dyDescent="0.75">
      <c r="B5" t="s">
        <v>998</v>
      </c>
      <c r="C5" t="s">
        <v>999</v>
      </c>
      <c r="D5" t="s">
        <v>1000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1001</v>
      </c>
    </row>
    <row r="6" spans="1:33" x14ac:dyDescent="0.75">
      <c r="A6" t="s">
        <v>120</v>
      </c>
    </row>
    <row r="7" spans="1:33" x14ac:dyDescent="0.75">
      <c r="A7" t="s">
        <v>1309</v>
      </c>
    </row>
    <row r="8" spans="1:33" x14ac:dyDescent="0.75">
      <c r="A8" t="s">
        <v>1308</v>
      </c>
    </row>
    <row r="9" spans="1:33" s="350" customFormat="1" x14ac:dyDescent="0.75">
      <c r="A9" s="350" t="s">
        <v>226</v>
      </c>
      <c r="B9" s="350" t="s">
        <v>1307</v>
      </c>
      <c r="C9" s="350" t="s">
        <v>1306</v>
      </c>
      <c r="D9" s="350" t="s">
        <v>1205</v>
      </c>
      <c r="F9" s="350">
        <v>648.30139199999996</v>
      </c>
      <c r="G9" s="350">
        <v>656.17211899999995</v>
      </c>
      <c r="H9" s="350">
        <v>565.657104</v>
      </c>
      <c r="I9" s="350">
        <v>450.2276</v>
      </c>
      <c r="J9" s="350">
        <v>433.82659899999999</v>
      </c>
      <c r="K9" s="350">
        <v>411.406586</v>
      </c>
      <c r="L9" s="350">
        <v>335.806915</v>
      </c>
      <c r="M9" s="350">
        <v>309.12512199999998</v>
      </c>
      <c r="N9" s="350">
        <v>67.686012000000005</v>
      </c>
      <c r="O9" s="350">
        <v>67.736923000000004</v>
      </c>
      <c r="P9" s="350">
        <v>65.641425999999996</v>
      </c>
      <c r="Q9" s="350">
        <v>61.754604</v>
      </c>
      <c r="R9" s="350">
        <v>59.323138999999998</v>
      </c>
      <c r="S9" s="350">
        <v>55.271309000000002</v>
      </c>
      <c r="T9" s="350">
        <v>50.305824000000001</v>
      </c>
      <c r="U9" s="350">
        <v>15.246185000000001</v>
      </c>
      <c r="V9" s="350">
        <v>15.276624999999999</v>
      </c>
      <c r="W9" s="350">
        <v>15.310402</v>
      </c>
      <c r="X9" s="350">
        <v>15.327474</v>
      </c>
      <c r="Y9" s="350">
        <v>15.363913999999999</v>
      </c>
      <c r="Z9" s="350">
        <v>15.06954</v>
      </c>
      <c r="AA9" s="350">
        <v>13.754477</v>
      </c>
      <c r="AB9" s="350">
        <v>3.278562</v>
      </c>
      <c r="AC9" s="350">
        <v>3.2768519999999999</v>
      </c>
      <c r="AD9" s="350">
        <v>3.2742870000000002</v>
      </c>
      <c r="AE9" s="350">
        <v>3.0372849999999998</v>
      </c>
      <c r="AF9" s="350">
        <v>3.04643</v>
      </c>
      <c r="AG9" s="351">
        <v>-0.186</v>
      </c>
    </row>
    <row r="10" spans="1:33" x14ac:dyDescent="0.75">
      <c r="A10" t="s">
        <v>1240</v>
      </c>
      <c r="B10" t="s">
        <v>1305</v>
      </c>
      <c r="C10" t="s">
        <v>1304</v>
      </c>
      <c r="D10" t="s">
        <v>1205</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9">
        <v>-3.9E-2</v>
      </c>
    </row>
    <row r="11" spans="1:33" x14ac:dyDescent="0.75">
      <c r="A11" t="s">
        <v>269</v>
      </c>
      <c r="B11" t="s">
        <v>1303</v>
      </c>
      <c r="C11" t="s">
        <v>1302</v>
      </c>
      <c r="D11" t="s">
        <v>1205</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9">
        <v>-2E-3</v>
      </c>
    </row>
    <row r="12" spans="1:33" s="350" customFormat="1" x14ac:dyDescent="0.75">
      <c r="A12" s="350" t="s">
        <v>1235</v>
      </c>
      <c r="B12" s="350" t="s">
        <v>1301</v>
      </c>
      <c r="C12" s="350" t="s">
        <v>1300</v>
      </c>
      <c r="D12" s="350" t="s">
        <v>1205</v>
      </c>
      <c r="F12" s="350">
        <v>777.12817399999994</v>
      </c>
      <c r="G12" s="350">
        <v>792.29125999999997</v>
      </c>
      <c r="H12" s="350">
        <v>799.81115699999998</v>
      </c>
      <c r="I12" s="350">
        <v>797.99230999999997</v>
      </c>
      <c r="J12" s="350">
        <v>797.97906499999999</v>
      </c>
      <c r="K12" s="350">
        <v>797.96838400000001</v>
      </c>
      <c r="L12" s="350">
        <v>789.04656999999997</v>
      </c>
      <c r="M12" s="350">
        <v>780.742615</v>
      </c>
      <c r="N12" s="350">
        <v>780.73840299999995</v>
      </c>
      <c r="O12" s="350">
        <v>780.753601</v>
      </c>
      <c r="P12" s="350">
        <v>780.753601</v>
      </c>
      <c r="Q12" s="350">
        <v>778.71734600000002</v>
      </c>
      <c r="R12" s="350">
        <v>773.74438499999997</v>
      </c>
      <c r="S12" s="350">
        <v>777.64660600000002</v>
      </c>
      <c r="T12" s="350">
        <v>777.35607900000002</v>
      </c>
      <c r="U12" s="350">
        <v>775.99267599999996</v>
      </c>
      <c r="V12" s="350">
        <v>775.86566200000004</v>
      </c>
      <c r="W12" s="350">
        <v>775.92944299999999</v>
      </c>
      <c r="X12" s="350">
        <v>775.96227999999996</v>
      </c>
      <c r="Y12" s="350">
        <v>776.00067100000001</v>
      </c>
      <c r="Z12" s="350">
        <v>775.80487100000005</v>
      </c>
      <c r="AA12" s="350">
        <v>775.94567900000004</v>
      </c>
      <c r="AB12" s="350">
        <v>775.59307899999999</v>
      </c>
      <c r="AC12" s="350">
        <v>775.92034899999999</v>
      </c>
      <c r="AD12" s="350">
        <v>775.83007799999996</v>
      </c>
      <c r="AE12" s="350">
        <v>775.65405299999998</v>
      </c>
      <c r="AF12" s="350">
        <v>775.728882</v>
      </c>
      <c r="AG12" s="351">
        <v>0</v>
      </c>
    </row>
    <row r="13" spans="1:33" x14ac:dyDescent="0.75">
      <c r="A13" t="s">
        <v>1299</v>
      </c>
      <c r="B13" t="s">
        <v>1298</v>
      </c>
      <c r="C13" t="s">
        <v>1297</v>
      </c>
      <c r="D13" t="s">
        <v>1205</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9">
        <v>6.9000000000000006E-2</v>
      </c>
    </row>
    <row r="14" spans="1:33" x14ac:dyDescent="0.75">
      <c r="A14" t="s">
        <v>1049</v>
      </c>
      <c r="B14" t="s">
        <v>1296</v>
      </c>
      <c r="C14" t="s">
        <v>1295</v>
      </c>
      <c r="D14" t="s">
        <v>1205</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1084</v>
      </c>
    </row>
    <row r="15" spans="1:33" x14ac:dyDescent="0.75">
      <c r="A15" t="s">
        <v>1232</v>
      </c>
      <c r="B15" t="s">
        <v>1294</v>
      </c>
      <c r="C15" t="s">
        <v>1293</v>
      </c>
      <c r="D15" t="s">
        <v>1205</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9">
        <v>5.2999999999999999E-2</v>
      </c>
    </row>
    <row r="16" spans="1:33" x14ac:dyDescent="0.75">
      <c r="A16" t="s">
        <v>1292</v>
      </c>
      <c r="B16" t="s">
        <v>1291</v>
      </c>
      <c r="C16" t="s">
        <v>1290</v>
      </c>
      <c r="D16" t="s">
        <v>1205</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1084</v>
      </c>
    </row>
    <row r="17" spans="1:33" x14ac:dyDescent="0.75">
      <c r="A17" t="s">
        <v>11</v>
      </c>
      <c r="B17" t="s">
        <v>1289</v>
      </c>
      <c r="C17" t="s">
        <v>1288</v>
      </c>
      <c r="D17" t="s">
        <v>1205</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9">
        <v>1.4999999999999999E-2</v>
      </c>
    </row>
    <row r="18" spans="1:33" x14ac:dyDescent="0.75">
      <c r="A18" t="s">
        <v>1287</v>
      </c>
    </row>
    <row r="19" spans="1:33" x14ac:dyDescent="0.75">
      <c r="A19" t="s">
        <v>226</v>
      </c>
      <c r="B19" t="s">
        <v>1286</v>
      </c>
      <c r="C19" t="s">
        <v>1285</v>
      </c>
      <c r="D19" t="s">
        <v>1205</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9">
        <v>-1</v>
      </c>
    </row>
    <row r="20" spans="1:33" x14ac:dyDescent="0.75">
      <c r="A20" t="s">
        <v>1240</v>
      </c>
      <c r="B20" t="s">
        <v>1284</v>
      </c>
      <c r="C20" t="s">
        <v>1283</v>
      </c>
      <c r="D20" t="s">
        <v>1205</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9">
        <v>-2E-3</v>
      </c>
    </row>
    <row r="21" spans="1:33" x14ac:dyDescent="0.75">
      <c r="A21" t="s">
        <v>269</v>
      </c>
      <c r="B21" t="s">
        <v>1282</v>
      </c>
      <c r="C21" t="s">
        <v>1281</v>
      </c>
      <c r="D21" t="s">
        <v>1205</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9">
        <v>-5.0000000000000001E-3</v>
      </c>
    </row>
    <row r="22" spans="1:33" x14ac:dyDescent="0.75">
      <c r="A22" t="s">
        <v>1232</v>
      </c>
      <c r="B22" t="s">
        <v>1280</v>
      </c>
      <c r="C22" t="s">
        <v>1279</v>
      </c>
      <c r="D22" t="s">
        <v>1205</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9">
        <v>0</v>
      </c>
    </row>
    <row r="23" spans="1:33" x14ac:dyDescent="0.75">
      <c r="A23" t="s">
        <v>1088</v>
      </c>
      <c r="B23" t="s">
        <v>1278</v>
      </c>
      <c r="C23" t="s">
        <v>1277</v>
      </c>
      <c r="D23" t="s">
        <v>1205</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9">
        <v>-6.0000000000000001E-3</v>
      </c>
    </row>
    <row r="24" spans="1:33" x14ac:dyDescent="0.75">
      <c r="A24" t="s">
        <v>11</v>
      </c>
      <c r="B24" t="s">
        <v>1276</v>
      </c>
      <c r="C24" t="s">
        <v>1275</v>
      </c>
      <c r="D24" t="s">
        <v>1205</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9">
        <v>-7.0000000000000001E-3</v>
      </c>
    </row>
    <row r="25" spans="1:33" x14ac:dyDescent="0.75">
      <c r="A25" t="s">
        <v>1274</v>
      </c>
      <c r="B25" t="s">
        <v>1273</v>
      </c>
      <c r="C25" t="s">
        <v>1272</v>
      </c>
      <c r="D25" t="s">
        <v>1205</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9">
        <v>1.4E-2</v>
      </c>
    </row>
    <row r="26" spans="1:33" x14ac:dyDescent="0.75">
      <c r="A26" t="s">
        <v>1249</v>
      </c>
      <c r="B26" t="s">
        <v>1271</v>
      </c>
      <c r="C26" t="s">
        <v>1270</v>
      </c>
      <c r="D26" t="s">
        <v>1205</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9">
        <v>-1.2E-2</v>
      </c>
    </row>
    <row r="27" spans="1:33" x14ac:dyDescent="0.75">
      <c r="A27" t="s">
        <v>1269</v>
      </c>
      <c r="B27" t="s">
        <v>1268</v>
      </c>
      <c r="C27" t="s">
        <v>1267</v>
      </c>
      <c r="D27" t="s">
        <v>1205</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9">
        <v>1.4999999999999999E-2</v>
      </c>
    </row>
    <row r="28" spans="1:33" x14ac:dyDescent="0.75">
      <c r="A28" t="s">
        <v>1266</v>
      </c>
    </row>
    <row r="29" spans="1:33" x14ac:dyDescent="0.75">
      <c r="A29" t="s">
        <v>226</v>
      </c>
      <c r="B29" t="s">
        <v>1265</v>
      </c>
      <c r="C29" t="s">
        <v>1264</v>
      </c>
      <c r="D29" t="s">
        <v>1205</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9">
        <v>-4.0000000000000001E-3</v>
      </c>
    </row>
    <row r="30" spans="1:33" x14ac:dyDescent="0.75">
      <c r="A30" t="s">
        <v>1240</v>
      </c>
      <c r="B30" t="s">
        <v>1263</v>
      </c>
      <c r="C30" t="s">
        <v>1262</v>
      </c>
      <c r="D30" t="s">
        <v>1205</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9">
        <v>-1.9E-2</v>
      </c>
    </row>
    <row r="31" spans="1:33" x14ac:dyDescent="0.75">
      <c r="A31" t="s">
        <v>269</v>
      </c>
      <c r="B31" t="s">
        <v>1261</v>
      </c>
      <c r="C31" t="s">
        <v>1260</v>
      </c>
      <c r="D31" t="s">
        <v>1205</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9">
        <v>6.0000000000000001E-3</v>
      </c>
    </row>
    <row r="32" spans="1:33" x14ac:dyDescent="0.75">
      <c r="A32" t="s">
        <v>1259</v>
      </c>
      <c r="B32" t="s">
        <v>1258</v>
      </c>
      <c r="C32" t="s">
        <v>1257</v>
      </c>
      <c r="D32" t="s">
        <v>1205</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9">
        <v>5.0000000000000001E-3</v>
      </c>
    </row>
    <row r="33" spans="1:33" x14ac:dyDescent="0.75">
      <c r="A33" t="s">
        <v>1232</v>
      </c>
      <c r="B33" t="s">
        <v>1256</v>
      </c>
      <c r="C33" t="s">
        <v>1255</v>
      </c>
      <c r="D33" t="s">
        <v>1205</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9">
        <v>4.8000000000000001E-2</v>
      </c>
    </row>
    <row r="34" spans="1:33" x14ac:dyDescent="0.75">
      <c r="A34" t="s">
        <v>1088</v>
      </c>
      <c r="B34" t="s">
        <v>1254</v>
      </c>
      <c r="C34" t="s">
        <v>1253</v>
      </c>
      <c r="D34" t="s">
        <v>1205</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9">
        <v>7.0000000000000001E-3</v>
      </c>
    </row>
    <row r="35" spans="1:33" x14ac:dyDescent="0.75">
      <c r="A35" t="s">
        <v>1252</v>
      </c>
      <c r="B35" t="s">
        <v>1251</v>
      </c>
      <c r="C35" t="s">
        <v>1250</v>
      </c>
      <c r="D35" t="s">
        <v>1205</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9">
        <v>3.2000000000000001E-2</v>
      </c>
    </row>
    <row r="36" spans="1:33" x14ac:dyDescent="0.75">
      <c r="A36" t="s">
        <v>1249</v>
      </c>
      <c r="B36" t="s">
        <v>1248</v>
      </c>
      <c r="C36" t="s">
        <v>1247</v>
      </c>
      <c r="D36" t="s">
        <v>1205</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9">
        <v>3.4000000000000002E-2</v>
      </c>
    </row>
    <row r="37" spans="1:33" x14ac:dyDescent="0.75">
      <c r="A37" t="s">
        <v>1246</v>
      </c>
      <c r="B37" t="s">
        <v>1245</v>
      </c>
      <c r="C37" t="s">
        <v>1244</v>
      </c>
      <c r="D37" t="s">
        <v>1205</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9">
        <v>2.4E-2</v>
      </c>
    </row>
    <row r="38" spans="1:33" x14ac:dyDescent="0.75">
      <c r="A38" t="s">
        <v>1243</v>
      </c>
    </row>
    <row r="39" spans="1:33" x14ac:dyDescent="0.75">
      <c r="A39" t="s">
        <v>226</v>
      </c>
      <c r="B39" t="s">
        <v>1242</v>
      </c>
      <c r="C39" t="s">
        <v>1241</v>
      </c>
      <c r="D39" t="s">
        <v>1205</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9">
        <v>-0.156</v>
      </c>
    </row>
    <row r="40" spans="1:33" x14ac:dyDescent="0.75">
      <c r="A40" t="s">
        <v>1240</v>
      </c>
      <c r="B40" t="s">
        <v>1239</v>
      </c>
      <c r="C40" t="s">
        <v>1238</v>
      </c>
      <c r="D40" t="s">
        <v>1205</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9">
        <v>-3.5000000000000003E-2</v>
      </c>
    </row>
    <row r="41" spans="1:33" x14ac:dyDescent="0.75">
      <c r="A41" t="s">
        <v>269</v>
      </c>
      <c r="B41" t="s">
        <v>1237</v>
      </c>
      <c r="C41" t="s">
        <v>1236</v>
      </c>
      <c r="D41" t="s">
        <v>1205</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9">
        <v>-2E-3</v>
      </c>
    </row>
    <row r="42" spans="1:33" x14ac:dyDescent="0.75">
      <c r="A42" t="s">
        <v>1235</v>
      </c>
      <c r="B42" t="s">
        <v>1234</v>
      </c>
      <c r="C42" t="s">
        <v>1233</v>
      </c>
      <c r="D42" t="s">
        <v>1205</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9">
        <v>0</v>
      </c>
    </row>
    <row r="43" spans="1:33" x14ac:dyDescent="0.75">
      <c r="A43" t="s">
        <v>1232</v>
      </c>
      <c r="B43" t="s">
        <v>1231</v>
      </c>
      <c r="C43" t="s">
        <v>1230</v>
      </c>
      <c r="D43" t="s">
        <v>1205</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9">
        <v>5.2999999999999999E-2</v>
      </c>
    </row>
    <row r="44" spans="1:33" x14ac:dyDescent="0.75">
      <c r="A44" t="s">
        <v>1049</v>
      </c>
      <c r="B44" t="s">
        <v>1229</v>
      </c>
      <c r="C44" t="s">
        <v>1228</v>
      </c>
      <c r="D44" t="s">
        <v>1205</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1084</v>
      </c>
    </row>
    <row r="45" spans="1:33" x14ac:dyDescent="0.75">
      <c r="A45" t="s">
        <v>1088</v>
      </c>
      <c r="B45" t="s">
        <v>1227</v>
      </c>
      <c r="C45" t="s">
        <v>1226</v>
      </c>
      <c r="D45" t="s">
        <v>1205</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9">
        <v>-6.4000000000000001E-2</v>
      </c>
    </row>
    <row r="46" spans="1:33" x14ac:dyDescent="0.75">
      <c r="A46" t="s">
        <v>196</v>
      </c>
      <c r="B46" t="s">
        <v>1225</v>
      </c>
      <c r="C46" t="s">
        <v>1224</v>
      </c>
      <c r="D46" t="s">
        <v>1205</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9">
        <v>1.6E-2</v>
      </c>
    </row>
    <row r="47" spans="1:33" x14ac:dyDescent="0.75">
      <c r="A47" t="s">
        <v>143</v>
      </c>
      <c r="B47" t="s">
        <v>1223</v>
      </c>
      <c r="C47" t="s">
        <v>1222</v>
      </c>
      <c r="D47" t="s">
        <v>1205</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9">
        <v>1.4999999999999999E-2</v>
      </c>
    </row>
    <row r="48" spans="1:33" x14ac:dyDescent="0.75">
      <c r="A48" t="s">
        <v>144</v>
      </c>
      <c r="B48" t="s">
        <v>1221</v>
      </c>
      <c r="C48" t="s">
        <v>1220</v>
      </c>
      <c r="D48" t="s">
        <v>1205</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9">
        <v>3.1E-2</v>
      </c>
    </row>
    <row r="49" spans="1:33" x14ac:dyDescent="0.75">
      <c r="A49" t="s">
        <v>145</v>
      </c>
    </row>
    <row r="50" spans="1:33" x14ac:dyDescent="0.75">
      <c r="A50" t="s">
        <v>1199</v>
      </c>
      <c r="B50" t="s">
        <v>1219</v>
      </c>
      <c r="C50" t="s">
        <v>1218</v>
      </c>
      <c r="D50" t="s">
        <v>1205</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9">
        <v>1.2E-2</v>
      </c>
    </row>
    <row r="51" spans="1:33" x14ac:dyDescent="0.75">
      <c r="A51" t="s">
        <v>1196</v>
      </c>
      <c r="B51" t="s">
        <v>1217</v>
      </c>
      <c r="C51" t="s">
        <v>1216</v>
      </c>
      <c r="D51" t="s">
        <v>1205</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9">
        <v>1.7999999999999999E-2</v>
      </c>
    </row>
    <row r="52" spans="1:33" x14ac:dyDescent="0.75">
      <c r="A52" t="s">
        <v>1123</v>
      </c>
      <c r="B52" t="s">
        <v>1215</v>
      </c>
      <c r="C52" t="s">
        <v>1214</v>
      </c>
      <c r="D52" t="s">
        <v>1205</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9">
        <v>1.4E-2</v>
      </c>
    </row>
    <row r="53" spans="1:33" x14ac:dyDescent="0.75">
      <c r="A53" t="s">
        <v>1126</v>
      </c>
      <c r="B53" t="s">
        <v>1213</v>
      </c>
      <c r="C53" t="s">
        <v>1212</v>
      </c>
      <c r="D53" t="s">
        <v>1205</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9">
        <v>1.0999999999999999E-2</v>
      </c>
    </row>
    <row r="54" spans="1:33" x14ac:dyDescent="0.75">
      <c r="A54" t="s">
        <v>11</v>
      </c>
      <c r="B54" t="s">
        <v>1211</v>
      </c>
      <c r="C54" t="s">
        <v>1210</v>
      </c>
      <c r="D54" t="s">
        <v>1205</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9">
        <v>1.4999999999999999E-2</v>
      </c>
    </row>
    <row r="55" spans="1:33" x14ac:dyDescent="0.75">
      <c r="A55" t="s">
        <v>151</v>
      </c>
      <c r="B55" t="s">
        <v>1209</v>
      </c>
      <c r="C55" t="s">
        <v>1208</v>
      </c>
      <c r="D55" t="s">
        <v>1205</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9">
        <v>3.1E-2</v>
      </c>
    </row>
    <row r="56" spans="1:33" x14ac:dyDescent="0.75">
      <c r="A56" t="s">
        <v>152</v>
      </c>
      <c r="B56" t="s">
        <v>1207</v>
      </c>
      <c r="C56" t="s">
        <v>1206</v>
      </c>
      <c r="D56" t="s">
        <v>1205</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9">
        <v>1.6E-2</v>
      </c>
    </row>
    <row r="57" spans="1:33" x14ac:dyDescent="0.75">
      <c r="A57" t="s">
        <v>153</v>
      </c>
    </row>
    <row r="58" spans="1:33" x14ac:dyDescent="0.75">
      <c r="A58" t="s">
        <v>1186</v>
      </c>
    </row>
    <row r="59" spans="1:33" x14ac:dyDescent="0.75">
      <c r="A59" t="s">
        <v>1199</v>
      </c>
      <c r="B59" t="s">
        <v>1198</v>
      </c>
      <c r="C59" t="s">
        <v>1204</v>
      </c>
      <c r="D59" t="s">
        <v>1182</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9">
        <v>-1E-3</v>
      </c>
    </row>
    <row r="60" spans="1:33" x14ac:dyDescent="0.75">
      <c r="A60" t="s">
        <v>1196</v>
      </c>
      <c r="B60" t="s">
        <v>1195</v>
      </c>
      <c r="C60" t="s">
        <v>1203</v>
      </c>
      <c r="D60" t="s">
        <v>1182</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9">
        <v>-2E-3</v>
      </c>
    </row>
    <row r="61" spans="1:33" x14ac:dyDescent="0.75">
      <c r="A61" t="s">
        <v>1123</v>
      </c>
      <c r="B61" t="s">
        <v>1193</v>
      </c>
      <c r="C61" t="s">
        <v>1202</v>
      </c>
      <c r="D61" t="s">
        <v>1182</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9">
        <v>-2E-3</v>
      </c>
    </row>
    <row r="62" spans="1:33" x14ac:dyDescent="0.75">
      <c r="A62" t="s">
        <v>1126</v>
      </c>
      <c r="B62" t="s">
        <v>1191</v>
      </c>
      <c r="C62" t="s">
        <v>1201</v>
      </c>
      <c r="D62" t="s">
        <v>1182</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9">
        <v>-1E-3</v>
      </c>
    </row>
    <row r="63" spans="1:33" x14ac:dyDescent="0.75">
      <c r="A63" t="s">
        <v>1189</v>
      </c>
      <c r="B63" t="s">
        <v>1188</v>
      </c>
      <c r="C63" t="s">
        <v>1200</v>
      </c>
      <c r="D63" t="s">
        <v>1182</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9">
        <v>-2E-3</v>
      </c>
    </row>
    <row r="64" spans="1:33" x14ac:dyDescent="0.75">
      <c r="A64" t="s">
        <v>155</v>
      </c>
    </row>
    <row r="65" spans="1:33" x14ac:dyDescent="0.75">
      <c r="A65" t="s">
        <v>1199</v>
      </c>
      <c r="B65" t="s">
        <v>1198</v>
      </c>
      <c r="C65" t="s">
        <v>1197</v>
      </c>
      <c r="D65" t="s">
        <v>1172</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9">
        <v>0.02</v>
      </c>
    </row>
    <row r="66" spans="1:33" x14ac:dyDescent="0.75">
      <c r="A66" t="s">
        <v>1196</v>
      </c>
      <c r="B66" t="s">
        <v>1195</v>
      </c>
      <c r="C66" t="s">
        <v>1194</v>
      </c>
      <c r="D66" t="s">
        <v>1172</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9">
        <v>1.9E-2</v>
      </c>
    </row>
    <row r="67" spans="1:33" x14ac:dyDescent="0.75">
      <c r="A67" t="s">
        <v>1123</v>
      </c>
      <c r="B67" t="s">
        <v>1193</v>
      </c>
      <c r="C67" t="s">
        <v>1192</v>
      </c>
      <c r="D67" t="s">
        <v>1172</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9">
        <v>1.9E-2</v>
      </c>
    </row>
    <row r="68" spans="1:33" x14ac:dyDescent="0.75">
      <c r="A68" t="s">
        <v>1126</v>
      </c>
      <c r="B68" t="s">
        <v>1191</v>
      </c>
      <c r="C68" t="s">
        <v>1190</v>
      </c>
      <c r="D68" t="s">
        <v>1172</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9">
        <v>0.02</v>
      </c>
    </row>
    <row r="69" spans="1:33" x14ac:dyDescent="0.75">
      <c r="A69" t="s">
        <v>1189</v>
      </c>
      <c r="B69" t="s">
        <v>1188</v>
      </c>
      <c r="C69" t="s">
        <v>1187</v>
      </c>
      <c r="D69" t="s">
        <v>1172</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9">
        <v>1.9E-2</v>
      </c>
    </row>
    <row r="70" spans="1:33" x14ac:dyDescent="0.75">
      <c r="A70" t="s">
        <v>156</v>
      </c>
    </row>
    <row r="71" spans="1:33" x14ac:dyDescent="0.75">
      <c r="A71" t="s">
        <v>1186</v>
      </c>
    </row>
    <row r="72" spans="1:33" x14ac:dyDescent="0.75">
      <c r="A72" t="s">
        <v>1181</v>
      </c>
      <c r="B72" t="s">
        <v>1180</v>
      </c>
      <c r="C72" t="s">
        <v>1185</v>
      </c>
      <c r="D72" t="s">
        <v>1182</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9">
        <v>-0.01</v>
      </c>
    </row>
    <row r="73" spans="1:33" x14ac:dyDescent="0.75">
      <c r="A73" t="s">
        <v>1178</v>
      </c>
      <c r="B73" t="s">
        <v>1177</v>
      </c>
      <c r="C73" t="s">
        <v>1184</v>
      </c>
      <c r="D73" t="s">
        <v>1182</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9">
        <v>1.2E-2</v>
      </c>
    </row>
    <row r="74" spans="1:33" x14ac:dyDescent="0.75">
      <c r="A74" t="s">
        <v>1175</v>
      </c>
      <c r="B74" t="s">
        <v>1174</v>
      </c>
      <c r="C74" t="s">
        <v>1183</v>
      </c>
      <c r="D74" t="s">
        <v>1182</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9">
        <v>6.0000000000000001E-3</v>
      </c>
    </row>
    <row r="75" spans="1:33" x14ac:dyDescent="0.75">
      <c r="A75" t="s">
        <v>155</v>
      </c>
    </row>
    <row r="76" spans="1:33" x14ac:dyDescent="0.75">
      <c r="A76" t="s">
        <v>1181</v>
      </c>
      <c r="B76" t="s">
        <v>1180</v>
      </c>
      <c r="C76" t="s">
        <v>1179</v>
      </c>
      <c r="D76" t="s">
        <v>1172</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9">
        <v>0.01</v>
      </c>
    </row>
    <row r="77" spans="1:33" x14ac:dyDescent="0.75">
      <c r="A77" t="s">
        <v>1178</v>
      </c>
      <c r="B77" t="s">
        <v>1177</v>
      </c>
      <c r="C77" t="s">
        <v>1176</v>
      </c>
      <c r="D77" t="s">
        <v>1172</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9">
        <v>3.3000000000000002E-2</v>
      </c>
    </row>
    <row r="78" spans="1:33" x14ac:dyDescent="0.75">
      <c r="A78" t="s">
        <v>1175</v>
      </c>
      <c r="B78" t="s">
        <v>1174</v>
      </c>
      <c r="C78" t="s">
        <v>1173</v>
      </c>
      <c r="D78" t="s">
        <v>1172</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9">
        <v>2.7E-2</v>
      </c>
    </row>
    <row r="79" spans="1:33" x14ac:dyDescent="0.75">
      <c r="A79" t="s">
        <v>1171</v>
      </c>
    </row>
    <row r="80" spans="1:33" x14ac:dyDescent="0.75">
      <c r="A80" t="s">
        <v>1170</v>
      </c>
      <c r="B80" t="s">
        <v>1169</v>
      </c>
      <c r="C80" t="s">
        <v>1168</v>
      </c>
      <c r="D80" t="s">
        <v>1164</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9">
        <v>-0.11600000000000001</v>
      </c>
    </row>
    <row r="81" spans="1:33" x14ac:dyDescent="0.75">
      <c r="A81" t="s">
        <v>1167</v>
      </c>
      <c r="B81" t="s">
        <v>1166</v>
      </c>
      <c r="C81" t="s">
        <v>1165</v>
      </c>
      <c r="D81" t="s">
        <v>1164</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9">
        <v>-4.2999999999999997E-2</v>
      </c>
    </row>
    <row r="82" spans="1:33" x14ac:dyDescent="0.75">
      <c r="A82" t="s">
        <v>1163</v>
      </c>
      <c r="B82" t="s">
        <v>1162</v>
      </c>
      <c r="C82" t="s">
        <v>1161</v>
      </c>
      <c r="D82" t="s">
        <v>1160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9">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25" x14ac:dyDescent="0.65"/>
  <cols>
    <col min="1" max="1" width="19.7265625" style="37" bestFit="1" customWidth="1"/>
    <col min="2" max="2" width="46.7265625" style="37" customWidth="1"/>
    <col min="3" max="16384" width="8.7265625" style="37"/>
  </cols>
  <sheetData>
    <row r="1" spans="1:33" ht="15" customHeight="1" thickBot="1" x14ac:dyDescent="0.8">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489</v>
      </c>
      <c r="D3" s="55" t="s">
        <v>609</v>
      </c>
      <c r="E3" s="55"/>
      <c r="F3" s="55"/>
      <c r="G3" s="55"/>
    </row>
    <row r="4" spans="1:33" ht="15" customHeight="1" x14ac:dyDescent="0.65">
      <c r="C4" s="55" t="s">
        <v>490</v>
      </c>
      <c r="D4" s="55" t="s">
        <v>608</v>
      </c>
      <c r="E4" s="55"/>
      <c r="F4" s="55"/>
      <c r="G4" s="55" t="s">
        <v>607</v>
      </c>
    </row>
    <row r="5" spans="1:33" ht="15" customHeight="1" x14ac:dyDescent="0.65">
      <c r="C5" s="55" t="s">
        <v>491</v>
      </c>
      <c r="D5" s="55" t="s">
        <v>606</v>
      </c>
      <c r="E5" s="55"/>
      <c r="F5" s="55"/>
      <c r="G5" s="55"/>
    </row>
    <row r="6" spans="1:33" ht="15" customHeight="1" x14ac:dyDescent="0.65">
      <c r="C6" s="55" t="s">
        <v>492</v>
      </c>
      <c r="D6" s="55"/>
      <c r="E6" s="55" t="s">
        <v>605</v>
      </c>
      <c r="F6" s="55"/>
      <c r="G6" s="55"/>
    </row>
    <row r="10" spans="1:33" ht="15" customHeight="1" x14ac:dyDescent="0.8">
      <c r="A10" s="43" t="s">
        <v>429</v>
      </c>
      <c r="B10" s="54" t="s">
        <v>78</v>
      </c>
      <c r="AG10" s="51" t="s">
        <v>604</v>
      </c>
    </row>
    <row r="11" spans="1:33" ht="15" customHeight="1" x14ac:dyDescent="0.65">
      <c r="B11" s="53" t="s">
        <v>79</v>
      </c>
      <c r="AG11" s="51" t="s">
        <v>603</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8">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65"/>
    <row r="15" spans="1:33" ht="15" customHeight="1" x14ac:dyDescent="0.7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7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7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7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7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7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7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65">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7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7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7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7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7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7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7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75" x14ac:dyDescent="0.7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75" x14ac:dyDescent="0.7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75" x14ac:dyDescent="0.7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75" x14ac:dyDescent="0.7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75" x14ac:dyDescent="0.7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75" x14ac:dyDescent="0.7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75" x14ac:dyDescent="0.7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75" x14ac:dyDescent="0.7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75" x14ac:dyDescent="0.7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75" x14ac:dyDescent="0.7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75" x14ac:dyDescent="0.7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75" x14ac:dyDescent="0.7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75" x14ac:dyDescent="0.7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75" x14ac:dyDescent="0.7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75" x14ac:dyDescent="0.7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75" x14ac:dyDescent="0.7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75" x14ac:dyDescent="0.7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75" x14ac:dyDescent="0.7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65">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7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7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7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7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7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7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7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7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7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7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7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75" x14ac:dyDescent="0.7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7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7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65">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75">
      <c r="B72"/>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7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7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7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7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7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75" x14ac:dyDescent="0.7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7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8"/>
    <row r="83" spans="2:2" ht="15" customHeight="1" x14ac:dyDescent="0.65">
      <c r="B83" s="39" t="s">
        <v>576</v>
      </c>
    </row>
    <row r="84" spans="2:2" ht="15" customHeight="1" x14ac:dyDescent="0.65">
      <c r="B84" s="38" t="s">
        <v>559</v>
      </c>
    </row>
    <row r="85" spans="2:2" ht="15" customHeight="1" x14ac:dyDescent="0.65">
      <c r="B85" s="38" t="s">
        <v>560</v>
      </c>
    </row>
    <row r="86" spans="2:2" ht="15" customHeight="1" x14ac:dyDescent="0.65">
      <c r="B86" s="38" t="s">
        <v>561</v>
      </c>
    </row>
    <row r="87" spans="2:2" ht="15" customHeight="1" x14ac:dyDescent="0.65">
      <c r="B87" s="38" t="s">
        <v>107</v>
      </c>
    </row>
    <row r="88" spans="2:2" ht="15" customHeight="1" x14ac:dyDescent="0.65">
      <c r="B88" s="38" t="s">
        <v>562</v>
      </c>
    </row>
    <row r="89" spans="2:2" ht="15" customHeight="1" x14ac:dyDescent="0.65">
      <c r="B89" s="38" t="s">
        <v>108</v>
      </c>
    </row>
    <row r="90" spans="2:2" ht="15" customHeight="1" x14ac:dyDescent="0.65">
      <c r="B90" s="38" t="s">
        <v>563</v>
      </c>
    </row>
    <row r="91" spans="2:2" ht="15" customHeight="1" x14ac:dyDescent="0.65">
      <c r="B91" s="38" t="s">
        <v>564</v>
      </c>
    </row>
    <row r="92" spans="2:2" x14ac:dyDescent="0.65">
      <c r="B92" s="38" t="s">
        <v>219</v>
      </c>
    </row>
    <row r="93" spans="2:2" ht="15" customHeight="1" x14ac:dyDescent="0.65">
      <c r="B93" s="38" t="s">
        <v>565</v>
      </c>
    </row>
    <row r="94" spans="2:2" ht="15" customHeight="1" x14ac:dyDescent="0.65">
      <c r="B94" s="38" t="s">
        <v>566</v>
      </c>
    </row>
    <row r="95" spans="2:2" ht="15" customHeight="1" x14ac:dyDescent="0.65">
      <c r="B95" s="38" t="s">
        <v>615</v>
      </c>
    </row>
    <row r="96" spans="2:2" ht="15" customHeight="1" x14ac:dyDescent="0.65">
      <c r="B96" s="38" t="s">
        <v>488</v>
      </c>
    </row>
    <row r="97" spans="2:33" ht="15" customHeight="1" x14ac:dyDescent="0.65">
      <c r="B97" s="38" t="s">
        <v>567</v>
      </c>
    </row>
    <row r="98" spans="2:33" ht="15" customHeight="1" x14ac:dyDescent="0.65">
      <c r="B98" s="38" t="s">
        <v>568</v>
      </c>
    </row>
    <row r="99" spans="2:33" ht="15" customHeight="1" x14ac:dyDescent="0.65">
      <c r="B99" s="38" t="s">
        <v>569</v>
      </c>
    </row>
    <row r="100" spans="2:33" ht="15" customHeight="1" x14ac:dyDescent="0.65">
      <c r="B100" s="38" t="s">
        <v>494</v>
      </c>
    </row>
    <row r="101" spans="2:33" x14ac:dyDescent="0.65">
      <c r="B101" s="38" t="s">
        <v>570</v>
      </c>
    </row>
    <row r="102" spans="2:33" x14ac:dyDescent="0.65">
      <c r="B102" s="38" t="s">
        <v>571</v>
      </c>
    </row>
    <row r="103" spans="2:33" ht="15" customHeight="1" x14ac:dyDescent="0.65">
      <c r="B103" s="38" t="s">
        <v>572</v>
      </c>
    </row>
    <row r="104" spans="2:33" ht="15" customHeight="1" x14ac:dyDescent="0.65">
      <c r="B104" s="38" t="s">
        <v>573</v>
      </c>
    </row>
    <row r="105" spans="2:33" ht="15" customHeight="1" x14ac:dyDescent="0.65">
      <c r="B105" s="38" t="s">
        <v>574</v>
      </c>
    </row>
    <row r="106" spans="2:33" ht="15" customHeight="1" x14ac:dyDescent="0.65">
      <c r="B106" s="38" t="s">
        <v>575</v>
      </c>
    </row>
    <row r="107" spans="2:33" ht="15" customHeight="1" x14ac:dyDescent="0.65">
      <c r="B107" s="38" t="s">
        <v>109</v>
      </c>
    </row>
    <row r="108" spans="2:33" ht="15" customHeight="1" x14ac:dyDescent="0.65">
      <c r="B108" s="38" t="s">
        <v>543</v>
      </c>
    </row>
    <row r="109" spans="2:33" ht="15" customHeight="1" x14ac:dyDescent="0.65">
      <c r="B109" s="38" t="s">
        <v>544</v>
      </c>
    </row>
    <row r="110" spans="2:33" ht="15" customHeight="1" x14ac:dyDescent="0.65">
      <c r="B110" s="38" t="s">
        <v>614</v>
      </c>
    </row>
    <row r="111" spans="2:33" ht="15" customHeight="1" x14ac:dyDescent="0.65">
      <c r="B111" s="38" t="s">
        <v>593</v>
      </c>
    </row>
    <row r="112" spans="2:33" ht="15" customHeight="1" x14ac:dyDescent="0.65">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65"/>
  <cols>
    <col min="1" max="1" width="19.7265625" style="37" bestFit="1" customWidth="1"/>
    <col min="2" max="2" width="46.7265625" style="37" customWidth="1"/>
    <col min="3" max="16384" width="8.7265625" style="37"/>
  </cols>
  <sheetData>
    <row r="1" spans="1:33" ht="15" customHeight="1" thickBot="1" x14ac:dyDescent="0.8">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489</v>
      </c>
      <c r="D3" s="73" t="s">
        <v>624</v>
      </c>
      <c r="E3" s="55"/>
      <c r="F3" s="55"/>
      <c r="G3" s="55"/>
    </row>
    <row r="4" spans="1:33" ht="15" customHeight="1" x14ac:dyDescent="0.7">
      <c r="C4" s="73" t="s">
        <v>490</v>
      </c>
      <c r="D4" s="73" t="s">
        <v>625</v>
      </c>
      <c r="E4" s="55"/>
      <c r="F4" s="55"/>
      <c r="G4" s="73" t="s">
        <v>607</v>
      </c>
    </row>
    <row r="5" spans="1:33" ht="15" customHeight="1" x14ac:dyDescent="0.7">
      <c r="C5" s="73" t="s">
        <v>491</v>
      </c>
      <c r="D5" s="73" t="s">
        <v>626</v>
      </c>
      <c r="E5" s="55"/>
      <c r="F5" s="55"/>
      <c r="G5" s="55"/>
    </row>
    <row r="6" spans="1:33" ht="15" customHeight="1" x14ac:dyDescent="0.7">
      <c r="C6" s="73" t="s">
        <v>492</v>
      </c>
      <c r="D6" s="55"/>
      <c r="E6" s="73" t="s">
        <v>627</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65">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8">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65">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65">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65">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65">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65">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65">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65">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65">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65">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65">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65">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65">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65">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65">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25" x14ac:dyDescent="0.65">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25" x14ac:dyDescent="0.65">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25" x14ac:dyDescent="0.65">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25" x14ac:dyDescent="0.65">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25" x14ac:dyDescent="0.65">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25" x14ac:dyDescent="0.65">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25" x14ac:dyDescent="0.65">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25" x14ac:dyDescent="0.65">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25" x14ac:dyDescent="0.65">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25" x14ac:dyDescent="0.65">
      <c r="A40" s="43" t="s">
        <v>451</v>
      </c>
      <c r="B40" s="66" t="s">
        <v>644</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25" x14ac:dyDescent="0.65">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25" x14ac:dyDescent="0.65">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25" x14ac:dyDescent="0.65">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25" x14ac:dyDescent="0.65">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25" x14ac:dyDescent="0.65">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25" x14ac:dyDescent="0.65">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25" x14ac:dyDescent="0.65">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25" x14ac:dyDescent="0.65">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25" x14ac:dyDescent="0.65">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65">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65">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65">
      <c r="A56" s="43" t="s">
        <v>463</v>
      </c>
      <c r="B56" s="66" t="s">
        <v>645</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65">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65">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65">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65">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65">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65">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65">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65">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65">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25" x14ac:dyDescent="0.65">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65">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65">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65">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65">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6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25" x14ac:dyDescent="0.65">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65">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65">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65">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65">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65">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25" x14ac:dyDescent="0.65">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65">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25" x14ac:dyDescent="0.65">
      <c r="A81" s="43" t="s">
        <v>487</v>
      </c>
      <c r="B81" s="66" t="s">
        <v>646</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65">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65">
      <c r="B84" s="481" t="s">
        <v>576</v>
      </c>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c r="AC84" s="482"/>
      <c r="AD84" s="482"/>
      <c r="AE84" s="482"/>
      <c r="AF84" s="482"/>
      <c r="AG84" s="482"/>
      <c r="AH84" s="58"/>
    </row>
    <row r="85" spans="1:34" ht="15" customHeight="1" x14ac:dyDescent="0.65">
      <c r="B85" s="38" t="s">
        <v>647</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65">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65">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65">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65">
      <c r="B89" s="38" t="s">
        <v>648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65">
      <c r="B90" s="38" t="s">
        <v>649</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65">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25" x14ac:dyDescent="0.65">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65">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65">
      <c r="B94" s="38" t="s">
        <v>650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65">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65">
      <c r="B96" s="38" t="s">
        <v>651</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652</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t="s">
        <v>653</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t="s">
        <v>654</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65">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65">
      <c r="B111" s="38" t="s">
        <v>642</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65">
      <c r="B112" s="480" t="s">
        <v>634</v>
      </c>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38"/>
    </row>
    <row r="113" spans="2:33" ht="15" customHeight="1" x14ac:dyDescent="0.65">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65">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65">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65">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65">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65">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65">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25" x14ac:dyDescent="0.65">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25" x14ac:dyDescent="0.65">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25" x14ac:dyDescent="0.65">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25" x14ac:dyDescent="0.65">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25" x14ac:dyDescent="0.65">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25" x14ac:dyDescent="0.65">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25" x14ac:dyDescent="0.65">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25" x14ac:dyDescent="0.65">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25" x14ac:dyDescent="0.65">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65">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65">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65">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65">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65">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65">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65">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65">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65">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65">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65">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65">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65">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65">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65">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25" x14ac:dyDescent="0.65">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65">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65">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65">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65">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65">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65">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65">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65">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65">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65">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65">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65">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65">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65">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25" x14ac:dyDescent="0.65">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65">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65">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65">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65">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65">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65">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65">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65">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65">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65">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65">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65">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65">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65">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65">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65">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65">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65">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65">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65">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65">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65">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65">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65">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25" x14ac:dyDescent="0.65">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25" x14ac:dyDescent="0.65">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65">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65">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65">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65">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65">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65">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65">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65">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65">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65">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65">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65">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65">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65">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65">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65">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25" x14ac:dyDescent="0.65">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65">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65">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25" x14ac:dyDescent="0.65">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65">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65">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65">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65">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65">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65">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65">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65">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65">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row>
    <row r="511" spans="2:32" ht="15" customHeight="1" x14ac:dyDescent="0.65">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row>
    <row r="712" spans="2:32" ht="15" customHeight="1" x14ac:dyDescent="0.65">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row>
    <row r="887" spans="2:32" ht="15" customHeight="1" x14ac:dyDescent="0.65">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row>
    <row r="1101" spans="2:32" ht="15" customHeight="1" x14ac:dyDescent="0.65">
      <c r="B1101" s="479"/>
      <c r="C1101" s="479"/>
      <c r="D1101" s="479"/>
      <c r="E1101" s="479"/>
      <c r="F1101" s="479"/>
      <c r="G1101" s="479"/>
      <c r="H1101" s="479"/>
      <c r="I1101" s="479"/>
      <c r="J1101" s="479"/>
      <c r="K1101" s="479"/>
      <c r="L1101" s="479"/>
      <c r="M1101" s="479"/>
      <c r="N1101" s="479"/>
      <c r="O1101" s="479"/>
      <c r="P1101" s="479"/>
      <c r="Q1101" s="479"/>
      <c r="R1101" s="479"/>
      <c r="S1101" s="479"/>
      <c r="T1101" s="479"/>
      <c r="U1101" s="479"/>
      <c r="V1101" s="479"/>
      <c r="W1101" s="479"/>
      <c r="X1101" s="479"/>
      <c r="Y1101" s="479"/>
      <c r="Z1101" s="479"/>
      <c r="AA1101" s="479"/>
      <c r="AB1101" s="479"/>
      <c r="AC1101" s="479"/>
      <c r="AD1101" s="479"/>
      <c r="AE1101" s="479"/>
      <c r="AF1101" s="479"/>
    </row>
    <row r="1229" spans="2:32" ht="15" customHeight="1" x14ac:dyDescent="0.65">
      <c r="B1229" s="479"/>
      <c r="C1229" s="479"/>
      <c r="D1229" s="479"/>
      <c r="E1229" s="479"/>
      <c r="F1229" s="479"/>
      <c r="G1229" s="479"/>
      <c r="H1229" s="479"/>
      <c r="I1229" s="479"/>
      <c r="J1229" s="479"/>
      <c r="K1229" s="479"/>
      <c r="L1229" s="479"/>
      <c r="M1229" s="479"/>
      <c r="N1229" s="479"/>
      <c r="O1229" s="479"/>
      <c r="P1229" s="479"/>
      <c r="Q1229" s="479"/>
      <c r="R1229" s="479"/>
      <c r="S1229" s="479"/>
      <c r="T1229" s="479"/>
      <c r="U1229" s="479"/>
      <c r="V1229" s="479"/>
      <c r="W1229" s="479"/>
      <c r="X1229" s="479"/>
      <c r="Y1229" s="479"/>
      <c r="Z1229" s="479"/>
      <c r="AA1229" s="479"/>
      <c r="AB1229" s="479"/>
      <c r="AC1229" s="479"/>
      <c r="AD1229" s="479"/>
      <c r="AE1229" s="479"/>
      <c r="AF1229" s="479"/>
    </row>
    <row r="1390" spans="2:32" ht="15" customHeight="1" x14ac:dyDescent="0.65">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row>
    <row r="1502" spans="2:32" ht="15" customHeight="1" x14ac:dyDescent="0.65">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row>
    <row r="1604" spans="2:32" ht="15" customHeight="1" x14ac:dyDescent="0.65">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row>
    <row r="1699" spans="2:32" ht="15" customHeight="1" x14ac:dyDescent="0.65">
      <c r="B1699" s="479"/>
      <c r="C1699" s="479"/>
      <c r="D1699" s="479"/>
      <c r="E1699" s="479"/>
      <c r="F1699" s="479"/>
      <c r="G1699" s="479"/>
      <c r="H1699" s="479"/>
      <c r="I1699" s="479"/>
      <c r="J1699" s="479"/>
      <c r="K1699" s="479"/>
      <c r="L1699" s="479"/>
      <c r="M1699" s="479"/>
      <c r="N1699" s="479"/>
      <c r="O1699" s="479"/>
      <c r="P1699" s="479"/>
      <c r="Q1699" s="479"/>
      <c r="R1699" s="479"/>
      <c r="S1699" s="479"/>
      <c r="T1699" s="479"/>
      <c r="U1699" s="479"/>
      <c r="V1699" s="479"/>
      <c r="W1699" s="479"/>
      <c r="X1699" s="479"/>
      <c r="Y1699" s="479"/>
      <c r="Z1699" s="479"/>
      <c r="AA1699" s="479"/>
      <c r="AB1699" s="479"/>
      <c r="AC1699" s="479"/>
      <c r="AD1699" s="479"/>
      <c r="AE1699" s="479"/>
      <c r="AF1699" s="479"/>
    </row>
    <row r="1945" spans="2:32" ht="15" customHeight="1" x14ac:dyDescent="0.65">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row>
    <row r="2031" spans="2:32" ht="15" customHeight="1" x14ac:dyDescent="0.65">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row>
    <row r="2153" spans="2:32" ht="15" customHeight="1" x14ac:dyDescent="0.65">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row>
    <row r="2317" spans="2:32" ht="15" customHeight="1" x14ac:dyDescent="0.65">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row>
    <row r="2419" spans="2:32" ht="15" customHeight="1" x14ac:dyDescent="0.65">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row>
    <row r="2509" spans="2:32" ht="15" customHeight="1" x14ac:dyDescent="0.65">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row>
    <row r="2598" spans="2:32" ht="15" customHeight="1" x14ac:dyDescent="0.65">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row>
    <row r="2719" spans="2:32" ht="15" customHeight="1" x14ac:dyDescent="0.65">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row>
    <row r="2837" spans="2:32" ht="15" customHeight="1" x14ac:dyDescent="0.65">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F18C-7DA9-4A97-8312-A217F7A4E253}">
  <dimension ref="A1:AG65"/>
  <sheetViews>
    <sheetView topLeftCell="A5" workbookViewId="0">
      <selection activeCell="A14" sqref="A14:XFD14"/>
    </sheetView>
  </sheetViews>
  <sheetFormatPr defaultRowHeight="14.75" x14ac:dyDescent="0.75"/>
  <cols>
    <col min="1" max="1" width="27.7265625" customWidth="1"/>
    <col min="2" max="2" width="67" customWidth="1"/>
  </cols>
  <sheetData>
    <row r="1" spans="1:33" x14ac:dyDescent="0.75">
      <c r="A1" t="s">
        <v>994</v>
      </c>
    </row>
    <row r="2" spans="1:33" x14ac:dyDescent="0.75">
      <c r="A2" t="s">
        <v>995</v>
      </c>
    </row>
    <row r="3" spans="1:33" x14ac:dyDescent="0.75">
      <c r="A3" t="s">
        <v>996</v>
      </c>
    </row>
    <row r="4" spans="1:33" x14ac:dyDescent="0.75">
      <c r="A4" t="s">
        <v>997</v>
      </c>
    </row>
    <row r="5" spans="1:33" x14ac:dyDescent="0.75">
      <c r="B5" t="s">
        <v>998</v>
      </c>
      <c r="C5" t="s">
        <v>999</v>
      </c>
      <c r="D5" t="s">
        <v>1000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1001</v>
      </c>
    </row>
    <row r="6" spans="1:33" x14ac:dyDescent="0.75">
      <c r="A6" t="s">
        <v>1002</v>
      </c>
    </row>
    <row r="7" spans="1:33" s="347" customFormat="1" x14ac:dyDescent="0.75">
      <c r="A7" s="347" t="s">
        <v>1003</v>
      </c>
      <c r="B7" s="347" t="s">
        <v>1004</v>
      </c>
      <c r="C7" s="347" t="s">
        <v>1005</v>
      </c>
      <c r="D7" s="347" t="s">
        <v>1006</v>
      </c>
      <c r="F7" s="347">
        <v>13.266057999999999</v>
      </c>
      <c r="G7" s="347">
        <v>13.693652</v>
      </c>
      <c r="H7" s="347">
        <v>13.835194</v>
      </c>
      <c r="I7" s="347">
        <v>14.025308000000001</v>
      </c>
      <c r="J7" s="347">
        <v>14.023446</v>
      </c>
      <c r="K7" s="347">
        <v>14.009728000000001</v>
      </c>
      <c r="L7" s="347">
        <v>13.909203</v>
      </c>
      <c r="M7" s="347">
        <v>13.730183</v>
      </c>
      <c r="N7" s="347">
        <v>13.507175</v>
      </c>
      <c r="O7" s="347">
        <v>13.404424000000001</v>
      </c>
      <c r="P7" s="347">
        <v>13.299763</v>
      </c>
      <c r="Q7" s="347">
        <v>13.026337</v>
      </c>
      <c r="R7" s="347">
        <v>12.777983000000001</v>
      </c>
      <c r="S7" s="347">
        <v>12.557478</v>
      </c>
      <c r="T7" s="347">
        <v>12.337666</v>
      </c>
      <c r="U7" s="347">
        <v>12.155936000000001</v>
      </c>
      <c r="V7" s="347">
        <v>12.015428</v>
      </c>
      <c r="W7" s="347">
        <v>11.859089000000001</v>
      </c>
      <c r="X7" s="347">
        <v>11.788242</v>
      </c>
      <c r="Y7" s="347">
        <v>11.645022000000001</v>
      </c>
      <c r="Z7" s="347">
        <v>11.598876000000001</v>
      </c>
      <c r="AA7" s="347">
        <v>11.619228</v>
      </c>
      <c r="AB7" s="347">
        <v>11.552236000000001</v>
      </c>
      <c r="AC7" s="347">
        <v>11.458454</v>
      </c>
      <c r="AD7" s="347">
        <v>11.354692</v>
      </c>
      <c r="AE7" s="347">
        <v>11.326180000000001</v>
      </c>
      <c r="AF7" s="347">
        <v>11.279612999999999</v>
      </c>
      <c r="AG7" s="348">
        <v>-6.0000000000000001E-3</v>
      </c>
    </row>
    <row r="8" spans="1:33" x14ac:dyDescent="0.75">
      <c r="A8" t="s">
        <v>1007</v>
      </c>
      <c r="B8" t="s">
        <v>1008</v>
      </c>
      <c r="C8" t="s">
        <v>1009</v>
      </c>
      <c r="D8" t="s">
        <v>1006</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9">
        <v>-1.4E-2</v>
      </c>
    </row>
    <row r="9" spans="1:33" x14ac:dyDescent="0.75">
      <c r="A9" t="s">
        <v>1010</v>
      </c>
      <c r="B9" t="s">
        <v>1011</v>
      </c>
      <c r="C9" t="s">
        <v>1012</v>
      </c>
      <c r="D9" t="s">
        <v>1006</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9">
        <v>-6.0000000000000001E-3</v>
      </c>
    </row>
    <row r="10" spans="1:33" x14ac:dyDescent="0.75">
      <c r="A10" t="s">
        <v>144</v>
      </c>
      <c r="B10" t="s">
        <v>1013</v>
      </c>
      <c r="C10" t="s">
        <v>1014</v>
      </c>
      <c r="D10" t="s">
        <v>1006</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9">
        <v>1.9E-2</v>
      </c>
    </row>
    <row r="11" spans="1:33" x14ac:dyDescent="0.75">
      <c r="A11" t="s">
        <v>1015</v>
      </c>
      <c r="B11" t="s">
        <v>1016</v>
      </c>
      <c r="C11" t="s">
        <v>1017</v>
      </c>
      <c r="D11" t="s">
        <v>1006</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9">
        <v>7.0000000000000001E-3</v>
      </c>
    </row>
    <row r="12" spans="1:33" s="347" customFormat="1" x14ac:dyDescent="0.75">
      <c r="A12" s="347" t="s">
        <v>59</v>
      </c>
      <c r="B12" s="347" t="s">
        <v>1018</v>
      </c>
      <c r="C12" s="347" t="s">
        <v>1019</v>
      </c>
      <c r="D12" s="347" t="s">
        <v>1006</v>
      </c>
      <c r="F12" s="347">
        <v>4.13</v>
      </c>
      <c r="G12" s="347">
        <v>4.1989999999999998</v>
      </c>
      <c r="H12" s="347">
        <v>4.2410490000000003</v>
      </c>
      <c r="I12" s="347">
        <v>4.1699669999999998</v>
      </c>
      <c r="J12" s="347">
        <v>4.10968</v>
      </c>
      <c r="K12" s="347">
        <v>4.058122</v>
      </c>
      <c r="L12" s="347">
        <v>4.1569240000000001</v>
      </c>
      <c r="M12" s="347">
        <v>4.1957789999999999</v>
      </c>
      <c r="N12" s="347">
        <v>4.1122620000000003</v>
      </c>
      <c r="O12" s="347">
        <v>4.1175269999999999</v>
      </c>
      <c r="P12" s="347">
        <v>4.2058239999999998</v>
      </c>
      <c r="Q12" s="347">
        <v>4.1895189999999998</v>
      </c>
      <c r="R12" s="347">
        <v>4.1119529999999997</v>
      </c>
      <c r="S12" s="347">
        <v>4.050675</v>
      </c>
      <c r="T12" s="347">
        <v>4.0145280000000003</v>
      </c>
      <c r="U12" s="347">
        <v>3.9716420000000001</v>
      </c>
      <c r="V12" s="347">
        <v>3.9294509999999998</v>
      </c>
      <c r="W12" s="347">
        <v>3.9359999999999999</v>
      </c>
      <c r="X12" s="347">
        <v>4.1042899999999998</v>
      </c>
      <c r="Y12" s="347">
        <v>4.0081749999999996</v>
      </c>
      <c r="Z12" s="347">
        <v>4.0320119999999999</v>
      </c>
      <c r="AA12" s="347">
        <v>4.1320940000000004</v>
      </c>
      <c r="AB12" s="347">
        <v>4.0544580000000003</v>
      </c>
      <c r="AC12" s="347">
        <v>3.9867240000000002</v>
      </c>
      <c r="AD12" s="347">
        <v>3.9042469999999998</v>
      </c>
      <c r="AE12" s="347">
        <v>3.8887290000000001</v>
      </c>
      <c r="AF12" s="347">
        <v>3.9350309999999999</v>
      </c>
      <c r="AG12" s="348">
        <v>-2E-3</v>
      </c>
    </row>
    <row r="13" spans="1:33" x14ac:dyDescent="0.75">
      <c r="A13" t="s">
        <v>1020</v>
      </c>
      <c r="B13" t="s">
        <v>1021</v>
      </c>
      <c r="C13" t="s">
        <v>1022</v>
      </c>
      <c r="D13" t="s">
        <v>1006</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9">
        <v>-1</v>
      </c>
    </row>
    <row r="14" spans="1:33" s="347" customFormat="1" x14ac:dyDescent="0.75">
      <c r="A14" s="347" t="s">
        <v>1023</v>
      </c>
      <c r="B14" s="347" t="s">
        <v>1024</v>
      </c>
      <c r="C14" s="347" t="s">
        <v>1025</v>
      </c>
      <c r="D14" s="347" t="s">
        <v>1006</v>
      </c>
      <c r="F14" s="347">
        <v>16.256057999999999</v>
      </c>
      <c r="G14" s="347">
        <v>16.156652000000001</v>
      </c>
      <c r="H14" s="347">
        <v>16.103649000000001</v>
      </c>
      <c r="I14" s="347">
        <v>16.130469999999999</v>
      </c>
      <c r="J14" s="347">
        <v>16.148762000000001</v>
      </c>
      <c r="K14" s="347">
        <v>16.040789</v>
      </c>
      <c r="L14" s="347">
        <v>15.98813</v>
      </c>
      <c r="M14" s="347">
        <v>16.038397</v>
      </c>
      <c r="N14" s="347">
        <v>15.871942000000001</v>
      </c>
      <c r="O14" s="347">
        <v>15.788897</v>
      </c>
      <c r="P14" s="347">
        <v>15.667115000000001</v>
      </c>
      <c r="Q14" s="347">
        <v>15.583437</v>
      </c>
      <c r="R14" s="347">
        <v>15.534587999999999</v>
      </c>
      <c r="S14" s="347">
        <v>15.408065000000001</v>
      </c>
      <c r="T14" s="347">
        <v>15.305865000000001</v>
      </c>
      <c r="U14" s="347">
        <v>15.331977999999999</v>
      </c>
      <c r="V14" s="347">
        <v>15.336819999999999</v>
      </c>
      <c r="W14" s="347">
        <v>15.306452999999999</v>
      </c>
      <c r="X14" s="347">
        <v>15.152191999999999</v>
      </c>
      <c r="Y14" s="347">
        <v>15.322029000000001</v>
      </c>
      <c r="Z14" s="347">
        <v>15.312692</v>
      </c>
      <c r="AA14" s="347">
        <v>15.201649</v>
      </c>
      <c r="AB14" s="347">
        <v>15.245358</v>
      </c>
      <c r="AC14" s="347">
        <v>15.350652999999999</v>
      </c>
      <c r="AD14" s="347">
        <v>15.308672</v>
      </c>
      <c r="AE14" s="347">
        <v>15.373237</v>
      </c>
      <c r="AF14" s="347">
        <v>15.311733</v>
      </c>
      <c r="AG14" s="348">
        <v>-2E-3</v>
      </c>
    </row>
    <row r="15" spans="1:33" x14ac:dyDescent="0.75">
      <c r="A15" t="s">
        <v>1026</v>
      </c>
      <c r="B15" t="s">
        <v>1027</v>
      </c>
      <c r="C15" t="s">
        <v>1028</v>
      </c>
      <c r="D15" t="s">
        <v>1006</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9">
        <v>2.5999999999999999E-2</v>
      </c>
    </row>
    <row r="16" spans="1:33" x14ac:dyDescent="0.75">
      <c r="A16" t="s">
        <v>1029</v>
      </c>
      <c r="B16" t="s">
        <v>1030</v>
      </c>
      <c r="C16" t="s">
        <v>1031</v>
      </c>
      <c r="D16" t="s">
        <v>1006</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9">
        <v>7.0000000000000001E-3</v>
      </c>
    </row>
    <row r="17" spans="1:33" x14ac:dyDescent="0.75">
      <c r="A17" t="s">
        <v>1032</v>
      </c>
      <c r="B17" t="s">
        <v>1033</v>
      </c>
      <c r="C17" t="s">
        <v>1034</v>
      </c>
      <c r="D17" t="s">
        <v>1006</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9">
        <v>-3.0000000000000001E-3</v>
      </c>
    </row>
    <row r="18" spans="1:33" x14ac:dyDescent="0.75">
      <c r="A18" t="s">
        <v>1035</v>
      </c>
      <c r="B18" t="s">
        <v>1036</v>
      </c>
      <c r="C18" t="s">
        <v>1037</v>
      </c>
      <c r="D18" t="s">
        <v>1006</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9">
        <v>-3.3000000000000002E-2</v>
      </c>
    </row>
    <row r="19" spans="1:33" x14ac:dyDescent="0.75">
      <c r="A19" t="s">
        <v>59</v>
      </c>
      <c r="B19" t="s">
        <v>1038</v>
      </c>
      <c r="C19" t="s">
        <v>1039</v>
      </c>
      <c r="D19" t="s">
        <v>1006</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9">
        <v>1.9E-2</v>
      </c>
    </row>
    <row r="20" spans="1:33" x14ac:dyDescent="0.75">
      <c r="A20" t="s">
        <v>1040</v>
      </c>
      <c r="B20" t="s">
        <v>1041</v>
      </c>
      <c r="C20" t="s">
        <v>1042</v>
      </c>
      <c r="D20" t="s">
        <v>1006</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9">
        <v>-7.0000000000000001E-3</v>
      </c>
    </row>
    <row r="21" spans="1:33" x14ac:dyDescent="0.75">
      <c r="A21" t="s">
        <v>1043</v>
      </c>
      <c r="B21" t="s">
        <v>1044</v>
      </c>
      <c r="C21" t="s">
        <v>1045</v>
      </c>
      <c r="D21" t="s">
        <v>1006</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9">
        <v>-1</v>
      </c>
    </row>
    <row r="22" spans="1:33" x14ac:dyDescent="0.75">
      <c r="A22" t="s">
        <v>1046</v>
      </c>
      <c r="B22" t="s">
        <v>1047</v>
      </c>
      <c r="C22" t="s">
        <v>1048</v>
      </c>
      <c r="D22" t="s">
        <v>1006</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9">
        <v>8.9999999999999993E-3</v>
      </c>
    </row>
    <row r="23" spans="1:33" x14ac:dyDescent="0.75">
      <c r="A23" t="s">
        <v>1049</v>
      </c>
      <c r="B23" t="s">
        <v>1050</v>
      </c>
      <c r="C23" t="s">
        <v>1051</v>
      </c>
      <c r="D23" t="s">
        <v>1006</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9">
        <v>7.0000000000000001E-3</v>
      </c>
    </row>
    <row r="24" spans="1:33" x14ac:dyDescent="0.75">
      <c r="A24" t="s">
        <v>1052</v>
      </c>
      <c r="B24" t="s">
        <v>1053</v>
      </c>
      <c r="C24" t="s">
        <v>1054</v>
      </c>
      <c r="D24" t="s">
        <v>1006</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9">
        <v>-6.0000000000000001E-3</v>
      </c>
    </row>
    <row r="25" spans="1:33" x14ac:dyDescent="0.75">
      <c r="A25" t="s">
        <v>1055</v>
      </c>
      <c r="B25" t="s">
        <v>1056</v>
      </c>
      <c r="C25" t="s">
        <v>1057</v>
      </c>
      <c r="D25" t="s">
        <v>1006</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9">
        <v>-1.7000000000000001E-2</v>
      </c>
    </row>
    <row r="26" spans="1:33" x14ac:dyDescent="0.75">
      <c r="A26" t="s">
        <v>1058</v>
      </c>
      <c r="B26" t="s">
        <v>1059</v>
      </c>
      <c r="C26" t="s">
        <v>1060</v>
      </c>
      <c r="D26" t="s">
        <v>1006</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9">
        <v>-7.0000000000000001E-3</v>
      </c>
    </row>
    <row r="27" spans="1:33" x14ac:dyDescent="0.75">
      <c r="A27" t="s">
        <v>144</v>
      </c>
      <c r="B27" t="s">
        <v>1061</v>
      </c>
      <c r="C27" t="s">
        <v>1062</v>
      </c>
      <c r="D27" t="s">
        <v>1006</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9">
        <v>0.03</v>
      </c>
    </row>
    <row r="28" spans="1:33" x14ac:dyDescent="0.75">
      <c r="A28" t="s">
        <v>1063</v>
      </c>
      <c r="B28" t="s">
        <v>1064</v>
      </c>
      <c r="C28" t="s">
        <v>1065</v>
      </c>
      <c r="D28" t="s">
        <v>1006</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9">
        <v>-3.3000000000000002E-2</v>
      </c>
    </row>
    <row r="29" spans="1:33" x14ac:dyDescent="0.75">
      <c r="A29" t="s">
        <v>1058</v>
      </c>
      <c r="B29" t="s">
        <v>1066</v>
      </c>
      <c r="C29" t="s">
        <v>1067</v>
      </c>
      <c r="D29" t="s">
        <v>1006</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9">
        <v>-3.5999999999999997E-2</v>
      </c>
    </row>
    <row r="30" spans="1:33" x14ac:dyDescent="0.75">
      <c r="A30" t="s">
        <v>144</v>
      </c>
      <c r="B30" t="s">
        <v>1068</v>
      </c>
      <c r="C30" t="s">
        <v>1069</v>
      </c>
      <c r="D30" t="s">
        <v>1006</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9">
        <v>-1.4999999999999999E-2</v>
      </c>
    </row>
    <row r="31" spans="1:33" x14ac:dyDescent="0.75">
      <c r="A31" t="s">
        <v>1070</v>
      </c>
      <c r="B31" t="s">
        <v>1071</v>
      </c>
      <c r="C31" t="s">
        <v>1072</v>
      </c>
      <c r="D31" t="s">
        <v>1006</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9">
        <v>2.5000000000000001E-2</v>
      </c>
    </row>
    <row r="32" spans="1:33" x14ac:dyDescent="0.75">
      <c r="A32" t="s">
        <v>1058</v>
      </c>
      <c r="B32" t="s">
        <v>1073</v>
      </c>
      <c r="C32" t="s">
        <v>1074</v>
      </c>
      <c r="D32" t="s">
        <v>1006</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9">
        <v>2.8000000000000001E-2</v>
      </c>
    </row>
    <row r="33" spans="1:33" x14ac:dyDescent="0.75">
      <c r="A33" t="s">
        <v>144</v>
      </c>
      <c r="B33" t="s">
        <v>1075</v>
      </c>
      <c r="C33" t="s">
        <v>1076</v>
      </c>
      <c r="D33" t="s">
        <v>1006</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9">
        <v>0.01</v>
      </c>
    </row>
    <row r="34" spans="1:33" x14ac:dyDescent="0.75">
      <c r="A34" t="s">
        <v>1077</v>
      </c>
      <c r="B34" t="s">
        <v>1078</v>
      </c>
      <c r="C34" t="s">
        <v>1079</v>
      </c>
      <c r="D34" t="s">
        <v>1006</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9">
        <v>7.0000000000000007E-2</v>
      </c>
    </row>
    <row r="35" spans="1:33" x14ac:dyDescent="0.75">
      <c r="A35" t="s">
        <v>1058</v>
      </c>
      <c r="B35" t="s">
        <v>1080</v>
      </c>
      <c r="C35" t="s">
        <v>1081</v>
      </c>
      <c r="D35" t="s">
        <v>1006</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9">
        <v>7.0000000000000007E-2</v>
      </c>
    </row>
    <row r="36" spans="1:33" x14ac:dyDescent="0.75">
      <c r="A36" t="s">
        <v>144</v>
      </c>
      <c r="B36" t="s">
        <v>1082</v>
      </c>
      <c r="C36" t="s">
        <v>1083</v>
      </c>
      <c r="D36" t="s">
        <v>1006</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1084</v>
      </c>
    </row>
    <row r="37" spans="1:33" x14ac:dyDescent="0.75">
      <c r="A37" t="s">
        <v>1085</v>
      </c>
      <c r="B37" t="s">
        <v>1086</v>
      </c>
      <c r="C37" t="s">
        <v>1087</v>
      </c>
      <c r="D37" t="s">
        <v>1006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1084</v>
      </c>
    </row>
    <row r="38" spans="1:33" x14ac:dyDescent="0.75">
      <c r="A38" t="s">
        <v>1088</v>
      </c>
      <c r="B38" t="s">
        <v>1089</v>
      </c>
      <c r="C38" t="s">
        <v>1090</v>
      </c>
      <c r="D38" t="s">
        <v>1006</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9">
        <v>1E-3</v>
      </c>
    </row>
    <row r="39" spans="1:33" x14ac:dyDescent="0.75">
      <c r="A39" t="s">
        <v>1091</v>
      </c>
      <c r="B39" t="s">
        <v>1092</v>
      </c>
      <c r="C39" t="s">
        <v>1093</v>
      </c>
      <c r="D39" t="s">
        <v>1006</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9">
        <v>-8.0000000000000002E-3</v>
      </c>
    </row>
    <row r="40" spans="1:33" x14ac:dyDescent="0.75">
      <c r="A40" t="s">
        <v>1094</v>
      </c>
    </row>
    <row r="41" spans="1:33" x14ac:dyDescent="0.75">
      <c r="A41" t="s">
        <v>1095</v>
      </c>
    </row>
    <row r="42" spans="1:33" x14ac:dyDescent="0.75">
      <c r="A42" t="s">
        <v>1096</v>
      </c>
      <c r="B42" t="s">
        <v>1097</v>
      </c>
      <c r="C42" t="s">
        <v>1098</v>
      </c>
      <c r="D42" t="s">
        <v>1006</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9">
        <v>6.0000000000000001E-3</v>
      </c>
    </row>
    <row r="43" spans="1:33" x14ac:dyDescent="0.75">
      <c r="A43" t="s">
        <v>1099</v>
      </c>
      <c r="B43" t="s">
        <v>1100</v>
      </c>
      <c r="C43" t="s">
        <v>1101</v>
      </c>
      <c r="D43" t="s">
        <v>1006</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9">
        <v>-2.1999999999999999E-2</v>
      </c>
    </row>
    <row r="44" spans="1:33" x14ac:dyDescent="0.75">
      <c r="A44" t="s">
        <v>1102</v>
      </c>
      <c r="B44" t="s">
        <v>1103</v>
      </c>
      <c r="C44" t="s">
        <v>1104</v>
      </c>
      <c r="D44" t="s">
        <v>1006</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9">
        <v>-3.5000000000000003E-2</v>
      </c>
    </row>
    <row r="45" spans="1:33" x14ac:dyDescent="0.75">
      <c r="A45" t="s">
        <v>1105</v>
      </c>
      <c r="B45" t="s">
        <v>1106</v>
      </c>
      <c r="C45" t="s">
        <v>1107</v>
      </c>
      <c r="D45" t="s">
        <v>1006</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9">
        <v>8.9999999999999993E-3</v>
      </c>
    </row>
    <row r="46" spans="1:33" x14ac:dyDescent="0.75">
      <c r="A46" t="s">
        <v>1108</v>
      </c>
      <c r="B46" t="s">
        <v>1109</v>
      </c>
      <c r="C46" t="s">
        <v>1110</v>
      </c>
      <c r="D46" t="s">
        <v>1006</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9">
        <v>-0.01</v>
      </c>
    </row>
    <row r="47" spans="1:33" x14ac:dyDescent="0.75">
      <c r="A47" t="s">
        <v>1111</v>
      </c>
      <c r="B47" t="s">
        <v>1112</v>
      </c>
      <c r="C47" t="s">
        <v>1113</v>
      </c>
      <c r="D47" t="s">
        <v>1006</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9">
        <v>-8.0000000000000002E-3</v>
      </c>
    </row>
    <row r="48" spans="1:33" x14ac:dyDescent="0.75">
      <c r="A48" t="s">
        <v>1114</v>
      </c>
      <c r="B48" t="s">
        <v>1115</v>
      </c>
      <c r="C48" t="s">
        <v>1116</v>
      </c>
      <c r="D48" t="s">
        <v>1006</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9">
        <v>2E-3</v>
      </c>
    </row>
    <row r="49" spans="1:33" x14ac:dyDescent="0.75">
      <c r="A49" t="s">
        <v>1088</v>
      </c>
      <c r="B49" t="s">
        <v>1117</v>
      </c>
      <c r="C49" t="s">
        <v>1118</v>
      </c>
      <c r="D49" t="s">
        <v>1006</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9">
        <v>8.0000000000000002E-3</v>
      </c>
    </row>
    <row r="50" spans="1:33" x14ac:dyDescent="0.75">
      <c r="A50" t="s">
        <v>1119</v>
      </c>
    </row>
    <row r="51" spans="1:33" x14ac:dyDescent="0.75">
      <c r="A51" t="s">
        <v>1120</v>
      </c>
      <c r="B51" t="s">
        <v>1121</v>
      </c>
      <c r="C51" t="s">
        <v>1122</v>
      </c>
      <c r="D51" t="s">
        <v>1006</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9">
        <v>3.0000000000000001E-3</v>
      </c>
    </row>
    <row r="52" spans="1:33" x14ac:dyDescent="0.75">
      <c r="A52" t="s">
        <v>1123</v>
      </c>
      <c r="B52" t="s">
        <v>1124</v>
      </c>
      <c r="C52" t="s">
        <v>1125</v>
      </c>
      <c r="D52" t="s">
        <v>1006</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9">
        <v>8.0000000000000002E-3</v>
      </c>
    </row>
    <row r="53" spans="1:33" x14ac:dyDescent="0.75">
      <c r="A53" t="s">
        <v>1126</v>
      </c>
      <c r="B53" t="s">
        <v>1127</v>
      </c>
      <c r="C53" t="s">
        <v>1128</v>
      </c>
      <c r="D53" t="s">
        <v>1006</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9">
        <v>-1.6E-2</v>
      </c>
    </row>
    <row r="54" spans="1:33" x14ac:dyDescent="0.75">
      <c r="A54" t="s">
        <v>1129</v>
      </c>
      <c r="B54" t="s">
        <v>1130</v>
      </c>
      <c r="C54" t="s">
        <v>1131</v>
      </c>
      <c r="D54" t="s">
        <v>1006</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9">
        <v>-3.7999999999999999E-2</v>
      </c>
    </row>
    <row r="55" spans="1:33" x14ac:dyDescent="0.75">
      <c r="A55" t="s">
        <v>1132</v>
      </c>
      <c r="B55" t="s">
        <v>1133</v>
      </c>
      <c r="C55" t="s">
        <v>1134</v>
      </c>
      <c r="D55" t="s">
        <v>1006</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9">
        <v>-5.6000000000000001E-2</v>
      </c>
    </row>
    <row r="56" spans="1:33" x14ac:dyDescent="0.75">
      <c r="A56" t="s">
        <v>11</v>
      </c>
      <c r="B56" t="s">
        <v>1135</v>
      </c>
      <c r="C56" t="s">
        <v>1136</v>
      </c>
      <c r="D56" t="s">
        <v>1006</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9">
        <v>-7.0000000000000001E-3</v>
      </c>
    </row>
    <row r="57" spans="1:33" x14ac:dyDescent="0.75">
      <c r="A57" t="s">
        <v>1137</v>
      </c>
      <c r="B57" t="s">
        <v>1138</v>
      </c>
      <c r="C57" t="s">
        <v>1139</v>
      </c>
      <c r="D57" t="s">
        <v>1006</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9">
        <v>-0.14399999999999999</v>
      </c>
    </row>
    <row r="58" spans="1:33" x14ac:dyDescent="0.75">
      <c r="A58" t="s">
        <v>1140</v>
      </c>
      <c r="B58" t="s">
        <v>1141</v>
      </c>
      <c r="C58" t="s">
        <v>1142</v>
      </c>
      <c r="D58" t="s">
        <v>1006</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9">
        <v>0</v>
      </c>
    </row>
    <row r="59" spans="1:33" x14ac:dyDescent="0.75">
      <c r="A59" t="s">
        <v>1143</v>
      </c>
      <c r="B59" t="s">
        <v>1144</v>
      </c>
      <c r="C59" t="s">
        <v>1145</v>
      </c>
      <c r="D59" t="s">
        <v>1146</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9">
        <v>-2E-3</v>
      </c>
    </row>
    <row r="60" spans="1:33" x14ac:dyDescent="0.75">
      <c r="A60" t="s">
        <v>481</v>
      </c>
      <c r="B60" t="s">
        <v>1147</v>
      </c>
      <c r="C60" t="s">
        <v>1148</v>
      </c>
      <c r="D60" t="s">
        <v>1006</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9">
        <v>5.0000000000000001E-3</v>
      </c>
    </row>
    <row r="61" spans="1:33" x14ac:dyDescent="0.75">
      <c r="A61" t="s">
        <v>483</v>
      </c>
      <c r="B61" t="s">
        <v>1149</v>
      </c>
      <c r="C61" t="s">
        <v>1150</v>
      </c>
      <c r="D61" t="s">
        <v>1006</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9">
        <v>1.2999999999999999E-2</v>
      </c>
    </row>
    <row r="62" spans="1:33" x14ac:dyDescent="0.75">
      <c r="A62" t="s">
        <v>485</v>
      </c>
      <c r="B62" t="s">
        <v>1151</v>
      </c>
      <c r="C62" t="s">
        <v>1152</v>
      </c>
      <c r="D62" t="s">
        <v>1006</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9">
        <v>3.2000000000000001E-2</v>
      </c>
    </row>
    <row r="63" spans="1:33" x14ac:dyDescent="0.75">
      <c r="A63" t="s">
        <v>1153</v>
      </c>
      <c r="B63" t="s">
        <v>1154</v>
      </c>
      <c r="C63" t="s">
        <v>1155</v>
      </c>
      <c r="D63" t="s">
        <v>1146</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9">
        <v>0.04</v>
      </c>
    </row>
    <row r="64" spans="1:33" x14ac:dyDescent="0.75">
      <c r="A64" t="s">
        <v>218</v>
      </c>
    </row>
    <row r="65" spans="1:33" x14ac:dyDescent="0.75">
      <c r="A65" t="s">
        <v>1156</v>
      </c>
      <c r="B65" t="s">
        <v>1157</v>
      </c>
      <c r="C65" t="s">
        <v>1158</v>
      </c>
      <c r="D65" t="s">
        <v>1159</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9">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topLeftCell="A89" zoomScale="70" zoomScaleNormal="70" workbookViewId="0">
      <selection activeCell="B75" sqref="B75"/>
    </sheetView>
  </sheetViews>
  <sheetFormatPr defaultColWidth="8.7265625" defaultRowHeight="14.75" x14ac:dyDescent="0.7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7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7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7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7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7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75">
      <c r="C6" s="483" t="s">
        <v>584</v>
      </c>
      <c r="D6" s="483"/>
      <c r="E6" s="483"/>
      <c r="F6" s="483"/>
      <c r="G6" s="483"/>
      <c r="H6" s="483"/>
    </row>
    <row r="7" spans="1:36" x14ac:dyDescent="0.7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7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7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7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7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75">
      <c r="I13" s="484" t="s">
        <v>585</v>
      </c>
      <c r="J13" s="484"/>
      <c r="K13" s="484"/>
    </row>
    <row r="14" spans="1:36" x14ac:dyDescent="0.7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7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7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7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7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75">
      <c r="C20" s="35"/>
      <c r="D20" s="483" t="s">
        <v>584</v>
      </c>
      <c r="E20" s="483"/>
      <c r="F20" s="483"/>
      <c r="G20" s="483"/>
      <c r="H20" s="483"/>
      <c r="I20" s="483"/>
    </row>
    <row r="21" spans="1:35" x14ac:dyDescent="0.7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7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7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7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7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7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7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7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7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75">
      <c r="A32" t="s">
        <v>258</v>
      </c>
      <c r="B32" t="s">
        <v>1424</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352">
        <f>INDEX('AEO 2025 Table 8'!$9:$9,MATCH(G30,'AEO 2025 Table 8'!$5:$5,0))*10^6</f>
        <v>648301392</v>
      </c>
      <c r="H32" s="352">
        <f>INDEX('AEO 2025 Table 8'!$9:$9,MATCH(H30,'AEO 2025 Table 8'!$5:$5,0))*10^6</f>
        <v>656172119</v>
      </c>
      <c r="I32" s="352">
        <f>INDEX('AEO 2025 Table 8'!$9:$9,MATCH(I30,'AEO 2025 Table 8'!$5:$5,0))*10^6</f>
        <v>565657104</v>
      </c>
      <c r="J32" s="352">
        <f>INDEX('AEO 2025 Table 8'!$9:$9,MATCH(J30,'AEO 2025 Table 8'!$5:$5,0))*10^6</f>
        <v>450227600</v>
      </c>
      <c r="K32" s="352">
        <f>INDEX('AEO 2025 Table 8'!$9:$9,MATCH(K30,'AEO 2025 Table 8'!$5:$5,0))*10^6</f>
        <v>433826599</v>
      </c>
      <c r="L32" s="352">
        <f>INDEX('AEO 2025 Table 8'!$9:$9,MATCH(L30,'AEO 2025 Table 8'!$5:$5,0))*10^6</f>
        <v>411406586</v>
      </c>
      <c r="M32" s="352">
        <f>INDEX('AEO 2025 Table 8'!$9:$9,MATCH(M30,'AEO 2025 Table 8'!$5:$5,0))*10^6</f>
        <v>335806915</v>
      </c>
      <c r="N32" s="352">
        <f>INDEX('AEO 2025 Table 8'!$9:$9,MATCH(N30,'AEO 2025 Table 8'!$5:$5,0))*10^6</f>
        <v>309125122</v>
      </c>
      <c r="O32" s="352">
        <f>INDEX('AEO 2025 Table 8'!$9:$9,MATCH(O30,'AEO 2025 Table 8'!$5:$5,0))*10^6</f>
        <v>67686012</v>
      </c>
      <c r="P32" s="352">
        <f>INDEX('AEO 2025 Table 8'!$9:$9,MATCH(P30,'AEO 2025 Table 8'!$5:$5,0))*10^6</f>
        <v>67736923</v>
      </c>
      <c r="Q32" s="352">
        <f>INDEX('AEO 2025 Table 8'!$9:$9,MATCH(Q30,'AEO 2025 Table 8'!$5:$5,0))*10^6</f>
        <v>65641425.999999993</v>
      </c>
      <c r="R32" s="352">
        <f>INDEX('AEO 2025 Table 8'!$9:$9,MATCH(R30,'AEO 2025 Table 8'!$5:$5,0))*10^6</f>
        <v>61754604</v>
      </c>
      <c r="S32" s="352">
        <f>INDEX('AEO 2025 Table 8'!$9:$9,MATCH(S30,'AEO 2025 Table 8'!$5:$5,0))*10^6</f>
        <v>59323139</v>
      </c>
      <c r="T32" s="352">
        <f>INDEX('AEO 2025 Table 8'!$9:$9,MATCH(T30,'AEO 2025 Table 8'!$5:$5,0))*10^6</f>
        <v>55271309</v>
      </c>
      <c r="U32" s="352">
        <f>INDEX('AEO 2025 Table 8'!$9:$9,MATCH(U30,'AEO 2025 Table 8'!$5:$5,0))*10^6</f>
        <v>50305824</v>
      </c>
      <c r="V32" s="352">
        <f>INDEX('AEO 2025 Table 8'!$9:$9,MATCH(V30,'AEO 2025 Table 8'!$5:$5,0))*10^6</f>
        <v>15246185</v>
      </c>
      <c r="W32" s="352">
        <f>INDEX('AEO 2025 Table 8'!$9:$9,MATCH(W30,'AEO 2025 Table 8'!$5:$5,0))*10^6</f>
        <v>15276625</v>
      </c>
      <c r="X32" s="352">
        <f>INDEX('AEO 2025 Table 8'!$9:$9,MATCH(X30,'AEO 2025 Table 8'!$5:$5,0))*10^6</f>
        <v>15310402</v>
      </c>
      <c r="Y32" s="352">
        <f>INDEX('AEO 2025 Table 8'!$9:$9,MATCH(Y30,'AEO 2025 Table 8'!$5:$5,0))*10^6</f>
        <v>15327474</v>
      </c>
      <c r="Z32" s="352">
        <f>INDEX('AEO 2025 Table 8'!$9:$9,MATCH(Z30,'AEO 2025 Table 8'!$5:$5,0))*10^6</f>
        <v>15363914</v>
      </c>
      <c r="AA32" s="352">
        <f>INDEX('AEO 2025 Table 8'!$9:$9,MATCH(AA30,'AEO 2025 Table 8'!$5:$5,0))*10^6</f>
        <v>15069540</v>
      </c>
      <c r="AB32" s="352">
        <f>INDEX('AEO 2025 Table 8'!$9:$9,MATCH(AB30,'AEO 2025 Table 8'!$5:$5,0))*10^6</f>
        <v>13754477</v>
      </c>
      <c r="AC32" s="352">
        <f>INDEX('AEO 2025 Table 8'!$9:$9,MATCH(AC30,'AEO 2025 Table 8'!$5:$5,0))*10^6</f>
        <v>3278562</v>
      </c>
      <c r="AD32" s="352">
        <f>INDEX('AEO 2025 Table 8'!$9:$9,MATCH(AD30,'AEO 2025 Table 8'!$5:$5,0))*10^6</f>
        <v>3276852</v>
      </c>
      <c r="AE32" s="352">
        <f>INDEX('AEO 2025 Table 8'!$9:$9,MATCH(AE30,'AEO 2025 Table 8'!$5:$5,0))*10^6</f>
        <v>3274287</v>
      </c>
      <c r="AF32" s="352">
        <f>INDEX('AEO 2025 Table 8'!$9:$9,MATCH(AF30,'AEO 2025 Table 8'!$5:$5,0))*10^6</f>
        <v>3037285</v>
      </c>
      <c r="AG32" s="352">
        <f>INDEX('AEO 2025 Table 8'!$9:$9,MATCH(AG30,'AEO 2025 Table 8'!$5:$5,0))*10^6</f>
        <v>3046430</v>
      </c>
      <c r="AH32" s="5"/>
      <c r="AI32" s="5"/>
    </row>
    <row r="33" spans="1:35" x14ac:dyDescent="0.75">
      <c r="A33" t="s">
        <v>260</v>
      </c>
      <c r="D33">
        <f>D31/D32</f>
        <v>0.31989540904438946</v>
      </c>
      <c r="E33">
        <f t="shared" ref="E33:O33" si="5">E31/E32</f>
        <v>0.36047886675941437</v>
      </c>
      <c r="F33">
        <f t="shared" si="5"/>
        <v>0.38288809884212366</v>
      </c>
      <c r="G33">
        <f t="shared" si="5"/>
        <v>0.46274773385030771</v>
      </c>
      <c r="H33">
        <f t="shared" si="5"/>
        <v>0.4571971153806369</v>
      </c>
      <c r="I33">
        <f t="shared" si="5"/>
        <v>0.5303566381091539</v>
      </c>
      <c r="J33">
        <f t="shared" si="5"/>
        <v>0.66632965193604299</v>
      </c>
      <c r="K33">
        <f t="shared" si="5"/>
        <v>0.69152053076395159</v>
      </c>
      <c r="L33">
        <f t="shared" si="5"/>
        <v>0.72920563308629194</v>
      </c>
      <c r="M33">
        <f t="shared" si="5"/>
        <v>0.89337052514240212</v>
      </c>
      <c r="N33">
        <f t="shared" si="5"/>
        <v>0.97048081391456753</v>
      </c>
      <c r="O33">
        <f t="shared" si="5"/>
        <v>4.4322303993918268</v>
      </c>
      <c r="P33">
        <f t="shared" ref="P33:Q33" si="6">P31/P32</f>
        <v>4.4288991396907713</v>
      </c>
      <c r="Q33">
        <f t="shared" si="6"/>
        <v>4.5702846248343238</v>
      </c>
      <c r="R33">
        <f t="shared" ref="R33:Z33" si="7">R31/R32</f>
        <v>4.8579373936233159</v>
      </c>
      <c r="S33">
        <f t="shared" si="7"/>
        <v>5.0570486501059895</v>
      </c>
      <c r="T33">
        <f t="shared" si="7"/>
        <v>5.4277708530478259</v>
      </c>
      <c r="U33">
        <f t="shared" si="7"/>
        <v>5.9635242233583137</v>
      </c>
      <c r="V33">
        <f t="shared" si="7"/>
        <v>19.677053636696655</v>
      </c>
      <c r="W33">
        <f t="shared" si="7"/>
        <v>19.63784540106208</v>
      </c>
      <c r="X33">
        <f t="shared" si="7"/>
        <v>19.594521424061888</v>
      </c>
      <c r="Y33">
        <f t="shared" si="7"/>
        <v>19.572696714409695</v>
      </c>
      <c r="Z33">
        <f t="shared" si="7"/>
        <v>19.526274359515419</v>
      </c>
      <c r="AA33">
        <f t="shared" ref="AA33:AG33" si="8">AA31/AA32</f>
        <v>19.907707866331688</v>
      </c>
      <c r="AB33">
        <f t="shared" si="8"/>
        <v>21.81108013049133</v>
      </c>
      <c r="AC33">
        <f t="shared" si="8"/>
        <v>91.503531121265965</v>
      </c>
      <c r="AD33">
        <f t="shared" si="8"/>
        <v>91.551281534838921</v>
      </c>
      <c r="AE33">
        <f t="shared" si="8"/>
        <v>91.6230006715966</v>
      </c>
      <c r="AF33">
        <f t="shared" si="8"/>
        <v>98.772423397870142</v>
      </c>
      <c r="AG33">
        <f t="shared" si="8"/>
        <v>98.475920996051116</v>
      </c>
    </row>
    <row r="35" spans="1:35" x14ac:dyDescent="0.7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7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7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75">
      <c r="A38" t="s">
        <v>264</v>
      </c>
      <c r="B38" t="s">
        <v>1424</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350">
        <f>INDEX('AEO 2025 Table 8'!12:12,MATCH(G36,'AEO 2025 Table 8'!5:5,0))*10^6</f>
        <v>777128174</v>
      </c>
      <c r="H38" s="350">
        <f>INDEX('AEO 2025 Table 8'!12:12,MATCH(H36,'AEO 2025 Table 8'!5:5,0))*10^6</f>
        <v>792291260</v>
      </c>
      <c r="I38" s="350">
        <f>INDEX('AEO 2025 Table 8'!12:12,MATCH(I36,'AEO 2025 Table 8'!5:5,0))*10^6</f>
        <v>799811157</v>
      </c>
      <c r="J38" s="350">
        <f>INDEX('AEO 2025 Table 8'!12:12,MATCH(J36,'AEO 2025 Table 8'!5:5,0))*10^6</f>
        <v>797992310</v>
      </c>
      <c r="K38" s="350">
        <f>INDEX('AEO 2025 Table 8'!12:12,MATCH(K36,'AEO 2025 Table 8'!5:5,0))*10^6</f>
        <v>797979065</v>
      </c>
      <c r="L38" s="350">
        <f>INDEX('AEO 2025 Table 8'!12:12,MATCH(L36,'AEO 2025 Table 8'!5:5,0))*10^6</f>
        <v>797968384</v>
      </c>
      <c r="M38" s="350">
        <f>INDEX('AEO 2025 Table 8'!12:12,MATCH(M36,'AEO 2025 Table 8'!5:5,0))*10^6</f>
        <v>789046570</v>
      </c>
      <c r="N38" s="350">
        <f>INDEX('AEO 2025 Table 8'!12:12,MATCH(N36,'AEO 2025 Table 8'!5:5,0))*10^6</f>
        <v>780742615</v>
      </c>
      <c r="O38" s="350">
        <f>INDEX('AEO 2025 Table 8'!12:12,MATCH(O36,'AEO 2025 Table 8'!5:5,0))*10^6</f>
        <v>780738403</v>
      </c>
      <c r="P38" s="350">
        <f>INDEX('AEO 2025 Table 8'!12:12,MATCH(P36,'AEO 2025 Table 8'!5:5,0))*10^6</f>
        <v>780753601</v>
      </c>
      <c r="Q38" s="350">
        <f>INDEX('AEO 2025 Table 8'!12:12,MATCH(Q36,'AEO 2025 Table 8'!5:5,0))*10^6</f>
        <v>780753601</v>
      </c>
      <c r="R38" s="350">
        <f>INDEX('AEO 2025 Table 8'!12:12,MATCH(R36,'AEO 2025 Table 8'!5:5,0))*10^6</f>
        <v>778717346</v>
      </c>
      <c r="S38" s="350">
        <f>INDEX('AEO 2025 Table 8'!12:12,MATCH(S36,'AEO 2025 Table 8'!5:5,0))*10^6</f>
        <v>773744385</v>
      </c>
      <c r="T38" s="350">
        <f>INDEX('AEO 2025 Table 8'!12:12,MATCH(T36,'AEO 2025 Table 8'!5:5,0))*10^6</f>
        <v>777646606</v>
      </c>
      <c r="U38" s="350">
        <f>INDEX('AEO 2025 Table 8'!12:12,MATCH(U36,'AEO 2025 Table 8'!5:5,0))*10^6</f>
        <v>777356079</v>
      </c>
      <c r="V38" s="350">
        <f>INDEX('AEO 2025 Table 8'!12:12,MATCH(V36,'AEO 2025 Table 8'!5:5,0))*10^6</f>
        <v>775992676</v>
      </c>
      <c r="W38" s="350">
        <f>INDEX('AEO 2025 Table 8'!12:12,MATCH(W36,'AEO 2025 Table 8'!5:5,0))*10^6</f>
        <v>775865662</v>
      </c>
      <c r="X38" s="350">
        <f>INDEX('AEO 2025 Table 8'!12:12,MATCH(X36,'AEO 2025 Table 8'!5:5,0))*10^6</f>
        <v>775929443</v>
      </c>
      <c r="Y38" s="350">
        <f>INDEX('AEO 2025 Table 8'!12:12,MATCH(Y36,'AEO 2025 Table 8'!5:5,0))*10^6</f>
        <v>775962280</v>
      </c>
      <c r="Z38" s="350">
        <f>INDEX('AEO 2025 Table 8'!12:12,MATCH(Z36,'AEO 2025 Table 8'!5:5,0))*10^6</f>
        <v>776000671</v>
      </c>
      <c r="AA38" s="350">
        <f>INDEX('AEO 2025 Table 8'!12:12,MATCH(AA36,'AEO 2025 Table 8'!5:5,0))*10^6</f>
        <v>775804871</v>
      </c>
      <c r="AB38" s="350">
        <f>INDEX('AEO 2025 Table 8'!12:12,MATCH(AB36,'AEO 2025 Table 8'!5:5,0))*10^6</f>
        <v>775945679</v>
      </c>
      <c r="AC38" s="350">
        <f>INDEX('AEO 2025 Table 8'!12:12,MATCH(AC36,'AEO 2025 Table 8'!5:5,0))*10^6</f>
        <v>775593079</v>
      </c>
      <c r="AD38" s="350">
        <f>INDEX('AEO 2025 Table 8'!12:12,MATCH(AD36,'AEO 2025 Table 8'!5:5,0))*10^6</f>
        <v>775920349</v>
      </c>
      <c r="AE38" s="350">
        <f>INDEX('AEO 2025 Table 8'!12:12,MATCH(AE36,'AEO 2025 Table 8'!5:5,0))*10^6</f>
        <v>775830078</v>
      </c>
      <c r="AF38" s="350">
        <f>INDEX('AEO 2025 Table 8'!12:12,MATCH(AF36,'AEO 2025 Table 8'!5:5,0))*10^6</f>
        <v>775654053</v>
      </c>
      <c r="AG38" s="350">
        <f>INDEX('AEO 2025 Table 8'!12:12,MATCH(AG36,'AEO 2025 Table 8'!5:5,0))*10^6</f>
        <v>775728882</v>
      </c>
      <c r="AH38" s="5"/>
      <c r="AI38" s="5"/>
    </row>
    <row r="39" spans="1:35" x14ac:dyDescent="0.75">
      <c r="A39" t="s">
        <v>261</v>
      </c>
      <c r="D39">
        <f t="shared" ref="D39" si="10">D37/D38</f>
        <v>0</v>
      </c>
      <c r="E39">
        <f t="shared" ref="E39:O39" si="11">E37/E38</f>
        <v>1.5544356062906066</v>
      </c>
      <c r="F39">
        <f t="shared" si="11"/>
        <v>1.5311670156123991</v>
      </c>
      <c r="G39">
        <f t="shared" si="11"/>
        <v>1.5441468217828376</v>
      </c>
      <c r="H39">
        <f t="shared" si="11"/>
        <v>1.5145945191923484</v>
      </c>
      <c r="I39">
        <f t="shared" si="11"/>
        <v>1.5003541642267939</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7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7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7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7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75">
      <c r="A45" t="s">
        <v>268</v>
      </c>
      <c r="B45" t="s">
        <v>1425</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352">
        <f>INDEX('AEO 2025 Table 1'!10:10,MATCH(G43,'AEO 2025 Table 1'!5:5,0))*10^15</f>
        <v>1.026485E+16</v>
      </c>
      <c r="H45" s="352">
        <f>INDEX('AEO 2025 Table 1'!10:10,MATCH(H43,'AEO 2025 Table 1'!5:5,0))*10^15</f>
        <v>1.0131456E+16</v>
      </c>
      <c r="I45" s="352">
        <f>INDEX('AEO 2025 Table 1'!10:10,MATCH(I43,'AEO 2025 Table 1'!5:5,0))*10^15</f>
        <v>9293497000000000</v>
      </c>
      <c r="J45" s="352">
        <f>INDEX('AEO 2025 Table 1'!10:10,MATCH(J43,'AEO 2025 Table 1'!5:5,0))*10^15</f>
        <v>8276928000000000</v>
      </c>
      <c r="K45" s="352">
        <f>INDEX('AEO 2025 Table 1'!10:10,MATCH(K43,'AEO 2025 Table 1'!5:5,0))*10^15</f>
        <v>8234890999999999</v>
      </c>
      <c r="L45" s="352">
        <f>INDEX('AEO 2025 Table 1'!10:10,MATCH(L43,'AEO 2025 Table 1'!5:5,0))*10^15</f>
        <v>7890815000000000</v>
      </c>
      <c r="M45" s="352">
        <f>INDEX('AEO 2025 Table 1'!10:10,MATCH(M43,'AEO 2025 Table 1'!5:5,0))*10^15</f>
        <v>7084040000000000</v>
      </c>
      <c r="N45" s="352">
        <f>INDEX('AEO 2025 Table 1'!10:10,MATCH(N43,'AEO 2025 Table 1'!5:5,0))*10^15</f>
        <v>6787313000000000</v>
      </c>
      <c r="O45" s="352">
        <f>INDEX('AEO 2025 Table 1'!10:10,MATCH(O43,'AEO 2025 Table 1'!5:5,0))*10^15</f>
        <v>4313392999999999.5</v>
      </c>
      <c r="P45" s="352">
        <f>INDEX('AEO 2025 Table 1'!10:10,MATCH(P43,'AEO 2025 Table 1'!5:5,0))*10^15</f>
        <v>4312983000000000</v>
      </c>
      <c r="Q45" s="352">
        <f>INDEX('AEO 2025 Table 1'!10:10,MATCH(Q43,'AEO 2025 Table 1'!5:5,0))*10^15</f>
        <v>4267705000000000.5</v>
      </c>
      <c r="R45" s="352">
        <f>INDEX('AEO 2025 Table 1'!10:10,MATCH(R43,'AEO 2025 Table 1'!5:5,0))*10^15</f>
        <v>4298421000000000.5</v>
      </c>
      <c r="S45" s="352">
        <f>INDEX('AEO 2025 Table 1'!10:10,MATCH(S43,'AEO 2025 Table 1'!5:5,0))*10^15</f>
        <v>4226028999999999.5</v>
      </c>
      <c r="T45" s="352">
        <f>INDEX('AEO 2025 Table 1'!10:10,MATCH(T43,'AEO 2025 Table 1'!5:5,0))*10^15</f>
        <v>4238231000000000</v>
      </c>
      <c r="U45" s="352">
        <f>INDEX('AEO 2025 Table 1'!10:10,MATCH(U43,'AEO 2025 Table 1'!5:5,0))*10^15</f>
        <v>4161532000000000</v>
      </c>
      <c r="V45" s="352">
        <f>INDEX('AEO 2025 Table 1'!10:10,MATCH(V43,'AEO 2025 Table 1'!5:5,0))*10^15</f>
        <v>3857612000000000</v>
      </c>
      <c r="W45" s="352">
        <f>INDEX('AEO 2025 Table 1'!10:10,MATCH(W43,'AEO 2025 Table 1'!5:5,0))*10^15</f>
        <v>3892832000000000</v>
      </c>
      <c r="X45" s="352">
        <f>INDEX('AEO 2025 Table 1'!10:10,MATCH(X43,'AEO 2025 Table 1'!5:5,0))*10^15</f>
        <v>3849295000000000</v>
      </c>
      <c r="Y45" s="352">
        <f>INDEX('AEO 2025 Table 1'!10:10,MATCH(Y43,'AEO 2025 Table 1'!5:5,0))*10^15</f>
        <v>3853676000000000</v>
      </c>
      <c r="Z45" s="352">
        <f>INDEX('AEO 2025 Table 1'!10:10,MATCH(Z43,'AEO 2025 Table 1'!5:5,0))*10^15</f>
        <v>3865084000000000</v>
      </c>
      <c r="AA45" s="352">
        <f>INDEX('AEO 2025 Table 1'!10:10,MATCH(AA43,'AEO 2025 Table 1'!5:5,0))*10^15</f>
        <v>3875777000000000</v>
      </c>
      <c r="AB45" s="352">
        <f>INDEX('AEO 2025 Table 1'!10:10,MATCH(AB43,'AEO 2025 Table 1'!5:5,0))*10^15</f>
        <v>3917226000000000</v>
      </c>
      <c r="AC45" s="352">
        <f>INDEX('AEO 2025 Table 1'!10:10,MATCH(AC43,'AEO 2025 Table 1'!5:5,0))*10^15</f>
        <v>3781070000000000</v>
      </c>
      <c r="AD45" s="352">
        <f>INDEX('AEO 2025 Table 1'!10:10,MATCH(AD43,'AEO 2025 Table 1'!5:5,0))*10^15</f>
        <v>3815190000000000</v>
      </c>
      <c r="AE45" s="352">
        <f>INDEX('AEO 2025 Table 1'!10:10,MATCH(AE43,'AEO 2025 Table 1'!5:5,0))*10^15</f>
        <v>3824779000000000</v>
      </c>
      <c r="AF45" s="352">
        <f>INDEX('AEO 2025 Table 1'!10:10,MATCH(AF43,'AEO 2025 Table 1'!5:5,0))*10^15</f>
        <v>3842716000000000</v>
      </c>
      <c r="AG45" s="352">
        <f>INDEX('AEO 2025 Table 1'!10:10,MATCH(AG43,'AEO 2025 Table 1'!5:5,0))*10^15</f>
        <v>3797269000000000</v>
      </c>
      <c r="AH45" s="5"/>
      <c r="AI45" s="5"/>
    </row>
    <row r="46" spans="1:35" x14ac:dyDescent="0.75">
      <c r="A46" t="s">
        <v>284</v>
      </c>
      <c r="D46">
        <f t="shared" ref="D46" si="15">D44/D45</f>
        <v>7.639432243507209E-9</v>
      </c>
      <c r="E46">
        <f t="shared" ref="E46:O46" si="16">E44/E45</f>
        <v>8.4820785978241937E-9</v>
      </c>
      <c r="F46">
        <f t="shared" si="16"/>
        <v>9.0318286156329205E-9</v>
      </c>
      <c r="G46">
        <f t="shared" si="16"/>
        <v>9.7419835652737256E-9</v>
      </c>
      <c r="H46">
        <f t="shared" si="16"/>
        <v>9.8702496462502524E-9</v>
      </c>
      <c r="I46">
        <f t="shared" si="16"/>
        <v>1.0760212221513603E-8</v>
      </c>
      <c r="J46">
        <f t="shared" si="16"/>
        <v>1.2081777200429918E-8</v>
      </c>
      <c r="K46">
        <f t="shared" si="16"/>
        <v>1.2143451564811242E-8</v>
      </c>
      <c r="L46">
        <f t="shared" si="16"/>
        <v>1.2672962171841566E-8</v>
      </c>
      <c r="M46">
        <f t="shared" si="16"/>
        <v>1.4116238756415831E-8</v>
      </c>
      <c r="N46">
        <f t="shared" si="16"/>
        <v>1.4733370923073681E-8</v>
      </c>
      <c r="O46">
        <f t="shared" si="16"/>
        <v>2.3183605110872117E-8</v>
      </c>
      <c r="P46">
        <f t="shared" ref="P46:AG46" si="17">P44/P45</f>
        <v>2.3185808986494962E-8</v>
      </c>
      <c r="Q46">
        <f t="shared" si="17"/>
        <v>2.3431797652368192E-8</v>
      </c>
      <c r="R46">
        <f t="shared" si="17"/>
        <v>2.3264356841733277E-8</v>
      </c>
      <c r="S46">
        <f t="shared" si="17"/>
        <v>2.366287595281528E-8</v>
      </c>
      <c r="T46">
        <f t="shared" si="17"/>
        <v>2.3594749790655582E-8</v>
      </c>
      <c r="U46">
        <f t="shared" si="17"/>
        <v>2.4029612171671393E-8</v>
      </c>
      <c r="V46">
        <f t="shared" si="17"/>
        <v>2.5922772948653207E-8</v>
      </c>
      <c r="W46">
        <f t="shared" si="17"/>
        <v>2.5688239307527271E-8</v>
      </c>
      <c r="X46">
        <f t="shared" si="17"/>
        <v>2.5978783127819509E-8</v>
      </c>
      <c r="Y46">
        <f t="shared" si="17"/>
        <v>2.5949249495806083E-8</v>
      </c>
      <c r="Z46">
        <f t="shared" si="17"/>
        <v>2.5872658912458308E-8</v>
      </c>
      <c r="AA46">
        <f t="shared" si="17"/>
        <v>2.5801278040506459E-8</v>
      </c>
      <c r="AB46">
        <f t="shared" si="17"/>
        <v>2.5528269239507753E-8</v>
      </c>
      <c r="AC46">
        <f t="shared" si="17"/>
        <v>2.6447539982068569E-8</v>
      </c>
      <c r="AD46">
        <f t="shared" si="17"/>
        <v>2.6211014392468001E-8</v>
      </c>
      <c r="AE46">
        <f t="shared" si="17"/>
        <v>2.61453014670913E-8</v>
      </c>
      <c r="AF46">
        <f t="shared" si="17"/>
        <v>2.6023260631282665E-8</v>
      </c>
      <c r="AG46">
        <f t="shared" si="17"/>
        <v>2.6334715818131398E-8</v>
      </c>
    </row>
    <row r="48" spans="1:35" x14ac:dyDescent="0.75">
      <c r="A48" s="15" t="s">
        <v>247</v>
      </c>
    </row>
    <row r="49" spans="1:35" x14ac:dyDescent="0.7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7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7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7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7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7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75">
      <c r="A56" t="s">
        <v>270</v>
      </c>
      <c r="B56" t="s">
        <v>1425</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352">
        <f>INDEX('AEO 2025 Table 1'!9:9,MATCH(G54,'AEO 2025 Table 1'!5:5,0))*10^15</f>
        <v>3.9777958E+16</v>
      </c>
      <c r="H56" s="352">
        <f>INDEX('AEO 2025 Table 1'!9:9,MATCH(H54,'AEO 2025 Table 1'!5:5,0))*10^15</f>
        <v>3.9964314E+16</v>
      </c>
      <c r="I56" s="352">
        <f>INDEX('AEO 2025 Table 1'!9:9,MATCH(I54,'AEO 2025 Table 1'!5:5,0))*10^15</f>
        <v>4.0376175E+16</v>
      </c>
      <c r="J56" s="352">
        <f>INDEX('AEO 2025 Table 1'!9:9,MATCH(J54,'AEO 2025 Table 1'!5:5,0))*10^15</f>
        <v>4.0612423E+16</v>
      </c>
      <c r="K56" s="352">
        <f>INDEX('AEO 2025 Table 1'!9:9,MATCH(K54,'AEO 2025 Table 1'!5:5,0))*10^15</f>
        <v>4.1816151E+16</v>
      </c>
      <c r="L56" s="352">
        <f>INDEX('AEO 2025 Table 1'!9:9,MATCH(L54,'AEO 2025 Table 1'!5:5,0))*10^15</f>
        <v>4.2651703E+16</v>
      </c>
      <c r="M56" s="352">
        <f>INDEX('AEO 2025 Table 1'!9:9,MATCH(M54,'AEO 2025 Table 1'!5:5,0))*10^15</f>
        <v>4.3563282E+16</v>
      </c>
      <c r="N56" s="352">
        <f>INDEX('AEO 2025 Table 1'!9:9,MATCH(N54,'AEO 2025 Table 1'!5:5,0))*10^15</f>
        <v>4.3656242E+16</v>
      </c>
      <c r="O56" s="352">
        <f>INDEX('AEO 2025 Table 1'!9:9,MATCH(O54,'AEO 2025 Table 1'!5:5,0))*10^15</f>
        <v>4.5521187E+16</v>
      </c>
      <c r="P56" s="352">
        <f>INDEX('AEO 2025 Table 1'!9:9,MATCH(P54,'AEO 2025 Table 1'!5:5,0))*10^15</f>
        <v>4.5501274E+16</v>
      </c>
      <c r="Q56" s="352">
        <f>INDEX('AEO 2025 Table 1'!9:9,MATCH(Q54,'AEO 2025 Table 1'!5:5,0))*10^15</f>
        <v>4.5491352E+16</v>
      </c>
      <c r="R56" s="352">
        <f>INDEX('AEO 2025 Table 1'!9:9,MATCH(R54,'AEO 2025 Table 1'!5:5,0))*10^15</f>
        <v>4.5081741E+16</v>
      </c>
      <c r="S56" s="352">
        <f>INDEX('AEO 2025 Table 1'!9:9,MATCH(S54,'AEO 2025 Table 1'!5:5,0))*10^15</f>
        <v>4.4722286E+16</v>
      </c>
      <c r="T56" s="352">
        <f>INDEX('AEO 2025 Table 1'!9:9,MATCH(T54,'AEO 2025 Table 1'!5:5,0))*10^15</f>
        <v>4.4078888E+16</v>
      </c>
      <c r="U56" s="352">
        <f>INDEX('AEO 2025 Table 1'!9:9,MATCH(U54,'AEO 2025 Table 1'!5:5,0))*10^15</f>
        <v>4.3848736E+16</v>
      </c>
      <c r="V56" s="352">
        <f>INDEX('AEO 2025 Table 1'!9:9,MATCH(V54,'AEO 2025 Table 1'!5:5,0))*10^15</f>
        <v>4.3464912E+16</v>
      </c>
      <c r="W56" s="352">
        <f>INDEX('AEO 2025 Table 1'!9:9,MATCH(W54,'AEO 2025 Table 1'!5:5,0))*10^15</f>
        <v>4.3734524E+16</v>
      </c>
      <c r="X56" s="352">
        <f>INDEX('AEO 2025 Table 1'!9:9,MATCH(X54,'AEO 2025 Table 1'!5:5,0))*10^15</f>
        <v>4.4301231E+16</v>
      </c>
      <c r="Y56" s="352">
        <f>INDEX('AEO 2025 Table 1'!9:9,MATCH(Y54,'AEO 2025 Table 1'!5:5,0))*10^15</f>
        <v>4.4546783E+16</v>
      </c>
      <c r="Z56" s="352">
        <f>INDEX('AEO 2025 Table 1'!9:9,MATCH(Z54,'AEO 2025 Table 1'!5:5,0))*10^15</f>
        <v>4.4735222E+16</v>
      </c>
      <c r="AA56" s="352">
        <f>INDEX('AEO 2025 Table 1'!9:9,MATCH(AA54,'AEO 2025 Table 1'!5:5,0))*10^15</f>
        <v>4.4901123E+16</v>
      </c>
      <c r="AB56" s="352">
        <f>INDEX('AEO 2025 Table 1'!9:9,MATCH(AB54,'AEO 2025 Table 1'!5:5,0))*10^15</f>
        <v>4.516296E+16</v>
      </c>
      <c r="AC56" s="352">
        <f>INDEX('AEO 2025 Table 1'!9:9,MATCH(AC54,'AEO 2025 Table 1'!5:5,0))*10^15</f>
        <v>4.5552685E+16</v>
      </c>
      <c r="AD56" s="352">
        <f>INDEX('AEO 2025 Table 1'!9:9,MATCH(AD54,'AEO 2025 Table 1'!5:5,0))*10^15</f>
        <v>4.5824455E+16</v>
      </c>
      <c r="AE56" s="352">
        <f>INDEX('AEO 2025 Table 1'!9:9,MATCH(AE54,'AEO 2025 Table 1'!5:5,0))*10^15</f>
        <v>4.5987713E+16</v>
      </c>
      <c r="AF56" s="352">
        <f>INDEX('AEO 2025 Table 1'!9:9,MATCH(AF54,'AEO 2025 Table 1'!5:5,0))*10^15</f>
        <v>4.620248E+16</v>
      </c>
      <c r="AG56" s="352">
        <f>INDEX('AEO 2025 Table 1'!9:9,MATCH(AG54,'AEO 2025 Table 1'!5:5,0))*10^15</f>
        <v>4.6360294E+16</v>
      </c>
      <c r="AH56" s="5"/>
      <c r="AI56" s="5"/>
    </row>
    <row r="57" spans="1:35" x14ac:dyDescent="0.75">
      <c r="A57" t="s">
        <v>277</v>
      </c>
      <c r="B57" t="s">
        <v>1425</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352">
        <f>SUM(INDEX('AEO 2025 Table 1'!7:8,0,MATCH(G54,'AEO 2025 Table 1'!5:5,0)))*10^15</f>
        <v>3.640884E+16</v>
      </c>
      <c r="H57" s="352">
        <f>SUM(INDEX('AEO 2025 Table 1'!7:8,0,MATCH(H54,'AEO 2025 Table 1'!5:5,0)))*10^15</f>
        <v>3.7314077999999992E+16</v>
      </c>
      <c r="I57" s="352">
        <f>SUM(INDEX('AEO 2025 Table 1'!7:8,0,MATCH(I54,'AEO 2025 Table 1'!5:5,0)))*10^15</f>
        <v>3.8142987000000008E+16</v>
      </c>
      <c r="J57" s="352">
        <f>SUM(INDEX('AEO 2025 Table 1'!7:8,0,MATCH(J54,'AEO 2025 Table 1'!5:5,0)))*10^15</f>
        <v>3.879622E+16</v>
      </c>
      <c r="K57" s="352">
        <f>SUM(INDEX('AEO 2025 Table 1'!7:8,0,MATCH(K54,'AEO 2025 Table 1'!5:5,0)))*10^15</f>
        <v>3.8784274E+16</v>
      </c>
      <c r="L57" s="352">
        <f>SUM(INDEX('AEO 2025 Table 1'!7:8,0,MATCH(L54,'AEO 2025 Table 1'!5:5,0)))*10^15</f>
        <v>3.8812082E+16</v>
      </c>
      <c r="M57" s="352">
        <f>SUM(INDEX('AEO 2025 Table 1'!7:8,0,MATCH(M54,'AEO 2025 Table 1'!5:5,0)))*10^15</f>
        <v>3.8689198E+16</v>
      </c>
      <c r="N57" s="352">
        <f>SUM(INDEX('AEO 2025 Table 1'!7:8,0,MATCH(N54,'AEO 2025 Table 1'!5:5,0)))*10^15</f>
        <v>3.8199246E+16</v>
      </c>
      <c r="O57" s="352">
        <f>SUM(INDEX('AEO 2025 Table 1'!7:8,0,MATCH(O54,'AEO 2025 Table 1'!5:5,0)))*10^15</f>
        <v>3.7827000999999992E+16</v>
      </c>
      <c r="P57" s="352">
        <f>SUM(INDEX('AEO 2025 Table 1'!7:8,0,MATCH(P54,'AEO 2025 Table 1'!5:5,0)))*10^15</f>
        <v>3.7730307E+16</v>
      </c>
      <c r="Q57" s="352">
        <f>SUM(INDEX('AEO 2025 Table 1'!7:8,0,MATCH(Q54,'AEO 2025 Table 1'!5:5,0)))*10^15</f>
        <v>3.7625585E+16</v>
      </c>
      <c r="R57" s="352">
        <f>SUM(INDEX('AEO 2025 Table 1'!7:8,0,MATCH(R54,'AEO 2025 Table 1'!5:5,0)))*10^15</f>
        <v>3.7337531E+16</v>
      </c>
      <c r="S57" s="352">
        <f>SUM(INDEX('AEO 2025 Table 1'!7:8,0,MATCH(S54,'AEO 2025 Table 1'!5:5,0)))*10^15</f>
        <v>3.6796063E+16</v>
      </c>
      <c r="T57" s="352">
        <f>SUM(INDEX('AEO 2025 Table 1'!7:8,0,MATCH(T54,'AEO 2025 Table 1'!5:5,0)))*10^15</f>
        <v>3.6339652E+16</v>
      </c>
      <c r="U57" s="352">
        <f>SUM(INDEX('AEO 2025 Table 1'!7:8,0,MATCH(U54,'AEO 2025 Table 1'!5:5,0)))*10^15</f>
        <v>3.6025530000000004E+16</v>
      </c>
      <c r="V57" s="352">
        <f>SUM(INDEX('AEO 2025 Table 1'!7:8,0,MATCH(V54,'AEO 2025 Table 1'!5:5,0)))*10^15</f>
        <v>3.5693039999999996E+16</v>
      </c>
      <c r="W57" s="352">
        <f>SUM(INDEX('AEO 2025 Table 1'!7:8,0,MATCH(W54,'AEO 2025 Table 1'!5:5,0)))*10^15</f>
        <v>3.5441444000000004E+16</v>
      </c>
      <c r="X57" s="352">
        <f>SUM(INDEX('AEO 2025 Table 1'!7:8,0,MATCH(X54,'AEO 2025 Table 1'!5:5,0)))*10^15</f>
        <v>3.5108980000000004E+16</v>
      </c>
      <c r="Y57" s="352">
        <f>SUM(INDEX('AEO 2025 Table 1'!7:8,0,MATCH(Y54,'AEO 2025 Table 1'!5:5,0)))*10^15</f>
        <v>3.5012455000000004E+16</v>
      </c>
      <c r="Z57" s="352">
        <f>SUM(INDEX('AEO 2025 Table 1'!7:8,0,MATCH(Z54,'AEO 2025 Table 1'!5:5,0)))*10^15</f>
        <v>3.4742129E+16</v>
      </c>
      <c r="AA57" s="352">
        <f>SUM(INDEX('AEO 2025 Table 1'!7:8,0,MATCH(AA54,'AEO 2025 Table 1'!5:5,0)))*10^15</f>
        <v>3.4687155000000004E+16</v>
      </c>
      <c r="AB57" s="352">
        <f>SUM(INDEX('AEO 2025 Table 1'!7:8,0,MATCH(AB54,'AEO 2025 Table 1'!5:5,0)))*10^15</f>
        <v>3.4773302E+16</v>
      </c>
      <c r="AC57" s="352">
        <f>SUM(INDEX('AEO 2025 Table 1'!7:8,0,MATCH(AC54,'AEO 2025 Table 1'!5:5,0)))*10^15</f>
        <v>3.4713151000000004E+16</v>
      </c>
      <c r="AD57" s="352">
        <f>SUM(INDEX('AEO 2025 Table 1'!7:8,0,MATCH(AD54,'AEO 2025 Table 1'!5:5,0)))*10^15</f>
        <v>3.4581912000000004E+16</v>
      </c>
      <c r="AE57" s="352">
        <f>SUM(INDEX('AEO 2025 Table 1'!7:8,0,MATCH(AE54,'AEO 2025 Table 1'!5:5,0)))*10^15</f>
        <v>3.4373987E+16</v>
      </c>
      <c r="AF57" s="352">
        <f>SUM(INDEX('AEO 2025 Table 1'!7:8,0,MATCH(AF54,'AEO 2025 Table 1'!5:5,0)))*10^15</f>
        <v>3.4338693999999996E+16</v>
      </c>
      <c r="AG57" s="352">
        <f>SUM(INDEX('AEO 2025 Table 1'!7:8,0,MATCH(AG54,'AEO 2025 Table 1'!5:5,0)))*10^15</f>
        <v>3.430413E+16</v>
      </c>
      <c r="AH57" s="5"/>
      <c r="AI57" s="5"/>
    </row>
    <row r="58" spans="1:35" x14ac:dyDescent="0.75">
      <c r="A58" t="s">
        <v>283</v>
      </c>
      <c r="C58" s="5"/>
      <c r="D58" s="5">
        <f>D55*(D56/SUM(D56:D57))/D56</f>
        <v>2.4596705508154352E-8</v>
      </c>
      <c r="E58" s="5">
        <f t="shared" ref="E58:O58" si="20">E55*(E56/SUM(E56:E57))/E56</f>
        <v>2.308686851838839E-8</v>
      </c>
      <c r="F58" s="5">
        <f t="shared" si="20"/>
        <v>2.2633082525248467E-8</v>
      </c>
      <c r="G58" s="5">
        <f t="shared" si="20"/>
        <v>2.1263526523322325E-8</v>
      </c>
      <c r="H58" s="5">
        <f t="shared" si="20"/>
        <v>2.096316910941936E-8</v>
      </c>
      <c r="I58" s="5">
        <f t="shared" si="20"/>
        <v>2.0631906387386054E-8</v>
      </c>
      <c r="J58" s="5">
        <f t="shared" si="20"/>
        <v>2.0400801963081025E-8</v>
      </c>
      <c r="K58" s="5">
        <f t="shared" si="20"/>
        <v>2.0099149601258309E-8</v>
      </c>
      <c r="L58" s="5">
        <f t="shared" si="20"/>
        <v>1.9886137134433424E-8</v>
      </c>
      <c r="M58" s="5">
        <f t="shared" si="20"/>
        <v>1.9695454775345377E-8</v>
      </c>
      <c r="N58" s="5">
        <f t="shared" si="20"/>
        <v>1.9790976018614665E-8</v>
      </c>
      <c r="O58" s="5">
        <f t="shared" si="20"/>
        <v>1.943653532095983E-8</v>
      </c>
      <c r="P58" s="5">
        <f t="shared" ref="P58:AG58" si="21">P55*(P56/SUM(P56:P57))/P56</f>
        <v>1.9463765803030945E-8</v>
      </c>
      <c r="Q58" s="5">
        <f t="shared" si="21"/>
        <v>1.9490612364601455E-8</v>
      </c>
      <c r="R58" s="5">
        <f t="shared" si="21"/>
        <v>1.9655597055018884E-8</v>
      </c>
      <c r="S58" s="5">
        <f t="shared" si="21"/>
        <v>1.9872826423410518E-8</v>
      </c>
      <c r="T58" s="5">
        <f t="shared" si="21"/>
        <v>2.0144608444769083E-8</v>
      </c>
      <c r="U58" s="5">
        <f t="shared" si="21"/>
        <v>2.0281876518276865E-8</v>
      </c>
      <c r="V58" s="5">
        <f t="shared" si="21"/>
        <v>2.0465410727149687E-8</v>
      </c>
      <c r="W58" s="5">
        <f t="shared" si="21"/>
        <v>2.0460753949986445E-8</v>
      </c>
      <c r="X58" s="5">
        <f t="shared" si="21"/>
        <v>2.0400399137586982E-8</v>
      </c>
      <c r="Y58" s="5">
        <f t="shared" si="21"/>
        <v>2.0362185972671084E-8</v>
      </c>
      <c r="Z58" s="5">
        <f t="shared" si="21"/>
        <v>2.0383165513405199E-8</v>
      </c>
      <c r="AA58" s="5">
        <f t="shared" si="21"/>
        <v>2.0354756261971142E-8</v>
      </c>
      <c r="AB58" s="5">
        <f t="shared" si="21"/>
        <v>2.0266146545606553E-8</v>
      </c>
      <c r="AC58" s="5">
        <f t="shared" si="21"/>
        <v>2.0182933122380986E-8</v>
      </c>
      <c r="AD58" s="5">
        <f t="shared" si="21"/>
        <v>2.0147658207216356E-8</v>
      </c>
      <c r="AE58" s="5">
        <f t="shared" si="21"/>
        <v>2.0158856768833912E-8</v>
      </c>
      <c r="AF58" s="5">
        <f t="shared" si="21"/>
        <v>2.0113935761601889E-8</v>
      </c>
      <c r="AG58" s="5">
        <f t="shared" si="21"/>
        <v>2.0083202974337238E-8</v>
      </c>
      <c r="AH58" s="5"/>
      <c r="AI58" s="5"/>
    </row>
    <row r="60" spans="1:35" x14ac:dyDescent="0.75">
      <c r="A60" s="15" t="s">
        <v>31</v>
      </c>
    </row>
    <row r="61" spans="1:35" x14ac:dyDescent="0.7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75">
      <c r="A62" t="s">
        <v>270</v>
      </c>
      <c r="B62" t="s">
        <v>620</v>
      </c>
      <c r="C62" s="5"/>
      <c r="D62" s="5">
        <f t="shared" ref="D62:AG62" si="41">D56</f>
        <v>3.5682777E+16</v>
      </c>
      <c r="E62" s="5">
        <f t="shared" si="41"/>
        <v>3.7814274E+16</v>
      </c>
      <c r="F62" s="5">
        <f t="shared" si="41"/>
        <v>3.7835823E+16</v>
      </c>
      <c r="G62" s="5">
        <f t="shared" si="41"/>
        <v>3.9777958E+16</v>
      </c>
      <c r="H62" s="5">
        <f t="shared" si="41"/>
        <v>3.9964314E+16</v>
      </c>
      <c r="I62" s="5">
        <f t="shared" si="41"/>
        <v>4.0376175E+16</v>
      </c>
      <c r="J62" s="5">
        <f t="shared" si="41"/>
        <v>4.0612423E+16</v>
      </c>
      <c r="K62" s="5">
        <f t="shared" si="41"/>
        <v>4.1816151E+16</v>
      </c>
      <c r="L62" s="5">
        <f t="shared" si="41"/>
        <v>4.2651703E+16</v>
      </c>
      <c r="M62" s="5">
        <f t="shared" si="41"/>
        <v>4.3563282E+16</v>
      </c>
      <c r="N62" s="5">
        <f t="shared" si="41"/>
        <v>4.3656242E+16</v>
      </c>
      <c r="O62" s="5">
        <f t="shared" si="41"/>
        <v>4.5521187E+16</v>
      </c>
      <c r="P62" s="5">
        <f t="shared" si="41"/>
        <v>4.5501274E+16</v>
      </c>
      <c r="Q62" s="5">
        <f t="shared" si="41"/>
        <v>4.5491352E+16</v>
      </c>
      <c r="R62" s="5">
        <f t="shared" si="41"/>
        <v>4.5081741E+16</v>
      </c>
      <c r="S62" s="5">
        <f t="shared" si="41"/>
        <v>4.4722286E+16</v>
      </c>
      <c r="T62" s="5">
        <f t="shared" si="41"/>
        <v>4.4078888E+16</v>
      </c>
      <c r="U62" s="5">
        <f t="shared" si="41"/>
        <v>4.3848736E+16</v>
      </c>
      <c r="V62" s="5">
        <f t="shared" si="41"/>
        <v>4.3464912E+16</v>
      </c>
      <c r="W62" s="5">
        <f t="shared" si="41"/>
        <v>4.3734524E+16</v>
      </c>
      <c r="X62" s="5">
        <f t="shared" si="41"/>
        <v>4.4301231E+16</v>
      </c>
      <c r="Y62" s="5">
        <f t="shared" si="41"/>
        <v>4.4546783E+16</v>
      </c>
      <c r="Z62" s="5">
        <f t="shared" si="41"/>
        <v>4.4735222E+16</v>
      </c>
      <c r="AA62" s="5">
        <f t="shared" si="41"/>
        <v>4.4901123E+16</v>
      </c>
      <c r="AB62" s="5">
        <f t="shared" si="41"/>
        <v>4.516296E+16</v>
      </c>
      <c r="AC62" s="5">
        <f t="shared" si="41"/>
        <v>4.5552685E+16</v>
      </c>
      <c r="AD62" s="5">
        <f t="shared" si="41"/>
        <v>4.5824455E+16</v>
      </c>
      <c r="AE62" s="5">
        <f t="shared" si="41"/>
        <v>4.5987713E+16</v>
      </c>
      <c r="AF62" s="5">
        <f t="shared" si="41"/>
        <v>4.620248E+16</v>
      </c>
      <c r="AG62" s="5">
        <f t="shared" si="41"/>
        <v>4.6360294E+16</v>
      </c>
      <c r="AH62" s="5"/>
      <c r="AI62" s="5"/>
    </row>
    <row r="63" spans="1:35" x14ac:dyDescent="0.75">
      <c r="A63" t="s">
        <v>277</v>
      </c>
      <c r="B63" t="s">
        <v>620</v>
      </c>
      <c r="C63" s="5"/>
      <c r="D63" s="5">
        <f t="shared" ref="D63:AG63" si="42">D57</f>
        <v>3.0179702000000004E+16</v>
      </c>
      <c r="E63" s="5">
        <f t="shared" si="42"/>
        <v>3.2355485E+16</v>
      </c>
      <c r="F63" s="5">
        <f t="shared" si="42"/>
        <v>3.3740817E+16</v>
      </c>
      <c r="G63" s="5">
        <f t="shared" si="42"/>
        <v>3.640884E+16</v>
      </c>
      <c r="H63" s="5">
        <f t="shared" si="42"/>
        <v>3.7314077999999992E+16</v>
      </c>
      <c r="I63" s="5">
        <f t="shared" si="42"/>
        <v>3.8142987000000008E+16</v>
      </c>
      <c r="J63" s="5">
        <f t="shared" si="42"/>
        <v>3.879622E+16</v>
      </c>
      <c r="K63" s="5">
        <f t="shared" si="42"/>
        <v>3.8784274E+16</v>
      </c>
      <c r="L63" s="5">
        <f t="shared" si="42"/>
        <v>3.8812082E+16</v>
      </c>
      <c r="M63" s="5">
        <f t="shared" si="42"/>
        <v>3.8689198E+16</v>
      </c>
      <c r="N63" s="5">
        <f t="shared" si="42"/>
        <v>3.8199246E+16</v>
      </c>
      <c r="O63" s="5">
        <f t="shared" si="42"/>
        <v>3.7827000999999992E+16</v>
      </c>
      <c r="P63" s="5">
        <f t="shared" si="42"/>
        <v>3.7730307E+16</v>
      </c>
      <c r="Q63" s="5">
        <f t="shared" si="42"/>
        <v>3.7625585E+16</v>
      </c>
      <c r="R63" s="5">
        <f t="shared" si="42"/>
        <v>3.7337531E+16</v>
      </c>
      <c r="S63" s="5">
        <f t="shared" si="42"/>
        <v>3.6796063E+16</v>
      </c>
      <c r="T63" s="5">
        <f t="shared" si="42"/>
        <v>3.6339652E+16</v>
      </c>
      <c r="U63" s="5">
        <f t="shared" si="42"/>
        <v>3.6025530000000004E+16</v>
      </c>
      <c r="V63" s="5">
        <f t="shared" si="42"/>
        <v>3.5693039999999996E+16</v>
      </c>
      <c r="W63" s="5">
        <f t="shared" si="42"/>
        <v>3.5441444000000004E+16</v>
      </c>
      <c r="X63" s="5">
        <f t="shared" si="42"/>
        <v>3.5108980000000004E+16</v>
      </c>
      <c r="Y63" s="5">
        <f t="shared" si="42"/>
        <v>3.5012455000000004E+16</v>
      </c>
      <c r="Z63" s="5">
        <f t="shared" si="42"/>
        <v>3.4742129E+16</v>
      </c>
      <c r="AA63" s="5">
        <f t="shared" si="42"/>
        <v>3.4687155000000004E+16</v>
      </c>
      <c r="AB63" s="5">
        <f t="shared" si="42"/>
        <v>3.4773302E+16</v>
      </c>
      <c r="AC63" s="5">
        <f t="shared" si="42"/>
        <v>3.4713151000000004E+16</v>
      </c>
      <c r="AD63" s="5">
        <f t="shared" si="42"/>
        <v>3.4581912000000004E+16</v>
      </c>
      <c r="AE63" s="5">
        <f t="shared" si="42"/>
        <v>3.4373987E+16</v>
      </c>
      <c r="AF63" s="5">
        <f t="shared" si="42"/>
        <v>3.4338693999999996E+16</v>
      </c>
      <c r="AG63" s="5">
        <f t="shared" si="42"/>
        <v>3.430413E+16</v>
      </c>
      <c r="AH63" s="5"/>
      <c r="AI63" s="5"/>
    </row>
    <row r="64" spans="1:35" x14ac:dyDescent="0.75">
      <c r="A64" t="s">
        <v>283</v>
      </c>
      <c r="C64" s="5"/>
      <c r="D64" s="5">
        <f t="shared" ref="D64:AG64" si="43">D61*(D62/SUM(D62:D63))/D62</f>
        <v>2.1256412167540793E-9</v>
      </c>
      <c r="E64" s="5">
        <f t="shared" si="43"/>
        <v>1.9951614768977616E-9</v>
      </c>
      <c r="F64" s="5">
        <f t="shared" si="43"/>
        <v>1.9559454034165337E-9</v>
      </c>
      <c r="G64" s="5">
        <f t="shared" si="43"/>
        <v>1.8375887118920525E-9</v>
      </c>
      <c r="H64" s="5">
        <f t="shared" si="43"/>
        <v>1.8116318983448828E-9</v>
      </c>
      <c r="I64" s="5">
        <f t="shared" si="43"/>
        <v>1.7830042557000291E-9</v>
      </c>
      <c r="J64" s="5">
        <f t="shared" si="43"/>
        <v>1.7630322684144094E-9</v>
      </c>
      <c r="K64" s="5">
        <f t="shared" si="43"/>
        <v>1.7369635457877546E-9</v>
      </c>
      <c r="L64" s="5">
        <f t="shared" si="43"/>
        <v>1.7185550610004187E-9</v>
      </c>
      <c r="M64" s="5">
        <f t="shared" si="43"/>
        <v>1.702076338610094E-9</v>
      </c>
      <c r="N64" s="5">
        <f t="shared" si="43"/>
        <v>1.7103312608679336E-9</v>
      </c>
      <c r="O64" s="5">
        <f t="shared" si="43"/>
        <v>1.6797005832928245E-9</v>
      </c>
      <c r="P64" s="5">
        <f t="shared" si="43"/>
        <v>1.6820538348298345E-9</v>
      </c>
      <c r="Q64" s="5">
        <f t="shared" si="43"/>
        <v>1.6843739080519771E-9</v>
      </c>
      <c r="R64" s="5">
        <f t="shared" si="43"/>
        <v>1.6986318442608908E-9</v>
      </c>
      <c r="S64" s="5">
        <f t="shared" si="43"/>
        <v>1.7174047526404151E-9</v>
      </c>
      <c r="T64" s="5">
        <f t="shared" si="43"/>
        <v>1.7408920878195502E-9</v>
      </c>
      <c r="U64" s="5">
        <f t="shared" si="43"/>
        <v>1.752754760838741E-9</v>
      </c>
      <c r="V64" s="5">
        <f t="shared" si="43"/>
        <v>1.7686157418524419E-9</v>
      </c>
      <c r="W64" s="5">
        <f t="shared" si="43"/>
        <v>1.768213304319816E-9</v>
      </c>
      <c r="X64" s="5">
        <f t="shared" si="43"/>
        <v>1.762997456334677E-9</v>
      </c>
      <c r="Y64" s="5">
        <f t="shared" si="43"/>
        <v>1.7596950840579947E-9</v>
      </c>
      <c r="Z64" s="5">
        <f t="shared" si="43"/>
        <v>1.7615081307881034E-9</v>
      </c>
      <c r="AA64" s="5">
        <f t="shared" si="43"/>
        <v>1.7590530102938024E-9</v>
      </c>
      <c r="AB64" s="5">
        <f t="shared" si="43"/>
        <v>1.7513953804845166E-9</v>
      </c>
      <c r="AC64" s="5">
        <f t="shared" si="43"/>
        <v>1.7442040969958877E-9</v>
      </c>
      <c r="AD64" s="5">
        <f t="shared" si="43"/>
        <v>1.7411556475372158E-9</v>
      </c>
      <c r="AE64" s="5">
        <f t="shared" si="43"/>
        <v>1.742123424467128E-9</v>
      </c>
      <c r="AF64" s="5">
        <f t="shared" si="43"/>
        <v>1.7382413621137431E-9</v>
      </c>
      <c r="AG64" s="5">
        <f t="shared" si="43"/>
        <v>1.7355854422266746E-9</v>
      </c>
      <c r="AH64" s="5"/>
      <c r="AI64" s="5"/>
    </row>
    <row r="66" spans="1:36" x14ac:dyDescent="0.75">
      <c r="A66" s="15" t="s">
        <v>38</v>
      </c>
    </row>
    <row r="67" spans="1:36" x14ac:dyDescent="0.7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75">
      <c r="A68" t="s">
        <v>270</v>
      </c>
      <c r="B68" t="s">
        <v>620</v>
      </c>
      <c r="C68" s="5"/>
      <c r="D68" s="5">
        <f t="shared" ref="D68:AG68" si="63">D56</f>
        <v>3.5682777E+16</v>
      </c>
      <c r="E68" s="5">
        <f t="shared" si="63"/>
        <v>3.7814274E+16</v>
      </c>
      <c r="F68" s="5">
        <f t="shared" si="63"/>
        <v>3.7835823E+16</v>
      </c>
      <c r="G68" s="5">
        <f t="shared" si="63"/>
        <v>3.9777958E+16</v>
      </c>
      <c r="H68" s="5">
        <f t="shared" si="63"/>
        <v>3.9964314E+16</v>
      </c>
      <c r="I68" s="5">
        <f t="shared" si="63"/>
        <v>4.0376175E+16</v>
      </c>
      <c r="J68" s="5">
        <f t="shared" si="63"/>
        <v>4.0612423E+16</v>
      </c>
      <c r="K68" s="5">
        <f t="shared" si="63"/>
        <v>4.1816151E+16</v>
      </c>
      <c r="L68" s="5">
        <f t="shared" si="63"/>
        <v>4.2651703E+16</v>
      </c>
      <c r="M68" s="5">
        <f t="shared" si="63"/>
        <v>4.3563282E+16</v>
      </c>
      <c r="N68" s="5">
        <f t="shared" si="63"/>
        <v>4.3656242E+16</v>
      </c>
      <c r="O68" s="5">
        <f t="shared" si="63"/>
        <v>4.5521187E+16</v>
      </c>
      <c r="P68" s="5">
        <f t="shared" si="63"/>
        <v>4.5501274E+16</v>
      </c>
      <c r="Q68" s="5">
        <f t="shared" si="63"/>
        <v>4.5491352E+16</v>
      </c>
      <c r="R68" s="5">
        <f t="shared" si="63"/>
        <v>4.5081741E+16</v>
      </c>
      <c r="S68" s="5">
        <f t="shared" si="63"/>
        <v>4.4722286E+16</v>
      </c>
      <c r="T68" s="5">
        <f t="shared" si="63"/>
        <v>4.4078888E+16</v>
      </c>
      <c r="U68" s="5">
        <f t="shared" si="63"/>
        <v>4.3848736E+16</v>
      </c>
      <c r="V68" s="5">
        <f t="shared" si="63"/>
        <v>4.3464912E+16</v>
      </c>
      <c r="W68" s="5">
        <f t="shared" si="63"/>
        <v>4.3734524E+16</v>
      </c>
      <c r="X68" s="5">
        <f t="shared" si="63"/>
        <v>4.4301231E+16</v>
      </c>
      <c r="Y68" s="5">
        <f t="shared" si="63"/>
        <v>4.4546783E+16</v>
      </c>
      <c r="Z68" s="5">
        <f t="shared" si="63"/>
        <v>4.4735222E+16</v>
      </c>
      <c r="AA68" s="5">
        <f t="shared" si="63"/>
        <v>4.4901123E+16</v>
      </c>
      <c r="AB68" s="5">
        <f t="shared" si="63"/>
        <v>4.516296E+16</v>
      </c>
      <c r="AC68" s="5">
        <f t="shared" si="63"/>
        <v>4.5552685E+16</v>
      </c>
      <c r="AD68" s="5">
        <f t="shared" si="63"/>
        <v>4.5824455E+16</v>
      </c>
      <c r="AE68" s="5">
        <f t="shared" si="63"/>
        <v>4.5987713E+16</v>
      </c>
      <c r="AF68" s="5">
        <f t="shared" si="63"/>
        <v>4.620248E+16</v>
      </c>
      <c r="AG68" s="5">
        <f t="shared" si="63"/>
        <v>4.6360294E+16</v>
      </c>
      <c r="AH68" s="5"/>
      <c r="AI68" s="5"/>
    </row>
    <row r="69" spans="1:36" x14ac:dyDescent="0.75">
      <c r="A69" t="s">
        <v>277</v>
      </c>
      <c r="B69" t="s">
        <v>620</v>
      </c>
      <c r="C69" s="5"/>
      <c r="D69" s="5">
        <f t="shared" ref="D69:AG69" si="64">D57</f>
        <v>3.0179702000000004E+16</v>
      </c>
      <c r="E69" s="5">
        <f t="shared" si="64"/>
        <v>3.2355485E+16</v>
      </c>
      <c r="F69" s="5">
        <f t="shared" si="64"/>
        <v>3.3740817E+16</v>
      </c>
      <c r="G69" s="5">
        <f t="shared" si="64"/>
        <v>3.640884E+16</v>
      </c>
      <c r="H69" s="5">
        <f t="shared" si="64"/>
        <v>3.7314077999999992E+16</v>
      </c>
      <c r="I69" s="5">
        <f t="shared" si="64"/>
        <v>3.8142987000000008E+16</v>
      </c>
      <c r="J69" s="5">
        <f t="shared" si="64"/>
        <v>3.879622E+16</v>
      </c>
      <c r="K69" s="5">
        <f t="shared" si="64"/>
        <v>3.8784274E+16</v>
      </c>
      <c r="L69" s="5">
        <f t="shared" si="64"/>
        <v>3.8812082E+16</v>
      </c>
      <c r="M69" s="5">
        <f t="shared" si="64"/>
        <v>3.8689198E+16</v>
      </c>
      <c r="N69" s="5">
        <f t="shared" si="64"/>
        <v>3.8199246E+16</v>
      </c>
      <c r="O69" s="5">
        <f t="shared" si="64"/>
        <v>3.7827000999999992E+16</v>
      </c>
      <c r="P69" s="5">
        <f t="shared" si="64"/>
        <v>3.7730307E+16</v>
      </c>
      <c r="Q69" s="5">
        <f t="shared" si="64"/>
        <v>3.7625585E+16</v>
      </c>
      <c r="R69" s="5">
        <f t="shared" si="64"/>
        <v>3.7337531E+16</v>
      </c>
      <c r="S69" s="5">
        <f t="shared" si="64"/>
        <v>3.6796063E+16</v>
      </c>
      <c r="T69" s="5">
        <f t="shared" si="64"/>
        <v>3.6339652E+16</v>
      </c>
      <c r="U69" s="5">
        <f t="shared" si="64"/>
        <v>3.6025530000000004E+16</v>
      </c>
      <c r="V69" s="5">
        <f t="shared" si="64"/>
        <v>3.5693039999999996E+16</v>
      </c>
      <c r="W69" s="5">
        <f t="shared" si="64"/>
        <v>3.5441444000000004E+16</v>
      </c>
      <c r="X69" s="5">
        <f t="shared" si="64"/>
        <v>3.5108980000000004E+16</v>
      </c>
      <c r="Y69" s="5">
        <f t="shared" si="64"/>
        <v>3.5012455000000004E+16</v>
      </c>
      <c r="Z69" s="5">
        <f t="shared" si="64"/>
        <v>3.4742129E+16</v>
      </c>
      <c r="AA69" s="5">
        <f t="shared" si="64"/>
        <v>3.4687155000000004E+16</v>
      </c>
      <c r="AB69" s="5">
        <f t="shared" si="64"/>
        <v>3.4773302E+16</v>
      </c>
      <c r="AC69" s="5">
        <f t="shared" si="64"/>
        <v>3.4713151000000004E+16</v>
      </c>
      <c r="AD69" s="5">
        <f t="shared" si="64"/>
        <v>3.4581912000000004E+16</v>
      </c>
      <c r="AE69" s="5">
        <f t="shared" si="64"/>
        <v>3.4373987E+16</v>
      </c>
      <c r="AF69" s="5">
        <f t="shared" si="64"/>
        <v>3.4338693999999996E+16</v>
      </c>
      <c r="AG69" s="5">
        <f t="shared" si="64"/>
        <v>3.430413E+16</v>
      </c>
      <c r="AH69" s="5"/>
      <c r="AI69" s="5"/>
    </row>
    <row r="70" spans="1:36" x14ac:dyDescent="0.75">
      <c r="A70" t="s">
        <v>283</v>
      </c>
      <c r="C70" s="5"/>
      <c r="D70" s="5">
        <f t="shared" ref="D70:AG70" si="65">D67*(D68/SUM(D68:D69))/D68</f>
        <v>1.8219781857892108E-8</v>
      </c>
      <c r="E70" s="5">
        <f t="shared" si="65"/>
        <v>1.7101384087695103E-8</v>
      </c>
      <c r="F70" s="5">
        <f t="shared" si="65"/>
        <v>1.6765246314998861E-8</v>
      </c>
      <c r="G70" s="5">
        <f t="shared" si="65"/>
        <v>1.5750760387646166E-8</v>
      </c>
      <c r="H70" s="5">
        <f t="shared" si="65"/>
        <v>1.5528273414384707E-8</v>
      </c>
      <c r="I70" s="5">
        <f t="shared" si="65"/>
        <v>1.5282893620285964E-8</v>
      </c>
      <c r="J70" s="5">
        <f t="shared" si="65"/>
        <v>1.5111705157837792E-8</v>
      </c>
      <c r="K70" s="5">
        <f t="shared" si="65"/>
        <v>1.4888258963895039E-8</v>
      </c>
      <c r="L70" s="5">
        <f t="shared" si="65"/>
        <v>1.4730471951432162E-8</v>
      </c>
      <c r="M70" s="5">
        <f t="shared" si="65"/>
        <v>1.4589225759515092E-8</v>
      </c>
      <c r="N70" s="5">
        <f t="shared" si="65"/>
        <v>1.4659982236010858E-8</v>
      </c>
      <c r="O70" s="5">
        <f t="shared" si="65"/>
        <v>1.4397433571081353E-8</v>
      </c>
      <c r="P70" s="5">
        <f t="shared" si="65"/>
        <v>1.4417604298541439E-8</v>
      </c>
      <c r="Q70" s="5">
        <f t="shared" si="65"/>
        <v>1.443749064044552E-8</v>
      </c>
      <c r="R70" s="5">
        <f t="shared" si="65"/>
        <v>1.4559701522236208E-8</v>
      </c>
      <c r="S70" s="5">
        <f t="shared" si="65"/>
        <v>1.4720612165489271E-8</v>
      </c>
      <c r="T70" s="5">
        <f t="shared" si="65"/>
        <v>1.4921932181310428E-8</v>
      </c>
      <c r="U70" s="5">
        <f t="shared" si="65"/>
        <v>1.5023612235760637E-8</v>
      </c>
      <c r="V70" s="5">
        <f t="shared" si="65"/>
        <v>1.5159563501592362E-8</v>
      </c>
      <c r="W70" s="5">
        <f t="shared" si="65"/>
        <v>1.5156114037026993E-8</v>
      </c>
      <c r="X70" s="5">
        <f t="shared" si="65"/>
        <v>1.5111406768582949E-8</v>
      </c>
      <c r="Y70" s="5">
        <f t="shared" si="65"/>
        <v>1.5083100720497096E-8</v>
      </c>
      <c r="Z70" s="5">
        <f t="shared" si="65"/>
        <v>1.5098641121040886E-8</v>
      </c>
      <c r="AA70" s="5">
        <f t="shared" si="65"/>
        <v>1.5077597231089734E-8</v>
      </c>
      <c r="AB70" s="5">
        <f t="shared" si="65"/>
        <v>1.5011960404152999E-8</v>
      </c>
      <c r="AC70" s="5">
        <f t="shared" si="65"/>
        <v>1.4950320831393322E-8</v>
      </c>
      <c r="AD70" s="5">
        <f t="shared" si="65"/>
        <v>1.4924191264604708E-8</v>
      </c>
      <c r="AE70" s="5">
        <f t="shared" si="65"/>
        <v>1.4932486495432526E-8</v>
      </c>
      <c r="AF70" s="5">
        <f t="shared" si="65"/>
        <v>1.4899211675260655E-8</v>
      </c>
      <c r="AG70" s="5">
        <f t="shared" si="65"/>
        <v>1.4876446647657211E-8</v>
      </c>
      <c r="AH70" s="5"/>
      <c r="AI70" s="5"/>
    </row>
    <row r="72" spans="1:36" x14ac:dyDescent="0.7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7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7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75">
      <c r="A75" t="s">
        <v>279</v>
      </c>
      <c r="B75" t="s">
        <v>621</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353">
        <f>INDEX('AEO 2025 Table 11'!7:7,MATCH(H73,'AEO 2025 Table 11'!5:5,0))</f>
        <v>13.266057999999999</v>
      </c>
      <c r="I75" s="353">
        <f>INDEX('AEO 2025 Table 11'!7:7,MATCH(I73,'AEO 2025 Table 11'!5:5,0))</f>
        <v>13.693652</v>
      </c>
      <c r="J75" s="353">
        <f>INDEX('AEO 2025 Table 11'!7:7,MATCH(J73,'AEO 2025 Table 11'!5:5,0))</f>
        <v>13.835194</v>
      </c>
      <c r="K75" s="353">
        <f>INDEX('AEO 2025 Table 11'!7:7,MATCH(K73,'AEO 2025 Table 11'!5:5,0))</f>
        <v>14.025308000000001</v>
      </c>
      <c r="L75" s="353">
        <f>INDEX('AEO 2025 Table 11'!7:7,MATCH(L73,'AEO 2025 Table 11'!5:5,0))</f>
        <v>14.023446</v>
      </c>
      <c r="M75" s="353">
        <f>INDEX('AEO 2025 Table 11'!7:7,MATCH(M73,'AEO 2025 Table 11'!5:5,0))</f>
        <v>14.009728000000001</v>
      </c>
      <c r="N75" s="353">
        <f>INDEX('AEO 2025 Table 11'!7:7,MATCH(N73,'AEO 2025 Table 11'!5:5,0))</f>
        <v>13.909203</v>
      </c>
      <c r="O75" s="353">
        <f>INDEX('AEO 2025 Table 11'!7:7,MATCH(O73,'AEO 2025 Table 11'!5:5,0))</f>
        <v>13.730183</v>
      </c>
      <c r="P75" s="353">
        <f>INDEX('AEO 2025 Table 11'!7:7,MATCH(P73,'AEO 2025 Table 11'!5:5,0))</f>
        <v>13.507175</v>
      </c>
      <c r="Q75" s="353">
        <f>INDEX('AEO 2025 Table 11'!7:7,MATCH(Q73,'AEO 2025 Table 11'!5:5,0))</f>
        <v>13.404424000000001</v>
      </c>
      <c r="R75" s="353">
        <f>INDEX('AEO 2025 Table 11'!7:7,MATCH(R73,'AEO 2025 Table 11'!5:5,0))</f>
        <v>13.299763</v>
      </c>
      <c r="S75" s="353">
        <f>INDEX('AEO 2025 Table 11'!7:7,MATCH(S73,'AEO 2025 Table 11'!5:5,0))</f>
        <v>13.026337</v>
      </c>
      <c r="T75" s="353">
        <f>INDEX('AEO 2025 Table 11'!7:7,MATCH(T73,'AEO 2025 Table 11'!5:5,0))</f>
        <v>12.777983000000001</v>
      </c>
      <c r="U75" s="353">
        <f>INDEX('AEO 2025 Table 11'!7:7,MATCH(U73,'AEO 2025 Table 11'!5:5,0))</f>
        <v>12.557478</v>
      </c>
      <c r="V75" s="353">
        <f>INDEX('AEO 2025 Table 11'!7:7,MATCH(V73,'AEO 2025 Table 11'!5:5,0))</f>
        <v>12.337666</v>
      </c>
      <c r="W75" s="353">
        <f>INDEX('AEO 2025 Table 11'!7:7,MATCH(W73,'AEO 2025 Table 11'!5:5,0))</f>
        <v>12.155936000000001</v>
      </c>
      <c r="X75" s="353">
        <f>INDEX('AEO 2025 Table 11'!7:7,MATCH(X73,'AEO 2025 Table 11'!5:5,0))</f>
        <v>12.015428</v>
      </c>
      <c r="Y75" s="353">
        <f>INDEX('AEO 2025 Table 11'!7:7,MATCH(Y73,'AEO 2025 Table 11'!5:5,0))</f>
        <v>11.859089000000001</v>
      </c>
      <c r="Z75" s="353">
        <f>INDEX('AEO 2025 Table 11'!7:7,MATCH(Z73,'AEO 2025 Table 11'!5:5,0))</f>
        <v>11.788242</v>
      </c>
      <c r="AA75" s="353">
        <f>INDEX('AEO 2025 Table 11'!7:7,MATCH(AA73,'AEO 2025 Table 11'!5:5,0))</f>
        <v>11.645022000000001</v>
      </c>
      <c r="AB75" s="353">
        <f>INDEX('AEO 2025 Table 11'!7:7,MATCH(AB73,'AEO 2025 Table 11'!5:5,0))</f>
        <v>11.598876000000001</v>
      </c>
      <c r="AC75" s="353">
        <f>INDEX('AEO 2025 Table 11'!7:7,MATCH(AC73,'AEO 2025 Table 11'!5:5,0))</f>
        <v>11.619228</v>
      </c>
      <c r="AD75" s="353">
        <f>INDEX('AEO 2025 Table 11'!7:7,MATCH(AD73,'AEO 2025 Table 11'!5:5,0))</f>
        <v>11.552236000000001</v>
      </c>
      <c r="AE75" s="353">
        <f>INDEX('AEO 2025 Table 11'!7:7,MATCH(AE73,'AEO 2025 Table 11'!5:5,0))</f>
        <v>11.458454</v>
      </c>
      <c r="AF75" s="353">
        <f>INDEX('AEO 2025 Table 11'!7:7,MATCH(AF73,'AEO 2025 Table 11'!5:5,0))</f>
        <v>11.354692</v>
      </c>
      <c r="AG75" s="353">
        <f>INDEX('AEO 2025 Table 11'!7:7,MATCH(AG73,'AEO 2025 Table 11'!5:5,0))</f>
        <v>11.326180000000001</v>
      </c>
      <c r="AH75" s="353">
        <f>INDEX('AEO 2025 Table 11'!7:7,MATCH(AH73,'AEO 2025 Table 11'!5:5,0))</f>
        <v>11.279612999999999</v>
      </c>
      <c r="AI75" s="4"/>
      <c r="AJ75" s="4"/>
    </row>
    <row r="76" spans="1:36" x14ac:dyDescent="0.7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75">
      <c r="A77" t="s">
        <v>282</v>
      </c>
      <c r="B77" t="s">
        <v>621</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354">
        <f>(INDEX('AEO 2025 Table 11'!7:7,MATCH(H73,'AEO 2025 Table 11'!5:5,0))-INDEX('AEO 2025 Table 11'!12:12,MATCH(H73,'AEO 2025 Table 11'!5:5,0)))/INDEX('AEO 2025 Table 11'!14:14,MATCH(H73,'AEO 2025 Table 11'!5:5,0))</f>
        <v>0.56200943672814152</v>
      </c>
      <c r="I77" s="354">
        <f>(INDEX('AEO 2025 Table 11'!7:7,MATCH(I73,'AEO 2025 Table 11'!5:5,0))-INDEX('AEO 2025 Table 11'!12:12,MATCH(I73,'AEO 2025 Table 11'!5:5,0)))/INDEX('AEO 2025 Table 11'!14:14,MATCH(I73,'AEO 2025 Table 11'!5:5,0))</f>
        <v>0.58766209732065777</v>
      </c>
      <c r="J77" s="354">
        <f>(INDEX('AEO 2025 Table 11'!7:7,MATCH(J73,'AEO 2025 Table 11'!5:5,0))-INDEX('AEO 2025 Table 11'!12:12,MATCH(J73,'AEO 2025 Table 11'!5:5,0)))/INDEX('AEO 2025 Table 11'!14:14,MATCH(J73,'AEO 2025 Table 11'!5:5,0))</f>
        <v>0.59577459742198791</v>
      </c>
      <c r="K77" s="354">
        <f>(INDEX('AEO 2025 Table 11'!7:7,MATCH(K73,'AEO 2025 Table 11'!5:5,0))-INDEX('AEO 2025 Table 11'!12:12,MATCH(K73,'AEO 2025 Table 11'!5:5,0)))/INDEX('AEO 2025 Table 11'!14:14,MATCH(K73,'AEO 2025 Table 11'!5:5,0))</f>
        <v>0.61097667953878598</v>
      </c>
      <c r="L77" s="354">
        <f>(INDEX('AEO 2025 Table 11'!7:7,MATCH(L73,'AEO 2025 Table 11'!5:5,0))-INDEX('AEO 2025 Table 11'!12:12,MATCH(L73,'AEO 2025 Table 11'!5:5,0)))/INDEX('AEO 2025 Table 11'!14:14,MATCH(L73,'AEO 2025 Table 11'!5:5,0))</f>
        <v>0.6139025394020915</v>
      </c>
      <c r="M77" s="354">
        <f>(INDEX('AEO 2025 Table 11'!7:7,MATCH(M73,'AEO 2025 Table 11'!5:5,0))-INDEX('AEO 2025 Table 11'!12:12,MATCH(M73,'AEO 2025 Table 11'!5:5,0)))/INDEX('AEO 2025 Table 11'!14:14,MATCH(M73,'AEO 2025 Table 11'!5:5,0))</f>
        <v>0.62039379733752509</v>
      </c>
      <c r="N77" s="354">
        <f>(INDEX('AEO 2025 Table 11'!7:7,MATCH(N73,'AEO 2025 Table 11'!5:5,0))-INDEX('AEO 2025 Table 11'!12:12,MATCH(N73,'AEO 2025 Table 11'!5:5,0)))/INDEX('AEO 2025 Table 11'!14:14,MATCH(N73,'AEO 2025 Table 11'!5:5,0))</f>
        <v>0.60996995896330586</v>
      </c>
      <c r="O77" s="354">
        <f>(INDEX('AEO 2025 Table 11'!7:7,MATCH(O73,'AEO 2025 Table 11'!5:5,0))-INDEX('AEO 2025 Table 11'!12:12,MATCH(O73,'AEO 2025 Table 11'!5:5,0)))/INDEX('AEO 2025 Table 11'!14:14,MATCH(O73,'AEO 2025 Table 11'!5:5,0))</f>
        <v>0.59447362476437016</v>
      </c>
      <c r="P77" s="354">
        <f>(INDEX('AEO 2025 Table 11'!7:7,MATCH(P73,'AEO 2025 Table 11'!5:5,0))-INDEX('AEO 2025 Table 11'!12:12,MATCH(P73,'AEO 2025 Table 11'!5:5,0)))/INDEX('AEO 2025 Table 11'!14:14,MATCH(P73,'AEO 2025 Table 11'!5:5,0))</f>
        <v>0.59191956472623186</v>
      </c>
      <c r="Q77" s="354">
        <f>(INDEX('AEO 2025 Table 11'!7:7,MATCH(Q73,'AEO 2025 Table 11'!5:5,0))-INDEX('AEO 2025 Table 11'!12:12,MATCH(Q73,'AEO 2025 Table 11'!5:5,0)))/INDEX('AEO 2025 Table 11'!14:14,MATCH(Q73,'AEO 2025 Table 11'!5:5,0))</f>
        <v>0.58819162605215547</v>
      </c>
      <c r="R77" s="354">
        <f>(INDEX('AEO 2025 Table 11'!7:7,MATCH(R73,'AEO 2025 Table 11'!5:5,0))-INDEX('AEO 2025 Table 11'!12:12,MATCH(R73,'AEO 2025 Table 11'!5:5,0)))/INDEX('AEO 2025 Table 11'!14:14,MATCH(R73,'AEO 2025 Table 11'!5:5,0))</f>
        <v>0.58044758080859171</v>
      </c>
      <c r="S77" s="354">
        <f>(INDEX('AEO 2025 Table 11'!7:7,MATCH(S73,'AEO 2025 Table 11'!5:5,0))-INDEX('AEO 2025 Table 11'!12:12,MATCH(S73,'AEO 2025 Table 11'!5:5,0)))/INDEX('AEO 2025 Table 11'!14:14,MATCH(S73,'AEO 2025 Table 11'!5:5,0))</f>
        <v>0.56706476241409398</v>
      </c>
      <c r="T77" s="354">
        <f>(INDEX('AEO 2025 Table 11'!7:7,MATCH(T73,'AEO 2025 Table 11'!5:5,0))-INDEX('AEO 2025 Table 11'!12:12,MATCH(T73,'AEO 2025 Table 11'!5:5,0)))/INDEX('AEO 2025 Table 11'!14:14,MATCH(T73,'AEO 2025 Table 11'!5:5,0))</f>
        <v>0.55785386776913559</v>
      </c>
      <c r="U77" s="354">
        <f>(INDEX('AEO 2025 Table 11'!7:7,MATCH(U73,'AEO 2025 Table 11'!5:5,0))-INDEX('AEO 2025 Table 11'!12:12,MATCH(U73,'AEO 2025 Table 11'!5:5,0)))/INDEX('AEO 2025 Table 11'!14:14,MATCH(U73,'AEO 2025 Table 11'!5:5,0))</f>
        <v>0.55210066935724889</v>
      </c>
      <c r="V77" s="354">
        <f>(INDEX('AEO 2025 Table 11'!7:7,MATCH(V73,'AEO 2025 Table 11'!5:5,0))-INDEX('AEO 2025 Table 11'!12:12,MATCH(V73,'AEO 2025 Table 11'!5:5,0)))/INDEX('AEO 2025 Table 11'!14:14,MATCH(V73,'AEO 2025 Table 11'!5:5,0))</f>
        <v>0.54378749583901331</v>
      </c>
      <c r="W77" s="354">
        <f>(INDEX('AEO 2025 Table 11'!7:7,MATCH(W73,'AEO 2025 Table 11'!5:5,0))-INDEX('AEO 2025 Table 11'!12:12,MATCH(W73,'AEO 2025 Table 11'!5:5,0)))/INDEX('AEO 2025 Table 11'!14:14,MATCH(W73,'AEO 2025 Table 11'!5:5,0))</f>
        <v>0.53380548811118833</v>
      </c>
      <c r="X77" s="354">
        <f>(INDEX('AEO 2025 Table 11'!7:7,MATCH(X73,'AEO 2025 Table 11'!5:5,0))-INDEX('AEO 2025 Table 11'!12:12,MATCH(X73,'AEO 2025 Table 11'!5:5,0)))/INDEX('AEO 2025 Table 11'!14:14,MATCH(X73,'AEO 2025 Table 11'!5:5,0))</f>
        <v>0.52722643937921942</v>
      </c>
      <c r="Y77" s="354">
        <f>(INDEX('AEO 2025 Table 11'!7:7,MATCH(Y73,'AEO 2025 Table 11'!5:5,0))-INDEX('AEO 2025 Table 11'!12:12,MATCH(Y73,'AEO 2025 Table 11'!5:5,0)))/INDEX('AEO 2025 Table 11'!14:14,MATCH(Y73,'AEO 2025 Table 11'!5:5,0))</f>
        <v>0.51763063591545355</v>
      </c>
      <c r="Z77" s="354">
        <f>(INDEX('AEO 2025 Table 11'!7:7,MATCH(Z73,'AEO 2025 Table 11'!5:5,0))-INDEX('AEO 2025 Table 11'!12:12,MATCH(Z73,'AEO 2025 Table 11'!5:5,0)))/INDEX('AEO 2025 Table 11'!14:14,MATCH(Z73,'AEO 2025 Table 11'!5:5,0))</f>
        <v>0.50711817801675174</v>
      </c>
      <c r="AA77" s="354">
        <f>(INDEX('AEO 2025 Table 11'!7:7,MATCH(AA73,'AEO 2025 Table 11'!5:5,0))-INDEX('AEO 2025 Table 11'!12:12,MATCH(AA73,'AEO 2025 Table 11'!5:5,0)))/INDEX('AEO 2025 Table 11'!14:14,MATCH(AA73,'AEO 2025 Table 11'!5:5,0))</f>
        <v>0.49842269584530879</v>
      </c>
      <c r="AB77" s="354">
        <f>(INDEX('AEO 2025 Table 11'!7:7,MATCH(AB73,'AEO 2025 Table 11'!5:5,0))-INDEX('AEO 2025 Table 11'!12:12,MATCH(AB73,'AEO 2025 Table 11'!5:5,0)))/INDEX('AEO 2025 Table 11'!14:14,MATCH(AB73,'AEO 2025 Table 11'!5:5,0))</f>
        <v>0.49415635082322562</v>
      </c>
      <c r="AC77" s="354">
        <f>(INDEX('AEO 2025 Table 11'!7:7,MATCH(AC73,'AEO 2025 Table 11'!5:5,0))-INDEX('AEO 2025 Table 11'!12:12,MATCH(AC73,'AEO 2025 Table 11'!5:5,0)))/INDEX('AEO 2025 Table 11'!14:14,MATCH(AC73,'AEO 2025 Table 11'!5:5,0))</f>
        <v>0.49252117319640781</v>
      </c>
      <c r="AD77" s="354">
        <f>(INDEX('AEO 2025 Table 11'!7:7,MATCH(AD73,'AEO 2025 Table 11'!5:5,0))-INDEX('AEO 2025 Table 11'!12:12,MATCH(AD73,'AEO 2025 Table 11'!5:5,0)))/INDEX('AEO 2025 Table 11'!14:14,MATCH(AD73,'AEO 2025 Table 11'!5:5,0))</f>
        <v>0.49180727668054763</v>
      </c>
      <c r="AE77" s="354">
        <f>(INDEX('AEO 2025 Table 11'!7:7,MATCH(AE73,'AEO 2025 Table 11'!5:5,0))-INDEX('AEO 2025 Table 11'!12:12,MATCH(AE73,'AEO 2025 Table 11'!5:5,0)))/INDEX('AEO 2025 Table 11'!14:14,MATCH(AE73,'AEO 2025 Table 11'!5:5,0))</f>
        <v>0.48673694858453248</v>
      </c>
      <c r="AF77" s="354">
        <f>(INDEX('AEO 2025 Table 11'!7:7,MATCH(AF73,'AEO 2025 Table 11'!5:5,0))-INDEX('AEO 2025 Table 11'!12:12,MATCH(AF73,'AEO 2025 Table 11'!5:5,0)))/INDEX('AEO 2025 Table 11'!14:14,MATCH(AF73,'AEO 2025 Table 11'!5:5,0))</f>
        <v>0.48668133983143674</v>
      </c>
      <c r="AG77" s="354">
        <f>(INDEX('AEO 2025 Table 11'!7:7,MATCH(AG73,'AEO 2025 Table 11'!5:5,0))-INDEX('AEO 2025 Table 11'!12:12,MATCH(AG73,'AEO 2025 Table 11'!5:5,0)))/INDEX('AEO 2025 Table 11'!14:14,MATCH(AG73,'AEO 2025 Table 11'!5:5,0))</f>
        <v>0.48379212523686466</v>
      </c>
      <c r="AH77" s="354">
        <f>(INDEX('AEO 2025 Table 11'!7:7,MATCH(AH73,'AEO 2025 Table 11'!5:5,0))-INDEX('AEO 2025 Table 11'!12:12,MATCH(AH73,'AEO 2025 Table 11'!5:5,0)))/INDEX('AEO 2025 Table 11'!14:14,MATCH(AH73,'AEO 2025 Table 11'!5:5,0))</f>
        <v>0.47967019801089783</v>
      </c>
      <c r="AI77" s="11"/>
      <c r="AJ77" s="11"/>
    </row>
    <row r="78" spans="1:36" x14ac:dyDescent="0.75">
      <c r="A78" t="s">
        <v>285</v>
      </c>
      <c r="E78">
        <f>E74/(E75*E76*10^6*365)*E77</f>
        <v>2.9846162265946587E-8</v>
      </c>
      <c r="F78">
        <f t="shared" ref="F78:AH78" si="86">F74/(F75*F76*10^6*365)*F77</f>
        <v>2.8795207777624858E-8</v>
      </c>
      <c r="G78">
        <f t="shared" si="86"/>
        <v>2.8208023726556365E-8</v>
      </c>
      <c r="H78">
        <f t="shared" si="86"/>
        <v>2.6236677464641801E-8</v>
      </c>
      <c r="I78">
        <f t="shared" si="86"/>
        <v>2.6577584900988696E-8</v>
      </c>
      <c r="J78">
        <f t="shared" si="86"/>
        <v>2.6668822990374372E-8</v>
      </c>
      <c r="K78">
        <f t="shared" si="86"/>
        <v>2.697859613634956E-8</v>
      </c>
      <c r="L78">
        <f t="shared" si="86"/>
        <v>2.7111391196916588E-8</v>
      </c>
      <c r="M78">
        <f t="shared" si="86"/>
        <v>2.7424888076770457E-8</v>
      </c>
      <c r="N78">
        <f t="shared" si="86"/>
        <v>2.7158971617298199E-8</v>
      </c>
      <c r="O78">
        <f t="shared" si="86"/>
        <v>2.6814109924888811E-8</v>
      </c>
      <c r="P78">
        <f t="shared" si="86"/>
        <v>2.7139715363878878E-8</v>
      </c>
      <c r="Q78">
        <f t="shared" si="86"/>
        <v>2.7175516108640597E-8</v>
      </c>
      <c r="R78">
        <f t="shared" si="86"/>
        <v>2.7028766333446208E-8</v>
      </c>
      <c r="S78">
        <f t="shared" si="86"/>
        <v>2.6959850011100006E-8</v>
      </c>
      <c r="T78">
        <f t="shared" si="86"/>
        <v>2.7037420954729313E-8</v>
      </c>
      <c r="U78">
        <f t="shared" si="86"/>
        <v>2.7228453037492189E-8</v>
      </c>
      <c r="V78">
        <f t="shared" si="86"/>
        <v>2.7296271436418938E-8</v>
      </c>
      <c r="W78">
        <f t="shared" si="86"/>
        <v>2.7195794438461276E-8</v>
      </c>
      <c r="X78">
        <f t="shared" si="86"/>
        <v>2.7174718629703271E-8</v>
      </c>
      <c r="Y78">
        <f t="shared" si="86"/>
        <v>2.7031849695868958E-8</v>
      </c>
      <c r="Z78">
        <f t="shared" si="86"/>
        <v>2.6642026491596273E-8</v>
      </c>
      <c r="AA78">
        <f t="shared" si="86"/>
        <v>2.650724649957536E-8</v>
      </c>
      <c r="AB78">
        <f t="shared" si="86"/>
        <v>2.6384908712456328E-8</v>
      </c>
      <c r="AC78">
        <f t="shared" si="86"/>
        <v>2.6251537954017834E-8</v>
      </c>
      <c r="AD78">
        <f t="shared" si="86"/>
        <v>2.6365500373870832E-8</v>
      </c>
      <c r="AE78">
        <f t="shared" si="86"/>
        <v>2.6307247444939718E-8</v>
      </c>
      <c r="AF78">
        <f t="shared" si="86"/>
        <v>2.6544616598555657E-8</v>
      </c>
      <c r="AG78">
        <f t="shared" si="86"/>
        <v>2.6453458293116581E-8</v>
      </c>
      <c r="AH78">
        <f t="shared" si="86"/>
        <v>2.6336354378072695E-8</v>
      </c>
    </row>
    <row r="80" spans="1:36" x14ac:dyDescent="0.75">
      <c r="A80" s="15" t="s">
        <v>30</v>
      </c>
    </row>
    <row r="81" spans="1:36" x14ac:dyDescent="0.7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75">
      <c r="A82" t="s">
        <v>287</v>
      </c>
      <c r="B82" t="s">
        <v>620</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354">
        <f>INDEX('AEO 2025 Table 1'!7:7,MATCH(H73,'AEO 2025 Table 1'!5:5,0))/SUM(INDEX('AEO 2025 Table 1'!7:9,0,MATCH(H73,'AEO 2025 Table 1'!5:5,0)))</f>
        <v>0.36048333465858484</v>
      </c>
      <c r="I82" s="354">
        <f>INDEX('AEO 2025 Table 1'!7:7,MATCH(I73,'AEO 2025 Table 1'!5:5,0))/SUM(INDEX('AEO 2025 Table 1'!7:9,0,MATCH(I73,'AEO 2025 Table 1'!5:5,0)))</f>
        <v>0.36572018734551309</v>
      </c>
      <c r="J82" s="354">
        <f>INDEX('AEO 2025 Table 1'!7:7,MATCH(J73,'AEO 2025 Table 1'!5:5,0))/SUM(INDEX('AEO 2025 Table 1'!7:9,0,MATCH(J73,'AEO 2025 Table 1'!5:5,0)))</f>
        <v>0.36349441681509537</v>
      </c>
      <c r="K82" s="354">
        <f>INDEX('AEO 2025 Table 1'!7:7,MATCH(K73,'AEO 2025 Table 1'!5:5,0))/SUM(INDEX('AEO 2025 Table 1'!7:9,0,MATCH(K73,'AEO 2025 Table 1'!5:5,0)))</f>
        <v>0.36419262321357132</v>
      </c>
      <c r="L82" s="354">
        <f>INDEX('AEO 2025 Table 1'!7:7,MATCH(L73,'AEO 2025 Table 1'!5:5,0))/SUM(INDEX('AEO 2025 Table 1'!7:9,0,MATCH(L73,'AEO 2025 Table 1'!5:5,0)))</f>
        <v>0.35871844348215287</v>
      </c>
      <c r="M82" s="354">
        <f>INDEX('AEO 2025 Table 1'!7:7,MATCH(M73,'AEO 2025 Table 1'!5:5,0))/SUM(INDEX('AEO 2025 Table 1'!7:9,0,MATCH(M73,'AEO 2025 Table 1'!5:5,0)))</f>
        <v>0.35458527982710353</v>
      </c>
      <c r="N82" s="354">
        <f>INDEX('AEO 2025 Table 1'!7:7,MATCH(N73,'AEO 2025 Table 1'!5:5,0))/SUM(INDEX('AEO 2025 Table 1'!7:9,0,MATCH(N73,'AEO 2025 Table 1'!5:5,0)))</f>
        <v>0.34867408253222276</v>
      </c>
      <c r="O82" s="354">
        <f>INDEX('AEO 2025 Table 1'!7:7,MATCH(O73,'AEO 2025 Table 1'!5:5,0))/SUM(INDEX('AEO 2025 Table 1'!7:9,0,MATCH(O73,'AEO 2025 Table 1'!5:5,0)))</f>
        <v>0.34578128713862166</v>
      </c>
      <c r="P82" s="354">
        <f>INDEX('AEO 2025 Table 1'!7:7,MATCH(P73,'AEO 2025 Table 1'!5:5,0))/SUM(INDEX('AEO 2025 Table 1'!7:9,0,MATCH(P73,'AEO 2025 Table 1'!5:5,0)))</f>
        <v>0.33397565883495872</v>
      </c>
      <c r="Q82" s="354">
        <f>INDEX('AEO 2025 Table 1'!7:7,MATCH(Q73,'AEO 2025 Table 1'!5:5,0))/SUM(INDEX('AEO 2025 Table 1'!7:9,0,MATCH(Q73,'AEO 2025 Table 1'!5:5,0)))</f>
        <v>0.33183401862809742</v>
      </c>
      <c r="R82" s="354">
        <f>INDEX('AEO 2025 Table 1'!7:7,MATCH(R73,'AEO 2025 Table 1'!5:5,0))/SUM(INDEX('AEO 2025 Table 1'!7:9,0,MATCH(R73,'AEO 2025 Table 1'!5:5,0)))</f>
        <v>0.32959501382973244</v>
      </c>
      <c r="S82" s="354">
        <f>INDEX('AEO 2025 Table 1'!7:7,MATCH(S73,'AEO 2025 Table 1'!5:5,0))/SUM(INDEX('AEO 2025 Table 1'!7:9,0,MATCH(S73,'AEO 2025 Table 1'!5:5,0)))</f>
        <v>0.32542335486777896</v>
      </c>
      <c r="T82" s="354">
        <f>INDEX('AEO 2025 Table 1'!7:7,MATCH(T73,'AEO 2025 Table 1'!5:5,0))/SUM(INDEX('AEO 2025 Table 1'!7:9,0,MATCH(T73,'AEO 2025 Table 1'!5:5,0)))</f>
        <v>0.32266387043731709</v>
      </c>
      <c r="U82" s="354">
        <f>INDEX('AEO 2025 Table 1'!7:7,MATCH(U73,'AEO 2025 Table 1'!5:5,0))/SUM(INDEX('AEO 2025 Table 1'!7:9,0,MATCH(U73,'AEO 2025 Table 1'!5:5,0)))</f>
        <v>0.32137017160470704</v>
      </c>
      <c r="V82" s="354">
        <f>INDEX('AEO 2025 Table 1'!7:7,MATCH(V73,'AEO 2025 Table 1'!5:5,0))/SUM(INDEX('AEO 2025 Table 1'!7:9,0,MATCH(V73,'AEO 2025 Table 1'!5:5,0)))</f>
        <v>0.31780431008905918</v>
      </c>
      <c r="W82" s="354">
        <f>INDEX('AEO 2025 Table 1'!7:7,MATCH(W73,'AEO 2025 Table 1'!5:5,0))/SUM(INDEX('AEO 2025 Table 1'!7:9,0,MATCH(W73,'AEO 2025 Table 1'!5:5,0)))</f>
        <v>0.31588951417035149</v>
      </c>
      <c r="X82" s="354">
        <f>INDEX('AEO 2025 Table 1'!7:7,MATCH(X73,'AEO 2025 Table 1'!5:5,0))/SUM(INDEX('AEO 2025 Table 1'!7:9,0,MATCH(X73,'AEO 2025 Table 1'!5:5,0)))</f>
        <v>0.31213355042277469</v>
      </c>
      <c r="Y82" s="354">
        <f>INDEX('AEO 2025 Table 1'!7:7,MATCH(Y73,'AEO 2025 Table 1'!5:5,0))/SUM(INDEX('AEO 2025 Table 1'!7:9,0,MATCH(Y73,'AEO 2025 Table 1'!5:5,0)))</f>
        <v>0.3071151517277797</v>
      </c>
      <c r="Z82" s="354">
        <f>INDEX('AEO 2025 Table 1'!7:7,MATCH(Z73,'AEO 2025 Table 1'!5:5,0))/SUM(INDEX('AEO 2025 Table 1'!7:9,0,MATCH(Z73,'AEO 2025 Table 1'!5:5,0)))</f>
        <v>0.30463308358986546</v>
      </c>
      <c r="AA82" s="354">
        <f>INDEX('AEO 2025 Table 1'!7:7,MATCH(AA73,'AEO 2025 Table 1'!5:5,0))/SUM(INDEX('AEO 2025 Table 1'!7:9,0,MATCH(AA73,'AEO 2025 Table 1'!5:5,0)))</f>
        <v>0.30116977602839329</v>
      </c>
      <c r="AB82" s="354">
        <f>INDEX('AEO 2025 Table 1'!7:7,MATCH(AB73,'AEO 2025 Table 1'!5:5,0))/SUM(INDEX('AEO 2025 Table 1'!7:9,0,MATCH(AB73,'AEO 2025 Table 1'!5:5,0)))</f>
        <v>0.29950483411640094</v>
      </c>
      <c r="AC82" s="354">
        <f>INDEX('AEO 2025 Table 1'!7:7,MATCH(AC73,'AEO 2025 Table 1'!5:5,0))/SUM(INDEX('AEO 2025 Table 1'!7:9,0,MATCH(AC73,'AEO 2025 Table 1'!5:5,0)))</f>
        <v>0.29868587050017426</v>
      </c>
      <c r="AD82" s="354">
        <f>INDEX('AEO 2025 Table 1'!7:7,MATCH(AD73,'AEO 2025 Table 1'!5:5,0))/SUM(INDEX('AEO 2025 Table 1'!7:9,0,MATCH(AD73,'AEO 2025 Table 1'!5:5,0)))</f>
        <v>0.29572493333278183</v>
      </c>
      <c r="AE82" s="354">
        <f>INDEX('AEO 2025 Table 1'!7:7,MATCH(AE73,'AEO 2025 Table 1'!5:5,0))/SUM(INDEX('AEO 2025 Table 1'!7:9,0,MATCH(AE73,'AEO 2025 Table 1'!5:5,0)))</f>
        <v>0.29281136405528679</v>
      </c>
      <c r="AF82" s="354">
        <f>INDEX('AEO 2025 Table 1'!7:7,MATCH(AF73,'AEO 2025 Table 1'!5:5,0))/SUM(INDEX('AEO 2025 Table 1'!7:9,0,MATCH(AF73,'AEO 2025 Table 1'!5:5,0)))</f>
        <v>0.29034894732192074</v>
      </c>
      <c r="AG82" s="354">
        <f>INDEX('AEO 2025 Table 1'!7:7,MATCH(AG73,'AEO 2025 Table 1'!5:5,0))/SUM(INDEX('AEO 2025 Table 1'!7:9,0,MATCH(AG73,'AEO 2025 Table 1'!5:5,0)))</f>
        <v>0.2889808633780282</v>
      </c>
      <c r="AH82" s="354">
        <f>INDEX('AEO 2025 Table 1'!7:7,MATCH(AH73,'AEO 2025 Table 1'!5:5,0))/SUM(INDEX('AEO 2025 Table 1'!7:9,0,MATCH(AH73,'AEO 2025 Table 1'!5:5,0)))</f>
        <v>0.28723319216907817</v>
      </c>
      <c r="AI82" s="11"/>
      <c r="AJ82" s="11"/>
    </row>
    <row r="83" spans="1:36" x14ac:dyDescent="0.75">
      <c r="A83" t="s">
        <v>279</v>
      </c>
      <c r="B83" t="s">
        <v>621</v>
      </c>
      <c r="C83" s="4"/>
      <c r="D83" s="4"/>
      <c r="E83" s="4">
        <f t="shared" ref="E83:AH85" si="106">E75</f>
        <v>11.13137</v>
      </c>
      <c r="F83" s="4">
        <f t="shared" si="106"/>
        <v>11.828412999999999</v>
      </c>
      <c r="G83" s="4">
        <f t="shared" si="106"/>
        <v>12.317411</v>
      </c>
      <c r="H83" s="4">
        <f t="shared" si="106"/>
        <v>13.266057999999999</v>
      </c>
      <c r="I83" s="4">
        <f t="shared" si="106"/>
        <v>13.693652</v>
      </c>
      <c r="J83" s="4">
        <f t="shared" si="106"/>
        <v>13.835194</v>
      </c>
      <c r="K83" s="4">
        <f t="shared" si="106"/>
        <v>14.025308000000001</v>
      </c>
      <c r="L83" s="4">
        <f t="shared" si="106"/>
        <v>14.023446</v>
      </c>
      <c r="M83" s="4">
        <f t="shared" si="106"/>
        <v>14.009728000000001</v>
      </c>
      <c r="N83" s="4">
        <f t="shared" si="106"/>
        <v>13.909203</v>
      </c>
      <c r="O83" s="4">
        <f t="shared" si="106"/>
        <v>13.730183</v>
      </c>
      <c r="P83" s="4">
        <f t="shared" si="106"/>
        <v>13.507175</v>
      </c>
      <c r="Q83" s="4">
        <f t="shared" si="106"/>
        <v>13.404424000000001</v>
      </c>
      <c r="R83" s="4">
        <f t="shared" si="106"/>
        <v>13.299763</v>
      </c>
      <c r="S83" s="4">
        <f t="shared" si="106"/>
        <v>13.026337</v>
      </c>
      <c r="T83" s="4">
        <f t="shared" si="106"/>
        <v>12.777983000000001</v>
      </c>
      <c r="U83" s="4">
        <f t="shared" si="106"/>
        <v>12.557478</v>
      </c>
      <c r="V83" s="4">
        <f t="shared" si="106"/>
        <v>12.337666</v>
      </c>
      <c r="W83" s="4">
        <f t="shared" si="106"/>
        <v>12.155936000000001</v>
      </c>
      <c r="X83" s="4">
        <f t="shared" si="106"/>
        <v>12.015428</v>
      </c>
      <c r="Y83" s="4">
        <f t="shared" si="106"/>
        <v>11.859089000000001</v>
      </c>
      <c r="Z83" s="4">
        <f t="shared" si="106"/>
        <v>11.788242</v>
      </c>
      <c r="AA83" s="4">
        <f t="shared" si="106"/>
        <v>11.645022000000001</v>
      </c>
      <c r="AB83" s="4">
        <f t="shared" si="106"/>
        <v>11.598876000000001</v>
      </c>
      <c r="AC83" s="4">
        <f t="shared" si="106"/>
        <v>11.619228</v>
      </c>
      <c r="AD83" s="4">
        <f t="shared" si="106"/>
        <v>11.552236000000001</v>
      </c>
      <c r="AE83" s="4">
        <f t="shared" si="106"/>
        <v>11.458454</v>
      </c>
      <c r="AF83" s="4">
        <f t="shared" si="106"/>
        <v>11.354692</v>
      </c>
      <c r="AG83" s="4">
        <f t="shared" si="106"/>
        <v>11.326180000000001</v>
      </c>
      <c r="AH83" s="4">
        <f t="shared" si="106"/>
        <v>11.279612999999999</v>
      </c>
      <c r="AI83" s="4"/>
      <c r="AJ83" s="4"/>
    </row>
    <row r="84" spans="1:36" x14ac:dyDescent="0.7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75">
      <c r="A85" t="s">
        <v>282</v>
      </c>
      <c r="B85" t="s">
        <v>621</v>
      </c>
      <c r="C85" s="11"/>
      <c r="D85" s="11"/>
      <c r="E85" s="11">
        <f t="shared" si="106"/>
        <v>0.53645091974861669</v>
      </c>
      <c r="F85" s="11">
        <f t="shared" si="106"/>
        <v>0.54997072969670069</v>
      </c>
      <c r="G85" s="11">
        <f t="shared" si="106"/>
        <v>0.56102856350540731</v>
      </c>
      <c r="H85" s="11">
        <f t="shared" si="106"/>
        <v>0.56200943672814152</v>
      </c>
      <c r="I85" s="11">
        <f t="shared" si="106"/>
        <v>0.58766209732065777</v>
      </c>
      <c r="J85" s="11">
        <f t="shared" si="106"/>
        <v>0.59577459742198791</v>
      </c>
      <c r="K85" s="11">
        <f t="shared" si="106"/>
        <v>0.61097667953878598</v>
      </c>
      <c r="L85" s="11">
        <f t="shared" si="106"/>
        <v>0.6139025394020915</v>
      </c>
      <c r="M85" s="11">
        <f t="shared" si="106"/>
        <v>0.62039379733752509</v>
      </c>
      <c r="N85" s="11">
        <f t="shared" si="106"/>
        <v>0.60996995896330586</v>
      </c>
      <c r="O85" s="11">
        <f t="shared" si="106"/>
        <v>0.59447362476437016</v>
      </c>
      <c r="P85" s="11">
        <f t="shared" si="106"/>
        <v>0.59191956472623186</v>
      </c>
      <c r="Q85" s="11">
        <f t="shared" si="106"/>
        <v>0.58819162605215547</v>
      </c>
      <c r="R85" s="11">
        <f t="shared" si="106"/>
        <v>0.58044758080859171</v>
      </c>
      <c r="S85" s="11">
        <f t="shared" si="106"/>
        <v>0.56706476241409398</v>
      </c>
      <c r="T85" s="11">
        <f t="shared" si="106"/>
        <v>0.55785386776913559</v>
      </c>
      <c r="U85" s="11">
        <f t="shared" si="106"/>
        <v>0.55210066935724889</v>
      </c>
      <c r="V85" s="11">
        <f t="shared" si="106"/>
        <v>0.54378749583901331</v>
      </c>
      <c r="W85" s="11">
        <f t="shared" si="106"/>
        <v>0.53380548811118833</v>
      </c>
      <c r="X85" s="11">
        <f t="shared" si="106"/>
        <v>0.52722643937921942</v>
      </c>
      <c r="Y85" s="11">
        <f t="shared" si="106"/>
        <v>0.51763063591545355</v>
      </c>
      <c r="Z85" s="11">
        <f t="shared" si="106"/>
        <v>0.50711817801675174</v>
      </c>
      <c r="AA85" s="11">
        <f t="shared" si="106"/>
        <v>0.49842269584530879</v>
      </c>
      <c r="AB85" s="11">
        <f t="shared" si="106"/>
        <v>0.49415635082322562</v>
      </c>
      <c r="AC85" s="11">
        <f t="shared" si="106"/>
        <v>0.49252117319640781</v>
      </c>
      <c r="AD85" s="11">
        <f t="shared" si="106"/>
        <v>0.49180727668054763</v>
      </c>
      <c r="AE85" s="11">
        <f t="shared" si="106"/>
        <v>0.48673694858453248</v>
      </c>
      <c r="AF85" s="11">
        <f t="shared" si="106"/>
        <v>0.48668133983143674</v>
      </c>
      <c r="AG85" s="11">
        <f t="shared" si="106"/>
        <v>0.48379212523686466</v>
      </c>
      <c r="AH85" s="11">
        <f t="shared" si="106"/>
        <v>0.47967019801089783</v>
      </c>
      <c r="AI85" s="11"/>
      <c r="AJ85" s="11"/>
    </row>
    <row r="86" spans="1:36" x14ac:dyDescent="0.75">
      <c r="A86" t="s">
        <v>285</v>
      </c>
      <c r="E86">
        <f t="shared" ref="E86:AH86" si="108">(E81*E82)/(E83*10^6*E84*365)*E85</f>
        <v>1.3086197591722575E-8</v>
      </c>
      <c r="F86">
        <f t="shared" si="108"/>
        <v>1.2573242556967248E-8</v>
      </c>
      <c r="G86">
        <f t="shared" si="108"/>
        <v>1.2558086250677707E-8</v>
      </c>
      <c r="H86">
        <f t="shared" si="108"/>
        <v>1.1785979747816643E-8</v>
      </c>
      <c r="I86">
        <f t="shared" si="108"/>
        <v>1.2112564702517697E-8</v>
      </c>
      <c r="J86">
        <f t="shared" si="108"/>
        <v>1.2080175831731114E-8</v>
      </c>
      <c r="K86">
        <f t="shared" si="108"/>
        <v>1.224396709998231E-8</v>
      </c>
      <c r="L86">
        <f t="shared" si="108"/>
        <v>1.2119289847912102E-8</v>
      </c>
      <c r="M86">
        <f t="shared" si="108"/>
        <v>1.211817524072647E-8</v>
      </c>
      <c r="N86">
        <f t="shared" si="108"/>
        <v>1.1800615237009084E-8</v>
      </c>
      <c r="O86">
        <f t="shared" si="108"/>
        <v>1.1554110967810279E-8</v>
      </c>
      <c r="P86">
        <f t="shared" si="108"/>
        <v>1.1295143843981859E-8</v>
      </c>
      <c r="Q86">
        <f t="shared" si="108"/>
        <v>1.1237517203206883E-8</v>
      </c>
      <c r="R86">
        <f t="shared" si="108"/>
        <v>1.1101419626019965E-8</v>
      </c>
      <c r="S86">
        <f t="shared" si="108"/>
        <v>1.0932962335767504E-8</v>
      </c>
      <c r="T86">
        <f t="shared" si="108"/>
        <v>1.0871444772978072E-8</v>
      </c>
      <c r="U86">
        <f t="shared" si="108"/>
        <v>1.090436034831316E-8</v>
      </c>
      <c r="V86">
        <f t="shared" si="108"/>
        <v>1.0810225994772923E-8</v>
      </c>
      <c r="W86">
        <f t="shared" si="108"/>
        <v>1.0705541072369614E-8</v>
      </c>
      <c r="X86">
        <f t="shared" si="108"/>
        <v>1.0570053138737927E-8</v>
      </c>
      <c r="Y86">
        <f t="shared" si="108"/>
        <v>1.0345432927495012E-8</v>
      </c>
      <c r="Z86">
        <f t="shared" si="108"/>
        <v>1.0113837805240717E-8</v>
      </c>
      <c r="AA86">
        <f t="shared" si="108"/>
        <v>9.94827232006044E-9</v>
      </c>
      <c r="AB86">
        <f t="shared" si="108"/>
        <v>9.8476157580792276E-9</v>
      </c>
      <c r="AC86">
        <f t="shared" si="108"/>
        <v>9.7710467804138259E-9</v>
      </c>
      <c r="AD86">
        <f t="shared" si="108"/>
        <v>9.7161815856649144E-9</v>
      </c>
      <c r="AE86">
        <f t="shared" si="108"/>
        <v>9.5991991033894365E-9</v>
      </c>
      <c r="AF86">
        <f t="shared" si="108"/>
        <v>9.6043587754280653E-9</v>
      </c>
      <c r="AG86">
        <f t="shared" si="108"/>
        <v>9.5262769318036761E-9</v>
      </c>
      <c r="AH86">
        <f t="shared" si="108"/>
        <v>9.4267490182600253E-9</v>
      </c>
    </row>
    <row r="88" spans="1:36" x14ac:dyDescent="0.75">
      <c r="A88" s="15" t="s">
        <v>31</v>
      </c>
    </row>
    <row r="89" spans="1:36" x14ac:dyDescent="0.7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75">
      <c r="A90" t="s">
        <v>287</v>
      </c>
      <c r="B90" t="s">
        <v>620</v>
      </c>
      <c r="C90" s="11"/>
      <c r="D90" s="11"/>
      <c r="E90" s="11">
        <f t="shared" ref="D90:AH93" si="128">E82</f>
        <v>0.35184656502224881</v>
      </c>
      <c r="F90" s="11">
        <f t="shared" si="128"/>
        <v>0.35039299479423891</v>
      </c>
      <c r="G90" s="11">
        <f t="shared" si="128"/>
        <v>0.3572556772712438</v>
      </c>
      <c r="H90" s="11">
        <f t="shared" si="128"/>
        <v>0.36048333465858484</v>
      </c>
      <c r="I90" s="11">
        <f t="shared" si="128"/>
        <v>0.36572018734551309</v>
      </c>
      <c r="J90" s="11">
        <f t="shared" si="128"/>
        <v>0.36349441681509537</v>
      </c>
      <c r="K90" s="11">
        <f t="shared" si="128"/>
        <v>0.36419262321357132</v>
      </c>
      <c r="L90" s="11">
        <f t="shared" si="128"/>
        <v>0.35871844348215287</v>
      </c>
      <c r="M90" s="11">
        <f t="shared" si="128"/>
        <v>0.35458527982710353</v>
      </c>
      <c r="N90" s="11">
        <f t="shared" si="128"/>
        <v>0.34867408253222276</v>
      </c>
      <c r="O90" s="11">
        <f t="shared" si="128"/>
        <v>0.34578128713862166</v>
      </c>
      <c r="P90" s="11">
        <f t="shared" si="128"/>
        <v>0.33397565883495872</v>
      </c>
      <c r="Q90" s="11">
        <f t="shared" si="128"/>
        <v>0.33183401862809742</v>
      </c>
      <c r="R90" s="11">
        <f t="shared" si="128"/>
        <v>0.32959501382973244</v>
      </c>
      <c r="S90" s="11">
        <f t="shared" si="128"/>
        <v>0.32542335486777896</v>
      </c>
      <c r="T90" s="11">
        <f t="shared" si="128"/>
        <v>0.32266387043731709</v>
      </c>
      <c r="U90" s="11">
        <f t="shared" si="128"/>
        <v>0.32137017160470704</v>
      </c>
      <c r="V90" s="11">
        <f t="shared" si="128"/>
        <v>0.31780431008905918</v>
      </c>
      <c r="W90" s="11">
        <f t="shared" si="128"/>
        <v>0.31588951417035149</v>
      </c>
      <c r="X90" s="11">
        <f t="shared" si="128"/>
        <v>0.31213355042277469</v>
      </c>
      <c r="Y90" s="11">
        <f t="shared" si="128"/>
        <v>0.3071151517277797</v>
      </c>
      <c r="Z90" s="11">
        <f t="shared" si="128"/>
        <v>0.30463308358986546</v>
      </c>
      <c r="AA90" s="11">
        <f t="shared" si="128"/>
        <v>0.30116977602839329</v>
      </c>
      <c r="AB90" s="11">
        <f t="shared" si="128"/>
        <v>0.29950483411640094</v>
      </c>
      <c r="AC90" s="11">
        <f t="shared" si="128"/>
        <v>0.29868587050017426</v>
      </c>
      <c r="AD90" s="11">
        <f t="shared" si="128"/>
        <v>0.29572493333278183</v>
      </c>
      <c r="AE90" s="11">
        <f t="shared" si="128"/>
        <v>0.29281136405528679</v>
      </c>
      <c r="AF90" s="11">
        <f t="shared" si="128"/>
        <v>0.29034894732192074</v>
      </c>
      <c r="AG90" s="11">
        <f t="shared" si="128"/>
        <v>0.2889808633780282</v>
      </c>
      <c r="AH90" s="11">
        <f t="shared" si="128"/>
        <v>0.28723319216907817</v>
      </c>
      <c r="AI90" s="11"/>
      <c r="AJ90" s="11"/>
    </row>
    <row r="91" spans="1:36" x14ac:dyDescent="0.75">
      <c r="A91" t="s">
        <v>279</v>
      </c>
      <c r="B91" t="s">
        <v>621</v>
      </c>
      <c r="C91" s="4"/>
      <c r="D91" s="4"/>
      <c r="E91" s="4">
        <f t="shared" ref="C91:R92" si="129">E83</f>
        <v>11.13137</v>
      </c>
      <c r="F91" s="4">
        <f t="shared" si="129"/>
        <v>11.828412999999999</v>
      </c>
      <c r="G91" s="4">
        <f t="shared" si="129"/>
        <v>12.317411</v>
      </c>
      <c r="H91" s="4">
        <f t="shared" si="129"/>
        <v>13.266057999999999</v>
      </c>
      <c r="I91" s="4">
        <f t="shared" si="129"/>
        <v>13.693652</v>
      </c>
      <c r="J91" s="4">
        <f t="shared" si="129"/>
        <v>13.835194</v>
      </c>
      <c r="K91" s="4">
        <f t="shared" si="129"/>
        <v>14.025308000000001</v>
      </c>
      <c r="L91" s="4">
        <f t="shared" si="129"/>
        <v>14.023446</v>
      </c>
      <c r="M91" s="4">
        <f t="shared" si="129"/>
        <v>14.009728000000001</v>
      </c>
      <c r="N91" s="4">
        <f t="shared" si="129"/>
        <v>13.909203</v>
      </c>
      <c r="O91" s="4">
        <f t="shared" si="129"/>
        <v>13.730183</v>
      </c>
      <c r="P91" s="4">
        <f t="shared" si="129"/>
        <v>13.507175</v>
      </c>
      <c r="Q91" s="4">
        <f t="shared" si="129"/>
        <v>13.404424000000001</v>
      </c>
      <c r="R91" s="4">
        <f t="shared" si="129"/>
        <v>13.299763</v>
      </c>
      <c r="S91" s="4">
        <f t="shared" si="128"/>
        <v>13.026337</v>
      </c>
      <c r="T91" s="4">
        <f t="shared" si="128"/>
        <v>12.777983000000001</v>
      </c>
      <c r="U91" s="4">
        <f t="shared" si="128"/>
        <v>12.557478</v>
      </c>
      <c r="V91" s="4">
        <f t="shared" si="128"/>
        <v>12.337666</v>
      </c>
      <c r="W91" s="4">
        <f t="shared" si="128"/>
        <v>12.155936000000001</v>
      </c>
      <c r="X91" s="4">
        <f t="shared" si="128"/>
        <v>12.015428</v>
      </c>
      <c r="Y91" s="4">
        <f t="shared" si="128"/>
        <v>11.859089000000001</v>
      </c>
      <c r="Z91" s="4">
        <f t="shared" si="128"/>
        <v>11.788242</v>
      </c>
      <c r="AA91" s="4">
        <f t="shared" si="128"/>
        <v>11.645022000000001</v>
      </c>
      <c r="AB91" s="4">
        <f t="shared" si="128"/>
        <v>11.598876000000001</v>
      </c>
      <c r="AC91" s="4">
        <f t="shared" si="128"/>
        <v>11.619228</v>
      </c>
      <c r="AD91" s="4">
        <f t="shared" si="128"/>
        <v>11.552236000000001</v>
      </c>
      <c r="AE91" s="4">
        <f t="shared" si="128"/>
        <v>11.458454</v>
      </c>
      <c r="AF91" s="4">
        <f t="shared" si="128"/>
        <v>11.354692</v>
      </c>
      <c r="AG91" s="4">
        <f t="shared" si="128"/>
        <v>11.326180000000001</v>
      </c>
      <c r="AH91" s="4">
        <f t="shared" si="128"/>
        <v>11.279612999999999</v>
      </c>
      <c r="AI91" s="4"/>
      <c r="AJ91" s="4"/>
    </row>
    <row r="92" spans="1:36" x14ac:dyDescent="0.7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75">
      <c r="A93" t="s">
        <v>282</v>
      </c>
      <c r="B93" t="s">
        <v>621</v>
      </c>
      <c r="C93" s="11"/>
      <c r="D93" s="11"/>
      <c r="E93" s="11">
        <f t="shared" si="128"/>
        <v>0.53645091974861669</v>
      </c>
      <c r="F93" s="11">
        <f t="shared" si="128"/>
        <v>0.54997072969670069</v>
      </c>
      <c r="G93" s="11">
        <f t="shared" si="128"/>
        <v>0.56102856350540731</v>
      </c>
      <c r="H93" s="11">
        <f t="shared" si="128"/>
        <v>0.56200943672814152</v>
      </c>
      <c r="I93" s="11">
        <f t="shared" si="128"/>
        <v>0.58766209732065777</v>
      </c>
      <c r="J93" s="11">
        <f t="shared" si="128"/>
        <v>0.59577459742198791</v>
      </c>
      <c r="K93" s="11">
        <f t="shared" si="128"/>
        <v>0.61097667953878598</v>
      </c>
      <c r="L93" s="11">
        <f t="shared" si="128"/>
        <v>0.6139025394020915</v>
      </c>
      <c r="M93" s="11">
        <f t="shared" si="128"/>
        <v>0.62039379733752509</v>
      </c>
      <c r="N93" s="11">
        <f t="shared" si="128"/>
        <v>0.60996995896330586</v>
      </c>
      <c r="O93" s="11">
        <f t="shared" si="128"/>
        <v>0.59447362476437016</v>
      </c>
      <c r="P93" s="11">
        <f t="shared" si="128"/>
        <v>0.59191956472623186</v>
      </c>
      <c r="Q93" s="11">
        <f t="shared" si="128"/>
        <v>0.58819162605215547</v>
      </c>
      <c r="R93" s="11">
        <f t="shared" si="128"/>
        <v>0.58044758080859171</v>
      </c>
      <c r="S93" s="11">
        <f t="shared" si="128"/>
        <v>0.56706476241409398</v>
      </c>
      <c r="T93" s="11">
        <f t="shared" si="128"/>
        <v>0.55785386776913559</v>
      </c>
      <c r="U93" s="11">
        <f t="shared" si="128"/>
        <v>0.55210066935724889</v>
      </c>
      <c r="V93" s="11">
        <f t="shared" si="128"/>
        <v>0.54378749583901331</v>
      </c>
      <c r="W93" s="11">
        <f t="shared" si="128"/>
        <v>0.53380548811118833</v>
      </c>
      <c r="X93" s="11">
        <f t="shared" si="128"/>
        <v>0.52722643937921942</v>
      </c>
      <c r="Y93" s="11">
        <f t="shared" si="128"/>
        <v>0.51763063591545355</v>
      </c>
      <c r="Z93" s="11">
        <f t="shared" si="128"/>
        <v>0.50711817801675174</v>
      </c>
      <c r="AA93" s="11">
        <f t="shared" si="128"/>
        <v>0.49842269584530879</v>
      </c>
      <c r="AB93" s="11">
        <f t="shared" si="128"/>
        <v>0.49415635082322562</v>
      </c>
      <c r="AC93" s="11">
        <f t="shared" si="128"/>
        <v>0.49252117319640781</v>
      </c>
      <c r="AD93" s="11">
        <f t="shared" si="128"/>
        <v>0.49180727668054763</v>
      </c>
      <c r="AE93" s="11">
        <f t="shared" si="128"/>
        <v>0.48673694858453248</v>
      </c>
      <c r="AF93" s="11">
        <f t="shared" si="128"/>
        <v>0.48668133983143674</v>
      </c>
      <c r="AG93" s="11">
        <f t="shared" si="128"/>
        <v>0.48379212523686466</v>
      </c>
      <c r="AH93" s="11">
        <f t="shared" si="128"/>
        <v>0.47967019801089783</v>
      </c>
      <c r="AI93" s="11"/>
      <c r="AJ93" s="11"/>
    </row>
    <row r="94" spans="1:36" x14ac:dyDescent="0.75">
      <c r="A94" t="s">
        <v>285</v>
      </c>
      <c r="E94">
        <f t="shared" ref="E94:AH94" si="130">(E89*E90)/(E91*10^6*E92*365)*E93</f>
        <v>1.1309059647167658E-9</v>
      </c>
      <c r="F94">
        <f t="shared" si="130"/>
        <v>1.0865765172687743E-9</v>
      </c>
      <c r="G94">
        <f t="shared" si="130"/>
        <v>1.0852667130215302E-9</v>
      </c>
      <c r="H94">
        <f t="shared" si="130"/>
        <v>1.0185414596878578E-9</v>
      </c>
      <c r="I94">
        <f t="shared" si="130"/>
        <v>1.0467648508348627E-9</v>
      </c>
      <c r="J94">
        <f t="shared" si="130"/>
        <v>1.043965812618738E-9</v>
      </c>
      <c r="K94">
        <f t="shared" si="130"/>
        <v>1.0581206135787178E-9</v>
      </c>
      <c r="L94">
        <f t="shared" si="130"/>
        <v>1.0473460362393171E-9</v>
      </c>
      <c r="M94">
        <f t="shared" si="130"/>
        <v>1.0472497121615468E-9</v>
      </c>
      <c r="N94">
        <f t="shared" si="130"/>
        <v>1.0198062550501677E-9</v>
      </c>
      <c r="O94">
        <f t="shared" si="130"/>
        <v>9.9850341697125849E-10</v>
      </c>
      <c r="P94">
        <f t="shared" si="130"/>
        <v>9.7612354207250618E-10</v>
      </c>
      <c r="Q94">
        <f t="shared" si="130"/>
        <v>9.7114346200553303E-10</v>
      </c>
      <c r="R94">
        <f t="shared" si="130"/>
        <v>9.5938194298937946E-10</v>
      </c>
      <c r="S94">
        <f t="shared" si="130"/>
        <v>9.4482390556015448E-10</v>
      </c>
      <c r="T94">
        <f t="shared" si="130"/>
        <v>9.3950757297341355E-10</v>
      </c>
      <c r="U94">
        <f t="shared" si="130"/>
        <v>9.4235212886656914E-10</v>
      </c>
      <c r="V94">
        <f t="shared" si="130"/>
        <v>9.3421706127667225E-10</v>
      </c>
      <c r="W94">
        <f t="shared" si="130"/>
        <v>9.2517021613070725E-10</v>
      </c>
      <c r="X94">
        <f t="shared" si="130"/>
        <v>9.1346138236006769E-10</v>
      </c>
      <c r="Y94">
        <f t="shared" si="130"/>
        <v>8.9404975916623554E-10</v>
      </c>
      <c r="Z94">
        <f t="shared" si="130"/>
        <v>8.7403536588500017E-10</v>
      </c>
      <c r="AA94">
        <f t="shared" si="130"/>
        <v>8.5972723753608714E-10</v>
      </c>
      <c r="AB94">
        <f t="shared" si="130"/>
        <v>8.510285223031431E-10</v>
      </c>
      <c r="AC94">
        <f t="shared" si="130"/>
        <v>8.4441145015921937E-10</v>
      </c>
      <c r="AD94">
        <f t="shared" si="130"/>
        <v>8.3967001357598006E-10</v>
      </c>
      <c r="AE94">
        <f t="shared" si="130"/>
        <v>8.2956041634229696E-10</v>
      </c>
      <c r="AF94">
        <f t="shared" si="130"/>
        <v>8.3000631392588202E-10</v>
      </c>
      <c r="AG94">
        <f t="shared" si="130"/>
        <v>8.2325850027932984E-10</v>
      </c>
      <c r="AH94">
        <f t="shared" si="130"/>
        <v>8.1465732256568121E-10</v>
      </c>
    </row>
    <row r="96" spans="1:36" x14ac:dyDescent="0.75">
      <c r="A96" s="15" t="s">
        <v>38</v>
      </c>
    </row>
    <row r="97" spans="1:36" x14ac:dyDescent="0.7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75">
      <c r="A98" t="s">
        <v>287</v>
      </c>
      <c r="B98" t="s">
        <v>620</v>
      </c>
      <c r="C98" s="11"/>
      <c r="D98" s="11"/>
      <c r="E98" s="11">
        <f>E90</f>
        <v>0.35184656502224881</v>
      </c>
      <c r="F98" s="11">
        <f t="shared" ref="D98:AH101" si="150">F90</f>
        <v>0.35039299479423891</v>
      </c>
      <c r="G98" s="11">
        <f t="shared" si="150"/>
        <v>0.3572556772712438</v>
      </c>
      <c r="H98" s="11">
        <f t="shared" si="150"/>
        <v>0.36048333465858484</v>
      </c>
      <c r="I98" s="11">
        <f t="shared" si="150"/>
        <v>0.36572018734551309</v>
      </c>
      <c r="J98" s="11">
        <f t="shared" si="150"/>
        <v>0.36349441681509537</v>
      </c>
      <c r="K98" s="11">
        <f t="shared" si="150"/>
        <v>0.36419262321357132</v>
      </c>
      <c r="L98" s="11">
        <f t="shared" si="150"/>
        <v>0.35871844348215287</v>
      </c>
      <c r="M98" s="11">
        <f t="shared" si="150"/>
        <v>0.35458527982710353</v>
      </c>
      <c r="N98" s="11">
        <f t="shared" si="150"/>
        <v>0.34867408253222276</v>
      </c>
      <c r="O98" s="11">
        <f t="shared" si="150"/>
        <v>0.34578128713862166</v>
      </c>
      <c r="P98" s="11">
        <f t="shared" si="150"/>
        <v>0.33397565883495872</v>
      </c>
      <c r="Q98" s="11">
        <f t="shared" si="150"/>
        <v>0.33183401862809742</v>
      </c>
      <c r="R98" s="11">
        <f t="shared" si="150"/>
        <v>0.32959501382973244</v>
      </c>
      <c r="S98" s="11">
        <f t="shared" si="150"/>
        <v>0.32542335486777896</v>
      </c>
      <c r="T98" s="11">
        <f t="shared" si="150"/>
        <v>0.32266387043731709</v>
      </c>
      <c r="U98" s="11">
        <f t="shared" si="150"/>
        <v>0.32137017160470704</v>
      </c>
      <c r="V98" s="11">
        <f t="shared" si="150"/>
        <v>0.31780431008905918</v>
      </c>
      <c r="W98" s="11">
        <f t="shared" si="150"/>
        <v>0.31588951417035149</v>
      </c>
      <c r="X98" s="11">
        <f t="shared" si="150"/>
        <v>0.31213355042277469</v>
      </c>
      <c r="Y98" s="11">
        <f t="shared" si="150"/>
        <v>0.3071151517277797</v>
      </c>
      <c r="Z98" s="11">
        <f t="shared" si="150"/>
        <v>0.30463308358986546</v>
      </c>
      <c r="AA98" s="11">
        <f t="shared" si="150"/>
        <v>0.30116977602839329</v>
      </c>
      <c r="AB98" s="11">
        <f t="shared" si="150"/>
        <v>0.29950483411640094</v>
      </c>
      <c r="AC98" s="11">
        <f t="shared" si="150"/>
        <v>0.29868587050017426</v>
      </c>
      <c r="AD98" s="11">
        <f t="shared" si="150"/>
        <v>0.29572493333278183</v>
      </c>
      <c r="AE98" s="11">
        <f t="shared" si="150"/>
        <v>0.29281136405528679</v>
      </c>
      <c r="AF98" s="11">
        <f t="shared" si="150"/>
        <v>0.29034894732192074</v>
      </c>
      <c r="AG98" s="11">
        <f t="shared" si="150"/>
        <v>0.2889808633780282</v>
      </c>
      <c r="AH98" s="11">
        <f t="shared" si="150"/>
        <v>0.28723319216907817</v>
      </c>
      <c r="AI98" s="11"/>
      <c r="AJ98" s="11"/>
    </row>
    <row r="99" spans="1:36" x14ac:dyDescent="0.75">
      <c r="A99" t="s">
        <v>279</v>
      </c>
      <c r="B99" t="s">
        <v>621</v>
      </c>
      <c r="C99" s="4"/>
      <c r="D99" s="4"/>
      <c r="E99" s="4">
        <f t="shared" ref="C99:R100" si="151">E91</f>
        <v>11.13137</v>
      </c>
      <c r="F99" s="4">
        <f t="shared" si="151"/>
        <v>11.828412999999999</v>
      </c>
      <c r="G99" s="4">
        <f t="shared" si="151"/>
        <v>12.317411</v>
      </c>
      <c r="H99" s="4">
        <f t="shared" si="151"/>
        <v>13.266057999999999</v>
      </c>
      <c r="I99" s="4">
        <f t="shared" si="151"/>
        <v>13.693652</v>
      </c>
      <c r="J99" s="4">
        <f t="shared" si="151"/>
        <v>13.835194</v>
      </c>
      <c r="K99" s="4">
        <f t="shared" si="151"/>
        <v>14.025308000000001</v>
      </c>
      <c r="L99" s="4">
        <f t="shared" si="151"/>
        <v>14.023446</v>
      </c>
      <c r="M99" s="4">
        <f t="shared" si="151"/>
        <v>14.009728000000001</v>
      </c>
      <c r="N99" s="4">
        <f t="shared" si="151"/>
        <v>13.909203</v>
      </c>
      <c r="O99" s="4">
        <f t="shared" si="151"/>
        <v>13.730183</v>
      </c>
      <c r="P99" s="4">
        <f t="shared" si="151"/>
        <v>13.507175</v>
      </c>
      <c r="Q99" s="4">
        <f t="shared" si="151"/>
        <v>13.404424000000001</v>
      </c>
      <c r="R99" s="4">
        <f t="shared" si="151"/>
        <v>13.299763</v>
      </c>
      <c r="S99" s="4">
        <f t="shared" si="150"/>
        <v>13.026337</v>
      </c>
      <c r="T99" s="4">
        <f t="shared" si="150"/>
        <v>12.777983000000001</v>
      </c>
      <c r="U99" s="4">
        <f t="shared" si="150"/>
        <v>12.557478</v>
      </c>
      <c r="V99" s="4">
        <f t="shared" si="150"/>
        <v>12.337666</v>
      </c>
      <c r="W99" s="4">
        <f t="shared" si="150"/>
        <v>12.155936000000001</v>
      </c>
      <c r="X99" s="4">
        <f t="shared" si="150"/>
        <v>12.015428</v>
      </c>
      <c r="Y99" s="4">
        <f t="shared" si="150"/>
        <v>11.859089000000001</v>
      </c>
      <c r="Z99" s="4">
        <f t="shared" si="150"/>
        <v>11.788242</v>
      </c>
      <c r="AA99" s="4">
        <f t="shared" si="150"/>
        <v>11.645022000000001</v>
      </c>
      <c r="AB99" s="4">
        <f t="shared" si="150"/>
        <v>11.598876000000001</v>
      </c>
      <c r="AC99" s="4">
        <f t="shared" si="150"/>
        <v>11.619228</v>
      </c>
      <c r="AD99" s="4">
        <f t="shared" si="150"/>
        <v>11.552236000000001</v>
      </c>
      <c r="AE99" s="4">
        <f t="shared" si="150"/>
        <v>11.458454</v>
      </c>
      <c r="AF99" s="4">
        <f t="shared" si="150"/>
        <v>11.354692</v>
      </c>
      <c r="AG99" s="4">
        <f t="shared" si="150"/>
        <v>11.326180000000001</v>
      </c>
      <c r="AH99" s="4">
        <f t="shared" si="150"/>
        <v>11.279612999999999</v>
      </c>
      <c r="AI99" s="4"/>
      <c r="AJ99" s="4"/>
    </row>
    <row r="100" spans="1:36" x14ac:dyDescent="0.7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75">
      <c r="A101" t="s">
        <v>282</v>
      </c>
      <c r="B101" t="s">
        <v>621</v>
      </c>
      <c r="C101" s="11"/>
      <c r="D101" s="11"/>
      <c r="E101" s="11">
        <f t="shared" si="150"/>
        <v>0.53645091974861669</v>
      </c>
      <c r="F101" s="11">
        <f t="shared" si="150"/>
        <v>0.54997072969670069</v>
      </c>
      <c r="G101" s="11">
        <f t="shared" si="150"/>
        <v>0.56102856350540731</v>
      </c>
      <c r="H101" s="11">
        <f t="shared" si="150"/>
        <v>0.56200943672814152</v>
      </c>
      <c r="I101" s="11">
        <f t="shared" si="150"/>
        <v>0.58766209732065777</v>
      </c>
      <c r="J101" s="11">
        <f t="shared" si="150"/>
        <v>0.59577459742198791</v>
      </c>
      <c r="K101" s="11">
        <f t="shared" si="150"/>
        <v>0.61097667953878598</v>
      </c>
      <c r="L101" s="11">
        <f t="shared" si="150"/>
        <v>0.6139025394020915</v>
      </c>
      <c r="M101" s="11">
        <f t="shared" si="150"/>
        <v>0.62039379733752509</v>
      </c>
      <c r="N101" s="11">
        <f t="shared" si="150"/>
        <v>0.60996995896330586</v>
      </c>
      <c r="O101" s="11">
        <f t="shared" si="150"/>
        <v>0.59447362476437016</v>
      </c>
      <c r="P101" s="11">
        <f t="shared" si="150"/>
        <v>0.59191956472623186</v>
      </c>
      <c r="Q101" s="11">
        <f t="shared" si="150"/>
        <v>0.58819162605215547</v>
      </c>
      <c r="R101" s="11">
        <f t="shared" si="150"/>
        <v>0.58044758080859171</v>
      </c>
      <c r="S101" s="11">
        <f t="shared" si="150"/>
        <v>0.56706476241409398</v>
      </c>
      <c r="T101" s="11">
        <f t="shared" si="150"/>
        <v>0.55785386776913559</v>
      </c>
      <c r="U101" s="11">
        <f t="shared" si="150"/>
        <v>0.55210066935724889</v>
      </c>
      <c r="V101" s="11">
        <f t="shared" si="150"/>
        <v>0.54378749583901331</v>
      </c>
      <c r="W101" s="11">
        <f t="shared" si="150"/>
        <v>0.53380548811118833</v>
      </c>
      <c r="X101" s="11">
        <f t="shared" si="150"/>
        <v>0.52722643937921942</v>
      </c>
      <c r="Y101" s="11">
        <f t="shared" si="150"/>
        <v>0.51763063591545355</v>
      </c>
      <c r="Z101" s="11">
        <f t="shared" si="150"/>
        <v>0.50711817801675174</v>
      </c>
      <c r="AA101" s="11">
        <f t="shared" si="150"/>
        <v>0.49842269584530879</v>
      </c>
      <c r="AB101" s="11">
        <f t="shared" si="150"/>
        <v>0.49415635082322562</v>
      </c>
      <c r="AC101" s="11">
        <f t="shared" si="150"/>
        <v>0.49252117319640781</v>
      </c>
      <c r="AD101" s="11">
        <f t="shared" si="150"/>
        <v>0.49180727668054763</v>
      </c>
      <c r="AE101" s="11">
        <f t="shared" si="150"/>
        <v>0.48673694858453248</v>
      </c>
      <c r="AF101" s="11">
        <f t="shared" si="150"/>
        <v>0.48668133983143674</v>
      </c>
      <c r="AG101" s="11">
        <f t="shared" si="150"/>
        <v>0.48379212523686466</v>
      </c>
      <c r="AH101" s="11">
        <f t="shared" si="150"/>
        <v>0.47967019801089783</v>
      </c>
      <c r="AI101" s="11"/>
      <c r="AJ101" s="11"/>
    </row>
    <row r="102" spans="1:36" x14ac:dyDescent="0.75">
      <c r="A102" t="s">
        <v>285</v>
      </c>
      <c r="E102">
        <f t="shared" ref="E102:AH102" si="152">(E97*E98)/(E99*10^6*E100*365)*E101</f>
        <v>9.6934796975722764E-9</v>
      </c>
      <c r="F102">
        <f t="shared" si="152"/>
        <v>9.3135130051609239E-9</v>
      </c>
      <c r="G102">
        <f t="shared" si="152"/>
        <v>9.3022861116131159E-9</v>
      </c>
      <c r="H102">
        <f t="shared" si="152"/>
        <v>8.7303553687530673E-9</v>
      </c>
      <c r="I102">
        <f t="shared" si="152"/>
        <v>8.9722701500131076E-9</v>
      </c>
      <c r="J102">
        <f t="shared" si="152"/>
        <v>8.9482783938748991E-9</v>
      </c>
      <c r="K102">
        <f t="shared" si="152"/>
        <v>9.0696052592461523E-9</v>
      </c>
      <c r="L102">
        <f t="shared" si="152"/>
        <v>8.9772517391941475E-9</v>
      </c>
      <c r="M102">
        <f t="shared" si="152"/>
        <v>8.9764261042418291E-9</v>
      </c>
      <c r="N102">
        <f t="shared" si="152"/>
        <v>8.7411964718585795E-9</v>
      </c>
      <c r="O102">
        <f t="shared" si="152"/>
        <v>8.5586007168964999E-9</v>
      </c>
      <c r="P102">
        <f t="shared" si="152"/>
        <v>8.3667732177643392E-9</v>
      </c>
      <c r="Q102">
        <f t="shared" si="152"/>
        <v>8.3240868171902824E-9</v>
      </c>
      <c r="R102">
        <f t="shared" si="152"/>
        <v>8.2232737970518239E-9</v>
      </c>
      <c r="S102">
        <f t="shared" si="152"/>
        <v>8.0984906190870388E-9</v>
      </c>
      <c r="T102">
        <f t="shared" si="152"/>
        <v>8.0529220540578306E-9</v>
      </c>
      <c r="U102">
        <f t="shared" si="152"/>
        <v>8.0773039617134501E-9</v>
      </c>
      <c r="V102">
        <f t="shared" si="152"/>
        <v>8.0075748109429044E-9</v>
      </c>
      <c r="W102">
        <f t="shared" si="152"/>
        <v>7.9300304239774897E-9</v>
      </c>
      <c r="X102">
        <f t="shared" si="152"/>
        <v>7.8296689916577247E-9</v>
      </c>
      <c r="Y102">
        <f t="shared" si="152"/>
        <v>7.6632836499963049E-9</v>
      </c>
      <c r="Z102">
        <f t="shared" si="152"/>
        <v>7.4917317075857151E-9</v>
      </c>
      <c r="AA102">
        <f t="shared" si="152"/>
        <v>7.3690906074521765E-9</v>
      </c>
      <c r="AB102">
        <f t="shared" si="152"/>
        <v>7.2945301911697983E-9</v>
      </c>
      <c r="AC102">
        <f t="shared" si="152"/>
        <v>7.2378124299361666E-9</v>
      </c>
      <c r="AD102">
        <f t="shared" si="152"/>
        <v>7.1971715449369722E-9</v>
      </c>
      <c r="AE102">
        <f t="shared" si="152"/>
        <v>7.1105178543625449E-9</v>
      </c>
      <c r="AF102">
        <f t="shared" si="152"/>
        <v>7.1143398336504179E-9</v>
      </c>
      <c r="AG102">
        <f t="shared" si="152"/>
        <v>7.0565014309656839E-9</v>
      </c>
      <c r="AH102">
        <f t="shared" si="152"/>
        <v>6.9827770505629829E-9</v>
      </c>
    </row>
    <row r="104" spans="1:36" x14ac:dyDescent="0.75">
      <c r="A104" s="15" t="s">
        <v>250</v>
      </c>
    </row>
    <row r="105" spans="1:36" x14ac:dyDescent="0.75">
      <c r="A105" t="s">
        <v>272</v>
      </c>
      <c r="B105" t="s">
        <v>278</v>
      </c>
      <c r="E105">
        <f>'Subsidies Paid'!H20</f>
        <v>10000000</v>
      </c>
    </row>
    <row r="106" spans="1:36" x14ac:dyDescent="0.75">
      <c r="A106" t="s">
        <v>279</v>
      </c>
      <c r="B106" t="s">
        <v>621</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75">
      <c r="A107" t="s">
        <v>281</v>
      </c>
      <c r="B107" t="s">
        <v>280</v>
      </c>
      <c r="E107">
        <f t="shared" ref="E107" si="153">5.751*10^6</f>
        <v>5751000</v>
      </c>
      <c r="AA107" s="5"/>
      <c r="AB107" s="5"/>
      <c r="AC107" s="5"/>
      <c r="AD107" s="5"/>
      <c r="AE107" s="5"/>
      <c r="AF107" s="5"/>
      <c r="AG107" s="5"/>
      <c r="AH107" s="5"/>
      <c r="AI107" s="5"/>
      <c r="AJ107" s="5"/>
    </row>
    <row r="108" spans="1:36" x14ac:dyDescent="0.75">
      <c r="A108" t="s">
        <v>282</v>
      </c>
      <c r="B108" t="s">
        <v>621</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7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7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7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75" x14ac:dyDescent="0.75"/>
  <cols>
    <col min="1" max="1" width="27.26953125" customWidth="1"/>
    <col min="2" max="2" width="12.54296875" bestFit="1" customWidth="1"/>
  </cols>
  <sheetData>
    <row r="1" spans="1:2" x14ac:dyDescent="0.75">
      <c r="A1" t="s">
        <v>578</v>
      </c>
      <c r="B1">
        <v>10</v>
      </c>
    </row>
    <row r="2" spans="1:2" ht="29.5" x14ac:dyDescent="0.75">
      <c r="A2" s="36" t="s">
        <v>579</v>
      </c>
      <c r="B2">
        <v>30</v>
      </c>
    </row>
    <row r="3" spans="1:2" ht="29.5" x14ac:dyDescent="0.75">
      <c r="A3" s="36" t="s">
        <v>580</v>
      </c>
      <c r="B3">
        <v>0.39100000000000001</v>
      </c>
    </row>
    <row r="4" spans="1:2" ht="29.5" x14ac:dyDescent="0.75">
      <c r="A4" s="36" t="s">
        <v>581</v>
      </c>
      <c r="B4">
        <v>0.48799999999999999</v>
      </c>
    </row>
    <row r="5" spans="1:2" x14ac:dyDescent="0.75">
      <c r="A5" s="36" t="s">
        <v>582</v>
      </c>
      <c r="B5">
        <v>0.03</v>
      </c>
    </row>
    <row r="6" spans="1:2" x14ac:dyDescent="0.75">
      <c r="A6" s="36" t="s">
        <v>583</v>
      </c>
      <c r="B6">
        <v>8760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75" x14ac:dyDescent="0.75"/>
  <sheetData>
    <row r="29" spans="1:1" x14ac:dyDescent="0.75">
      <c r="A29" t="s">
        <v>520</v>
      </c>
    </row>
    <row r="30" spans="1:1" x14ac:dyDescent="0.75">
      <c r="A30">
        <f>1-0.33</f>
        <v>0.66999999999999993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workbookViewId="0">
      <selection activeCell="B22" sqref="B22:AE22"/>
    </sheetView>
  </sheetViews>
  <sheetFormatPr defaultColWidth="9.26953125" defaultRowHeight="14.75" x14ac:dyDescent="0.75"/>
  <cols>
    <col min="1" max="1" width="26.54296875" customWidth="1"/>
    <col min="2" max="2" width="11.7265625" bestFit="1" customWidth="1"/>
  </cols>
  <sheetData>
    <row r="1" spans="1:31"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75">
      <c r="A3" t="s">
        <v>306</v>
      </c>
      <c r="B3">
        <f>SUM(Calculations!D46,Calculations!D51)</f>
        <v>1.1688331332566029E-8</v>
      </c>
      <c r="C3">
        <f>SUM(Calculations!E46,Calculations!E51)</f>
        <v>1.2530977686883014E-8</v>
      </c>
      <c r="D3">
        <f>SUM(Calculations!F46,Calculations!F51)</f>
        <v>1.3080727704691741E-8</v>
      </c>
      <c r="E3">
        <f>SUM(Calculations!G46,Calculations!G51)</f>
        <v>1.3790882654332546E-8</v>
      </c>
      <c r="F3">
        <f>SUM(Calculations!H46,Calculations!H51)</f>
        <v>1.3919148735309073E-8</v>
      </c>
      <c r="G3">
        <f>SUM(Calculations!I46,Calculations!I51)</f>
        <v>1.4809111310572423E-8</v>
      </c>
      <c r="H3">
        <f>SUM(Calculations!J46,Calculations!J51)</f>
        <v>1.613067628948874E-8</v>
      </c>
      <c r="I3">
        <f>SUM(Calculations!K46,Calculations!K51)</f>
        <v>1.6192350653870064E-8</v>
      </c>
      <c r="J3">
        <f>SUM(Calculations!L46,Calculations!L51)</f>
        <v>1.6721861260900386E-8</v>
      </c>
      <c r="K3">
        <f>SUM(Calculations!M46,Calculations!M51)</f>
        <v>1.816513784547465E-8</v>
      </c>
      <c r="L3">
        <f>SUM(Calculations!N46,Calculations!N51)</f>
        <v>1.8782270012132502E-8</v>
      </c>
      <c r="M3">
        <f>SUM(Calculations!O46,Calculations!O51)</f>
        <v>2.7232504199930938E-8</v>
      </c>
      <c r="N3">
        <f>SUM(Calculations!P46,Calculations!P51)</f>
        <v>2.7234708075553782E-8</v>
      </c>
      <c r="O3">
        <f>SUM(Calculations!Q46,Calculations!Q51)</f>
        <v>2.7480696741427012E-8</v>
      </c>
      <c r="P3">
        <f>SUM(Calculations!R46,Calculations!R51)</f>
        <v>2.7313255930792098E-8</v>
      </c>
      <c r="Q3">
        <f>SUM(Calculations!S46,Calculations!S51)</f>
        <v>2.7711775041874101E-8</v>
      </c>
      <c r="R3">
        <f>SUM(Calculations!T46,Calculations!T51)</f>
        <v>2.7643648879714403E-8</v>
      </c>
      <c r="S3">
        <f>SUM(Calculations!U46,Calculations!U51)</f>
        <v>2.8078511260730213E-8</v>
      </c>
      <c r="T3">
        <f>SUM(Calculations!V46,Calculations!V51)</f>
        <v>2.9971672037712024E-8</v>
      </c>
      <c r="U3">
        <f>SUM(Calculations!W46,Calculations!W51)</f>
        <v>2.9737138396586091E-8</v>
      </c>
      <c r="V3">
        <f>SUM(Calculations!X46,Calculations!X51)</f>
        <v>3.0027682216878333E-8</v>
      </c>
      <c r="W3">
        <f>SUM(Calculations!Y46,Calculations!Y51)</f>
        <v>2.9998148584864904E-8</v>
      </c>
      <c r="X3">
        <f>SUM(Calculations!Z46,Calculations!Z51)</f>
        <v>2.9921558001517128E-8</v>
      </c>
      <c r="Y3">
        <f>SUM(Calculations!AA46,Calculations!AA51)</f>
        <v>2.9850177129565283E-8</v>
      </c>
      <c r="Z3">
        <f>SUM(Calculations!AB46,Calculations!AB51)</f>
        <v>2.9577168328566573E-8</v>
      </c>
      <c r="AA3">
        <f>SUM(Calculations!AC46,Calculations!AC51)</f>
        <v>3.049643907112739E-8</v>
      </c>
      <c r="AB3">
        <f>SUM(Calculations!AD46,Calculations!AD51)</f>
        <v>3.0259913481526818E-8</v>
      </c>
      <c r="AC3">
        <f>SUM(Calculations!AE46,Calculations!AE51)</f>
        <v>3.0194200556150117E-8</v>
      </c>
      <c r="AD3">
        <f>SUM(Calculations!AF46,Calculations!AF51)</f>
        <v>3.0072159720341489E-8</v>
      </c>
      <c r="AE3">
        <f>SUM(Calculations!AG46,Calculations!AG51)</f>
        <v>3.0383614907190218E-8</v>
      </c>
    </row>
    <row r="4" spans="1:31" x14ac:dyDescent="0.75">
      <c r="A4" t="s">
        <v>178</v>
      </c>
      <c r="B4">
        <f>SUM(Calculations!D58,Calculations!D64,Calculations!D70)</f>
        <v>4.4942128582800537E-8</v>
      </c>
      <c r="C4">
        <f>SUM(Calculations!E58,Calculations!E64,Calculations!E70)</f>
        <v>4.2183414082981258E-8</v>
      </c>
      <c r="D4">
        <f>SUM(Calculations!F58,Calculations!F64,Calculations!F70)</f>
        <v>4.1354274243663866E-8</v>
      </c>
      <c r="E4">
        <f>SUM(Calculations!G58,Calculations!G64,Calculations!G70)</f>
        <v>3.8851875622860549E-8</v>
      </c>
      <c r="F4">
        <f>SUM(Calculations!H58,Calculations!H64,Calculations!H70)</f>
        <v>3.8303074422148952E-8</v>
      </c>
      <c r="G4">
        <f>SUM(Calculations!I58,Calculations!I64,Calculations!I70)</f>
        <v>3.7697804263372045E-8</v>
      </c>
      <c r="H4">
        <f>SUM(Calculations!J58,Calculations!J64,Calculations!J70)</f>
        <v>3.7275539389333226E-8</v>
      </c>
      <c r="I4">
        <f>SUM(Calculations!K58,Calculations!K64,Calculations!K70)</f>
        <v>3.6724372110941098E-8</v>
      </c>
      <c r="J4">
        <f>SUM(Calculations!L58,Calculations!L64,Calculations!L70)</f>
        <v>3.6335164146866004E-8</v>
      </c>
      <c r="K4">
        <f>SUM(Calculations!M58,Calculations!M64,Calculations!M70)</f>
        <v>3.5986756873470564E-8</v>
      </c>
      <c r="L4">
        <f>SUM(Calculations!N58,Calculations!N64,Calculations!N70)</f>
        <v>3.6161289515493457E-8</v>
      </c>
      <c r="M4">
        <f>SUM(Calculations!O58,Calculations!O64,Calculations!O70)</f>
        <v>3.5513669475334005E-8</v>
      </c>
      <c r="N4">
        <f>SUM(Calculations!P58,Calculations!P64,Calculations!P70)</f>
        <v>3.556342393640222E-8</v>
      </c>
      <c r="O4">
        <f>SUM(Calculations!Q58,Calculations!Q64,Calculations!Q70)</f>
        <v>3.5612476913098951E-8</v>
      </c>
      <c r="P4">
        <f>SUM(Calculations!R58,Calculations!R64,Calculations!R70)</f>
        <v>3.5913930421515984E-8</v>
      </c>
      <c r="Q4">
        <f>SUM(Calculations!S58,Calculations!S64,Calculations!S70)</f>
        <v>3.6310843341540201E-8</v>
      </c>
      <c r="R4">
        <f>SUM(Calculations!T58,Calculations!T64,Calculations!T70)</f>
        <v>3.680743271389906E-8</v>
      </c>
      <c r="S4">
        <f>SUM(Calculations!U58,Calculations!U64,Calculations!U70)</f>
        <v>3.7058243514876244E-8</v>
      </c>
      <c r="T4">
        <f>SUM(Calculations!V58,Calculations!V64,Calculations!V70)</f>
        <v>3.7393589970594489E-8</v>
      </c>
      <c r="U4">
        <f>SUM(Calculations!W58,Calculations!W64,Calculations!W70)</f>
        <v>3.7385081291333253E-8</v>
      </c>
      <c r="V4">
        <f>SUM(Calculations!X58,Calculations!X64,Calculations!X70)</f>
        <v>3.7274803362504606E-8</v>
      </c>
      <c r="W4">
        <f>SUM(Calculations!Y58,Calculations!Y64,Calculations!Y70)</f>
        <v>3.7204981777226175E-8</v>
      </c>
      <c r="X4">
        <f>SUM(Calculations!Z58,Calculations!Z64,Calculations!Z70)</f>
        <v>3.7243314765234187E-8</v>
      </c>
      <c r="Y4">
        <f>SUM(Calculations!AA58,Calculations!AA64,Calculations!AA70)</f>
        <v>3.7191406503354678E-8</v>
      </c>
      <c r="Z4">
        <f>SUM(Calculations!AB58,Calculations!AB64,Calculations!AB70)</f>
        <v>3.7029502330244066E-8</v>
      </c>
      <c r="AA4">
        <f>SUM(Calculations!AC58,Calculations!AC64,Calculations!AC70)</f>
        <v>3.6877458050770196E-8</v>
      </c>
      <c r="AB4">
        <f>SUM(Calculations!AD58,Calculations!AD64,Calculations!AD70)</f>
        <v>3.6813005119358276E-8</v>
      </c>
      <c r="AC4">
        <f>SUM(Calculations!AE58,Calculations!AE64,Calculations!AE70)</f>
        <v>3.6833466688733566E-8</v>
      </c>
      <c r="AD4">
        <f>SUM(Calculations!AF58,Calculations!AF64,Calculations!AF70)</f>
        <v>3.6751388798976289E-8</v>
      </c>
      <c r="AE4">
        <f>SUM(Calculations!AG58,Calculations!AG64,Calculations!AG70)</f>
        <v>3.6695235064221122E-8</v>
      </c>
    </row>
    <row r="5" spans="1:31"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75">
      <c r="A10" t="s">
        <v>180</v>
      </c>
      <c r="B10">
        <f>SUM(Calculations!E$78,Calculations!E$86,Calculations!E$94,Calculations!E$102,Calculations!E$109)</f>
        <v>5.3986331383542402E-8</v>
      </c>
      <c r="C10">
        <f>SUM(Calculations!F$78,Calculations!F$86,Calculations!F$94,Calculations!F$102,Calculations!F$109)</f>
        <v>5.1998125720606004E-8</v>
      </c>
      <c r="D10">
        <f>SUM(Calculations!G$78,Calculations!G$86,Calculations!G$94,Calculations!G$102,Calculations!G$109)</f>
        <v>5.1383248665452917E-8</v>
      </c>
      <c r="E10">
        <f>SUM(Calculations!H$78,Calculations!H$86,Calculations!H$94,Calculations!H$102,Calculations!H$109)</f>
        <v>4.8001139904483568E-8</v>
      </c>
      <c r="F10">
        <f>SUM(Calculations!I$78,Calculations!I$86,Calculations!I$94,Calculations!I$102,Calculations!I$109)</f>
        <v>4.8938770467938566E-8</v>
      </c>
      <c r="G10">
        <f>SUM(Calculations!J$78,Calculations!J$86,Calculations!J$94,Calculations!J$102,Calculations!J$109)</f>
        <v>4.8970828892183324E-8</v>
      </c>
      <c r="H10">
        <f>SUM(Calculations!K$78,Calculations!K$86,Calculations!K$94,Calculations!K$102,Calculations!K$109)</f>
        <v>4.9579874972740939E-8</v>
      </c>
      <c r="I10">
        <f>SUM(Calculations!L$78,Calculations!L$86,Calculations!L$94,Calculations!L$102,Calculations!L$109)</f>
        <v>4.9484864683846358E-8</v>
      </c>
      <c r="J10">
        <f>SUM(Calculations!M$78,Calculations!M$86,Calculations!M$94,Calculations!M$102,Calculations!M$109)</f>
        <v>4.9796324997484503E-8</v>
      </c>
      <c r="K10">
        <f>SUM(Calculations!N$78,Calculations!N$86,Calculations!N$94,Calculations!N$102,Calculations!N$109)</f>
        <v>4.8950175444800232E-8</v>
      </c>
      <c r="L10">
        <f>SUM(Calculations!O$78,Calculations!O$86,Calculations!O$94,Calculations!O$102,Calculations!O$109)</f>
        <v>4.8154910890151048E-8</v>
      </c>
      <c r="M10">
        <f>SUM(Calculations!P$78,Calculations!P$86,Calculations!P$94,Calculations!P$102,Calculations!P$109)</f>
        <v>4.8007341831281781E-8</v>
      </c>
      <c r="N10">
        <f>SUM(Calculations!Q$78,Calculations!Q$86,Calculations!Q$94,Calculations!Q$102,Calculations!Q$109)</f>
        <v>4.7937849454627495E-8</v>
      </c>
      <c r="O10">
        <f>SUM(Calculations!R$78,Calculations!R$86,Calculations!R$94,Calculations!R$102,Calculations!R$109)</f>
        <v>4.7542427563091579E-8</v>
      </c>
      <c r="P10">
        <f>SUM(Calculations!S$78,Calculations!S$86,Calculations!S$94,Calculations!S$102,Calculations!S$109)</f>
        <v>4.7165712735098908E-8</v>
      </c>
      <c r="Q10">
        <f>SUM(Calculations!T$78,Calculations!T$86,Calculations!T$94,Calculations!T$102,Calculations!T$109)</f>
        <v>4.7130881218322827E-8</v>
      </c>
      <c r="R10">
        <f>SUM(Calculations!U$78,Calculations!U$86,Calculations!U$94,Calculations!U$102,Calculations!U$109)</f>
        <v>4.7382055339969566E-8</v>
      </c>
      <c r="S10">
        <f>SUM(Calculations!V$78,Calculations!V$86,Calculations!V$94,Calculations!V$102,Calculations!V$109)</f>
        <v>4.7277875166995641E-8</v>
      </c>
      <c r="T10">
        <f>SUM(Calculations!W$78,Calculations!W$86,Calculations!W$94,Calculations!W$102,Calculations!W$109)</f>
        <v>4.6986122014523287E-8</v>
      </c>
      <c r="U10">
        <f>SUM(Calculations!X$78,Calculations!X$86,Calculations!X$94,Calculations!X$102,Calculations!X$109)</f>
        <v>4.6717488006043194E-8</v>
      </c>
      <c r="V10">
        <f>SUM(Calculations!Y$78,Calculations!Y$86,Calculations!Y$94,Calculations!Y$102,Calculations!Y$109)</f>
        <v>4.6164201896110708E-8</v>
      </c>
      <c r="W10">
        <f>SUM(Calculations!Z$78,Calculations!Z$86,Calculations!Z$94,Calculations!Z$102,Calculations!Z$109)</f>
        <v>4.5351217233891909E-8</v>
      </c>
      <c r="X10">
        <f>SUM(Calculations!AA$78,Calculations!AA$86,Calculations!AA$94,Calculations!AA$102,Calculations!AA$109)</f>
        <v>4.4913922528208266E-8</v>
      </c>
      <c r="Y10">
        <f>SUM(Calculations!AB$78,Calculations!AB$86,Calculations!AB$94,Calculations!AB$102,Calculations!AB$109)</f>
        <v>4.4607669047592699E-8</v>
      </c>
      <c r="Z10">
        <f>SUM(Calculations!AC$78,Calculations!AC$86,Calculations!AC$94,Calculations!AC$102,Calculations!AC$109)</f>
        <v>4.4334394478111246E-8</v>
      </c>
      <c r="AA10">
        <f>SUM(Calculations!AD$78,Calculations!AD$86,Calculations!AD$94,Calculations!AD$102,Calculations!AD$109)</f>
        <v>4.4348109381632897E-8</v>
      </c>
      <c r="AB10">
        <f>SUM(Calculations!AE$78,Calculations!AE$86,Calculations!AE$94,Calculations!AE$102,Calculations!AE$109)</f>
        <v>4.40761106826182E-8</v>
      </c>
      <c r="AC10">
        <f>SUM(Calculations!AF$78,Calculations!AF$86,Calculations!AF$94,Calculations!AF$102,Calculations!AF$109)</f>
        <v>4.4322907385144233E-8</v>
      </c>
      <c r="AD10">
        <f>SUM(Calculations!AG$78,Calculations!AG$86,Calculations!AG$94,Calculations!AG$102,Calculations!AG$109)</f>
        <v>4.4089081019749468E-8</v>
      </c>
      <c r="AE10">
        <f>SUM(Calculations!AH$78,Calculations!AH$86,Calculations!AH$94,Calculations!AH$102,Calculations!AH$109)</f>
        <v>4.3790123633045591E-8</v>
      </c>
    </row>
    <row r="11" spans="1:31" x14ac:dyDescent="0.75">
      <c r="A11" t="s">
        <v>181</v>
      </c>
      <c r="B11">
        <f>SUM(Calculations!E$78,Calculations!E$86,Calculations!E$94,Calculations!E$102,Calculations!E$109)</f>
        <v>5.3986331383542402E-8</v>
      </c>
      <c r="C11">
        <f>SUM(Calculations!F$78,Calculations!F$86,Calculations!F$94,Calculations!F$102,Calculations!F$109)</f>
        <v>5.1998125720606004E-8</v>
      </c>
      <c r="D11">
        <f>SUM(Calculations!G$78,Calculations!G$86,Calculations!G$94,Calculations!G$102,Calculations!G$109)</f>
        <v>5.1383248665452917E-8</v>
      </c>
      <c r="E11">
        <f>SUM(Calculations!H$78,Calculations!H$86,Calculations!H$94,Calculations!H$102,Calculations!H$109)</f>
        <v>4.8001139904483568E-8</v>
      </c>
      <c r="F11">
        <f>SUM(Calculations!I$78,Calculations!I$86,Calculations!I$94,Calculations!I$102,Calculations!I$109)</f>
        <v>4.8938770467938566E-8</v>
      </c>
      <c r="G11">
        <f>SUM(Calculations!J$78,Calculations!J$86,Calculations!J$94,Calculations!J$102,Calculations!J$109)</f>
        <v>4.8970828892183324E-8</v>
      </c>
      <c r="H11">
        <f>SUM(Calculations!K$78,Calculations!K$86,Calculations!K$94,Calculations!K$102,Calculations!K$109)</f>
        <v>4.9579874972740939E-8</v>
      </c>
      <c r="I11">
        <f>SUM(Calculations!L$78,Calculations!L$86,Calculations!L$94,Calculations!L$102,Calculations!L$109)</f>
        <v>4.9484864683846358E-8</v>
      </c>
      <c r="J11">
        <f>SUM(Calculations!M$78,Calculations!M$86,Calculations!M$94,Calculations!M$102,Calculations!M$109)</f>
        <v>4.9796324997484503E-8</v>
      </c>
      <c r="K11">
        <f>SUM(Calculations!N$78,Calculations!N$86,Calculations!N$94,Calculations!N$102,Calculations!N$109)</f>
        <v>4.8950175444800232E-8</v>
      </c>
      <c r="L11">
        <f>SUM(Calculations!O$78,Calculations!O$86,Calculations!O$94,Calculations!O$102,Calculations!O$109)</f>
        <v>4.8154910890151048E-8</v>
      </c>
      <c r="M11">
        <f>SUM(Calculations!P$78,Calculations!P$86,Calculations!P$94,Calculations!P$102,Calculations!P$109)</f>
        <v>4.8007341831281781E-8</v>
      </c>
      <c r="N11">
        <f>SUM(Calculations!Q$78,Calculations!Q$86,Calculations!Q$94,Calculations!Q$102,Calculations!Q$109)</f>
        <v>4.7937849454627495E-8</v>
      </c>
      <c r="O11">
        <f>SUM(Calculations!R$78,Calculations!R$86,Calculations!R$94,Calculations!R$102,Calculations!R$109)</f>
        <v>4.7542427563091579E-8</v>
      </c>
      <c r="P11">
        <f>SUM(Calculations!S$78,Calculations!S$86,Calculations!S$94,Calculations!S$102,Calculations!S$109)</f>
        <v>4.7165712735098908E-8</v>
      </c>
      <c r="Q11">
        <f>SUM(Calculations!T$78,Calculations!T$86,Calculations!T$94,Calculations!T$102,Calculations!T$109)</f>
        <v>4.7130881218322827E-8</v>
      </c>
      <c r="R11">
        <f>SUM(Calculations!U$78,Calculations!U$86,Calculations!U$94,Calculations!U$102,Calculations!U$109)</f>
        <v>4.7382055339969566E-8</v>
      </c>
      <c r="S11">
        <f>SUM(Calculations!V$78,Calculations!V$86,Calculations!V$94,Calculations!V$102,Calculations!V$109)</f>
        <v>4.7277875166995641E-8</v>
      </c>
      <c r="T11">
        <f>SUM(Calculations!W$78,Calculations!W$86,Calculations!W$94,Calculations!W$102,Calculations!W$109)</f>
        <v>4.6986122014523287E-8</v>
      </c>
      <c r="U11">
        <f>SUM(Calculations!X$78,Calculations!X$86,Calculations!X$94,Calculations!X$102,Calculations!X$109)</f>
        <v>4.6717488006043194E-8</v>
      </c>
      <c r="V11">
        <f>SUM(Calculations!Y$78,Calculations!Y$86,Calculations!Y$94,Calculations!Y$102,Calculations!Y$109)</f>
        <v>4.6164201896110708E-8</v>
      </c>
      <c r="W11">
        <f>SUM(Calculations!Z$78,Calculations!Z$86,Calculations!Z$94,Calculations!Z$102,Calculations!Z$109)</f>
        <v>4.5351217233891909E-8</v>
      </c>
      <c r="X11">
        <f>SUM(Calculations!AA$78,Calculations!AA$86,Calculations!AA$94,Calculations!AA$102,Calculations!AA$109)</f>
        <v>4.4913922528208266E-8</v>
      </c>
      <c r="Y11">
        <f>SUM(Calculations!AB$78,Calculations!AB$86,Calculations!AB$94,Calculations!AB$102,Calculations!AB$109)</f>
        <v>4.4607669047592699E-8</v>
      </c>
      <c r="Z11">
        <f>SUM(Calculations!AC$78,Calculations!AC$86,Calculations!AC$94,Calculations!AC$102,Calculations!AC$109)</f>
        <v>4.4334394478111246E-8</v>
      </c>
      <c r="AA11">
        <f>SUM(Calculations!AD$78,Calculations!AD$86,Calculations!AD$94,Calculations!AD$102,Calculations!AD$109)</f>
        <v>4.4348109381632897E-8</v>
      </c>
      <c r="AB11">
        <f>SUM(Calculations!AE$78,Calculations!AE$86,Calculations!AE$94,Calculations!AE$102,Calculations!AE$109)</f>
        <v>4.40761106826182E-8</v>
      </c>
      <c r="AC11">
        <f>SUM(Calculations!AF$78,Calculations!AF$86,Calculations!AF$94,Calculations!AF$102,Calculations!AF$109)</f>
        <v>4.4322907385144233E-8</v>
      </c>
      <c r="AD11">
        <f>SUM(Calculations!AG$78,Calculations!AG$86,Calculations!AG$94,Calculations!AG$102,Calculations!AG$109)</f>
        <v>4.4089081019749468E-8</v>
      </c>
      <c r="AE11">
        <f>SUM(Calculations!AH$78,Calculations!AH$86,Calculations!AH$94,Calculations!AH$102,Calculations!AH$109)</f>
        <v>4.3790123633045591E-8</v>
      </c>
    </row>
    <row r="12" spans="1:31"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75">
      <c r="A14" t="s">
        <v>182</v>
      </c>
      <c r="B14">
        <f>SUM(Calculations!E$78,Calculations!E$86,Calculations!E$94,Calculations!E$102,Calculations!E$109)</f>
        <v>5.3986331383542402E-8</v>
      </c>
      <c r="C14">
        <f>SUM(Calculations!F$78,Calculations!F$86,Calculations!F$94,Calculations!F$102,Calculations!F$109)</f>
        <v>5.1998125720606004E-8</v>
      </c>
      <c r="D14">
        <f>SUM(Calculations!G$78,Calculations!G$86,Calculations!G$94,Calculations!G$102,Calculations!G$109)</f>
        <v>5.1383248665452917E-8</v>
      </c>
      <c r="E14">
        <f>SUM(Calculations!H$78,Calculations!H$86,Calculations!H$94,Calculations!H$102,Calculations!H$109)</f>
        <v>4.8001139904483568E-8</v>
      </c>
      <c r="F14">
        <f>SUM(Calculations!I$78,Calculations!I$86,Calculations!I$94,Calculations!I$102,Calculations!I$109)</f>
        <v>4.8938770467938566E-8</v>
      </c>
      <c r="G14">
        <f>SUM(Calculations!J$78,Calculations!J$86,Calculations!J$94,Calculations!J$102,Calculations!J$109)</f>
        <v>4.8970828892183324E-8</v>
      </c>
      <c r="H14">
        <f>SUM(Calculations!K$78,Calculations!K$86,Calculations!K$94,Calculations!K$102,Calculations!K$109)</f>
        <v>4.9579874972740939E-8</v>
      </c>
      <c r="I14">
        <f>SUM(Calculations!L$78,Calculations!L$86,Calculations!L$94,Calculations!L$102,Calculations!L$109)</f>
        <v>4.9484864683846358E-8</v>
      </c>
      <c r="J14">
        <f>SUM(Calculations!M$78,Calculations!M$86,Calculations!M$94,Calculations!M$102,Calculations!M$109)</f>
        <v>4.9796324997484503E-8</v>
      </c>
      <c r="K14">
        <f>SUM(Calculations!N$78,Calculations!N$86,Calculations!N$94,Calculations!N$102,Calculations!N$109)</f>
        <v>4.8950175444800232E-8</v>
      </c>
      <c r="L14">
        <f>SUM(Calculations!O$78,Calculations!O$86,Calculations!O$94,Calculations!O$102,Calculations!O$109)</f>
        <v>4.8154910890151048E-8</v>
      </c>
      <c r="M14">
        <f>SUM(Calculations!P$78,Calculations!P$86,Calculations!P$94,Calculations!P$102,Calculations!P$109)</f>
        <v>4.8007341831281781E-8</v>
      </c>
      <c r="N14">
        <f>SUM(Calculations!Q$78,Calculations!Q$86,Calculations!Q$94,Calculations!Q$102,Calculations!Q$109)</f>
        <v>4.7937849454627495E-8</v>
      </c>
      <c r="O14">
        <f>SUM(Calculations!R$78,Calculations!R$86,Calculations!R$94,Calculations!R$102,Calculations!R$109)</f>
        <v>4.7542427563091579E-8</v>
      </c>
      <c r="P14">
        <f>SUM(Calculations!S$78,Calculations!S$86,Calculations!S$94,Calculations!S$102,Calculations!S$109)</f>
        <v>4.7165712735098908E-8</v>
      </c>
      <c r="Q14">
        <f>SUM(Calculations!T$78,Calculations!T$86,Calculations!T$94,Calculations!T$102,Calculations!T$109)</f>
        <v>4.7130881218322827E-8</v>
      </c>
      <c r="R14">
        <f>SUM(Calculations!U$78,Calculations!U$86,Calculations!U$94,Calculations!U$102,Calculations!U$109)</f>
        <v>4.7382055339969566E-8</v>
      </c>
      <c r="S14">
        <f>SUM(Calculations!V$78,Calculations!V$86,Calculations!V$94,Calculations!V$102,Calculations!V$109)</f>
        <v>4.7277875166995641E-8</v>
      </c>
      <c r="T14">
        <f>SUM(Calculations!W$78,Calculations!W$86,Calculations!W$94,Calculations!W$102,Calculations!W$109)</f>
        <v>4.6986122014523287E-8</v>
      </c>
      <c r="U14">
        <f>SUM(Calculations!X$78,Calculations!X$86,Calculations!X$94,Calculations!X$102,Calculations!X$109)</f>
        <v>4.6717488006043194E-8</v>
      </c>
      <c r="V14">
        <f>SUM(Calculations!Y$78,Calculations!Y$86,Calculations!Y$94,Calculations!Y$102,Calculations!Y$109)</f>
        <v>4.6164201896110708E-8</v>
      </c>
      <c r="W14">
        <f>SUM(Calculations!Z$78,Calculations!Z$86,Calculations!Z$94,Calculations!Z$102,Calculations!Z$109)</f>
        <v>4.5351217233891909E-8</v>
      </c>
      <c r="X14">
        <f>SUM(Calculations!AA$78,Calculations!AA$86,Calculations!AA$94,Calculations!AA$102,Calculations!AA$109)</f>
        <v>4.4913922528208266E-8</v>
      </c>
      <c r="Y14">
        <f>SUM(Calculations!AB$78,Calculations!AB$86,Calculations!AB$94,Calculations!AB$102,Calculations!AB$109)</f>
        <v>4.4607669047592699E-8</v>
      </c>
      <c r="Z14">
        <f>SUM(Calculations!AC$78,Calculations!AC$86,Calculations!AC$94,Calculations!AC$102,Calculations!AC$109)</f>
        <v>4.4334394478111246E-8</v>
      </c>
      <c r="AA14">
        <f>SUM(Calculations!AD$78,Calculations!AD$86,Calculations!AD$94,Calculations!AD$102,Calculations!AD$109)</f>
        <v>4.4348109381632897E-8</v>
      </c>
      <c r="AB14">
        <f>SUM(Calculations!AE$78,Calculations!AE$86,Calculations!AE$94,Calculations!AE$102,Calculations!AE$109)</f>
        <v>4.40761106826182E-8</v>
      </c>
      <c r="AC14">
        <f>SUM(Calculations!AF$78,Calculations!AF$86,Calculations!AF$94,Calculations!AF$102,Calculations!AF$109)</f>
        <v>4.4322907385144233E-8</v>
      </c>
      <c r="AD14">
        <f>SUM(Calculations!AG$78,Calculations!AG$86,Calculations!AG$94,Calculations!AG$102,Calculations!AG$109)</f>
        <v>4.4089081019749468E-8</v>
      </c>
      <c r="AE14">
        <f>SUM(Calculations!AH$78,Calculations!AH$86,Calculations!AH$94,Calculations!AH$102,Calculations!AH$109)</f>
        <v>4.3790123633045591E-8</v>
      </c>
    </row>
    <row r="15" spans="1:31"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305</v>
      </c>
      <c r="B17">
        <f t="shared" ref="B17:AE17" si="0">B3</f>
        <v>1.1688331332566029E-8</v>
      </c>
      <c r="C17">
        <f t="shared" si="0"/>
        <v>1.2530977686883014E-8</v>
      </c>
      <c r="D17">
        <f t="shared" si="0"/>
        <v>1.3080727704691741E-8</v>
      </c>
      <c r="E17">
        <f t="shared" si="0"/>
        <v>1.3790882654332546E-8</v>
      </c>
      <c r="F17">
        <f t="shared" si="0"/>
        <v>1.3919148735309073E-8</v>
      </c>
      <c r="G17">
        <f t="shared" si="0"/>
        <v>1.4809111310572423E-8</v>
      </c>
      <c r="H17">
        <f t="shared" si="0"/>
        <v>1.613067628948874E-8</v>
      </c>
      <c r="I17">
        <f t="shared" si="0"/>
        <v>1.6192350653870064E-8</v>
      </c>
      <c r="J17">
        <f t="shared" si="0"/>
        <v>1.6721861260900386E-8</v>
      </c>
      <c r="K17">
        <f t="shared" si="0"/>
        <v>1.816513784547465E-8</v>
      </c>
      <c r="L17">
        <f t="shared" si="0"/>
        <v>1.8782270012132502E-8</v>
      </c>
      <c r="M17">
        <f t="shared" si="0"/>
        <v>2.7232504199930938E-8</v>
      </c>
      <c r="N17">
        <f t="shared" si="0"/>
        <v>2.7234708075553782E-8</v>
      </c>
      <c r="O17">
        <f t="shared" si="0"/>
        <v>2.7480696741427012E-8</v>
      </c>
      <c r="P17">
        <f t="shared" si="0"/>
        <v>2.7313255930792098E-8</v>
      </c>
      <c r="Q17">
        <f t="shared" si="0"/>
        <v>2.7711775041874101E-8</v>
      </c>
      <c r="R17">
        <f t="shared" si="0"/>
        <v>2.7643648879714403E-8</v>
      </c>
      <c r="S17">
        <f t="shared" si="0"/>
        <v>2.8078511260730213E-8</v>
      </c>
      <c r="T17">
        <f t="shared" si="0"/>
        <v>2.9971672037712024E-8</v>
      </c>
      <c r="U17">
        <f t="shared" si="0"/>
        <v>2.9737138396586091E-8</v>
      </c>
      <c r="V17">
        <f t="shared" si="0"/>
        <v>3.0027682216878333E-8</v>
      </c>
      <c r="W17">
        <f t="shared" si="0"/>
        <v>2.9998148584864904E-8</v>
      </c>
      <c r="X17">
        <f t="shared" si="0"/>
        <v>2.9921558001517128E-8</v>
      </c>
      <c r="Y17">
        <f t="shared" si="0"/>
        <v>2.9850177129565283E-8</v>
      </c>
      <c r="Z17">
        <f t="shared" si="0"/>
        <v>2.9577168328566573E-8</v>
      </c>
      <c r="AA17">
        <f t="shared" si="0"/>
        <v>3.049643907112739E-8</v>
      </c>
      <c r="AB17">
        <f t="shared" si="0"/>
        <v>3.0259913481526818E-8</v>
      </c>
      <c r="AC17">
        <f t="shared" si="0"/>
        <v>3.0194200556150117E-8</v>
      </c>
      <c r="AD17">
        <f t="shared" si="0"/>
        <v>3.0072159720341489E-8</v>
      </c>
      <c r="AE17">
        <f t="shared" si="0"/>
        <v>3.0383614907190218E-8</v>
      </c>
    </row>
    <row r="18" spans="1:31" x14ac:dyDescent="0.75">
      <c r="A18" t="s">
        <v>961</v>
      </c>
      <c r="B18">
        <f>SUM(Calculations!E$78,Calculations!E$86,Calculations!E$94,Calculations!E$102,Calculations!E$109)</f>
        <v>5.3986331383542402E-8</v>
      </c>
      <c r="C18">
        <f>SUM(Calculations!F$78,Calculations!F$86,Calculations!F$94,Calculations!F$102,Calculations!F$109)</f>
        <v>5.1998125720606004E-8</v>
      </c>
      <c r="D18">
        <f>SUM(Calculations!G$78,Calculations!G$86,Calculations!G$94,Calculations!G$102,Calculations!G$109)</f>
        <v>5.1383248665452917E-8</v>
      </c>
      <c r="E18">
        <f>SUM(Calculations!H$78,Calculations!H$86,Calculations!H$94,Calculations!H$102,Calculations!H$109)</f>
        <v>4.8001139904483568E-8</v>
      </c>
      <c r="F18">
        <f>SUM(Calculations!I$78,Calculations!I$86,Calculations!I$94,Calculations!I$102,Calculations!I$109)</f>
        <v>4.8938770467938566E-8</v>
      </c>
      <c r="G18">
        <f>SUM(Calculations!J$78,Calculations!J$86,Calculations!J$94,Calculations!J$102,Calculations!J$109)</f>
        <v>4.8970828892183324E-8</v>
      </c>
      <c r="H18">
        <f>SUM(Calculations!K$78,Calculations!K$86,Calculations!K$94,Calculations!K$102,Calculations!K$109)</f>
        <v>4.9579874972740939E-8</v>
      </c>
      <c r="I18">
        <f>SUM(Calculations!L$78,Calculations!L$86,Calculations!L$94,Calculations!L$102,Calculations!L$109)</f>
        <v>4.9484864683846358E-8</v>
      </c>
      <c r="J18">
        <f>SUM(Calculations!M$78,Calculations!M$86,Calculations!M$94,Calculations!M$102,Calculations!M$109)</f>
        <v>4.9796324997484503E-8</v>
      </c>
      <c r="K18">
        <f>SUM(Calculations!N$78,Calculations!N$86,Calculations!N$94,Calculations!N$102,Calculations!N$109)</f>
        <v>4.8950175444800232E-8</v>
      </c>
      <c r="L18">
        <f>SUM(Calculations!O$78,Calculations!O$86,Calculations!O$94,Calculations!O$102,Calculations!O$109)</f>
        <v>4.8154910890151048E-8</v>
      </c>
      <c r="M18">
        <f>SUM(Calculations!P$78,Calculations!P$86,Calculations!P$94,Calculations!P$102,Calculations!P$109)</f>
        <v>4.8007341831281781E-8</v>
      </c>
      <c r="N18">
        <f>SUM(Calculations!Q$78,Calculations!Q$86,Calculations!Q$94,Calculations!Q$102,Calculations!Q$109)</f>
        <v>4.7937849454627495E-8</v>
      </c>
      <c r="O18">
        <f>SUM(Calculations!R$78,Calculations!R$86,Calculations!R$94,Calculations!R$102,Calculations!R$109)</f>
        <v>4.7542427563091579E-8</v>
      </c>
      <c r="P18">
        <f>SUM(Calculations!S$78,Calculations!S$86,Calculations!S$94,Calculations!S$102,Calculations!S$109)</f>
        <v>4.7165712735098908E-8</v>
      </c>
      <c r="Q18">
        <f>SUM(Calculations!T$78,Calculations!T$86,Calculations!T$94,Calculations!T$102,Calculations!T$109)</f>
        <v>4.7130881218322827E-8</v>
      </c>
      <c r="R18">
        <f>SUM(Calculations!U$78,Calculations!U$86,Calculations!U$94,Calculations!U$102,Calculations!U$109)</f>
        <v>4.7382055339969566E-8</v>
      </c>
      <c r="S18">
        <f>SUM(Calculations!V$78,Calculations!V$86,Calculations!V$94,Calculations!V$102,Calculations!V$109)</f>
        <v>4.7277875166995641E-8</v>
      </c>
      <c r="T18">
        <f>SUM(Calculations!W$78,Calculations!W$86,Calculations!W$94,Calculations!W$102,Calculations!W$109)</f>
        <v>4.6986122014523287E-8</v>
      </c>
      <c r="U18">
        <f>SUM(Calculations!X$78,Calculations!X$86,Calculations!X$94,Calculations!X$102,Calculations!X$109)</f>
        <v>4.6717488006043194E-8</v>
      </c>
      <c r="V18">
        <f>SUM(Calculations!Y$78,Calculations!Y$86,Calculations!Y$94,Calculations!Y$102,Calculations!Y$109)</f>
        <v>4.6164201896110708E-8</v>
      </c>
      <c r="W18">
        <f>SUM(Calculations!Z$78,Calculations!Z$86,Calculations!Z$94,Calculations!Z$102,Calculations!Z$109)</f>
        <v>4.5351217233891909E-8</v>
      </c>
      <c r="X18">
        <f>SUM(Calculations!AA$78,Calculations!AA$86,Calculations!AA$94,Calculations!AA$102,Calculations!AA$109)</f>
        <v>4.4913922528208266E-8</v>
      </c>
      <c r="Y18">
        <f>SUM(Calculations!AB$78,Calculations!AB$86,Calculations!AB$94,Calculations!AB$102,Calculations!AB$109)</f>
        <v>4.4607669047592699E-8</v>
      </c>
      <c r="Z18">
        <f>SUM(Calculations!AC$78,Calculations!AC$86,Calculations!AC$94,Calculations!AC$102,Calculations!AC$109)</f>
        <v>4.4334394478111246E-8</v>
      </c>
      <c r="AA18">
        <f>SUM(Calculations!AD$78,Calculations!AD$86,Calculations!AD$94,Calculations!AD$102,Calculations!AD$109)</f>
        <v>4.4348109381632897E-8</v>
      </c>
      <c r="AB18">
        <f>SUM(Calculations!AE$78,Calculations!AE$86,Calculations!AE$94,Calculations!AE$102,Calculations!AE$109)</f>
        <v>4.40761106826182E-8</v>
      </c>
      <c r="AC18">
        <f>SUM(Calculations!AF$78,Calculations!AF$86,Calculations!AF$94,Calculations!AF$102,Calculations!AF$109)</f>
        <v>4.4322907385144233E-8</v>
      </c>
      <c r="AD18">
        <f>SUM(Calculations!AG$78,Calculations!AG$86,Calculations!AG$94,Calculations!AG$102,Calculations!AG$109)</f>
        <v>4.4089081019749468E-8</v>
      </c>
      <c r="AE18">
        <f>SUM(Calculations!AH$78,Calculations!AH$86,Calculations!AH$94,Calculations!AH$102,Calculations!AH$109)</f>
        <v>4.3790123633045591E-8</v>
      </c>
    </row>
    <row r="19" spans="1:31" x14ac:dyDescent="0.75">
      <c r="A19" t="s">
        <v>962</v>
      </c>
      <c r="B19">
        <f>SUM(Calculations!E$78,Calculations!E$86,Calculations!E$94,Calculations!E$102,Calculations!E$109)</f>
        <v>5.3986331383542402E-8</v>
      </c>
      <c r="C19">
        <f>SUM(Calculations!F$78,Calculations!F$86,Calculations!F$94,Calculations!F$102,Calculations!F$109)</f>
        <v>5.1998125720606004E-8</v>
      </c>
      <c r="D19">
        <f>SUM(Calculations!G$78,Calculations!G$86,Calculations!G$94,Calculations!G$102,Calculations!G$109)</f>
        <v>5.1383248665452917E-8</v>
      </c>
      <c r="E19">
        <f>SUM(Calculations!H$78,Calculations!H$86,Calculations!H$94,Calculations!H$102,Calculations!H$109)</f>
        <v>4.8001139904483568E-8</v>
      </c>
      <c r="F19">
        <f>SUM(Calculations!I$78,Calculations!I$86,Calculations!I$94,Calculations!I$102,Calculations!I$109)</f>
        <v>4.8938770467938566E-8</v>
      </c>
      <c r="G19">
        <f>SUM(Calculations!J$78,Calculations!J$86,Calculations!J$94,Calculations!J$102,Calculations!J$109)</f>
        <v>4.8970828892183324E-8</v>
      </c>
      <c r="H19">
        <f>SUM(Calculations!K$78,Calculations!K$86,Calculations!K$94,Calculations!K$102,Calculations!K$109)</f>
        <v>4.9579874972740939E-8</v>
      </c>
      <c r="I19">
        <f>SUM(Calculations!L$78,Calculations!L$86,Calculations!L$94,Calculations!L$102,Calculations!L$109)</f>
        <v>4.9484864683846358E-8</v>
      </c>
      <c r="J19">
        <f>SUM(Calculations!M$78,Calculations!M$86,Calculations!M$94,Calculations!M$102,Calculations!M$109)</f>
        <v>4.9796324997484503E-8</v>
      </c>
      <c r="K19">
        <f>SUM(Calculations!N$78,Calculations!N$86,Calculations!N$94,Calculations!N$102,Calculations!N$109)</f>
        <v>4.8950175444800232E-8</v>
      </c>
      <c r="L19">
        <f>SUM(Calculations!O$78,Calculations!O$86,Calculations!O$94,Calculations!O$102,Calculations!O$109)</f>
        <v>4.8154910890151048E-8</v>
      </c>
      <c r="M19">
        <f>SUM(Calculations!P$78,Calculations!P$86,Calculations!P$94,Calculations!P$102,Calculations!P$109)</f>
        <v>4.8007341831281781E-8</v>
      </c>
      <c r="N19">
        <f>SUM(Calculations!Q$78,Calculations!Q$86,Calculations!Q$94,Calculations!Q$102,Calculations!Q$109)</f>
        <v>4.7937849454627495E-8</v>
      </c>
      <c r="O19">
        <f>SUM(Calculations!R$78,Calculations!R$86,Calculations!R$94,Calculations!R$102,Calculations!R$109)</f>
        <v>4.7542427563091579E-8</v>
      </c>
      <c r="P19">
        <f>SUM(Calculations!S$78,Calculations!S$86,Calculations!S$94,Calculations!S$102,Calculations!S$109)</f>
        <v>4.7165712735098908E-8</v>
      </c>
      <c r="Q19">
        <f>SUM(Calculations!T$78,Calculations!T$86,Calculations!T$94,Calculations!T$102,Calculations!T$109)</f>
        <v>4.7130881218322827E-8</v>
      </c>
      <c r="R19">
        <f>SUM(Calculations!U$78,Calculations!U$86,Calculations!U$94,Calculations!U$102,Calculations!U$109)</f>
        <v>4.7382055339969566E-8</v>
      </c>
      <c r="S19">
        <f>SUM(Calculations!V$78,Calculations!V$86,Calculations!V$94,Calculations!V$102,Calculations!V$109)</f>
        <v>4.7277875166995641E-8</v>
      </c>
      <c r="T19">
        <f>SUM(Calculations!W$78,Calculations!W$86,Calculations!W$94,Calculations!W$102,Calculations!W$109)</f>
        <v>4.6986122014523287E-8</v>
      </c>
      <c r="U19">
        <f>SUM(Calculations!X$78,Calculations!X$86,Calculations!X$94,Calculations!X$102,Calculations!X$109)</f>
        <v>4.6717488006043194E-8</v>
      </c>
      <c r="V19">
        <f>SUM(Calculations!Y$78,Calculations!Y$86,Calculations!Y$94,Calculations!Y$102,Calculations!Y$109)</f>
        <v>4.6164201896110708E-8</v>
      </c>
      <c r="W19">
        <f>SUM(Calculations!Z$78,Calculations!Z$86,Calculations!Z$94,Calculations!Z$102,Calculations!Z$109)</f>
        <v>4.5351217233891909E-8</v>
      </c>
      <c r="X19">
        <f>SUM(Calculations!AA$78,Calculations!AA$86,Calculations!AA$94,Calculations!AA$102,Calculations!AA$109)</f>
        <v>4.4913922528208266E-8</v>
      </c>
      <c r="Y19">
        <f>SUM(Calculations!AB$78,Calculations!AB$86,Calculations!AB$94,Calculations!AB$102,Calculations!AB$109)</f>
        <v>4.4607669047592699E-8</v>
      </c>
      <c r="Z19">
        <f>SUM(Calculations!AC$78,Calculations!AC$86,Calculations!AC$94,Calculations!AC$102,Calculations!AC$109)</f>
        <v>4.4334394478111246E-8</v>
      </c>
      <c r="AA19">
        <f>SUM(Calculations!AD$78,Calculations!AD$86,Calculations!AD$94,Calculations!AD$102,Calculations!AD$109)</f>
        <v>4.4348109381632897E-8</v>
      </c>
      <c r="AB19">
        <f>SUM(Calculations!AE$78,Calculations!AE$86,Calculations!AE$94,Calculations!AE$102,Calculations!AE$109)</f>
        <v>4.40761106826182E-8</v>
      </c>
      <c r="AC19">
        <f>SUM(Calculations!AF$78,Calculations!AF$86,Calculations!AF$94,Calculations!AF$102,Calculations!AF$109)</f>
        <v>4.4322907385144233E-8</v>
      </c>
      <c r="AD19">
        <f>SUM(Calculations!AG$78,Calculations!AG$86,Calculations!AG$94,Calculations!AG$102,Calculations!AG$109)</f>
        <v>4.4089081019749468E-8</v>
      </c>
      <c r="AE19">
        <f>SUM(Calculations!AH$78,Calculations!AH$86,Calculations!AH$94,Calculations!AH$102,Calculations!AH$109)</f>
        <v>4.3790123633045591E-8</v>
      </c>
    </row>
    <row r="20" spans="1:31"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s="123" t="s">
        <v>745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B22" sqref="B22:AE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B22" sqref="B22:AE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B22" sqref="B22:AE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B22" sqref="B22:AE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A7" sqref="A7"/>
    </sheetView>
  </sheetViews>
  <sheetFormatPr defaultColWidth="9.26953125" defaultRowHeight="14.75" x14ac:dyDescent="0.75"/>
  <cols>
    <col min="1" max="1" width="32.453125" customWidth="1"/>
  </cols>
  <sheetData>
    <row r="1" spans="1:31"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7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7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75">
      <c r="A6" t="s">
        <v>24</v>
      </c>
      <c r="B6">
        <f>'Subsidies Paid'!L5*About!$A$79*1000</f>
        <v>0</v>
      </c>
      <c r="C6">
        <f>'Subsidies Paid'!M5*About!$A$79*1000</f>
        <v>0</v>
      </c>
      <c r="D6">
        <f>'Subsidies Paid'!N5*About!$A$79*1000</f>
        <v>0</v>
      </c>
      <c r="E6">
        <f>'Subsidies Paid'!O5*About!$A$79*1000</f>
        <v>0</v>
      </c>
      <c r="F6">
        <f>'Subsidies Paid'!P5*About!$A$79*1000</f>
        <v>0</v>
      </c>
      <c r="G6">
        <f>'Subsidies Paid'!Q5*About!$A$79*1000</f>
        <v>0</v>
      </c>
      <c r="H6">
        <f>'Subsidies Paid'!R5*About!$A$79*1000</f>
        <v>0</v>
      </c>
      <c r="I6">
        <f>'Subsidies Paid'!S5*About!$A$79*1000</f>
        <v>0</v>
      </c>
      <c r="J6">
        <f>'Subsidies Paid'!T5*About!$A$79*1000</f>
        <v>0</v>
      </c>
      <c r="K6">
        <f>'Subsidies Paid'!U5*About!$A$79*1000</f>
        <v>0</v>
      </c>
      <c r="L6">
        <f>'Subsidies Paid'!V5*About!$A$79*1000</f>
        <v>0</v>
      </c>
      <c r="M6">
        <f>'Subsidies Paid'!W5*About!$A$79*1000</f>
        <v>0</v>
      </c>
      <c r="N6">
        <v>0</v>
      </c>
      <c r="O6">
        <v>0</v>
      </c>
      <c r="P6">
        <v>0</v>
      </c>
      <c r="Q6">
        <v>0</v>
      </c>
      <c r="R6">
        <v>0</v>
      </c>
      <c r="S6">
        <v>0</v>
      </c>
      <c r="T6">
        <v>0</v>
      </c>
      <c r="U6">
        <v>0</v>
      </c>
      <c r="V6">
        <v>0</v>
      </c>
      <c r="W6">
        <v>0</v>
      </c>
      <c r="X6">
        <v>0</v>
      </c>
      <c r="Y6">
        <v>0</v>
      </c>
      <c r="Z6">
        <v>0</v>
      </c>
      <c r="AA6">
        <v>0</v>
      </c>
      <c r="AB6">
        <v>0</v>
      </c>
      <c r="AC6">
        <v>0</v>
      </c>
      <c r="AD6">
        <v>0</v>
      </c>
      <c r="AE6">
        <v>0</v>
      </c>
    </row>
    <row r="7" spans="1:31" x14ac:dyDescent="0.75">
      <c r="A7" t="s">
        <v>503</v>
      </c>
      <c r="B7">
        <f>-PV('Wind PV Calcs'!$B$5,'Wind PV Calcs'!$B$1,'Subsidies Paid'!M10*About!$A$83*1000*'Monetizing Tax Credit Penalty'!$A$30*'Wind PV Calcs'!$B$6*'Wind PV Calcs'!$B$3)/('Wind PV Calcs'!$B$3*'Wind PV Calcs'!$B$6*'Wind PV Calcs'!$B$2)</f>
        <v>2.5662975615208952</v>
      </c>
      <c r="C7">
        <f>-PV('Wind PV Calcs'!$B$5,'Wind PV Calcs'!$B$1,'Subsidies Paid'!N10*About!$A$83*1000*'Monetizing Tax Credit Penalty'!$A$30*'Wind PV Calcs'!$B$6*'Wind PV Calcs'!$B$3)/('Wind PV Calcs'!$B$3*'Wind PV Calcs'!$B$6*'Wind PV Calcs'!$B$2)</f>
        <v>2.5662975615208952</v>
      </c>
      <c r="D7">
        <f>'Inflation Reduction Act - Elec'!B117</f>
        <v>23.620381171332561</v>
      </c>
      <c r="E7">
        <f>'Inflation Reduction Act - Elec'!C117</f>
        <v>23.620381171332561</v>
      </c>
      <c r="F7">
        <f>'Inflation Reduction Act - Elec'!D117</f>
        <v>23.620381171332561</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75">
      <c r="A8" t="s">
        <v>729</v>
      </c>
      <c r="B8">
        <v>0</v>
      </c>
      <c r="C8">
        <v>0</v>
      </c>
      <c r="D8">
        <f>'Inflation Reduction Act - Elec'!B119</f>
        <v>0</v>
      </c>
      <c r="E8">
        <f>'Inflation Reduction Act - Elec'!C119</f>
        <v>0</v>
      </c>
      <c r="F8">
        <f>'Inflation Reduction Act - Elec'!D119</f>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7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75">
      <c r="A10" t="s">
        <v>25</v>
      </c>
      <c r="B10">
        <f>'Subsidies Paid'!L2*About!$A$79*1000</f>
        <v>0</v>
      </c>
      <c r="C10">
        <f>'Subsidies Paid'!M2*About!$A$79*1000</f>
        <v>0</v>
      </c>
      <c r="D10">
        <f>'Subsidies Paid'!N2*About!$A$79*1000</f>
        <v>0</v>
      </c>
      <c r="E10">
        <f>'Subsidies Paid'!O2*About!$A$79*1000</f>
        <v>0</v>
      </c>
      <c r="F10">
        <f>'Subsidies Paid'!P2*About!$A$79*1000</f>
        <v>0</v>
      </c>
      <c r="G10">
        <f>'Subsidies Paid'!Q2*About!$A$79*1000</f>
        <v>0</v>
      </c>
      <c r="H10">
        <f>'Subsidies Paid'!R2*About!$A$79*1000</f>
        <v>0</v>
      </c>
      <c r="I10">
        <f>'Subsidies Paid'!S2*About!$A$79*1000</f>
        <v>0</v>
      </c>
      <c r="J10">
        <f>'Subsidies Paid'!T2*About!$A$79*1000</f>
        <v>0</v>
      </c>
      <c r="K10">
        <f>'Subsidies Paid'!U2*About!$A$79*1000</f>
        <v>0</v>
      </c>
      <c r="L10">
        <f>'Subsidies Paid'!V2*About!$A$79*1000</f>
        <v>0</v>
      </c>
      <c r="M10">
        <f>'Subsidies Paid'!W2*About!$A$79*1000</f>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7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7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7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7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7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7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7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G5" sqref="G5"/>
    </sheetView>
  </sheetViews>
  <sheetFormatPr defaultColWidth="9.26953125" defaultRowHeight="14.75" x14ac:dyDescent="0.75"/>
  <cols>
    <col min="1" max="1" width="32.453125"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726</v>
      </c>
      <c r="B2" s="19">
        <f>Calculations!D33</f>
        <v>0.31989540904438946</v>
      </c>
      <c r="C2" s="19">
        <f>Calculations!E33</f>
        <v>0.36047886675941437</v>
      </c>
      <c r="D2" s="19">
        <f>Calculations!F33</f>
        <v>0.38288809884212366</v>
      </c>
      <c r="E2" s="19">
        <f>Calculations!G33</f>
        <v>0.46274773385030771</v>
      </c>
      <c r="F2" s="19">
        <f>Calculations!H33</f>
        <v>0.4571971153806369</v>
      </c>
      <c r="G2" s="19">
        <f>Calculations!I33</f>
        <v>0.5303566381091539</v>
      </c>
      <c r="H2" s="19">
        <f>Calculations!J33</f>
        <v>0.66632965193604299</v>
      </c>
      <c r="I2" s="19">
        <f>Calculations!K33</f>
        <v>0.69152053076395159</v>
      </c>
      <c r="J2" s="19">
        <f>Calculations!L33</f>
        <v>0.72920563308629194</v>
      </c>
      <c r="K2" s="19">
        <f>Calculations!M33</f>
        <v>0.89337052514240212</v>
      </c>
      <c r="L2" s="19">
        <f>Calculations!N33</f>
        <v>0.97048081391456753</v>
      </c>
      <c r="M2" s="19">
        <f>Calculations!O33</f>
        <v>4.4322303993918268</v>
      </c>
      <c r="N2" s="19">
        <f>Calculations!P33</f>
        <v>4.4288991396907713</v>
      </c>
      <c r="O2" s="19">
        <f>Calculations!Q33</f>
        <v>4.5702846248343238</v>
      </c>
      <c r="P2" s="19">
        <f>Calculations!R33</f>
        <v>4.8579373936233159</v>
      </c>
      <c r="Q2" s="19">
        <f>Calculations!S33</f>
        <v>5.0570486501059895</v>
      </c>
      <c r="R2" s="19">
        <f>Calculations!T33</f>
        <v>5.4277708530478259</v>
      </c>
      <c r="S2" s="19">
        <f>Calculations!U33</f>
        <v>5.9635242233583137</v>
      </c>
      <c r="T2" s="19">
        <f>Calculations!V33</f>
        <v>19.677053636696655</v>
      </c>
      <c r="U2" s="19">
        <f>Calculations!W33</f>
        <v>19.63784540106208</v>
      </c>
      <c r="V2" s="19">
        <f>Calculations!X33</f>
        <v>19.594521424061888</v>
      </c>
      <c r="W2" s="19">
        <f>Calculations!Y33</f>
        <v>19.572696714409695</v>
      </c>
      <c r="X2" s="19">
        <f>Calculations!Z33</f>
        <v>19.526274359515419</v>
      </c>
      <c r="Y2" s="19">
        <f>Calculations!AA33</f>
        <v>19.907707866331688</v>
      </c>
      <c r="Z2" s="19">
        <f>Calculations!AB33</f>
        <v>21.81108013049133</v>
      </c>
      <c r="AA2" s="19">
        <f>Calculations!AC33</f>
        <v>91.503531121265965</v>
      </c>
      <c r="AB2" s="19">
        <f>Calculations!AD33</f>
        <v>91.551281534838921</v>
      </c>
      <c r="AC2" s="19">
        <f>Calculations!AE33</f>
        <v>91.6230006715966</v>
      </c>
      <c r="AD2" s="19">
        <f>Calculations!AF33</f>
        <v>98.772423397870142</v>
      </c>
      <c r="AE2" s="19">
        <f>Calculations!AG33</f>
        <v>98.475920996051116</v>
      </c>
      <c r="AF2" s="19"/>
      <c r="AG2" s="19"/>
    </row>
    <row r="3" spans="1:33" x14ac:dyDescent="0.75">
      <c r="A3" t="s">
        <v>727</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75">
      <c r="A4" t="s">
        <v>728</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7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7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729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7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7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7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75">
      <c r="A14" t="s">
        <v>733</v>
      </c>
      <c r="B14" s="19">
        <f>'BS-BSpUEOfEP'!B2</f>
        <v>0.31989540904438946</v>
      </c>
      <c r="C14" s="19">
        <f>'BS-BSpUEOfEP'!C2</f>
        <v>0.36047886675941437</v>
      </c>
      <c r="D14" s="19">
        <f>'BS-BSpUEOfEP'!D2</f>
        <v>0.38288809884212366</v>
      </c>
      <c r="E14" s="19">
        <f>'BS-BSpUEOfEP'!E2</f>
        <v>0.46274773385030771</v>
      </c>
      <c r="F14" s="19">
        <f>'BS-BSpUEOfEP'!F2</f>
        <v>0.4571971153806369</v>
      </c>
      <c r="G14" s="19">
        <f>'BS-BSpUEOfEP'!G2</f>
        <v>0.5303566381091539</v>
      </c>
      <c r="H14" s="19">
        <f>'BS-BSpUEOfEP'!H2</f>
        <v>0.66632965193604299</v>
      </c>
      <c r="I14" s="19">
        <f>'BS-BSpUEOfEP'!I2</f>
        <v>0.69152053076395159</v>
      </c>
      <c r="J14" s="19">
        <f>'BS-BSpUEOfEP'!J2</f>
        <v>0.72920563308629194</v>
      </c>
      <c r="K14" s="19">
        <f>'BS-BSpUEOfEP'!K2</f>
        <v>0.89337052514240212</v>
      </c>
      <c r="L14" s="19">
        <f>'BS-BSpUEOfEP'!L2</f>
        <v>0.97048081391456753</v>
      </c>
      <c r="M14" s="19">
        <f>'BS-BSpUEOfEP'!M2</f>
        <v>4.4322303993918268</v>
      </c>
      <c r="N14" s="19">
        <f>'BS-BSpUEOfEP'!N2</f>
        <v>4.4288991396907713</v>
      </c>
      <c r="O14" s="19">
        <f>'BS-BSpUEOfEP'!O2</f>
        <v>4.5702846248343238</v>
      </c>
      <c r="P14" s="19">
        <f>'BS-BSpUEOfEP'!P2</f>
        <v>4.8579373936233159</v>
      </c>
      <c r="Q14" s="19">
        <f>'BS-BSpUEOfEP'!Q2</f>
        <v>5.0570486501059895</v>
      </c>
      <c r="R14" s="19">
        <f>'BS-BSpUEOfEP'!R2</f>
        <v>5.4277708530478259</v>
      </c>
      <c r="S14" s="19">
        <f>'BS-BSpUEOfEP'!S2</f>
        <v>5.9635242233583137</v>
      </c>
      <c r="T14" s="19">
        <f>'BS-BSpUEOfEP'!T2</f>
        <v>19.677053636696655</v>
      </c>
      <c r="U14" s="19">
        <f>'BS-BSpUEOfEP'!U2</f>
        <v>19.63784540106208</v>
      </c>
      <c r="V14" s="19">
        <f>'BS-BSpUEOfEP'!V2</f>
        <v>19.594521424061888</v>
      </c>
      <c r="W14" s="19">
        <f>'BS-BSpUEOfEP'!W2</f>
        <v>19.572696714409695</v>
      </c>
      <c r="X14" s="19">
        <f>'BS-BSpUEOfEP'!X2</f>
        <v>19.526274359515419</v>
      </c>
      <c r="Y14" s="19">
        <f>'BS-BSpUEOfEP'!Y2</f>
        <v>19.907707866331688</v>
      </c>
      <c r="Z14" s="19">
        <f>'BS-BSpUEOfEP'!Z2</f>
        <v>21.81108013049133</v>
      </c>
      <c r="AA14" s="19">
        <f>'BS-BSpUEOfEP'!AA2</f>
        <v>91.503531121265965</v>
      </c>
      <c r="AB14" s="19">
        <f>'BS-BSpUEOfEP'!AB2</f>
        <v>91.551281534838921</v>
      </c>
      <c r="AC14" s="19">
        <f>'BS-BSpUEOfEP'!AC2</f>
        <v>91.6230006715966</v>
      </c>
      <c r="AD14" s="19">
        <f>'BS-BSpUEOfEP'!AD2</f>
        <v>98.772423397870142</v>
      </c>
      <c r="AE14" s="19">
        <f>'BS-BSpUEOfEP'!AE2</f>
        <v>98.475920996051116</v>
      </c>
      <c r="AF14" s="19"/>
      <c r="AG14" s="19"/>
    </row>
    <row r="15" spans="1:33" x14ac:dyDescent="0.7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7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heetViews>
  <sheetFormatPr defaultColWidth="8.7265625" defaultRowHeight="14.75" x14ac:dyDescent="0.75"/>
  <cols>
    <col min="1" max="1" width="32.7265625" customWidth="1"/>
  </cols>
  <sheetData>
    <row r="1" spans="1:31" x14ac:dyDescent="0.75">
      <c r="A1" t="s">
        <v>744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7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7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7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75">
      <c r="A8" t="s">
        <v>729</v>
      </c>
      <c r="B8">
        <f>Calculations!D5</f>
        <v>0.20099999999999998</v>
      </c>
      <c r="C8">
        <f>Calculations!E5</f>
        <v>0.17419999999999999</v>
      </c>
      <c r="D8">
        <f>'Inflation Reduction Act - Elec'!B144</f>
        <v>0.37019212259371836</v>
      </c>
      <c r="E8">
        <f>'Inflation Reduction Act - Elec'!C144</f>
        <v>0.37753261144883488</v>
      </c>
      <c r="F8">
        <f>'Inflation Reduction Act - Elec'!D144</f>
        <v>0.38487310030395139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75">
      <c r="A9" t="s">
        <v>730</v>
      </c>
      <c r="B9">
        <f>Calculations!D19</f>
        <v>0.20099999999999998</v>
      </c>
      <c r="C9">
        <f>Calculations!E19</f>
        <v>0.17419999999999999</v>
      </c>
      <c r="D9">
        <f>'Inflation Reduction Act - Elec'!B147</f>
        <v>0.41625000000000001</v>
      </c>
      <c r="E9">
        <f>'Inflation Reduction Act - Elec'!C147</f>
        <v>0.41625000000000001</v>
      </c>
      <c r="F9">
        <f>'Inflation Reduction Act - Elec'!D147</f>
        <v>0.41625000000000001</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7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75">
      <c r="A11" t="s">
        <v>301</v>
      </c>
      <c r="B11">
        <f>Calculations!D26</f>
        <v>6.699999999999999E-2</v>
      </c>
      <c r="C11">
        <f>Calculations!E26</f>
        <v>6.699999999999999E-2</v>
      </c>
      <c r="D11">
        <f>'Inflation Reduction Act - Elec'!B150</f>
        <v>0.41625000000000001</v>
      </c>
      <c r="E11">
        <f>'Inflation Reduction Act - Elec'!C150</f>
        <v>0.41625000000000001</v>
      </c>
      <c r="F11">
        <f>'Inflation Reduction Act - Elec'!D150</f>
        <v>0.41625000000000001</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7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7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7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75">
      <c r="A15" t="s">
        <v>504</v>
      </c>
      <c r="B15">
        <f>Calculations!D12</f>
        <v>0.20099999999999998</v>
      </c>
      <c r="C15">
        <f>Calculations!E12</f>
        <v>0.20099999999999998</v>
      </c>
      <c r="D15">
        <f>'Inflation Reduction Act - Elec'!B153</f>
        <v>0.41625000000000001</v>
      </c>
      <c r="E15">
        <f>'Inflation Reduction Act - Elec'!C153</f>
        <v>0.41625000000000001</v>
      </c>
      <c r="F15">
        <f>'Inflation Reduction Act - Elec'!D153</f>
        <v>0.41625000000000001</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75">
      <c r="A16" t="s">
        <v>495</v>
      </c>
      <c r="B16">
        <f>B12</f>
        <v>0</v>
      </c>
      <c r="C16">
        <f t="shared" ref="C16:F16" si="0">C12</f>
        <v>0</v>
      </c>
      <c r="D16">
        <f t="shared" si="0"/>
        <v>0</v>
      </c>
      <c r="E16">
        <f t="shared" si="0"/>
        <v>0</v>
      </c>
      <c r="F16">
        <f t="shared" si="0"/>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734</v>
      </c>
      <c r="B17">
        <f>B12</f>
        <v>0</v>
      </c>
      <c r="C17">
        <f t="shared" ref="C17:F17" si="1">C12</f>
        <v>0</v>
      </c>
      <c r="D17">
        <f t="shared" si="1"/>
        <v>0</v>
      </c>
      <c r="E17">
        <f t="shared" si="1"/>
        <v>0</v>
      </c>
      <c r="F17">
        <f t="shared" si="1"/>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7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75" x14ac:dyDescent="0.75"/>
  <sheetData>
    <row r="1" spans="1:31"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726</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75">
      <c r="A3" t="s">
        <v>727</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75">
      <c r="A4" t="s">
        <v>728</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7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7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7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75">
      <c r="A8" t="s">
        <v>729</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75">
      <c r="A9" t="s">
        <v>730</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7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7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75">
      <c r="A12" t="s">
        <v>731</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75">
      <c r="A13" t="s">
        <v>732</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75">
      <c r="A14" t="s">
        <v>733</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7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7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75">
      <c r="A17" t="s">
        <v>734</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7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75">
      <c r="A19" t="s">
        <v>735</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75">
      <c r="A20" t="s">
        <v>736</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75">
      <c r="A21" t="s">
        <v>737</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75">
      <c r="A22" t="s">
        <v>738</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75">
      <c r="A23" t="s">
        <v>739</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75">
      <c r="A24" s="123" t="s">
        <v>742</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75">
      <c r="A25" s="123" t="s">
        <v>743</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75" x14ac:dyDescent="0.75"/>
  <cols>
    <col min="1" max="1" width="32.453125" customWidth="1"/>
    <col min="2" max="2" width="87.7265625" customWidth="1"/>
    <col min="13" max="13" width="11.54296875" customWidth="1"/>
  </cols>
  <sheetData>
    <row r="1" spans="1:14" x14ac:dyDescent="0.75">
      <c r="A1" t="s">
        <v>5</v>
      </c>
    </row>
    <row r="2" spans="1:14" x14ac:dyDescent="0.75">
      <c r="A2" s="1" t="s">
        <v>166</v>
      </c>
    </row>
    <row r="3" spans="1:14" x14ac:dyDescent="0.75">
      <c r="A3" t="s">
        <v>7</v>
      </c>
    </row>
    <row r="4" spans="1:14" x14ac:dyDescent="0.75">
      <c r="A4" t="s">
        <v>13</v>
      </c>
    </row>
    <row r="5" spans="1:14" x14ac:dyDescent="0.75">
      <c r="A5" t="s">
        <v>14</v>
      </c>
    </row>
    <row r="7" spans="1:14" x14ac:dyDescent="0.75">
      <c r="B7" s="1"/>
      <c r="C7" s="1" t="s">
        <v>8</v>
      </c>
      <c r="D7" s="1"/>
      <c r="E7" s="1"/>
      <c r="F7" s="1"/>
      <c r="G7" s="1"/>
      <c r="H7" s="1" t="s">
        <v>9</v>
      </c>
      <c r="I7" s="1"/>
      <c r="J7" s="1"/>
      <c r="K7" s="1"/>
      <c r="L7" s="1"/>
      <c r="M7" s="1" t="s">
        <v>11</v>
      </c>
    </row>
    <row r="8" spans="1:14" x14ac:dyDescent="0.75">
      <c r="A8" s="1" t="s">
        <v>34</v>
      </c>
      <c r="B8" s="1" t="s">
        <v>6</v>
      </c>
      <c r="C8" s="1">
        <v>2014</v>
      </c>
      <c r="D8" s="1">
        <v>2015</v>
      </c>
      <c r="E8" s="1">
        <v>2016</v>
      </c>
      <c r="F8" s="1">
        <v>2017</v>
      </c>
      <c r="G8" s="1">
        <v>2018</v>
      </c>
      <c r="H8" s="1">
        <v>2014</v>
      </c>
      <c r="I8" s="1">
        <v>2015</v>
      </c>
      <c r="J8" s="1">
        <v>2016</v>
      </c>
      <c r="K8" s="1">
        <v>2017</v>
      </c>
      <c r="L8" s="1">
        <v>2018</v>
      </c>
      <c r="M8" s="3" t="s">
        <v>12</v>
      </c>
    </row>
    <row r="9" spans="1:14" x14ac:dyDescent="0.7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75">
      <c r="A10" s="7" t="s">
        <v>22</v>
      </c>
      <c r="B10" s="7" t="s">
        <v>15</v>
      </c>
      <c r="C10" s="23">
        <v>0.4</v>
      </c>
      <c r="D10" s="23">
        <v>0.4</v>
      </c>
      <c r="E10" s="23">
        <v>0.4</v>
      </c>
      <c r="F10" s="23">
        <v>0.4</v>
      </c>
      <c r="G10" s="23">
        <v>0.3</v>
      </c>
      <c r="H10" s="23">
        <v>0.1</v>
      </c>
      <c r="I10" s="23">
        <v>0.1</v>
      </c>
      <c r="J10" s="23">
        <v>0.1</v>
      </c>
      <c r="K10" s="23">
        <v>0.1</v>
      </c>
      <c r="L10" s="23">
        <v>0.1</v>
      </c>
      <c r="M10" s="23">
        <v>2.9</v>
      </c>
    </row>
    <row r="11" spans="1:14" x14ac:dyDescent="0.7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7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7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75">
      <c r="A14" s="7" t="s">
        <v>25</v>
      </c>
      <c r="B14" s="7" t="s">
        <v>19</v>
      </c>
      <c r="C14" s="23">
        <v>0.3</v>
      </c>
      <c r="D14" s="23">
        <v>0.4</v>
      </c>
      <c r="E14" s="23">
        <v>0.4</v>
      </c>
      <c r="F14" s="23">
        <v>0.4</v>
      </c>
      <c r="G14" s="23">
        <v>0.4</v>
      </c>
      <c r="H14" s="24"/>
      <c r="I14" s="24"/>
      <c r="J14" s="24"/>
      <c r="K14" s="24"/>
      <c r="L14" s="24"/>
      <c r="M14" s="23">
        <v>1.9</v>
      </c>
    </row>
    <row r="15" spans="1:14" x14ac:dyDescent="0.75">
      <c r="A15" s="7" t="s">
        <v>26</v>
      </c>
      <c r="B15" s="7" t="s">
        <v>20</v>
      </c>
      <c r="C15" s="23">
        <v>0.2</v>
      </c>
      <c r="D15" s="23">
        <v>0.2</v>
      </c>
      <c r="E15" s="23">
        <v>0.2</v>
      </c>
      <c r="F15" s="23">
        <v>0.2</v>
      </c>
      <c r="G15" s="23">
        <v>0.2</v>
      </c>
      <c r="H15" s="23"/>
      <c r="I15" s="23"/>
      <c r="J15" s="23"/>
      <c r="K15" s="23"/>
      <c r="L15" s="23"/>
      <c r="M15" s="23">
        <v>1</v>
      </c>
    </row>
    <row r="16" spans="1:14" x14ac:dyDescent="0.7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7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5" x14ac:dyDescent="0.75">
      <c r="A18" s="7" t="s">
        <v>42</v>
      </c>
      <c r="B18" s="7" t="s">
        <v>29</v>
      </c>
      <c r="C18" s="23">
        <v>0.9</v>
      </c>
      <c r="D18" s="23">
        <v>0.9</v>
      </c>
      <c r="E18" s="23">
        <v>0.9</v>
      </c>
      <c r="F18" s="23">
        <v>1</v>
      </c>
      <c r="G18" s="23">
        <v>1</v>
      </c>
      <c r="H18" s="23">
        <v>0.2</v>
      </c>
      <c r="I18" s="23">
        <v>0.2</v>
      </c>
      <c r="J18" s="23">
        <v>0.3</v>
      </c>
      <c r="K18" s="23">
        <v>0.3</v>
      </c>
      <c r="L18" s="23">
        <v>0.3</v>
      </c>
      <c r="M18" s="23">
        <v>6</v>
      </c>
    </row>
    <row r="19" spans="1:14" x14ac:dyDescent="0.75">
      <c r="A19" s="7" t="s">
        <v>26</v>
      </c>
      <c r="B19" s="7" t="s">
        <v>265</v>
      </c>
      <c r="C19" s="23">
        <v>0.1</v>
      </c>
      <c r="D19" s="23">
        <v>0.1</v>
      </c>
      <c r="E19" s="23">
        <v>0.1</v>
      </c>
      <c r="F19" s="23">
        <v>0.1</v>
      </c>
      <c r="G19" s="23">
        <v>0.1</v>
      </c>
      <c r="H19" s="23">
        <v>0</v>
      </c>
      <c r="I19" s="23">
        <v>0</v>
      </c>
      <c r="J19" s="23">
        <v>0</v>
      </c>
      <c r="K19" s="23">
        <v>0</v>
      </c>
      <c r="L19" s="23">
        <v>0</v>
      </c>
      <c r="M19" s="23">
        <v>0.5</v>
      </c>
      <c r="N19" t="s">
        <v>266</v>
      </c>
    </row>
    <row r="20" spans="1:14" ht="29.5" x14ac:dyDescent="0.7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5" x14ac:dyDescent="0.7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75">
      <c r="A22" s="7" t="s">
        <v>26</v>
      </c>
      <c r="B22" s="8" t="s">
        <v>32</v>
      </c>
      <c r="C22" s="23">
        <v>0.4</v>
      </c>
      <c r="D22" s="23">
        <v>0.4</v>
      </c>
      <c r="E22" s="23">
        <v>0.4</v>
      </c>
      <c r="F22" s="23">
        <v>0.3</v>
      </c>
      <c r="G22" s="23">
        <v>0.3</v>
      </c>
      <c r="H22" s="23"/>
      <c r="I22" s="23"/>
      <c r="J22" s="23"/>
      <c r="K22" s="23"/>
      <c r="L22" s="23"/>
      <c r="M22" s="23">
        <v>1.8</v>
      </c>
    </row>
    <row r="23" spans="1:14" x14ac:dyDescent="0.75">
      <c r="A23" s="6" t="s">
        <v>33</v>
      </c>
      <c r="B23" s="6" t="s">
        <v>35</v>
      </c>
      <c r="C23" s="22">
        <v>0.3</v>
      </c>
      <c r="D23" s="22">
        <v>0.3</v>
      </c>
      <c r="E23" s="22">
        <v>0.3</v>
      </c>
      <c r="F23" s="22">
        <v>0.3</v>
      </c>
      <c r="G23" s="22">
        <v>0.2</v>
      </c>
      <c r="H23" s="25"/>
      <c r="I23" s="25"/>
      <c r="J23" s="25"/>
      <c r="K23" s="25"/>
      <c r="L23" s="25"/>
      <c r="M23" s="22">
        <v>1.4</v>
      </c>
      <c r="N23" t="s">
        <v>241</v>
      </c>
    </row>
    <row r="24" spans="1:14" x14ac:dyDescent="0.75">
      <c r="A24" s="6" t="s">
        <v>37</v>
      </c>
      <c r="B24" s="6" t="s">
        <v>36</v>
      </c>
      <c r="C24" s="22">
        <v>0.2</v>
      </c>
      <c r="D24" s="22">
        <v>0.2</v>
      </c>
      <c r="E24" s="22">
        <v>0.2</v>
      </c>
      <c r="F24" s="22">
        <v>0.1</v>
      </c>
      <c r="G24" s="22">
        <v>0.1</v>
      </c>
      <c r="H24" s="22"/>
      <c r="I24" s="22"/>
      <c r="J24" s="22"/>
      <c r="K24" s="22"/>
      <c r="L24" s="22"/>
      <c r="M24" s="22">
        <v>0.8</v>
      </c>
      <c r="N24" t="s">
        <v>245</v>
      </c>
    </row>
    <row r="25" spans="1:14" ht="29.5" x14ac:dyDescent="0.75">
      <c r="A25" s="7" t="s">
        <v>42</v>
      </c>
      <c r="B25" s="7" t="s">
        <v>38</v>
      </c>
      <c r="C25" s="23"/>
      <c r="D25" s="23"/>
      <c r="E25" s="23"/>
      <c r="F25" s="23"/>
      <c r="G25" s="23"/>
      <c r="H25" s="23">
        <v>1.1000000000000001</v>
      </c>
      <c r="I25" s="23">
        <v>1.1000000000000001</v>
      </c>
      <c r="J25" s="23">
        <v>1.2</v>
      </c>
      <c r="K25" s="23">
        <v>1.2</v>
      </c>
      <c r="L25" s="23">
        <v>1.2</v>
      </c>
      <c r="M25" s="23">
        <v>5.8</v>
      </c>
    </row>
    <row r="26" spans="1:14" x14ac:dyDescent="0.75">
      <c r="A26" s="7" t="s">
        <v>40</v>
      </c>
      <c r="B26" s="7" t="s">
        <v>39</v>
      </c>
      <c r="C26" s="23">
        <v>0.2</v>
      </c>
      <c r="D26" s="23">
        <v>0.2</v>
      </c>
      <c r="E26" s="23">
        <v>0.2</v>
      </c>
      <c r="F26" s="23">
        <v>0.3</v>
      </c>
      <c r="G26" s="23">
        <v>0.3</v>
      </c>
      <c r="H26" s="23"/>
      <c r="I26" s="23"/>
      <c r="J26" s="23"/>
      <c r="K26" s="23"/>
      <c r="L26" s="23"/>
      <c r="M26" s="23">
        <v>1.2</v>
      </c>
    </row>
    <row r="27" spans="1:14" ht="29.5" x14ac:dyDescent="0.75">
      <c r="A27" s="6" t="s">
        <v>42</v>
      </c>
      <c r="B27" s="6" t="s">
        <v>41</v>
      </c>
      <c r="C27" s="22"/>
      <c r="D27" s="22"/>
      <c r="E27" s="22"/>
      <c r="F27" s="22"/>
      <c r="G27" s="22"/>
      <c r="H27" s="22">
        <v>0.1</v>
      </c>
      <c r="I27" s="22">
        <v>0.1</v>
      </c>
      <c r="J27" s="22">
        <v>0.1</v>
      </c>
      <c r="K27" s="22">
        <v>0.1</v>
      </c>
      <c r="L27" s="22">
        <v>0.1</v>
      </c>
      <c r="M27" s="22">
        <v>0.5</v>
      </c>
      <c r="N27" t="s">
        <v>246</v>
      </c>
    </row>
    <row r="29" spans="1:14" x14ac:dyDescent="0.75">
      <c r="A29" s="26" t="s">
        <v>113</v>
      </c>
    </row>
    <row r="30" spans="1:14" x14ac:dyDescent="0.75">
      <c r="A30" t="s">
        <v>114</v>
      </c>
    </row>
    <row r="31" spans="1:14" x14ac:dyDescent="0.7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vt:i4>
      </vt:variant>
    </vt:vector>
  </HeadingPairs>
  <TitlesOfParts>
    <vt:vector size="31" baseType="lpstr">
      <vt:lpstr>About</vt:lpstr>
      <vt:lpstr>Inflation Reduction Act - Elec</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2025-12-19T20:49:20Z</dcterms:modified>
</cp:coreProperties>
</file>