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fuels\FSPbPPT\"/>
    </mc:Choice>
  </mc:AlternateContent>
  <xr:revisionPtr revIDLastSave="0" documentId="13_ncr:1_{1CF22510-BD16-4976-8E1B-A04D7B1FB60F}" xr6:coauthVersionLast="47" xr6:coauthVersionMax="47" xr10:uidLastSave="{00000000-0000-0000-0000-000000000000}"/>
  <bookViews>
    <workbookView xWindow="-28920" yWindow="-120" windowWidth="29040" windowHeight="17520" tabRatio="730" xr2:uid="{00000000-000D-0000-FFFF-FFFF00000000}"/>
  </bookViews>
  <sheets>
    <sheet name="About" sheetId="1" r:id="rId1"/>
    <sheet name="ATB - Nuclear" sheetId="18" r:id="rId2"/>
    <sheet name="FSPbPPT" sheetId="1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17" l="1"/>
</calcChain>
</file>

<file path=xl/sharedStrings.xml><?xml version="1.0" encoding="utf-8"?>
<sst xmlns="http://schemas.openxmlformats.org/spreadsheetml/2006/main" count="537" uniqueCount="179">
  <si>
    <t>Source: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</si>
  <si>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</si>
  <si>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</si>
  <si>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</si>
  <si>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</si>
  <si>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</si>
  <si>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</si>
  <si>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</si>
  <si>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</si>
  <si>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</si>
  <si>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lignite</t>
  </si>
  <si>
    <t>offshore wind</t>
  </si>
  <si>
    <t>onshore wind</t>
  </si>
  <si>
    <t>hard coal</t>
  </si>
  <si>
    <t>crude oil</t>
  </si>
  <si>
    <t>heavy or residual fuel oil</t>
  </si>
  <si>
    <t>municipal solid waste</t>
  </si>
  <si>
    <t>natural gas steam turbine</t>
  </si>
  <si>
    <t>natural gas combined cycle</t>
  </si>
  <si>
    <t>Unit: dimensionless (percentage)</t>
  </si>
  <si>
    <t>Fuel Surcharge Percentage</t>
  </si>
  <si>
    <t>FSPbPPT Fuel Surcharge Percentage by Power Plant Type</t>
  </si>
  <si>
    <t>Generally, costs of fuels for the electricity sector should be specified in BFPaT BAU Fuel Prices and Taxes.</t>
  </si>
  <si>
    <t>However, that variable is subscripted by All Fuels, not by Electricity Source (i.e., power plant type).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</si>
  <si>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</si>
  <si>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</si>
  <si>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</si>
  <si>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</si>
  <si>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</si>
  <si>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</si>
  <si>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</si>
  <si>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We are currently using this only to represent the higher nuclear fuel cost for SMR.</t>
  </si>
  <si>
    <t>National Laboratory of the Rockies</t>
  </si>
  <si>
    <t>Annual Technology Baseline</t>
  </si>
  <si>
    <t>https://atb.nlr.gov/electricity/2024b/data</t>
  </si>
  <si>
    <t>Nuclear</t>
  </si>
  <si>
    <t>https://atb.nrel.gov/electricity/2024/nuclear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</si>
  <si>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</si>
  <si>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</si>
  <si>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</si>
  <si>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</si>
  <si>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</si>
  <si>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</si>
  <si>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</si>
  <si>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Large Nuclear</t>
  </si>
  <si>
    <t>Conservative</t>
  </si>
  <si>
    <t>Moderate</t>
  </si>
  <si>
    <t>Advanced</t>
  </si>
  <si>
    <t>All values are given in 2022 U.S. dollars, see references at the bottom of this worksheet for dollar year conversions where source dollar years don't match 2022.</t>
  </si>
  <si>
    <t>Year</t>
  </si>
  <si>
    <t>Capital</t>
  </si>
  <si>
    <t>Percent of Leverage During Construction</t>
  </si>
  <si>
    <t>Percent of Equity During Construction</t>
  </si>
  <si>
    <t>Nuclear Technologies</t>
  </si>
  <si>
    <t>Index</t>
  </si>
  <si>
    <t>Fraction*</t>
  </si>
  <si>
    <t>Nuclear - Large</t>
  </si>
  <si>
    <t>Advanced nuclear light water and non-light water technologies: 1000 MW</t>
  </si>
  <si>
    <t>Nuclear - Small</t>
  </si>
  <si>
    <t>Small modular reactor: 300 MW</t>
  </si>
  <si>
    <t>Technology Classification</t>
  </si>
  <si>
    <t>Name</t>
  </si>
  <si>
    <t>Tech</t>
  </si>
  <si>
    <t>Resource</t>
  </si>
  <si>
    <t>Scale</t>
  </si>
  <si>
    <t>Maturity</t>
  </si>
  <si>
    <t>Large</t>
  </si>
  <si>
    <t>Utility</t>
  </si>
  <si>
    <t>Y</t>
  </si>
  <si>
    <t>Small</t>
  </si>
  <si>
    <t>N</t>
  </si>
  <si>
    <t>Finance</t>
  </si>
  <si>
    <t>Financial Assumptions:</t>
  </si>
  <si>
    <t>Capital Recovery Period (Years)</t>
  </si>
  <si>
    <t>Financial Case</t>
  </si>
  <si>
    <t>R&amp;D</t>
  </si>
  <si>
    <t>Depreciation Period</t>
  </si>
  <si>
    <t>Capital Recovery Period</t>
  </si>
  <si>
    <t>Equity Premium During Construction</t>
  </si>
  <si>
    <t>Construction Duration yrs</t>
  </si>
  <si>
    <t>Varies</t>
  </si>
  <si>
    <t>SmallModular</t>
  </si>
  <si>
    <t>Technology-Specific Variables</t>
  </si>
  <si>
    <t>Minimum</t>
  </si>
  <si>
    <t>New</t>
  </si>
  <si>
    <t xml:space="preserve">Heat Rate </t>
  </si>
  <si>
    <t>Plant</t>
  </si>
  <si>
    <t>Outage Rates (%)</t>
  </si>
  <si>
    <t>Emissions (lbs/MMBtu)</t>
  </si>
  <si>
    <t>Ramp</t>
  </si>
  <si>
    <t>Install (Y/N)</t>
  </si>
  <si>
    <t>(MMBtu/MWh)</t>
  </si>
  <si>
    <t>Load (%)</t>
  </si>
  <si>
    <t>Forced</t>
  </si>
  <si>
    <t>Planned</t>
  </si>
  <si>
    <t>SO2</t>
  </si>
  <si>
    <t>NOx</t>
  </si>
  <si>
    <t>Hg</t>
  </si>
  <si>
    <t>CO2</t>
  </si>
  <si>
    <t>Rate (%/min)</t>
  </si>
  <si>
    <t>CCS (Y/N)</t>
  </si>
  <si>
    <t>Inflation Rate</t>
  </si>
  <si>
    <t>*</t>
  </si>
  <si>
    <t>Interest Rate Nominal</t>
  </si>
  <si>
    <t>Calculated Interest Rate Real</t>
  </si>
  <si>
    <t>Interest During Construction - Nominal</t>
  </si>
  <si>
    <t>Rate of Return on Equity Nominal</t>
  </si>
  <si>
    <t>Calculated Rate of Return on Equity Real</t>
  </si>
  <si>
    <t>Debt Fraction</t>
  </si>
  <si>
    <t>Tax Rate (Federal and State)</t>
  </si>
  <si>
    <t>WACC Nominal</t>
  </si>
  <si>
    <t>WACC Real</t>
  </si>
  <si>
    <t>Capital Recovery Factor (CRF) Nominal</t>
  </si>
  <si>
    <t>Capital Recovery Factor (CRF) Real</t>
  </si>
  <si>
    <t>*2022 annual Capacity Factor taken from EIA Electric Power Annual/Monthly (http://www.eia.gov/electricity/monthly/epm_table_grapher.cfm?t=epmt_6_07_b)</t>
  </si>
  <si>
    <t>Future Projections</t>
  </si>
  <si>
    <t>Base Year</t>
  </si>
  <si>
    <t>Net Capacity Factor (%)</t>
  </si>
  <si>
    <t>Techno-Economic Cost and Performance Parameters</t>
  </si>
  <si>
    <t>Annual Energy Production (kWh/kW)</t>
  </si>
  <si>
    <t>Heat Rate (MMBtu/MWh)</t>
  </si>
  <si>
    <t>CAPEX ($/kW)</t>
  </si>
  <si>
    <t>Construction Financing Cost ($/kW)</t>
  </si>
  <si>
    <t>Overnight Capital Cost ($/kW)</t>
  </si>
  <si>
    <t>Fixed Operation and Maintenance Expenses ($/kW-yr)</t>
  </si>
  <si>
    <t>Variable Operation and Maintenance Expenses ($/MWh)</t>
  </si>
  <si>
    <t>Fuel Costs ($/MMBtu)</t>
  </si>
  <si>
    <t>Fuel Costs ($/MWh)</t>
  </si>
  <si>
    <t>Grid Connection Costs</t>
  </si>
  <si>
    <t>Grid Connection Costs (GCC) ($/kW)</t>
  </si>
  <si>
    <t>LCOE</t>
  </si>
  <si>
    <t>Levelized Cost of Energy ($/MWh)</t>
  </si>
  <si>
    <t>Tax credits are defined here for new construction. Existing Nuclear plants may qualify for 45U</t>
  </si>
  <si>
    <t>Tax Credit</t>
  </si>
  <si>
    <t>10 year CRF</t>
  </si>
  <si>
    <t>ITC Schedule</t>
  </si>
  <si>
    <t>PTC</t>
  </si>
  <si>
    <t>PVD</t>
  </si>
  <si>
    <t>PFF</t>
  </si>
  <si>
    <t>MACRS</t>
  </si>
  <si>
    <t>Depreciation Factor</t>
  </si>
  <si>
    <t>Construction Finance Factor</t>
  </si>
  <si>
    <t>CFF - Large</t>
  </si>
  <si>
    <t>CFF - Small</t>
  </si>
  <si>
    <t>Accumulated Interest - Year 1</t>
  </si>
  <si>
    <t>Accumulated Interest - Year 2</t>
  </si>
  <si>
    <t>Accumulated Interest - Year 3</t>
  </si>
  <si>
    <t>Accumulated Interest - Year 4</t>
  </si>
  <si>
    <t>Accumulated Interest - Year 5</t>
  </si>
  <si>
    <t>Accumulated Interest - Year 6</t>
  </si>
  <si>
    <t>Accumulated Interest - Year 7</t>
  </si>
  <si>
    <t>Accumulated Interest - Year 8</t>
  </si>
  <si>
    <t>Accumulated Interest - Year 9</t>
  </si>
  <si>
    <t>Accumulated Interest - Year 10</t>
  </si>
  <si>
    <t>Accumulated Interest - Year 11</t>
  </si>
  <si>
    <t>Accumulated Equity Cost - Year 1</t>
  </si>
  <si>
    <t>Accumulated Equity Cost - Year 2</t>
  </si>
  <si>
    <t>Accumulated Equity Cost - Year 3</t>
  </si>
  <si>
    <t>Accumulated Equity Cost - Year 4</t>
  </si>
  <si>
    <t>Accumulated Equity Cost - Year 5</t>
  </si>
  <si>
    <t>Accumulated Equity Cost - Year 6</t>
  </si>
  <si>
    <t>Accumulated Equity Cost - Year 7</t>
  </si>
  <si>
    <t>Accumulated Equity Cost - Year 8</t>
  </si>
  <si>
    <t>Accumulated Equity Cost - Year 9</t>
  </si>
  <si>
    <t>Accumulated Equity Cost - Year 10</t>
  </si>
  <si>
    <t>Accumulated Equity Cost - Year 11</t>
  </si>
  <si>
    <t>Data Sources for Default Inputs</t>
  </si>
  <si>
    <t>Current Costs:</t>
  </si>
  <si>
    <t>Citation</t>
  </si>
  <si>
    <t>Dollar Year</t>
  </si>
  <si>
    <t>Escalation Index</t>
  </si>
  <si>
    <t>Abou-Jaoude et al. 2024</t>
  </si>
  <si>
    <r>
      <rPr>
        <sz val="11"/>
        <rFont val="Calibri"/>
        <family val="2"/>
        <scheme val="minor"/>
      </rPr>
      <t xml:space="preserve">Calculated using values from </t>
    </r>
    <r>
      <rPr>
        <u/>
        <sz val="11"/>
        <color theme="10"/>
        <rFont val="Calibri"/>
        <family val="2"/>
        <scheme val="minor"/>
      </rPr>
      <t>Abou-Jaoude et al. 2024</t>
    </r>
  </si>
  <si>
    <t>Fixed Operating Expenses ($/kW-yr)</t>
  </si>
  <si>
    <t>Variable Operating Expenses ($/MWh)</t>
  </si>
  <si>
    <t>Spur Line Cost ($/kW)</t>
  </si>
  <si>
    <t>N/A</t>
  </si>
  <si>
    <t>Future Projections Costs:</t>
  </si>
  <si>
    <t>Grid Connection Cost ($/kW)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</si>
</sst>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_);\(#,##0.000\)"/>
    <numFmt numFmtId="165" formatCode="0.0%"/>
    <numFmt numFmtId="167" formatCode="#,##0.0000_);\(#,##0.0000\)"/>
    <numFmt numFmtId="168" formatCode="#,##0.0_);\(#,##0.0\)"/>
    <numFmt numFmtId="169" formatCode="&quot;$&quot;#,##0"/>
    <numFmt numFmtId="171" formatCode="0.000"/>
    <numFmt numFmtId="173" formatCode="_-* #,##0.00_-;\-* #,##0.00_-;_-* &quot;-&quot;??_-;_-@_-"/>
    <numFmt numFmtId="175" formatCode="_(&quot;$&quot;* #,##0_);_(&quot;$&quot;* \(#,##0\);_(&quot;$&quot;* &quot;-&quot;??_);_(@_)"/>
    <numFmt numFmtId="180" formatCode="0.0000"/>
    <numFmt numFmtId="181" formatCode="#,##0.000"/>
  </numFmts>
  <fonts count="3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b/>
      <sz val="14"/>
      <color theme="1"/>
      <name val="Arial"/>
      <family val="2"/>
    </font>
    <font>
      <sz val="9"/>
      <name val="Arial"/>
      <family val="2"/>
    </font>
    <font>
      <sz val="10"/>
      <color rgb="FFFFFFFF"/>
      <name val="Arial"/>
      <family val="2"/>
    </font>
    <font>
      <sz val="10"/>
      <color theme="0" tint="-0.1499984740745262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  <family val="2"/>
    </font>
    <font>
      <b/>
      <sz val="10"/>
      <color theme="9"/>
      <name val="Helvetica Neue"/>
      <family val="2"/>
    </font>
    <font>
      <b/>
      <sz val="13"/>
      <color theme="3"/>
      <name val="Times New Roman"/>
      <family val="2"/>
    </font>
    <font>
      <b/>
      <sz val="10"/>
      <color theme="6"/>
      <name val="Helvetica Neue"/>
      <family val="2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  <family val="2"/>
    </font>
    <font>
      <b/>
      <sz val="10"/>
      <color rgb="FF00B0F0"/>
      <name val="Helvetica Neue"/>
      <family val="2"/>
    </font>
    <font>
      <sz val="10"/>
      <name val="Helvetica Neue"/>
      <family val="2"/>
    </font>
    <font>
      <sz val="10"/>
      <color theme="1"/>
      <name val="Calibri"/>
      <family val="2"/>
      <scheme val="minor"/>
    </font>
    <font>
      <b/>
      <sz val="10"/>
      <color rgb="FFFF0000"/>
      <name val="Helvetica Neue"/>
      <family val="2"/>
    </font>
    <font>
      <b/>
      <sz val="10"/>
      <color theme="1"/>
      <name val="Helvetica Neue"/>
      <family val="2"/>
    </font>
    <font>
      <b/>
      <sz val="10"/>
      <color theme="5"/>
      <name val="Helvetica Neue"/>
      <family val="2"/>
    </font>
    <font>
      <b/>
      <sz val="10"/>
      <color rgb="FF7F7F7F"/>
      <name val="Helvetica Neue"/>
      <family val="2"/>
    </font>
    <font>
      <sz val="1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rgb="FFD3DFEE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6A6A6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/>
      <diagonal/>
    </border>
    <border>
      <left style="medium">
        <color theme="0" tint="-0.24994659260841701"/>
      </left>
      <right/>
      <top style="thin">
        <color auto="1"/>
      </top>
      <bottom/>
      <diagonal/>
    </border>
    <border>
      <left/>
      <right style="medium">
        <color theme="0" tint="-0.24994659260841701"/>
      </right>
      <top style="thin">
        <color auto="1"/>
      </top>
      <bottom/>
      <diagonal/>
    </border>
    <border>
      <left style="medium">
        <color theme="0" tint="-0.24994659260841701"/>
      </left>
      <right/>
      <top/>
      <bottom/>
      <diagonal/>
    </border>
    <border>
      <left/>
      <right style="medium">
        <color theme="0" tint="-0.24994659260841701"/>
      </right>
      <top/>
      <bottom/>
      <diagonal/>
    </border>
    <border>
      <left style="medium">
        <color theme="0" tint="-0.24994659260841701"/>
      </left>
      <right/>
      <top/>
      <bottom style="medium">
        <color theme="0" tint="-0.24994659260841701"/>
      </bottom>
      <diagonal/>
    </border>
    <border>
      <left style="thin">
        <color theme="0" tint="-0.14996795556505021"/>
      </left>
      <right/>
      <top/>
      <bottom/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mediumDashed">
        <color theme="0" tint="-0.24994659260841701"/>
      </bottom>
      <diagonal/>
    </border>
    <border>
      <left/>
      <right/>
      <top style="mediumDashed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/>
      <right style="medium">
        <color theme="0" tint="-0.24994659260841701"/>
      </right>
      <top style="thin">
        <color theme="0"/>
      </top>
      <bottom style="thin">
        <color theme="0"/>
      </bottom>
      <diagonal/>
    </border>
    <border>
      <left/>
      <right style="medium">
        <color theme="0" tint="-0.24994659260841701"/>
      </right>
      <top style="thin">
        <color theme="0"/>
      </top>
      <bottom style="medium">
        <color theme="0" tint="-0.24994659260841701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theme="0"/>
      </bottom>
      <diagonal/>
    </border>
    <border>
      <left/>
      <right/>
      <top style="thin">
        <color theme="0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medium">
        <color theme="0" tint="-0.24994659260841701"/>
      </bottom>
      <diagonal/>
    </border>
    <border>
      <left/>
      <right/>
      <top/>
      <bottom style="thin">
        <color auto="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thin">
        <color auto="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thin">
        <color auto="1"/>
      </bottom>
      <diagonal/>
    </border>
    <border>
      <left/>
      <right style="medium">
        <color theme="0" tint="-0.24994659260841701"/>
      </right>
      <top/>
      <bottom style="thin">
        <color auto="1"/>
      </bottom>
      <diagonal/>
    </border>
    <border>
      <left style="hair">
        <color theme="0" tint="-0.24994659260841701"/>
      </left>
      <right/>
      <top/>
      <bottom style="mediumDashed">
        <color theme="0" tint="-0.24994659260841701"/>
      </bottom>
      <diagonal/>
    </border>
    <border>
      <left style="hair">
        <color theme="0" tint="-0.24994659260841701"/>
      </left>
      <right/>
      <top style="mediumDashed">
        <color theme="0" tint="-0.2499465926084170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theme="0" tint="-0.24994659260841701"/>
      </left>
      <right style="medium">
        <color theme="0" tint="-0.24994659260841701"/>
      </right>
      <top/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/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 style="thin">
        <color auto="1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/>
      <bottom style="thin">
        <color auto="1"/>
      </bottom>
      <diagonal/>
    </border>
    <border>
      <left style="medium">
        <color theme="0" tint="-0.24994659260841701"/>
      </left>
      <right/>
      <top/>
      <bottom style="thin">
        <color auto="1"/>
      </bottom>
      <diagonal/>
    </border>
    <border>
      <left style="medium">
        <color rgb="FFBFBFBF"/>
      </left>
      <right/>
      <top/>
      <bottom/>
      <diagonal/>
    </border>
    <border>
      <left style="medium">
        <color theme="0" tint="-0.24994659260841701"/>
      </left>
      <right/>
      <top style="thin">
        <color theme="0" tint="-0.14996795556505021"/>
      </top>
      <bottom style="medium">
        <color rgb="FFBFBFBF"/>
      </bottom>
      <diagonal/>
    </border>
    <border>
      <left/>
      <right style="medium">
        <color rgb="FFBFBFBF"/>
      </right>
      <top style="thin">
        <color auto="1"/>
      </top>
      <bottom style="thin">
        <color theme="0"/>
      </bottom>
      <diagonal/>
    </border>
    <border>
      <left/>
      <right style="medium">
        <color rgb="FFBFBFBF"/>
      </right>
      <top style="thin">
        <color theme="0"/>
      </top>
      <bottom style="thin">
        <color theme="0"/>
      </bottom>
      <diagonal/>
    </border>
    <border>
      <left/>
      <right style="medium">
        <color rgb="FFBFBFBF"/>
      </right>
      <top style="thin">
        <color theme="0"/>
      </top>
      <bottom style="medium">
        <color theme="0" tint="-0.24994659260841701"/>
      </bottom>
      <diagonal/>
    </border>
    <border>
      <left/>
      <right style="hair">
        <color rgb="FFA6A6A6"/>
      </right>
      <top/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rgb="FF4F81BD"/>
      </left>
      <right/>
      <top style="medium">
        <color theme="4"/>
      </top>
      <bottom/>
      <diagonal/>
    </border>
  </borders>
  <cellStyleXfs count="48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" fillId="0" borderId="0"/>
    <xf numFmtId="0" fontId="17" fillId="0" borderId="0"/>
    <xf numFmtId="0" fontId="21" fillId="2" borderId="0" applyNumberFormat="0" applyBorder="0" applyAlignment="0" applyProtection="0"/>
    <xf numFmtId="0" fontId="9" fillId="2" borderId="0" applyNumberFormat="0" applyBorder="0" applyAlignment="0" applyProtection="0"/>
    <xf numFmtId="0" fontId="21" fillId="3" borderId="0" applyNumberFormat="0" applyBorder="0" applyAlignment="0" applyProtection="0"/>
    <xf numFmtId="0" fontId="9" fillId="3" borderId="0" applyNumberFormat="0" applyBorder="0" applyAlignment="0" applyProtection="0"/>
    <xf numFmtId="0" fontId="21" fillId="4" borderId="0" applyNumberFormat="0" applyBorder="0" applyAlignment="0" applyProtection="0"/>
    <xf numFmtId="0" fontId="9" fillId="4" borderId="0" applyNumberFormat="0" applyBorder="0" applyAlignment="0" applyProtection="0"/>
    <xf numFmtId="0" fontId="21" fillId="5" borderId="0" applyNumberFormat="0" applyBorder="0" applyAlignment="0" applyProtection="0"/>
    <xf numFmtId="0" fontId="9" fillId="5" borderId="0" applyNumberFormat="0" applyBorder="0" applyAlignment="0" applyProtection="0"/>
    <xf numFmtId="171" fontId="22" fillId="0" borderId="0" applyFill="0" applyProtection="0">
      <alignment horizontal="right" vertical="center"/>
    </xf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9" fillId="0" borderId="0" applyFont="0" applyFill="0" applyBorder="0" applyAlignment="0" applyProtection="0"/>
    <xf numFmtId="49" fontId="23" fillId="0" borderId="0" applyFill="0" applyBorder="0" applyProtection="0">
      <alignment horizontal="right" vertical="center"/>
    </xf>
    <xf numFmtId="0" fontId="24" fillId="0" borderId="1" applyNumberFormat="0" applyFill="0" applyAlignment="0" applyProtection="0"/>
    <xf numFmtId="0" fontId="25" fillId="0" borderId="0" applyFill="0" applyBorder="0" applyProtection="0">
      <alignment horizontal="right" vertical="center"/>
    </xf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8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9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1" fontId="30" fillId="0" borderId="0" applyFill="0" applyProtection="0">
      <alignment horizontal="right" vertical="center"/>
    </xf>
    <xf numFmtId="171" fontId="31" fillId="0" borderId="0" applyFill="0" applyProtection="0">
      <alignment horizontal="right" vertical="center"/>
    </xf>
    <xf numFmtId="0" fontId="9" fillId="0" borderId="0"/>
    <xf numFmtId="0" fontId="3" fillId="0" borderId="0"/>
    <xf numFmtId="0" fontId="8" fillId="0" borderId="0"/>
    <xf numFmtId="0" fontId="32" fillId="0" borderId="0">
      <alignment horizontal="right" vertical="center"/>
    </xf>
    <xf numFmtId="0" fontId="9" fillId="0" borderId="0"/>
    <xf numFmtId="0" fontId="8" fillId="0" borderId="0"/>
    <xf numFmtId="0" fontId="3" fillId="0" borderId="0"/>
    <xf numFmtId="0" fontId="33" fillId="0" borderId="0"/>
    <xf numFmtId="9" fontId="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" fillId="0" borderId="0" applyFont="0" applyFill="0" applyBorder="0" applyAlignment="0" applyProtection="0"/>
    <xf numFmtId="171" fontId="34" fillId="0" borderId="0" applyFill="0" applyProtection="0">
      <alignment horizontal="right" vertical="center"/>
    </xf>
    <xf numFmtId="0" fontId="20" fillId="0" borderId="0" applyNumberFormat="0" applyFill="0" applyBorder="0" applyAlignment="0" applyProtection="0"/>
    <xf numFmtId="0" fontId="35" fillId="0" borderId="0" applyFill="0" applyBorder="0" applyProtection="0">
      <alignment horizontal="right" vertical="center"/>
    </xf>
    <xf numFmtId="0" fontId="36" fillId="0" borderId="0" applyFill="0" applyBorder="0" applyProtection="0">
      <alignment horizontal="right" vertical="center"/>
    </xf>
    <xf numFmtId="0" fontId="8" fillId="14" borderId="48"/>
    <xf numFmtId="0" fontId="37" fillId="0" borderId="0" applyFill="0" applyBorder="0" applyProtection="0">
      <alignment horizontal="right" vertical="center"/>
    </xf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</cellStyleXfs>
  <cellXfs count="17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5" fillId="0" borderId="0" xfId="0" applyFont="1" applyFill="1"/>
    <xf numFmtId="180" fontId="0" fillId="0" borderId="0" xfId="0" applyNumberFormat="1"/>
    <xf numFmtId="0" fontId="11" fillId="0" borderId="9" xfId="0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0" borderId="4" xfId="0" applyFont="1" applyBorder="1"/>
    <xf numFmtId="0" fontId="10" fillId="0" borderId="34" xfId="0" applyFont="1" applyBorder="1" applyAlignment="1">
      <alignment horizontal="center"/>
    </xf>
    <xf numFmtId="0" fontId="10" fillId="8" borderId="0" xfId="0" applyFont="1" applyFill="1" applyAlignment="1">
      <alignment horizontal="center" vertical="center" textRotation="90" wrapText="1"/>
    </xf>
    <xf numFmtId="2" fontId="11" fillId="0" borderId="54" xfId="0" applyNumberFormat="1" applyFont="1" applyBorder="1" applyAlignment="1">
      <alignment horizontal="left"/>
    </xf>
    <xf numFmtId="0" fontId="11" fillId="0" borderId="39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29" xfId="0" applyFont="1" applyBorder="1"/>
    <xf numFmtId="0" fontId="10" fillId="0" borderId="52" xfId="0" applyFont="1" applyBorder="1" applyAlignment="1">
      <alignment horizontal="left"/>
    </xf>
    <xf numFmtId="0" fontId="14" fillId="17" borderId="0" xfId="0" applyFont="1" applyFill="1" applyAlignment="1">
      <alignment horizontal="center" vertical="center" textRotation="90" wrapText="1"/>
    </xf>
    <xf numFmtId="0" fontId="11" fillId="0" borderId="50" xfId="0" applyFont="1" applyBorder="1" applyAlignment="1">
      <alignment horizontal="center" wrapText="1"/>
    </xf>
    <xf numFmtId="0" fontId="10" fillId="11" borderId="0" xfId="0" applyFont="1" applyFill="1" applyAlignment="1">
      <alignment horizontal="center" vertical="center" textRotation="90"/>
    </xf>
    <xf numFmtId="0" fontId="14" fillId="7" borderId="10" xfId="0" applyFont="1" applyFill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top"/>
    </xf>
    <xf numFmtId="0" fontId="11" fillId="0" borderId="42" xfId="0" applyFont="1" applyBorder="1" applyAlignment="1">
      <alignment horizontal="left"/>
    </xf>
    <xf numFmtId="0" fontId="10" fillId="0" borderId="42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5" fillId="12" borderId="0" xfId="0" applyFont="1" applyFill="1" applyAlignment="1">
      <alignment horizontal="center" vertical="center" textRotation="90" wrapText="1"/>
    </xf>
    <xf numFmtId="0" fontId="14" fillId="10" borderId="0" xfId="0" applyFont="1" applyFill="1" applyAlignment="1">
      <alignment horizontal="center" vertical="center" textRotation="90"/>
    </xf>
    <xf numFmtId="0" fontId="11" fillId="0" borderId="41" xfId="0" applyFont="1" applyBorder="1"/>
    <xf numFmtId="0" fontId="10" fillId="6" borderId="21" xfId="0" applyFont="1" applyFill="1" applyBorder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19" borderId="47" xfId="0" applyFont="1" applyFill="1" applyBorder="1" applyAlignment="1">
      <alignment horizontal="center" wrapText="1"/>
    </xf>
    <xf numFmtId="0" fontId="14" fillId="7" borderId="0" xfId="0" applyFont="1" applyFill="1" applyAlignment="1">
      <alignment horizontal="center" vertical="center" wrapText="1"/>
    </xf>
    <xf numFmtId="0" fontId="0" fillId="0" borderId="0" xfId="0"/>
    <xf numFmtId="0" fontId="10" fillId="0" borderId="0" xfId="0" applyFont="1"/>
    <xf numFmtId="0" fontId="12" fillId="0" borderId="0" xfId="0" applyFont="1"/>
    <xf numFmtId="0" fontId="11" fillId="0" borderId="12" xfId="0" applyFont="1" applyBorder="1"/>
    <xf numFmtId="0" fontId="11" fillId="0" borderId="13" xfId="0" applyFont="1" applyBorder="1"/>
    <xf numFmtId="0" fontId="11" fillId="0" borderId="14" xfId="0" applyFont="1" applyBorder="1"/>
    <xf numFmtId="0" fontId="11" fillId="0" borderId="15" xfId="0" applyFont="1" applyBorder="1"/>
    <xf numFmtId="0" fontId="11" fillId="0" borderId="16" xfId="0" applyFont="1" applyBorder="1"/>
    <xf numFmtId="0" fontId="11" fillId="0" borderId="18" xfId="0" applyFont="1" applyBorder="1"/>
    <xf numFmtId="0" fontId="11" fillId="0" borderId="19" xfId="0" applyFont="1" applyBorder="1"/>
    <xf numFmtId="0" fontId="11" fillId="0" borderId="20" xfId="0" applyFont="1" applyBorder="1"/>
    <xf numFmtId="9" fontId="11" fillId="13" borderId="3" xfId="0" applyNumberFormat="1" applyFont="1" applyFill="1" applyBorder="1"/>
    <xf numFmtId="5" fontId="11" fillId="13" borderId="3" xfId="0" applyNumberFormat="1" applyFont="1" applyFill="1" applyBorder="1"/>
    <xf numFmtId="37" fontId="11" fillId="6" borderId="3" xfId="0" applyNumberFormat="1" applyFont="1" applyFill="1" applyBorder="1"/>
    <xf numFmtId="0" fontId="11" fillId="13" borderId="22" xfId="0" applyFont="1" applyFill="1" applyBorder="1" applyAlignment="1">
      <alignment horizontal="center"/>
    </xf>
    <xf numFmtId="0" fontId="11" fillId="6" borderId="23" xfId="0" applyFont="1" applyFill="1" applyBorder="1" applyAlignment="1">
      <alignment horizontal="center"/>
    </xf>
    <xf numFmtId="165" fontId="11" fillId="13" borderId="24" xfId="0" applyNumberFormat="1" applyFont="1" applyFill="1" applyBorder="1"/>
    <xf numFmtId="37" fontId="11" fillId="13" borderId="24" xfId="0" applyNumberFormat="1" applyFont="1" applyFill="1" applyBorder="1" applyAlignment="1">
      <alignment horizontal="right"/>
    </xf>
    <xf numFmtId="0" fontId="11" fillId="0" borderId="5" xfId="0" applyFont="1" applyBorder="1" applyAlignment="1">
      <alignment horizontal="center"/>
    </xf>
    <xf numFmtId="9" fontId="11" fillId="13" borderId="27" xfId="0" applyNumberFormat="1" applyFont="1" applyFill="1" applyBorder="1"/>
    <xf numFmtId="9" fontId="11" fillId="13" borderId="28" xfId="0" applyNumberFormat="1" applyFont="1" applyFill="1" applyBorder="1"/>
    <xf numFmtId="0" fontId="11" fillId="0" borderId="5" xfId="0" applyFont="1" applyBorder="1"/>
    <xf numFmtId="0" fontId="10" fillId="0" borderId="7" xfId="0" applyFont="1" applyBorder="1"/>
    <xf numFmtId="0" fontId="10" fillId="0" borderId="9" xfId="0" applyFont="1" applyBorder="1"/>
    <xf numFmtId="0" fontId="11" fillId="13" borderId="30" xfId="0" applyFont="1" applyFill="1" applyBorder="1" applyAlignment="1">
      <alignment horizontal="center"/>
    </xf>
    <xf numFmtId="0" fontId="11" fillId="13" borderId="31" xfId="0" applyFont="1" applyFill="1" applyBorder="1" applyAlignment="1">
      <alignment horizontal="center"/>
    </xf>
    <xf numFmtId="0" fontId="11" fillId="13" borderId="32" xfId="0" applyFont="1" applyFill="1" applyBorder="1" applyAlignment="1">
      <alignment horizontal="center"/>
    </xf>
    <xf numFmtId="37" fontId="11" fillId="13" borderId="28" xfId="0" applyNumberFormat="1" applyFont="1" applyFill="1" applyBorder="1"/>
    <xf numFmtId="164" fontId="11" fillId="13" borderId="27" xfId="0" applyNumberFormat="1" applyFont="1" applyFill="1" applyBorder="1"/>
    <xf numFmtId="164" fontId="11" fillId="13" borderId="28" xfId="0" applyNumberFormat="1" applyFont="1" applyFill="1" applyBorder="1"/>
    <xf numFmtId="168" fontId="11" fillId="13" borderId="27" xfId="0" applyNumberFormat="1" applyFont="1" applyFill="1" applyBorder="1"/>
    <xf numFmtId="168" fontId="11" fillId="13" borderId="28" xfId="0" applyNumberFormat="1" applyFont="1" applyFill="1" applyBorder="1"/>
    <xf numFmtId="169" fontId="11" fillId="6" borderId="3" xfId="0" applyNumberFormat="1" applyFont="1" applyFill="1" applyBorder="1"/>
    <xf numFmtId="1" fontId="11" fillId="13" borderId="27" xfId="0" applyNumberFormat="1" applyFont="1" applyFill="1" applyBorder="1"/>
    <xf numFmtId="1" fontId="11" fillId="13" borderId="28" xfId="0" applyNumberFormat="1" applyFont="1" applyFill="1" applyBorder="1"/>
    <xf numFmtId="0" fontId="11" fillId="0" borderId="36" xfId="0" applyFont="1" applyBorder="1" applyAlignment="1">
      <alignment horizontal="center"/>
    </xf>
    <xf numFmtId="0" fontId="11" fillId="13" borderId="6" xfId="0" applyFont="1" applyFill="1" applyBorder="1" applyAlignment="1">
      <alignment horizontal="center"/>
    </xf>
    <xf numFmtId="0" fontId="11" fillId="0" borderId="37" xfId="0" applyFont="1" applyBorder="1"/>
    <xf numFmtId="0" fontId="11" fillId="0" borderId="38" xfId="0" applyFont="1" applyBorder="1"/>
    <xf numFmtId="0" fontId="10" fillId="0" borderId="0" xfId="0" applyFont="1" applyAlignment="1">
      <alignment horizontal="right" vertical="center"/>
    </xf>
    <xf numFmtId="0" fontId="11" fillId="0" borderId="0" xfId="0" applyFont="1" applyAlignment="1">
      <alignment vertical="center"/>
    </xf>
    <xf numFmtId="0" fontId="11" fillId="0" borderId="12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1" fontId="11" fillId="0" borderId="0" xfId="0" applyNumberFormat="1" applyFont="1"/>
    <xf numFmtId="169" fontId="11" fillId="13" borderId="3" xfId="0" applyNumberFormat="1" applyFont="1" applyFill="1" applyBorder="1"/>
    <xf numFmtId="0" fontId="11" fillId="0" borderId="0" xfId="0" applyFont="1"/>
    <xf numFmtId="0" fontId="10" fillId="0" borderId="0" xfId="0" applyFont="1" applyAlignment="1">
      <alignment horizontal="center" vertical="top"/>
    </xf>
    <xf numFmtId="165" fontId="11" fillId="0" borderId="0" xfId="0" applyNumberFormat="1" applyFont="1"/>
    <xf numFmtId="9" fontId="11" fillId="0" borderId="0" xfId="0" applyNumberFormat="1" applyFont="1"/>
    <xf numFmtId="37" fontId="11" fillId="0" borderId="0" xfId="0" applyNumberFormat="1" applyFont="1"/>
    <xf numFmtId="37" fontId="11" fillId="0" borderId="5" xfId="0" applyNumberFormat="1" applyFont="1" applyBorder="1" applyAlignment="1">
      <alignment horizontal="center"/>
    </xf>
    <xf numFmtId="0" fontId="10" fillId="13" borderId="35" xfId="0" applyFont="1" applyFill="1" applyBorder="1" applyAlignment="1">
      <alignment horizontal="center"/>
    </xf>
    <xf numFmtId="2" fontId="11" fillId="0" borderId="0" xfId="0" applyNumberFormat="1" applyFont="1"/>
    <xf numFmtId="0" fontId="11" fillId="0" borderId="45" xfId="0" applyFont="1" applyBorder="1" applyAlignment="1">
      <alignment horizontal="left"/>
    </xf>
    <xf numFmtId="0" fontId="11" fillId="0" borderId="44" xfId="0" applyFont="1" applyBorder="1" applyAlignment="1">
      <alignment horizontal="left"/>
    </xf>
    <xf numFmtId="0" fontId="11" fillId="0" borderId="43" xfId="0" applyFont="1" applyBorder="1" applyAlignment="1">
      <alignment horizontal="left"/>
    </xf>
    <xf numFmtId="37" fontId="11" fillId="0" borderId="7" xfId="0" applyNumberFormat="1" applyFont="1" applyBorder="1" applyAlignment="1">
      <alignment horizontal="center"/>
    </xf>
    <xf numFmtId="37" fontId="11" fillId="0" borderId="9" xfId="0" applyNumberFormat="1" applyFont="1" applyBorder="1" applyAlignment="1">
      <alignment horizontal="center"/>
    </xf>
    <xf numFmtId="37" fontId="11" fillId="0" borderId="0" xfId="0" applyNumberFormat="1" applyFont="1" applyAlignment="1">
      <alignment horizontal="center"/>
    </xf>
    <xf numFmtId="164" fontId="11" fillId="0" borderId="0" xfId="0" applyNumberFormat="1" applyFont="1"/>
    <xf numFmtId="0" fontId="11" fillId="0" borderId="11" xfId="0" applyFont="1" applyBorder="1"/>
    <xf numFmtId="0" fontId="19" fillId="0" borderId="0" xfId="0" applyFont="1"/>
    <xf numFmtId="168" fontId="11" fillId="0" borderId="0" xfId="0" applyNumberFormat="1" applyFont="1"/>
    <xf numFmtId="0" fontId="11" fillId="13" borderId="24" xfId="0" applyFont="1" applyFill="1" applyBorder="1" applyAlignment="1">
      <alignment horizontal="center"/>
    </xf>
    <xf numFmtId="0" fontId="11" fillId="13" borderId="25" xfId="0" applyFont="1" applyFill="1" applyBorder="1" applyAlignment="1">
      <alignment horizontal="center"/>
    </xf>
    <xf numFmtId="7" fontId="11" fillId="13" borderId="3" xfId="0" applyNumberFormat="1" applyFont="1" applyFill="1" applyBorder="1"/>
    <xf numFmtId="43" fontId="11" fillId="13" borderId="3" xfId="4" applyFont="1" applyFill="1" applyBorder="1"/>
    <xf numFmtId="167" fontId="11" fillId="0" borderId="0" xfId="0" applyNumberFormat="1" applyFont="1"/>
    <xf numFmtId="0" fontId="14" fillId="9" borderId="17" xfId="0" applyFont="1" applyFill="1" applyBorder="1" applyAlignment="1">
      <alignment horizontal="center"/>
    </xf>
    <xf numFmtId="0" fontId="0" fillId="9" borderId="0" xfId="0" applyFill="1"/>
    <xf numFmtId="5" fontId="11" fillId="6" borderId="3" xfId="0" applyNumberFormat="1" applyFont="1" applyFill="1" applyBorder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1" fillId="0" borderId="17" xfId="0" applyFont="1" applyBorder="1"/>
    <xf numFmtId="0" fontId="13" fillId="9" borderId="0" xfId="0" applyFont="1" applyFill="1" applyAlignment="1">
      <alignment horizontal="center"/>
    </xf>
    <xf numFmtId="175" fontId="11" fillId="0" borderId="0" xfId="5" applyNumberFormat="1" applyFont="1"/>
    <xf numFmtId="0" fontId="2" fillId="0" borderId="0" xfId="1"/>
    <xf numFmtId="37" fontId="11" fillId="6" borderId="24" xfId="0" applyNumberFormat="1" applyFont="1" applyFill="1" applyBorder="1" applyAlignment="1">
      <alignment horizontal="right"/>
    </xf>
    <xf numFmtId="2" fontId="10" fillId="0" borderId="0" xfId="0" applyNumberFormat="1" applyFont="1"/>
    <xf numFmtId="165" fontId="10" fillId="0" borderId="0" xfId="6" applyNumberFormat="1" applyFont="1"/>
    <xf numFmtId="165" fontId="11" fillId="6" borderId="0" xfId="6" applyNumberFormat="1" applyFont="1" applyFill="1"/>
    <xf numFmtId="165" fontId="0" fillId="6" borderId="0" xfId="6" applyNumberFormat="1" applyFont="1" applyFill="1"/>
    <xf numFmtId="0" fontId="10" fillId="0" borderId="0" xfId="0" applyFont="1" applyAlignment="1">
      <alignment horizontal="left"/>
    </xf>
    <xf numFmtId="10" fontId="11" fillId="0" borderId="0" xfId="0" applyNumberFormat="1" applyFont="1" applyAlignment="1">
      <alignment horizontal="center" vertical="top"/>
    </xf>
    <xf numFmtId="0" fontId="14" fillId="11" borderId="0" xfId="0" applyFont="1" applyFill="1" applyAlignment="1">
      <alignment vertical="center" wrapText="1"/>
    </xf>
    <xf numFmtId="0" fontId="10" fillId="0" borderId="0" xfId="0" applyFont="1" applyAlignment="1">
      <alignment horizontal="center" vertical="center"/>
    </xf>
    <xf numFmtId="180" fontId="11" fillId="0" borderId="0" xfId="0" applyNumberFormat="1" applyFont="1" applyAlignment="1">
      <alignment horizontal="center" vertical="top"/>
    </xf>
    <xf numFmtId="0" fontId="10" fillId="18" borderId="0" xfId="0" applyFont="1" applyFill="1" applyAlignment="1">
      <alignment vertical="center" textRotation="90" wrapText="1"/>
    </xf>
    <xf numFmtId="171" fontId="11" fillId="0" borderId="0" xfId="0" applyNumberFormat="1" applyFont="1" applyAlignment="1">
      <alignment horizontal="center" vertical="top"/>
    </xf>
    <xf numFmtId="0" fontId="11" fillId="0" borderId="21" xfId="0" applyFont="1" applyBorder="1"/>
    <xf numFmtId="0" fontId="14" fillId="0" borderId="10" xfId="0" applyFont="1" applyBorder="1" applyAlignment="1">
      <alignment vertical="center" wrapText="1"/>
    </xf>
    <xf numFmtId="37" fontId="11" fillId="20" borderId="0" xfId="0" applyNumberFormat="1" applyFont="1" applyFill="1"/>
    <xf numFmtId="37" fontId="11" fillId="20" borderId="0" xfId="0" applyNumberFormat="1" applyFont="1" applyFill="1" applyAlignment="1">
      <alignment horizontal="right"/>
    </xf>
    <xf numFmtId="0" fontId="3" fillId="0" borderId="49" xfId="0" applyFont="1" applyBorder="1" applyAlignment="1">
      <alignment horizontal="center" vertical="center" wrapText="1"/>
    </xf>
    <xf numFmtId="181" fontId="11" fillId="6" borderId="26" xfId="0" applyNumberFormat="1" applyFont="1" applyFill="1" applyBorder="1"/>
    <xf numFmtId="165" fontId="11" fillId="19" borderId="0" xfId="6" applyNumberFormat="1" applyFont="1" applyFill="1"/>
    <xf numFmtId="10" fontId="11" fillId="19" borderId="0" xfId="0" applyNumberFormat="1" applyFont="1" applyFill="1" applyAlignment="1">
      <alignment horizontal="center" vertical="top"/>
    </xf>
    <xf numFmtId="0" fontId="11" fillId="0" borderId="53" xfId="0" applyFont="1" applyBorder="1"/>
    <xf numFmtId="9" fontId="11" fillId="6" borderId="55" xfId="0" applyNumberFormat="1" applyFont="1" applyFill="1" applyBorder="1"/>
    <xf numFmtId="9" fontId="11" fillId="6" borderId="56" xfId="0" applyNumberFormat="1" applyFont="1" applyFill="1" applyBorder="1"/>
    <xf numFmtId="9" fontId="11" fillId="6" borderId="57" xfId="0" applyNumberFormat="1" applyFont="1" applyFill="1" applyBorder="1"/>
    <xf numFmtId="2" fontId="11" fillId="0" borderId="33" xfId="0" applyNumberFormat="1" applyFont="1" applyBorder="1"/>
    <xf numFmtId="0" fontId="11" fillId="0" borderId="58" xfId="0" applyFont="1" applyBorder="1"/>
    <xf numFmtId="0" fontId="10" fillId="0" borderId="42" xfId="0" applyFont="1" applyBorder="1" applyAlignment="1">
      <alignment vertical="top"/>
    </xf>
    <xf numFmtId="0" fontId="2" fillId="0" borderId="42" xfId="1" applyBorder="1" applyAlignment="1"/>
    <xf numFmtId="0" fontId="2" fillId="0" borderId="40" xfId="1" applyBorder="1" applyAlignment="1"/>
    <xf numFmtId="0" fontId="2" fillId="0" borderId="46" xfId="1" applyBorder="1" applyAlignment="1"/>
    <xf numFmtId="0" fontId="2" fillId="0" borderId="41" xfId="1" applyBorder="1" applyAlignment="1"/>
    <xf numFmtId="0" fontId="11" fillId="0" borderId="60" xfId="0" applyFont="1" applyBorder="1" applyAlignment="1">
      <alignment horizontal="center" vertical="center" wrapText="1"/>
    </xf>
    <xf numFmtId="0" fontId="11" fillId="16" borderId="59" xfId="0" applyFont="1" applyFill="1" applyBorder="1" applyAlignment="1">
      <alignment horizontal="center" vertical="center" wrapText="1"/>
    </xf>
    <xf numFmtId="0" fontId="11" fillId="0" borderId="61" xfId="0" applyFont="1" applyBorder="1" applyAlignment="1">
      <alignment horizontal="center" vertical="center" wrapText="1"/>
    </xf>
    <xf numFmtId="0" fontId="11" fillId="16" borderId="63" xfId="0" applyFont="1" applyFill="1" applyBorder="1" applyAlignment="1">
      <alignment horizontal="center" vertical="center" wrapText="1"/>
    </xf>
    <xf numFmtId="0" fontId="11" fillId="16" borderId="64" xfId="0" applyFont="1" applyFill="1" applyBorder="1" applyAlignment="1">
      <alignment horizontal="center" vertical="center" wrapText="1"/>
    </xf>
    <xf numFmtId="0" fontId="11" fillId="0" borderId="62" xfId="0" applyFont="1" applyBorder="1" applyAlignment="1">
      <alignment horizontal="center" vertical="center" wrapText="1"/>
    </xf>
    <xf numFmtId="7" fontId="11" fillId="0" borderId="0" xfId="0" applyNumberFormat="1" applyFont="1" applyAlignment="1">
      <alignment horizontal="center" vertical="top"/>
    </xf>
    <xf numFmtId="0" fontId="11" fillId="0" borderId="0" xfId="0" applyFont="1" applyAlignment="1">
      <alignment horizontal="center"/>
    </xf>
    <xf numFmtId="0" fontId="11" fillId="0" borderId="8" xfId="0" applyFont="1" applyBorder="1" applyAlignment="1">
      <alignment horizontal="center"/>
    </xf>
    <xf numFmtId="39" fontId="11" fillId="13" borderId="3" xfId="0" applyNumberFormat="1" applyFont="1" applyFill="1" applyBorder="1"/>
    <xf numFmtId="0" fontId="11" fillId="0" borderId="7" xfId="0" applyFont="1" applyBorder="1" applyAlignment="1">
      <alignment horizontal="center"/>
    </xf>
    <xf numFmtId="9" fontId="11" fillId="13" borderId="0" xfId="0" applyNumberFormat="1" applyFont="1" applyFill="1"/>
    <xf numFmtId="9" fontId="11" fillId="6" borderId="0" xfId="0" applyNumberFormat="1" applyFont="1" applyFill="1"/>
    <xf numFmtId="0" fontId="11" fillId="0" borderId="42" xfId="0" applyFont="1" applyBorder="1"/>
    <xf numFmtId="0" fontId="11" fillId="0" borderId="40" xfId="0" applyFont="1" applyBorder="1"/>
    <xf numFmtId="0" fontId="11" fillId="0" borderId="46" xfId="0" applyFont="1" applyBorder="1"/>
    <xf numFmtId="0" fontId="14" fillId="11" borderId="0" xfId="0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0" fillId="18" borderId="0" xfId="0" applyFont="1" applyFill="1" applyAlignment="1">
      <alignment horizontal="center" vertical="center" textRotation="90" wrapText="1"/>
    </xf>
    <xf numFmtId="0" fontId="15" fillId="12" borderId="0" xfId="0" applyFont="1" applyFill="1" applyAlignment="1">
      <alignment horizontal="center" vertical="center" textRotation="90" wrapText="1"/>
    </xf>
    <xf numFmtId="0" fontId="11" fillId="0" borderId="50" xfId="0" applyFont="1" applyBorder="1" applyAlignment="1">
      <alignment horizontal="center" wrapText="1"/>
    </xf>
    <xf numFmtId="0" fontId="11" fillId="0" borderId="51" xfId="0" applyFont="1" applyBorder="1" applyAlignment="1">
      <alignment horizontal="center" wrapText="1"/>
    </xf>
    <xf numFmtId="0" fontId="11" fillId="0" borderId="41" xfId="0" applyFont="1" applyBorder="1"/>
    <xf numFmtId="0" fontId="10" fillId="0" borderId="0" xfId="0" applyFont="1" applyAlignment="1">
      <alignment horizontal="left" vertical="center"/>
    </xf>
    <xf numFmtId="0" fontId="16" fillId="0" borderId="33" xfId="0" applyFont="1" applyBorder="1"/>
    <xf numFmtId="0" fontId="11" fillId="0" borderId="0" xfId="0" applyFont="1" applyAlignment="1">
      <alignment horizontal="left"/>
    </xf>
    <xf numFmtId="0" fontId="11" fillId="0" borderId="7" xfId="0" applyFont="1" applyBorder="1"/>
    <xf numFmtId="0" fontId="0" fillId="0" borderId="0" xfId="0" applyAlignment="1">
      <alignment horizontal="center" vertical="center" textRotation="90" wrapText="1"/>
    </xf>
    <xf numFmtId="0" fontId="11" fillId="0" borderId="2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2" xfId="0" applyFont="1" applyBorder="1"/>
  </cellXfs>
  <cellStyles count="485">
    <cellStyle name="20% - Accent1 2" xfId="9" xr:uid="{3DF2CE3C-B017-495C-AAD5-B042C64AEA2D}"/>
    <cellStyle name="20% - Accent1 2 2" xfId="10" xr:uid="{DF8E55B9-9389-452C-9DD0-42E64320FB2E}"/>
    <cellStyle name="20% - Accent1 2 2 2" xfId="144" xr:uid="{5EB66B23-1CFC-429C-91DD-F661ED0E9601}"/>
    <cellStyle name="20% - Accent1 2 2 2 2" xfId="166" xr:uid="{F447B591-1B8F-4CC0-BBE1-C00DF37D829E}"/>
    <cellStyle name="20% - Accent1 2 2 2 2 2" xfId="210" xr:uid="{DCF30116-A681-4772-8D58-6817B2BA2730}"/>
    <cellStyle name="20% - Accent1 2 2 2 2 2 2" xfId="298" xr:uid="{E3AC74D9-E393-4AC5-B290-1490061E9A5A}"/>
    <cellStyle name="20% - Accent1 2 2 2 2 2 2 2" xfId="474" xr:uid="{2C01E1F9-1D9E-432F-ABA4-2D1BC1BAB224}"/>
    <cellStyle name="20% - Accent1 2 2 2 2 2 3" xfId="386" xr:uid="{EAA1FC54-69FE-4550-B739-628236E4A721}"/>
    <cellStyle name="20% - Accent1 2 2 2 2 3" xfId="254" xr:uid="{2F6ACEB1-8383-4DAC-A7F0-29704B6BE24E}"/>
    <cellStyle name="20% - Accent1 2 2 2 2 3 2" xfId="430" xr:uid="{F02D3C94-C351-4618-82FB-8E9A716DCA27}"/>
    <cellStyle name="20% - Accent1 2 2 2 2 4" xfId="342" xr:uid="{3F6E7078-1EC9-4302-9616-F6236E11267E}"/>
    <cellStyle name="20% - Accent1 2 2 2 3" xfId="188" xr:uid="{D71890D4-5B4E-4806-A667-C95CC82B88E3}"/>
    <cellStyle name="20% - Accent1 2 2 2 3 2" xfId="276" xr:uid="{FA5748BE-123E-4BAD-9C19-A32B79DF0BE9}"/>
    <cellStyle name="20% - Accent1 2 2 2 3 2 2" xfId="452" xr:uid="{5F7F8E50-3B1C-4DDA-A776-5621E026904D}"/>
    <cellStyle name="20% - Accent1 2 2 2 3 3" xfId="364" xr:uid="{3FC4D575-08ED-44A6-95C2-567DC155EE76}"/>
    <cellStyle name="20% - Accent1 2 2 2 4" xfId="232" xr:uid="{05D12B75-4162-4C65-AF5E-548B132E251E}"/>
    <cellStyle name="20% - Accent1 2 2 2 4 2" xfId="408" xr:uid="{22BB9961-D044-489C-AE3F-59FA0EDC0053}"/>
    <cellStyle name="20% - Accent1 2 2 2 5" xfId="320" xr:uid="{0CE76C03-DB5B-41AE-9695-C53E8750703F}"/>
    <cellStyle name="20% - Accent1 2 2 3" xfId="155" xr:uid="{D5C143D2-B756-422B-BAAF-BF0395DE6A7C}"/>
    <cellStyle name="20% - Accent1 2 2 3 2" xfId="199" xr:uid="{F889E0FF-B813-497A-8A02-9CE08D827C6C}"/>
    <cellStyle name="20% - Accent1 2 2 3 2 2" xfId="287" xr:uid="{EAF9F0DF-8B87-4640-AD05-37FD54147C90}"/>
    <cellStyle name="20% - Accent1 2 2 3 2 2 2" xfId="463" xr:uid="{E4CD2943-1741-4383-B02B-FF7BE21052A8}"/>
    <cellStyle name="20% - Accent1 2 2 3 2 3" xfId="375" xr:uid="{883ECE75-59FA-4BBC-8E20-78C18BA65A7B}"/>
    <cellStyle name="20% - Accent1 2 2 3 3" xfId="243" xr:uid="{233B1299-37FF-4FB3-8D70-B6BABB457CEB}"/>
    <cellStyle name="20% - Accent1 2 2 3 3 2" xfId="419" xr:uid="{40DE5B3F-0339-40DE-8477-850C7346F3B7}"/>
    <cellStyle name="20% - Accent1 2 2 3 4" xfId="331" xr:uid="{95372428-786F-4103-9384-EF3BFF2D44D0}"/>
    <cellStyle name="20% - Accent1 2 2 4" xfId="177" xr:uid="{F591D4A6-1F3F-401C-8D49-AA9EB7D640A7}"/>
    <cellStyle name="20% - Accent1 2 2 4 2" xfId="265" xr:uid="{6C9354D6-D2FC-4CAF-9B75-4F5C908311ED}"/>
    <cellStyle name="20% - Accent1 2 2 4 2 2" xfId="441" xr:uid="{905BCAB3-448D-434C-B5D6-7C662118BC4A}"/>
    <cellStyle name="20% - Accent1 2 2 4 3" xfId="353" xr:uid="{2F5E9AB7-D585-4581-B2FF-A11EB7412DD2}"/>
    <cellStyle name="20% - Accent1 2 2 5" xfId="221" xr:uid="{EE195A1C-83DC-44F1-B30B-5A179FCC90B6}"/>
    <cellStyle name="20% - Accent1 2 2 5 2" xfId="397" xr:uid="{81E7C74D-2EC9-472E-B531-A897C7A3740A}"/>
    <cellStyle name="20% - Accent1 2 2 6" xfId="309" xr:uid="{6380A9F3-9DDA-4927-A012-9719F4F19D4E}"/>
    <cellStyle name="20% - Accent2 2" xfId="11" xr:uid="{DF0B5DC8-7CB4-42B5-8009-4BF050F9DBBC}"/>
    <cellStyle name="20% - Accent2 2 2" xfId="12" xr:uid="{D0A93A96-81A3-4384-BA75-1BC13FF5EDAC}"/>
    <cellStyle name="20% - Accent2 2 2 2" xfId="145" xr:uid="{09F510E5-7FA1-4C3D-B6DF-B7B18B94EBEA}"/>
    <cellStyle name="20% - Accent2 2 2 2 2" xfId="167" xr:uid="{24E69AB8-6F11-4EC1-82D5-50DAA825C819}"/>
    <cellStyle name="20% - Accent2 2 2 2 2 2" xfId="211" xr:uid="{F608A11B-B21D-49A6-8B92-85A8F60B7888}"/>
    <cellStyle name="20% - Accent2 2 2 2 2 2 2" xfId="299" xr:uid="{69984699-199B-4FBD-97ED-BF24E85300BB}"/>
    <cellStyle name="20% - Accent2 2 2 2 2 2 2 2" xfId="475" xr:uid="{46DC38B6-06CA-4DA6-B91B-1CFA85339AEF}"/>
    <cellStyle name="20% - Accent2 2 2 2 2 2 3" xfId="387" xr:uid="{13BB0628-7159-4E70-B2C4-A00493244922}"/>
    <cellStyle name="20% - Accent2 2 2 2 2 3" xfId="255" xr:uid="{6F7E7247-40F3-4CA2-9A42-72F0F07C0D7D}"/>
    <cellStyle name="20% - Accent2 2 2 2 2 3 2" xfId="431" xr:uid="{C04A1344-3617-47F9-BFE9-5C62B317FF0A}"/>
    <cellStyle name="20% - Accent2 2 2 2 2 4" xfId="343" xr:uid="{03E4A87C-35C9-4127-9316-29129F70BBE4}"/>
    <cellStyle name="20% - Accent2 2 2 2 3" xfId="189" xr:uid="{5707E753-A23C-43A2-8EE4-8CDD7636FBDF}"/>
    <cellStyle name="20% - Accent2 2 2 2 3 2" xfId="277" xr:uid="{38A8934C-2450-427B-BFC6-48B7C9176E35}"/>
    <cellStyle name="20% - Accent2 2 2 2 3 2 2" xfId="453" xr:uid="{7EAB6527-4A68-4323-995E-BCDF822707F2}"/>
    <cellStyle name="20% - Accent2 2 2 2 3 3" xfId="365" xr:uid="{9AA113A1-6A0A-4D0E-8B10-1CB280547038}"/>
    <cellStyle name="20% - Accent2 2 2 2 4" xfId="233" xr:uid="{5CB91A8D-4DEF-429A-B15C-4A8FE0701AEB}"/>
    <cellStyle name="20% - Accent2 2 2 2 4 2" xfId="409" xr:uid="{3319ADD7-F4F4-4A1D-9E63-A2C6B6145145}"/>
    <cellStyle name="20% - Accent2 2 2 2 5" xfId="321" xr:uid="{48F01496-C73D-4BDD-AE6C-800AA23588CD}"/>
    <cellStyle name="20% - Accent2 2 2 3" xfId="156" xr:uid="{FDD90536-9A63-4074-9D1A-1C9ABF5AEDAF}"/>
    <cellStyle name="20% - Accent2 2 2 3 2" xfId="200" xr:uid="{15E7472E-8C6D-44F2-AD42-273F7220423B}"/>
    <cellStyle name="20% - Accent2 2 2 3 2 2" xfId="288" xr:uid="{E12D3E11-BDF3-4FEB-9B13-8A52CDAF9965}"/>
    <cellStyle name="20% - Accent2 2 2 3 2 2 2" xfId="464" xr:uid="{2F757639-4E90-406D-923A-BF00C2337ACA}"/>
    <cellStyle name="20% - Accent2 2 2 3 2 3" xfId="376" xr:uid="{08AD9CFE-95F4-4856-BEA8-B84EA5E56877}"/>
    <cellStyle name="20% - Accent2 2 2 3 3" xfId="244" xr:uid="{FCDEDFF7-8F30-4C27-9F95-050DEBA9E509}"/>
    <cellStyle name="20% - Accent2 2 2 3 3 2" xfId="420" xr:uid="{EA7A9107-1A6C-4CC8-B7BE-FC77F4A1BDC6}"/>
    <cellStyle name="20% - Accent2 2 2 3 4" xfId="332" xr:uid="{959A288D-8FF4-4F71-A64B-B081D2478ED8}"/>
    <cellStyle name="20% - Accent2 2 2 4" xfId="178" xr:uid="{0250F127-541B-4DD5-97C5-26842FCF9813}"/>
    <cellStyle name="20% - Accent2 2 2 4 2" xfId="266" xr:uid="{055A0C03-5F58-4684-BC1D-A6D06F0D6B6D}"/>
    <cellStyle name="20% - Accent2 2 2 4 2 2" xfId="442" xr:uid="{96214AC9-561C-47B0-8DEE-4BCF9AE90BBA}"/>
    <cellStyle name="20% - Accent2 2 2 4 3" xfId="354" xr:uid="{D8A9774D-DCD1-4197-A22D-FD3FEA07DFBF}"/>
    <cellStyle name="20% - Accent2 2 2 5" xfId="222" xr:uid="{90E3C4C5-8E01-4E11-85CA-903D5BBF786F}"/>
    <cellStyle name="20% - Accent2 2 2 5 2" xfId="398" xr:uid="{0CA24BB2-94AA-444F-84ED-F7647D2E62D5}"/>
    <cellStyle name="20% - Accent2 2 2 6" xfId="310" xr:uid="{72110B39-5155-4CB8-ACB8-6044160C4F61}"/>
    <cellStyle name="20% - Accent3 2" xfId="13" xr:uid="{77917B13-38FA-4BD2-979E-A4F2DB76ABF1}"/>
    <cellStyle name="20% - Accent3 2 2" xfId="14" xr:uid="{3BAB0972-6863-4D39-B6BF-AFA09D445417}"/>
    <cellStyle name="20% - Accent3 2 2 2" xfId="146" xr:uid="{C1185600-D742-46ED-9E6F-C172D082F8EC}"/>
    <cellStyle name="20% - Accent3 2 2 2 2" xfId="168" xr:uid="{893287A4-0006-4F2E-9F60-CA5DAAE17445}"/>
    <cellStyle name="20% - Accent3 2 2 2 2 2" xfId="212" xr:uid="{3C31D265-655E-4FF1-A200-B2178CBAC77D}"/>
    <cellStyle name="20% - Accent3 2 2 2 2 2 2" xfId="300" xr:uid="{BFB96368-C755-4EE7-9DF9-805F992303B8}"/>
    <cellStyle name="20% - Accent3 2 2 2 2 2 2 2" xfId="476" xr:uid="{F6B03556-46DC-434C-882C-10C9C4DAD622}"/>
    <cellStyle name="20% - Accent3 2 2 2 2 2 3" xfId="388" xr:uid="{7FAB6231-C980-43BB-BF2E-9F8E5AD37826}"/>
    <cellStyle name="20% - Accent3 2 2 2 2 3" xfId="256" xr:uid="{1C5EB339-C0DF-41B6-B251-3A5050995988}"/>
    <cellStyle name="20% - Accent3 2 2 2 2 3 2" xfId="432" xr:uid="{01B07977-B2CB-4F62-A0AD-0C9E47BD67DD}"/>
    <cellStyle name="20% - Accent3 2 2 2 2 4" xfId="344" xr:uid="{E96C0C18-E366-4D64-BFA5-36969C1D4801}"/>
    <cellStyle name="20% - Accent3 2 2 2 3" xfId="190" xr:uid="{32CA2CA6-6682-4E1D-A2B9-D7C027EAEDC0}"/>
    <cellStyle name="20% - Accent3 2 2 2 3 2" xfId="278" xr:uid="{7E3F96FD-C139-4515-A2E9-10A4BB731E35}"/>
    <cellStyle name="20% - Accent3 2 2 2 3 2 2" xfId="454" xr:uid="{3A5B79A8-EA20-4DF3-898A-3080D0301148}"/>
    <cellStyle name="20% - Accent3 2 2 2 3 3" xfId="366" xr:uid="{A178BF34-2A9C-443E-A47F-513C4C10B4C1}"/>
    <cellStyle name="20% - Accent3 2 2 2 4" xfId="234" xr:uid="{67E45C8D-D01E-4D22-AF75-11E47CC8256E}"/>
    <cellStyle name="20% - Accent3 2 2 2 4 2" xfId="410" xr:uid="{5AC95C35-66C0-4126-8165-4EF8BE080DA1}"/>
    <cellStyle name="20% - Accent3 2 2 2 5" xfId="322" xr:uid="{B81E9402-9A02-49C5-AA20-F4435602FDA8}"/>
    <cellStyle name="20% - Accent3 2 2 3" xfId="157" xr:uid="{7CF11C79-0967-4402-842D-5185896DA196}"/>
    <cellStyle name="20% - Accent3 2 2 3 2" xfId="201" xr:uid="{5593355A-0563-4BE1-8EE5-683B48AB4A24}"/>
    <cellStyle name="20% - Accent3 2 2 3 2 2" xfId="289" xr:uid="{18CC9FDA-C77E-4376-916D-BCC59D1D3CA7}"/>
    <cellStyle name="20% - Accent3 2 2 3 2 2 2" xfId="465" xr:uid="{33BB3B1E-358E-4854-81CA-6E5B2DC03D19}"/>
    <cellStyle name="20% - Accent3 2 2 3 2 3" xfId="377" xr:uid="{4890636B-F984-4BDB-A29B-B98A804B7EBA}"/>
    <cellStyle name="20% - Accent3 2 2 3 3" xfId="245" xr:uid="{91B3E980-99C2-4CFC-95E9-00B49708F1E5}"/>
    <cellStyle name="20% - Accent3 2 2 3 3 2" xfId="421" xr:uid="{FD6C9DEF-AA18-4C1E-96CE-C55E7CBC2C0F}"/>
    <cellStyle name="20% - Accent3 2 2 3 4" xfId="333" xr:uid="{87A65CB7-612D-4910-9C22-FFB0E719E301}"/>
    <cellStyle name="20% - Accent3 2 2 4" xfId="179" xr:uid="{A980B057-6320-43EF-A7CE-A08A06946973}"/>
    <cellStyle name="20% - Accent3 2 2 4 2" xfId="267" xr:uid="{0AC6D517-FBE2-4765-9FB5-56BFD7D82173}"/>
    <cellStyle name="20% - Accent3 2 2 4 2 2" xfId="443" xr:uid="{EE738387-94C6-46E5-8944-1055E98C79D4}"/>
    <cellStyle name="20% - Accent3 2 2 4 3" xfId="355" xr:uid="{742C8065-7DC3-4E43-BA6D-1FBDE251E165}"/>
    <cellStyle name="20% - Accent3 2 2 5" xfId="223" xr:uid="{B4380136-608F-4C0F-BB36-6C7DE80FFBFC}"/>
    <cellStyle name="20% - Accent3 2 2 5 2" xfId="399" xr:uid="{89B92374-E477-462E-89FA-D1D990F601EF}"/>
    <cellStyle name="20% - Accent3 2 2 6" xfId="311" xr:uid="{D64F1495-0095-467F-BD36-75A4769507DD}"/>
    <cellStyle name="20% - Accent4 2" xfId="15" xr:uid="{A77687B8-7392-4F54-BCC0-AFDA237BC2A4}"/>
    <cellStyle name="20% - Accent4 2 2" xfId="16" xr:uid="{05F05A84-6EE2-462E-9B2A-22C16A3298AE}"/>
    <cellStyle name="20% - Accent4 2 2 2" xfId="147" xr:uid="{D75A1F54-1EB6-4597-B1F9-7737FBF99A88}"/>
    <cellStyle name="20% - Accent4 2 2 2 2" xfId="169" xr:uid="{B9FEB9E5-9CB8-4371-B32F-A515295383DE}"/>
    <cellStyle name="20% - Accent4 2 2 2 2 2" xfId="213" xr:uid="{D1A01A66-8486-4558-9517-6D40440C3171}"/>
    <cellStyle name="20% - Accent4 2 2 2 2 2 2" xfId="301" xr:uid="{360883F2-64C5-448F-8860-D86D51A007D4}"/>
    <cellStyle name="20% - Accent4 2 2 2 2 2 2 2" xfId="477" xr:uid="{B7DF2E3A-A179-4182-9354-374A7A25D3BF}"/>
    <cellStyle name="20% - Accent4 2 2 2 2 2 3" xfId="389" xr:uid="{57A47915-B92A-4F21-8A52-21BE193FB772}"/>
    <cellStyle name="20% - Accent4 2 2 2 2 3" xfId="257" xr:uid="{1C22C03D-F831-480D-B9FE-17D6C8058FF3}"/>
    <cellStyle name="20% - Accent4 2 2 2 2 3 2" xfId="433" xr:uid="{01C37669-119C-4A5F-BB3B-327FE93605C7}"/>
    <cellStyle name="20% - Accent4 2 2 2 2 4" xfId="345" xr:uid="{AB896874-4A6D-4127-B56C-FF71EB144438}"/>
    <cellStyle name="20% - Accent4 2 2 2 3" xfId="191" xr:uid="{E857A243-3A28-43DB-878E-D200AB5EAB45}"/>
    <cellStyle name="20% - Accent4 2 2 2 3 2" xfId="279" xr:uid="{0204485A-6F22-4D45-A2C4-F6B9A634DD85}"/>
    <cellStyle name="20% - Accent4 2 2 2 3 2 2" xfId="455" xr:uid="{7DFB5058-46D0-41FE-993D-CDF02A011F42}"/>
    <cellStyle name="20% - Accent4 2 2 2 3 3" xfId="367" xr:uid="{71ADD5AC-52CF-4615-932F-04FA5C1CA426}"/>
    <cellStyle name="20% - Accent4 2 2 2 4" xfId="235" xr:uid="{C35E35EA-B7F3-4410-BD7F-D8FB71BF7018}"/>
    <cellStyle name="20% - Accent4 2 2 2 4 2" xfId="411" xr:uid="{F03B9752-4C84-4E46-9A9A-B0C56AAADE7C}"/>
    <cellStyle name="20% - Accent4 2 2 2 5" xfId="323" xr:uid="{B38713AB-F64E-43F1-9A05-172A457137C6}"/>
    <cellStyle name="20% - Accent4 2 2 3" xfId="158" xr:uid="{26ED941E-F0BD-4F7A-B28B-40C0A58301E8}"/>
    <cellStyle name="20% - Accent4 2 2 3 2" xfId="202" xr:uid="{DB2BC5F8-82A4-4548-AAEF-FB922A543836}"/>
    <cellStyle name="20% - Accent4 2 2 3 2 2" xfId="290" xr:uid="{C719C4ED-37A6-4D50-8C2F-4C466F4F2FCA}"/>
    <cellStyle name="20% - Accent4 2 2 3 2 2 2" xfId="466" xr:uid="{6C044E89-E4E1-4D73-98C0-BBB804F4AE88}"/>
    <cellStyle name="20% - Accent4 2 2 3 2 3" xfId="378" xr:uid="{96D3138C-5BC4-4EAF-8153-330AE9070F64}"/>
    <cellStyle name="20% - Accent4 2 2 3 3" xfId="246" xr:uid="{768B085E-8FC9-4257-8DE7-BE914A823407}"/>
    <cellStyle name="20% - Accent4 2 2 3 3 2" xfId="422" xr:uid="{AE2DA9FC-6A4A-45C3-AAA2-1ABFADE9C927}"/>
    <cellStyle name="20% - Accent4 2 2 3 4" xfId="334" xr:uid="{76B1E08D-8F4F-48EB-BF33-23ACB60B1123}"/>
    <cellStyle name="20% - Accent4 2 2 4" xfId="180" xr:uid="{5BF955C9-2E32-4617-BC9C-F18125FCD970}"/>
    <cellStyle name="20% - Accent4 2 2 4 2" xfId="268" xr:uid="{F0688CD2-825D-424A-8991-A369AB2C0399}"/>
    <cellStyle name="20% - Accent4 2 2 4 2 2" xfId="444" xr:uid="{EAB027B9-3608-40E5-9156-710F65C4E37B}"/>
    <cellStyle name="20% - Accent4 2 2 4 3" xfId="356" xr:uid="{784F2580-C2C5-4CBE-A041-C447A28EE8F5}"/>
    <cellStyle name="20% - Accent4 2 2 5" xfId="224" xr:uid="{29CA05DB-C316-4E3E-9DC2-0782CA8D9B61}"/>
    <cellStyle name="20% - Accent4 2 2 5 2" xfId="400" xr:uid="{A021AE0F-49D4-4B32-99B0-B2BD646F0CF6}"/>
    <cellStyle name="20% - Accent4 2 2 6" xfId="312" xr:uid="{BE866766-96A9-48DE-9EC0-A6BB00E5CF96}"/>
    <cellStyle name="Calculated" xfId="17" xr:uid="{2F72C87D-ED46-4757-934E-16518EC49AB0}"/>
    <cellStyle name="Comma" xfId="4" builtinId="3"/>
    <cellStyle name="Comma 10" xfId="18" xr:uid="{689444DA-8D42-4406-A6E5-9D27BCBF76BF}"/>
    <cellStyle name="Comma 10 2" xfId="148" xr:uid="{28A03041-C6B2-4540-A31E-F033D6040297}"/>
    <cellStyle name="Comma 10 2 2" xfId="170" xr:uid="{B1D141AD-BCB2-47FB-BD9B-1A7FE650A522}"/>
    <cellStyle name="Comma 10 2 2 2" xfId="214" xr:uid="{DB55741F-86D7-45F1-BE3A-2B541B5BF214}"/>
    <cellStyle name="Comma 10 2 2 2 2" xfId="302" xr:uid="{5F1BE80B-45AF-4C1F-BB14-40B3AD991759}"/>
    <cellStyle name="Comma 10 2 2 2 2 2" xfId="478" xr:uid="{630E3328-EB57-473F-BC25-BA580B72E911}"/>
    <cellStyle name="Comma 10 2 2 2 3" xfId="390" xr:uid="{F1E9C246-4989-4BD4-B8C8-159E5047355E}"/>
    <cellStyle name="Comma 10 2 2 3" xfId="258" xr:uid="{407D1ED2-F779-4143-937D-3A7C25B89182}"/>
    <cellStyle name="Comma 10 2 2 3 2" xfId="434" xr:uid="{A2BA054E-BDAC-4C68-9E45-9548CA4CC1BC}"/>
    <cellStyle name="Comma 10 2 2 4" xfId="346" xr:uid="{EC78E573-550B-4354-86AF-8115AB7D5745}"/>
    <cellStyle name="Comma 10 2 3" xfId="192" xr:uid="{CDDFF317-E076-4A42-9F87-B17E4C53F13D}"/>
    <cellStyle name="Comma 10 2 3 2" xfId="280" xr:uid="{D41C225E-DA53-4598-A4FD-8DBFE2657C73}"/>
    <cellStyle name="Comma 10 2 3 2 2" xfId="456" xr:uid="{B7469413-1887-4661-988B-4ED9133270BC}"/>
    <cellStyle name="Comma 10 2 3 3" xfId="368" xr:uid="{96C266AF-30F2-419C-BD2F-17201982B05F}"/>
    <cellStyle name="Comma 10 2 4" xfId="236" xr:uid="{930B79D4-99F7-4B68-AA67-1B0E45C30840}"/>
    <cellStyle name="Comma 10 2 4 2" xfId="412" xr:uid="{65BD714A-9433-4A08-A603-6128C139DC73}"/>
    <cellStyle name="Comma 10 2 5" xfId="324" xr:uid="{029F4C23-3243-42E0-9AE6-2F9583779241}"/>
    <cellStyle name="Comma 10 3" xfId="159" xr:uid="{7105778E-2ACA-4CCF-B96E-43B8BED87DFA}"/>
    <cellStyle name="Comma 10 3 2" xfId="203" xr:uid="{518EA9D2-B4F6-4366-A9FA-6ABF65937F8A}"/>
    <cellStyle name="Comma 10 3 2 2" xfId="291" xr:uid="{88C8136F-282F-4C3C-980F-572D101017FE}"/>
    <cellStyle name="Comma 10 3 2 2 2" xfId="467" xr:uid="{F7ABEAFF-2488-4C84-AFBE-E48EDDF479E3}"/>
    <cellStyle name="Comma 10 3 2 3" xfId="379" xr:uid="{44038213-4F8A-4E9A-BE77-8FEE9D10C590}"/>
    <cellStyle name="Comma 10 3 3" xfId="247" xr:uid="{3286F9D2-F98D-462C-AE5E-01FF7E79DE97}"/>
    <cellStyle name="Comma 10 3 3 2" xfId="423" xr:uid="{01DCDC0F-F4BC-41C4-812E-62FF5CC2F297}"/>
    <cellStyle name="Comma 10 3 4" xfId="335" xr:uid="{CC1B1447-0A99-43B3-9199-A45D622B2281}"/>
    <cellStyle name="Comma 10 4" xfId="181" xr:uid="{A26937E2-703B-4C21-823D-CF6CAB8DADAC}"/>
    <cellStyle name="Comma 10 4 2" xfId="269" xr:uid="{9E7BD62C-BE77-420E-91FD-6ABACDC5178D}"/>
    <cellStyle name="Comma 10 4 2 2" xfId="445" xr:uid="{588F1E46-7B7C-460B-8D10-6F10A1B0A8B5}"/>
    <cellStyle name="Comma 10 4 3" xfId="357" xr:uid="{F97BB56B-8555-459B-A45E-460AC8070D02}"/>
    <cellStyle name="Comma 10 5" xfId="225" xr:uid="{5508DE8A-B424-455C-88FE-6189F468E280}"/>
    <cellStyle name="Comma 10 5 2" xfId="401" xr:uid="{D1968C8B-5151-4018-912A-943B9DE8FA1B}"/>
    <cellStyle name="Comma 10 6" xfId="313" xr:uid="{CF684707-92AB-4EE5-A4B0-DAAFB1A5481E}"/>
    <cellStyle name="Comma 11" xfId="19" xr:uid="{6764162E-CBDF-4C21-823E-DF7C8B1E9F3C}"/>
    <cellStyle name="Comma 2" xfId="20" xr:uid="{8671FA34-8230-4458-8186-1135419C64D0}"/>
    <cellStyle name="Comma 2 2" xfId="21" xr:uid="{F00679FD-DCCD-4AE4-BCCB-045AB7449027}"/>
    <cellStyle name="Comma 2 2 2" xfId="149" xr:uid="{424D386B-A5B6-45F2-886E-40C5D7788771}"/>
    <cellStyle name="Comma 2 2 2 2" xfId="171" xr:uid="{F44B8C1F-6D17-4D5F-BB9E-D2A96D9DBBF7}"/>
    <cellStyle name="Comma 2 2 2 2 2" xfId="215" xr:uid="{7E34F0C8-812C-4B20-A1B3-E542F9647B39}"/>
    <cellStyle name="Comma 2 2 2 2 2 2" xfId="303" xr:uid="{3C59C91A-D506-450A-9242-C2589A5A5B6E}"/>
    <cellStyle name="Comma 2 2 2 2 2 2 2" xfId="479" xr:uid="{FA17CBEE-C4BD-40DC-B7BA-B09304D2899A}"/>
    <cellStyle name="Comma 2 2 2 2 2 3" xfId="391" xr:uid="{43B51C94-5ADD-4CC8-B28A-8ED4FCA406C2}"/>
    <cellStyle name="Comma 2 2 2 2 3" xfId="259" xr:uid="{E7990FD4-ACF2-49BE-892C-7ED1201FE18F}"/>
    <cellStyle name="Comma 2 2 2 2 3 2" xfId="435" xr:uid="{03649227-6DB1-476C-8B5A-2C1868955478}"/>
    <cellStyle name="Comma 2 2 2 2 4" xfId="347" xr:uid="{8D9FC616-496C-40A0-91EF-7CB6D1F27912}"/>
    <cellStyle name="Comma 2 2 2 3" xfId="193" xr:uid="{44845A88-A64F-440B-9F79-BDCCA77DC7D2}"/>
    <cellStyle name="Comma 2 2 2 3 2" xfId="281" xr:uid="{34118C44-E447-4DA2-BA2A-3B317F2158F5}"/>
    <cellStyle name="Comma 2 2 2 3 2 2" xfId="457" xr:uid="{BD984A2C-7E7E-42C2-AAB0-BC4647E5A2E6}"/>
    <cellStyle name="Comma 2 2 2 3 3" xfId="369" xr:uid="{1BBBC2BA-697E-46A9-A433-6F5CBE77D3F5}"/>
    <cellStyle name="Comma 2 2 2 4" xfId="237" xr:uid="{537492F9-1570-4045-9B68-C93E0437B8EF}"/>
    <cellStyle name="Comma 2 2 2 4 2" xfId="413" xr:uid="{64DB1615-5529-4F99-A257-03BB62F07781}"/>
    <cellStyle name="Comma 2 2 2 5" xfId="325" xr:uid="{68A5DF86-01D1-4D28-9DC6-2C414D0987E8}"/>
    <cellStyle name="Comma 2 2 3" xfId="160" xr:uid="{420445E2-41B0-4C6F-9623-D02D8FD628E6}"/>
    <cellStyle name="Comma 2 2 3 2" xfId="204" xr:uid="{797F88E1-7B07-44D8-9358-AC390012C78C}"/>
    <cellStyle name="Comma 2 2 3 2 2" xfId="292" xr:uid="{5CEDEDC6-A11C-4648-9AB6-7B16571E9232}"/>
    <cellStyle name="Comma 2 2 3 2 2 2" xfId="468" xr:uid="{41116065-A268-4DAF-8CC8-F175041E973E}"/>
    <cellStyle name="Comma 2 2 3 2 3" xfId="380" xr:uid="{1DEA6F52-46B3-4B89-B424-D68DE4918451}"/>
    <cellStyle name="Comma 2 2 3 3" xfId="248" xr:uid="{291326B5-2304-4F22-A32D-6EFFABE5CCF8}"/>
    <cellStyle name="Comma 2 2 3 3 2" xfId="424" xr:uid="{C47A9937-DCC3-4F9B-9371-AE6039477A4B}"/>
    <cellStyle name="Comma 2 2 3 4" xfId="336" xr:uid="{F6BCE52A-609D-4685-A7C7-9847478084C1}"/>
    <cellStyle name="Comma 2 2 4" xfId="182" xr:uid="{F8980B1D-EDE1-45AC-9929-579C0B15439F}"/>
    <cellStyle name="Comma 2 2 4 2" xfId="270" xr:uid="{4267D721-3C46-4E5E-8290-87211360530C}"/>
    <cellStyle name="Comma 2 2 4 2 2" xfId="446" xr:uid="{09EB5AF9-296E-45CB-AA17-D85D0C5B7B44}"/>
    <cellStyle name="Comma 2 2 4 3" xfId="358" xr:uid="{019B1B10-478C-483A-A298-EB8CAF365F83}"/>
    <cellStyle name="Comma 2 2 5" xfId="226" xr:uid="{C403E72E-E207-4E06-9526-0733F8359709}"/>
    <cellStyle name="Comma 2 2 5 2" xfId="402" xr:uid="{16E6A0C6-2400-462B-9D71-D21456DF4FFF}"/>
    <cellStyle name="Comma 2 2 6" xfId="314" xr:uid="{3862B081-F89F-4FA8-8FE5-35D0F4396F80}"/>
    <cellStyle name="Comma 3" xfId="22" xr:uid="{C686F8C0-5F9A-4391-BF94-ECF9BF57E266}"/>
    <cellStyle name="Comma 3 2" xfId="23" xr:uid="{2B26B5FF-7B1A-445D-AAE4-A835487F95F6}"/>
    <cellStyle name="Comma 3 2 2" xfId="150" xr:uid="{A98E8C42-7D36-4CA0-96D0-6841F65D53F9}"/>
    <cellStyle name="Comma 3 2 2 2" xfId="172" xr:uid="{98A4058A-00AD-41B8-972D-D85795685365}"/>
    <cellStyle name="Comma 3 2 2 2 2" xfId="216" xr:uid="{049A35F7-26A7-4E27-8087-7BDDBB8A2A01}"/>
    <cellStyle name="Comma 3 2 2 2 2 2" xfId="304" xr:uid="{DCECB445-7D13-4CDC-BA70-E2E087B0DB2F}"/>
    <cellStyle name="Comma 3 2 2 2 2 2 2" xfId="480" xr:uid="{23A49BBE-8F14-49FF-B3DB-295598C4528E}"/>
    <cellStyle name="Comma 3 2 2 2 2 3" xfId="392" xr:uid="{2ABD939A-FA9D-402E-922A-F2AB7541EC9A}"/>
    <cellStyle name="Comma 3 2 2 2 3" xfId="260" xr:uid="{7A3FAE93-78AC-4E80-A1AA-B64DBCB0A09A}"/>
    <cellStyle name="Comma 3 2 2 2 3 2" xfId="436" xr:uid="{72655AAC-B67B-4507-8FA8-6BF1B13A6E02}"/>
    <cellStyle name="Comma 3 2 2 2 4" xfId="348" xr:uid="{E37B1974-17C5-4D66-B103-EF3775418E27}"/>
    <cellStyle name="Comma 3 2 2 3" xfId="194" xr:uid="{E5BBF2E6-5492-4BEB-9D52-83C1E2318D8C}"/>
    <cellStyle name="Comma 3 2 2 3 2" xfId="282" xr:uid="{0FF8D098-DA9D-4880-A101-6680888EC631}"/>
    <cellStyle name="Comma 3 2 2 3 2 2" xfId="458" xr:uid="{C3B2C860-207B-4C40-9BDC-4688BBE20AB8}"/>
    <cellStyle name="Comma 3 2 2 3 3" xfId="370" xr:uid="{526DF462-6F5C-439F-A752-70E73C048A8F}"/>
    <cellStyle name="Comma 3 2 2 4" xfId="238" xr:uid="{86ADE1FE-2900-4B08-8291-247AF1D65B48}"/>
    <cellStyle name="Comma 3 2 2 4 2" xfId="414" xr:uid="{FC1CC447-E30E-48DE-9E67-37D142A86D1A}"/>
    <cellStyle name="Comma 3 2 2 5" xfId="326" xr:uid="{B4D203AD-5EAC-4F94-B66D-54CA2B532296}"/>
    <cellStyle name="Comma 3 2 3" xfId="161" xr:uid="{2F091784-57AD-4E77-AB8A-38596DD942DF}"/>
    <cellStyle name="Comma 3 2 3 2" xfId="205" xr:uid="{6B7C1FC2-2BCF-44F4-BB0B-844EBC29C85C}"/>
    <cellStyle name="Comma 3 2 3 2 2" xfId="293" xr:uid="{92142DE3-DBB5-4858-A188-B98E9CC3B2D3}"/>
    <cellStyle name="Comma 3 2 3 2 2 2" xfId="469" xr:uid="{7272E872-51FF-4D10-A7D2-F32FABB55086}"/>
    <cellStyle name="Comma 3 2 3 2 3" xfId="381" xr:uid="{80A35426-8602-4237-BA41-5ECDA4F4AD00}"/>
    <cellStyle name="Comma 3 2 3 3" xfId="249" xr:uid="{5455A196-A570-4A2D-9CD6-A2AE8BA49BC1}"/>
    <cellStyle name="Comma 3 2 3 3 2" xfId="425" xr:uid="{F917447B-534E-4C60-B6C2-C095721E1A72}"/>
    <cellStyle name="Comma 3 2 3 4" xfId="337" xr:uid="{0EACF631-B550-400D-BAAA-5BCB602ABCEA}"/>
    <cellStyle name="Comma 3 2 4" xfId="183" xr:uid="{12011723-40B9-4D99-B0DE-C447B1AF938E}"/>
    <cellStyle name="Comma 3 2 4 2" xfId="271" xr:uid="{4D24720B-9A52-451F-AC02-33AE46E456A1}"/>
    <cellStyle name="Comma 3 2 4 2 2" xfId="447" xr:uid="{DF7828EE-15C2-47D8-AE45-2C32C46E8C64}"/>
    <cellStyle name="Comma 3 2 4 3" xfId="359" xr:uid="{A5E55D7C-EA00-4BD0-9416-C4E46B26E616}"/>
    <cellStyle name="Comma 3 2 5" xfId="227" xr:uid="{0590F1D5-AA64-433F-A757-F2FBBA401069}"/>
    <cellStyle name="Comma 3 2 5 2" xfId="403" xr:uid="{DF61879C-F665-460B-879A-09C341C4714D}"/>
    <cellStyle name="Comma 3 2 6" xfId="315" xr:uid="{F4027CAC-2764-497E-9551-B143D7B18F77}"/>
    <cellStyle name="Comma 4" xfId="24" xr:uid="{D8856E13-ED54-4450-B634-1F5B1FAF313E}"/>
    <cellStyle name="Comma 5" xfId="25" xr:uid="{D08EEB50-D7AA-4CD2-BF65-68DBB92BD561}"/>
    <cellStyle name="Comma 6" xfId="26" xr:uid="{359AC312-1A33-4605-9AD3-D7E28CB29C39}"/>
    <cellStyle name="Comma 7" xfId="27" xr:uid="{BF14AD48-1A0F-462D-89FF-A183965CB1BE}"/>
    <cellStyle name="Comma 8" xfId="28" xr:uid="{55BE345A-8677-43D0-B4F2-DC0FE37D0944}"/>
    <cellStyle name="Comma 9" xfId="29" xr:uid="{66D686A9-3D27-4CE5-A8D6-EE7A1812A8E3}"/>
    <cellStyle name="Currency" xfId="5" builtinId="4"/>
    <cellStyle name="Currency 2" xfId="30" xr:uid="{D38ECFE1-82E2-4CBC-813F-B2C8E69E2941}"/>
    <cellStyle name="Currency 3" xfId="31" xr:uid="{D8F71E95-ED18-4168-9371-83EE8A6D592F}"/>
    <cellStyle name="Currency 4" xfId="32" xr:uid="{38DE43C4-45FC-4C4D-A7C2-C0F51DE07E38}"/>
    <cellStyle name="Currency 5" xfId="33" xr:uid="{8D40E1A4-B2F2-4932-8CA0-DC7F6E1BA303}"/>
    <cellStyle name="Currency 6" xfId="34" xr:uid="{6FAA9C9C-1CEF-440D-8DDF-4DD6400CCE59}"/>
    <cellStyle name="Currency 7" xfId="35" xr:uid="{B3515BC6-846D-4642-9131-E0BEF8ADAE5D}"/>
    <cellStyle name="Currency 8" xfId="36" xr:uid="{7DC60BD6-DDD7-4915-8CBA-EF75354439F9}"/>
    <cellStyle name="Currency 8 2" xfId="151" xr:uid="{6CF906BD-EEEB-42FF-B8B2-011C7061A3E8}"/>
    <cellStyle name="Currency 8 2 2" xfId="173" xr:uid="{276DBDFF-ABED-4B41-80B2-F1E1BA2F038F}"/>
    <cellStyle name="Currency 8 2 2 2" xfId="217" xr:uid="{4D54432A-104D-4639-B24A-7C8DB67C5BC2}"/>
    <cellStyle name="Currency 8 2 2 2 2" xfId="305" xr:uid="{CF33A824-43BD-4EA6-B754-AF7D03F4F713}"/>
    <cellStyle name="Currency 8 2 2 2 2 2" xfId="481" xr:uid="{6C19E8A9-5101-4372-8EDD-9F053265F65C}"/>
    <cellStyle name="Currency 8 2 2 2 3" xfId="393" xr:uid="{23F37843-0F57-4B6D-B98C-CD8708A56DEE}"/>
    <cellStyle name="Currency 8 2 2 3" xfId="261" xr:uid="{2B39100A-5A7A-41CA-B3FE-E396BE01BCE0}"/>
    <cellStyle name="Currency 8 2 2 3 2" xfId="437" xr:uid="{A551BD37-7E46-4772-A44E-D6948EBB7408}"/>
    <cellStyle name="Currency 8 2 2 4" xfId="349" xr:uid="{C3C9897C-14B3-4B4A-AFC8-60E2DF3DF0BD}"/>
    <cellStyle name="Currency 8 2 3" xfId="195" xr:uid="{F325C1CE-679B-4F04-B730-C7D83EC11506}"/>
    <cellStyle name="Currency 8 2 3 2" xfId="283" xr:uid="{47914A8C-1F75-47FB-AAAB-D3001CEDAE24}"/>
    <cellStyle name="Currency 8 2 3 2 2" xfId="459" xr:uid="{B20949F1-6534-4907-ACD5-1E1B048CF76D}"/>
    <cellStyle name="Currency 8 2 3 3" xfId="371" xr:uid="{59EFD4A5-89A9-41EE-B5CB-30986C99E428}"/>
    <cellStyle name="Currency 8 2 4" xfId="239" xr:uid="{B090A5F9-BBB4-4C2D-9802-B65AA8DA98BA}"/>
    <cellStyle name="Currency 8 2 4 2" xfId="415" xr:uid="{A8DAA1F4-8C34-41EA-AEB1-91B130813539}"/>
    <cellStyle name="Currency 8 2 5" xfId="327" xr:uid="{5F3EECDB-4C4E-49A7-83A0-CCB8FE5F10FE}"/>
    <cellStyle name="Currency 8 3" xfId="162" xr:uid="{55B1B03E-A8D4-48BD-8425-69821876CA8B}"/>
    <cellStyle name="Currency 8 3 2" xfId="206" xr:uid="{101FBBDD-6991-4C42-96D4-593CD01346F3}"/>
    <cellStyle name="Currency 8 3 2 2" xfId="294" xr:uid="{3E0DFC76-750B-460E-BB53-88E5BF77A7C0}"/>
    <cellStyle name="Currency 8 3 2 2 2" xfId="470" xr:uid="{5F806461-176D-4431-BAC3-51C1BB5F303F}"/>
    <cellStyle name="Currency 8 3 2 3" xfId="382" xr:uid="{C78BA078-1E4B-419A-8996-1B28351BC5EE}"/>
    <cellStyle name="Currency 8 3 3" xfId="250" xr:uid="{82F2AD21-21CF-4E27-95E4-1C802A125F5D}"/>
    <cellStyle name="Currency 8 3 3 2" xfId="426" xr:uid="{8E66AFB2-E332-48AF-9401-5B25E42D8EDA}"/>
    <cellStyle name="Currency 8 3 4" xfId="338" xr:uid="{6B62D5FA-E6A2-48F2-9AED-0368C3846A64}"/>
    <cellStyle name="Currency 8 4" xfId="184" xr:uid="{83F3E8FC-9CCF-41DF-8AAE-821007E6CF18}"/>
    <cellStyle name="Currency 8 4 2" xfId="272" xr:uid="{16D5DF8D-2973-4ED6-A6BD-09B93FB25EE7}"/>
    <cellStyle name="Currency 8 4 2 2" xfId="448" xr:uid="{B77F3540-E6F0-4959-A175-ECB6D2D7E83A}"/>
    <cellStyle name="Currency 8 4 3" xfId="360" xr:uid="{55976098-180A-4F40-893A-DD9AFEA27B22}"/>
    <cellStyle name="Currency 8 5" xfId="228" xr:uid="{9F2FB36A-09F9-4891-8E00-AC5B3FA0145C}"/>
    <cellStyle name="Currency 8 5 2" xfId="404" xr:uid="{4A0A2BFF-6B9A-4F40-A14B-A198C6AE0C90}"/>
    <cellStyle name="Currency 8 6" xfId="316" xr:uid="{52C8085F-8726-4D8B-8EBB-2C0B053DB185}"/>
    <cellStyle name="Heading" xfId="37" xr:uid="{239ADA82-1B2C-4DB2-94E4-79D74755EDB3}"/>
    <cellStyle name="Heading 2 2" xfId="38" xr:uid="{3A7FECA0-1557-4815-A5FF-2B94C5B6ECD0}"/>
    <cellStyle name="Heading2" xfId="39" xr:uid="{E657728F-DD5C-43C7-A39F-4257FA40207D}"/>
    <cellStyle name="Hyperlink" xfId="1" builtinId="8"/>
    <cellStyle name="Hyperlink 10" xfId="40" xr:uid="{0E086C15-001B-4B4F-B1CB-BCE15ADD27E2}"/>
    <cellStyle name="Hyperlink 10 2" xfId="41" xr:uid="{AA929CBC-1B3B-48BD-AAE4-50BD64A7392D}"/>
    <cellStyle name="Hyperlink 10 3" xfId="42" xr:uid="{986B0CCA-33A3-4340-A9A5-54BD6348DDA4}"/>
    <cellStyle name="Hyperlink 11" xfId="43" xr:uid="{C95FA8C4-8818-4FC3-A202-962986AD45B2}"/>
    <cellStyle name="Hyperlink 11 2" xfId="44" xr:uid="{713E49CA-7F31-4D52-AFA6-8FB2A749019B}"/>
    <cellStyle name="Hyperlink 11 3" xfId="45" xr:uid="{C4D6323A-4598-4696-9F00-75E5565D1E44}"/>
    <cellStyle name="Hyperlink 12" xfId="46" xr:uid="{8E286685-CB22-4C6E-927F-226318198E66}"/>
    <cellStyle name="Hyperlink 12 2" xfId="47" xr:uid="{B9C9EA0A-BF91-4B15-8C69-9B952FC2936E}"/>
    <cellStyle name="Hyperlink 12 3" xfId="48" xr:uid="{99AFB036-C158-47A7-860D-579931845ED6}"/>
    <cellStyle name="Hyperlink 13" xfId="49" xr:uid="{37BC4F9E-B4E0-412D-801E-856B31A8B160}"/>
    <cellStyle name="Hyperlink 13 2" xfId="50" xr:uid="{B6A8C283-9724-4DC9-88E8-65FFF867A6EE}"/>
    <cellStyle name="Hyperlink 13 3" xfId="51" xr:uid="{45782F5E-BDDD-43C9-A09D-81A6E80442BA}"/>
    <cellStyle name="Hyperlink 14" xfId="52" xr:uid="{523B2424-A802-4301-856C-25C64CBF30C5}"/>
    <cellStyle name="Hyperlink 14 2" xfId="53" xr:uid="{CB169E51-E60C-44DC-8C49-2C049715820B}"/>
    <cellStyle name="Hyperlink 14 3" xfId="54" xr:uid="{E3ABF69D-F8F0-4161-940C-22CCDAE02AD8}"/>
    <cellStyle name="Hyperlink 15" xfId="55" xr:uid="{C6EBCB98-3BA3-4F1A-B2A0-7287324679C1}"/>
    <cellStyle name="Hyperlink 15 2" xfId="56" xr:uid="{6CA358A9-D32B-4572-9123-E2864739E9B3}"/>
    <cellStyle name="Hyperlink 15 3" xfId="57" xr:uid="{0AF20007-17AC-4E41-A703-FD06EE64D85E}"/>
    <cellStyle name="Hyperlink 16" xfId="58" xr:uid="{883451DE-351D-40FF-9C3D-6063AD0AD0C1}"/>
    <cellStyle name="Hyperlink 16 2" xfId="59" xr:uid="{54C1EBBF-5413-4215-9C45-AD748F53D4D0}"/>
    <cellStyle name="Hyperlink 16 3" xfId="60" xr:uid="{DC277A92-DCB7-4F4A-A913-4DC185AA2078}"/>
    <cellStyle name="Hyperlink 17" xfId="61" xr:uid="{1D3DE43E-28E4-49E6-BE5A-69B0A1CC1E89}"/>
    <cellStyle name="Hyperlink 17 2" xfId="62" xr:uid="{C7EB971C-38E9-417A-9BE2-D15FF58A2263}"/>
    <cellStyle name="Hyperlink 17 3" xfId="63" xr:uid="{A575108F-B88A-484B-9CC8-6390F81642BD}"/>
    <cellStyle name="Hyperlink 18" xfId="64" xr:uid="{D62BC6B7-554C-470D-9670-C2D316426771}"/>
    <cellStyle name="Hyperlink 18 2" xfId="65" xr:uid="{54BB01FD-8CA4-455F-BEB5-B4D13DE1A128}"/>
    <cellStyle name="Hyperlink 18 3" xfId="66" xr:uid="{137A6980-91B3-42E0-B84C-A626D1204A8D}"/>
    <cellStyle name="Hyperlink 19" xfId="67" xr:uid="{C0331206-A767-4038-95ED-6608EB7EA409}"/>
    <cellStyle name="Hyperlink 19 2" xfId="68" xr:uid="{BE8B97B1-91D6-4968-B1A8-FC92129415F3}"/>
    <cellStyle name="Hyperlink 19 3" xfId="69" xr:uid="{5F4039E9-3546-44EC-A7BA-646A9316604E}"/>
    <cellStyle name="Hyperlink 2" xfId="70" xr:uid="{D5986DAA-A3E0-4B13-AC16-72422A0C5994}"/>
    <cellStyle name="Hyperlink 2 2" xfId="71" xr:uid="{701C149A-524C-4E7B-B4A0-FC47797843CA}"/>
    <cellStyle name="Hyperlink 2 3" xfId="72" xr:uid="{7F5C9D67-D73A-4F3A-9854-54AB51B8FD28}"/>
    <cellStyle name="Hyperlink 20" xfId="73" xr:uid="{A74B8412-76A6-4216-9F65-3AFC9EE31B4A}"/>
    <cellStyle name="Hyperlink 20 2" xfId="74" xr:uid="{8BCA1399-1416-4B17-9CC1-D5E2373ED949}"/>
    <cellStyle name="Hyperlink 20 3" xfId="75" xr:uid="{8709A1EF-504C-45F2-9C04-9603B9A59D20}"/>
    <cellStyle name="Hyperlink 21" xfId="76" xr:uid="{67FEB4FE-6960-4345-A1B9-B1957599E8A7}"/>
    <cellStyle name="Hyperlink 21 2" xfId="77" xr:uid="{53E1B1B4-9207-4B8A-8AA8-9B96A4EAF54F}"/>
    <cellStyle name="Hyperlink 21 3" xfId="78" xr:uid="{5C44ABEE-4B0D-44FB-BDBF-980A626E8375}"/>
    <cellStyle name="Hyperlink 22" xfId="79" xr:uid="{83771319-DE75-4C10-BFC5-A05AED729F0F}"/>
    <cellStyle name="Hyperlink 22 2" xfId="80" xr:uid="{729497BB-203B-4AFA-8F22-B0460E182DBA}"/>
    <cellStyle name="Hyperlink 22 3" xfId="81" xr:uid="{BED2A834-39CF-4E93-87DB-344970F20560}"/>
    <cellStyle name="Hyperlink 23" xfId="82" xr:uid="{3F07C7D0-85DE-4815-99D6-FE4BA6129EE6}"/>
    <cellStyle name="Hyperlink 23 2" xfId="83" xr:uid="{D7765845-E18B-4F6B-9288-BE0C7D36B635}"/>
    <cellStyle name="Hyperlink 23 3" xfId="84" xr:uid="{DF9B1AB0-98D2-46D7-87BD-6418004DD55F}"/>
    <cellStyle name="Hyperlink 24" xfId="85" xr:uid="{7FA37678-1599-4E03-BBCE-F70864C5084A}"/>
    <cellStyle name="Hyperlink 25" xfId="86" xr:uid="{85FC91E9-07A1-465D-BEB6-A07BF1CC9689}"/>
    <cellStyle name="Hyperlink 26" xfId="87" xr:uid="{81B39906-CC97-487F-8D5E-79F1EF232969}"/>
    <cellStyle name="Hyperlink 27" xfId="88" xr:uid="{14A689C3-D2D2-4973-92A5-18995E58220E}"/>
    <cellStyle name="Hyperlink 28" xfId="89" xr:uid="{C6476F99-9B26-46D4-BC44-B6135845A8E5}"/>
    <cellStyle name="Hyperlink 29" xfId="90" xr:uid="{F288D27A-9C61-4819-B983-211E426BBB50}"/>
    <cellStyle name="Hyperlink 3" xfId="91" xr:uid="{64969BA9-90CC-4C42-8DEB-8234D978A53A}"/>
    <cellStyle name="Hyperlink 3 2" xfId="92" xr:uid="{F055D741-1C0C-43F6-8C73-79D9E15DA454}"/>
    <cellStyle name="Hyperlink 3 3" xfId="93" xr:uid="{0125C96D-E929-4E1D-AAAE-024E69653AF3}"/>
    <cellStyle name="Hyperlink 30" xfId="94" xr:uid="{786145D7-085F-4ADF-9B0D-1569698E5FFE}"/>
    <cellStyle name="Hyperlink 31" xfId="95" xr:uid="{E7E349CC-AA35-4D4E-8EBF-99A58E74C3DA}"/>
    <cellStyle name="Hyperlink 32" xfId="96" xr:uid="{DD3C6126-E461-4BE6-A410-223AE906C921}"/>
    <cellStyle name="Hyperlink 33" xfId="97" xr:uid="{2ED6E32B-55FF-4BD0-AB02-3EFD2E19A5AC}"/>
    <cellStyle name="Hyperlink 33 2" xfId="98" xr:uid="{A841102F-4927-412D-A502-4DC1BAC760B2}"/>
    <cellStyle name="Hyperlink 33 3" xfId="99" xr:uid="{1CB659DD-92AC-44DB-9A71-12596C69C335}"/>
    <cellStyle name="Hyperlink 34" xfId="100" xr:uid="{9FDDF919-34D4-48C2-A91B-8BE10964E1A8}"/>
    <cellStyle name="Hyperlink 34 2" xfId="101" xr:uid="{58B2CFC6-F93E-40AC-9D69-7F4301344AA7}"/>
    <cellStyle name="Hyperlink 34 3" xfId="102" xr:uid="{BC56BF3B-59CC-40A2-AE7E-10BAD58B5824}"/>
    <cellStyle name="Hyperlink 34 4" xfId="103" xr:uid="{4549B518-CC42-41B5-8309-6E7380C5B717}"/>
    <cellStyle name="Hyperlink 34 5" xfId="104" xr:uid="{E22FE381-06DF-4CAA-AF81-D2493B917B53}"/>
    <cellStyle name="Hyperlink 4" xfId="105" xr:uid="{98E0D97B-0287-4E59-9C59-3851D4FD2C6D}"/>
    <cellStyle name="Hyperlink 4 2" xfId="106" xr:uid="{348DF0A6-9EBB-4EA9-9551-6D541E38FE0E}"/>
    <cellStyle name="Hyperlink 4 3" xfId="107" xr:uid="{A0E0F385-27F3-456A-9F88-33402E1FB85B}"/>
    <cellStyle name="Hyperlink 5" xfId="108" xr:uid="{D920A942-1E0E-4FD0-AC24-40D0B372612F}"/>
    <cellStyle name="Hyperlink 5 2" xfId="109" xr:uid="{15F65C35-EC92-486C-8489-5DD0C98D7F51}"/>
    <cellStyle name="Hyperlink 5 3" xfId="110" xr:uid="{FD62406B-3B1E-41DD-A78C-92690310696B}"/>
    <cellStyle name="Hyperlink 6" xfId="111" xr:uid="{F4D9CA75-519F-4650-869E-B7B0830967AE}"/>
    <cellStyle name="Hyperlink 6 2" xfId="112" xr:uid="{94F036F6-F2A6-4CC1-8CC1-7508D0979375}"/>
    <cellStyle name="Hyperlink 6 3" xfId="113" xr:uid="{4CCF6338-17BD-4429-8EE2-CB6B2895A612}"/>
    <cellStyle name="Hyperlink 7" xfId="114" xr:uid="{5604B53D-4A48-4489-A9B8-B4B5460C75D3}"/>
    <cellStyle name="Hyperlink 7 2" xfId="115" xr:uid="{54472D9C-EF92-4D2C-9D3F-08BE7F6F883D}"/>
    <cellStyle name="Hyperlink 7 3" xfId="116" xr:uid="{50F4564C-7E9F-4879-AD86-4E4B40BA0F42}"/>
    <cellStyle name="Hyperlink 8" xfId="117" xr:uid="{420DA7B2-5084-4C33-8A74-EEA2EB59C9C0}"/>
    <cellStyle name="Hyperlink 8 2" xfId="118" xr:uid="{E6410E0A-93D1-4F5B-A610-4920F24A2CFB}"/>
    <cellStyle name="Hyperlink 8 3" xfId="119" xr:uid="{4A73C94E-22DE-4E19-AD9B-3AC01B1CAAFF}"/>
    <cellStyle name="Hyperlink 9" xfId="120" xr:uid="{B14336EC-F3D6-4BE1-910A-7D25B787A510}"/>
    <cellStyle name="Hyperlink 9 2" xfId="121" xr:uid="{4C601D8D-DC42-44F7-9E06-DD7098729F45}"/>
    <cellStyle name="Hyperlink 9 3" xfId="122" xr:uid="{41039301-71CA-4344-8D06-4D52553DB9D4}"/>
    <cellStyle name="Input 2" xfId="123" xr:uid="{AF3B82CF-4F1A-4B29-B992-B30BA5F56FCE}"/>
    <cellStyle name="Linked" xfId="124" xr:uid="{87F974D5-F4B8-421F-A266-227F326ED285}"/>
    <cellStyle name="Normal" xfId="0" builtinId="0"/>
    <cellStyle name="Normal 2" xfId="2" xr:uid="{00000000-0005-0000-0000-000003000000}"/>
    <cellStyle name="Normal 2 2" xfId="7" xr:uid="{C689DFED-EF28-458F-9188-E2C93A0F0D5E}"/>
    <cellStyle name="Normal 2 2 2" xfId="125" xr:uid="{6A0B6BC1-899F-4992-99B5-00FE0DFDE7E5}"/>
    <cellStyle name="Normal 2 2 2 2" xfId="152" xr:uid="{A9C12315-1530-4EA8-BAD8-1435DF00B0AC}"/>
    <cellStyle name="Normal 2 2 2 2 2" xfId="174" xr:uid="{F6B0E1EA-FE73-440D-BCEE-A02A776AEB7D}"/>
    <cellStyle name="Normal 2 2 2 2 2 2" xfId="218" xr:uid="{157212FD-85C1-48AE-AD0D-0F5601AEA8EE}"/>
    <cellStyle name="Normal 2 2 2 2 2 2 2" xfId="306" xr:uid="{AD1D4B31-D48E-4C77-9318-D25AA5A89EDD}"/>
    <cellStyle name="Normal 2 2 2 2 2 2 2 2" xfId="482" xr:uid="{EBDE5464-9324-42CC-9864-DF0C623F3912}"/>
    <cellStyle name="Normal 2 2 2 2 2 2 3" xfId="394" xr:uid="{55FEC79D-04F5-44FB-ADF9-C27BA763F80C}"/>
    <cellStyle name="Normal 2 2 2 2 2 3" xfId="262" xr:uid="{5A85F008-814B-480E-9769-DCC012D069F2}"/>
    <cellStyle name="Normal 2 2 2 2 2 3 2" xfId="438" xr:uid="{A39905DA-66F2-4F48-BB8E-2040FAE77AC1}"/>
    <cellStyle name="Normal 2 2 2 2 2 4" xfId="350" xr:uid="{D0049492-19A5-4BB8-848E-9A6E9B094132}"/>
    <cellStyle name="Normal 2 2 2 2 3" xfId="196" xr:uid="{13B47313-6779-458C-B22A-DE78D8931D68}"/>
    <cellStyle name="Normal 2 2 2 2 3 2" xfId="284" xr:uid="{04D28FF5-105A-4989-982F-11A9064401EF}"/>
    <cellStyle name="Normal 2 2 2 2 3 2 2" xfId="460" xr:uid="{9F93DC28-ABEB-4455-81BA-39E83B88B41D}"/>
    <cellStyle name="Normal 2 2 2 2 3 3" xfId="372" xr:uid="{1586BBE8-FB7D-4740-AD85-60DCC1BA6E9D}"/>
    <cellStyle name="Normal 2 2 2 2 4" xfId="240" xr:uid="{0EE936FF-F424-46E5-B94D-60EDE1605042}"/>
    <cellStyle name="Normal 2 2 2 2 4 2" xfId="416" xr:uid="{FCAB0681-E9EB-477A-A252-1047BEFAA4FB}"/>
    <cellStyle name="Normal 2 2 2 2 5" xfId="328" xr:uid="{1A344ACC-C3DA-479D-83CA-155B78CFFA30}"/>
    <cellStyle name="Normal 2 2 2 3" xfId="163" xr:uid="{71D10284-940A-4AFE-897F-86CDF35C49C7}"/>
    <cellStyle name="Normal 2 2 2 3 2" xfId="207" xr:uid="{54D54947-E1FC-4148-92C5-2302DB49B76A}"/>
    <cellStyle name="Normal 2 2 2 3 2 2" xfId="295" xr:uid="{5C3ACCA7-FC27-4231-808F-03031A84EFF5}"/>
    <cellStyle name="Normal 2 2 2 3 2 2 2" xfId="471" xr:uid="{B5B89C9D-2959-424B-9F94-B255948FCD60}"/>
    <cellStyle name="Normal 2 2 2 3 2 3" xfId="383" xr:uid="{C4D48698-F71B-4076-9C59-3F611EFCBF6E}"/>
    <cellStyle name="Normal 2 2 2 3 3" xfId="251" xr:uid="{8B3EC585-E8D8-4237-9285-83E1860F15B9}"/>
    <cellStyle name="Normal 2 2 2 3 3 2" xfId="427" xr:uid="{D80A2A7D-625B-4D72-BA86-CC750A1E0A90}"/>
    <cellStyle name="Normal 2 2 2 3 4" xfId="339" xr:uid="{65FE3EF2-5C07-4DEA-BAA6-CA8439542484}"/>
    <cellStyle name="Normal 2 2 2 4" xfId="185" xr:uid="{D288AFB0-6CE1-448C-8AF1-7179221A21CA}"/>
    <cellStyle name="Normal 2 2 2 4 2" xfId="273" xr:uid="{43016107-D82D-4E22-9B9B-55942F03ECB1}"/>
    <cellStyle name="Normal 2 2 2 4 2 2" xfId="449" xr:uid="{8B376697-AC20-41B5-AFA5-F3EB37138CEF}"/>
    <cellStyle name="Normal 2 2 2 4 3" xfId="361" xr:uid="{FD23EE8C-D91E-4B8A-BC80-3415CAEEE58D}"/>
    <cellStyle name="Normal 2 2 2 5" xfId="229" xr:uid="{FC61B21A-6A1B-4DA6-9F66-2975320B3ABF}"/>
    <cellStyle name="Normal 2 2 2 5 2" xfId="405" xr:uid="{49121769-441B-4582-AA9E-626C5E147829}"/>
    <cellStyle name="Normal 2 2 2 6" xfId="317" xr:uid="{92305A06-C083-4DF2-99F6-43336FA688B9}"/>
    <cellStyle name="Normal 2 3" xfId="8" xr:uid="{42325539-4292-4903-B4EA-7D5F8A521296}"/>
    <cellStyle name="Normal 3" xfId="3" xr:uid="{00000000-0005-0000-0000-000004000000}"/>
    <cellStyle name="Normal 3 2" xfId="126" xr:uid="{DC22215E-9169-4DA7-BE10-F06E93A2E1CC}"/>
    <cellStyle name="Normal 4" xfId="127" xr:uid="{FA782B47-F65A-4C31-8C87-F41DD196E88E}"/>
    <cellStyle name="Normal 5" xfId="128" xr:uid="{5C042600-4FEB-40B6-8C0E-E00280475383}"/>
    <cellStyle name="Normal 6" xfId="129" xr:uid="{482B8CAC-CD83-47BA-9845-86309B7C12D7}"/>
    <cellStyle name="Normal 6 2" xfId="153" xr:uid="{F9F3AD27-3AAA-4FF8-8346-0A61788ACB68}"/>
    <cellStyle name="Normal 6 2 2" xfId="175" xr:uid="{F7568699-4E5B-4950-B7D7-A75F72EEE2A2}"/>
    <cellStyle name="Normal 6 2 2 2" xfId="219" xr:uid="{1DB5BB81-0FF7-45D8-A0AC-4D4EBED213C7}"/>
    <cellStyle name="Normal 6 2 2 2 2" xfId="307" xr:uid="{85558469-1BC4-4849-A2BB-63110005241D}"/>
    <cellStyle name="Normal 6 2 2 2 2 2" xfId="483" xr:uid="{5B7D8EBC-FCF7-41C7-8162-0ED6316D19AE}"/>
    <cellStyle name="Normal 6 2 2 2 3" xfId="395" xr:uid="{3479BBA1-EC0B-4D23-B1CF-CF2EEBCFD301}"/>
    <cellStyle name="Normal 6 2 2 3" xfId="263" xr:uid="{01AA2D5E-E652-4843-9A3A-B2F23A3F2785}"/>
    <cellStyle name="Normal 6 2 2 3 2" xfId="439" xr:uid="{BBB5E755-E592-473F-9724-943DDB114279}"/>
    <cellStyle name="Normal 6 2 2 4" xfId="351" xr:uid="{370E8E66-E68C-4AAB-8674-817F34042D32}"/>
    <cellStyle name="Normal 6 2 3" xfId="197" xr:uid="{6FDE14E5-F488-47F6-867E-996EB555D1AC}"/>
    <cellStyle name="Normal 6 2 3 2" xfId="285" xr:uid="{CB4478D0-A3C9-4F37-BAA6-F5AFDFA83DF1}"/>
    <cellStyle name="Normal 6 2 3 2 2" xfId="461" xr:uid="{2C6EA0DC-E155-40EE-ADD3-1E85534FFF92}"/>
    <cellStyle name="Normal 6 2 3 3" xfId="373" xr:uid="{143E676D-0648-4E39-9977-3AE05E2B7F68}"/>
    <cellStyle name="Normal 6 2 4" xfId="241" xr:uid="{9353EF85-005E-4B8F-BF30-7F9DDBDE6229}"/>
    <cellStyle name="Normal 6 2 4 2" xfId="417" xr:uid="{9C68A329-82EF-424E-8774-A743E94B0731}"/>
    <cellStyle name="Normal 6 2 5" xfId="329" xr:uid="{9800304C-24F4-47DB-901B-4AB00DB04398}"/>
    <cellStyle name="Normal 6 3" xfId="164" xr:uid="{1624A306-F9A6-4D2C-8133-FA08C4FBD9AD}"/>
    <cellStyle name="Normal 6 3 2" xfId="208" xr:uid="{511A2FCB-7BD3-46A6-8E01-3C49DA0D8568}"/>
    <cellStyle name="Normal 6 3 2 2" xfId="296" xr:uid="{4BF5BD1E-2A1D-42C8-9384-83D6936B9AE2}"/>
    <cellStyle name="Normal 6 3 2 2 2" xfId="472" xr:uid="{CFF42E13-E58F-4DE6-8B8F-B4B51371156F}"/>
    <cellStyle name="Normal 6 3 2 3" xfId="384" xr:uid="{9AF1483B-ADAA-4D13-BF46-872A42287045}"/>
    <cellStyle name="Normal 6 3 3" xfId="252" xr:uid="{62E60675-53FE-4D95-9072-E4A47DF93700}"/>
    <cellStyle name="Normal 6 3 3 2" xfId="428" xr:uid="{01320E8A-359F-4735-B3F5-079C4AC81DFA}"/>
    <cellStyle name="Normal 6 3 4" xfId="340" xr:uid="{CFFCF652-0B87-455E-BB10-7ACC3EDC5CEF}"/>
    <cellStyle name="Normal 6 4" xfId="186" xr:uid="{F0E1D708-22D8-481E-8433-641FACDCA4C4}"/>
    <cellStyle name="Normal 6 4 2" xfId="274" xr:uid="{93AD2838-E8DD-48FA-B2F7-C849E6E1A3F2}"/>
    <cellStyle name="Normal 6 4 2 2" xfId="450" xr:uid="{21083D7B-C634-4AE0-B01C-612ABAE665B5}"/>
    <cellStyle name="Normal 6 4 3" xfId="362" xr:uid="{46F15C2E-9345-4EAA-9B58-A6E52FB37A03}"/>
    <cellStyle name="Normal 6 5" xfId="230" xr:uid="{A1E6BA7B-EF03-4E88-BE23-E5B9040415B3}"/>
    <cellStyle name="Normal 6 5 2" xfId="406" xr:uid="{8DA164B9-BDB7-4D1E-9E32-5BBC38EF50CF}"/>
    <cellStyle name="Normal 6 6" xfId="318" xr:uid="{9C665B62-9336-4074-814A-518607E9E636}"/>
    <cellStyle name="Normal 7" xfId="130" xr:uid="{44C84AE5-96B4-4B2C-820B-E517B0B0878A}"/>
    <cellStyle name="Normal 8" xfId="131" xr:uid="{FAAF5B87-4E3F-460C-8E49-23DA1AB763FD}"/>
    <cellStyle name="Normal Small" xfId="132" xr:uid="{EF4828C6-7C27-44AA-AC2E-67F535545159}"/>
    <cellStyle name="Percent" xfId="6" builtinId="5"/>
    <cellStyle name="Percent 2" xfId="133" xr:uid="{5DA66C90-9BE4-4C83-9584-E9486381D871}"/>
    <cellStyle name="Percent 2 2" xfId="134" xr:uid="{8AB5A8D4-43AC-482B-89E6-053EF195E7E7}"/>
    <cellStyle name="Percent 2 3" xfId="135" xr:uid="{434B8BEE-D1AE-48A3-9520-716EC4F12BA4}"/>
    <cellStyle name="Percent 2 4" xfId="154" xr:uid="{73211F0C-F669-4732-A6AE-A0C3BDBF2007}"/>
    <cellStyle name="Percent 2 4 2" xfId="176" xr:uid="{712B7E03-DF85-44D6-BF78-9A3465FAF67D}"/>
    <cellStyle name="Percent 2 4 2 2" xfId="220" xr:uid="{806428B4-D41F-49ED-9D01-40B0EFFD755F}"/>
    <cellStyle name="Percent 2 4 2 2 2" xfId="308" xr:uid="{57FE831D-BFE4-4A95-83DA-BD01FAC42636}"/>
    <cellStyle name="Percent 2 4 2 2 2 2" xfId="484" xr:uid="{F886EBD1-8436-4DE6-BFE7-9A79E5C9E195}"/>
    <cellStyle name="Percent 2 4 2 2 3" xfId="396" xr:uid="{9BC58775-0607-482C-BFCC-0770246BD09F}"/>
    <cellStyle name="Percent 2 4 2 3" xfId="264" xr:uid="{918512D4-8958-4694-A7D5-7E6C97119D25}"/>
    <cellStyle name="Percent 2 4 2 3 2" xfId="440" xr:uid="{90EF2345-3244-4F76-8428-DB1141B84231}"/>
    <cellStyle name="Percent 2 4 2 4" xfId="352" xr:uid="{5EE69F86-82B1-4D4C-A681-19BBCB4D23B1}"/>
    <cellStyle name="Percent 2 4 3" xfId="198" xr:uid="{2079D9FF-509F-418A-B397-D9FD036FD446}"/>
    <cellStyle name="Percent 2 4 3 2" xfId="286" xr:uid="{835B0923-9F6E-4783-9336-980A8D5774A7}"/>
    <cellStyle name="Percent 2 4 3 2 2" xfId="462" xr:uid="{DB48FEA0-545B-453B-8603-932CF519291A}"/>
    <cellStyle name="Percent 2 4 3 3" xfId="374" xr:uid="{BF20F0C5-6E77-49E8-AD93-5943F1A65EEA}"/>
    <cellStyle name="Percent 2 4 4" xfId="242" xr:uid="{435E0FDF-AE7A-4676-AA2A-6EBE74ECF3B8}"/>
    <cellStyle name="Percent 2 4 4 2" xfId="418" xr:uid="{5148A63A-F9B0-4098-8560-DDC377F9745A}"/>
    <cellStyle name="Percent 2 4 5" xfId="330" xr:uid="{C939DBF5-A410-4DE1-95B8-00DAE85496FD}"/>
    <cellStyle name="Percent 2 5" xfId="165" xr:uid="{40D3E2DC-8468-48A1-AA25-55B0F527ADA9}"/>
    <cellStyle name="Percent 2 5 2" xfId="209" xr:uid="{C3D9BFA2-6332-47E5-9E4E-7C2F7D240B0A}"/>
    <cellStyle name="Percent 2 5 2 2" xfId="297" xr:uid="{1EDF7F0B-4BB2-4620-AC97-C727CBDFE4A6}"/>
    <cellStyle name="Percent 2 5 2 2 2" xfId="473" xr:uid="{79FC10C4-3115-422A-B628-3E85EF2233F4}"/>
    <cellStyle name="Percent 2 5 2 3" xfId="385" xr:uid="{DF773F57-C7C2-4F51-85EA-D864807297D5}"/>
    <cellStyle name="Percent 2 5 3" xfId="253" xr:uid="{C272C376-370D-48ED-A4C6-5EC9A07531DB}"/>
    <cellStyle name="Percent 2 5 3 2" xfId="429" xr:uid="{9CEF56B4-805C-4162-A2F8-860866B12570}"/>
    <cellStyle name="Percent 2 5 4" xfId="341" xr:uid="{5EE2B36F-694A-4D9E-B3B6-C167AEF52E3B}"/>
    <cellStyle name="Percent 2 6" xfId="187" xr:uid="{594DF702-A5BF-4A00-A033-A41462629E9F}"/>
    <cellStyle name="Percent 2 6 2" xfId="275" xr:uid="{EDA450E9-7D9E-4CB1-BA81-9F8B52519CA9}"/>
    <cellStyle name="Percent 2 6 2 2" xfId="451" xr:uid="{3404E287-A037-418D-B2DE-C40CB3C53067}"/>
    <cellStyle name="Percent 2 6 3" xfId="363" xr:uid="{AFCF1651-1E42-49CD-B0DD-563B3DD847F0}"/>
    <cellStyle name="Percent 2 7" xfId="231" xr:uid="{36960C9C-5C47-4492-BE25-E9532E5F3CB7}"/>
    <cellStyle name="Percent 2 7 2" xfId="407" xr:uid="{8BA91E01-7D2B-478B-976D-03669ED9D0D8}"/>
    <cellStyle name="Percent 2 8" xfId="319" xr:uid="{6146D99C-7B35-47CE-9A26-758E6D53A2B6}"/>
    <cellStyle name="Percent 3" xfId="136" xr:uid="{D4169493-8E3A-4B0A-BDD5-534516254EF1}"/>
    <cellStyle name="Percent 3 2" xfId="137" xr:uid="{42DD7877-C0B0-4230-88CC-62E502FD9AFF}"/>
    <cellStyle name="Results" xfId="138" xr:uid="{7A507346-D6CB-43EE-AE92-CD1296764D98}"/>
    <cellStyle name="Title 2" xfId="139" xr:uid="{7CAFCF92-BE7A-4E5C-A930-E064D9F65808}"/>
    <cellStyle name="Title 3" xfId="140" xr:uid="{47DD0AAE-111A-4171-822F-1D0CFF7F85F2}"/>
    <cellStyle name="Unit" xfId="141" xr:uid="{BF31D818-ABE8-4B8A-AF44-599D7A7045DA}"/>
    <cellStyle name="UserInput" xfId="142" xr:uid="{2E714ACB-0D8F-4033-8780-F09D9DA991C7}"/>
    <cellStyle name="Variable" xfId="143" xr:uid="{A5A1233E-C415-4F7D-9EB2-5A8ED10B37EA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69469BE5-FCEA-4DA4-B49B-C06339A000D6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2172/2371533" TargetMode="External"/><Relationship Id="rId3" Type="http://schemas.openxmlformats.org/officeDocument/2006/relationships/hyperlink" Target="https://doi.org/10.2172/2371533" TargetMode="External"/><Relationship Id="rId7" Type="http://schemas.openxmlformats.org/officeDocument/2006/relationships/hyperlink" Target="https://doi.org/10.2172/2371533" TargetMode="External"/><Relationship Id="rId12" Type="http://schemas.openxmlformats.org/officeDocument/2006/relationships/hyperlink" Target="https://doi.org/10.2172/2371533" TargetMode="External"/><Relationship Id="rId2" Type="http://schemas.openxmlformats.org/officeDocument/2006/relationships/hyperlink" Target="https://doi.org/10.2172/2371533" TargetMode="External"/><Relationship Id="rId1" Type="http://schemas.openxmlformats.org/officeDocument/2006/relationships/hyperlink" Target="https://doi.org/10.2172/2371533" TargetMode="External"/><Relationship Id="rId6" Type="http://schemas.openxmlformats.org/officeDocument/2006/relationships/hyperlink" Target="https://doi.org/10.2172/2371533" TargetMode="External"/><Relationship Id="rId11" Type="http://schemas.openxmlformats.org/officeDocument/2006/relationships/hyperlink" Target="https://doi.org/10.2172/2371533" TargetMode="External"/><Relationship Id="rId5" Type="http://schemas.openxmlformats.org/officeDocument/2006/relationships/hyperlink" Target="https://doi.org/10.2172/2371533" TargetMode="External"/><Relationship Id="rId10" Type="http://schemas.openxmlformats.org/officeDocument/2006/relationships/hyperlink" Target="https://doi.org/10.2172/2371533" TargetMode="External"/><Relationship Id="rId4" Type="http://schemas.openxmlformats.org/officeDocument/2006/relationships/hyperlink" Target="https://doi.org/10.2172/2371533" TargetMode="External"/><Relationship Id="rId9" Type="http://schemas.openxmlformats.org/officeDocument/2006/relationships/hyperlink" Target="https://doi.org/10.2172/237153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workbookViewId="0">
      <selection activeCell="B21" sqref="B21"/>
    </sheetView>
  </sheetViews>
  <sheetFormatPr defaultRowHeight="15"/>
  <cols>
    <col min="2" max="2" width="107" customWidth="1"/>
  </cols>
  <sheetData>
    <row r="1" spans="1:2">
      <c r="A1" s="1" t="s">
        <v>21</v>
      </c>
    </row>
    <row r="3" spans="1:2">
      <c r="A3" s="1" t="s">
        <v>0</v>
      </c>
      <c r="B3" s="7" t="s">
        <v>32</v>
      </c>
    </row>
    <row r="4" spans="1:2">
      <c r="B4" s="2">
        <v>2024</v>
      </c>
    </row>
    <row r="5" spans="1:2">
      <c r="B5" s="2" t="s">
        <v>33</v>
      </c>
    </row>
    <row r="6" spans="1:2">
      <c r="B6" t="s">
        <v>34</v>
      </c>
    </row>
    <row r="7" spans="1:2">
      <c r="B7" s="3"/>
    </row>
    <row r="10" spans="1:2">
      <c r="A10" s="1" t="s">
        <v>9</v>
      </c>
    </row>
    <row r="11" spans="1:2">
      <c r="A11" t="s">
        <v>22</v>
      </c>
    </row>
    <row r="12" spans="1:2">
      <c r="A12" t="s">
        <v>23</v>
      </c>
    </row>
    <row r="14" spans="1:2">
      <c r="A14" t="s">
        <v>31</v>
      </c>
    </row>
    <row r="19" spans="1:1">
      <c r="A19" s="1"/>
    </row>
    <row r="20" spans="1:1">
      <c r="A20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3F88B-A6B5-4BE6-B09D-B3D92A2BA5FE}">
  <dimension ref="A1:DJ285"/>
  <sheetViews>
    <sheetView topLeftCell="A123" workbookViewId="0">
      <selection activeCell="D28" sqref="D28"/>
    </sheetView>
  </sheetViews>
  <sheetFormatPr defaultRowHeight="15"/>
  <sheetData>
    <row r="1" spans="1:114" ht="18">
      <c r="A1" s="168" t="s">
        <v>35</v>
      </c>
      <c r="B1" s="168"/>
      <c r="C1" s="168"/>
      <c r="D1" s="168"/>
      <c r="E1" s="168"/>
      <c r="F1" s="168"/>
      <c r="G1" s="38"/>
      <c r="H1" s="38"/>
      <c r="I1" s="38"/>
      <c r="J1" s="36"/>
      <c r="K1" s="36"/>
      <c r="L1" s="36"/>
      <c r="M1" s="112" t="s">
        <v>36</v>
      </c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</row>
    <row r="2" spans="1:114">
      <c r="A2" s="36"/>
      <c r="B2" s="36"/>
      <c r="C2" s="36"/>
      <c r="D2" s="36"/>
      <c r="E2" s="36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50" t="s">
        <v>37</v>
      </c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4"/>
      <c r="BT2" s="174"/>
      <c r="BU2" s="174"/>
      <c r="BV2" s="174"/>
      <c r="BW2" s="174"/>
      <c r="BX2" s="174"/>
      <c r="BY2" s="174"/>
      <c r="BZ2" s="174"/>
      <c r="CA2" s="174"/>
      <c r="CB2" s="174"/>
      <c r="CC2" s="174"/>
      <c r="CD2" s="174"/>
      <c r="CE2" s="174"/>
      <c r="CF2" s="174"/>
      <c r="CG2" s="174"/>
      <c r="CH2" s="174"/>
      <c r="CI2" s="174"/>
      <c r="CJ2" s="174"/>
      <c r="CK2" s="174"/>
      <c r="CL2" s="174"/>
      <c r="CM2" s="174"/>
      <c r="CN2" s="174"/>
      <c r="CO2" s="174"/>
      <c r="CP2" s="174"/>
      <c r="CQ2" s="174"/>
      <c r="CR2" s="174"/>
      <c r="CS2" s="174"/>
      <c r="CT2" s="174"/>
      <c r="CU2" s="174"/>
      <c r="CV2" s="174"/>
      <c r="CW2" s="174"/>
      <c r="CX2" s="174"/>
      <c r="CY2" s="174"/>
      <c r="CZ2" s="174"/>
      <c r="DA2" s="174"/>
      <c r="DB2" s="174"/>
      <c r="DC2" s="174"/>
      <c r="DD2" s="174"/>
      <c r="DE2" s="174"/>
      <c r="DF2" s="174"/>
      <c r="DG2" s="174"/>
      <c r="DH2" s="174"/>
      <c r="DI2" s="174"/>
      <c r="DJ2" s="174"/>
    </row>
    <row r="3" spans="1:114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51" t="s">
        <v>38</v>
      </c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</row>
    <row r="4" spans="1:114">
      <c r="A4" s="36"/>
      <c r="B4" s="36"/>
      <c r="C4" s="36"/>
      <c r="D4" s="36"/>
      <c r="E4" s="36"/>
      <c r="F4" s="36"/>
      <c r="G4" s="36"/>
      <c r="H4" s="36"/>
      <c r="I4" s="36"/>
      <c r="J4" s="37"/>
      <c r="K4" s="36"/>
      <c r="L4" s="36"/>
      <c r="M4" s="36"/>
      <c r="N4" s="36"/>
      <c r="O4" s="36"/>
      <c r="P4" s="36"/>
      <c r="Q4" s="36"/>
      <c r="R4" s="36"/>
      <c r="S4" s="36"/>
      <c r="T4" s="36"/>
      <c r="U4" s="34" t="s">
        <v>39</v>
      </c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</row>
    <row r="5" spans="1:114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4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</row>
    <row r="7" spans="1:114">
      <c r="A7" s="36"/>
      <c r="B7" s="97" t="s">
        <v>40</v>
      </c>
      <c r="C7" s="36"/>
      <c r="D7" s="36"/>
      <c r="E7" s="36"/>
      <c r="F7" s="36"/>
      <c r="G7" s="32" t="s">
        <v>41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161"/>
      <c r="W7" s="161"/>
      <c r="X7" s="161"/>
      <c r="Y7" s="161"/>
      <c r="Z7" s="161"/>
      <c r="AA7" s="161"/>
      <c r="AB7" s="161"/>
      <c r="AC7" s="161"/>
      <c r="AD7" s="161"/>
      <c r="AE7" s="104"/>
      <c r="AF7" s="43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</row>
    <row r="8" spans="1:114" ht="15.75" thickBot="1">
      <c r="A8" s="36"/>
      <c r="B8" s="36"/>
      <c r="C8" s="36"/>
      <c r="D8" s="36"/>
      <c r="E8" s="36"/>
      <c r="F8" s="36"/>
      <c r="G8" s="43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109"/>
      <c r="AF8" s="43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</row>
    <row r="9" spans="1:114" ht="15.75" thickBot="1">
      <c r="A9" s="36"/>
      <c r="B9" s="36"/>
      <c r="C9" s="36"/>
      <c r="D9" s="36"/>
      <c r="E9" s="36"/>
      <c r="F9" s="36"/>
      <c r="G9" s="43"/>
      <c r="H9" s="19" t="s">
        <v>42</v>
      </c>
      <c r="I9" s="36"/>
      <c r="J9" s="33" t="s">
        <v>43</v>
      </c>
      <c r="K9" s="33"/>
      <c r="L9" s="33"/>
      <c r="M9" s="31">
        <v>2022</v>
      </c>
      <c r="N9" s="31"/>
      <c r="O9" s="31"/>
      <c r="P9" s="31"/>
      <c r="Q9" s="36"/>
      <c r="R9" s="36"/>
      <c r="S9" s="36"/>
      <c r="T9" s="36"/>
      <c r="U9" s="36"/>
      <c r="V9" s="36"/>
      <c r="W9" s="36" t="s">
        <v>44</v>
      </c>
      <c r="X9" s="36"/>
      <c r="Y9" s="36" t="s">
        <v>45</v>
      </c>
      <c r="Z9" s="36"/>
      <c r="AA9" s="36"/>
      <c r="AB9" s="36"/>
      <c r="AC9" s="36" t="s">
        <v>46</v>
      </c>
      <c r="AD9" s="36"/>
      <c r="AE9" s="36"/>
      <c r="AF9" s="36"/>
      <c r="AG9" s="36" t="s">
        <v>47</v>
      </c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</row>
    <row r="10" spans="1:114" ht="15.75" thickBot="1">
      <c r="A10" s="36"/>
      <c r="B10" s="36"/>
      <c r="C10" s="36"/>
      <c r="D10" s="36"/>
      <c r="E10" s="36"/>
      <c r="F10" s="36"/>
      <c r="G10" s="43"/>
      <c r="H10" s="19"/>
      <c r="I10" s="36"/>
      <c r="J10" s="125" t="s">
        <v>48</v>
      </c>
      <c r="K10" s="36"/>
      <c r="L10" s="36"/>
      <c r="M10" s="36"/>
      <c r="N10" s="36"/>
      <c r="O10" s="36"/>
      <c r="P10" s="96"/>
      <c r="Q10" s="133"/>
      <c r="R10" s="36"/>
      <c r="S10" s="36"/>
      <c r="T10" s="36"/>
      <c r="U10" s="36"/>
      <c r="V10" s="36"/>
      <c r="W10" s="54" t="s">
        <v>49</v>
      </c>
      <c r="X10" s="172" t="s">
        <v>50</v>
      </c>
      <c r="Y10" s="20" t="s">
        <v>51</v>
      </c>
      <c r="Z10" s="20" t="s">
        <v>52</v>
      </c>
      <c r="AA10" s="54" t="s">
        <v>49</v>
      </c>
      <c r="AB10" s="172" t="s">
        <v>50</v>
      </c>
      <c r="AC10" s="20" t="s">
        <v>51</v>
      </c>
      <c r="AD10" s="20" t="s">
        <v>52</v>
      </c>
      <c r="AE10" s="54" t="s">
        <v>49</v>
      </c>
      <c r="AF10" s="172" t="s">
        <v>50</v>
      </c>
      <c r="AG10" s="20" t="s">
        <v>51</v>
      </c>
      <c r="AH10" s="20" t="s">
        <v>52</v>
      </c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</row>
    <row r="11" spans="1:114" ht="15.75" thickBot="1">
      <c r="A11" s="36"/>
      <c r="B11" s="36"/>
      <c r="C11" s="36"/>
      <c r="D11" s="36"/>
      <c r="E11" s="36"/>
      <c r="F11" s="36"/>
      <c r="G11" s="43"/>
      <c r="H11" s="19"/>
      <c r="I11" s="36"/>
      <c r="J11" s="30" t="s">
        <v>53</v>
      </c>
      <c r="K11" s="30"/>
      <c r="L11" s="30"/>
      <c r="M11" s="30"/>
      <c r="N11" s="30"/>
      <c r="O11" s="30"/>
      <c r="P11" s="30"/>
      <c r="Q11" s="36"/>
      <c r="R11" s="36"/>
      <c r="S11" s="36"/>
      <c r="T11" s="36"/>
      <c r="U11" s="36"/>
      <c r="V11" s="36"/>
      <c r="W11" s="154" t="s">
        <v>54</v>
      </c>
      <c r="X11" s="151" t="s">
        <v>55</v>
      </c>
      <c r="Y11" s="20"/>
      <c r="Z11" s="20"/>
      <c r="AA11" s="154" t="s">
        <v>54</v>
      </c>
      <c r="AB11" s="151" t="s">
        <v>55</v>
      </c>
      <c r="AC11" s="20"/>
      <c r="AD11" s="20"/>
      <c r="AE11" s="154" t="s">
        <v>54</v>
      </c>
      <c r="AF11" s="151" t="s">
        <v>55</v>
      </c>
      <c r="AG11" s="20"/>
      <c r="AH11" s="20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</row>
    <row r="12" spans="1:114">
      <c r="A12" s="36"/>
      <c r="B12" s="36"/>
      <c r="C12" s="36"/>
      <c r="D12" s="36"/>
      <c r="E12" s="36"/>
      <c r="F12" s="36"/>
      <c r="G12" s="43"/>
      <c r="H12" s="19"/>
      <c r="I12" s="36"/>
      <c r="J12" s="89" t="s">
        <v>56</v>
      </c>
      <c r="K12" s="11" t="s">
        <v>57</v>
      </c>
      <c r="L12" s="11"/>
      <c r="M12" s="11"/>
      <c r="N12" s="11"/>
      <c r="O12" s="11"/>
      <c r="P12" s="11"/>
      <c r="Q12" s="36"/>
      <c r="R12" s="36"/>
      <c r="S12" s="36"/>
      <c r="T12" s="36"/>
      <c r="U12" s="36"/>
      <c r="V12" s="36"/>
      <c r="W12" s="86">
        <v>0</v>
      </c>
      <c r="X12" s="55">
        <v>2.1847622018482282E-2</v>
      </c>
      <c r="Y12" s="55">
        <v>0.8</v>
      </c>
      <c r="Z12" s="134">
        <v>0.19999999999999996</v>
      </c>
      <c r="AA12" s="86">
        <v>0</v>
      </c>
      <c r="AB12" s="55">
        <v>5.0602976850416481E-2</v>
      </c>
      <c r="AC12" s="55">
        <v>0.8</v>
      </c>
      <c r="AD12" s="134">
        <v>0.19999999999999996</v>
      </c>
      <c r="AE12" s="86">
        <v>0</v>
      </c>
      <c r="AF12" s="55">
        <v>9.5491502812526274E-2</v>
      </c>
      <c r="AG12" s="55">
        <v>0.8</v>
      </c>
      <c r="AH12" s="134">
        <v>0.19999999999999996</v>
      </c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</row>
    <row r="13" spans="1:114" ht="15.75" thickBot="1">
      <c r="A13" s="36"/>
      <c r="B13" s="36"/>
      <c r="C13" s="36"/>
      <c r="D13" s="36"/>
      <c r="E13" s="36"/>
      <c r="F13" s="36"/>
      <c r="G13" s="43"/>
      <c r="H13" s="19"/>
      <c r="I13" s="36"/>
      <c r="J13" s="90" t="s">
        <v>58</v>
      </c>
      <c r="K13" s="10" t="s">
        <v>59</v>
      </c>
      <c r="L13" s="10"/>
      <c r="M13" s="10"/>
      <c r="N13" s="10"/>
      <c r="O13" s="10"/>
      <c r="P13" s="10"/>
      <c r="Q13" s="36"/>
      <c r="R13" s="36"/>
      <c r="S13" s="36"/>
      <c r="T13" s="36"/>
      <c r="U13" s="36"/>
      <c r="V13" s="36"/>
      <c r="W13" s="92">
        <v>1</v>
      </c>
      <c r="X13" s="56">
        <v>6.363359170399685E-2</v>
      </c>
      <c r="Y13" s="47">
        <v>0.8</v>
      </c>
      <c r="Z13" s="135">
        <v>0.19999999999999996</v>
      </c>
      <c r="AA13" s="92">
        <v>1</v>
      </c>
      <c r="AB13" s="47">
        <v>0.14156628548675437</v>
      </c>
      <c r="AC13" s="47">
        <v>0.8</v>
      </c>
      <c r="AD13" s="135">
        <v>0.19999999999999996</v>
      </c>
      <c r="AE13" s="92">
        <v>1</v>
      </c>
      <c r="AF13" s="47">
        <v>0.25</v>
      </c>
      <c r="AG13" s="47">
        <v>0.8</v>
      </c>
      <c r="AH13" s="135">
        <v>0.19999999999999996</v>
      </c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</row>
    <row r="14" spans="1:114" ht="15.75" thickBot="1">
      <c r="A14" s="36"/>
      <c r="B14" s="36"/>
      <c r="C14" s="36"/>
      <c r="D14" s="36"/>
      <c r="E14" s="36"/>
      <c r="F14" s="36"/>
      <c r="G14" s="43"/>
      <c r="H14" s="19"/>
      <c r="I14" s="36"/>
      <c r="J14" s="91"/>
      <c r="K14" s="9"/>
      <c r="L14" s="9"/>
      <c r="M14" s="9"/>
      <c r="N14" s="9"/>
      <c r="O14" s="9"/>
      <c r="P14" s="9"/>
      <c r="Q14" s="36"/>
      <c r="R14" s="36"/>
      <c r="S14" s="36"/>
      <c r="T14" s="36"/>
      <c r="U14" s="36"/>
      <c r="V14" s="36"/>
      <c r="W14" s="92">
        <v>2</v>
      </c>
      <c r="X14" s="56">
        <v>9.9858590752602172E-2</v>
      </c>
      <c r="Y14" s="47">
        <v>0.8</v>
      </c>
      <c r="Z14" s="135">
        <v>0.19999999999999996</v>
      </c>
      <c r="AA14" s="92">
        <v>2</v>
      </c>
      <c r="AB14" s="47">
        <v>0.21242623997455673</v>
      </c>
      <c r="AC14" s="47">
        <v>0.8</v>
      </c>
      <c r="AD14" s="135">
        <v>0.19999999999999996</v>
      </c>
      <c r="AE14" s="92">
        <v>2</v>
      </c>
      <c r="AF14" s="47">
        <v>0.30901699437494745</v>
      </c>
      <c r="AG14" s="47">
        <v>0.8</v>
      </c>
      <c r="AH14" s="135">
        <v>0.19999999999999996</v>
      </c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</row>
    <row r="15" spans="1:114" ht="15.75" thickBot="1">
      <c r="A15" s="36"/>
      <c r="B15" s="36"/>
      <c r="C15" s="36"/>
      <c r="D15" s="36"/>
      <c r="E15" s="36"/>
      <c r="F15" s="36"/>
      <c r="G15" s="43"/>
      <c r="H15" s="19"/>
      <c r="I15" s="36"/>
      <c r="J15" s="169"/>
      <c r="K15" s="151"/>
      <c r="L15" s="151"/>
      <c r="M15" s="151"/>
      <c r="N15" s="151"/>
      <c r="O15" s="151"/>
      <c r="P15" s="151"/>
      <c r="Q15" s="36"/>
      <c r="R15" s="36"/>
      <c r="S15" s="36"/>
      <c r="T15" s="36"/>
      <c r="U15" s="36"/>
      <c r="V15" s="36"/>
      <c r="W15" s="92">
        <v>3</v>
      </c>
      <c r="X15" s="56">
        <v>0.13547622075226856</v>
      </c>
      <c r="Y15" s="47">
        <v>0.8</v>
      </c>
      <c r="Z15" s="135">
        <v>0.19999999999999996</v>
      </c>
      <c r="AA15" s="92">
        <v>3</v>
      </c>
      <c r="AB15" s="47">
        <v>0.22481402023953279</v>
      </c>
      <c r="AC15" s="47">
        <v>0.8</v>
      </c>
      <c r="AD15" s="135">
        <v>0.19999999999999996</v>
      </c>
      <c r="AE15" s="92">
        <v>3</v>
      </c>
      <c r="AF15" s="47">
        <v>0.25</v>
      </c>
      <c r="AG15" s="47">
        <v>0.8</v>
      </c>
      <c r="AH15" s="135">
        <v>0.19999999999999996</v>
      </c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</row>
    <row r="16" spans="1:114" ht="15.75" thickBot="1">
      <c r="A16" s="36"/>
      <c r="B16" s="36"/>
      <c r="C16" s="36"/>
      <c r="D16" s="36"/>
      <c r="E16" s="36"/>
      <c r="F16" s="36"/>
      <c r="G16" s="43"/>
      <c r="H16" s="19"/>
      <c r="I16" s="36"/>
      <c r="J16" s="35" t="s">
        <v>60</v>
      </c>
      <c r="K16" s="129" t="s">
        <v>61</v>
      </c>
      <c r="L16" s="129" t="s">
        <v>62</v>
      </c>
      <c r="M16" s="129" t="s">
        <v>63</v>
      </c>
      <c r="N16" s="129" t="s">
        <v>64</v>
      </c>
      <c r="O16" s="129" t="s">
        <v>65</v>
      </c>
      <c r="P16" s="151"/>
      <c r="Q16" s="36"/>
      <c r="R16" s="36"/>
      <c r="S16" s="36"/>
      <c r="T16" s="36"/>
      <c r="U16" s="36"/>
      <c r="V16" s="36"/>
      <c r="W16" s="92">
        <v>4</v>
      </c>
      <c r="X16" s="56">
        <v>0.14430573790058748</v>
      </c>
      <c r="Y16" s="47">
        <v>0.8</v>
      </c>
      <c r="Z16" s="135">
        <v>0.19999999999999996</v>
      </c>
      <c r="AA16" s="92">
        <v>4</v>
      </c>
      <c r="AB16" s="47">
        <v>0.19861999194399327</v>
      </c>
      <c r="AC16" s="47">
        <v>0.8</v>
      </c>
      <c r="AD16" s="135">
        <v>0.19999999999999996</v>
      </c>
      <c r="AE16" s="92">
        <v>4</v>
      </c>
      <c r="AF16" s="47">
        <v>9.5491502812526274E-2</v>
      </c>
      <c r="AG16" s="47">
        <v>0.8</v>
      </c>
      <c r="AH16" s="135">
        <v>0.19999999999999996</v>
      </c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</row>
    <row r="17" spans="7:34" ht="26.25" thickBot="1">
      <c r="G17" s="43"/>
      <c r="H17" s="19"/>
      <c r="I17" s="36"/>
      <c r="J17" s="35"/>
      <c r="K17" s="147" t="s">
        <v>56</v>
      </c>
      <c r="L17" s="148" t="s">
        <v>35</v>
      </c>
      <c r="M17" s="148" t="s">
        <v>66</v>
      </c>
      <c r="N17" s="148" t="s">
        <v>67</v>
      </c>
      <c r="O17" s="145" t="s">
        <v>68</v>
      </c>
      <c r="P17" s="151"/>
      <c r="Q17" s="36"/>
      <c r="R17" s="36"/>
      <c r="S17" s="36"/>
      <c r="T17" s="36"/>
      <c r="U17" s="36"/>
      <c r="V17" s="36"/>
      <c r="W17" s="93">
        <v>5</v>
      </c>
      <c r="X17" s="56">
        <v>0.14735376404399519</v>
      </c>
      <c r="Y17" s="56">
        <v>0.8</v>
      </c>
      <c r="Z17" s="136">
        <v>0.19999999999999996</v>
      </c>
      <c r="AA17" s="93">
        <v>5</v>
      </c>
      <c r="AB17" s="56">
        <v>0.13556241278814007</v>
      </c>
      <c r="AC17" s="56">
        <v>0.8</v>
      </c>
      <c r="AD17" s="136">
        <v>0.19999999999999996</v>
      </c>
      <c r="AE17" s="93"/>
      <c r="AF17" s="56"/>
      <c r="AG17" s="56"/>
      <c r="AH17" s="136"/>
    </row>
    <row r="18" spans="7:34" ht="26.25" thickBot="1">
      <c r="G18" s="43"/>
      <c r="H18" s="19"/>
      <c r="I18" s="36"/>
      <c r="J18" s="35"/>
      <c r="K18" s="149" t="s">
        <v>58</v>
      </c>
      <c r="L18" s="144" t="s">
        <v>35</v>
      </c>
      <c r="M18" s="144" t="s">
        <v>69</v>
      </c>
      <c r="N18" s="144" t="s">
        <v>67</v>
      </c>
      <c r="O18" s="146" t="s">
        <v>70</v>
      </c>
      <c r="P18" s="151"/>
      <c r="Q18" s="36"/>
      <c r="R18" s="36"/>
      <c r="S18" s="36"/>
      <c r="T18" s="36"/>
      <c r="U18" s="36"/>
      <c r="V18" s="36"/>
      <c r="W18" s="94">
        <v>6</v>
      </c>
      <c r="X18" s="56">
        <v>0.13752447282806746</v>
      </c>
      <c r="Y18" s="56">
        <v>0.8</v>
      </c>
      <c r="Z18" s="136">
        <v>0.19999999999999996</v>
      </c>
      <c r="AA18" s="94">
        <v>6</v>
      </c>
      <c r="AB18" s="155">
        <v>3.6408072716606288E-2</v>
      </c>
      <c r="AC18" s="56">
        <v>0.8</v>
      </c>
      <c r="AD18" s="136">
        <v>0.19999999999999996</v>
      </c>
      <c r="AE18" s="94"/>
      <c r="AF18" s="155"/>
      <c r="AG18" s="155"/>
      <c r="AH18" s="156"/>
    </row>
    <row r="19" spans="7:34" ht="15.75" thickBot="1">
      <c r="G19" s="43"/>
      <c r="H19" s="171"/>
      <c r="I19" s="36"/>
      <c r="J19" s="36"/>
      <c r="K19" s="36"/>
      <c r="L19" s="36"/>
      <c r="M19" s="36"/>
      <c r="N19" s="36"/>
      <c r="O19" s="36"/>
      <c r="P19" s="151"/>
      <c r="Q19" s="151"/>
      <c r="R19" s="151"/>
      <c r="S19" s="151"/>
      <c r="T19" s="151"/>
      <c r="U19" s="151"/>
      <c r="V19" s="36"/>
      <c r="W19" s="94">
        <v>7</v>
      </c>
      <c r="X19" s="56">
        <v>0.12157241273869712</v>
      </c>
      <c r="Y19" s="56">
        <v>0.8</v>
      </c>
      <c r="Z19" s="136">
        <v>0.19999999999999996</v>
      </c>
      <c r="AA19" s="94"/>
      <c r="AB19" s="155"/>
      <c r="AC19" s="155"/>
      <c r="AD19" s="156"/>
      <c r="AE19" s="94"/>
      <c r="AF19" s="155"/>
      <c r="AG19" s="155"/>
      <c r="AH19" s="156"/>
    </row>
    <row r="20" spans="7:34" ht="15.75" thickBot="1">
      <c r="G20" s="43"/>
      <c r="H20" s="28" t="s">
        <v>71</v>
      </c>
      <c r="I20" s="36"/>
      <c r="J20" s="12" t="s">
        <v>72</v>
      </c>
      <c r="K20" s="12"/>
      <c r="L20" s="12"/>
      <c r="M20" s="12"/>
      <c r="N20" s="12"/>
      <c r="O20" s="12"/>
      <c r="P20" s="36"/>
      <c r="Q20" s="36"/>
      <c r="R20" s="36"/>
      <c r="S20" s="36"/>
      <c r="T20" s="36"/>
      <c r="U20" s="36"/>
      <c r="V20" s="36"/>
      <c r="W20" s="94">
        <v>8</v>
      </c>
      <c r="X20" s="56">
        <v>8.1581480779627902E-2</v>
      </c>
      <c r="Y20" s="56">
        <v>0.8</v>
      </c>
      <c r="Z20" s="136">
        <v>0.19999999999999996</v>
      </c>
      <c r="AA20" s="94"/>
      <c r="AB20" s="155"/>
      <c r="AC20" s="155"/>
      <c r="AD20" s="156"/>
      <c r="AE20" s="94"/>
      <c r="AF20" s="155"/>
      <c r="AG20" s="155"/>
      <c r="AH20" s="156"/>
    </row>
    <row r="21" spans="7:34" ht="15.75" thickBot="1">
      <c r="G21" s="43"/>
      <c r="H21" s="28"/>
      <c r="I21" s="36"/>
      <c r="J21" s="17" t="s">
        <v>73</v>
      </c>
      <c r="K21" s="17"/>
      <c r="L21" s="17"/>
      <c r="M21" s="17"/>
      <c r="N21" s="17"/>
      <c r="O21" s="113">
        <v>60</v>
      </c>
      <c r="P21" s="36"/>
      <c r="Q21" s="81" t="s">
        <v>74</v>
      </c>
      <c r="R21" s="36"/>
      <c r="S21" s="128" t="s">
        <v>75</v>
      </c>
      <c r="T21" s="36"/>
      <c r="U21" s="36"/>
      <c r="V21" s="36"/>
      <c r="W21" s="94">
        <v>9</v>
      </c>
      <c r="X21" s="56">
        <v>4.6846106481674976E-2</v>
      </c>
      <c r="Y21" s="56">
        <v>0.8</v>
      </c>
      <c r="Z21" s="136">
        <v>0.19999999999999996</v>
      </c>
      <c r="AA21" s="94"/>
      <c r="AB21" s="155"/>
      <c r="AC21" s="155"/>
      <c r="AD21" s="156"/>
      <c r="AE21" s="94"/>
      <c r="AF21" s="155"/>
      <c r="AG21" s="155"/>
      <c r="AH21" s="156"/>
    </row>
    <row r="22" spans="7:34" ht="15.75" thickBot="1">
      <c r="G22" s="43"/>
      <c r="H22" s="28"/>
      <c r="I22" s="36"/>
      <c r="J22" s="17" t="s">
        <v>76</v>
      </c>
      <c r="K22" s="17"/>
      <c r="L22" s="17"/>
      <c r="M22" s="17"/>
      <c r="N22" s="17"/>
      <c r="O22" s="53">
        <v>15</v>
      </c>
      <c r="P22" s="36"/>
      <c r="Q22" s="81" t="s">
        <v>77</v>
      </c>
      <c r="R22" s="36"/>
      <c r="S22" s="127">
        <v>60</v>
      </c>
      <c r="T22" s="36"/>
      <c r="U22" s="36"/>
      <c r="V22" s="36"/>
      <c r="W22" s="94"/>
      <c r="X22" s="56"/>
      <c r="Y22" s="56"/>
      <c r="Z22" s="136"/>
      <c r="AA22" s="94"/>
      <c r="AB22" s="155"/>
      <c r="AC22" s="155"/>
      <c r="AD22" s="156"/>
      <c r="AE22" s="94"/>
      <c r="AF22" s="155"/>
      <c r="AG22" s="155"/>
      <c r="AH22" s="156"/>
    </row>
    <row r="23" spans="7:34" ht="15.75" thickBot="1">
      <c r="G23" s="43"/>
      <c r="H23" s="28"/>
      <c r="I23" s="36"/>
      <c r="J23" s="14" t="s">
        <v>78</v>
      </c>
      <c r="K23" s="14"/>
      <c r="L23" s="14"/>
      <c r="M23" s="14"/>
      <c r="N23" s="14"/>
      <c r="O23" s="52">
        <v>0.02</v>
      </c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 spans="7:34">
      <c r="G24" s="43"/>
      <c r="H24" s="28"/>
      <c r="I24" s="36"/>
      <c r="J24" s="18" t="s">
        <v>79</v>
      </c>
      <c r="K24" s="18"/>
      <c r="L24" s="118"/>
      <c r="M24" s="36"/>
      <c r="N24" s="137"/>
      <c r="O24" s="87" t="s">
        <v>80</v>
      </c>
      <c r="P24" s="36"/>
      <c r="Q24" s="36"/>
      <c r="R24" s="36"/>
      <c r="S24" s="36"/>
      <c r="T24" s="36"/>
      <c r="U24" s="36"/>
      <c r="V24" s="36"/>
      <c r="W24" s="36" t="s">
        <v>81</v>
      </c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 spans="7:34" ht="77.25">
      <c r="G25" s="43"/>
      <c r="H25" s="28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83"/>
      <c r="U25" s="83"/>
      <c r="V25" s="36"/>
      <c r="W25" s="54" t="s">
        <v>49</v>
      </c>
      <c r="X25" s="172" t="s">
        <v>50</v>
      </c>
      <c r="Y25" s="164" t="s">
        <v>51</v>
      </c>
      <c r="Z25" s="164" t="s">
        <v>52</v>
      </c>
      <c r="AA25" s="54" t="s">
        <v>49</v>
      </c>
      <c r="AB25" s="172" t="s">
        <v>50</v>
      </c>
      <c r="AC25" s="164" t="s">
        <v>51</v>
      </c>
      <c r="AD25" s="164" t="s">
        <v>52</v>
      </c>
      <c r="AE25" s="54" t="s">
        <v>49</v>
      </c>
      <c r="AF25" s="172" t="s">
        <v>50</v>
      </c>
      <c r="AG25" s="164" t="s">
        <v>51</v>
      </c>
      <c r="AH25" s="164" t="s">
        <v>52</v>
      </c>
    </row>
    <row r="26" spans="7:34">
      <c r="G26" s="43"/>
      <c r="H26" s="28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154" t="s">
        <v>54</v>
      </c>
      <c r="X26" s="151" t="s">
        <v>55</v>
      </c>
      <c r="Y26" s="165"/>
      <c r="Z26" s="165"/>
      <c r="AA26" s="154" t="s">
        <v>54</v>
      </c>
      <c r="AB26" s="151" t="s">
        <v>55</v>
      </c>
      <c r="AC26" s="165"/>
      <c r="AD26" s="165"/>
      <c r="AE26" s="154" t="s">
        <v>54</v>
      </c>
      <c r="AF26" s="151" t="s">
        <v>55</v>
      </c>
      <c r="AG26" s="165"/>
      <c r="AH26" s="165"/>
    </row>
    <row r="27" spans="7:34">
      <c r="G27" s="43"/>
      <c r="H27" s="28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86">
        <v>0</v>
      </c>
      <c r="X27" s="55">
        <v>6.6987298107780702E-2</v>
      </c>
      <c r="Y27" s="55">
        <v>0.8</v>
      </c>
      <c r="Z27" s="134">
        <v>0.19999999999999996</v>
      </c>
      <c r="AA27" s="86">
        <v>0</v>
      </c>
      <c r="AB27" s="55">
        <v>0.11142701927151455</v>
      </c>
      <c r="AC27" s="55">
        <v>0.8</v>
      </c>
      <c r="AD27" s="134">
        <v>0.19999999999999996</v>
      </c>
      <c r="AE27" s="86">
        <v>0</v>
      </c>
      <c r="AF27" s="55">
        <v>0.17860619515673037</v>
      </c>
      <c r="AG27" s="55">
        <v>0.8</v>
      </c>
      <c r="AH27" s="134">
        <v>0.19999999999999996</v>
      </c>
    </row>
    <row r="28" spans="7:34">
      <c r="G28" s="43"/>
      <c r="H28" s="28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92">
        <v>1</v>
      </c>
      <c r="X28" s="47">
        <v>0.1830127018922193</v>
      </c>
      <c r="Y28" s="47">
        <v>0.8</v>
      </c>
      <c r="Z28" s="135">
        <v>0.19999999999999996</v>
      </c>
      <c r="AA28" s="92">
        <v>1</v>
      </c>
      <c r="AB28" s="47">
        <v>0.28461713531960575</v>
      </c>
      <c r="AC28" s="47">
        <v>0.8</v>
      </c>
      <c r="AD28" s="135">
        <v>0.19999999999999996</v>
      </c>
      <c r="AE28" s="92">
        <v>1</v>
      </c>
      <c r="AF28" s="47">
        <v>0.40821789367673478</v>
      </c>
      <c r="AG28" s="47">
        <v>0.8</v>
      </c>
      <c r="AH28" s="135">
        <v>0.19999999999999996</v>
      </c>
    </row>
    <row r="29" spans="7:34">
      <c r="G29" s="43"/>
      <c r="H29" s="28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92">
        <v>2</v>
      </c>
      <c r="X29" s="47">
        <v>0.2587262032186417</v>
      </c>
      <c r="Y29" s="47">
        <v>0.8</v>
      </c>
      <c r="Z29" s="135">
        <v>0.19999999999999996</v>
      </c>
      <c r="AA29" s="92">
        <v>2</v>
      </c>
      <c r="AB29" s="47">
        <v>0.33095109527865307</v>
      </c>
      <c r="AC29" s="47">
        <v>0.8</v>
      </c>
      <c r="AD29" s="135">
        <v>0.19999999999999996</v>
      </c>
      <c r="AE29" s="92">
        <v>2</v>
      </c>
      <c r="AF29" s="47">
        <v>0.34618861305875415</v>
      </c>
      <c r="AG29" s="47">
        <v>0.8</v>
      </c>
      <c r="AH29" s="135">
        <v>0.19999999999999996</v>
      </c>
    </row>
    <row r="30" spans="7:34">
      <c r="G30" s="43"/>
      <c r="H30" s="28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92">
        <v>3</v>
      </c>
      <c r="X30" s="47">
        <v>0.24879283423638543</v>
      </c>
      <c r="Y30" s="47">
        <v>0.8</v>
      </c>
      <c r="Z30" s="135">
        <v>0.19999999999999996</v>
      </c>
      <c r="AA30" s="92">
        <v>3</v>
      </c>
      <c r="AB30" s="47">
        <v>0.23325717685644687</v>
      </c>
      <c r="AC30" s="47">
        <v>0.8</v>
      </c>
      <c r="AD30" s="135">
        <v>0.19999999999999996</v>
      </c>
      <c r="AE30" s="92">
        <v>3</v>
      </c>
      <c r="AF30" s="47">
        <v>6.6987298107780702E-2</v>
      </c>
      <c r="AG30" s="47">
        <v>0.8</v>
      </c>
      <c r="AH30" s="135">
        <v>0.19999999999999996</v>
      </c>
    </row>
    <row r="31" spans="7:34">
      <c r="G31" s="43"/>
      <c r="H31" s="28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92">
        <v>4</v>
      </c>
      <c r="X31" s="47">
        <v>0.18395475897443636</v>
      </c>
      <c r="Y31" s="47">
        <v>0.8</v>
      </c>
      <c r="Z31" s="135">
        <v>0.19999999999999996</v>
      </c>
      <c r="AA31" s="92">
        <v>4</v>
      </c>
      <c r="AB31" s="47">
        <v>3.9747573273779757E-2</v>
      </c>
      <c r="AC31" s="47">
        <v>0.8</v>
      </c>
      <c r="AD31" s="135">
        <v>0.19999999999999996</v>
      </c>
      <c r="AE31" s="92"/>
      <c r="AF31" s="47"/>
      <c r="AG31" s="47"/>
      <c r="AH31" s="135"/>
    </row>
    <row r="32" spans="7:34" ht="15.75" thickBot="1">
      <c r="G32" s="43"/>
      <c r="H32" s="28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93">
        <v>5</v>
      </c>
      <c r="X32" s="56">
        <v>5.8526203570536506E-2</v>
      </c>
      <c r="Y32" s="56">
        <v>0.8</v>
      </c>
      <c r="Z32" s="136">
        <v>0.19999999999999996</v>
      </c>
      <c r="AA32" s="93"/>
      <c r="AB32" s="56"/>
      <c r="AC32" s="56"/>
      <c r="AD32" s="136"/>
      <c r="AE32" s="93"/>
      <c r="AF32" s="56"/>
      <c r="AG32" s="56"/>
      <c r="AH32" s="136"/>
    </row>
    <row r="33" spans="7:34" ht="15.75" thickBot="1">
      <c r="G33" s="43"/>
      <c r="H33" s="28"/>
      <c r="I33" s="36"/>
      <c r="J33" s="36"/>
      <c r="K33" s="36"/>
      <c r="L33" s="36"/>
      <c r="M33" s="36"/>
      <c r="N33" s="36"/>
      <c r="O33" s="36"/>
      <c r="P33" s="94"/>
      <c r="Q33" s="84"/>
      <c r="R33" s="95"/>
      <c r="S33" s="88"/>
      <c r="T33" s="83"/>
      <c r="U33" s="9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 spans="7:34">
      <c r="G34" s="43"/>
      <c r="H34" s="28"/>
      <c r="I34" s="36"/>
      <c r="J34" s="12" t="s">
        <v>82</v>
      </c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 spans="7:34">
      <c r="G35" s="43"/>
      <c r="H35" s="28"/>
      <c r="I35" s="36"/>
      <c r="J35" s="57"/>
      <c r="K35" s="36"/>
      <c r="L35" s="172"/>
      <c r="M35" s="172" t="s">
        <v>83</v>
      </c>
      <c r="N35" s="172"/>
      <c r="O35" s="172"/>
      <c r="P35" s="174"/>
      <c r="Q35" s="174"/>
      <c r="R35" s="174"/>
      <c r="S35" s="174"/>
      <c r="T35" s="172"/>
      <c r="U35" s="173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 spans="7:34" ht="15.75" thickBot="1">
      <c r="G36" s="73"/>
      <c r="H36" s="28"/>
      <c r="I36" s="36"/>
      <c r="J36" s="170"/>
      <c r="K36" s="151" t="s">
        <v>84</v>
      </c>
      <c r="L36" s="151" t="s">
        <v>85</v>
      </c>
      <c r="M36" s="151" t="s">
        <v>86</v>
      </c>
      <c r="N36" s="16" t="s">
        <v>87</v>
      </c>
      <c r="O36" s="16"/>
      <c r="P36" s="15" t="s">
        <v>88</v>
      </c>
      <c r="Q36" s="15"/>
      <c r="R36" s="15"/>
      <c r="S36" s="15"/>
      <c r="T36" s="151" t="s">
        <v>89</v>
      </c>
      <c r="U36" s="152"/>
      <c r="V36" s="36"/>
      <c r="W36" s="36"/>
      <c r="X36" s="36"/>
      <c r="Y36" s="36"/>
      <c r="Z36" s="36"/>
      <c r="AA36" s="36"/>
      <c r="AB36" s="36"/>
      <c r="AC36" s="109"/>
      <c r="AD36" s="43"/>
      <c r="AE36" s="36"/>
      <c r="AF36" s="36"/>
      <c r="AG36" s="36"/>
      <c r="AH36" s="36"/>
    </row>
    <row r="37" spans="7:34">
      <c r="G37" s="74"/>
      <c r="H37" s="28"/>
      <c r="I37" s="36"/>
      <c r="J37" s="170"/>
      <c r="K37" s="151" t="s">
        <v>90</v>
      </c>
      <c r="L37" s="151" t="s">
        <v>91</v>
      </c>
      <c r="M37" s="151" t="s">
        <v>92</v>
      </c>
      <c r="N37" s="151" t="s">
        <v>93</v>
      </c>
      <c r="O37" s="151" t="s">
        <v>94</v>
      </c>
      <c r="P37" s="151" t="s">
        <v>95</v>
      </c>
      <c r="Q37" s="151" t="s">
        <v>96</v>
      </c>
      <c r="R37" s="151" t="s">
        <v>97</v>
      </c>
      <c r="S37" s="151" t="s">
        <v>98</v>
      </c>
      <c r="T37" s="151" t="s">
        <v>99</v>
      </c>
      <c r="U37" s="71" t="s">
        <v>100</v>
      </c>
      <c r="V37" s="36"/>
      <c r="W37" s="36"/>
      <c r="X37" s="36"/>
      <c r="Y37" s="36"/>
      <c r="Z37" s="36"/>
      <c r="AA37" s="36"/>
      <c r="AB37" s="36"/>
      <c r="AC37" s="109"/>
      <c r="AD37" s="43"/>
      <c r="AE37" s="36"/>
      <c r="AF37" s="36"/>
      <c r="AG37" s="36"/>
      <c r="AH37" s="36"/>
    </row>
    <row r="38" spans="7:34">
      <c r="G38" s="43"/>
      <c r="H38" s="28"/>
      <c r="I38" s="36"/>
      <c r="J38" s="58" t="s">
        <v>56</v>
      </c>
      <c r="K38" s="60" t="s">
        <v>68</v>
      </c>
      <c r="L38" s="64">
        <v>10.497</v>
      </c>
      <c r="M38" s="55">
        <v>0.15</v>
      </c>
      <c r="N38" s="55">
        <v>0.03</v>
      </c>
      <c r="O38" s="55">
        <v>0.06</v>
      </c>
      <c r="P38" s="64">
        <v>0</v>
      </c>
      <c r="Q38" s="64">
        <v>0</v>
      </c>
      <c r="R38" s="69">
        <v>0</v>
      </c>
      <c r="S38" s="66">
        <v>0</v>
      </c>
      <c r="T38" s="55">
        <v>0.05</v>
      </c>
      <c r="U38" s="72" t="s">
        <v>70</v>
      </c>
      <c r="V38" s="36"/>
      <c r="W38" s="36"/>
      <c r="X38" s="36"/>
      <c r="Y38" s="36"/>
      <c r="Z38" s="36"/>
      <c r="AA38" s="36"/>
      <c r="AB38" s="36"/>
      <c r="AC38" s="109"/>
      <c r="AD38" s="43"/>
      <c r="AE38" s="36"/>
      <c r="AF38" s="36"/>
      <c r="AG38" s="36"/>
      <c r="AH38" s="36"/>
    </row>
    <row r="39" spans="7:34">
      <c r="G39" s="43"/>
      <c r="H39" s="28"/>
      <c r="I39" s="36"/>
      <c r="J39" s="58" t="s">
        <v>58</v>
      </c>
      <c r="K39" s="61" t="s">
        <v>68</v>
      </c>
      <c r="L39" s="153">
        <v>9.18</v>
      </c>
      <c r="M39" s="47">
        <v>0.5</v>
      </c>
      <c r="N39" s="55">
        <v>0.03</v>
      </c>
      <c r="O39" s="55">
        <v>0.06</v>
      </c>
      <c r="P39" s="64">
        <v>0</v>
      </c>
      <c r="Q39" s="64">
        <v>0</v>
      </c>
      <c r="R39" s="69">
        <v>0</v>
      </c>
      <c r="S39" s="66">
        <v>0</v>
      </c>
      <c r="T39" s="47">
        <v>0.1</v>
      </c>
      <c r="U39" s="99" t="s">
        <v>70</v>
      </c>
      <c r="V39" s="36"/>
      <c r="W39" s="36"/>
      <c r="X39" s="36"/>
      <c r="Y39" s="36"/>
      <c r="Z39" s="36"/>
      <c r="AA39" s="36"/>
      <c r="AB39" s="36"/>
      <c r="AC39" s="109"/>
      <c r="AD39" s="43"/>
      <c r="AE39" s="36"/>
      <c r="AF39" s="36"/>
      <c r="AG39" s="36"/>
      <c r="AH39" s="36"/>
    </row>
    <row r="40" spans="7:34" ht="15.75" thickBot="1">
      <c r="G40" s="43"/>
      <c r="H40" s="28"/>
      <c r="I40" s="36"/>
      <c r="J40" s="59"/>
      <c r="K40" s="62"/>
      <c r="L40" s="63"/>
      <c r="M40" s="56"/>
      <c r="N40" s="56"/>
      <c r="O40" s="56"/>
      <c r="P40" s="65"/>
      <c r="Q40" s="65"/>
      <c r="R40" s="70"/>
      <c r="S40" s="67"/>
      <c r="T40" s="56"/>
      <c r="U40" s="100"/>
      <c r="V40" s="36"/>
      <c r="W40" s="36"/>
      <c r="X40" s="36"/>
      <c r="Y40" s="36"/>
      <c r="Z40" s="36"/>
      <c r="AA40" s="36"/>
      <c r="AB40" s="36"/>
      <c r="AC40" s="109"/>
      <c r="AD40" s="43"/>
      <c r="AE40" s="36"/>
      <c r="AF40" s="36"/>
      <c r="AG40" s="36"/>
      <c r="AH40" s="36"/>
    </row>
    <row r="41" spans="7:34">
      <c r="G41" s="43"/>
      <c r="H41" s="28"/>
      <c r="I41" s="36"/>
      <c r="J41" s="36"/>
      <c r="K41" s="151"/>
      <c r="L41" s="151"/>
      <c r="M41" s="85"/>
      <c r="N41" s="84"/>
      <c r="O41" s="84"/>
      <c r="P41" s="84"/>
      <c r="Q41" s="95"/>
      <c r="R41" s="95"/>
      <c r="S41" s="79"/>
      <c r="T41" s="98"/>
      <c r="U41" s="84"/>
      <c r="V41" s="84"/>
      <c r="W41" s="85"/>
      <c r="X41" s="151"/>
      <c r="Y41" s="36"/>
      <c r="Z41" s="36"/>
      <c r="AA41" s="36"/>
      <c r="AB41" s="36"/>
      <c r="AC41" s="36"/>
      <c r="AD41" s="36"/>
      <c r="AE41" s="109"/>
      <c r="AF41" s="43"/>
      <c r="AG41" s="36"/>
      <c r="AH41" s="36"/>
    </row>
    <row r="42" spans="7:34">
      <c r="G42" s="43"/>
      <c r="H42" s="28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109"/>
      <c r="AF42" s="43"/>
      <c r="AG42" s="36"/>
      <c r="AH42" s="36"/>
    </row>
    <row r="43" spans="7:34">
      <c r="G43" s="43"/>
      <c r="H43" s="28"/>
      <c r="I43" s="36"/>
      <c r="J43" s="36"/>
      <c r="K43" s="36"/>
      <c r="L43" s="36"/>
      <c r="M43" s="82">
        <v>2030</v>
      </c>
      <c r="N43" s="82">
        <v>2031</v>
      </c>
      <c r="O43" s="82">
        <v>2032</v>
      </c>
      <c r="P43" s="82">
        <v>2033</v>
      </c>
      <c r="Q43" s="82">
        <v>2034</v>
      </c>
      <c r="R43" s="82">
        <v>2035</v>
      </c>
      <c r="S43" s="82">
        <v>2036</v>
      </c>
      <c r="T43" s="82">
        <v>2037</v>
      </c>
      <c r="U43" s="82">
        <v>2038</v>
      </c>
      <c r="V43" s="82">
        <v>2039</v>
      </c>
      <c r="W43" s="82">
        <v>2040</v>
      </c>
      <c r="X43" s="82">
        <v>2041</v>
      </c>
      <c r="Y43" s="82">
        <v>2042</v>
      </c>
      <c r="Z43" s="82">
        <v>2043</v>
      </c>
      <c r="AA43" s="82">
        <v>2044</v>
      </c>
      <c r="AB43" s="82">
        <v>2045</v>
      </c>
      <c r="AC43" s="82">
        <v>2046</v>
      </c>
      <c r="AD43" s="82">
        <v>2047</v>
      </c>
      <c r="AE43" s="82">
        <v>2048</v>
      </c>
      <c r="AF43" s="82">
        <v>2049</v>
      </c>
      <c r="AG43" s="82">
        <v>2050</v>
      </c>
      <c r="AH43" s="36"/>
    </row>
    <row r="44" spans="7:34">
      <c r="G44" s="43"/>
      <c r="H44" s="28"/>
      <c r="I44" s="36"/>
      <c r="J44" s="35" t="s">
        <v>41</v>
      </c>
      <c r="K44" s="115" t="s">
        <v>101</v>
      </c>
      <c r="L44" s="115" t="s">
        <v>102</v>
      </c>
      <c r="M44" s="131">
        <v>2.5000000000000001E-2</v>
      </c>
      <c r="N44" s="131">
        <v>2.5000000000000001E-2</v>
      </c>
      <c r="O44" s="131">
        <v>2.5000000000000001E-2</v>
      </c>
      <c r="P44" s="131">
        <v>2.5000000000000001E-2</v>
      </c>
      <c r="Q44" s="131">
        <v>2.5000000000000001E-2</v>
      </c>
      <c r="R44" s="131">
        <v>2.5000000000000001E-2</v>
      </c>
      <c r="S44" s="131">
        <v>2.5000000000000001E-2</v>
      </c>
      <c r="T44" s="131">
        <v>2.5000000000000001E-2</v>
      </c>
      <c r="U44" s="131">
        <v>2.5000000000000001E-2</v>
      </c>
      <c r="V44" s="131">
        <v>2.5000000000000001E-2</v>
      </c>
      <c r="W44" s="131">
        <v>2.5000000000000001E-2</v>
      </c>
      <c r="X44" s="131">
        <v>2.5000000000000001E-2</v>
      </c>
      <c r="Y44" s="131">
        <v>2.5000000000000001E-2</v>
      </c>
      <c r="Z44" s="131">
        <v>2.5000000000000001E-2</v>
      </c>
      <c r="AA44" s="131">
        <v>2.5000000000000001E-2</v>
      </c>
      <c r="AB44" s="131">
        <v>2.5000000000000001E-2</v>
      </c>
      <c r="AC44" s="131">
        <v>2.5000000000000001E-2</v>
      </c>
      <c r="AD44" s="131">
        <v>2.5000000000000001E-2</v>
      </c>
      <c r="AE44" s="131">
        <v>2.5000000000000001E-2</v>
      </c>
      <c r="AF44" s="131">
        <v>2.5000000000000001E-2</v>
      </c>
      <c r="AG44" s="131">
        <v>2.5000000000000001E-2</v>
      </c>
      <c r="AH44" s="36"/>
    </row>
    <row r="45" spans="7:34">
      <c r="G45" s="43"/>
      <c r="H45" s="28"/>
      <c r="I45" s="36"/>
      <c r="J45" s="35"/>
      <c r="K45" s="115" t="s">
        <v>103</v>
      </c>
      <c r="L45" s="115" t="s">
        <v>47</v>
      </c>
      <c r="M45" s="131">
        <v>0.08</v>
      </c>
      <c r="N45" s="131">
        <v>0.08</v>
      </c>
      <c r="O45" s="131">
        <v>0.08</v>
      </c>
      <c r="P45" s="131">
        <v>0.08</v>
      </c>
      <c r="Q45" s="131">
        <v>0.08</v>
      </c>
      <c r="R45" s="131">
        <v>0.08</v>
      </c>
      <c r="S45" s="131">
        <v>0.08</v>
      </c>
      <c r="T45" s="131">
        <v>0.08</v>
      </c>
      <c r="U45" s="131">
        <v>0.08</v>
      </c>
      <c r="V45" s="131">
        <v>0.08</v>
      </c>
      <c r="W45" s="131">
        <v>0.08</v>
      </c>
      <c r="X45" s="131">
        <v>0.08</v>
      </c>
      <c r="Y45" s="131">
        <v>0.08</v>
      </c>
      <c r="Z45" s="131">
        <v>0.08</v>
      </c>
      <c r="AA45" s="131">
        <v>0.08</v>
      </c>
      <c r="AB45" s="131">
        <v>0.08</v>
      </c>
      <c r="AC45" s="131">
        <v>0.08</v>
      </c>
      <c r="AD45" s="131">
        <v>0.08</v>
      </c>
      <c r="AE45" s="131">
        <v>0.08</v>
      </c>
      <c r="AF45" s="131">
        <v>0.08</v>
      </c>
      <c r="AG45" s="131">
        <v>0.08</v>
      </c>
      <c r="AH45" s="36"/>
    </row>
    <row r="46" spans="7:34">
      <c r="G46" s="43"/>
      <c r="H46" s="28"/>
      <c r="I46" s="36"/>
      <c r="J46" s="35"/>
      <c r="K46" s="115" t="s">
        <v>103</v>
      </c>
      <c r="L46" s="115" t="s">
        <v>46</v>
      </c>
      <c r="M46" s="131">
        <v>0.08</v>
      </c>
      <c r="N46" s="131">
        <v>0.08</v>
      </c>
      <c r="O46" s="131">
        <v>0.08</v>
      </c>
      <c r="P46" s="131">
        <v>0.08</v>
      </c>
      <c r="Q46" s="131">
        <v>0.08</v>
      </c>
      <c r="R46" s="131">
        <v>0.08</v>
      </c>
      <c r="S46" s="131">
        <v>0.08</v>
      </c>
      <c r="T46" s="131">
        <v>0.08</v>
      </c>
      <c r="U46" s="131">
        <v>0.08</v>
      </c>
      <c r="V46" s="131">
        <v>0.08</v>
      </c>
      <c r="W46" s="131">
        <v>0.08</v>
      </c>
      <c r="X46" s="131">
        <v>0.08</v>
      </c>
      <c r="Y46" s="131">
        <v>0.08</v>
      </c>
      <c r="Z46" s="131">
        <v>0.08</v>
      </c>
      <c r="AA46" s="131">
        <v>0.08</v>
      </c>
      <c r="AB46" s="131">
        <v>0.08</v>
      </c>
      <c r="AC46" s="131">
        <v>0.08</v>
      </c>
      <c r="AD46" s="131">
        <v>0.08</v>
      </c>
      <c r="AE46" s="131">
        <v>0.08</v>
      </c>
      <c r="AF46" s="131">
        <v>0.08</v>
      </c>
      <c r="AG46" s="131">
        <v>0.08</v>
      </c>
      <c r="AH46" s="36"/>
    </row>
    <row r="47" spans="7:34">
      <c r="G47" s="43"/>
      <c r="H47" s="28"/>
      <c r="I47" s="36"/>
      <c r="J47" s="35"/>
      <c r="K47" s="115" t="s">
        <v>103</v>
      </c>
      <c r="L47" s="115" t="s">
        <v>45</v>
      </c>
      <c r="M47" s="131">
        <v>0.08</v>
      </c>
      <c r="N47" s="131">
        <v>0.08</v>
      </c>
      <c r="O47" s="131">
        <v>0.08</v>
      </c>
      <c r="P47" s="131">
        <v>0.08</v>
      </c>
      <c r="Q47" s="131">
        <v>0.08</v>
      </c>
      <c r="R47" s="131">
        <v>0.08</v>
      </c>
      <c r="S47" s="131">
        <v>0.08</v>
      </c>
      <c r="T47" s="131">
        <v>0.08</v>
      </c>
      <c r="U47" s="131">
        <v>0.08</v>
      </c>
      <c r="V47" s="131">
        <v>0.08</v>
      </c>
      <c r="W47" s="131">
        <v>0.08</v>
      </c>
      <c r="X47" s="131">
        <v>0.08</v>
      </c>
      <c r="Y47" s="131">
        <v>0.08</v>
      </c>
      <c r="Z47" s="131">
        <v>0.08</v>
      </c>
      <c r="AA47" s="131">
        <v>0.08</v>
      </c>
      <c r="AB47" s="131">
        <v>0.08</v>
      </c>
      <c r="AC47" s="131">
        <v>0.08</v>
      </c>
      <c r="AD47" s="131">
        <v>0.08</v>
      </c>
      <c r="AE47" s="131">
        <v>0.08</v>
      </c>
      <c r="AF47" s="131">
        <v>0.08</v>
      </c>
      <c r="AG47" s="131">
        <v>0.08</v>
      </c>
      <c r="AH47" s="36"/>
    </row>
    <row r="48" spans="7:34">
      <c r="G48" s="43"/>
      <c r="H48" s="28"/>
      <c r="I48" s="36"/>
      <c r="J48" s="35"/>
      <c r="K48" s="115" t="s">
        <v>104</v>
      </c>
      <c r="L48" s="115" t="s">
        <v>47</v>
      </c>
      <c r="M48" s="117">
        <v>5.3658536585366123E-2</v>
      </c>
      <c r="N48" s="117">
        <v>5.3658536585366123E-2</v>
      </c>
      <c r="O48" s="117">
        <v>5.3658536585366123E-2</v>
      </c>
      <c r="P48" s="117">
        <v>5.3658536585366123E-2</v>
      </c>
      <c r="Q48" s="117">
        <v>5.3658536585366123E-2</v>
      </c>
      <c r="R48" s="117">
        <v>5.3658536585366123E-2</v>
      </c>
      <c r="S48" s="117">
        <v>5.3658536585366123E-2</v>
      </c>
      <c r="T48" s="117">
        <v>5.3658536585366123E-2</v>
      </c>
      <c r="U48" s="117">
        <v>5.3658536585366123E-2</v>
      </c>
      <c r="V48" s="117">
        <v>5.3658536585366123E-2</v>
      </c>
      <c r="W48" s="117">
        <v>5.3658536585366123E-2</v>
      </c>
      <c r="X48" s="117">
        <v>5.3658536585366123E-2</v>
      </c>
      <c r="Y48" s="117">
        <v>5.3658536585366123E-2</v>
      </c>
      <c r="Z48" s="117">
        <v>5.3658536585366123E-2</v>
      </c>
      <c r="AA48" s="117">
        <v>5.3658536585366123E-2</v>
      </c>
      <c r="AB48" s="117">
        <v>5.3658536585366123E-2</v>
      </c>
      <c r="AC48" s="117">
        <v>5.3658536585366123E-2</v>
      </c>
      <c r="AD48" s="117">
        <v>5.3658536585366123E-2</v>
      </c>
      <c r="AE48" s="117">
        <v>5.3658536585366123E-2</v>
      </c>
      <c r="AF48" s="117">
        <v>5.3658536585366123E-2</v>
      </c>
      <c r="AG48" s="117">
        <v>5.3658536585366123E-2</v>
      </c>
      <c r="AH48" s="36"/>
    </row>
    <row r="49" spans="7:33">
      <c r="G49" s="43"/>
      <c r="H49" s="28"/>
      <c r="I49" s="36"/>
      <c r="J49" s="35"/>
      <c r="K49" s="115" t="s">
        <v>104</v>
      </c>
      <c r="L49" s="115" t="s">
        <v>46</v>
      </c>
      <c r="M49" s="117">
        <v>5.3658536585366123E-2</v>
      </c>
      <c r="N49" s="117">
        <v>5.3658536585366123E-2</v>
      </c>
      <c r="O49" s="117">
        <v>5.3658536585366123E-2</v>
      </c>
      <c r="P49" s="117">
        <v>5.3658536585366123E-2</v>
      </c>
      <c r="Q49" s="117">
        <v>5.3658536585366123E-2</v>
      </c>
      <c r="R49" s="117">
        <v>5.3658536585366123E-2</v>
      </c>
      <c r="S49" s="117">
        <v>5.3658536585366123E-2</v>
      </c>
      <c r="T49" s="117">
        <v>5.3658536585366123E-2</v>
      </c>
      <c r="U49" s="117">
        <v>5.3658536585366123E-2</v>
      </c>
      <c r="V49" s="117">
        <v>5.3658536585366123E-2</v>
      </c>
      <c r="W49" s="117">
        <v>5.3658536585366123E-2</v>
      </c>
      <c r="X49" s="117">
        <v>5.3658536585366123E-2</v>
      </c>
      <c r="Y49" s="117">
        <v>5.3658536585366123E-2</v>
      </c>
      <c r="Z49" s="117">
        <v>5.3658536585366123E-2</v>
      </c>
      <c r="AA49" s="117">
        <v>5.3658536585366123E-2</v>
      </c>
      <c r="AB49" s="117">
        <v>5.3658536585366123E-2</v>
      </c>
      <c r="AC49" s="117">
        <v>5.3658536585366123E-2</v>
      </c>
      <c r="AD49" s="117">
        <v>5.3658536585366123E-2</v>
      </c>
      <c r="AE49" s="117">
        <v>5.3658536585366123E-2</v>
      </c>
      <c r="AF49" s="117">
        <v>5.3658536585366123E-2</v>
      </c>
      <c r="AG49" s="117">
        <v>5.3658536585366123E-2</v>
      </c>
    </row>
    <row r="50" spans="7:33">
      <c r="G50" s="43"/>
      <c r="H50" s="28"/>
      <c r="I50" s="36"/>
      <c r="J50" s="35"/>
      <c r="K50" s="115" t="s">
        <v>104</v>
      </c>
      <c r="L50" s="115" t="s">
        <v>45</v>
      </c>
      <c r="M50" s="117">
        <v>5.3658536585366123E-2</v>
      </c>
      <c r="N50" s="117">
        <v>5.3658536585366123E-2</v>
      </c>
      <c r="O50" s="117">
        <v>5.3658536585366123E-2</v>
      </c>
      <c r="P50" s="117">
        <v>5.3658536585366123E-2</v>
      </c>
      <c r="Q50" s="117">
        <v>5.3658536585366123E-2</v>
      </c>
      <c r="R50" s="117">
        <v>5.3658536585366123E-2</v>
      </c>
      <c r="S50" s="117">
        <v>5.3658536585366123E-2</v>
      </c>
      <c r="T50" s="117">
        <v>5.3658536585366123E-2</v>
      </c>
      <c r="U50" s="117">
        <v>5.3658536585366123E-2</v>
      </c>
      <c r="V50" s="117">
        <v>5.3658536585366123E-2</v>
      </c>
      <c r="W50" s="117">
        <v>5.3658536585366123E-2</v>
      </c>
      <c r="X50" s="117">
        <v>5.3658536585366123E-2</v>
      </c>
      <c r="Y50" s="117">
        <v>5.3658536585366123E-2</v>
      </c>
      <c r="Z50" s="117">
        <v>5.3658536585366123E-2</v>
      </c>
      <c r="AA50" s="117">
        <v>5.3658536585366123E-2</v>
      </c>
      <c r="AB50" s="117">
        <v>5.3658536585366123E-2</v>
      </c>
      <c r="AC50" s="117">
        <v>5.3658536585366123E-2</v>
      </c>
      <c r="AD50" s="117">
        <v>5.3658536585366123E-2</v>
      </c>
      <c r="AE50" s="117">
        <v>5.3658536585366123E-2</v>
      </c>
      <c r="AF50" s="117">
        <v>5.3658536585366123E-2</v>
      </c>
      <c r="AG50" s="117">
        <v>5.3658536585366123E-2</v>
      </c>
    </row>
    <row r="51" spans="7:33">
      <c r="G51" s="43"/>
      <c r="H51" s="28"/>
      <c r="I51" s="36"/>
      <c r="J51" s="35"/>
      <c r="K51" s="115" t="s">
        <v>105</v>
      </c>
      <c r="L51" s="115" t="s">
        <v>102</v>
      </c>
      <c r="M51" s="131">
        <v>6.5000000000000002E-2</v>
      </c>
      <c r="N51" s="131">
        <v>6.5000000000000002E-2</v>
      </c>
      <c r="O51" s="131">
        <v>6.5000000000000002E-2</v>
      </c>
      <c r="P51" s="131">
        <v>6.5000000000000002E-2</v>
      </c>
      <c r="Q51" s="131">
        <v>6.5000000000000002E-2</v>
      </c>
      <c r="R51" s="131">
        <v>6.5000000000000002E-2</v>
      </c>
      <c r="S51" s="131">
        <v>6.5000000000000002E-2</v>
      </c>
      <c r="T51" s="131">
        <v>6.5000000000000002E-2</v>
      </c>
      <c r="U51" s="131">
        <v>6.5000000000000002E-2</v>
      </c>
      <c r="V51" s="131">
        <v>6.5000000000000002E-2</v>
      </c>
      <c r="W51" s="131">
        <v>6.5000000000000002E-2</v>
      </c>
      <c r="X51" s="131">
        <v>6.5000000000000002E-2</v>
      </c>
      <c r="Y51" s="131">
        <v>6.5000000000000002E-2</v>
      </c>
      <c r="Z51" s="131">
        <v>6.5000000000000002E-2</v>
      </c>
      <c r="AA51" s="131">
        <v>6.5000000000000002E-2</v>
      </c>
      <c r="AB51" s="131">
        <v>6.5000000000000002E-2</v>
      </c>
      <c r="AC51" s="131">
        <v>6.5000000000000002E-2</v>
      </c>
      <c r="AD51" s="131">
        <v>6.5000000000000002E-2</v>
      </c>
      <c r="AE51" s="131">
        <v>6.5000000000000002E-2</v>
      </c>
      <c r="AF51" s="131">
        <v>6.5000000000000002E-2</v>
      </c>
      <c r="AG51" s="131">
        <v>6.5000000000000002E-2</v>
      </c>
    </row>
    <row r="52" spans="7:33">
      <c r="G52" s="43"/>
      <c r="H52" s="28"/>
      <c r="I52" s="36"/>
      <c r="J52" s="35"/>
      <c r="K52" s="115" t="s">
        <v>106</v>
      </c>
      <c r="L52" s="115" t="s">
        <v>47</v>
      </c>
      <c r="M52" s="131">
        <v>0.105</v>
      </c>
      <c r="N52" s="131">
        <v>0.105</v>
      </c>
      <c r="O52" s="131">
        <v>0.105</v>
      </c>
      <c r="P52" s="131">
        <v>0.105</v>
      </c>
      <c r="Q52" s="131">
        <v>0.105</v>
      </c>
      <c r="R52" s="131">
        <v>0.105</v>
      </c>
      <c r="S52" s="131">
        <v>0.105</v>
      </c>
      <c r="T52" s="131">
        <v>0.105</v>
      </c>
      <c r="U52" s="131">
        <v>0.105</v>
      </c>
      <c r="V52" s="131">
        <v>0.105</v>
      </c>
      <c r="W52" s="131">
        <v>0.105</v>
      </c>
      <c r="X52" s="131">
        <v>0.105</v>
      </c>
      <c r="Y52" s="131">
        <v>0.105</v>
      </c>
      <c r="Z52" s="131">
        <v>0.105</v>
      </c>
      <c r="AA52" s="131">
        <v>0.105</v>
      </c>
      <c r="AB52" s="131">
        <v>0.105</v>
      </c>
      <c r="AC52" s="131">
        <v>0.105</v>
      </c>
      <c r="AD52" s="131">
        <v>0.105</v>
      </c>
      <c r="AE52" s="131">
        <v>0.105</v>
      </c>
      <c r="AF52" s="131">
        <v>0.105</v>
      </c>
      <c r="AG52" s="131">
        <v>0.105</v>
      </c>
    </row>
    <row r="53" spans="7:33">
      <c r="G53" s="43"/>
      <c r="H53" s="28"/>
      <c r="I53" s="36"/>
      <c r="J53" s="35"/>
      <c r="K53" s="115" t="s">
        <v>106</v>
      </c>
      <c r="L53" s="115" t="s">
        <v>46</v>
      </c>
      <c r="M53" s="131">
        <v>0.105</v>
      </c>
      <c r="N53" s="131">
        <v>0.105</v>
      </c>
      <c r="O53" s="131">
        <v>0.105</v>
      </c>
      <c r="P53" s="131">
        <v>0.105</v>
      </c>
      <c r="Q53" s="131">
        <v>0.105</v>
      </c>
      <c r="R53" s="131">
        <v>0.105</v>
      </c>
      <c r="S53" s="131">
        <v>0.105</v>
      </c>
      <c r="T53" s="131">
        <v>0.105</v>
      </c>
      <c r="U53" s="131">
        <v>0.105</v>
      </c>
      <c r="V53" s="131">
        <v>0.105</v>
      </c>
      <c r="W53" s="131">
        <v>0.105</v>
      </c>
      <c r="X53" s="131">
        <v>0.105</v>
      </c>
      <c r="Y53" s="131">
        <v>0.105</v>
      </c>
      <c r="Z53" s="131">
        <v>0.105</v>
      </c>
      <c r="AA53" s="131">
        <v>0.105</v>
      </c>
      <c r="AB53" s="131">
        <v>0.105</v>
      </c>
      <c r="AC53" s="131">
        <v>0.105</v>
      </c>
      <c r="AD53" s="131">
        <v>0.105</v>
      </c>
      <c r="AE53" s="131">
        <v>0.105</v>
      </c>
      <c r="AF53" s="131">
        <v>0.105</v>
      </c>
      <c r="AG53" s="131">
        <v>0.105</v>
      </c>
    </row>
    <row r="54" spans="7:33">
      <c r="G54" s="43"/>
      <c r="H54" s="28"/>
      <c r="I54" s="36"/>
      <c r="J54" s="35"/>
      <c r="K54" s="115" t="s">
        <v>106</v>
      </c>
      <c r="L54" s="115" t="s">
        <v>45</v>
      </c>
      <c r="M54" s="131">
        <v>0.105</v>
      </c>
      <c r="N54" s="131">
        <v>0.105</v>
      </c>
      <c r="O54" s="131">
        <v>0.105</v>
      </c>
      <c r="P54" s="131">
        <v>0.105</v>
      </c>
      <c r="Q54" s="131">
        <v>0.105</v>
      </c>
      <c r="R54" s="131">
        <v>0.105</v>
      </c>
      <c r="S54" s="131">
        <v>0.105</v>
      </c>
      <c r="T54" s="131">
        <v>0.105</v>
      </c>
      <c r="U54" s="131">
        <v>0.105</v>
      </c>
      <c r="V54" s="131">
        <v>0.105</v>
      </c>
      <c r="W54" s="131">
        <v>0.105</v>
      </c>
      <c r="X54" s="131">
        <v>0.105</v>
      </c>
      <c r="Y54" s="131">
        <v>0.105</v>
      </c>
      <c r="Z54" s="131">
        <v>0.105</v>
      </c>
      <c r="AA54" s="131">
        <v>0.105</v>
      </c>
      <c r="AB54" s="131">
        <v>0.105</v>
      </c>
      <c r="AC54" s="131">
        <v>0.105</v>
      </c>
      <c r="AD54" s="131">
        <v>0.105</v>
      </c>
      <c r="AE54" s="131">
        <v>0.105</v>
      </c>
      <c r="AF54" s="131">
        <v>0.105</v>
      </c>
      <c r="AG54" s="131">
        <v>0.105</v>
      </c>
    </row>
    <row r="55" spans="7:33">
      <c r="G55" s="43"/>
      <c r="H55" s="28"/>
      <c r="I55" s="36"/>
      <c r="J55" s="35"/>
      <c r="K55" s="115" t="s">
        <v>107</v>
      </c>
      <c r="L55" s="115" t="s">
        <v>47</v>
      </c>
      <c r="M55" s="117">
        <v>7.8048780487804947E-2</v>
      </c>
      <c r="N55" s="117">
        <v>7.8048780487804947E-2</v>
      </c>
      <c r="O55" s="117">
        <v>7.8048780487804947E-2</v>
      </c>
      <c r="P55" s="117">
        <v>7.8048780487804947E-2</v>
      </c>
      <c r="Q55" s="117">
        <v>7.8048780487804947E-2</v>
      </c>
      <c r="R55" s="117">
        <v>7.8048780487804947E-2</v>
      </c>
      <c r="S55" s="117">
        <v>7.8048780487804947E-2</v>
      </c>
      <c r="T55" s="117">
        <v>7.8048780487804947E-2</v>
      </c>
      <c r="U55" s="117">
        <v>7.8048780487804947E-2</v>
      </c>
      <c r="V55" s="117">
        <v>7.8048780487804947E-2</v>
      </c>
      <c r="W55" s="117">
        <v>7.8048780487804947E-2</v>
      </c>
      <c r="X55" s="117">
        <v>7.8048780487804947E-2</v>
      </c>
      <c r="Y55" s="117">
        <v>7.8048780487804947E-2</v>
      </c>
      <c r="Z55" s="117">
        <v>7.8048780487804947E-2</v>
      </c>
      <c r="AA55" s="117">
        <v>7.8048780487804947E-2</v>
      </c>
      <c r="AB55" s="117">
        <v>7.8048780487804947E-2</v>
      </c>
      <c r="AC55" s="117">
        <v>7.8048780487804947E-2</v>
      </c>
      <c r="AD55" s="117">
        <v>7.8048780487804947E-2</v>
      </c>
      <c r="AE55" s="117">
        <v>7.8048780487804947E-2</v>
      </c>
      <c r="AF55" s="117">
        <v>7.8048780487804947E-2</v>
      </c>
      <c r="AG55" s="117">
        <v>7.8048780487804947E-2</v>
      </c>
    </row>
    <row r="56" spans="7:33">
      <c r="G56" s="43"/>
      <c r="H56" s="28"/>
      <c r="I56" s="36"/>
      <c r="J56" s="35"/>
      <c r="K56" s="115" t="s">
        <v>107</v>
      </c>
      <c r="L56" s="115" t="s">
        <v>46</v>
      </c>
      <c r="M56" s="117">
        <v>7.8048780487804947E-2</v>
      </c>
      <c r="N56" s="117">
        <v>7.8048780487804947E-2</v>
      </c>
      <c r="O56" s="117">
        <v>7.8048780487804947E-2</v>
      </c>
      <c r="P56" s="117">
        <v>7.8048780487804947E-2</v>
      </c>
      <c r="Q56" s="117">
        <v>7.8048780487804947E-2</v>
      </c>
      <c r="R56" s="117">
        <v>7.8048780487804947E-2</v>
      </c>
      <c r="S56" s="117">
        <v>7.8048780487804947E-2</v>
      </c>
      <c r="T56" s="117">
        <v>7.8048780487804947E-2</v>
      </c>
      <c r="U56" s="117">
        <v>7.8048780487804947E-2</v>
      </c>
      <c r="V56" s="117">
        <v>7.8048780487804947E-2</v>
      </c>
      <c r="W56" s="117">
        <v>7.8048780487804947E-2</v>
      </c>
      <c r="X56" s="117">
        <v>7.8048780487804947E-2</v>
      </c>
      <c r="Y56" s="117">
        <v>7.8048780487804947E-2</v>
      </c>
      <c r="Z56" s="117">
        <v>7.8048780487804947E-2</v>
      </c>
      <c r="AA56" s="117">
        <v>7.8048780487804947E-2</v>
      </c>
      <c r="AB56" s="117">
        <v>7.8048780487804947E-2</v>
      </c>
      <c r="AC56" s="117">
        <v>7.8048780487804947E-2</v>
      </c>
      <c r="AD56" s="117">
        <v>7.8048780487804947E-2</v>
      </c>
      <c r="AE56" s="117">
        <v>7.8048780487804947E-2</v>
      </c>
      <c r="AF56" s="117">
        <v>7.8048780487804947E-2</v>
      </c>
      <c r="AG56" s="117">
        <v>7.8048780487804947E-2</v>
      </c>
    </row>
    <row r="57" spans="7:33">
      <c r="G57" s="43"/>
      <c r="H57" s="28"/>
      <c r="I57" s="36"/>
      <c r="J57" s="35"/>
      <c r="K57" s="115" t="s">
        <v>107</v>
      </c>
      <c r="L57" s="115" t="s">
        <v>45</v>
      </c>
      <c r="M57" s="117">
        <v>7.8048780487804947E-2</v>
      </c>
      <c r="N57" s="117">
        <v>7.8048780487804947E-2</v>
      </c>
      <c r="O57" s="117">
        <v>7.8048780487804947E-2</v>
      </c>
      <c r="P57" s="117">
        <v>7.8048780487804947E-2</v>
      </c>
      <c r="Q57" s="117">
        <v>7.8048780487804947E-2</v>
      </c>
      <c r="R57" s="117">
        <v>7.8048780487804947E-2</v>
      </c>
      <c r="S57" s="117">
        <v>7.8048780487804947E-2</v>
      </c>
      <c r="T57" s="117">
        <v>7.8048780487804947E-2</v>
      </c>
      <c r="U57" s="117">
        <v>7.8048780487804947E-2</v>
      </c>
      <c r="V57" s="117">
        <v>7.8048780487804947E-2</v>
      </c>
      <c r="W57" s="117">
        <v>7.8048780487804947E-2</v>
      </c>
      <c r="X57" s="117">
        <v>7.8048780487804947E-2</v>
      </c>
      <c r="Y57" s="117">
        <v>7.8048780487804947E-2</v>
      </c>
      <c r="Z57" s="117">
        <v>7.8048780487804947E-2</v>
      </c>
      <c r="AA57" s="117">
        <v>7.8048780487804947E-2</v>
      </c>
      <c r="AB57" s="117">
        <v>7.8048780487804947E-2</v>
      </c>
      <c r="AC57" s="117">
        <v>7.8048780487804947E-2</v>
      </c>
      <c r="AD57" s="117">
        <v>7.8048780487804947E-2</v>
      </c>
      <c r="AE57" s="117">
        <v>7.8048780487804947E-2</v>
      </c>
      <c r="AF57" s="117">
        <v>7.8048780487804947E-2</v>
      </c>
      <c r="AG57" s="117">
        <v>7.8048780487804947E-2</v>
      </c>
    </row>
    <row r="58" spans="7:33">
      <c r="G58" s="43"/>
      <c r="H58" s="28"/>
      <c r="I58" s="36"/>
      <c r="J58" s="35"/>
      <c r="K58" s="115" t="s">
        <v>108</v>
      </c>
      <c r="L58" s="115" t="s">
        <v>47</v>
      </c>
      <c r="M58" s="131">
        <v>0.69389263842733795</v>
      </c>
      <c r="N58" s="131">
        <v>0.69389263842733795</v>
      </c>
      <c r="O58" s="131">
        <v>0.69389263842733795</v>
      </c>
      <c r="P58" s="131">
        <v>0.69389263842733795</v>
      </c>
      <c r="Q58" s="131">
        <v>0.69389263842733795</v>
      </c>
      <c r="R58" s="131">
        <v>0.69389263842733795</v>
      </c>
      <c r="S58" s="131">
        <v>0.69389263842733795</v>
      </c>
      <c r="T58" s="131">
        <v>0.69389263842733795</v>
      </c>
      <c r="U58" s="131">
        <v>0.69389263842733795</v>
      </c>
      <c r="V58" s="131">
        <v>0.69389263842733795</v>
      </c>
      <c r="W58" s="131">
        <v>0.69389263842733795</v>
      </c>
      <c r="X58" s="131">
        <v>0.69389263842733795</v>
      </c>
      <c r="Y58" s="131">
        <v>0.69389263842733795</v>
      </c>
      <c r="Z58" s="131">
        <v>0.69389263842733795</v>
      </c>
      <c r="AA58" s="131">
        <v>0.69389263842733795</v>
      </c>
      <c r="AB58" s="131">
        <v>0.69389263842733795</v>
      </c>
      <c r="AC58" s="131">
        <v>0.69389263842733795</v>
      </c>
      <c r="AD58" s="131">
        <v>0.69389263842733795</v>
      </c>
      <c r="AE58" s="131">
        <v>0.69389263842733795</v>
      </c>
      <c r="AF58" s="131">
        <v>0.69389263842733795</v>
      </c>
      <c r="AG58" s="131">
        <v>0.69389263842733795</v>
      </c>
    </row>
    <row r="59" spans="7:33">
      <c r="G59" s="43"/>
      <c r="H59" s="28"/>
      <c r="I59" s="36"/>
      <c r="J59" s="35"/>
      <c r="K59" s="115" t="s">
        <v>108</v>
      </c>
      <c r="L59" s="115" t="s">
        <v>46</v>
      </c>
      <c r="M59" s="131">
        <v>0.69389263842733795</v>
      </c>
      <c r="N59" s="131">
        <v>0.69389263842733795</v>
      </c>
      <c r="O59" s="131">
        <v>0.69389263842733795</v>
      </c>
      <c r="P59" s="131">
        <v>0.69389263842733795</v>
      </c>
      <c r="Q59" s="131">
        <v>0.69389263842733795</v>
      </c>
      <c r="R59" s="131">
        <v>0.69389263842733795</v>
      </c>
      <c r="S59" s="131">
        <v>0.69389263842733795</v>
      </c>
      <c r="T59" s="131">
        <v>0.69389263842733795</v>
      </c>
      <c r="U59" s="131">
        <v>0.69389263842733795</v>
      </c>
      <c r="V59" s="131">
        <v>0.69389263842733795</v>
      </c>
      <c r="W59" s="131">
        <v>0.69389263842733795</v>
      </c>
      <c r="X59" s="131">
        <v>0.69389263842733795</v>
      </c>
      <c r="Y59" s="131">
        <v>0.69389263842733795</v>
      </c>
      <c r="Z59" s="131">
        <v>0.69389263842733795</v>
      </c>
      <c r="AA59" s="131">
        <v>0.69389263842733795</v>
      </c>
      <c r="AB59" s="131">
        <v>0.69389263842733795</v>
      </c>
      <c r="AC59" s="131">
        <v>0.69389263842733795</v>
      </c>
      <c r="AD59" s="131">
        <v>0.69389263842733795</v>
      </c>
      <c r="AE59" s="131">
        <v>0.69389263842733795</v>
      </c>
      <c r="AF59" s="131">
        <v>0.69389263842733795</v>
      </c>
      <c r="AG59" s="131">
        <v>0.69389263842733795</v>
      </c>
    </row>
    <row r="60" spans="7:33">
      <c r="G60" s="43"/>
      <c r="H60" s="28"/>
      <c r="I60" s="36"/>
      <c r="J60" s="35"/>
      <c r="K60" s="115" t="s">
        <v>108</v>
      </c>
      <c r="L60" s="115" t="s">
        <v>45</v>
      </c>
      <c r="M60" s="131">
        <v>0.69389263842733795</v>
      </c>
      <c r="N60" s="131">
        <v>0.69389263842733795</v>
      </c>
      <c r="O60" s="131">
        <v>0.69389263842733795</v>
      </c>
      <c r="P60" s="131">
        <v>0.69389263842733795</v>
      </c>
      <c r="Q60" s="131">
        <v>0.69389263842733795</v>
      </c>
      <c r="R60" s="131">
        <v>0.69389263842733795</v>
      </c>
      <c r="S60" s="131">
        <v>0.69389263842733795</v>
      </c>
      <c r="T60" s="131">
        <v>0.69389263842733795</v>
      </c>
      <c r="U60" s="131">
        <v>0.69389263842733795</v>
      </c>
      <c r="V60" s="131">
        <v>0.69389263842733795</v>
      </c>
      <c r="W60" s="131">
        <v>0.69389263842733795</v>
      </c>
      <c r="X60" s="131">
        <v>0.69389263842733795</v>
      </c>
      <c r="Y60" s="131">
        <v>0.69389263842733795</v>
      </c>
      <c r="Z60" s="131">
        <v>0.69389263842733795</v>
      </c>
      <c r="AA60" s="131">
        <v>0.69389263842733795</v>
      </c>
      <c r="AB60" s="131">
        <v>0.69389263842733795</v>
      </c>
      <c r="AC60" s="131">
        <v>0.69389263842733795</v>
      </c>
      <c r="AD60" s="131">
        <v>0.69389263842733795</v>
      </c>
      <c r="AE60" s="131">
        <v>0.69389263842733795</v>
      </c>
      <c r="AF60" s="131">
        <v>0.69389263842733795</v>
      </c>
      <c r="AG60" s="131">
        <v>0.69389263842733795</v>
      </c>
    </row>
    <row r="61" spans="7:33">
      <c r="G61" s="43"/>
      <c r="H61" s="28"/>
      <c r="I61" s="36"/>
      <c r="J61" s="35"/>
      <c r="K61" s="115" t="s">
        <v>109</v>
      </c>
      <c r="L61" s="115" t="s">
        <v>102</v>
      </c>
      <c r="M61" s="131">
        <v>0.25740000000000002</v>
      </c>
      <c r="N61" s="131">
        <v>0.25740000000000002</v>
      </c>
      <c r="O61" s="131">
        <v>0.25740000000000002</v>
      </c>
      <c r="P61" s="131">
        <v>0.25740000000000002</v>
      </c>
      <c r="Q61" s="131">
        <v>0.25740000000000002</v>
      </c>
      <c r="R61" s="131">
        <v>0.25740000000000002</v>
      </c>
      <c r="S61" s="131">
        <v>0.25740000000000002</v>
      </c>
      <c r="T61" s="131">
        <v>0.25740000000000002</v>
      </c>
      <c r="U61" s="131">
        <v>0.25740000000000002</v>
      </c>
      <c r="V61" s="131">
        <v>0.25740000000000002</v>
      </c>
      <c r="W61" s="131">
        <v>0.25740000000000002</v>
      </c>
      <c r="X61" s="131">
        <v>0.25740000000000002</v>
      </c>
      <c r="Y61" s="131">
        <v>0.25740000000000002</v>
      </c>
      <c r="Z61" s="131">
        <v>0.25740000000000002</v>
      </c>
      <c r="AA61" s="131">
        <v>0.25740000000000002</v>
      </c>
      <c r="AB61" s="131">
        <v>0.25740000000000002</v>
      </c>
      <c r="AC61" s="131">
        <v>0.25740000000000002</v>
      </c>
      <c r="AD61" s="131">
        <v>0.25740000000000002</v>
      </c>
      <c r="AE61" s="131">
        <v>0.25740000000000002</v>
      </c>
      <c r="AF61" s="131">
        <v>0.25740000000000002</v>
      </c>
      <c r="AG61" s="131">
        <v>0.25740000000000002</v>
      </c>
    </row>
    <row r="62" spans="7:33">
      <c r="G62" s="43"/>
      <c r="H62" s="28"/>
      <c r="I62" s="36"/>
      <c r="J62" s="35"/>
      <c r="K62" s="115" t="s">
        <v>110</v>
      </c>
      <c r="L62" s="115" t="s">
        <v>47</v>
      </c>
      <c r="M62" s="116">
        <v>7.3364046828820806E-2</v>
      </c>
      <c r="N62" s="116">
        <v>7.3364046828820806E-2</v>
      </c>
      <c r="O62" s="116">
        <v>7.3364046828820806E-2</v>
      </c>
      <c r="P62" s="116">
        <v>7.3364046828820806E-2</v>
      </c>
      <c r="Q62" s="116">
        <v>7.3364046828820806E-2</v>
      </c>
      <c r="R62" s="116">
        <v>7.3364046828820806E-2</v>
      </c>
      <c r="S62" s="116">
        <v>7.3364046828820806E-2</v>
      </c>
      <c r="T62" s="116">
        <v>7.3364046828820806E-2</v>
      </c>
      <c r="U62" s="116">
        <v>7.3364046828820806E-2</v>
      </c>
      <c r="V62" s="116">
        <v>7.3364046828820806E-2</v>
      </c>
      <c r="W62" s="116">
        <v>7.3364046828820806E-2</v>
      </c>
      <c r="X62" s="116">
        <v>7.3364046828820806E-2</v>
      </c>
      <c r="Y62" s="116">
        <v>7.3364046828820806E-2</v>
      </c>
      <c r="Z62" s="116">
        <v>7.3364046828820806E-2</v>
      </c>
      <c r="AA62" s="116">
        <v>7.3364046828820806E-2</v>
      </c>
      <c r="AB62" s="116">
        <v>7.3364046828820806E-2</v>
      </c>
      <c r="AC62" s="116">
        <v>7.3364046828820806E-2</v>
      </c>
      <c r="AD62" s="116">
        <v>7.3364046828820806E-2</v>
      </c>
      <c r="AE62" s="116">
        <v>7.3364046828820806E-2</v>
      </c>
      <c r="AF62" s="116">
        <v>7.3364046828820806E-2</v>
      </c>
      <c r="AG62" s="116">
        <v>7.3364046828820806E-2</v>
      </c>
    </row>
    <row r="63" spans="7:33">
      <c r="G63" s="43"/>
      <c r="H63" s="28"/>
      <c r="I63" s="36"/>
      <c r="J63" s="35"/>
      <c r="K63" s="115" t="s">
        <v>110</v>
      </c>
      <c r="L63" s="115" t="s">
        <v>46</v>
      </c>
      <c r="M63" s="116">
        <v>7.3364046828820806E-2</v>
      </c>
      <c r="N63" s="116">
        <v>7.3364046828820806E-2</v>
      </c>
      <c r="O63" s="116">
        <v>7.3364046828820806E-2</v>
      </c>
      <c r="P63" s="116">
        <v>7.3364046828820806E-2</v>
      </c>
      <c r="Q63" s="116">
        <v>7.3364046828820806E-2</v>
      </c>
      <c r="R63" s="116">
        <v>7.3364046828820806E-2</v>
      </c>
      <c r="S63" s="116">
        <v>7.3364046828820806E-2</v>
      </c>
      <c r="T63" s="116">
        <v>7.3364046828820806E-2</v>
      </c>
      <c r="U63" s="116">
        <v>7.3364046828820806E-2</v>
      </c>
      <c r="V63" s="116">
        <v>7.3364046828820806E-2</v>
      </c>
      <c r="W63" s="116">
        <v>7.3364046828820806E-2</v>
      </c>
      <c r="X63" s="116">
        <v>7.3364046828820806E-2</v>
      </c>
      <c r="Y63" s="116">
        <v>7.3364046828820806E-2</v>
      </c>
      <c r="Z63" s="116">
        <v>7.3364046828820806E-2</v>
      </c>
      <c r="AA63" s="116">
        <v>7.3364046828820806E-2</v>
      </c>
      <c r="AB63" s="116">
        <v>7.3364046828820806E-2</v>
      </c>
      <c r="AC63" s="116">
        <v>7.3364046828820806E-2</v>
      </c>
      <c r="AD63" s="116">
        <v>7.3364046828820806E-2</v>
      </c>
      <c r="AE63" s="116">
        <v>7.3364046828820806E-2</v>
      </c>
      <c r="AF63" s="116">
        <v>7.3364046828820806E-2</v>
      </c>
      <c r="AG63" s="116">
        <v>7.3364046828820806E-2</v>
      </c>
    </row>
    <row r="64" spans="7:33">
      <c r="G64" s="43"/>
      <c r="H64" s="28"/>
      <c r="I64" s="36"/>
      <c r="J64" s="35"/>
      <c r="K64" s="115" t="s">
        <v>110</v>
      </c>
      <c r="L64" s="115" t="s">
        <v>45</v>
      </c>
      <c r="M64" s="116">
        <v>7.3364046828820806E-2</v>
      </c>
      <c r="N64" s="116">
        <v>7.3364046828820806E-2</v>
      </c>
      <c r="O64" s="116">
        <v>7.3364046828820806E-2</v>
      </c>
      <c r="P64" s="116">
        <v>7.3364046828820806E-2</v>
      </c>
      <c r="Q64" s="116">
        <v>7.3364046828820806E-2</v>
      </c>
      <c r="R64" s="116">
        <v>7.3364046828820806E-2</v>
      </c>
      <c r="S64" s="116">
        <v>7.3364046828820806E-2</v>
      </c>
      <c r="T64" s="116">
        <v>7.3364046828820806E-2</v>
      </c>
      <c r="U64" s="116">
        <v>7.3364046828820806E-2</v>
      </c>
      <c r="V64" s="116">
        <v>7.3364046828820806E-2</v>
      </c>
      <c r="W64" s="116">
        <v>7.3364046828820806E-2</v>
      </c>
      <c r="X64" s="116">
        <v>7.3364046828820806E-2</v>
      </c>
      <c r="Y64" s="116">
        <v>7.3364046828820806E-2</v>
      </c>
      <c r="Z64" s="116">
        <v>7.3364046828820806E-2</v>
      </c>
      <c r="AA64" s="116">
        <v>7.3364046828820806E-2</v>
      </c>
      <c r="AB64" s="116">
        <v>7.3364046828820806E-2</v>
      </c>
      <c r="AC64" s="116">
        <v>7.3364046828820806E-2</v>
      </c>
      <c r="AD64" s="116">
        <v>7.3364046828820806E-2</v>
      </c>
      <c r="AE64" s="116">
        <v>7.3364046828820806E-2</v>
      </c>
      <c r="AF64" s="116">
        <v>7.3364046828820806E-2</v>
      </c>
      <c r="AG64" s="116">
        <v>7.3364046828820806E-2</v>
      </c>
    </row>
    <row r="65" spans="4:74">
      <c r="D65" s="36"/>
      <c r="E65" s="36"/>
      <c r="F65" s="36"/>
      <c r="G65" s="43"/>
      <c r="H65" s="28"/>
      <c r="I65" s="36"/>
      <c r="J65" s="35"/>
      <c r="K65" s="115" t="s">
        <v>111</v>
      </c>
      <c r="L65" s="115" t="s">
        <v>47</v>
      </c>
      <c r="M65" s="117">
        <v>4.7184435930556878E-2</v>
      </c>
      <c r="N65" s="117">
        <v>4.7184435930556878E-2</v>
      </c>
      <c r="O65" s="117">
        <v>4.7184435930556878E-2</v>
      </c>
      <c r="P65" s="117">
        <v>4.7184435930556878E-2</v>
      </c>
      <c r="Q65" s="117">
        <v>4.7184435930556878E-2</v>
      </c>
      <c r="R65" s="117">
        <v>4.7184435930556878E-2</v>
      </c>
      <c r="S65" s="117">
        <v>4.7184435930556878E-2</v>
      </c>
      <c r="T65" s="117">
        <v>4.7184435930556878E-2</v>
      </c>
      <c r="U65" s="117">
        <v>4.7184435930556878E-2</v>
      </c>
      <c r="V65" s="117">
        <v>4.7184435930556878E-2</v>
      </c>
      <c r="W65" s="117">
        <v>4.7184435930556878E-2</v>
      </c>
      <c r="X65" s="117">
        <v>4.7184435930556878E-2</v>
      </c>
      <c r="Y65" s="117">
        <v>4.7184435930556878E-2</v>
      </c>
      <c r="Z65" s="117">
        <v>4.7184435930556878E-2</v>
      </c>
      <c r="AA65" s="117">
        <v>4.7184435930556878E-2</v>
      </c>
      <c r="AB65" s="117">
        <v>4.7184435930556878E-2</v>
      </c>
      <c r="AC65" s="117">
        <v>4.7184435930556878E-2</v>
      </c>
      <c r="AD65" s="117">
        <v>4.7184435930556878E-2</v>
      </c>
      <c r="AE65" s="117">
        <v>4.7184435930556878E-2</v>
      </c>
      <c r="AF65" s="117">
        <v>4.7184435930556878E-2</v>
      </c>
      <c r="AG65" s="117">
        <v>4.7184435930556878E-2</v>
      </c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</row>
    <row r="66" spans="4:74">
      <c r="D66" s="36"/>
      <c r="E66" s="36"/>
      <c r="F66" s="36"/>
      <c r="G66" s="43"/>
      <c r="H66" s="28"/>
      <c r="I66" s="36"/>
      <c r="J66" s="35"/>
      <c r="K66" s="115" t="s">
        <v>111</v>
      </c>
      <c r="L66" s="115" t="s">
        <v>46</v>
      </c>
      <c r="M66" s="117">
        <v>4.7184435930556878E-2</v>
      </c>
      <c r="N66" s="117">
        <v>4.7184435930556878E-2</v>
      </c>
      <c r="O66" s="117">
        <v>4.7184435930556878E-2</v>
      </c>
      <c r="P66" s="117">
        <v>4.7184435930556878E-2</v>
      </c>
      <c r="Q66" s="117">
        <v>4.7184435930556878E-2</v>
      </c>
      <c r="R66" s="117">
        <v>4.7184435930556878E-2</v>
      </c>
      <c r="S66" s="117">
        <v>4.7184435930556878E-2</v>
      </c>
      <c r="T66" s="117">
        <v>4.7184435930556878E-2</v>
      </c>
      <c r="U66" s="117">
        <v>4.7184435930556878E-2</v>
      </c>
      <c r="V66" s="117">
        <v>4.7184435930556878E-2</v>
      </c>
      <c r="W66" s="117">
        <v>4.7184435930556878E-2</v>
      </c>
      <c r="X66" s="117">
        <v>4.7184435930556878E-2</v>
      </c>
      <c r="Y66" s="117">
        <v>4.7184435930556878E-2</v>
      </c>
      <c r="Z66" s="117">
        <v>4.7184435930556878E-2</v>
      </c>
      <c r="AA66" s="117">
        <v>4.7184435930556878E-2</v>
      </c>
      <c r="AB66" s="117">
        <v>4.7184435930556878E-2</v>
      </c>
      <c r="AC66" s="117">
        <v>4.7184435930556878E-2</v>
      </c>
      <c r="AD66" s="117">
        <v>4.7184435930556878E-2</v>
      </c>
      <c r="AE66" s="117">
        <v>4.7184435930556878E-2</v>
      </c>
      <c r="AF66" s="117">
        <v>4.7184435930556878E-2</v>
      </c>
      <c r="AG66" s="117">
        <v>4.7184435930556878E-2</v>
      </c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</row>
    <row r="67" spans="4:74">
      <c r="D67" s="36"/>
      <c r="E67" s="36"/>
      <c r="F67" s="36"/>
      <c r="G67" s="43"/>
      <c r="H67" s="28"/>
      <c r="I67" s="36"/>
      <c r="J67" s="35"/>
      <c r="K67" s="115" t="s">
        <v>111</v>
      </c>
      <c r="L67" s="115" t="s">
        <v>45</v>
      </c>
      <c r="M67" s="117">
        <v>4.7184435930556878E-2</v>
      </c>
      <c r="N67" s="117">
        <v>4.7184435930556878E-2</v>
      </c>
      <c r="O67" s="117">
        <v>4.7184435930556878E-2</v>
      </c>
      <c r="P67" s="117">
        <v>4.7184435930556878E-2</v>
      </c>
      <c r="Q67" s="117">
        <v>4.7184435930556878E-2</v>
      </c>
      <c r="R67" s="117">
        <v>4.7184435930556878E-2</v>
      </c>
      <c r="S67" s="117">
        <v>4.7184435930556878E-2</v>
      </c>
      <c r="T67" s="117">
        <v>4.7184435930556878E-2</v>
      </c>
      <c r="U67" s="117">
        <v>4.7184435930556878E-2</v>
      </c>
      <c r="V67" s="117">
        <v>4.7184435930556878E-2</v>
      </c>
      <c r="W67" s="117">
        <v>4.7184435930556878E-2</v>
      </c>
      <c r="X67" s="117">
        <v>4.7184435930556878E-2</v>
      </c>
      <c r="Y67" s="117">
        <v>4.7184435930556878E-2</v>
      </c>
      <c r="Z67" s="117">
        <v>4.7184435930556878E-2</v>
      </c>
      <c r="AA67" s="117">
        <v>4.7184435930556878E-2</v>
      </c>
      <c r="AB67" s="117">
        <v>4.7184435930556878E-2</v>
      </c>
      <c r="AC67" s="117">
        <v>4.7184435930556878E-2</v>
      </c>
      <c r="AD67" s="117">
        <v>4.7184435930556878E-2</v>
      </c>
      <c r="AE67" s="117">
        <v>4.7184435930556878E-2</v>
      </c>
      <c r="AF67" s="117">
        <v>4.7184435930556878E-2</v>
      </c>
      <c r="AG67" s="117">
        <v>4.7184435930556878E-2</v>
      </c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</row>
    <row r="68" spans="4:74">
      <c r="D68" s="36"/>
      <c r="E68" s="36"/>
      <c r="F68" s="36"/>
      <c r="G68" s="43"/>
      <c r="H68" s="28"/>
      <c r="I68" s="36"/>
      <c r="J68" s="35"/>
      <c r="K68" s="114" t="s">
        <v>112</v>
      </c>
      <c r="L68" s="115" t="s">
        <v>47</v>
      </c>
      <c r="M68" s="116">
        <v>7.4427978094173411E-2</v>
      </c>
      <c r="N68" s="116">
        <v>7.4427978094173411E-2</v>
      </c>
      <c r="O68" s="116">
        <v>7.4427978094173411E-2</v>
      </c>
      <c r="P68" s="116">
        <v>7.4427978094173411E-2</v>
      </c>
      <c r="Q68" s="116">
        <v>7.4427978094173411E-2</v>
      </c>
      <c r="R68" s="116">
        <v>7.4427978094173411E-2</v>
      </c>
      <c r="S68" s="116">
        <v>7.4427978094173411E-2</v>
      </c>
      <c r="T68" s="116">
        <v>7.4427978094173411E-2</v>
      </c>
      <c r="U68" s="116">
        <v>7.4427978094173411E-2</v>
      </c>
      <c r="V68" s="116">
        <v>7.4427978094173411E-2</v>
      </c>
      <c r="W68" s="116">
        <v>7.4427978094173411E-2</v>
      </c>
      <c r="X68" s="116">
        <v>7.4427978094173411E-2</v>
      </c>
      <c r="Y68" s="116">
        <v>7.4427978094173411E-2</v>
      </c>
      <c r="Z68" s="116">
        <v>7.4427978094173411E-2</v>
      </c>
      <c r="AA68" s="116">
        <v>7.4427978094173411E-2</v>
      </c>
      <c r="AB68" s="116">
        <v>7.4427978094173411E-2</v>
      </c>
      <c r="AC68" s="116">
        <v>7.4427978094173411E-2</v>
      </c>
      <c r="AD68" s="116">
        <v>7.4427978094173411E-2</v>
      </c>
      <c r="AE68" s="116">
        <v>7.4427978094173411E-2</v>
      </c>
      <c r="AF68" s="116">
        <v>7.4427978094173411E-2</v>
      </c>
      <c r="AG68" s="116">
        <v>7.4427978094173411E-2</v>
      </c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</row>
    <row r="69" spans="4:74">
      <c r="D69" s="36"/>
      <c r="E69" s="36"/>
      <c r="F69" s="36"/>
      <c r="G69" s="43"/>
      <c r="H69" s="28"/>
      <c r="I69" s="36"/>
      <c r="J69" s="35"/>
      <c r="K69" s="114" t="s">
        <v>112</v>
      </c>
      <c r="L69" s="115" t="s">
        <v>46</v>
      </c>
      <c r="M69" s="116">
        <v>7.4427978094173411E-2</v>
      </c>
      <c r="N69" s="116">
        <v>7.4427978094173411E-2</v>
      </c>
      <c r="O69" s="116">
        <v>7.4427978094173411E-2</v>
      </c>
      <c r="P69" s="116">
        <v>7.4427978094173411E-2</v>
      </c>
      <c r="Q69" s="116">
        <v>7.4427978094173411E-2</v>
      </c>
      <c r="R69" s="116">
        <v>7.4427978094173411E-2</v>
      </c>
      <c r="S69" s="116">
        <v>7.4427978094173411E-2</v>
      </c>
      <c r="T69" s="116">
        <v>7.4427978094173411E-2</v>
      </c>
      <c r="U69" s="116">
        <v>7.4427978094173411E-2</v>
      </c>
      <c r="V69" s="116">
        <v>7.4427978094173411E-2</v>
      </c>
      <c r="W69" s="116">
        <v>7.4427978094173411E-2</v>
      </c>
      <c r="X69" s="116">
        <v>7.4427978094173411E-2</v>
      </c>
      <c r="Y69" s="116">
        <v>7.4427978094173411E-2</v>
      </c>
      <c r="Z69" s="116">
        <v>7.4427978094173411E-2</v>
      </c>
      <c r="AA69" s="116">
        <v>7.4427978094173411E-2</v>
      </c>
      <c r="AB69" s="116">
        <v>7.4427978094173411E-2</v>
      </c>
      <c r="AC69" s="116">
        <v>7.4427978094173411E-2</v>
      </c>
      <c r="AD69" s="116">
        <v>7.4427978094173411E-2</v>
      </c>
      <c r="AE69" s="116">
        <v>7.4427978094173411E-2</v>
      </c>
      <c r="AF69" s="116">
        <v>7.4427978094173411E-2</v>
      </c>
      <c r="AG69" s="116">
        <v>7.4427978094173411E-2</v>
      </c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</row>
    <row r="70" spans="4:74">
      <c r="D70" s="36"/>
      <c r="E70" s="36"/>
      <c r="F70" s="36"/>
      <c r="G70" s="43"/>
      <c r="H70" s="28"/>
      <c r="I70" s="36"/>
      <c r="J70" s="35"/>
      <c r="K70" s="114" t="s">
        <v>112</v>
      </c>
      <c r="L70" s="115" t="s">
        <v>45</v>
      </c>
      <c r="M70" s="116">
        <v>7.4427978094173411E-2</v>
      </c>
      <c r="N70" s="116">
        <v>7.4427978094173411E-2</v>
      </c>
      <c r="O70" s="116">
        <v>7.4427978094173411E-2</v>
      </c>
      <c r="P70" s="116">
        <v>7.4427978094173411E-2</v>
      </c>
      <c r="Q70" s="116">
        <v>7.4427978094173411E-2</v>
      </c>
      <c r="R70" s="116">
        <v>7.4427978094173411E-2</v>
      </c>
      <c r="S70" s="116">
        <v>7.4427978094173411E-2</v>
      </c>
      <c r="T70" s="116">
        <v>7.4427978094173411E-2</v>
      </c>
      <c r="U70" s="116">
        <v>7.4427978094173411E-2</v>
      </c>
      <c r="V70" s="116">
        <v>7.4427978094173411E-2</v>
      </c>
      <c r="W70" s="116">
        <v>7.4427978094173411E-2</v>
      </c>
      <c r="X70" s="116">
        <v>7.4427978094173411E-2</v>
      </c>
      <c r="Y70" s="116">
        <v>7.4427978094173411E-2</v>
      </c>
      <c r="Z70" s="116">
        <v>7.4427978094173411E-2</v>
      </c>
      <c r="AA70" s="116">
        <v>7.4427978094173411E-2</v>
      </c>
      <c r="AB70" s="116">
        <v>7.4427978094173411E-2</v>
      </c>
      <c r="AC70" s="116">
        <v>7.4427978094173411E-2</v>
      </c>
      <c r="AD70" s="116">
        <v>7.4427978094173411E-2</v>
      </c>
      <c r="AE70" s="116">
        <v>7.4427978094173411E-2</v>
      </c>
      <c r="AF70" s="116">
        <v>7.4427978094173411E-2</v>
      </c>
      <c r="AG70" s="116">
        <v>7.4427978094173411E-2</v>
      </c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</row>
    <row r="71" spans="4:74">
      <c r="D71" s="36"/>
      <c r="E71" s="36"/>
      <c r="F71" s="36"/>
      <c r="G71" s="43"/>
      <c r="H71" s="28"/>
      <c r="I71" s="36"/>
      <c r="J71" s="35"/>
      <c r="K71" s="114" t="s">
        <v>113</v>
      </c>
      <c r="L71" s="115" t="s">
        <v>47</v>
      </c>
      <c r="M71" s="116">
        <v>5.0351226382418145E-2</v>
      </c>
      <c r="N71" s="116">
        <v>5.0351226382418145E-2</v>
      </c>
      <c r="O71" s="116">
        <v>5.0351226382418145E-2</v>
      </c>
      <c r="P71" s="116">
        <v>5.0351226382418145E-2</v>
      </c>
      <c r="Q71" s="116">
        <v>5.0351226382418145E-2</v>
      </c>
      <c r="R71" s="116">
        <v>5.0351226382418145E-2</v>
      </c>
      <c r="S71" s="116">
        <v>5.0351226382418145E-2</v>
      </c>
      <c r="T71" s="116">
        <v>5.0351226382418145E-2</v>
      </c>
      <c r="U71" s="116">
        <v>5.0351226382418145E-2</v>
      </c>
      <c r="V71" s="116">
        <v>5.0351226382418145E-2</v>
      </c>
      <c r="W71" s="116">
        <v>5.0351226382418145E-2</v>
      </c>
      <c r="X71" s="116">
        <v>5.0351226382418145E-2</v>
      </c>
      <c r="Y71" s="116">
        <v>5.0351226382418145E-2</v>
      </c>
      <c r="Z71" s="116">
        <v>5.0351226382418145E-2</v>
      </c>
      <c r="AA71" s="116">
        <v>5.0351226382418145E-2</v>
      </c>
      <c r="AB71" s="116">
        <v>5.0351226382418145E-2</v>
      </c>
      <c r="AC71" s="116">
        <v>5.0351226382418145E-2</v>
      </c>
      <c r="AD71" s="116">
        <v>5.0351226382418145E-2</v>
      </c>
      <c r="AE71" s="116">
        <v>5.0351226382418145E-2</v>
      </c>
      <c r="AF71" s="116">
        <v>5.0351226382418145E-2</v>
      </c>
      <c r="AG71" s="116">
        <v>5.0351226382418145E-2</v>
      </c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</row>
    <row r="72" spans="4:74">
      <c r="D72" s="36"/>
      <c r="E72" s="36"/>
      <c r="F72" s="36"/>
      <c r="G72" s="43"/>
      <c r="H72" s="28"/>
      <c r="I72" s="36"/>
      <c r="J72" s="35"/>
      <c r="K72" s="114" t="s">
        <v>113</v>
      </c>
      <c r="L72" s="115" t="s">
        <v>46</v>
      </c>
      <c r="M72" s="116">
        <v>5.0351226382418145E-2</v>
      </c>
      <c r="N72" s="116">
        <v>5.0351226382418145E-2</v>
      </c>
      <c r="O72" s="116">
        <v>5.0351226382418145E-2</v>
      </c>
      <c r="P72" s="116">
        <v>5.0351226382418145E-2</v>
      </c>
      <c r="Q72" s="116">
        <v>5.0351226382418145E-2</v>
      </c>
      <c r="R72" s="116">
        <v>5.0351226382418145E-2</v>
      </c>
      <c r="S72" s="116">
        <v>5.0351226382418145E-2</v>
      </c>
      <c r="T72" s="116">
        <v>5.0351226382418145E-2</v>
      </c>
      <c r="U72" s="116">
        <v>5.0351226382418145E-2</v>
      </c>
      <c r="V72" s="116">
        <v>5.0351226382418145E-2</v>
      </c>
      <c r="W72" s="116">
        <v>5.0351226382418145E-2</v>
      </c>
      <c r="X72" s="116">
        <v>5.0351226382418145E-2</v>
      </c>
      <c r="Y72" s="116">
        <v>5.0351226382418145E-2</v>
      </c>
      <c r="Z72" s="116">
        <v>5.0351226382418145E-2</v>
      </c>
      <c r="AA72" s="116">
        <v>5.0351226382418145E-2</v>
      </c>
      <c r="AB72" s="116">
        <v>5.0351226382418145E-2</v>
      </c>
      <c r="AC72" s="116">
        <v>5.0351226382418145E-2</v>
      </c>
      <c r="AD72" s="116">
        <v>5.0351226382418145E-2</v>
      </c>
      <c r="AE72" s="116">
        <v>5.0351226382418145E-2</v>
      </c>
      <c r="AF72" s="116">
        <v>5.0351226382418145E-2</v>
      </c>
      <c r="AG72" s="116">
        <v>5.0351226382418145E-2</v>
      </c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</row>
    <row r="73" spans="4:74" ht="15.75" thickBot="1">
      <c r="D73" s="36"/>
      <c r="E73" s="36"/>
      <c r="F73" s="36"/>
      <c r="G73" s="73"/>
      <c r="H73" s="28"/>
      <c r="I73" s="36"/>
      <c r="J73" s="35"/>
      <c r="K73" s="114" t="s">
        <v>113</v>
      </c>
      <c r="L73" s="115" t="s">
        <v>45</v>
      </c>
      <c r="M73" s="116">
        <v>5.0351226382418145E-2</v>
      </c>
      <c r="N73" s="116">
        <v>5.0351226382418145E-2</v>
      </c>
      <c r="O73" s="116">
        <v>5.0351226382418145E-2</v>
      </c>
      <c r="P73" s="116">
        <v>5.0351226382418145E-2</v>
      </c>
      <c r="Q73" s="116">
        <v>5.0351226382418145E-2</v>
      </c>
      <c r="R73" s="116">
        <v>5.0351226382418145E-2</v>
      </c>
      <c r="S73" s="116">
        <v>5.0351226382418145E-2</v>
      </c>
      <c r="T73" s="116">
        <v>5.0351226382418145E-2</v>
      </c>
      <c r="U73" s="116">
        <v>5.0351226382418145E-2</v>
      </c>
      <c r="V73" s="116">
        <v>5.0351226382418145E-2</v>
      </c>
      <c r="W73" s="116">
        <v>5.0351226382418145E-2</v>
      </c>
      <c r="X73" s="116">
        <v>5.0351226382418145E-2</v>
      </c>
      <c r="Y73" s="116">
        <v>5.0351226382418145E-2</v>
      </c>
      <c r="Z73" s="116">
        <v>5.0351226382418145E-2</v>
      </c>
      <c r="AA73" s="116">
        <v>5.0351226382418145E-2</v>
      </c>
      <c r="AB73" s="116">
        <v>5.0351226382418145E-2</v>
      </c>
      <c r="AC73" s="116">
        <v>5.0351226382418145E-2</v>
      </c>
      <c r="AD73" s="116">
        <v>5.0351226382418145E-2</v>
      </c>
      <c r="AE73" s="116">
        <v>5.0351226382418145E-2</v>
      </c>
      <c r="AF73" s="116">
        <v>5.0351226382418145E-2</v>
      </c>
      <c r="AG73" s="116">
        <v>5.0351226382418145E-2</v>
      </c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  <c r="BK73" s="36"/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</row>
    <row r="74" spans="4:74">
      <c r="D74" s="36"/>
      <c r="E74" s="36"/>
      <c r="F74" s="36"/>
      <c r="G74" s="44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6"/>
      <c r="AF74" s="43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</row>
    <row r="75" spans="4:74">
      <c r="D75" s="36"/>
      <c r="E75" s="36"/>
      <c r="F75" s="36"/>
      <c r="G75" s="36"/>
      <c r="H75" s="81" t="s">
        <v>114</v>
      </c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</row>
    <row r="78" spans="4:74">
      <c r="D78" s="36"/>
      <c r="E78" s="36"/>
      <c r="F78" s="36"/>
      <c r="G78" s="41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</row>
    <row r="79" spans="4:74">
      <c r="D79" s="97" t="s">
        <v>40</v>
      </c>
      <c r="E79" s="36"/>
      <c r="F79" s="36"/>
      <c r="G79" s="32" t="s">
        <v>115</v>
      </c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161"/>
      <c r="W79" s="161"/>
      <c r="X79" s="161"/>
      <c r="Y79" s="161"/>
      <c r="Z79" s="161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</row>
    <row r="80" spans="4:74">
      <c r="D80" s="36"/>
      <c r="E80" s="36"/>
      <c r="F80" s="36"/>
      <c r="G80" s="43"/>
      <c r="H80" s="36"/>
      <c r="I80" s="36"/>
      <c r="J80" s="36"/>
      <c r="K80" s="36"/>
      <c r="L80" s="36"/>
      <c r="M80" s="81" t="s">
        <v>116</v>
      </c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</row>
    <row r="81" spans="7:60">
      <c r="G81" s="43"/>
      <c r="H81" s="36"/>
      <c r="I81" s="36"/>
      <c r="J81" s="36"/>
      <c r="K81" s="36"/>
      <c r="L81" s="36"/>
      <c r="M81" s="82">
        <v>2030</v>
      </c>
      <c r="N81" s="82">
        <v>2031</v>
      </c>
      <c r="O81" s="82">
        <v>2032</v>
      </c>
      <c r="P81" s="82">
        <v>2033</v>
      </c>
      <c r="Q81" s="82">
        <v>2034</v>
      </c>
      <c r="R81" s="82">
        <v>2035</v>
      </c>
      <c r="S81" s="82">
        <v>2036</v>
      </c>
      <c r="T81" s="82">
        <v>2037</v>
      </c>
      <c r="U81" s="82">
        <v>2038</v>
      </c>
      <c r="V81" s="82">
        <v>2039</v>
      </c>
      <c r="W81" s="82">
        <v>2040</v>
      </c>
      <c r="X81" s="82">
        <v>2041</v>
      </c>
      <c r="Y81" s="82">
        <v>2042</v>
      </c>
      <c r="Z81" s="82">
        <v>2043</v>
      </c>
      <c r="AA81" s="82">
        <v>2044</v>
      </c>
      <c r="AB81" s="82">
        <v>2045</v>
      </c>
      <c r="AC81" s="82">
        <v>2046</v>
      </c>
      <c r="AD81" s="82">
        <v>2047</v>
      </c>
      <c r="AE81" s="82">
        <v>2048</v>
      </c>
      <c r="AF81" s="82">
        <v>2049</v>
      </c>
      <c r="AG81" s="82">
        <v>2050</v>
      </c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</row>
    <row r="82" spans="7:60">
      <c r="G82" s="43"/>
      <c r="H82" s="36"/>
      <c r="I82" s="36"/>
      <c r="J82" s="35" t="s">
        <v>117</v>
      </c>
      <c r="K82" s="75" t="s">
        <v>56</v>
      </c>
      <c r="L82" s="75" t="s">
        <v>47</v>
      </c>
      <c r="M82" s="47">
        <v>0.93</v>
      </c>
      <c r="N82" s="47">
        <v>0.93</v>
      </c>
      <c r="O82" s="47">
        <v>0.93</v>
      </c>
      <c r="P82" s="47">
        <v>0.93</v>
      </c>
      <c r="Q82" s="47">
        <v>0.93</v>
      </c>
      <c r="R82" s="47">
        <v>0.93</v>
      </c>
      <c r="S82" s="47">
        <v>0.93</v>
      </c>
      <c r="T82" s="47">
        <v>0.93</v>
      </c>
      <c r="U82" s="47">
        <v>0.93</v>
      </c>
      <c r="V82" s="47">
        <v>0.93</v>
      </c>
      <c r="W82" s="47">
        <v>0.93</v>
      </c>
      <c r="X82" s="47">
        <v>0.93</v>
      </c>
      <c r="Y82" s="47">
        <v>0.93</v>
      </c>
      <c r="Z82" s="47">
        <v>0.93</v>
      </c>
      <c r="AA82" s="47">
        <v>0.93</v>
      </c>
      <c r="AB82" s="47">
        <v>0.93</v>
      </c>
      <c r="AC82" s="47">
        <v>0.93</v>
      </c>
      <c r="AD82" s="47">
        <v>0.93</v>
      </c>
      <c r="AE82" s="47">
        <v>0.93</v>
      </c>
      <c r="AF82" s="47">
        <v>0.93</v>
      </c>
      <c r="AG82" s="47">
        <v>0.93</v>
      </c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</row>
    <row r="83" spans="7:60">
      <c r="G83" s="43"/>
      <c r="H83" s="27" t="s">
        <v>118</v>
      </c>
      <c r="I83" s="36"/>
      <c r="J83" s="35"/>
      <c r="K83" s="75" t="s">
        <v>56</v>
      </c>
      <c r="L83" s="75" t="s">
        <v>46</v>
      </c>
      <c r="M83" s="47">
        <v>0.93</v>
      </c>
      <c r="N83" s="47">
        <v>0.93</v>
      </c>
      <c r="O83" s="47">
        <v>0.93</v>
      </c>
      <c r="P83" s="47">
        <v>0.93</v>
      </c>
      <c r="Q83" s="47">
        <v>0.93</v>
      </c>
      <c r="R83" s="47">
        <v>0.93</v>
      </c>
      <c r="S83" s="47">
        <v>0.93</v>
      </c>
      <c r="T83" s="47">
        <v>0.93</v>
      </c>
      <c r="U83" s="47">
        <v>0.93</v>
      </c>
      <c r="V83" s="47">
        <v>0.93</v>
      </c>
      <c r="W83" s="47">
        <v>0.93</v>
      </c>
      <c r="X83" s="47">
        <v>0.93</v>
      </c>
      <c r="Y83" s="47">
        <v>0.93</v>
      </c>
      <c r="Z83" s="47">
        <v>0.93</v>
      </c>
      <c r="AA83" s="47">
        <v>0.93</v>
      </c>
      <c r="AB83" s="47">
        <v>0.93</v>
      </c>
      <c r="AC83" s="47">
        <v>0.93</v>
      </c>
      <c r="AD83" s="47">
        <v>0.93</v>
      </c>
      <c r="AE83" s="47">
        <v>0.93</v>
      </c>
      <c r="AF83" s="47">
        <v>0.93</v>
      </c>
      <c r="AG83" s="47">
        <v>0.93</v>
      </c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</row>
    <row r="84" spans="7:60">
      <c r="G84" s="43"/>
      <c r="H84" s="27"/>
      <c r="I84" s="36"/>
      <c r="J84" s="35"/>
      <c r="K84" s="75" t="s">
        <v>56</v>
      </c>
      <c r="L84" s="75" t="s">
        <v>45</v>
      </c>
      <c r="M84" s="47">
        <v>0.93</v>
      </c>
      <c r="N84" s="47">
        <v>0.93</v>
      </c>
      <c r="O84" s="47">
        <v>0.93</v>
      </c>
      <c r="P84" s="47">
        <v>0.93</v>
      </c>
      <c r="Q84" s="47">
        <v>0.93</v>
      </c>
      <c r="R84" s="47">
        <v>0.93</v>
      </c>
      <c r="S84" s="47">
        <v>0.93</v>
      </c>
      <c r="T84" s="47">
        <v>0.93</v>
      </c>
      <c r="U84" s="47">
        <v>0.93</v>
      </c>
      <c r="V84" s="47">
        <v>0.93</v>
      </c>
      <c r="W84" s="47">
        <v>0.93</v>
      </c>
      <c r="X84" s="47">
        <v>0.93</v>
      </c>
      <c r="Y84" s="47">
        <v>0.93</v>
      </c>
      <c r="Z84" s="47">
        <v>0.93</v>
      </c>
      <c r="AA84" s="47">
        <v>0.93</v>
      </c>
      <c r="AB84" s="47">
        <v>0.93</v>
      </c>
      <c r="AC84" s="47">
        <v>0.93</v>
      </c>
      <c r="AD84" s="47">
        <v>0.93</v>
      </c>
      <c r="AE84" s="47">
        <v>0.93</v>
      </c>
      <c r="AF84" s="47">
        <v>0.93</v>
      </c>
      <c r="AG84" s="47">
        <v>0.93</v>
      </c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</row>
    <row r="85" spans="7:60">
      <c r="G85" s="43"/>
      <c r="H85" s="27"/>
      <c r="I85" s="36"/>
      <c r="J85" s="35"/>
      <c r="K85" s="75" t="s">
        <v>58</v>
      </c>
      <c r="L85" s="75" t="s">
        <v>47</v>
      </c>
      <c r="M85" s="47">
        <v>0.93</v>
      </c>
      <c r="N85" s="47">
        <v>0.93</v>
      </c>
      <c r="O85" s="47">
        <v>0.93</v>
      </c>
      <c r="P85" s="47">
        <v>0.93</v>
      </c>
      <c r="Q85" s="47">
        <v>0.93</v>
      </c>
      <c r="R85" s="47">
        <v>0.93</v>
      </c>
      <c r="S85" s="47">
        <v>0.93</v>
      </c>
      <c r="T85" s="47">
        <v>0.93</v>
      </c>
      <c r="U85" s="47">
        <v>0.93</v>
      </c>
      <c r="V85" s="47">
        <v>0.93</v>
      </c>
      <c r="W85" s="47">
        <v>0.93</v>
      </c>
      <c r="X85" s="47">
        <v>0.93</v>
      </c>
      <c r="Y85" s="47">
        <v>0.93</v>
      </c>
      <c r="Z85" s="47">
        <v>0.93</v>
      </c>
      <c r="AA85" s="47">
        <v>0.93</v>
      </c>
      <c r="AB85" s="47">
        <v>0.93</v>
      </c>
      <c r="AC85" s="47">
        <v>0.93</v>
      </c>
      <c r="AD85" s="47">
        <v>0.93</v>
      </c>
      <c r="AE85" s="47">
        <v>0.93</v>
      </c>
      <c r="AF85" s="47">
        <v>0.93</v>
      </c>
      <c r="AG85" s="47">
        <v>0.93</v>
      </c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</row>
    <row r="86" spans="7:60">
      <c r="G86" s="43"/>
      <c r="H86" s="27"/>
      <c r="I86" s="36"/>
      <c r="J86" s="35"/>
      <c r="K86" s="75" t="s">
        <v>58</v>
      </c>
      <c r="L86" s="75" t="s">
        <v>46</v>
      </c>
      <c r="M86" s="47">
        <v>0.93</v>
      </c>
      <c r="N86" s="47">
        <v>0.93</v>
      </c>
      <c r="O86" s="47">
        <v>0.93</v>
      </c>
      <c r="P86" s="47">
        <v>0.93</v>
      </c>
      <c r="Q86" s="47">
        <v>0.93</v>
      </c>
      <c r="R86" s="47">
        <v>0.93</v>
      </c>
      <c r="S86" s="47">
        <v>0.93</v>
      </c>
      <c r="T86" s="47">
        <v>0.93</v>
      </c>
      <c r="U86" s="47">
        <v>0.93</v>
      </c>
      <c r="V86" s="47">
        <v>0.93</v>
      </c>
      <c r="W86" s="47">
        <v>0.93</v>
      </c>
      <c r="X86" s="47">
        <v>0.93</v>
      </c>
      <c r="Y86" s="47">
        <v>0.93</v>
      </c>
      <c r="Z86" s="47">
        <v>0.93</v>
      </c>
      <c r="AA86" s="47">
        <v>0.93</v>
      </c>
      <c r="AB86" s="47">
        <v>0.93</v>
      </c>
      <c r="AC86" s="47">
        <v>0.93</v>
      </c>
      <c r="AD86" s="47">
        <v>0.93</v>
      </c>
      <c r="AE86" s="47">
        <v>0.93</v>
      </c>
      <c r="AF86" s="47">
        <v>0.93</v>
      </c>
      <c r="AG86" s="47">
        <v>0.93</v>
      </c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</row>
    <row r="87" spans="7:60">
      <c r="G87" s="43"/>
      <c r="H87" s="27"/>
      <c r="I87" s="36"/>
      <c r="J87" s="35"/>
      <c r="K87" s="75" t="s">
        <v>58</v>
      </c>
      <c r="L87" s="75" t="s">
        <v>45</v>
      </c>
      <c r="M87" s="47">
        <v>0.93</v>
      </c>
      <c r="N87" s="47">
        <v>0.93</v>
      </c>
      <c r="O87" s="47">
        <v>0.93</v>
      </c>
      <c r="P87" s="47">
        <v>0.93</v>
      </c>
      <c r="Q87" s="47">
        <v>0.93</v>
      </c>
      <c r="R87" s="47">
        <v>0.93</v>
      </c>
      <c r="S87" s="47">
        <v>0.93</v>
      </c>
      <c r="T87" s="47">
        <v>0.93</v>
      </c>
      <c r="U87" s="47">
        <v>0.93</v>
      </c>
      <c r="V87" s="47">
        <v>0.93</v>
      </c>
      <c r="W87" s="47">
        <v>0.93</v>
      </c>
      <c r="X87" s="47">
        <v>0.93</v>
      </c>
      <c r="Y87" s="47">
        <v>0.93</v>
      </c>
      <c r="Z87" s="47">
        <v>0.93</v>
      </c>
      <c r="AA87" s="47">
        <v>0.93</v>
      </c>
      <c r="AB87" s="47">
        <v>0.93</v>
      </c>
      <c r="AC87" s="47">
        <v>0.93</v>
      </c>
      <c r="AD87" s="47">
        <v>0.93</v>
      </c>
      <c r="AE87" s="47">
        <v>0.93</v>
      </c>
      <c r="AF87" s="47">
        <v>0.93</v>
      </c>
      <c r="AG87" s="47">
        <v>0.93</v>
      </c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</row>
    <row r="88" spans="7:60">
      <c r="G88" s="43"/>
      <c r="H88" s="27"/>
      <c r="I88" s="36"/>
      <c r="J88" s="108"/>
      <c r="K88" s="75"/>
      <c r="L88" s="75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</row>
    <row r="89" spans="7:60">
      <c r="G89" s="43"/>
      <c r="H89" s="27"/>
      <c r="I89" s="36"/>
      <c r="J89" s="151"/>
      <c r="K89" s="76"/>
      <c r="L89" s="75"/>
      <c r="M89" s="82">
        <v>2030</v>
      </c>
      <c r="N89" s="82">
        <v>2031</v>
      </c>
      <c r="O89" s="82">
        <v>2032</v>
      </c>
      <c r="P89" s="82">
        <v>2033</v>
      </c>
      <c r="Q89" s="82">
        <v>2034</v>
      </c>
      <c r="R89" s="82">
        <v>2035</v>
      </c>
      <c r="S89" s="82">
        <v>2036</v>
      </c>
      <c r="T89" s="82">
        <v>2037</v>
      </c>
      <c r="U89" s="82">
        <v>2038</v>
      </c>
      <c r="V89" s="82">
        <v>2039</v>
      </c>
      <c r="W89" s="82">
        <v>2040</v>
      </c>
      <c r="X89" s="82">
        <v>2041</v>
      </c>
      <c r="Y89" s="82">
        <v>2042</v>
      </c>
      <c r="Z89" s="82">
        <v>2043</v>
      </c>
      <c r="AA89" s="82">
        <v>2044</v>
      </c>
      <c r="AB89" s="82">
        <v>2045</v>
      </c>
      <c r="AC89" s="82">
        <v>2046</v>
      </c>
      <c r="AD89" s="82">
        <v>2047</v>
      </c>
      <c r="AE89" s="82">
        <v>2048</v>
      </c>
      <c r="AF89" s="82">
        <v>2049</v>
      </c>
      <c r="AG89" s="82">
        <v>2050</v>
      </c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</row>
    <row r="90" spans="7:60">
      <c r="G90" s="43"/>
      <c r="H90" s="27"/>
      <c r="I90" s="36"/>
      <c r="J90" s="35" t="s">
        <v>119</v>
      </c>
      <c r="K90" s="75" t="s">
        <v>56</v>
      </c>
      <c r="L90" s="75" t="s">
        <v>47</v>
      </c>
      <c r="M90" s="49">
        <v>8146.8</v>
      </c>
      <c r="N90" s="49">
        <v>8146.8</v>
      </c>
      <c r="O90" s="49">
        <v>8146.8</v>
      </c>
      <c r="P90" s="49">
        <v>8146.8</v>
      </c>
      <c r="Q90" s="49">
        <v>8146.8</v>
      </c>
      <c r="R90" s="49">
        <v>8146.8</v>
      </c>
      <c r="S90" s="49">
        <v>8146.8</v>
      </c>
      <c r="T90" s="49">
        <v>8146.8</v>
      </c>
      <c r="U90" s="49">
        <v>8146.8</v>
      </c>
      <c r="V90" s="49">
        <v>8146.8</v>
      </c>
      <c r="W90" s="49">
        <v>8146.8</v>
      </c>
      <c r="X90" s="49">
        <v>8146.8</v>
      </c>
      <c r="Y90" s="49">
        <v>8146.8</v>
      </c>
      <c r="Z90" s="49">
        <v>8146.8</v>
      </c>
      <c r="AA90" s="49">
        <v>8146.8</v>
      </c>
      <c r="AB90" s="49">
        <v>8146.8</v>
      </c>
      <c r="AC90" s="49">
        <v>8146.8</v>
      </c>
      <c r="AD90" s="49">
        <v>8146.8</v>
      </c>
      <c r="AE90" s="49">
        <v>8146.8</v>
      </c>
      <c r="AF90" s="49">
        <v>8146.8</v>
      </c>
      <c r="AG90" s="49">
        <v>8146.8</v>
      </c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</row>
    <row r="91" spans="7:60">
      <c r="G91" s="43"/>
      <c r="H91" s="27"/>
      <c r="I91" s="36"/>
      <c r="J91" s="35"/>
      <c r="K91" s="75" t="s">
        <v>56</v>
      </c>
      <c r="L91" s="75" t="s">
        <v>46</v>
      </c>
      <c r="M91" s="49">
        <v>8146.8</v>
      </c>
      <c r="N91" s="49">
        <v>8146.8</v>
      </c>
      <c r="O91" s="49">
        <v>8146.8</v>
      </c>
      <c r="P91" s="49">
        <v>8146.8</v>
      </c>
      <c r="Q91" s="49">
        <v>8146.8</v>
      </c>
      <c r="R91" s="49">
        <v>8146.8</v>
      </c>
      <c r="S91" s="49">
        <v>8146.8</v>
      </c>
      <c r="T91" s="49">
        <v>8146.8</v>
      </c>
      <c r="U91" s="49">
        <v>8146.8</v>
      </c>
      <c r="V91" s="49">
        <v>8146.8</v>
      </c>
      <c r="W91" s="49">
        <v>8146.8</v>
      </c>
      <c r="X91" s="49">
        <v>8146.8</v>
      </c>
      <c r="Y91" s="49">
        <v>8146.8</v>
      </c>
      <c r="Z91" s="49">
        <v>8146.8</v>
      </c>
      <c r="AA91" s="49">
        <v>8146.8</v>
      </c>
      <c r="AB91" s="49">
        <v>8146.8</v>
      </c>
      <c r="AC91" s="49">
        <v>8146.8</v>
      </c>
      <c r="AD91" s="49">
        <v>8146.8</v>
      </c>
      <c r="AE91" s="49">
        <v>8146.8</v>
      </c>
      <c r="AF91" s="49">
        <v>8146.8</v>
      </c>
      <c r="AG91" s="49">
        <v>8146.8</v>
      </c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</row>
    <row r="92" spans="7:60">
      <c r="G92" s="43"/>
      <c r="H92" s="27"/>
      <c r="I92" s="36"/>
      <c r="J92" s="35"/>
      <c r="K92" s="75" t="s">
        <v>56</v>
      </c>
      <c r="L92" s="75" t="s">
        <v>45</v>
      </c>
      <c r="M92" s="49">
        <v>8146.8</v>
      </c>
      <c r="N92" s="49">
        <v>8146.8</v>
      </c>
      <c r="O92" s="49">
        <v>8146.8</v>
      </c>
      <c r="P92" s="49">
        <v>8146.8</v>
      </c>
      <c r="Q92" s="49">
        <v>8146.8</v>
      </c>
      <c r="R92" s="49">
        <v>8146.8</v>
      </c>
      <c r="S92" s="49">
        <v>8146.8</v>
      </c>
      <c r="T92" s="49">
        <v>8146.8</v>
      </c>
      <c r="U92" s="49">
        <v>8146.8</v>
      </c>
      <c r="V92" s="49">
        <v>8146.8</v>
      </c>
      <c r="W92" s="49">
        <v>8146.8</v>
      </c>
      <c r="X92" s="49">
        <v>8146.8</v>
      </c>
      <c r="Y92" s="49">
        <v>8146.8</v>
      </c>
      <c r="Z92" s="49">
        <v>8146.8</v>
      </c>
      <c r="AA92" s="49">
        <v>8146.8</v>
      </c>
      <c r="AB92" s="49">
        <v>8146.8</v>
      </c>
      <c r="AC92" s="49">
        <v>8146.8</v>
      </c>
      <c r="AD92" s="49">
        <v>8146.8</v>
      </c>
      <c r="AE92" s="49">
        <v>8146.8</v>
      </c>
      <c r="AF92" s="49">
        <v>8146.8</v>
      </c>
      <c r="AG92" s="49">
        <v>8146.8</v>
      </c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</row>
    <row r="93" spans="7:60">
      <c r="G93" s="43"/>
      <c r="H93" s="27"/>
      <c r="I93" s="36"/>
      <c r="J93" s="35"/>
      <c r="K93" s="75" t="s">
        <v>58</v>
      </c>
      <c r="L93" s="75" t="s">
        <v>47</v>
      </c>
      <c r="M93" s="49">
        <v>8146.8</v>
      </c>
      <c r="N93" s="49">
        <v>8146.8</v>
      </c>
      <c r="O93" s="49">
        <v>8146.8</v>
      </c>
      <c r="P93" s="49">
        <v>8146.8</v>
      </c>
      <c r="Q93" s="49">
        <v>8146.8</v>
      </c>
      <c r="R93" s="49">
        <v>8146.8</v>
      </c>
      <c r="S93" s="49">
        <v>8146.8</v>
      </c>
      <c r="T93" s="49">
        <v>8146.8</v>
      </c>
      <c r="U93" s="49">
        <v>8146.8</v>
      </c>
      <c r="V93" s="49">
        <v>8146.8</v>
      </c>
      <c r="W93" s="49">
        <v>8146.8</v>
      </c>
      <c r="X93" s="49">
        <v>8146.8</v>
      </c>
      <c r="Y93" s="49">
        <v>8146.8</v>
      </c>
      <c r="Z93" s="49">
        <v>8146.8</v>
      </c>
      <c r="AA93" s="49">
        <v>8146.8</v>
      </c>
      <c r="AB93" s="49">
        <v>8146.8</v>
      </c>
      <c r="AC93" s="49">
        <v>8146.8</v>
      </c>
      <c r="AD93" s="49">
        <v>8146.8</v>
      </c>
      <c r="AE93" s="49">
        <v>8146.8</v>
      </c>
      <c r="AF93" s="49">
        <v>8146.8</v>
      </c>
      <c r="AG93" s="49">
        <v>8146.8</v>
      </c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</row>
    <row r="94" spans="7:60">
      <c r="G94" s="43"/>
      <c r="H94" s="27"/>
      <c r="I94" s="36"/>
      <c r="J94" s="35"/>
      <c r="K94" s="75" t="s">
        <v>58</v>
      </c>
      <c r="L94" s="75" t="s">
        <v>46</v>
      </c>
      <c r="M94" s="49">
        <v>8146.8</v>
      </c>
      <c r="N94" s="49">
        <v>8146.8</v>
      </c>
      <c r="O94" s="49">
        <v>8146.8</v>
      </c>
      <c r="P94" s="49">
        <v>8146.8</v>
      </c>
      <c r="Q94" s="49">
        <v>8146.8</v>
      </c>
      <c r="R94" s="49">
        <v>8146.8</v>
      </c>
      <c r="S94" s="49">
        <v>8146.8</v>
      </c>
      <c r="T94" s="49">
        <v>8146.8</v>
      </c>
      <c r="U94" s="49">
        <v>8146.8</v>
      </c>
      <c r="V94" s="49">
        <v>8146.8</v>
      </c>
      <c r="W94" s="49">
        <v>8146.8</v>
      </c>
      <c r="X94" s="49">
        <v>8146.8</v>
      </c>
      <c r="Y94" s="49">
        <v>8146.8</v>
      </c>
      <c r="Z94" s="49">
        <v>8146.8</v>
      </c>
      <c r="AA94" s="49">
        <v>8146.8</v>
      </c>
      <c r="AB94" s="49">
        <v>8146.8</v>
      </c>
      <c r="AC94" s="49">
        <v>8146.8</v>
      </c>
      <c r="AD94" s="49">
        <v>8146.8</v>
      </c>
      <c r="AE94" s="49">
        <v>8146.8</v>
      </c>
      <c r="AF94" s="49">
        <v>8146.8</v>
      </c>
      <c r="AG94" s="49">
        <v>8146.8</v>
      </c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</row>
    <row r="95" spans="7:60">
      <c r="G95" s="43"/>
      <c r="H95" s="27"/>
      <c r="I95" s="36"/>
      <c r="J95" s="35"/>
      <c r="K95" s="75" t="s">
        <v>58</v>
      </c>
      <c r="L95" s="75" t="s">
        <v>45</v>
      </c>
      <c r="M95" s="49">
        <v>8146.8</v>
      </c>
      <c r="N95" s="49">
        <v>8146.8</v>
      </c>
      <c r="O95" s="49">
        <v>8146.8</v>
      </c>
      <c r="P95" s="49">
        <v>8146.8</v>
      </c>
      <c r="Q95" s="49">
        <v>8146.8</v>
      </c>
      <c r="R95" s="49">
        <v>8146.8</v>
      </c>
      <c r="S95" s="49">
        <v>8146.8</v>
      </c>
      <c r="T95" s="49">
        <v>8146.8</v>
      </c>
      <c r="U95" s="49">
        <v>8146.8</v>
      </c>
      <c r="V95" s="49">
        <v>8146.8</v>
      </c>
      <c r="W95" s="49">
        <v>8146.8</v>
      </c>
      <c r="X95" s="49">
        <v>8146.8</v>
      </c>
      <c r="Y95" s="49">
        <v>8146.8</v>
      </c>
      <c r="Z95" s="49">
        <v>8146.8</v>
      </c>
      <c r="AA95" s="49">
        <v>8146.8</v>
      </c>
      <c r="AB95" s="49">
        <v>8146.8</v>
      </c>
      <c r="AC95" s="49">
        <v>8146.8</v>
      </c>
      <c r="AD95" s="49">
        <v>8146.8</v>
      </c>
      <c r="AE95" s="49">
        <v>8146.8</v>
      </c>
      <c r="AF95" s="49">
        <v>8146.8</v>
      </c>
      <c r="AG95" s="49">
        <v>8146.8</v>
      </c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</row>
    <row r="96" spans="7:60">
      <c r="G96" s="43"/>
      <c r="H96" s="27"/>
      <c r="I96" s="36"/>
      <c r="J96" s="108"/>
      <c r="K96" s="75"/>
      <c r="L96" s="75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</row>
    <row r="97" spans="7:64">
      <c r="G97" s="43"/>
      <c r="H97" s="27"/>
      <c r="I97" s="36"/>
      <c r="J97" s="151"/>
      <c r="K97" s="76"/>
      <c r="L97" s="75"/>
      <c r="M97" s="82">
        <v>2030</v>
      </c>
      <c r="N97" s="82">
        <v>2031</v>
      </c>
      <c r="O97" s="82">
        <v>2032</v>
      </c>
      <c r="P97" s="82">
        <v>2033</v>
      </c>
      <c r="Q97" s="82">
        <v>2034</v>
      </c>
      <c r="R97" s="82">
        <v>2035</v>
      </c>
      <c r="S97" s="82">
        <v>2036</v>
      </c>
      <c r="T97" s="82">
        <v>2037</v>
      </c>
      <c r="U97" s="82">
        <v>2038</v>
      </c>
      <c r="V97" s="82">
        <v>2039</v>
      </c>
      <c r="W97" s="82">
        <v>2040</v>
      </c>
      <c r="X97" s="82">
        <v>2041</v>
      </c>
      <c r="Y97" s="82">
        <v>2042</v>
      </c>
      <c r="Z97" s="82">
        <v>2043</v>
      </c>
      <c r="AA97" s="82">
        <v>2044</v>
      </c>
      <c r="AB97" s="82">
        <v>2045</v>
      </c>
      <c r="AC97" s="82">
        <v>2046</v>
      </c>
      <c r="AD97" s="82">
        <v>2047</v>
      </c>
      <c r="AE97" s="82">
        <v>2048</v>
      </c>
      <c r="AF97" s="82">
        <v>2049</v>
      </c>
      <c r="AG97" s="82">
        <v>2050</v>
      </c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</row>
    <row r="98" spans="7:64">
      <c r="G98" s="43"/>
      <c r="H98" s="27"/>
      <c r="I98" s="36"/>
      <c r="J98" s="35" t="s">
        <v>120</v>
      </c>
      <c r="K98" s="75" t="s">
        <v>56</v>
      </c>
      <c r="L98" s="75" t="s">
        <v>47</v>
      </c>
      <c r="M98" s="102">
        <v>10.497</v>
      </c>
      <c r="N98" s="102">
        <v>10.497</v>
      </c>
      <c r="O98" s="102">
        <v>10.497</v>
      </c>
      <c r="P98" s="102">
        <v>10.497</v>
      </c>
      <c r="Q98" s="102">
        <v>10.497</v>
      </c>
      <c r="R98" s="102">
        <v>10.497</v>
      </c>
      <c r="S98" s="102">
        <v>10.497</v>
      </c>
      <c r="T98" s="102">
        <v>10.497</v>
      </c>
      <c r="U98" s="102">
        <v>10.497</v>
      </c>
      <c r="V98" s="102">
        <v>10.497</v>
      </c>
      <c r="W98" s="102">
        <v>10.497</v>
      </c>
      <c r="X98" s="102">
        <v>10.497</v>
      </c>
      <c r="Y98" s="102">
        <v>10.497</v>
      </c>
      <c r="Z98" s="102">
        <v>10.497</v>
      </c>
      <c r="AA98" s="102">
        <v>10.497</v>
      </c>
      <c r="AB98" s="102">
        <v>10.497</v>
      </c>
      <c r="AC98" s="102">
        <v>10.497</v>
      </c>
      <c r="AD98" s="102">
        <v>10.497</v>
      </c>
      <c r="AE98" s="102">
        <v>10.497</v>
      </c>
      <c r="AF98" s="102">
        <v>10.497</v>
      </c>
      <c r="AG98" s="102">
        <v>10.497</v>
      </c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</row>
    <row r="99" spans="7:64">
      <c r="G99" s="43"/>
      <c r="H99" s="27"/>
      <c r="I99" s="36"/>
      <c r="J99" s="35"/>
      <c r="K99" s="75" t="s">
        <v>56</v>
      </c>
      <c r="L99" s="75" t="s">
        <v>46</v>
      </c>
      <c r="M99" s="102">
        <v>10.497</v>
      </c>
      <c r="N99" s="102">
        <v>10.497</v>
      </c>
      <c r="O99" s="102">
        <v>10.497</v>
      </c>
      <c r="P99" s="102">
        <v>10.497</v>
      </c>
      <c r="Q99" s="102">
        <v>10.497</v>
      </c>
      <c r="R99" s="102">
        <v>10.497</v>
      </c>
      <c r="S99" s="102">
        <v>10.497</v>
      </c>
      <c r="T99" s="102">
        <v>10.497</v>
      </c>
      <c r="U99" s="102">
        <v>10.497</v>
      </c>
      <c r="V99" s="102">
        <v>10.497</v>
      </c>
      <c r="W99" s="102">
        <v>10.497</v>
      </c>
      <c r="X99" s="102">
        <v>10.497</v>
      </c>
      <c r="Y99" s="102">
        <v>10.497</v>
      </c>
      <c r="Z99" s="102">
        <v>10.497</v>
      </c>
      <c r="AA99" s="102">
        <v>10.497</v>
      </c>
      <c r="AB99" s="102">
        <v>10.497</v>
      </c>
      <c r="AC99" s="102">
        <v>10.497</v>
      </c>
      <c r="AD99" s="102">
        <v>10.497</v>
      </c>
      <c r="AE99" s="102">
        <v>10.497</v>
      </c>
      <c r="AF99" s="102">
        <v>10.497</v>
      </c>
      <c r="AG99" s="102">
        <v>10.497</v>
      </c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</row>
    <row r="100" spans="7:64">
      <c r="G100" s="43"/>
      <c r="H100" s="27"/>
      <c r="I100" s="36"/>
      <c r="J100" s="35"/>
      <c r="K100" s="75" t="s">
        <v>56</v>
      </c>
      <c r="L100" s="75" t="s">
        <v>45</v>
      </c>
      <c r="M100" s="102">
        <v>10.497</v>
      </c>
      <c r="N100" s="102">
        <v>10.497</v>
      </c>
      <c r="O100" s="102">
        <v>10.497</v>
      </c>
      <c r="P100" s="102">
        <v>10.497</v>
      </c>
      <c r="Q100" s="102">
        <v>10.497</v>
      </c>
      <c r="R100" s="102">
        <v>10.497</v>
      </c>
      <c r="S100" s="102">
        <v>10.497</v>
      </c>
      <c r="T100" s="102">
        <v>10.497</v>
      </c>
      <c r="U100" s="102">
        <v>10.497</v>
      </c>
      <c r="V100" s="102">
        <v>10.497</v>
      </c>
      <c r="W100" s="102">
        <v>10.497</v>
      </c>
      <c r="X100" s="102">
        <v>10.497</v>
      </c>
      <c r="Y100" s="102">
        <v>10.497</v>
      </c>
      <c r="Z100" s="102">
        <v>10.497</v>
      </c>
      <c r="AA100" s="102">
        <v>10.497</v>
      </c>
      <c r="AB100" s="102">
        <v>10.497</v>
      </c>
      <c r="AC100" s="102">
        <v>10.497</v>
      </c>
      <c r="AD100" s="102">
        <v>10.497</v>
      </c>
      <c r="AE100" s="102">
        <v>10.497</v>
      </c>
      <c r="AF100" s="102">
        <v>10.497</v>
      </c>
      <c r="AG100" s="102">
        <v>10.497</v>
      </c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</row>
    <row r="101" spans="7:64">
      <c r="G101" s="43"/>
      <c r="H101" s="27"/>
      <c r="I101" s="36"/>
      <c r="J101" s="35"/>
      <c r="K101" s="75" t="s">
        <v>58</v>
      </c>
      <c r="L101" s="75" t="s">
        <v>47</v>
      </c>
      <c r="M101" s="102">
        <v>9.18</v>
      </c>
      <c r="N101" s="102">
        <v>9.18</v>
      </c>
      <c r="O101" s="102">
        <v>9.18</v>
      </c>
      <c r="P101" s="102">
        <v>9.18</v>
      </c>
      <c r="Q101" s="102">
        <v>9.18</v>
      </c>
      <c r="R101" s="102">
        <v>9.18</v>
      </c>
      <c r="S101" s="102">
        <v>9.18</v>
      </c>
      <c r="T101" s="102">
        <v>9.18</v>
      </c>
      <c r="U101" s="102">
        <v>9.18</v>
      </c>
      <c r="V101" s="102">
        <v>9.18</v>
      </c>
      <c r="W101" s="102">
        <v>9.18</v>
      </c>
      <c r="X101" s="102">
        <v>9.18</v>
      </c>
      <c r="Y101" s="102">
        <v>9.18</v>
      </c>
      <c r="Z101" s="102">
        <v>9.18</v>
      </c>
      <c r="AA101" s="102">
        <v>9.18</v>
      </c>
      <c r="AB101" s="102">
        <v>9.18</v>
      </c>
      <c r="AC101" s="102">
        <v>9.18</v>
      </c>
      <c r="AD101" s="102">
        <v>9.18</v>
      </c>
      <c r="AE101" s="102">
        <v>9.18</v>
      </c>
      <c r="AF101" s="102">
        <v>9.18</v>
      </c>
      <c r="AG101" s="102">
        <v>9.18</v>
      </c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  <c r="BK101" s="36"/>
      <c r="BL101" s="36"/>
    </row>
    <row r="102" spans="7:64">
      <c r="G102" s="43"/>
      <c r="H102" s="27"/>
      <c r="I102" s="36"/>
      <c r="J102" s="35"/>
      <c r="K102" s="75" t="s">
        <v>58</v>
      </c>
      <c r="L102" s="75" t="s">
        <v>46</v>
      </c>
      <c r="M102" s="102">
        <v>9.18</v>
      </c>
      <c r="N102" s="102">
        <v>9.18</v>
      </c>
      <c r="O102" s="102">
        <v>9.18</v>
      </c>
      <c r="P102" s="102">
        <v>9.18</v>
      </c>
      <c r="Q102" s="102">
        <v>9.18</v>
      </c>
      <c r="R102" s="102">
        <v>9.18</v>
      </c>
      <c r="S102" s="102">
        <v>9.18</v>
      </c>
      <c r="T102" s="102">
        <v>9.18</v>
      </c>
      <c r="U102" s="102">
        <v>9.18</v>
      </c>
      <c r="V102" s="102">
        <v>9.18</v>
      </c>
      <c r="W102" s="102">
        <v>9.18</v>
      </c>
      <c r="X102" s="102">
        <v>9.18</v>
      </c>
      <c r="Y102" s="102">
        <v>9.18</v>
      </c>
      <c r="Z102" s="102">
        <v>9.18</v>
      </c>
      <c r="AA102" s="102">
        <v>9.18</v>
      </c>
      <c r="AB102" s="102">
        <v>9.18</v>
      </c>
      <c r="AC102" s="102">
        <v>9.18</v>
      </c>
      <c r="AD102" s="102">
        <v>9.18</v>
      </c>
      <c r="AE102" s="102">
        <v>9.18</v>
      </c>
      <c r="AF102" s="102">
        <v>9.18</v>
      </c>
      <c r="AG102" s="102">
        <v>9.18</v>
      </c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</row>
    <row r="103" spans="7:64">
      <c r="G103" s="43"/>
      <c r="H103" s="27"/>
      <c r="I103" s="36"/>
      <c r="J103" s="35"/>
      <c r="K103" s="75" t="s">
        <v>58</v>
      </c>
      <c r="L103" s="75" t="s">
        <v>45</v>
      </c>
      <c r="M103" s="102">
        <v>9.18</v>
      </c>
      <c r="N103" s="102">
        <v>9.18</v>
      </c>
      <c r="O103" s="102">
        <v>9.18</v>
      </c>
      <c r="P103" s="102">
        <v>9.18</v>
      </c>
      <c r="Q103" s="102">
        <v>9.18</v>
      </c>
      <c r="R103" s="102">
        <v>9.18</v>
      </c>
      <c r="S103" s="102">
        <v>9.18</v>
      </c>
      <c r="T103" s="102">
        <v>9.18</v>
      </c>
      <c r="U103" s="102">
        <v>9.18</v>
      </c>
      <c r="V103" s="102">
        <v>9.18</v>
      </c>
      <c r="W103" s="102">
        <v>9.18</v>
      </c>
      <c r="X103" s="102">
        <v>9.18</v>
      </c>
      <c r="Y103" s="102">
        <v>9.18</v>
      </c>
      <c r="Z103" s="102">
        <v>9.18</v>
      </c>
      <c r="AA103" s="102">
        <v>9.18</v>
      </c>
      <c r="AB103" s="102">
        <v>9.18</v>
      </c>
      <c r="AC103" s="102">
        <v>9.18</v>
      </c>
      <c r="AD103" s="102">
        <v>9.18</v>
      </c>
      <c r="AE103" s="102">
        <v>9.18</v>
      </c>
      <c r="AF103" s="102">
        <v>9.18</v>
      </c>
      <c r="AG103" s="102">
        <v>9.18</v>
      </c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  <c r="BK103" s="36"/>
      <c r="BL103" s="36"/>
    </row>
    <row r="104" spans="7:64">
      <c r="G104" s="43"/>
      <c r="H104" s="27"/>
      <c r="I104" s="36"/>
      <c r="J104" s="108"/>
      <c r="K104" s="75"/>
      <c r="L104" s="75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</row>
    <row r="105" spans="7:64">
      <c r="G105" s="43"/>
      <c r="H105" s="27"/>
      <c r="I105" s="36"/>
      <c r="J105" s="151"/>
      <c r="K105" s="76"/>
      <c r="L105" s="76"/>
      <c r="M105" s="82">
        <v>2030</v>
      </c>
      <c r="N105" s="82">
        <v>2031</v>
      </c>
      <c r="O105" s="82">
        <v>2032</v>
      </c>
      <c r="P105" s="82">
        <v>2033</v>
      </c>
      <c r="Q105" s="82">
        <v>2034</v>
      </c>
      <c r="R105" s="82">
        <v>2035</v>
      </c>
      <c r="S105" s="82">
        <v>2036</v>
      </c>
      <c r="T105" s="82">
        <v>2037</v>
      </c>
      <c r="U105" s="82">
        <v>2038</v>
      </c>
      <c r="V105" s="82">
        <v>2039</v>
      </c>
      <c r="W105" s="82">
        <v>2040</v>
      </c>
      <c r="X105" s="82">
        <v>2041</v>
      </c>
      <c r="Y105" s="82">
        <v>2042</v>
      </c>
      <c r="Z105" s="82">
        <v>2043</v>
      </c>
      <c r="AA105" s="82">
        <v>2044</v>
      </c>
      <c r="AB105" s="82">
        <v>2045</v>
      </c>
      <c r="AC105" s="82">
        <v>2046</v>
      </c>
      <c r="AD105" s="82">
        <v>2047</v>
      </c>
      <c r="AE105" s="82">
        <v>2048</v>
      </c>
      <c r="AF105" s="82">
        <v>2049</v>
      </c>
      <c r="AG105" s="82">
        <v>2050</v>
      </c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</row>
    <row r="106" spans="7:64">
      <c r="G106" s="43"/>
      <c r="H106" s="27"/>
      <c r="I106" s="36"/>
      <c r="J106" s="35" t="s">
        <v>121</v>
      </c>
      <c r="K106" s="75" t="s">
        <v>56</v>
      </c>
      <c r="L106" s="75" t="s">
        <v>47</v>
      </c>
      <c r="M106" s="106">
        <v>6471.3372806070765</v>
      </c>
      <c r="N106" s="106">
        <v>6168.9383422609517</v>
      </c>
      <c r="O106" s="106">
        <v>5866.5394039148268</v>
      </c>
      <c r="P106" s="106">
        <v>5564.1404655687011</v>
      </c>
      <c r="Q106" s="106">
        <v>5261.7415272225762</v>
      </c>
      <c r="R106" s="106">
        <v>4959.3425888764514</v>
      </c>
      <c r="S106" s="106">
        <v>4717.4234381995511</v>
      </c>
      <c r="T106" s="106">
        <v>4475.5042875226509</v>
      </c>
      <c r="U106" s="106">
        <v>4233.5851368457515</v>
      </c>
      <c r="V106" s="106">
        <v>3991.6659861688508</v>
      </c>
      <c r="W106" s="106">
        <v>3749.7468354919511</v>
      </c>
      <c r="X106" s="106">
        <v>3628.7872601535009</v>
      </c>
      <c r="Y106" s="106">
        <v>3507.8276848150508</v>
      </c>
      <c r="Z106" s="106">
        <v>3386.8681094766007</v>
      </c>
      <c r="AA106" s="106">
        <v>3265.908534138151</v>
      </c>
      <c r="AB106" s="106">
        <v>3144.9489587997009</v>
      </c>
      <c r="AC106" s="106">
        <v>3084.4691711304758</v>
      </c>
      <c r="AD106" s="106">
        <v>3023.9893834612508</v>
      </c>
      <c r="AE106" s="106">
        <v>2963.5095957920257</v>
      </c>
      <c r="AF106" s="106">
        <v>2903.0298081228007</v>
      </c>
      <c r="AG106" s="106">
        <v>2842.5500204535756</v>
      </c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</row>
    <row r="107" spans="7:64">
      <c r="G107" s="43"/>
      <c r="H107" s="27"/>
      <c r="I107" s="36"/>
      <c r="J107" s="35"/>
      <c r="K107" s="75" t="s">
        <v>56</v>
      </c>
      <c r="L107" s="75" t="s">
        <v>46</v>
      </c>
      <c r="M107" s="106">
        <v>7616.3589699540007</v>
      </c>
      <c r="N107" s="106">
        <v>7551.2618847407184</v>
      </c>
      <c r="O107" s="106">
        <v>7486.164799527437</v>
      </c>
      <c r="P107" s="106">
        <v>7421.0677143141547</v>
      </c>
      <c r="Q107" s="106">
        <v>7355.9706291008724</v>
      </c>
      <c r="R107" s="106">
        <v>7290.8735438875901</v>
      </c>
      <c r="S107" s="106">
        <v>7095.5822882477441</v>
      </c>
      <c r="T107" s="106">
        <v>6900.2910326078982</v>
      </c>
      <c r="U107" s="106">
        <v>6704.9997769680522</v>
      </c>
      <c r="V107" s="106">
        <v>6509.7085213282062</v>
      </c>
      <c r="W107" s="106">
        <v>6314.4172656883593</v>
      </c>
      <c r="X107" s="106">
        <v>6184.2230952617956</v>
      </c>
      <c r="Y107" s="106">
        <v>6054.028924835231</v>
      </c>
      <c r="Z107" s="106">
        <v>5923.8347544086673</v>
      </c>
      <c r="AA107" s="106">
        <v>5793.6405839821027</v>
      </c>
      <c r="AB107" s="106">
        <v>5663.446413555539</v>
      </c>
      <c r="AC107" s="106">
        <v>5533.2522431289754</v>
      </c>
      <c r="AD107" s="106">
        <v>5403.0580727024108</v>
      </c>
      <c r="AE107" s="106">
        <v>5272.8639022758471</v>
      </c>
      <c r="AF107" s="106">
        <v>5142.6697318492825</v>
      </c>
      <c r="AG107" s="106">
        <v>5012.4755614227188</v>
      </c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</row>
    <row r="108" spans="7:64">
      <c r="G108" s="43"/>
      <c r="H108" s="27"/>
      <c r="I108" s="36"/>
      <c r="J108" s="35"/>
      <c r="K108" s="75" t="s">
        <v>56</v>
      </c>
      <c r="L108" s="75" t="s">
        <v>45</v>
      </c>
      <c r="M108" s="106">
        <v>11836.117690043655</v>
      </c>
      <c r="N108" s="106">
        <v>11836.117690043655</v>
      </c>
      <c r="O108" s="106">
        <v>11836.117690043655</v>
      </c>
      <c r="P108" s="106">
        <v>11836.117690043655</v>
      </c>
      <c r="Q108" s="106">
        <v>11836.117690043655</v>
      </c>
      <c r="R108" s="106">
        <v>11836.117690043655</v>
      </c>
      <c r="S108" s="106">
        <v>11760.728405393696</v>
      </c>
      <c r="T108" s="106">
        <v>11685.339120743736</v>
      </c>
      <c r="U108" s="106">
        <v>11609.949836093776</v>
      </c>
      <c r="V108" s="106">
        <v>11534.560551443818</v>
      </c>
      <c r="W108" s="106">
        <v>11459.171266793857</v>
      </c>
      <c r="X108" s="106">
        <v>11233.003412843978</v>
      </c>
      <c r="Y108" s="106">
        <v>11006.835558894099</v>
      </c>
      <c r="Z108" s="106">
        <v>10780.667704944221</v>
      </c>
      <c r="AA108" s="106">
        <v>10554.499850994342</v>
      </c>
      <c r="AB108" s="106">
        <v>10328.331997044463</v>
      </c>
      <c r="AC108" s="106">
        <v>10102.164143094584</v>
      </c>
      <c r="AD108" s="106">
        <v>9875.9962891447067</v>
      </c>
      <c r="AE108" s="106">
        <v>9649.8284351948278</v>
      </c>
      <c r="AF108" s="106">
        <v>9423.6605812449488</v>
      </c>
      <c r="AG108" s="106">
        <v>9197.4927272950699</v>
      </c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</row>
    <row r="109" spans="7:64">
      <c r="G109" s="43"/>
      <c r="H109" s="27"/>
      <c r="I109" s="36"/>
      <c r="J109" s="35"/>
      <c r="K109" s="75" t="s">
        <v>58</v>
      </c>
      <c r="L109" s="75" t="s">
        <v>47</v>
      </c>
      <c r="M109" s="106">
        <v>6416.7402694688953</v>
      </c>
      <c r="N109" s="106">
        <v>5901.1093549580028</v>
      </c>
      <c r="O109" s="106">
        <v>5385.4784404471093</v>
      </c>
      <c r="P109" s="106">
        <v>4869.8475259362158</v>
      </c>
      <c r="Q109" s="106">
        <v>4354.2166114253223</v>
      </c>
      <c r="R109" s="106">
        <v>3838.5856969144288</v>
      </c>
      <c r="S109" s="106">
        <v>3666.7087254107978</v>
      </c>
      <c r="T109" s="106">
        <v>3494.8317539071663</v>
      </c>
      <c r="U109" s="106">
        <v>3322.9547824035353</v>
      </c>
      <c r="V109" s="106">
        <v>3151.0778108999043</v>
      </c>
      <c r="W109" s="106">
        <v>2979.2008393962728</v>
      </c>
      <c r="X109" s="106">
        <v>2921.9085155617295</v>
      </c>
      <c r="Y109" s="106">
        <v>2864.6161917271857</v>
      </c>
      <c r="Z109" s="106">
        <v>2807.3238678926418</v>
      </c>
      <c r="AA109" s="106">
        <v>2750.031544058098</v>
      </c>
      <c r="AB109" s="106">
        <v>2692.7392202235546</v>
      </c>
      <c r="AC109" s="106">
        <v>2635.4468963890108</v>
      </c>
      <c r="AD109" s="106">
        <v>2578.154572554467</v>
      </c>
      <c r="AE109" s="106">
        <v>2520.8622487199232</v>
      </c>
      <c r="AF109" s="106">
        <v>2463.5699248853798</v>
      </c>
      <c r="AG109" s="106">
        <v>2406.277601050836</v>
      </c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</row>
    <row r="110" spans="7:64">
      <c r="G110" s="43"/>
      <c r="H110" s="27"/>
      <c r="I110" s="36"/>
      <c r="J110" s="35"/>
      <c r="K110" s="75" t="s">
        <v>58</v>
      </c>
      <c r="L110" s="75" t="s">
        <v>46</v>
      </c>
      <c r="M110" s="106">
        <v>9650.0006770511991</v>
      </c>
      <c r="N110" s="106">
        <v>9292.5932445678227</v>
      </c>
      <c r="O110" s="106">
        <v>8935.1858120844445</v>
      </c>
      <c r="P110" s="106">
        <v>8577.7783796010663</v>
      </c>
      <c r="Q110" s="106">
        <v>8220.370947117688</v>
      </c>
      <c r="R110" s="106">
        <v>7862.9635146343107</v>
      </c>
      <c r="S110" s="106">
        <v>7565.1239875648289</v>
      </c>
      <c r="T110" s="106">
        <v>7267.284460495348</v>
      </c>
      <c r="U110" s="106">
        <v>6969.4449334258661</v>
      </c>
      <c r="V110" s="106">
        <v>6671.6054063563852</v>
      </c>
      <c r="W110" s="106">
        <v>6373.7658792869033</v>
      </c>
      <c r="X110" s="106">
        <v>6195.0621630452142</v>
      </c>
      <c r="Y110" s="106">
        <v>6016.358446803526</v>
      </c>
      <c r="Z110" s="106">
        <v>5837.6547305618369</v>
      </c>
      <c r="AA110" s="106">
        <v>5658.9510143201478</v>
      </c>
      <c r="AB110" s="106">
        <v>5480.2472980784587</v>
      </c>
      <c r="AC110" s="106">
        <v>5361.1114872506669</v>
      </c>
      <c r="AD110" s="106">
        <v>5241.9756764228741</v>
      </c>
      <c r="AE110" s="106">
        <v>5122.8398655950814</v>
      </c>
      <c r="AF110" s="106">
        <v>5003.7040547672887</v>
      </c>
      <c r="AG110" s="106">
        <v>4884.5682439394959</v>
      </c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</row>
    <row r="111" spans="7:64">
      <c r="G111" s="43"/>
      <c r="H111" s="27"/>
      <c r="I111" s="36"/>
      <c r="J111" s="35"/>
      <c r="K111" s="75" t="s">
        <v>58</v>
      </c>
      <c r="L111" s="75" t="s">
        <v>45</v>
      </c>
      <c r="M111" s="106">
        <v>12681.1268480299</v>
      </c>
      <c r="N111" s="106">
        <v>12555.571136663268</v>
      </c>
      <c r="O111" s="106">
        <v>12430.015425296635</v>
      </c>
      <c r="P111" s="106">
        <v>12304.459713930002</v>
      </c>
      <c r="Q111" s="106">
        <v>12178.904002563369</v>
      </c>
      <c r="R111" s="106">
        <v>12053.348291196737</v>
      </c>
      <c r="S111" s="106">
        <v>11676.68115709684</v>
      </c>
      <c r="T111" s="106">
        <v>11300.014022996942</v>
      </c>
      <c r="U111" s="106">
        <v>10923.346888897044</v>
      </c>
      <c r="V111" s="106">
        <v>10546.679754797146</v>
      </c>
      <c r="W111" s="106">
        <v>10170.012620697247</v>
      </c>
      <c r="X111" s="106">
        <v>9918.9011979639818</v>
      </c>
      <c r="Y111" s="106">
        <v>9667.7897752307163</v>
      </c>
      <c r="Z111" s="106">
        <v>9416.6783524974508</v>
      </c>
      <c r="AA111" s="106">
        <v>9165.5669297641853</v>
      </c>
      <c r="AB111" s="106">
        <v>8914.4555070309198</v>
      </c>
      <c r="AC111" s="106">
        <v>8726.1219399809706</v>
      </c>
      <c r="AD111" s="106">
        <v>8537.7883729310233</v>
      </c>
      <c r="AE111" s="106">
        <v>8349.4548058810742</v>
      </c>
      <c r="AF111" s="106">
        <v>8161.1212388311242</v>
      </c>
      <c r="AG111" s="106">
        <v>7972.787671781175</v>
      </c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</row>
    <row r="112" spans="7:64">
      <c r="G112" s="43"/>
      <c r="H112" s="27"/>
      <c r="I112" s="36"/>
      <c r="J112" s="108"/>
      <c r="K112" s="75"/>
      <c r="L112" s="75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</row>
    <row r="113" spans="7:60">
      <c r="G113" s="43"/>
      <c r="H113" s="27"/>
      <c r="I113" s="36"/>
      <c r="J113" s="36"/>
      <c r="K113" s="76"/>
      <c r="L113" s="76"/>
      <c r="M113" s="82">
        <v>2030</v>
      </c>
      <c r="N113" s="82">
        <v>2031</v>
      </c>
      <c r="O113" s="82">
        <v>2032</v>
      </c>
      <c r="P113" s="82">
        <v>2033</v>
      </c>
      <c r="Q113" s="82">
        <v>2034</v>
      </c>
      <c r="R113" s="82">
        <v>2035</v>
      </c>
      <c r="S113" s="82">
        <v>2036</v>
      </c>
      <c r="T113" s="82">
        <v>2037</v>
      </c>
      <c r="U113" s="82">
        <v>2038</v>
      </c>
      <c r="V113" s="82">
        <v>2039</v>
      </c>
      <c r="W113" s="82">
        <v>2040</v>
      </c>
      <c r="X113" s="82">
        <v>2041</v>
      </c>
      <c r="Y113" s="82">
        <v>2042</v>
      </c>
      <c r="Z113" s="82">
        <v>2043</v>
      </c>
      <c r="AA113" s="82">
        <v>2044</v>
      </c>
      <c r="AB113" s="82">
        <v>2045</v>
      </c>
      <c r="AC113" s="82">
        <v>2046</v>
      </c>
      <c r="AD113" s="82">
        <v>2047</v>
      </c>
      <c r="AE113" s="82">
        <v>2048</v>
      </c>
      <c r="AF113" s="82">
        <v>2049</v>
      </c>
      <c r="AG113" s="82">
        <v>2050</v>
      </c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</row>
    <row r="114" spans="7:60">
      <c r="G114" s="43"/>
      <c r="H114" s="27"/>
      <c r="I114" s="36"/>
      <c r="J114" s="35" t="s">
        <v>122</v>
      </c>
      <c r="K114" s="75" t="s">
        <v>56</v>
      </c>
      <c r="L114" s="75" t="s">
        <v>47</v>
      </c>
      <c r="M114" s="106">
        <v>1121.3372806070768</v>
      </c>
      <c r="N114" s="106">
        <v>1068.9383422609517</v>
      </c>
      <c r="O114" s="106">
        <v>1016.5394039148265</v>
      </c>
      <c r="P114" s="106">
        <v>964.14046556870142</v>
      </c>
      <c r="Q114" s="106">
        <v>911.74152722257634</v>
      </c>
      <c r="R114" s="106">
        <v>859.34258887645126</v>
      </c>
      <c r="S114" s="106">
        <v>817.42343819955124</v>
      </c>
      <c r="T114" s="106">
        <v>775.50428752265123</v>
      </c>
      <c r="U114" s="106">
        <v>733.58513684575109</v>
      </c>
      <c r="V114" s="106">
        <v>691.66598616885108</v>
      </c>
      <c r="W114" s="106">
        <v>649.74683549195095</v>
      </c>
      <c r="X114" s="106">
        <v>628.78726015350094</v>
      </c>
      <c r="Y114" s="106">
        <v>607.82768481505093</v>
      </c>
      <c r="Z114" s="106">
        <v>586.86810947660092</v>
      </c>
      <c r="AA114" s="106">
        <v>565.9085341381508</v>
      </c>
      <c r="AB114" s="106">
        <v>544.94895879970079</v>
      </c>
      <c r="AC114" s="106">
        <v>534.46917113047584</v>
      </c>
      <c r="AD114" s="106">
        <v>523.98938346125078</v>
      </c>
      <c r="AE114" s="106">
        <v>513.50959579202572</v>
      </c>
      <c r="AF114" s="106">
        <v>503.02980812280077</v>
      </c>
      <c r="AG114" s="106">
        <v>492.55002045357577</v>
      </c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</row>
    <row r="115" spans="7:60">
      <c r="G115" s="43"/>
      <c r="H115" s="27"/>
      <c r="I115" s="36"/>
      <c r="J115" s="35"/>
      <c r="K115" s="75" t="s">
        <v>56</v>
      </c>
      <c r="L115" s="75" t="s">
        <v>46</v>
      </c>
      <c r="M115" s="106">
        <v>1766.3589699540007</v>
      </c>
      <c r="N115" s="106">
        <v>1751.2618847407186</v>
      </c>
      <c r="O115" s="106">
        <v>1736.1647995274366</v>
      </c>
      <c r="P115" s="106">
        <v>1721.0677143141545</v>
      </c>
      <c r="Q115" s="106">
        <v>1705.9706291008724</v>
      </c>
      <c r="R115" s="106">
        <v>1690.8735438875904</v>
      </c>
      <c r="S115" s="106">
        <v>1645.5822882477444</v>
      </c>
      <c r="T115" s="106">
        <v>1600.2910326078982</v>
      </c>
      <c r="U115" s="106">
        <v>1554.9997769680519</v>
      </c>
      <c r="V115" s="106">
        <v>1509.7085213282057</v>
      </c>
      <c r="W115" s="106">
        <v>1464.4172656883595</v>
      </c>
      <c r="X115" s="106">
        <v>1434.2230952617954</v>
      </c>
      <c r="Y115" s="106">
        <v>1404.0289248352315</v>
      </c>
      <c r="Z115" s="106">
        <v>1373.8347544086673</v>
      </c>
      <c r="AA115" s="106">
        <v>1343.6405839821032</v>
      </c>
      <c r="AB115" s="106">
        <v>1313.446413555539</v>
      </c>
      <c r="AC115" s="106">
        <v>1283.2522431289749</v>
      </c>
      <c r="AD115" s="106">
        <v>1253.0580727024108</v>
      </c>
      <c r="AE115" s="106">
        <v>1222.8639022758466</v>
      </c>
      <c r="AF115" s="106">
        <v>1192.6697318492825</v>
      </c>
      <c r="AG115" s="106">
        <v>1162.4755614227183</v>
      </c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</row>
    <row r="116" spans="7:60">
      <c r="G116" s="43"/>
      <c r="H116" s="27"/>
      <c r="I116" s="36"/>
      <c r="J116" s="35"/>
      <c r="K116" s="75" t="s">
        <v>56</v>
      </c>
      <c r="L116" s="75" t="s">
        <v>45</v>
      </c>
      <c r="M116" s="106">
        <v>3986.1176900436553</v>
      </c>
      <c r="N116" s="106">
        <v>3986.1176900436553</v>
      </c>
      <c r="O116" s="106">
        <v>3986.1176900436553</v>
      </c>
      <c r="P116" s="106">
        <v>3986.1176900436553</v>
      </c>
      <c r="Q116" s="106">
        <v>3986.1176900436553</v>
      </c>
      <c r="R116" s="106">
        <v>3986.1176900436553</v>
      </c>
      <c r="S116" s="106">
        <v>3960.7284053936955</v>
      </c>
      <c r="T116" s="106">
        <v>3935.3391207437362</v>
      </c>
      <c r="U116" s="106">
        <v>3909.9498360937764</v>
      </c>
      <c r="V116" s="106">
        <v>3884.5605514438166</v>
      </c>
      <c r="W116" s="106">
        <v>3859.1712667938573</v>
      </c>
      <c r="X116" s="106">
        <v>3783.0034128439784</v>
      </c>
      <c r="Y116" s="106">
        <v>3706.8355588940999</v>
      </c>
      <c r="Z116" s="106">
        <v>3630.667704944221</v>
      </c>
      <c r="AA116" s="106">
        <v>3554.4998509943421</v>
      </c>
      <c r="AB116" s="106">
        <v>3478.3319970444636</v>
      </c>
      <c r="AC116" s="106">
        <v>3402.1641430945847</v>
      </c>
      <c r="AD116" s="106">
        <v>3325.9962891447058</v>
      </c>
      <c r="AE116" s="106">
        <v>3249.8284351948273</v>
      </c>
      <c r="AF116" s="106">
        <v>3173.6605812449484</v>
      </c>
      <c r="AG116" s="106">
        <v>3097.4927272950695</v>
      </c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</row>
    <row r="117" spans="7:60">
      <c r="G117" s="43"/>
      <c r="H117" s="27"/>
      <c r="I117" s="36"/>
      <c r="J117" s="35"/>
      <c r="K117" s="75" t="s">
        <v>58</v>
      </c>
      <c r="L117" s="75" t="s">
        <v>47</v>
      </c>
      <c r="M117" s="106">
        <v>816.7402694688958</v>
      </c>
      <c r="N117" s="106">
        <v>751.10935495800243</v>
      </c>
      <c r="O117" s="106">
        <v>685.47844044710894</v>
      </c>
      <c r="P117" s="106">
        <v>619.84752593621556</v>
      </c>
      <c r="Q117" s="106">
        <v>554.21661142532218</v>
      </c>
      <c r="R117" s="106">
        <v>488.58569691442875</v>
      </c>
      <c r="S117" s="106">
        <v>466.70872541079757</v>
      </c>
      <c r="T117" s="106">
        <v>444.83175390716644</v>
      </c>
      <c r="U117" s="106">
        <v>422.95478240353532</v>
      </c>
      <c r="V117" s="106">
        <v>401.07781089990419</v>
      </c>
      <c r="W117" s="106">
        <v>379.20083939627307</v>
      </c>
      <c r="X117" s="106">
        <v>371.90851556172936</v>
      </c>
      <c r="Y117" s="106">
        <v>364.61619172718565</v>
      </c>
      <c r="Z117" s="106">
        <v>357.32386789264189</v>
      </c>
      <c r="AA117" s="106">
        <v>350.03154405809818</v>
      </c>
      <c r="AB117" s="106">
        <v>342.73922022355447</v>
      </c>
      <c r="AC117" s="106">
        <v>335.44689638901076</v>
      </c>
      <c r="AD117" s="106">
        <v>328.15457255446705</v>
      </c>
      <c r="AE117" s="106">
        <v>320.86224871992334</v>
      </c>
      <c r="AF117" s="106">
        <v>313.56992488537963</v>
      </c>
      <c r="AG117" s="106">
        <v>306.27760105083593</v>
      </c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</row>
    <row r="118" spans="7:60">
      <c r="G118" s="43"/>
      <c r="H118" s="27"/>
      <c r="I118" s="36"/>
      <c r="J118" s="35"/>
      <c r="K118" s="75" t="s">
        <v>58</v>
      </c>
      <c r="L118" s="75" t="s">
        <v>46</v>
      </c>
      <c r="M118" s="106">
        <v>1550.0006770511995</v>
      </c>
      <c r="N118" s="106">
        <v>1492.5932445678218</v>
      </c>
      <c r="O118" s="106">
        <v>1435.185812084444</v>
      </c>
      <c r="P118" s="106">
        <v>1377.7783796010663</v>
      </c>
      <c r="Q118" s="106">
        <v>1320.3709471176885</v>
      </c>
      <c r="R118" s="106">
        <v>1262.9635146343107</v>
      </c>
      <c r="S118" s="106">
        <v>1215.1239875648293</v>
      </c>
      <c r="T118" s="106">
        <v>1167.2844604953477</v>
      </c>
      <c r="U118" s="106">
        <v>1119.4449334258663</v>
      </c>
      <c r="V118" s="106">
        <v>1071.6054063563849</v>
      </c>
      <c r="W118" s="106">
        <v>1023.7658792869034</v>
      </c>
      <c r="X118" s="106">
        <v>995.06216304521456</v>
      </c>
      <c r="Y118" s="106">
        <v>966.35844680352568</v>
      </c>
      <c r="Z118" s="106">
        <v>937.6547305618368</v>
      </c>
      <c r="AA118" s="106">
        <v>908.95101432014792</v>
      </c>
      <c r="AB118" s="106">
        <v>880.24729807845904</v>
      </c>
      <c r="AC118" s="106">
        <v>861.11148725066641</v>
      </c>
      <c r="AD118" s="106">
        <v>841.9756764228739</v>
      </c>
      <c r="AE118" s="106">
        <v>822.83986559508128</v>
      </c>
      <c r="AF118" s="106">
        <v>803.70405476728865</v>
      </c>
      <c r="AG118" s="106">
        <v>784.56824393949614</v>
      </c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</row>
    <row r="119" spans="7:60">
      <c r="G119" s="43"/>
      <c r="H119" s="27"/>
      <c r="I119" s="36"/>
      <c r="J119" s="35"/>
      <c r="K119" s="75" t="s">
        <v>58</v>
      </c>
      <c r="L119" s="75" t="s">
        <v>45</v>
      </c>
      <c r="M119" s="106">
        <v>2581.1268480299009</v>
      </c>
      <c r="N119" s="106">
        <v>2555.5711366632681</v>
      </c>
      <c r="O119" s="106">
        <v>2530.0154252966354</v>
      </c>
      <c r="P119" s="106">
        <v>2504.4597139300031</v>
      </c>
      <c r="Q119" s="106">
        <v>2478.9040025633703</v>
      </c>
      <c r="R119" s="106">
        <v>2453.3482911967376</v>
      </c>
      <c r="S119" s="106">
        <v>2376.6811570968393</v>
      </c>
      <c r="T119" s="106">
        <v>2300.0140229969415</v>
      </c>
      <c r="U119" s="106">
        <v>2223.3468888970433</v>
      </c>
      <c r="V119" s="106">
        <v>2146.6797547971455</v>
      </c>
      <c r="W119" s="106">
        <v>2070.0126206972473</v>
      </c>
      <c r="X119" s="106">
        <v>2018.901197963982</v>
      </c>
      <c r="Y119" s="106">
        <v>1967.7897752307165</v>
      </c>
      <c r="Z119" s="106">
        <v>1916.6783524974512</v>
      </c>
      <c r="AA119" s="106">
        <v>1865.5669297641859</v>
      </c>
      <c r="AB119" s="106">
        <v>1814.4555070309204</v>
      </c>
      <c r="AC119" s="106">
        <v>1776.1219399809715</v>
      </c>
      <c r="AD119" s="106">
        <v>1737.7883729310224</v>
      </c>
      <c r="AE119" s="106">
        <v>1699.4548058810735</v>
      </c>
      <c r="AF119" s="106">
        <v>1661.1212388311244</v>
      </c>
      <c r="AG119" s="106">
        <v>1622.7876717811753</v>
      </c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</row>
    <row r="120" spans="7:60">
      <c r="G120" s="43"/>
      <c r="H120" s="27"/>
      <c r="I120" s="36"/>
      <c r="J120" s="108"/>
      <c r="K120" s="75"/>
      <c r="L120" s="75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</row>
    <row r="121" spans="7:60">
      <c r="G121" s="43"/>
      <c r="H121" s="27"/>
      <c r="I121" s="36"/>
      <c r="J121" s="36"/>
      <c r="K121" s="76"/>
      <c r="L121" s="76"/>
      <c r="M121" s="82">
        <v>2030</v>
      </c>
      <c r="N121" s="82">
        <v>2031</v>
      </c>
      <c r="O121" s="82">
        <v>2032</v>
      </c>
      <c r="P121" s="82">
        <v>2033</v>
      </c>
      <c r="Q121" s="82">
        <v>2034</v>
      </c>
      <c r="R121" s="82">
        <v>2035</v>
      </c>
      <c r="S121" s="82">
        <v>2036</v>
      </c>
      <c r="T121" s="82">
        <v>2037</v>
      </c>
      <c r="U121" s="82">
        <v>2038</v>
      </c>
      <c r="V121" s="82">
        <v>2039</v>
      </c>
      <c r="W121" s="82">
        <v>2040</v>
      </c>
      <c r="X121" s="82">
        <v>2041</v>
      </c>
      <c r="Y121" s="82">
        <v>2042</v>
      </c>
      <c r="Z121" s="82">
        <v>2043</v>
      </c>
      <c r="AA121" s="82">
        <v>2044</v>
      </c>
      <c r="AB121" s="82">
        <v>2045</v>
      </c>
      <c r="AC121" s="82">
        <v>2046</v>
      </c>
      <c r="AD121" s="82">
        <v>2047</v>
      </c>
      <c r="AE121" s="82">
        <v>2048</v>
      </c>
      <c r="AF121" s="82">
        <v>2049</v>
      </c>
      <c r="AG121" s="82">
        <v>2050</v>
      </c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</row>
    <row r="122" spans="7:60">
      <c r="G122" s="43"/>
      <c r="H122" s="27"/>
      <c r="I122" s="36"/>
      <c r="J122" s="35" t="s">
        <v>123</v>
      </c>
      <c r="K122" s="75" t="s">
        <v>56</v>
      </c>
      <c r="L122" s="75" t="s">
        <v>47</v>
      </c>
      <c r="M122" s="48">
        <v>5250</v>
      </c>
      <c r="N122" s="48">
        <v>5000</v>
      </c>
      <c r="O122" s="48">
        <v>4750</v>
      </c>
      <c r="P122" s="48">
        <v>4500</v>
      </c>
      <c r="Q122" s="48">
        <v>4250</v>
      </c>
      <c r="R122" s="48">
        <v>4000</v>
      </c>
      <c r="S122" s="48">
        <v>3800</v>
      </c>
      <c r="T122" s="48">
        <v>3600</v>
      </c>
      <c r="U122" s="48">
        <v>3400</v>
      </c>
      <c r="V122" s="48">
        <v>3200</v>
      </c>
      <c r="W122" s="48">
        <v>3000</v>
      </c>
      <c r="X122" s="48">
        <v>2900</v>
      </c>
      <c r="Y122" s="48">
        <v>2800</v>
      </c>
      <c r="Z122" s="48">
        <v>2700</v>
      </c>
      <c r="AA122" s="48">
        <v>2600</v>
      </c>
      <c r="AB122" s="48">
        <v>2500</v>
      </c>
      <c r="AC122" s="48">
        <v>2450</v>
      </c>
      <c r="AD122" s="48">
        <v>2400</v>
      </c>
      <c r="AE122" s="48">
        <v>2350</v>
      </c>
      <c r="AF122" s="48">
        <v>2300</v>
      </c>
      <c r="AG122" s="48">
        <v>2250</v>
      </c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</row>
    <row r="123" spans="7:60">
      <c r="G123" s="43"/>
      <c r="H123" s="27"/>
      <c r="I123" s="36"/>
      <c r="J123" s="35"/>
      <c r="K123" s="75" t="s">
        <v>56</v>
      </c>
      <c r="L123" s="75" t="s">
        <v>46</v>
      </c>
      <c r="M123" s="48">
        <v>5750</v>
      </c>
      <c r="N123" s="48">
        <v>5700</v>
      </c>
      <c r="O123" s="48">
        <v>5650</v>
      </c>
      <c r="P123" s="48">
        <v>5600</v>
      </c>
      <c r="Q123" s="48">
        <v>5550</v>
      </c>
      <c r="R123" s="48">
        <v>5500</v>
      </c>
      <c r="S123" s="48">
        <v>5350</v>
      </c>
      <c r="T123" s="48">
        <v>5200</v>
      </c>
      <c r="U123" s="48">
        <v>5050</v>
      </c>
      <c r="V123" s="48">
        <v>4900</v>
      </c>
      <c r="W123" s="48">
        <v>4750</v>
      </c>
      <c r="X123" s="48">
        <v>4650</v>
      </c>
      <c r="Y123" s="48">
        <v>4550</v>
      </c>
      <c r="Z123" s="48">
        <v>4450</v>
      </c>
      <c r="AA123" s="48">
        <v>4350</v>
      </c>
      <c r="AB123" s="48">
        <v>4250</v>
      </c>
      <c r="AC123" s="48">
        <v>4150</v>
      </c>
      <c r="AD123" s="48">
        <v>4050</v>
      </c>
      <c r="AE123" s="48">
        <v>3950</v>
      </c>
      <c r="AF123" s="48">
        <v>3850</v>
      </c>
      <c r="AG123" s="48">
        <v>3750</v>
      </c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</row>
    <row r="124" spans="7:60">
      <c r="G124" s="43"/>
      <c r="H124" s="27"/>
      <c r="I124" s="36"/>
      <c r="J124" s="35"/>
      <c r="K124" s="75" t="s">
        <v>56</v>
      </c>
      <c r="L124" s="75" t="s">
        <v>45</v>
      </c>
      <c r="M124" s="48">
        <v>7750</v>
      </c>
      <c r="N124" s="48">
        <v>7750</v>
      </c>
      <c r="O124" s="48">
        <v>7750</v>
      </c>
      <c r="P124" s="48">
        <v>7750</v>
      </c>
      <c r="Q124" s="48">
        <v>7750</v>
      </c>
      <c r="R124" s="48">
        <v>7750</v>
      </c>
      <c r="S124" s="48">
        <v>7700</v>
      </c>
      <c r="T124" s="48">
        <v>7650</v>
      </c>
      <c r="U124" s="48">
        <v>7600</v>
      </c>
      <c r="V124" s="48">
        <v>7550</v>
      </c>
      <c r="W124" s="48">
        <v>7500</v>
      </c>
      <c r="X124" s="48">
        <v>7350</v>
      </c>
      <c r="Y124" s="48">
        <v>7200</v>
      </c>
      <c r="Z124" s="48">
        <v>7050</v>
      </c>
      <c r="AA124" s="48">
        <v>6900</v>
      </c>
      <c r="AB124" s="48">
        <v>6750</v>
      </c>
      <c r="AC124" s="48">
        <v>6600</v>
      </c>
      <c r="AD124" s="48">
        <v>6450</v>
      </c>
      <c r="AE124" s="48">
        <v>6300</v>
      </c>
      <c r="AF124" s="48">
        <v>6150</v>
      </c>
      <c r="AG124" s="48">
        <v>6000</v>
      </c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</row>
    <row r="125" spans="7:60">
      <c r="G125" s="43"/>
      <c r="H125" s="27"/>
      <c r="I125" s="36"/>
      <c r="J125" s="35"/>
      <c r="K125" s="75" t="s">
        <v>58</v>
      </c>
      <c r="L125" s="75" t="s">
        <v>47</v>
      </c>
      <c r="M125" s="48">
        <v>5500</v>
      </c>
      <c r="N125" s="48">
        <v>5050</v>
      </c>
      <c r="O125" s="48">
        <v>4600</v>
      </c>
      <c r="P125" s="48">
        <v>4150</v>
      </c>
      <c r="Q125" s="48">
        <v>3700</v>
      </c>
      <c r="R125" s="48">
        <v>3250</v>
      </c>
      <c r="S125" s="48">
        <v>3100</v>
      </c>
      <c r="T125" s="48">
        <v>2950</v>
      </c>
      <c r="U125" s="48">
        <v>2800</v>
      </c>
      <c r="V125" s="48">
        <v>2650</v>
      </c>
      <c r="W125" s="48">
        <v>2500</v>
      </c>
      <c r="X125" s="48">
        <v>2450</v>
      </c>
      <c r="Y125" s="48">
        <v>2400</v>
      </c>
      <c r="Z125" s="48">
        <v>2350</v>
      </c>
      <c r="AA125" s="48">
        <v>2300</v>
      </c>
      <c r="AB125" s="48">
        <v>2250</v>
      </c>
      <c r="AC125" s="48">
        <v>2200</v>
      </c>
      <c r="AD125" s="48">
        <v>2150</v>
      </c>
      <c r="AE125" s="48">
        <v>2100</v>
      </c>
      <c r="AF125" s="48">
        <v>2050</v>
      </c>
      <c r="AG125" s="48">
        <v>2000</v>
      </c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</row>
    <row r="126" spans="7:60">
      <c r="G126" s="43"/>
      <c r="H126" s="27"/>
      <c r="I126" s="36"/>
      <c r="J126" s="35"/>
      <c r="K126" s="75" t="s">
        <v>58</v>
      </c>
      <c r="L126" s="75" t="s">
        <v>46</v>
      </c>
      <c r="M126" s="48">
        <v>8000</v>
      </c>
      <c r="N126" s="48">
        <v>7700</v>
      </c>
      <c r="O126" s="48">
        <v>7400</v>
      </c>
      <c r="P126" s="48">
        <v>7100</v>
      </c>
      <c r="Q126" s="48">
        <v>6800</v>
      </c>
      <c r="R126" s="48">
        <v>6500</v>
      </c>
      <c r="S126" s="48">
        <v>6250</v>
      </c>
      <c r="T126" s="48">
        <v>6000</v>
      </c>
      <c r="U126" s="48">
        <v>5750</v>
      </c>
      <c r="V126" s="48">
        <v>5500</v>
      </c>
      <c r="W126" s="48">
        <v>5250</v>
      </c>
      <c r="X126" s="48">
        <v>5100</v>
      </c>
      <c r="Y126" s="48">
        <v>4950</v>
      </c>
      <c r="Z126" s="48">
        <v>4800</v>
      </c>
      <c r="AA126" s="48">
        <v>4650</v>
      </c>
      <c r="AB126" s="48">
        <v>4500</v>
      </c>
      <c r="AC126" s="48">
        <v>4400</v>
      </c>
      <c r="AD126" s="48">
        <v>4300</v>
      </c>
      <c r="AE126" s="48">
        <v>4200</v>
      </c>
      <c r="AF126" s="48">
        <v>4100</v>
      </c>
      <c r="AG126" s="48">
        <v>4000</v>
      </c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</row>
    <row r="127" spans="7:60">
      <c r="G127" s="43"/>
      <c r="H127" s="27"/>
      <c r="I127" s="36"/>
      <c r="J127" s="35"/>
      <c r="K127" s="75" t="s">
        <v>58</v>
      </c>
      <c r="L127" s="75" t="s">
        <v>45</v>
      </c>
      <c r="M127" s="48">
        <v>10000</v>
      </c>
      <c r="N127" s="48">
        <v>9900</v>
      </c>
      <c r="O127" s="48">
        <v>9800</v>
      </c>
      <c r="P127" s="48">
        <v>9700</v>
      </c>
      <c r="Q127" s="48">
        <v>9600</v>
      </c>
      <c r="R127" s="48">
        <v>9500</v>
      </c>
      <c r="S127" s="48">
        <v>9200</v>
      </c>
      <c r="T127" s="48">
        <v>8900</v>
      </c>
      <c r="U127" s="48">
        <v>8600</v>
      </c>
      <c r="V127" s="48">
        <v>8300</v>
      </c>
      <c r="W127" s="48">
        <v>8000</v>
      </c>
      <c r="X127" s="48">
        <v>7800</v>
      </c>
      <c r="Y127" s="48">
        <v>7600</v>
      </c>
      <c r="Z127" s="48">
        <v>7400</v>
      </c>
      <c r="AA127" s="48">
        <v>7200</v>
      </c>
      <c r="AB127" s="48">
        <v>7000</v>
      </c>
      <c r="AC127" s="48">
        <v>6850</v>
      </c>
      <c r="AD127" s="48">
        <v>6700</v>
      </c>
      <c r="AE127" s="48">
        <v>6550</v>
      </c>
      <c r="AF127" s="48">
        <v>6400</v>
      </c>
      <c r="AG127" s="48">
        <v>6250</v>
      </c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</row>
    <row r="128" spans="7:60">
      <c r="G128" s="43"/>
      <c r="H128" s="27"/>
      <c r="I128" s="36"/>
      <c r="J128" s="108"/>
      <c r="K128" s="75"/>
      <c r="L128" s="75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</row>
    <row r="129" spans="7:60">
      <c r="G129" s="43"/>
      <c r="H129" s="27"/>
      <c r="I129" s="36"/>
      <c r="J129" s="36"/>
      <c r="K129" s="76"/>
      <c r="L129" s="76"/>
      <c r="M129" s="82">
        <v>2030</v>
      </c>
      <c r="N129" s="82">
        <v>2031</v>
      </c>
      <c r="O129" s="82">
        <v>2032</v>
      </c>
      <c r="P129" s="82">
        <v>2033</v>
      </c>
      <c r="Q129" s="82">
        <v>2034</v>
      </c>
      <c r="R129" s="82">
        <v>2035</v>
      </c>
      <c r="S129" s="82">
        <v>2036</v>
      </c>
      <c r="T129" s="82">
        <v>2037</v>
      </c>
      <c r="U129" s="82">
        <v>2038</v>
      </c>
      <c r="V129" s="82">
        <v>2039</v>
      </c>
      <c r="W129" s="82">
        <v>2040</v>
      </c>
      <c r="X129" s="82">
        <v>2041</v>
      </c>
      <c r="Y129" s="82">
        <v>2042</v>
      </c>
      <c r="Z129" s="82">
        <v>2043</v>
      </c>
      <c r="AA129" s="82">
        <v>2044</v>
      </c>
      <c r="AB129" s="82">
        <v>2045</v>
      </c>
      <c r="AC129" s="82">
        <v>2046</v>
      </c>
      <c r="AD129" s="82">
        <v>2047</v>
      </c>
      <c r="AE129" s="82">
        <v>2048</v>
      </c>
      <c r="AF129" s="82">
        <v>2049</v>
      </c>
      <c r="AG129" s="82">
        <v>2050</v>
      </c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</row>
    <row r="130" spans="7:60">
      <c r="G130" s="43"/>
      <c r="H130" s="27"/>
      <c r="I130" s="36"/>
      <c r="J130" s="35" t="s">
        <v>124</v>
      </c>
      <c r="K130" s="75" t="s">
        <v>56</v>
      </c>
      <c r="L130" s="75" t="s">
        <v>47</v>
      </c>
      <c r="M130" s="48">
        <v>126</v>
      </c>
      <c r="N130" s="48">
        <v>126</v>
      </c>
      <c r="O130" s="48">
        <v>126</v>
      </c>
      <c r="P130" s="48">
        <v>126</v>
      </c>
      <c r="Q130" s="48">
        <v>126</v>
      </c>
      <c r="R130" s="48">
        <v>126</v>
      </c>
      <c r="S130" s="48">
        <v>126</v>
      </c>
      <c r="T130" s="48">
        <v>126</v>
      </c>
      <c r="U130" s="48">
        <v>126</v>
      </c>
      <c r="V130" s="48">
        <v>126</v>
      </c>
      <c r="W130" s="48">
        <v>126</v>
      </c>
      <c r="X130" s="48">
        <v>126</v>
      </c>
      <c r="Y130" s="48">
        <v>126</v>
      </c>
      <c r="Z130" s="48">
        <v>126</v>
      </c>
      <c r="AA130" s="48">
        <v>126</v>
      </c>
      <c r="AB130" s="48">
        <v>126</v>
      </c>
      <c r="AC130" s="48">
        <v>126</v>
      </c>
      <c r="AD130" s="48">
        <v>126</v>
      </c>
      <c r="AE130" s="48">
        <v>126</v>
      </c>
      <c r="AF130" s="48">
        <v>126</v>
      </c>
      <c r="AG130" s="48">
        <v>126</v>
      </c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</row>
    <row r="131" spans="7:60">
      <c r="G131" s="43"/>
      <c r="H131" s="27"/>
      <c r="I131" s="36"/>
      <c r="J131" s="35"/>
      <c r="K131" s="75" t="s">
        <v>56</v>
      </c>
      <c r="L131" s="75" t="s">
        <v>46</v>
      </c>
      <c r="M131" s="48">
        <v>175</v>
      </c>
      <c r="N131" s="48">
        <v>175</v>
      </c>
      <c r="O131" s="48">
        <v>175</v>
      </c>
      <c r="P131" s="48">
        <v>175</v>
      </c>
      <c r="Q131" s="48">
        <v>175</v>
      </c>
      <c r="R131" s="48">
        <v>175</v>
      </c>
      <c r="S131" s="48">
        <v>175</v>
      </c>
      <c r="T131" s="48">
        <v>175</v>
      </c>
      <c r="U131" s="48">
        <v>175</v>
      </c>
      <c r="V131" s="48">
        <v>175</v>
      </c>
      <c r="W131" s="48">
        <v>175</v>
      </c>
      <c r="X131" s="48">
        <v>175</v>
      </c>
      <c r="Y131" s="48">
        <v>175</v>
      </c>
      <c r="Z131" s="48">
        <v>175</v>
      </c>
      <c r="AA131" s="48">
        <v>175</v>
      </c>
      <c r="AB131" s="48">
        <v>175</v>
      </c>
      <c r="AC131" s="48">
        <v>175</v>
      </c>
      <c r="AD131" s="48">
        <v>175</v>
      </c>
      <c r="AE131" s="48">
        <v>175</v>
      </c>
      <c r="AF131" s="48">
        <v>175</v>
      </c>
      <c r="AG131" s="48">
        <v>175</v>
      </c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</row>
    <row r="132" spans="7:60">
      <c r="G132" s="43"/>
      <c r="H132" s="27"/>
      <c r="I132" s="36"/>
      <c r="J132" s="35"/>
      <c r="K132" s="75" t="s">
        <v>56</v>
      </c>
      <c r="L132" s="75" t="s">
        <v>45</v>
      </c>
      <c r="M132" s="48">
        <v>204</v>
      </c>
      <c r="N132" s="48">
        <v>204</v>
      </c>
      <c r="O132" s="48">
        <v>204</v>
      </c>
      <c r="P132" s="48">
        <v>204</v>
      </c>
      <c r="Q132" s="48">
        <v>204</v>
      </c>
      <c r="R132" s="48">
        <v>204</v>
      </c>
      <c r="S132" s="48">
        <v>204</v>
      </c>
      <c r="T132" s="48">
        <v>204</v>
      </c>
      <c r="U132" s="48">
        <v>204</v>
      </c>
      <c r="V132" s="48">
        <v>204</v>
      </c>
      <c r="W132" s="48">
        <v>204</v>
      </c>
      <c r="X132" s="48">
        <v>204</v>
      </c>
      <c r="Y132" s="48">
        <v>204</v>
      </c>
      <c r="Z132" s="48">
        <v>204</v>
      </c>
      <c r="AA132" s="48">
        <v>204</v>
      </c>
      <c r="AB132" s="48">
        <v>204</v>
      </c>
      <c r="AC132" s="48">
        <v>204</v>
      </c>
      <c r="AD132" s="48">
        <v>204</v>
      </c>
      <c r="AE132" s="48">
        <v>204</v>
      </c>
      <c r="AF132" s="48">
        <v>204</v>
      </c>
      <c r="AG132" s="48">
        <v>204</v>
      </c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</row>
    <row r="133" spans="7:60">
      <c r="G133" s="43"/>
      <c r="H133" s="27"/>
      <c r="I133" s="36"/>
      <c r="J133" s="35"/>
      <c r="K133" s="75" t="s">
        <v>58</v>
      </c>
      <c r="L133" s="75" t="s">
        <v>47</v>
      </c>
      <c r="M133" s="48">
        <v>118</v>
      </c>
      <c r="N133" s="48">
        <v>118</v>
      </c>
      <c r="O133" s="48">
        <v>118</v>
      </c>
      <c r="P133" s="48">
        <v>118</v>
      </c>
      <c r="Q133" s="48">
        <v>118</v>
      </c>
      <c r="R133" s="48">
        <v>118</v>
      </c>
      <c r="S133" s="48">
        <v>118</v>
      </c>
      <c r="T133" s="48">
        <v>118</v>
      </c>
      <c r="U133" s="48">
        <v>118</v>
      </c>
      <c r="V133" s="48">
        <v>118</v>
      </c>
      <c r="W133" s="48">
        <v>118</v>
      </c>
      <c r="X133" s="48">
        <v>118</v>
      </c>
      <c r="Y133" s="48">
        <v>118</v>
      </c>
      <c r="Z133" s="48">
        <v>118</v>
      </c>
      <c r="AA133" s="48">
        <v>118</v>
      </c>
      <c r="AB133" s="48">
        <v>118</v>
      </c>
      <c r="AC133" s="48">
        <v>118</v>
      </c>
      <c r="AD133" s="48">
        <v>118</v>
      </c>
      <c r="AE133" s="48">
        <v>118</v>
      </c>
      <c r="AF133" s="48">
        <v>118</v>
      </c>
      <c r="AG133" s="48">
        <v>118</v>
      </c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</row>
    <row r="134" spans="7:60">
      <c r="G134" s="43"/>
      <c r="H134" s="27"/>
      <c r="I134" s="36"/>
      <c r="J134" s="35"/>
      <c r="K134" s="75" t="s">
        <v>58</v>
      </c>
      <c r="L134" s="75" t="s">
        <v>46</v>
      </c>
      <c r="M134" s="48">
        <v>136</v>
      </c>
      <c r="N134" s="48">
        <v>136</v>
      </c>
      <c r="O134" s="48">
        <v>136</v>
      </c>
      <c r="P134" s="48">
        <v>136</v>
      </c>
      <c r="Q134" s="48">
        <v>136</v>
      </c>
      <c r="R134" s="48">
        <v>136</v>
      </c>
      <c r="S134" s="48">
        <v>136</v>
      </c>
      <c r="T134" s="48">
        <v>136</v>
      </c>
      <c r="U134" s="48">
        <v>136</v>
      </c>
      <c r="V134" s="48">
        <v>136</v>
      </c>
      <c r="W134" s="48">
        <v>136</v>
      </c>
      <c r="X134" s="48">
        <v>136</v>
      </c>
      <c r="Y134" s="48">
        <v>136</v>
      </c>
      <c r="Z134" s="48">
        <v>136</v>
      </c>
      <c r="AA134" s="48">
        <v>136</v>
      </c>
      <c r="AB134" s="48">
        <v>136</v>
      </c>
      <c r="AC134" s="48">
        <v>136</v>
      </c>
      <c r="AD134" s="48">
        <v>136</v>
      </c>
      <c r="AE134" s="48">
        <v>136</v>
      </c>
      <c r="AF134" s="48">
        <v>136</v>
      </c>
      <c r="AG134" s="48">
        <v>136</v>
      </c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</row>
    <row r="135" spans="7:60">
      <c r="G135" s="43"/>
      <c r="H135" s="27"/>
      <c r="I135" s="36"/>
      <c r="J135" s="35"/>
      <c r="K135" s="75" t="s">
        <v>58</v>
      </c>
      <c r="L135" s="75" t="s">
        <v>45</v>
      </c>
      <c r="M135" s="48">
        <v>216</v>
      </c>
      <c r="N135" s="48">
        <v>216</v>
      </c>
      <c r="O135" s="48">
        <v>216</v>
      </c>
      <c r="P135" s="48">
        <v>216</v>
      </c>
      <c r="Q135" s="48">
        <v>216</v>
      </c>
      <c r="R135" s="48">
        <v>216</v>
      </c>
      <c r="S135" s="48">
        <v>216</v>
      </c>
      <c r="T135" s="48">
        <v>216</v>
      </c>
      <c r="U135" s="48">
        <v>216</v>
      </c>
      <c r="V135" s="48">
        <v>216</v>
      </c>
      <c r="W135" s="48">
        <v>216</v>
      </c>
      <c r="X135" s="48">
        <v>216</v>
      </c>
      <c r="Y135" s="48">
        <v>216</v>
      </c>
      <c r="Z135" s="48">
        <v>216</v>
      </c>
      <c r="AA135" s="48">
        <v>216</v>
      </c>
      <c r="AB135" s="48">
        <v>216</v>
      </c>
      <c r="AC135" s="48">
        <v>216</v>
      </c>
      <c r="AD135" s="48">
        <v>216</v>
      </c>
      <c r="AE135" s="48">
        <v>216</v>
      </c>
      <c r="AF135" s="48">
        <v>216</v>
      </c>
      <c r="AG135" s="48">
        <v>216</v>
      </c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</row>
    <row r="136" spans="7:60">
      <c r="G136" s="43"/>
      <c r="H136" s="27"/>
      <c r="I136" s="36"/>
      <c r="J136" s="108"/>
      <c r="K136" s="75"/>
      <c r="L136" s="75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</row>
    <row r="137" spans="7:60">
      <c r="G137" s="43"/>
      <c r="H137" s="27"/>
      <c r="I137" s="36"/>
      <c r="J137" s="36"/>
      <c r="K137" s="76"/>
      <c r="L137" s="76"/>
      <c r="M137" s="82">
        <v>2030</v>
      </c>
      <c r="N137" s="82">
        <v>2031</v>
      </c>
      <c r="O137" s="82">
        <v>2032</v>
      </c>
      <c r="P137" s="82">
        <v>2033</v>
      </c>
      <c r="Q137" s="82">
        <v>2034</v>
      </c>
      <c r="R137" s="82">
        <v>2035</v>
      </c>
      <c r="S137" s="82">
        <v>2036</v>
      </c>
      <c r="T137" s="82">
        <v>2037</v>
      </c>
      <c r="U137" s="82">
        <v>2038</v>
      </c>
      <c r="V137" s="82">
        <v>2039</v>
      </c>
      <c r="W137" s="82">
        <v>2040</v>
      </c>
      <c r="X137" s="82">
        <v>2041</v>
      </c>
      <c r="Y137" s="82">
        <v>2042</v>
      </c>
      <c r="Z137" s="82">
        <v>2043</v>
      </c>
      <c r="AA137" s="82">
        <v>2044</v>
      </c>
      <c r="AB137" s="82">
        <v>2045</v>
      </c>
      <c r="AC137" s="82">
        <v>2046</v>
      </c>
      <c r="AD137" s="82">
        <v>2047</v>
      </c>
      <c r="AE137" s="82">
        <v>2048</v>
      </c>
      <c r="AF137" s="82">
        <v>2049</v>
      </c>
      <c r="AG137" s="82">
        <v>2050</v>
      </c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</row>
    <row r="138" spans="7:60">
      <c r="G138" s="43"/>
      <c r="H138" s="27"/>
      <c r="I138" s="36"/>
      <c r="J138" s="35" t="s">
        <v>125</v>
      </c>
      <c r="K138" s="75" t="s">
        <v>56</v>
      </c>
      <c r="L138" s="75" t="s">
        <v>47</v>
      </c>
      <c r="M138" s="101">
        <v>1.9</v>
      </c>
      <c r="N138" s="101">
        <v>1.9</v>
      </c>
      <c r="O138" s="101">
        <v>1.9</v>
      </c>
      <c r="P138" s="101">
        <v>1.9</v>
      </c>
      <c r="Q138" s="101">
        <v>1.9</v>
      </c>
      <c r="R138" s="101">
        <v>1.9</v>
      </c>
      <c r="S138" s="101">
        <v>1.9</v>
      </c>
      <c r="T138" s="101">
        <v>1.9</v>
      </c>
      <c r="U138" s="101">
        <v>1.9</v>
      </c>
      <c r="V138" s="101">
        <v>1.9</v>
      </c>
      <c r="W138" s="101">
        <v>1.9</v>
      </c>
      <c r="X138" s="101">
        <v>1.9</v>
      </c>
      <c r="Y138" s="101">
        <v>1.9</v>
      </c>
      <c r="Z138" s="101">
        <v>1.9</v>
      </c>
      <c r="AA138" s="101">
        <v>1.9</v>
      </c>
      <c r="AB138" s="101">
        <v>1.9</v>
      </c>
      <c r="AC138" s="101">
        <v>1.9</v>
      </c>
      <c r="AD138" s="101">
        <v>1.9</v>
      </c>
      <c r="AE138" s="101">
        <v>1.9</v>
      </c>
      <c r="AF138" s="101">
        <v>1.9</v>
      </c>
      <c r="AG138" s="101">
        <v>1.9</v>
      </c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</row>
    <row r="139" spans="7:60">
      <c r="G139" s="43"/>
      <c r="H139" s="27"/>
      <c r="I139" s="36"/>
      <c r="J139" s="35"/>
      <c r="K139" s="75" t="s">
        <v>56</v>
      </c>
      <c r="L139" s="75" t="s">
        <v>46</v>
      </c>
      <c r="M139" s="101">
        <v>2.8</v>
      </c>
      <c r="N139" s="101">
        <v>2.8</v>
      </c>
      <c r="O139" s="101">
        <v>2.8</v>
      </c>
      <c r="P139" s="101">
        <v>2.8</v>
      </c>
      <c r="Q139" s="101">
        <v>2.8</v>
      </c>
      <c r="R139" s="101">
        <v>2.8</v>
      </c>
      <c r="S139" s="101">
        <v>2.8</v>
      </c>
      <c r="T139" s="101">
        <v>2.8</v>
      </c>
      <c r="U139" s="101">
        <v>2.8</v>
      </c>
      <c r="V139" s="101">
        <v>2.8</v>
      </c>
      <c r="W139" s="101">
        <v>2.8</v>
      </c>
      <c r="X139" s="101">
        <v>2.8</v>
      </c>
      <c r="Y139" s="101">
        <v>2.8</v>
      </c>
      <c r="Z139" s="101">
        <v>2.8</v>
      </c>
      <c r="AA139" s="101">
        <v>2.8</v>
      </c>
      <c r="AB139" s="101">
        <v>2.8</v>
      </c>
      <c r="AC139" s="101">
        <v>2.8</v>
      </c>
      <c r="AD139" s="101">
        <v>2.8</v>
      </c>
      <c r="AE139" s="101">
        <v>2.8</v>
      </c>
      <c r="AF139" s="101">
        <v>2.8</v>
      </c>
      <c r="AG139" s="101">
        <v>2.8</v>
      </c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</row>
    <row r="140" spans="7:60">
      <c r="G140" s="43"/>
      <c r="H140" s="163"/>
      <c r="I140" s="36"/>
      <c r="J140" s="35"/>
      <c r="K140" s="75" t="s">
        <v>56</v>
      </c>
      <c r="L140" s="75" t="s">
        <v>45</v>
      </c>
      <c r="M140" s="101">
        <v>3.4</v>
      </c>
      <c r="N140" s="101">
        <v>3.4</v>
      </c>
      <c r="O140" s="101">
        <v>3.4</v>
      </c>
      <c r="P140" s="101">
        <v>3.4</v>
      </c>
      <c r="Q140" s="101">
        <v>3.4</v>
      </c>
      <c r="R140" s="101">
        <v>3.4</v>
      </c>
      <c r="S140" s="101">
        <v>3.4</v>
      </c>
      <c r="T140" s="101">
        <v>3.4</v>
      </c>
      <c r="U140" s="101">
        <v>3.4</v>
      </c>
      <c r="V140" s="101">
        <v>3.4</v>
      </c>
      <c r="W140" s="101">
        <v>3.4</v>
      </c>
      <c r="X140" s="101">
        <v>3.4</v>
      </c>
      <c r="Y140" s="101">
        <v>3.4</v>
      </c>
      <c r="Z140" s="101">
        <v>3.4</v>
      </c>
      <c r="AA140" s="101">
        <v>3.4</v>
      </c>
      <c r="AB140" s="101">
        <v>3.4</v>
      </c>
      <c r="AC140" s="101">
        <v>3.4</v>
      </c>
      <c r="AD140" s="101">
        <v>3.4</v>
      </c>
      <c r="AE140" s="101">
        <v>3.4</v>
      </c>
      <c r="AF140" s="101">
        <v>3.4</v>
      </c>
      <c r="AG140" s="101">
        <v>3.4</v>
      </c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</row>
    <row r="141" spans="7:60">
      <c r="G141" s="43"/>
      <c r="H141" s="163"/>
      <c r="I141" s="36"/>
      <c r="J141" s="35"/>
      <c r="K141" s="75" t="s">
        <v>58</v>
      </c>
      <c r="L141" s="75" t="s">
        <v>47</v>
      </c>
      <c r="M141" s="101">
        <v>2.2000000000000002</v>
      </c>
      <c r="N141" s="101">
        <v>2.2000000000000002</v>
      </c>
      <c r="O141" s="101">
        <v>2.2000000000000002</v>
      </c>
      <c r="P141" s="101">
        <v>2.2000000000000002</v>
      </c>
      <c r="Q141" s="101">
        <v>2.2000000000000002</v>
      </c>
      <c r="R141" s="101">
        <v>2.2000000000000002</v>
      </c>
      <c r="S141" s="101">
        <v>2.2000000000000002</v>
      </c>
      <c r="T141" s="101">
        <v>2.2000000000000002</v>
      </c>
      <c r="U141" s="101">
        <v>2.2000000000000002</v>
      </c>
      <c r="V141" s="101">
        <v>2.2000000000000002</v>
      </c>
      <c r="W141" s="101">
        <v>2.2000000000000002</v>
      </c>
      <c r="X141" s="101">
        <v>2.2000000000000002</v>
      </c>
      <c r="Y141" s="101">
        <v>2.2000000000000002</v>
      </c>
      <c r="Z141" s="101">
        <v>2.2000000000000002</v>
      </c>
      <c r="AA141" s="101">
        <v>2.2000000000000002</v>
      </c>
      <c r="AB141" s="101">
        <v>2.2000000000000002</v>
      </c>
      <c r="AC141" s="101">
        <v>2.2000000000000002</v>
      </c>
      <c r="AD141" s="101">
        <v>2.2000000000000002</v>
      </c>
      <c r="AE141" s="101">
        <v>2.2000000000000002</v>
      </c>
      <c r="AF141" s="101">
        <v>2.2000000000000002</v>
      </c>
      <c r="AG141" s="101">
        <v>2.2000000000000002</v>
      </c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</row>
    <row r="142" spans="7:60">
      <c r="G142" s="43"/>
      <c r="H142" s="163"/>
      <c r="I142" s="36"/>
      <c r="J142" s="35"/>
      <c r="K142" s="75" t="s">
        <v>58</v>
      </c>
      <c r="L142" s="75" t="s">
        <v>46</v>
      </c>
      <c r="M142" s="101">
        <v>2.6</v>
      </c>
      <c r="N142" s="101">
        <v>2.6</v>
      </c>
      <c r="O142" s="101">
        <v>2.6</v>
      </c>
      <c r="P142" s="101">
        <v>2.6</v>
      </c>
      <c r="Q142" s="101">
        <v>2.6</v>
      </c>
      <c r="R142" s="101">
        <v>2.6</v>
      </c>
      <c r="S142" s="101">
        <v>2.6</v>
      </c>
      <c r="T142" s="101">
        <v>2.6</v>
      </c>
      <c r="U142" s="101">
        <v>2.6</v>
      </c>
      <c r="V142" s="101">
        <v>2.6</v>
      </c>
      <c r="W142" s="101">
        <v>2.6</v>
      </c>
      <c r="X142" s="101">
        <v>2.6</v>
      </c>
      <c r="Y142" s="101">
        <v>2.6</v>
      </c>
      <c r="Z142" s="101">
        <v>2.6</v>
      </c>
      <c r="AA142" s="101">
        <v>2.6</v>
      </c>
      <c r="AB142" s="101">
        <v>2.6</v>
      </c>
      <c r="AC142" s="101">
        <v>2.6</v>
      </c>
      <c r="AD142" s="101">
        <v>2.6</v>
      </c>
      <c r="AE142" s="101">
        <v>2.6</v>
      </c>
      <c r="AF142" s="101">
        <v>2.6</v>
      </c>
      <c r="AG142" s="101">
        <v>2.6</v>
      </c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</row>
    <row r="143" spans="7:60">
      <c r="G143" s="43"/>
      <c r="H143" s="163"/>
      <c r="I143" s="36"/>
      <c r="J143" s="35"/>
      <c r="K143" s="75" t="s">
        <v>58</v>
      </c>
      <c r="L143" s="75" t="s">
        <v>45</v>
      </c>
      <c r="M143" s="101">
        <v>2.8</v>
      </c>
      <c r="N143" s="101">
        <v>2.8</v>
      </c>
      <c r="O143" s="101">
        <v>2.8</v>
      </c>
      <c r="P143" s="101">
        <v>2.8</v>
      </c>
      <c r="Q143" s="101">
        <v>2.8</v>
      </c>
      <c r="R143" s="101">
        <v>2.8</v>
      </c>
      <c r="S143" s="101">
        <v>2.8</v>
      </c>
      <c r="T143" s="101">
        <v>2.8</v>
      </c>
      <c r="U143" s="101">
        <v>2.8</v>
      </c>
      <c r="V143" s="101">
        <v>2.8</v>
      </c>
      <c r="W143" s="101">
        <v>2.8</v>
      </c>
      <c r="X143" s="101">
        <v>2.8</v>
      </c>
      <c r="Y143" s="101">
        <v>2.8</v>
      </c>
      <c r="Z143" s="101">
        <v>2.8</v>
      </c>
      <c r="AA143" s="101">
        <v>2.8</v>
      </c>
      <c r="AB143" s="101">
        <v>2.8</v>
      </c>
      <c r="AC143" s="101">
        <v>2.8</v>
      </c>
      <c r="AD143" s="101">
        <v>2.8</v>
      </c>
      <c r="AE143" s="101">
        <v>2.8</v>
      </c>
      <c r="AF143" s="101">
        <v>2.8</v>
      </c>
      <c r="AG143" s="101">
        <v>2.8</v>
      </c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</row>
    <row r="144" spans="7:60">
      <c r="G144" s="43"/>
      <c r="H144" s="163"/>
      <c r="I144" s="36"/>
      <c r="J144" s="108"/>
      <c r="K144" s="75"/>
      <c r="L144" s="75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</row>
    <row r="145" spans="7:60">
      <c r="G145" s="43"/>
      <c r="H145" s="163"/>
      <c r="I145" s="36"/>
      <c r="J145" s="36"/>
      <c r="K145" s="76"/>
      <c r="L145" s="76"/>
      <c r="M145" s="82">
        <v>2030</v>
      </c>
      <c r="N145" s="82">
        <v>2031</v>
      </c>
      <c r="O145" s="82">
        <v>2032</v>
      </c>
      <c r="P145" s="82">
        <v>2033</v>
      </c>
      <c r="Q145" s="82">
        <v>2034</v>
      </c>
      <c r="R145" s="82">
        <v>2035</v>
      </c>
      <c r="S145" s="82">
        <v>2036</v>
      </c>
      <c r="T145" s="82">
        <v>2037</v>
      </c>
      <c r="U145" s="82">
        <v>2038</v>
      </c>
      <c r="V145" s="82">
        <v>2039</v>
      </c>
      <c r="W145" s="82">
        <v>2040</v>
      </c>
      <c r="X145" s="82">
        <v>2041</v>
      </c>
      <c r="Y145" s="82">
        <v>2042</v>
      </c>
      <c r="Z145" s="82">
        <v>2043</v>
      </c>
      <c r="AA145" s="82">
        <v>2044</v>
      </c>
      <c r="AB145" s="82">
        <v>2045</v>
      </c>
      <c r="AC145" s="82">
        <v>2046</v>
      </c>
      <c r="AD145" s="82">
        <v>2047</v>
      </c>
      <c r="AE145" s="82">
        <v>2048</v>
      </c>
      <c r="AF145" s="82">
        <v>2049</v>
      </c>
      <c r="AG145" s="82">
        <v>2050</v>
      </c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</row>
    <row r="146" spans="7:60">
      <c r="G146" s="43"/>
      <c r="H146" s="163"/>
      <c r="I146" s="36"/>
      <c r="J146" s="35" t="s">
        <v>126</v>
      </c>
      <c r="K146" s="75" t="s">
        <v>56</v>
      </c>
      <c r="L146" s="75" t="s">
        <v>47</v>
      </c>
      <c r="M146" s="101">
        <v>0.87</v>
      </c>
      <c r="N146" s="101">
        <v>0.87</v>
      </c>
      <c r="O146" s="101">
        <v>0.87</v>
      </c>
      <c r="P146" s="101">
        <v>0.87</v>
      </c>
      <c r="Q146" s="101">
        <v>0.87</v>
      </c>
      <c r="R146" s="101">
        <v>0.87</v>
      </c>
      <c r="S146" s="101">
        <v>0.87</v>
      </c>
      <c r="T146" s="101">
        <v>0.87</v>
      </c>
      <c r="U146" s="101">
        <v>0.87</v>
      </c>
      <c r="V146" s="101">
        <v>0.87</v>
      </c>
      <c r="W146" s="101">
        <v>0.87</v>
      </c>
      <c r="X146" s="101">
        <v>0.87</v>
      </c>
      <c r="Y146" s="101">
        <v>0.87</v>
      </c>
      <c r="Z146" s="101">
        <v>0.87</v>
      </c>
      <c r="AA146" s="101">
        <v>0.87</v>
      </c>
      <c r="AB146" s="101">
        <v>0.87</v>
      </c>
      <c r="AC146" s="101">
        <v>0.87</v>
      </c>
      <c r="AD146" s="101">
        <v>0.87</v>
      </c>
      <c r="AE146" s="101">
        <v>0.87</v>
      </c>
      <c r="AF146" s="101">
        <v>0.87</v>
      </c>
      <c r="AG146" s="101">
        <v>0.87</v>
      </c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</row>
    <row r="147" spans="7:60">
      <c r="G147" s="43"/>
      <c r="H147" s="163"/>
      <c r="I147" s="36"/>
      <c r="J147" s="35"/>
      <c r="K147" s="75" t="s">
        <v>56</v>
      </c>
      <c r="L147" s="75" t="s">
        <v>46</v>
      </c>
      <c r="M147" s="101">
        <v>0.97</v>
      </c>
      <c r="N147" s="101">
        <v>0.97</v>
      </c>
      <c r="O147" s="101">
        <v>0.97</v>
      </c>
      <c r="P147" s="101">
        <v>0.97</v>
      </c>
      <c r="Q147" s="101">
        <v>0.97</v>
      </c>
      <c r="R147" s="101">
        <v>0.97</v>
      </c>
      <c r="S147" s="101">
        <v>0.97</v>
      </c>
      <c r="T147" s="101">
        <v>0.97</v>
      </c>
      <c r="U147" s="101">
        <v>0.97</v>
      </c>
      <c r="V147" s="101">
        <v>0.97</v>
      </c>
      <c r="W147" s="101">
        <v>0.97</v>
      </c>
      <c r="X147" s="101">
        <v>0.97</v>
      </c>
      <c r="Y147" s="101">
        <v>0.97</v>
      </c>
      <c r="Z147" s="101">
        <v>0.97</v>
      </c>
      <c r="AA147" s="101">
        <v>0.97</v>
      </c>
      <c r="AB147" s="101">
        <v>0.97</v>
      </c>
      <c r="AC147" s="101">
        <v>0.97</v>
      </c>
      <c r="AD147" s="101">
        <v>0.97</v>
      </c>
      <c r="AE147" s="101">
        <v>0.97</v>
      </c>
      <c r="AF147" s="101">
        <v>0.97</v>
      </c>
      <c r="AG147" s="101">
        <v>0.97</v>
      </c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</row>
    <row r="148" spans="7:60">
      <c r="G148" s="43"/>
      <c r="H148" s="163"/>
      <c r="I148" s="36"/>
      <c r="J148" s="35"/>
      <c r="K148" s="75" t="s">
        <v>56</v>
      </c>
      <c r="L148" s="75" t="s">
        <v>45</v>
      </c>
      <c r="M148" s="101">
        <v>1.08</v>
      </c>
      <c r="N148" s="101">
        <v>1.08</v>
      </c>
      <c r="O148" s="101">
        <v>1.08</v>
      </c>
      <c r="P148" s="101">
        <v>1.08</v>
      </c>
      <c r="Q148" s="101">
        <v>1.08</v>
      </c>
      <c r="R148" s="101">
        <v>1.08</v>
      </c>
      <c r="S148" s="101">
        <v>1.08</v>
      </c>
      <c r="T148" s="101">
        <v>1.08</v>
      </c>
      <c r="U148" s="101">
        <v>1.08</v>
      </c>
      <c r="V148" s="101">
        <v>1.08</v>
      </c>
      <c r="W148" s="101">
        <v>1.08</v>
      </c>
      <c r="X148" s="101">
        <v>1.08</v>
      </c>
      <c r="Y148" s="101">
        <v>1.08</v>
      </c>
      <c r="Z148" s="101">
        <v>1.08</v>
      </c>
      <c r="AA148" s="101">
        <v>1.08</v>
      </c>
      <c r="AB148" s="101">
        <v>1.08</v>
      </c>
      <c r="AC148" s="101">
        <v>1.08</v>
      </c>
      <c r="AD148" s="101">
        <v>1.08</v>
      </c>
      <c r="AE148" s="101">
        <v>1.08</v>
      </c>
      <c r="AF148" s="101">
        <v>1.08</v>
      </c>
      <c r="AG148" s="101">
        <v>1.08</v>
      </c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</row>
    <row r="149" spans="7:60">
      <c r="G149" s="43"/>
      <c r="H149" s="163"/>
      <c r="I149" s="36"/>
      <c r="J149" s="35"/>
      <c r="K149" s="75" t="s">
        <v>58</v>
      </c>
      <c r="L149" s="75" t="s">
        <v>47</v>
      </c>
      <c r="M149" s="101">
        <v>1.0900000000000001</v>
      </c>
      <c r="N149" s="101">
        <v>1.0900000000000001</v>
      </c>
      <c r="O149" s="101">
        <v>1.0900000000000001</v>
      </c>
      <c r="P149" s="101">
        <v>1.0900000000000001</v>
      </c>
      <c r="Q149" s="101">
        <v>1.0900000000000001</v>
      </c>
      <c r="R149" s="101">
        <v>1.0900000000000001</v>
      </c>
      <c r="S149" s="101">
        <v>1.0900000000000001</v>
      </c>
      <c r="T149" s="101">
        <v>1.0900000000000001</v>
      </c>
      <c r="U149" s="101">
        <v>1.0900000000000001</v>
      </c>
      <c r="V149" s="101">
        <v>1.0900000000000001</v>
      </c>
      <c r="W149" s="101">
        <v>1.0900000000000001</v>
      </c>
      <c r="X149" s="101">
        <v>1.0900000000000001</v>
      </c>
      <c r="Y149" s="101">
        <v>1.0900000000000001</v>
      </c>
      <c r="Z149" s="101">
        <v>1.0900000000000001</v>
      </c>
      <c r="AA149" s="101">
        <v>1.0900000000000001</v>
      </c>
      <c r="AB149" s="101">
        <v>1.0900000000000001</v>
      </c>
      <c r="AC149" s="101">
        <v>1.0900000000000001</v>
      </c>
      <c r="AD149" s="101">
        <v>1.0900000000000001</v>
      </c>
      <c r="AE149" s="101">
        <v>1.0900000000000001</v>
      </c>
      <c r="AF149" s="101">
        <v>1.0900000000000001</v>
      </c>
      <c r="AG149" s="101">
        <v>1.0900000000000001</v>
      </c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</row>
    <row r="150" spans="7:60">
      <c r="G150" s="43"/>
      <c r="H150" s="163"/>
      <c r="I150" s="36"/>
      <c r="J150" s="35"/>
      <c r="K150" s="75" t="s">
        <v>58</v>
      </c>
      <c r="L150" s="75" t="s">
        <v>46</v>
      </c>
      <c r="M150" s="101">
        <v>1.2</v>
      </c>
      <c r="N150" s="101">
        <v>1.2</v>
      </c>
      <c r="O150" s="101">
        <v>1.2</v>
      </c>
      <c r="P150" s="101">
        <v>1.2</v>
      </c>
      <c r="Q150" s="101">
        <v>1.2</v>
      </c>
      <c r="R150" s="101">
        <v>1.2</v>
      </c>
      <c r="S150" s="101">
        <v>1.2</v>
      </c>
      <c r="T150" s="101">
        <v>1.2</v>
      </c>
      <c r="U150" s="101">
        <v>1.2</v>
      </c>
      <c r="V150" s="101">
        <v>1.2</v>
      </c>
      <c r="W150" s="101">
        <v>1.2</v>
      </c>
      <c r="X150" s="101">
        <v>1.2</v>
      </c>
      <c r="Y150" s="101">
        <v>1.2</v>
      </c>
      <c r="Z150" s="101">
        <v>1.2</v>
      </c>
      <c r="AA150" s="101">
        <v>1.2</v>
      </c>
      <c r="AB150" s="101">
        <v>1.2</v>
      </c>
      <c r="AC150" s="101">
        <v>1.2</v>
      </c>
      <c r="AD150" s="101">
        <v>1.2</v>
      </c>
      <c r="AE150" s="101">
        <v>1.2</v>
      </c>
      <c r="AF150" s="101">
        <v>1.2</v>
      </c>
      <c r="AG150" s="101">
        <v>1.2</v>
      </c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</row>
    <row r="151" spans="7:60">
      <c r="G151" s="43"/>
      <c r="H151" s="163"/>
      <c r="I151" s="36"/>
      <c r="J151" s="35"/>
      <c r="K151" s="75" t="s">
        <v>58</v>
      </c>
      <c r="L151" s="75" t="s">
        <v>45</v>
      </c>
      <c r="M151" s="101">
        <v>1.32</v>
      </c>
      <c r="N151" s="101">
        <v>1.32</v>
      </c>
      <c r="O151" s="101">
        <v>1.32</v>
      </c>
      <c r="P151" s="101">
        <v>1.32</v>
      </c>
      <c r="Q151" s="101">
        <v>1.32</v>
      </c>
      <c r="R151" s="101">
        <v>1.32</v>
      </c>
      <c r="S151" s="101">
        <v>1.32</v>
      </c>
      <c r="T151" s="101">
        <v>1.32</v>
      </c>
      <c r="U151" s="101">
        <v>1.32</v>
      </c>
      <c r="V151" s="101">
        <v>1.32</v>
      </c>
      <c r="W151" s="101">
        <v>1.32</v>
      </c>
      <c r="X151" s="101">
        <v>1.32</v>
      </c>
      <c r="Y151" s="101">
        <v>1.32</v>
      </c>
      <c r="Z151" s="101">
        <v>1.32</v>
      </c>
      <c r="AA151" s="101">
        <v>1.32</v>
      </c>
      <c r="AB151" s="101">
        <v>1.32</v>
      </c>
      <c r="AC151" s="101">
        <v>1.32</v>
      </c>
      <c r="AD151" s="101">
        <v>1.32</v>
      </c>
      <c r="AE151" s="101">
        <v>1.32</v>
      </c>
      <c r="AF151" s="101">
        <v>1.32</v>
      </c>
      <c r="AG151" s="101">
        <v>1.32</v>
      </c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</row>
    <row r="152" spans="7:60">
      <c r="G152" s="43"/>
      <c r="H152" s="163"/>
      <c r="I152" s="36"/>
      <c r="J152" s="108"/>
      <c r="K152" s="75"/>
      <c r="L152" s="75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</row>
    <row r="153" spans="7:60">
      <c r="G153" s="43"/>
      <c r="H153" s="163"/>
      <c r="I153" s="36"/>
      <c r="J153" s="36"/>
      <c r="K153" s="76"/>
      <c r="L153" s="76"/>
      <c r="M153" s="82">
        <v>2030</v>
      </c>
      <c r="N153" s="82">
        <v>2031</v>
      </c>
      <c r="O153" s="82">
        <v>2032</v>
      </c>
      <c r="P153" s="82">
        <v>2033</v>
      </c>
      <c r="Q153" s="82">
        <v>2034</v>
      </c>
      <c r="R153" s="82">
        <v>2035</v>
      </c>
      <c r="S153" s="82">
        <v>2036</v>
      </c>
      <c r="T153" s="82">
        <v>2037</v>
      </c>
      <c r="U153" s="82">
        <v>2038</v>
      </c>
      <c r="V153" s="82">
        <v>2039</v>
      </c>
      <c r="W153" s="82">
        <v>2040</v>
      </c>
      <c r="X153" s="82">
        <v>2041</v>
      </c>
      <c r="Y153" s="82">
        <v>2042</v>
      </c>
      <c r="Z153" s="82">
        <v>2043</v>
      </c>
      <c r="AA153" s="82">
        <v>2044</v>
      </c>
      <c r="AB153" s="82">
        <v>2045</v>
      </c>
      <c r="AC153" s="82">
        <v>2046</v>
      </c>
      <c r="AD153" s="82">
        <v>2047</v>
      </c>
      <c r="AE153" s="82">
        <v>2048</v>
      </c>
      <c r="AF153" s="82">
        <v>2049</v>
      </c>
      <c r="AG153" s="82">
        <v>2050</v>
      </c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</row>
    <row r="154" spans="7:60">
      <c r="G154" s="43"/>
      <c r="H154" s="163"/>
      <c r="I154" s="36"/>
      <c r="J154" s="35" t="s">
        <v>127</v>
      </c>
      <c r="K154" s="75" t="s">
        <v>56</v>
      </c>
      <c r="L154" s="75" t="s">
        <v>47</v>
      </c>
      <c r="M154" s="106">
        <v>9.1323899999999991</v>
      </c>
      <c r="N154" s="106">
        <v>9.1323899999999991</v>
      </c>
      <c r="O154" s="106">
        <v>9.1323899999999991</v>
      </c>
      <c r="P154" s="106">
        <v>9.1323899999999991</v>
      </c>
      <c r="Q154" s="106">
        <v>9.1323899999999991</v>
      </c>
      <c r="R154" s="106">
        <v>9.1323899999999991</v>
      </c>
      <c r="S154" s="106">
        <v>9.1323899999999991</v>
      </c>
      <c r="T154" s="106">
        <v>9.1323899999999991</v>
      </c>
      <c r="U154" s="106">
        <v>9.1323899999999991</v>
      </c>
      <c r="V154" s="106">
        <v>9.1323899999999991</v>
      </c>
      <c r="W154" s="106">
        <v>9.1323899999999991</v>
      </c>
      <c r="X154" s="106">
        <v>9.1323899999999991</v>
      </c>
      <c r="Y154" s="106">
        <v>9.1323899999999991</v>
      </c>
      <c r="Z154" s="106">
        <v>9.1323899999999991</v>
      </c>
      <c r="AA154" s="106">
        <v>9.1323899999999991</v>
      </c>
      <c r="AB154" s="106">
        <v>9.1323899999999991</v>
      </c>
      <c r="AC154" s="106">
        <v>9.1323899999999991</v>
      </c>
      <c r="AD154" s="106">
        <v>9.1323899999999991</v>
      </c>
      <c r="AE154" s="106">
        <v>9.1323899999999991</v>
      </c>
      <c r="AF154" s="106">
        <v>9.1323899999999991</v>
      </c>
      <c r="AG154" s="106">
        <v>9.1323899999999991</v>
      </c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</row>
    <row r="155" spans="7:60">
      <c r="G155" s="43"/>
      <c r="H155" s="163"/>
      <c r="I155" s="36"/>
      <c r="J155" s="35"/>
      <c r="K155" s="75" t="s">
        <v>56</v>
      </c>
      <c r="L155" s="75" t="s">
        <v>46</v>
      </c>
      <c r="M155" s="106">
        <v>10.182089999999999</v>
      </c>
      <c r="N155" s="106">
        <v>10.182089999999999</v>
      </c>
      <c r="O155" s="106">
        <v>10.182089999999999</v>
      </c>
      <c r="P155" s="106">
        <v>10.182089999999999</v>
      </c>
      <c r="Q155" s="106">
        <v>10.182089999999999</v>
      </c>
      <c r="R155" s="106">
        <v>10.182089999999999</v>
      </c>
      <c r="S155" s="106">
        <v>10.182089999999999</v>
      </c>
      <c r="T155" s="106">
        <v>10.182089999999999</v>
      </c>
      <c r="U155" s="106">
        <v>10.182089999999999</v>
      </c>
      <c r="V155" s="106">
        <v>10.182089999999999</v>
      </c>
      <c r="W155" s="106">
        <v>10.182089999999999</v>
      </c>
      <c r="X155" s="106">
        <v>10.182089999999999</v>
      </c>
      <c r="Y155" s="106">
        <v>10.182089999999999</v>
      </c>
      <c r="Z155" s="106">
        <v>10.182089999999999</v>
      </c>
      <c r="AA155" s="106">
        <v>10.182089999999999</v>
      </c>
      <c r="AB155" s="106">
        <v>10.182089999999999</v>
      </c>
      <c r="AC155" s="106">
        <v>10.182089999999999</v>
      </c>
      <c r="AD155" s="106">
        <v>10.182089999999999</v>
      </c>
      <c r="AE155" s="106">
        <v>10.182089999999999</v>
      </c>
      <c r="AF155" s="106">
        <v>10.182089999999999</v>
      </c>
      <c r="AG155" s="106">
        <v>10.182089999999999</v>
      </c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</row>
    <row r="156" spans="7:60">
      <c r="G156" s="43"/>
      <c r="H156" s="163"/>
      <c r="I156" s="36"/>
      <c r="J156" s="35"/>
      <c r="K156" s="75" t="s">
        <v>56</v>
      </c>
      <c r="L156" s="75" t="s">
        <v>45</v>
      </c>
      <c r="M156" s="106">
        <v>11.33676</v>
      </c>
      <c r="N156" s="106">
        <v>11.33676</v>
      </c>
      <c r="O156" s="106">
        <v>11.33676</v>
      </c>
      <c r="P156" s="106">
        <v>11.33676</v>
      </c>
      <c r="Q156" s="106">
        <v>11.33676</v>
      </c>
      <c r="R156" s="106">
        <v>11.33676</v>
      </c>
      <c r="S156" s="106">
        <v>11.33676</v>
      </c>
      <c r="T156" s="106">
        <v>11.33676</v>
      </c>
      <c r="U156" s="106">
        <v>11.33676</v>
      </c>
      <c r="V156" s="106">
        <v>11.33676</v>
      </c>
      <c r="W156" s="106">
        <v>11.33676</v>
      </c>
      <c r="X156" s="106">
        <v>11.33676</v>
      </c>
      <c r="Y156" s="106">
        <v>11.33676</v>
      </c>
      <c r="Z156" s="106">
        <v>11.33676</v>
      </c>
      <c r="AA156" s="106">
        <v>11.33676</v>
      </c>
      <c r="AB156" s="106">
        <v>11.33676</v>
      </c>
      <c r="AC156" s="106">
        <v>11.33676</v>
      </c>
      <c r="AD156" s="106">
        <v>11.33676</v>
      </c>
      <c r="AE156" s="106">
        <v>11.33676</v>
      </c>
      <c r="AF156" s="106">
        <v>11.33676</v>
      </c>
      <c r="AG156" s="106">
        <v>11.33676</v>
      </c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</row>
    <row r="157" spans="7:60">
      <c r="G157" s="43"/>
      <c r="H157" s="163"/>
      <c r="I157" s="36"/>
      <c r="J157" s="35"/>
      <c r="K157" s="75" t="s">
        <v>58</v>
      </c>
      <c r="L157" s="75" t="s">
        <v>47</v>
      </c>
      <c r="M157" s="106">
        <v>10.0062</v>
      </c>
      <c r="N157" s="106">
        <v>10.0062</v>
      </c>
      <c r="O157" s="106">
        <v>10.0062</v>
      </c>
      <c r="P157" s="106">
        <v>10.0062</v>
      </c>
      <c r="Q157" s="106">
        <v>10.0062</v>
      </c>
      <c r="R157" s="106">
        <v>10.0062</v>
      </c>
      <c r="S157" s="106">
        <v>10.0062</v>
      </c>
      <c r="T157" s="106">
        <v>10.0062</v>
      </c>
      <c r="U157" s="106">
        <v>10.0062</v>
      </c>
      <c r="V157" s="106">
        <v>10.0062</v>
      </c>
      <c r="W157" s="106">
        <v>10.0062</v>
      </c>
      <c r="X157" s="106">
        <v>10.0062</v>
      </c>
      <c r="Y157" s="106">
        <v>10.0062</v>
      </c>
      <c r="Z157" s="106">
        <v>10.0062</v>
      </c>
      <c r="AA157" s="106">
        <v>10.0062</v>
      </c>
      <c r="AB157" s="106">
        <v>10.0062</v>
      </c>
      <c r="AC157" s="106">
        <v>10.0062</v>
      </c>
      <c r="AD157" s="106">
        <v>10.0062</v>
      </c>
      <c r="AE157" s="106">
        <v>10.0062</v>
      </c>
      <c r="AF157" s="106">
        <v>10.0062</v>
      </c>
      <c r="AG157" s="106">
        <v>10.0062</v>
      </c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</row>
    <row r="158" spans="7:60">
      <c r="G158" s="43"/>
      <c r="H158" s="163"/>
      <c r="I158" s="36"/>
      <c r="J158" s="35"/>
      <c r="K158" s="75" t="s">
        <v>58</v>
      </c>
      <c r="L158" s="75" t="s">
        <v>46</v>
      </c>
      <c r="M158" s="106">
        <v>11.016</v>
      </c>
      <c r="N158" s="106">
        <v>11.016</v>
      </c>
      <c r="O158" s="106">
        <v>11.016</v>
      </c>
      <c r="P158" s="106">
        <v>11.016</v>
      </c>
      <c r="Q158" s="106">
        <v>11.016</v>
      </c>
      <c r="R158" s="106">
        <v>11.016</v>
      </c>
      <c r="S158" s="106">
        <v>11.016</v>
      </c>
      <c r="T158" s="106">
        <v>11.016</v>
      </c>
      <c r="U158" s="106">
        <v>11.016</v>
      </c>
      <c r="V158" s="106">
        <v>11.016</v>
      </c>
      <c r="W158" s="106">
        <v>11.016</v>
      </c>
      <c r="X158" s="106">
        <v>11.016</v>
      </c>
      <c r="Y158" s="106">
        <v>11.016</v>
      </c>
      <c r="Z158" s="106">
        <v>11.016</v>
      </c>
      <c r="AA158" s="106">
        <v>11.016</v>
      </c>
      <c r="AB158" s="106">
        <v>11.016</v>
      </c>
      <c r="AC158" s="106">
        <v>11.016</v>
      </c>
      <c r="AD158" s="106">
        <v>11.016</v>
      </c>
      <c r="AE158" s="106">
        <v>11.016</v>
      </c>
      <c r="AF158" s="106">
        <v>11.016</v>
      </c>
      <c r="AG158" s="106">
        <v>11.016</v>
      </c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</row>
    <row r="159" spans="7:60">
      <c r="G159" s="43"/>
      <c r="H159" s="163"/>
      <c r="I159" s="36"/>
      <c r="J159" s="35"/>
      <c r="K159" s="75" t="s">
        <v>58</v>
      </c>
      <c r="L159" s="75" t="s">
        <v>45</v>
      </c>
      <c r="M159" s="106">
        <v>12.117599999999999</v>
      </c>
      <c r="N159" s="106">
        <v>12.117599999999999</v>
      </c>
      <c r="O159" s="106">
        <v>12.117599999999999</v>
      </c>
      <c r="P159" s="106">
        <v>12.117599999999999</v>
      </c>
      <c r="Q159" s="106">
        <v>12.117599999999999</v>
      </c>
      <c r="R159" s="106">
        <v>12.117599999999999</v>
      </c>
      <c r="S159" s="106">
        <v>12.117599999999999</v>
      </c>
      <c r="T159" s="106">
        <v>12.117599999999999</v>
      </c>
      <c r="U159" s="106">
        <v>12.117599999999999</v>
      </c>
      <c r="V159" s="106">
        <v>12.117599999999999</v>
      </c>
      <c r="W159" s="106">
        <v>12.117599999999999</v>
      </c>
      <c r="X159" s="106">
        <v>12.117599999999999</v>
      </c>
      <c r="Y159" s="106">
        <v>12.117599999999999</v>
      </c>
      <c r="Z159" s="106">
        <v>12.117599999999999</v>
      </c>
      <c r="AA159" s="106">
        <v>12.117599999999999</v>
      </c>
      <c r="AB159" s="106">
        <v>12.117599999999999</v>
      </c>
      <c r="AC159" s="106">
        <v>12.117599999999999</v>
      </c>
      <c r="AD159" s="106">
        <v>12.117599999999999</v>
      </c>
      <c r="AE159" s="106">
        <v>12.117599999999999</v>
      </c>
      <c r="AF159" s="106">
        <v>12.117599999999999</v>
      </c>
      <c r="AG159" s="106">
        <v>12.117599999999999</v>
      </c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</row>
    <row r="160" spans="7:60" ht="15.75" thickBot="1">
      <c r="G160" s="73"/>
      <c r="H160" s="39"/>
      <c r="I160" s="39"/>
      <c r="J160" s="39"/>
      <c r="K160" s="77"/>
      <c r="L160" s="77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</row>
    <row r="161" spans="7:60">
      <c r="G161" s="43"/>
      <c r="H161" s="40"/>
      <c r="I161" s="40"/>
      <c r="J161" s="40"/>
      <c r="K161" s="78"/>
      <c r="L161" s="78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</row>
    <row r="162" spans="7:60">
      <c r="G162" s="43"/>
      <c r="H162" s="36"/>
      <c r="I162" s="36"/>
      <c r="J162" s="36"/>
      <c r="K162" s="76"/>
      <c r="L162" s="76"/>
      <c r="M162" s="82">
        <v>2030</v>
      </c>
      <c r="N162" s="82">
        <v>2031</v>
      </c>
      <c r="O162" s="82">
        <v>2032</v>
      </c>
      <c r="P162" s="82">
        <v>2033</v>
      </c>
      <c r="Q162" s="82">
        <v>2034</v>
      </c>
      <c r="R162" s="82">
        <v>2035</v>
      </c>
      <c r="S162" s="82">
        <v>2036</v>
      </c>
      <c r="T162" s="82">
        <v>2037</v>
      </c>
      <c r="U162" s="82">
        <v>2038</v>
      </c>
      <c r="V162" s="82">
        <v>2039</v>
      </c>
      <c r="W162" s="82">
        <v>2040</v>
      </c>
      <c r="X162" s="82">
        <v>2041</v>
      </c>
      <c r="Y162" s="82">
        <v>2042</v>
      </c>
      <c r="Z162" s="82">
        <v>2043</v>
      </c>
      <c r="AA162" s="82">
        <v>2044</v>
      </c>
      <c r="AB162" s="82">
        <v>2045</v>
      </c>
      <c r="AC162" s="82">
        <v>2046</v>
      </c>
      <c r="AD162" s="82">
        <v>2047</v>
      </c>
      <c r="AE162" s="82">
        <v>2048</v>
      </c>
      <c r="AF162" s="82">
        <v>2049</v>
      </c>
      <c r="AG162" s="82">
        <v>2050</v>
      </c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</row>
    <row r="163" spans="7:60">
      <c r="G163" s="43"/>
      <c r="H163" s="13" t="s">
        <v>128</v>
      </c>
      <c r="I163" s="36"/>
      <c r="J163" s="35" t="s">
        <v>129</v>
      </c>
      <c r="K163" s="75" t="s">
        <v>56</v>
      </c>
      <c r="L163" s="75" t="s">
        <v>47</v>
      </c>
      <c r="M163" s="80">
        <v>100</v>
      </c>
      <c r="N163" s="80">
        <v>100</v>
      </c>
      <c r="O163" s="80">
        <v>100</v>
      </c>
      <c r="P163" s="80">
        <v>100</v>
      </c>
      <c r="Q163" s="80">
        <v>100</v>
      </c>
      <c r="R163" s="80">
        <v>100</v>
      </c>
      <c r="S163" s="80">
        <v>100</v>
      </c>
      <c r="T163" s="80">
        <v>100</v>
      </c>
      <c r="U163" s="80">
        <v>100</v>
      </c>
      <c r="V163" s="80">
        <v>100</v>
      </c>
      <c r="W163" s="80">
        <v>100</v>
      </c>
      <c r="X163" s="80">
        <v>100</v>
      </c>
      <c r="Y163" s="80">
        <v>100</v>
      </c>
      <c r="Z163" s="80">
        <v>100</v>
      </c>
      <c r="AA163" s="80">
        <v>100</v>
      </c>
      <c r="AB163" s="80">
        <v>100</v>
      </c>
      <c r="AC163" s="80">
        <v>100</v>
      </c>
      <c r="AD163" s="80">
        <v>100</v>
      </c>
      <c r="AE163" s="80">
        <v>100</v>
      </c>
      <c r="AF163" s="80">
        <v>100</v>
      </c>
      <c r="AG163" s="80">
        <v>100</v>
      </c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</row>
    <row r="164" spans="7:60">
      <c r="G164" s="43"/>
      <c r="H164" s="13"/>
      <c r="I164" s="36"/>
      <c r="J164" s="35"/>
      <c r="K164" s="75" t="s">
        <v>56</v>
      </c>
      <c r="L164" s="75" t="s">
        <v>46</v>
      </c>
      <c r="M164" s="80">
        <v>100</v>
      </c>
      <c r="N164" s="80">
        <v>100</v>
      </c>
      <c r="O164" s="80">
        <v>100</v>
      </c>
      <c r="P164" s="80">
        <v>100</v>
      </c>
      <c r="Q164" s="80">
        <v>100</v>
      </c>
      <c r="R164" s="80">
        <v>100</v>
      </c>
      <c r="S164" s="80">
        <v>100</v>
      </c>
      <c r="T164" s="80">
        <v>100</v>
      </c>
      <c r="U164" s="80">
        <v>100</v>
      </c>
      <c r="V164" s="80">
        <v>100</v>
      </c>
      <c r="W164" s="80">
        <v>100</v>
      </c>
      <c r="X164" s="80">
        <v>100</v>
      </c>
      <c r="Y164" s="80">
        <v>100</v>
      </c>
      <c r="Z164" s="80">
        <v>100</v>
      </c>
      <c r="AA164" s="80">
        <v>100</v>
      </c>
      <c r="AB164" s="80">
        <v>100</v>
      </c>
      <c r="AC164" s="80">
        <v>100</v>
      </c>
      <c r="AD164" s="80">
        <v>100</v>
      </c>
      <c r="AE164" s="80">
        <v>100</v>
      </c>
      <c r="AF164" s="80">
        <v>100</v>
      </c>
      <c r="AG164" s="80">
        <v>100</v>
      </c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</row>
    <row r="165" spans="7:60">
      <c r="G165" s="43"/>
      <c r="H165" s="13"/>
      <c r="I165" s="36"/>
      <c r="J165" s="35"/>
      <c r="K165" s="75" t="s">
        <v>56</v>
      </c>
      <c r="L165" s="75" t="s">
        <v>45</v>
      </c>
      <c r="M165" s="80">
        <v>100</v>
      </c>
      <c r="N165" s="80">
        <v>100</v>
      </c>
      <c r="O165" s="80">
        <v>100</v>
      </c>
      <c r="P165" s="80">
        <v>100</v>
      </c>
      <c r="Q165" s="80">
        <v>100</v>
      </c>
      <c r="R165" s="80">
        <v>100</v>
      </c>
      <c r="S165" s="80">
        <v>100</v>
      </c>
      <c r="T165" s="80">
        <v>100</v>
      </c>
      <c r="U165" s="80">
        <v>100</v>
      </c>
      <c r="V165" s="80">
        <v>100</v>
      </c>
      <c r="W165" s="80">
        <v>100</v>
      </c>
      <c r="X165" s="80">
        <v>100</v>
      </c>
      <c r="Y165" s="80">
        <v>100</v>
      </c>
      <c r="Z165" s="80">
        <v>100</v>
      </c>
      <c r="AA165" s="80">
        <v>100</v>
      </c>
      <c r="AB165" s="80">
        <v>100</v>
      </c>
      <c r="AC165" s="80">
        <v>100</v>
      </c>
      <c r="AD165" s="80">
        <v>100</v>
      </c>
      <c r="AE165" s="80">
        <v>100</v>
      </c>
      <c r="AF165" s="80">
        <v>100</v>
      </c>
      <c r="AG165" s="80">
        <v>100</v>
      </c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</row>
    <row r="166" spans="7:60">
      <c r="G166" s="43"/>
      <c r="H166" s="13"/>
      <c r="I166" s="36"/>
      <c r="J166" s="35"/>
      <c r="K166" s="75" t="s">
        <v>58</v>
      </c>
      <c r="L166" s="75" t="s">
        <v>47</v>
      </c>
      <c r="M166" s="80">
        <v>100</v>
      </c>
      <c r="N166" s="80">
        <v>100</v>
      </c>
      <c r="O166" s="80">
        <v>100</v>
      </c>
      <c r="P166" s="80">
        <v>100</v>
      </c>
      <c r="Q166" s="80">
        <v>100</v>
      </c>
      <c r="R166" s="80">
        <v>100</v>
      </c>
      <c r="S166" s="80">
        <v>100</v>
      </c>
      <c r="T166" s="80">
        <v>100</v>
      </c>
      <c r="U166" s="80">
        <v>100</v>
      </c>
      <c r="V166" s="80">
        <v>100</v>
      </c>
      <c r="W166" s="80">
        <v>100</v>
      </c>
      <c r="X166" s="80">
        <v>100</v>
      </c>
      <c r="Y166" s="80">
        <v>100</v>
      </c>
      <c r="Z166" s="80">
        <v>100</v>
      </c>
      <c r="AA166" s="80">
        <v>100</v>
      </c>
      <c r="AB166" s="80">
        <v>100</v>
      </c>
      <c r="AC166" s="80">
        <v>100</v>
      </c>
      <c r="AD166" s="80">
        <v>100</v>
      </c>
      <c r="AE166" s="80">
        <v>100</v>
      </c>
      <c r="AF166" s="80">
        <v>100</v>
      </c>
      <c r="AG166" s="80">
        <v>100</v>
      </c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</row>
    <row r="167" spans="7:60">
      <c r="G167" s="43"/>
      <c r="H167" s="13"/>
      <c r="I167" s="36"/>
      <c r="J167" s="35"/>
      <c r="K167" s="75" t="s">
        <v>58</v>
      </c>
      <c r="L167" s="75" t="s">
        <v>46</v>
      </c>
      <c r="M167" s="80">
        <v>100</v>
      </c>
      <c r="N167" s="80">
        <v>100</v>
      </c>
      <c r="O167" s="80">
        <v>100</v>
      </c>
      <c r="P167" s="80">
        <v>100</v>
      </c>
      <c r="Q167" s="80">
        <v>100</v>
      </c>
      <c r="R167" s="80">
        <v>100</v>
      </c>
      <c r="S167" s="80">
        <v>100</v>
      </c>
      <c r="T167" s="80">
        <v>100</v>
      </c>
      <c r="U167" s="80">
        <v>100</v>
      </c>
      <c r="V167" s="80">
        <v>100</v>
      </c>
      <c r="W167" s="80">
        <v>100</v>
      </c>
      <c r="X167" s="80">
        <v>100</v>
      </c>
      <c r="Y167" s="80">
        <v>100</v>
      </c>
      <c r="Z167" s="80">
        <v>100</v>
      </c>
      <c r="AA167" s="80">
        <v>100</v>
      </c>
      <c r="AB167" s="80">
        <v>100</v>
      </c>
      <c r="AC167" s="80">
        <v>100</v>
      </c>
      <c r="AD167" s="80">
        <v>100</v>
      </c>
      <c r="AE167" s="80">
        <v>100</v>
      </c>
      <c r="AF167" s="80">
        <v>100</v>
      </c>
      <c r="AG167" s="80">
        <v>100</v>
      </c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</row>
    <row r="168" spans="7:60">
      <c r="G168" s="43"/>
      <c r="H168" s="13"/>
      <c r="I168" s="36"/>
      <c r="J168" s="35"/>
      <c r="K168" s="75" t="s">
        <v>58</v>
      </c>
      <c r="L168" s="75" t="s">
        <v>45</v>
      </c>
      <c r="M168" s="80">
        <v>100</v>
      </c>
      <c r="N168" s="80">
        <v>100</v>
      </c>
      <c r="O168" s="80">
        <v>100</v>
      </c>
      <c r="P168" s="80">
        <v>100</v>
      </c>
      <c r="Q168" s="80">
        <v>100</v>
      </c>
      <c r="R168" s="80">
        <v>100</v>
      </c>
      <c r="S168" s="80">
        <v>100</v>
      </c>
      <c r="T168" s="80">
        <v>100</v>
      </c>
      <c r="U168" s="80">
        <v>100</v>
      </c>
      <c r="V168" s="80">
        <v>100</v>
      </c>
      <c r="W168" s="80">
        <v>100</v>
      </c>
      <c r="X168" s="80">
        <v>100</v>
      </c>
      <c r="Y168" s="80">
        <v>100</v>
      </c>
      <c r="Z168" s="80">
        <v>100</v>
      </c>
      <c r="AA168" s="80">
        <v>100</v>
      </c>
      <c r="AB168" s="80">
        <v>100</v>
      </c>
      <c r="AC168" s="80">
        <v>100</v>
      </c>
      <c r="AD168" s="80">
        <v>100</v>
      </c>
      <c r="AE168" s="80">
        <v>100</v>
      </c>
      <c r="AF168" s="80">
        <v>100</v>
      </c>
      <c r="AG168" s="80">
        <v>100</v>
      </c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</row>
    <row r="169" spans="7:60" ht="15.75" thickBot="1">
      <c r="G169" s="73"/>
      <c r="H169" s="39"/>
      <c r="I169" s="39"/>
      <c r="J169" s="39"/>
      <c r="K169" s="77"/>
      <c r="L169" s="77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</row>
    <row r="170" spans="7:60">
      <c r="G170" s="43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</row>
    <row r="171" spans="7:60">
      <c r="G171" s="43"/>
      <c r="H171" s="36"/>
      <c r="I171" s="36"/>
      <c r="J171" s="36"/>
      <c r="K171" s="76"/>
      <c r="L171" s="76"/>
      <c r="M171" s="82">
        <v>2030</v>
      </c>
      <c r="N171" s="82">
        <v>2031</v>
      </c>
      <c r="O171" s="82">
        <v>2032</v>
      </c>
      <c r="P171" s="82">
        <v>2033</v>
      </c>
      <c r="Q171" s="82">
        <v>2034</v>
      </c>
      <c r="R171" s="82">
        <v>2035</v>
      </c>
      <c r="S171" s="82">
        <v>2036</v>
      </c>
      <c r="T171" s="82">
        <v>2037</v>
      </c>
      <c r="U171" s="82">
        <v>2038</v>
      </c>
      <c r="V171" s="82">
        <v>2039</v>
      </c>
      <c r="W171" s="82">
        <v>2040</v>
      </c>
      <c r="X171" s="82">
        <v>2041</v>
      </c>
      <c r="Y171" s="82">
        <v>2042</v>
      </c>
      <c r="Z171" s="82">
        <v>2043</v>
      </c>
      <c r="AA171" s="82">
        <v>2044</v>
      </c>
      <c r="AB171" s="82">
        <v>2045</v>
      </c>
      <c r="AC171" s="82">
        <v>2046</v>
      </c>
      <c r="AD171" s="82">
        <v>2047</v>
      </c>
      <c r="AE171" s="82">
        <v>2048</v>
      </c>
      <c r="AF171" s="82">
        <v>2049</v>
      </c>
      <c r="AG171" s="82">
        <v>2050</v>
      </c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</row>
    <row r="172" spans="7:60">
      <c r="G172" s="43"/>
      <c r="H172" s="21" t="s">
        <v>130</v>
      </c>
      <c r="I172" s="36"/>
      <c r="J172" s="35" t="s">
        <v>131</v>
      </c>
      <c r="K172" s="75" t="s">
        <v>56</v>
      </c>
      <c r="L172" s="75" t="s">
        <v>47</v>
      </c>
      <c r="M172" s="68">
        <v>68.925546800304403</v>
      </c>
      <c r="N172" s="68">
        <v>66.942978506643072</v>
      </c>
      <c r="O172" s="68">
        <v>64.96041021298177</v>
      </c>
      <c r="P172" s="68">
        <v>62.977841919320454</v>
      </c>
      <c r="Q172" s="68">
        <v>60.995273625659138</v>
      </c>
      <c r="R172" s="68">
        <v>59.012705331997829</v>
      </c>
      <c r="S172" s="68">
        <v>57.426650697068773</v>
      </c>
      <c r="T172" s="68">
        <v>55.840596062139731</v>
      </c>
      <c r="U172" s="68">
        <v>54.254541427210675</v>
      </c>
      <c r="V172" s="68">
        <v>52.66848679228162</v>
      </c>
      <c r="W172" s="68">
        <v>51.082432157352564</v>
      </c>
      <c r="X172" s="68">
        <v>50.28940483988805</v>
      </c>
      <c r="Y172" s="68">
        <v>49.496377522423515</v>
      </c>
      <c r="Z172" s="68">
        <v>48.703350204958994</v>
      </c>
      <c r="AA172" s="68">
        <v>47.910322887494466</v>
      </c>
      <c r="AB172" s="68">
        <v>47.117295570029945</v>
      </c>
      <c r="AC172" s="68">
        <v>46.720781911297678</v>
      </c>
      <c r="AD172" s="68">
        <v>46.324268252565425</v>
      </c>
      <c r="AE172" s="68">
        <v>45.927754593833157</v>
      </c>
      <c r="AF172" s="68">
        <v>45.53124093510089</v>
      </c>
      <c r="AG172" s="68">
        <v>45.134727276368629</v>
      </c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</row>
    <row r="173" spans="7:60">
      <c r="G173" s="43"/>
      <c r="H173" s="21"/>
      <c r="I173" s="36"/>
      <c r="J173" s="35"/>
      <c r="K173" s="75" t="s">
        <v>56</v>
      </c>
      <c r="L173" s="75" t="s">
        <v>46</v>
      </c>
      <c r="M173" s="68">
        <v>84.396795198972114</v>
      </c>
      <c r="N173" s="68">
        <v>83.97000991374766</v>
      </c>
      <c r="O173" s="68">
        <v>83.54322462852322</v>
      </c>
      <c r="P173" s="68">
        <v>83.116439343298765</v>
      </c>
      <c r="Q173" s="68">
        <v>82.689654058074296</v>
      </c>
      <c r="R173" s="68">
        <v>82.262868772849856</v>
      </c>
      <c r="S173" s="68">
        <v>80.982512917176507</v>
      </c>
      <c r="T173" s="68">
        <v>79.702157061503158</v>
      </c>
      <c r="U173" s="68">
        <v>78.421801205829823</v>
      </c>
      <c r="V173" s="68">
        <v>77.141445350156459</v>
      </c>
      <c r="W173" s="68">
        <v>75.861089494483124</v>
      </c>
      <c r="X173" s="68">
        <v>75.007518924034216</v>
      </c>
      <c r="Y173" s="68">
        <v>74.153948353585307</v>
      </c>
      <c r="Z173" s="68">
        <v>73.300377783136412</v>
      </c>
      <c r="AA173" s="68">
        <v>72.446807212687517</v>
      </c>
      <c r="AB173" s="68">
        <v>71.593236642238608</v>
      </c>
      <c r="AC173" s="68">
        <v>70.739666071789713</v>
      </c>
      <c r="AD173" s="68">
        <v>69.886095501340819</v>
      </c>
      <c r="AE173" s="68">
        <v>69.03252493089191</v>
      </c>
      <c r="AF173" s="68">
        <v>68.178954360443015</v>
      </c>
      <c r="AG173" s="68">
        <v>67.32538378999412</v>
      </c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</row>
    <row r="174" spans="7:60">
      <c r="G174" s="43"/>
      <c r="H174" s="21"/>
      <c r="I174" s="36"/>
      <c r="J174" s="35"/>
      <c r="K174" s="75" t="s">
        <v>56</v>
      </c>
      <c r="L174" s="75" t="s">
        <v>45</v>
      </c>
      <c r="M174" s="68">
        <v>117.37645332834575</v>
      </c>
      <c r="N174" s="68">
        <v>117.37645332834575</v>
      </c>
      <c r="O174" s="68">
        <v>117.37645332834575</v>
      </c>
      <c r="P174" s="68">
        <v>117.37645332834575</v>
      </c>
      <c r="Q174" s="68">
        <v>117.37645332834575</v>
      </c>
      <c r="R174" s="68">
        <v>117.37645332834575</v>
      </c>
      <c r="S174" s="68">
        <v>116.8821909931462</v>
      </c>
      <c r="T174" s="68">
        <v>116.38792865794666</v>
      </c>
      <c r="U174" s="68">
        <v>115.89366632274712</v>
      </c>
      <c r="V174" s="68">
        <v>115.39940398754759</v>
      </c>
      <c r="W174" s="68">
        <v>114.90514165234804</v>
      </c>
      <c r="X174" s="68">
        <v>113.42235464674941</v>
      </c>
      <c r="Y174" s="68">
        <v>111.93956764115079</v>
      </c>
      <c r="Z174" s="68">
        <v>110.45678063555218</v>
      </c>
      <c r="AA174" s="68">
        <v>108.97399362995357</v>
      </c>
      <c r="AB174" s="68">
        <v>107.49120662435494</v>
      </c>
      <c r="AC174" s="68">
        <v>106.00841961875632</v>
      </c>
      <c r="AD174" s="68">
        <v>104.5256326131577</v>
      </c>
      <c r="AE174" s="68">
        <v>103.04284560755909</v>
      </c>
      <c r="AF174" s="68">
        <v>101.56005860196046</v>
      </c>
      <c r="AG174" s="68">
        <v>100.07727159636184</v>
      </c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</row>
    <row r="175" spans="7:60">
      <c r="G175" s="43"/>
      <c r="H175" s="21"/>
      <c r="I175" s="36"/>
      <c r="J175" s="35"/>
      <c r="K175" s="75" t="s">
        <v>58</v>
      </c>
      <c r="L175" s="75" t="s">
        <v>47</v>
      </c>
      <c r="M175" s="68">
        <v>68.759430764287146</v>
      </c>
      <c r="N175" s="68">
        <v>65.378884827413543</v>
      </c>
      <c r="O175" s="68">
        <v>61.998338890539948</v>
      </c>
      <c r="P175" s="68">
        <v>58.617792953666338</v>
      </c>
      <c r="Q175" s="68">
        <v>55.237247016792736</v>
      </c>
      <c r="R175" s="68">
        <v>51.856701079919134</v>
      </c>
      <c r="S175" s="68">
        <v>50.7298524342946</v>
      </c>
      <c r="T175" s="68">
        <v>49.603003788670058</v>
      </c>
      <c r="U175" s="68">
        <v>48.476155143045524</v>
      </c>
      <c r="V175" s="68">
        <v>47.34930649742099</v>
      </c>
      <c r="W175" s="68">
        <v>46.222457851796449</v>
      </c>
      <c r="X175" s="68">
        <v>45.846841636588273</v>
      </c>
      <c r="Y175" s="68">
        <v>45.471225421380097</v>
      </c>
      <c r="Z175" s="68">
        <v>45.095609206171915</v>
      </c>
      <c r="AA175" s="68">
        <v>44.719992990963739</v>
      </c>
      <c r="AB175" s="68">
        <v>44.344376775755556</v>
      </c>
      <c r="AC175" s="68">
        <v>43.968760560547381</v>
      </c>
      <c r="AD175" s="68">
        <v>43.593144345339205</v>
      </c>
      <c r="AE175" s="68">
        <v>43.217528130131029</v>
      </c>
      <c r="AF175" s="68">
        <v>42.841911914922846</v>
      </c>
      <c r="AG175" s="68">
        <v>42.466295699714671</v>
      </c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</row>
    <row r="176" spans="7:60">
      <c r="G176" s="43"/>
      <c r="H176" s="21"/>
      <c r="I176" s="36"/>
      <c r="J176" s="35"/>
      <c r="K176" s="75" t="s">
        <v>58</v>
      </c>
      <c r="L176" s="75" t="s">
        <v>46</v>
      </c>
      <c r="M176" s="68">
        <v>93.576379281099875</v>
      </c>
      <c r="N176" s="68">
        <v>91.233167868269462</v>
      </c>
      <c r="O176" s="68">
        <v>88.889956455439048</v>
      </c>
      <c r="P176" s="68">
        <v>86.546745042608634</v>
      </c>
      <c r="Q176" s="68">
        <v>84.203533629778221</v>
      </c>
      <c r="R176" s="68">
        <v>81.860322216947807</v>
      </c>
      <c r="S176" s="68">
        <v>79.90764603958911</v>
      </c>
      <c r="T176" s="68">
        <v>77.954969862230428</v>
      </c>
      <c r="U176" s="68">
        <v>76.002293684871759</v>
      </c>
      <c r="V176" s="68">
        <v>74.049617507513076</v>
      </c>
      <c r="W176" s="68">
        <v>72.096941330154394</v>
      </c>
      <c r="X176" s="68">
        <v>70.925335623739187</v>
      </c>
      <c r="Y176" s="68">
        <v>69.75372991732398</v>
      </c>
      <c r="Z176" s="68">
        <v>68.582124210908773</v>
      </c>
      <c r="AA176" s="68">
        <v>67.410518504493567</v>
      </c>
      <c r="AB176" s="68">
        <v>66.23891279807836</v>
      </c>
      <c r="AC176" s="68">
        <v>65.457842327134884</v>
      </c>
      <c r="AD176" s="68">
        <v>64.676771856191422</v>
      </c>
      <c r="AE176" s="68">
        <v>63.895701385247946</v>
      </c>
      <c r="AF176" s="68">
        <v>63.11463091430447</v>
      </c>
      <c r="AG176" s="68">
        <v>62.333560443361002</v>
      </c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</row>
    <row r="177" spans="7:75" ht="15.75" thickBot="1">
      <c r="G177" s="43"/>
      <c r="H177" s="21"/>
      <c r="I177" s="36"/>
      <c r="J177" s="35"/>
      <c r="K177" s="75" t="s">
        <v>58</v>
      </c>
      <c r="L177" s="75" t="s">
        <v>45</v>
      </c>
      <c r="M177" s="68">
        <v>124.57025851066288</v>
      </c>
      <c r="N177" s="68">
        <v>123.74709830446315</v>
      </c>
      <c r="O177" s="68">
        <v>122.92393809826342</v>
      </c>
      <c r="P177" s="68">
        <v>122.10077789206368</v>
      </c>
      <c r="Q177" s="68">
        <v>121.27761768586394</v>
      </c>
      <c r="R177" s="68">
        <v>120.45445747966421</v>
      </c>
      <c r="S177" s="68">
        <v>117.98497686106501</v>
      </c>
      <c r="T177" s="68">
        <v>115.5154962424658</v>
      </c>
      <c r="U177" s="68">
        <v>113.04601562386659</v>
      </c>
      <c r="V177" s="68">
        <v>110.57653500526739</v>
      </c>
      <c r="W177" s="68">
        <v>108.10705438666818</v>
      </c>
      <c r="X177" s="68">
        <v>106.46073397426871</v>
      </c>
      <c r="Y177" s="68">
        <v>104.81441356186924</v>
      </c>
      <c r="Z177" s="68">
        <v>103.16809314946977</v>
      </c>
      <c r="AA177" s="68">
        <v>101.52177273707029</v>
      </c>
      <c r="AB177" s="68">
        <v>99.875452324670832</v>
      </c>
      <c r="AC177" s="68">
        <v>98.640712015371221</v>
      </c>
      <c r="AD177" s="68">
        <v>97.405971706071611</v>
      </c>
      <c r="AE177" s="68">
        <v>96.171231396772015</v>
      </c>
      <c r="AF177" s="68">
        <v>94.936491087472419</v>
      </c>
      <c r="AG177" s="68">
        <v>93.701750778172809</v>
      </c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</row>
    <row r="178" spans="7:75">
      <c r="G178" s="43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</row>
    <row r="179" spans="7:75">
      <c r="G179" s="43"/>
      <c r="H179" s="36"/>
      <c r="I179" s="36"/>
      <c r="J179" s="81" t="s">
        <v>132</v>
      </c>
      <c r="K179" s="36"/>
      <c r="L179" s="36"/>
      <c r="M179" s="82">
        <v>2030</v>
      </c>
      <c r="N179" s="82">
        <v>2031</v>
      </c>
      <c r="O179" s="82">
        <v>2032</v>
      </c>
      <c r="P179" s="82">
        <v>2033</v>
      </c>
      <c r="Q179" s="82">
        <v>2034</v>
      </c>
      <c r="R179" s="82">
        <v>2035</v>
      </c>
      <c r="S179" s="82">
        <v>2036</v>
      </c>
      <c r="T179" s="82">
        <v>2037</v>
      </c>
      <c r="U179" s="82">
        <v>2038</v>
      </c>
      <c r="V179" s="82">
        <v>2039</v>
      </c>
      <c r="W179" s="82">
        <v>2040</v>
      </c>
      <c r="X179" s="82">
        <v>2041</v>
      </c>
      <c r="Y179" s="82">
        <v>2042</v>
      </c>
      <c r="Z179" s="82">
        <v>2043</v>
      </c>
      <c r="AA179" s="82">
        <v>2044</v>
      </c>
      <c r="AB179" s="82">
        <v>2045</v>
      </c>
      <c r="AC179" s="82">
        <v>2046</v>
      </c>
      <c r="AD179" s="82">
        <v>2047</v>
      </c>
      <c r="AE179" s="82">
        <v>2048</v>
      </c>
      <c r="AF179" s="82">
        <v>2049</v>
      </c>
      <c r="AG179" s="82">
        <v>2050</v>
      </c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</row>
    <row r="180" spans="7:75">
      <c r="G180" s="43"/>
      <c r="H180" s="123"/>
      <c r="I180" s="36"/>
      <c r="J180" s="35" t="s">
        <v>133</v>
      </c>
      <c r="K180" s="37" t="s">
        <v>134</v>
      </c>
      <c r="L180" s="75" t="s">
        <v>47</v>
      </c>
      <c r="M180" s="119">
        <v>0.12773978965018856</v>
      </c>
      <c r="N180" s="119">
        <v>0.12773978965018856</v>
      </c>
      <c r="O180" s="119">
        <v>0.12773978965018856</v>
      </c>
      <c r="P180" s="119">
        <v>0.12773978965018856</v>
      </c>
      <c r="Q180" s="119">
        <v>0.12773978965018856</v>
      </c>
      <c r="R180" s="119">
        <v>0.12773978965018856</v>
      </c>
      <c r="S180" s="119">
        <v>0.12773978965018856</v>
      </c>
      <c r="T180" s="119">
        <v>0.12773978965018856</v>
      </c>
      <c r="U180" s="119">
        <v>0.12773978965018856</v>
      </c>
      <c r="V180" s="119">
        <v>0.12773978965018856</v>
      </c>
      <c r="W180" s="119">
        <v>0.12773978965018856</v>
      </c>
      <c r="X180" s="119">
        <v>0.12773978965018856</v>
      </c>
      <c r="Y180" s="119">
        <v>0.12773978965018856</v>
      </c>
      <c r="Z180" s="119">
        <v>0.12773978965018856</v>
      </c>
      <c r="AA180" s="119">
        <v>0.12773978965018856</v>
      </c>
      <c r="AB180" s="119">
        <v>0.12773978965018856</v>
      </c>
      <c r="AC180" s="119">
        <v>0.12773978965018856</v>
      </c>
      <c r="AD180" s="119">
        <v>0.12773978965018856</v>
      </c>
      <c r="AE180" s="119">
        <v>0.12773978965018856</v>
      </c>
      <c r="AF180" s="119">
        <v>0.12773978965018856</v>
      </c>
      <c r="AG180" s="119">
        <v>0.12773978965018856</v>
      </c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</row>
    <row r="181" spans="7:75">
      <c r="G181" s="43"/>
      <c r="H181" s="123"/>
      <c r="I181" s="36"/>
      <c r="J181" s="35"/>
      <c r="K181" s="37" t="s">
        <v>134</v>
      </c>
      <c r="L181" s="75" t="s">
        <v>46</v>
      </c>
      <c r="M181" s="119">
        <v>0.12773978965018856</v>
      </c>
      <c r="N181" s="119">
        <v>0.12773978965018856</v>
      </c>
      <c r="O181" s="119">
        <v>0.12773978965018856</v>
      </c>
      <c r="P181" s="119">
        <v>0.12773978965018856</v>
      </c>
      <c r="Q181" s="119">
        <v>0.12773978965018856</v>
      </c>
      <c r="R181" s="119">
        <v>0.12773978965018856</v>
      </c>
      <c r="S181" s="119">
        <v>0.12773978965018856</v>
      </c>
      <c r="T181" s="119">
        <v>0.12773978965018856</v>
      </c>
      <c r="U181" s="119">
        <v>0.12773978965018856</v>
      </c>
      <c r="V181" s="119">
        <v>0.12773978965018856</v>
      </c>
      <c r="W181" s="119">
        <v>0.12773978965018856</v>
      </c>
      <c r="X181" s="119">
        <v>0.12773978965018856</v>
      </c>
      <c r="Y181" s="119">
        <v>0.12773978965018856</v>
      </c>
      <c r="Z181" s="119">
        <v>0.12773978965018856</v>
      </c>
      <c r="AA181" s="119">
        <v>0.12773978965018856</v>
      </c>
      <c r="AB181" s="119">
        <v>0.12773978965018856</v>
      </c>
      <c r="AC181" s="119">
        <v>0.12773978965018856</v>
      </c>
      <c r="AD181" s="119">
        <v>0.12773978965018856</v>
      </c>
      <c r="AE181" s="119">
        <v>0.12773978965018856</v>
      </c>
      <c r="AF181" s="119">
        <v>0.12773978965018856</v>
      </c>
      <c r="AG181" s="119">
        <v>0.12773978965018856</v>
      </c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</row>
    <row r="182" spans="7:75">
      <c r="G182" s="43"/>
      <c r="H182" s="123"/>
      <c r="I182" s="36"/>
      <c r="J182" s="35"/>
      <c r="K182" s="37" t="s">
        <v>134</v>
      </c>
      <c r="L182" s="75" t="s">
        <v>45</v>
      </c>
      <c r="M182" s="119">
        <v>0.12773978965018856</v>
      </c>
      <c r="N182" s="119">
        <v>0.12773978965018856</v>
      </c>
      <c r="O182" s="119">
        <v>0.12773978965018856</v>
      </c>
      <c r="P182" s="119">
        <v>0.12773978965018856</v>
      </c>
      <c r="Q182" s="119">
        <v>0.12773978965018856</v>
      </c>
      <c r="R182" s="119">
        <v>0.12773978965018856</v>
      </c>
      <c r="S182" s="119">
        <v>0.12773978965018856</v>
      </c>
      <c r="T182" s="119">
        <v>0.12773978965018856</v>
      </c>
      <c r="U182" s="119">
        <v>0.12773978965018856</v>
      </c>
      <c r="V182" s="119">
        <v>0.12773978965018856</v>
      </c>
      <c r="W182" s="119">
        <v>0.12773978965018856</v>
      </c>
      <c r="X182" s="119">
        <v>0.12773978965018856</v>
      </c>
      <c r="Y182" s="119">
        <v>0.12773978965018856</v>
      </c>
      <c r="Z182" s="119">
        <v>0.12773978965018856</v>
      </c>
      <c r="AA182" s="119">
        <v>0.12773978965018856</v>
      </c>
      <c r="AB182" s="119">
        <v>0.12773978965018856</v>
      </c>
      <c r="AC182" s="119">
        <v>0.12773978965018856</v>
      </c>
      <c r="AD182" s="119">
        <v>0.12773978965018856</v>
      </c>
      <c r="AE182" s="119">
        <v>0.12773978965018856</v>
      </c>
      <c r="AF182" s="119">
        <v>0.12773978965018856</v>
      </c>
      <c r="AG182" s="119">
        <v>0.12773978965018856</v>
      </c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</row>
    <row r="183" spans="7:75">
      <c r="G183" s="43"/>
      <c r="H183" s="123"/>
      <c r="I183" s="36"/>
      <c r="J183" s="35"/>
      <c r="K183" s="37" t="s">
        <v>135</v>
      </c>
      <c r="L183" s="75" t="s">
        <v>102</v>
      </c>
      <c r="M183" s="132">
        <v>0</v>
      </c>
      <c r="N183" s="132">
        <v>0</v>
      </c>
      <c r="O183" s="132">
        <v>0</v>
      </c>
      <c r="P183" s="132">
        <v>0</v>
      </c>
      <c r="Q183" s="132">
        <v>0</v>
      </c>
      <c r="R183" s="132">
        <v>0</v>
      </c>
      <c r="S183" s="132">
        <v>0</v>
      </c>
      <c r="T183" s="132">
        <v>0</v>
      </c>
      <c r="U183" s="132">
        <v>0</v>
      </c>
      <c r="V183" s="132">
        <v>0</v>
      </c>
      <c r="W183" s="132">
        <v>0</v>
      </c>
      <c r="X183" s="132">
        <v>0</v>
      </c>
      <c r="Y183" s="132">
        <v>0</v>
      </c>
      <c r="Z183" s="132">
        <v>0</v>
      </c>
      <c r="AA183" s="132">
        <v>0</v>
      </c>
      <c r="AB183" s="132">
        <v>0</v>
      </c>
      <c r="AC183" s="132">
        <v>0</v>
      </c>
      <c r="AD183" s="132">
        <v>0</v>
      </c>
      <c r="AE183" s="132">
        <v>0</v>
      </c>
      <c r="AF183" s="132">
        <v>0</v>
      </c>
      <c r="AG183" s="132">
        <v>0</v>
      </c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/>
      <c r="BP183" s="36"/>
      <c r="BQ183" s="36"/>
      <c r="BR183" s="36"/>
      <c r="BS183" s="36"/>
      <c r="BT183" s="36"/>
      <c r="BU183" s="36"/>
      <c r="BV183" s="36"/>
      <c r="BW183" s="36"/>
    </row>
    <row r="184" spans="7:75">
      <c r="G184" s="43"/>
      <c r="H184" s="123"/>
      <c r="I184" s="36"/>
      <c r="J184" s="35"/>
      <c r="K184" s="37" t="s">
        <v>136</v>
      </c>
      <c r="L184" s="75" t="s">
        <v>47</v>
      </c>
      <c r="M184" s="150">
        <v>0</v>
      </c>
      <c r="N184" s="150">
        <v>0</v>
      </c>
      <c r="O184" s="150">
        <v>0</v>
      </c>
      <c r="P184" s="150">
        <v>0</v>
      </c>
      <c r="Q184" s="150">
        <v>0</v>
      </c>
      <c r="R184" s="150">
        <v>0</v>
      </c>
      <c r="S184" s="150">
        <v>0</v>
      </c>
      <c r="T184" s="150">
        <v>0</v>
      </c>
      <c r="U184" s="150">
        <v>0</v>
      </c>
      <c r="V184" s="150">
        <v>0</v>
      </c>
      <c r="W184" s="150">
        <v>0</v>
      </c>
      <c r="X184" s="150">
        <v>0</v>
      </c>
      <c r="Y184" s="150">
        <v>0</v>
      </c>
      <c r="Z184" s="150">
        <v>0</v>
      </c>
      <c r="AA184" s="150">
        <v>0</v>
      </c>
      <c r="AB184" s="150">
        <v>0</v>
      </c>
      <c r="AC184" s="150">
        <v>0</v>
      </c>
      <c r="AD184" s="150">
        <v>0</v>
      </c>
      <c r="AE184" s="150">
        <v>0</v>
      </c>
      <c r="AF184" s="150">
        <v>0</v>
      </c>
      <c r="AG184" s="150">
        <v>0</v>
      </c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</row>
    <row r="185" spans="7:75">
      <c r="G185" s="43"/>
      <c r="H185" s="123"/>
      <c r="I185" s="36"/>
      <c r="J185" s="35"/>
      <c r="K185" s="37" t="s">
        <v>136</v>
      </c>
      <c r="L185" s="75" t="s">
        <v>46</v>
      </c>
      <c r="M185" s="150">
        <v>0</v>
      </c>
      <c r="N185" s="150">
        <v>0</v>
      </c>
      <c r="O185" s="150">
        <v>0</v>
      </c>
      <c r="P185" s="150">
        <v>0</v>
      </c>
      <c r="Q185" s="150">
        <v>0</v>
      </c>
      <c r="R185" s="150">
        <v>0</v>
      </c>
      <c r="S185" s="150">
        <v>0</v>
      </c>
      <c r="T185" s="150">
        <v>0</v>
      </c>
      <c r="U185" s="150">
        <v>0</v>
      </c>
      <c r="V185" s="150">
        <v>0</v>
      </c>
      <c r="W185" s="150">
        <v>0</v>
      </c>
      <c r="X185" s="150">
        <v>0</v>
      </c>
      <c r="Y185" s="150">
        <v>0</v>
      </c>
      <c r="Z185" s="150">
        <v>0</v>
      </c>
      <c r="AA185" s="150">
        <v>0</v>
      </c>
      <c r="AB185" s="150">
        <v>0</v>
      </c>
      <c r="AC185" s="150">
        <v>0</v>
      </c>
      <c r="AD185" s="150">
        <v>0</v>
      </c>
      <c r="AE185" s="150">
        <v>0</v>
      </c>
      <c r="AF185" s="150">
        <v>0</v>
      </c>
      <c r="AG185" s="150">
        <v>0</v>
      </c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</row>
    <row r="186" spans="7:75">
      <c r="G186" s="43"/>
      <c r="H186" s="123"/>
      <c r="I186" s="36"/>
      <c r="J186" s="35"/>
      <c r="K186" s="37" t="s">
        <v>136</v>
      </c>
      <c r="L186" s="75" t="s">
        <v>45</v>
      </c>
      <c r="M186" s="150">
        <v>0</v>
      </c>
      <c r="N186" s="150">
        <v>0</v>
      </c>
      <c r="O186" s="150">
        <v>0</v>
      </c>
      <c r="P186" s="150">
        <v>0</v>
      </c>
      <c r="Q186" s="150">
        <v>0</v>
      </c>
      <c r="R186" s="150">
        <v>0</v>
      </c>
      <c r="S186" s="150">
        <v>0</v>
      </c>
      <c r="T186" s="150">
        <v>0</v>
      </c>
      <c r="U186" s="150">
        <v>0</v>
      </c>
      <c r="V186" s="150">
        <v>0</v>
      </c>
      <c r="W186" s="150">
        <v>0</v>
      </c>
      <c r="X186" s="150">
        <v>0</v>
      </c>
      <c r="Y186" s="150">
        <v>0</v>
      </c>
      <c r="Z186" s="150">
        <v>0</v>
      </c>
      <c r="AA186" s="150">
        <v>0</v>
      </c>
      <c r="AB186" s="150">
        <v>0</v>
      </c>
      <c r="AC186" s="150">
        <v>0</v>
      </c>
      <c r="AD186" s="150">
        <v>0</v>
      </c>
      <c r="AE186" s="150">
        <v>0</v>
      </c>
      <c r="AF186" s="150">
        <v>0</v>
      </c>
      <c r="AG186" s="150">
        <v>0</v>
      </c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</row>
    <row r="187" spans="7:75">
      <c r="G187" s="43"/>
      <c r="H187" s="123"/>
      <c r="I187" s="36"/>
      <c r="J187" s="35"/>
      <c r="K187" s="37" t="s">
        <v>137</v>
      </c>
      <c r="L187" s="75" t="s">
        <v>47</v>
      </c>
      <c r="M187" s="124">
        <v>0.82465247173642853</v>
      </c>
      <c r="N187" s="124">
        <v>0.82465247173642853</v>
      </c>
      <c r="O187" s="124">
        <v>0.82465247173642853</v>
      </c>
      <c r="P187" s="124">
        <v>0.82465247173642853</v>
      </c>
      <c r="Q187" s="124">
        <v>0.82465247173642853</v>
      </c>
      <c r="R187" s="124">
        <v>0.82465247173642853</v>
      </c>
      <c r="S187" s="124">
        <v>0.82465247173642853</v>
      </c>
      <c r="T187" s="124">
        <v>0.82465247173642853</v>
      </c>
      <c r="U187" s="124">
        <v>0.82465247173642853</v>
      </c>
      <c r="V187" s="124">
        <v>0.82465247173642853</v>
      </c>
      <c r="W187" s="124">
        <v>0.82465247173642853</v>
      </c>
      <c r="X187" s="124">
        <v>0.82465247173642853</v>
      </c>
      <c r="Y187" s="124">
        <v>0.82465247173642853</v>
      </c>
      <c r="Z187" s="124">
        <v>0.82465247173642853</v>
      </c>
      <c r="AA187" s="124">
        <v>0.82465247173642853</v>
      </c>
      <c r="AB187" s="124">
        <v>0.82465247173642853</v>
      </c>
      <c r="AC187" s="124">
        <v>0.82465247173642853</v>
      </c>
      <c r="AD187" s="124">
        <v>0.82465247173642853</v>
      </c>
      <c r="AE187" s="124">
        <v>0.82465247173642853</v>
      </c>
      <c r="AF187" s="124">
        <v>0.82465247173642853</v>
      </c>
      <c r="AG187" s="124">
        <v>0.82465247173642853</v>
      </c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</row>
    <row r="188" spans="7:75">
      <c r="G188" s="43"/>
      <c r="H188" s="123"/>
      <c r="I188" s="36"/>
      <c r="J188" s="35"/>
      <c r="K188" s="37" t="s">
        <v>137</v>
      </c>
      <c r="L188" s="75" t="s">
        <v>46</v>
      </c>
      <c r="M188" s="124">
        <v>0.82465247173642853</v>
      </c>
      <c r="N188" s="124">
        <v>0.82465247173642853</v>
      </c>
      <c r="O188" s="124">
        <v>0.82465247173642853</v>
      </c>
      <c r="P188" s="124">
        <v>0.82465247173642853</v>
      </c>
      <c r="Q188" s="124">
        <v>0.82465247173642853</v>
      </c>
      <c r="R188" s="124">
        <v>0.82465247173642853</v>
      </c>
      <c r="S188" s="124">
        <v>0.82465247173642853</v>
      </c>
      <c r="T188" s="124">
        <v>0.82465247173642853</v>
      </c>
      <c r="U188" s="124">
        <v>0.82465247173642853</v>
      </c>
      <c r="V188" s="124">
        <v>0.82465247173642853</v>
      </c>
      <c r="W188" s="124">
        <v>0.82465247173642853</v>
      </c>
      <c r="X188" s="124">
        <v>0.82465247173642853</v>
      </c>
      <c r="Y188" s="124">
        <v>0.82465247173642853</v>
      </c>
      <c r="Z188" s="124">
        <v>0.82465247173642853</v>
      </c>
      <c r="AA188" s="124">
        <v>0.82465247173642853</v>
      </c>
      <c r="AB188" s="124">
        <v>0.82465247173642853</v>
      </c>
      <c r="AC188" s="124">
        <v>0.82465247173642853</v>
      </c>
      <c r="AD188" s="124">
        <v>0.82465247173642853</v>
      </c>
      <c r="AE188" s="124">
        <v>0.82465247173642853</v>
      </c>
      <c r="AF188" s="124">
        <v>0.82465247173642853</v>
      </c>
      <c r="AG188" s="124">
        <v>0.82465247173642853</v>
      </c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</row>
    <row r="189" spans="7:75">
      <c r="G189" s="43"/>
      <c r="H189" s="123"/>
      <c r="I189" s="36"/>
      <c r="J189" s="35"/>
      <c r="K189" s="37" t="s">
        <v>137</v>
      </c>
      <c r="L189" s="75" t="s">
        <v>45</v>
      </c>
      <c r="M189" s="124">
        <v>0.82465247173642853</v>
      </c>
      <c r="N189" s="124">
        <v>0.82465247173642853</v>
      </c>
      <c r="O189" s="124">
        <v>0.82465247173642853</v>
      </c>
      <c r="P189" s="124">
        <v>0.82465247173642853</v>
      </c>
      <c r="Q189" s="124">
        <v>0.82465247173642853</v>
      </c>
      <c r="R189" s="124">
        <v>0.82465247173642853</v>
      </c>
      <c r="S189" s="124">
        <v>0.82465247173642853</v>
      </c>
      <c r="T189" s="124">
        <v>0.82465247173642853</v>
      </c>
      <c r="U189" s="124">
        <v>0.82465247173642853</v>
      </c>
      <c r="V189" s="124">
        <v>0.82465247173642853</v>
      </c>
      <c r="W189" s="124">
        <v>0.82465247173642853</v>
      </c>
      <c r="X189" s="124">
        <v>0.82465247173642853</v>
      </c>
      <c r="Y189" s="124">
        <v>0.82465247173642853</v>
      </c>
      <c r="Z189" s="124">
        <v>0.82465247173642853</v>
      </c>
      <c r="AA189" s="124">
        <v>0.82465247173642853</v>
      </c>
      <c r="AB189" s="124">
        <v>0.82465247173642853</v>
      </c>
      <c r="AC189" s="124">
        <v>0.82465247173642853</v>
      </c>
      <c r="AD189" s="124">
        <v>0.82465247173642853</v>
      </c>
      <c r="AE189" s="124">
        <v>0.82465247173642853</v>
      </c>
      <c r="AF189" s="124">
        <v>0.82465247173642853</v>
      </c>
      <c r="AG189" s="124">
        <v>0.82465247173642853</v>
      </c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</row>
    <row r="190" spans="7:75">
      <c r="G190" s="43"/>
      <c r="H190" s="123"/>
      <c r="I190" s="36"/>
      <c r="J190" s="35"/>
      <c r="K190" s="37" t="s">
        <v>138</v>
      </c>
      <c r="L190" s="75" t="s">
        <v>47</v>
      </c>
      <c r="M190" s="124">
        <v>1.0607789574132014</v>
      </c>
      <c r="N190" s="124">
        <v>1.0607789574132014</v>
      </c>
      <c r="O190" s="124">
        <v>1.0607789574132014</v>
      </c>
      <c r="P190" s="124">
        <v>1.0607789574132014</v>
      </c>
      <c r="Q190" s="124">
        <v>1.0607789574132014</v>
      </c>
      <c r="R190" s="124">
        <v>1.0607789574132014</v>
      </c>
      <c r="S190" s="124">
        <v>1.0607789574132014</v>
      </c>
      <c r="T190" s="124">
        <v>1.0607789574132014</v>
      </c>
      <c r="U190" s="124">
        <v>1.0607789574132014</v>
      </c>
      <c r="V190" s="124">
        <v>1.0607789574132014</v>
      </c>
      <c r="W190" s="124">
        <v>1.0607789574132014</v>
      </c>
      <c r="X190" s="124">
        <v>1.0607789574132014</v>
      </c>
      <c r="Y190" s="124">
        <v>1.0607789574132014</v>
      </c>
      <c r="Z190" s="124">
        <v>1.0607789574132014</v>
      </c>
      <c r="AA190" s="124">
        <v>1.0607789574132014</v>
      </c>
      <c r="AB190" s="124">
        <v>1.0607789574132014</v>
      </c>
      <c r="AC190" s="124">
        <v>1.0607789574132014</v>
      </c>
      <c r="AD190" s="124">
        <v>1.0607789574132014</v>
      </c>
      <c r="AE190" s="124">
        <v>1.0607789574132014</v>
      </c>
      <c r="AF190" s="124">
        <v>1.0607789574132014</v>
      </c>
      <c r="AG190" s="124">
        <v>1.0607789574132014</v>
      </c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</row>
    <row r="191" spans="7:75">
      <c r="G191" s="43"/>
      <c r="H191" s="123"/>
      <c r="I191" s="36"/>
      <c r="J191" s="35"/>
      <c r="K191" s="37" t="s">
        <v>138</v>
      </c>
      <c r="L191" s="75" t="s">
        <v>46</v>
      </c>
      <c r="M191" s="124">
        <v>1.0607789574132014</v>
      </c>
      <c r="N191" s="124">
        <v>1.0607789574132014</v>
      </c>
      <c r="O191" s="124">
        <v>1.0607789574132014</v>
      </c>
      <c r="P191" s="124">
        <v>1.0607789574132014</v>
      </c>
      <c r="Q191" s="124">
        <v>1.0607789574132014</v>
      </c>
      <c r="R191" s="124">
        <v>1.0607789574132014</v>
      </c>
      <c r="S191" s="124">
        <v>1.0607789574132014</v>
      </c>
      <c r="T191" s="124">
        <v>1.0607789574132014</v>
      </c>
      <c r="U191" s="124">
        <v>1.0607789574132014</v>
      </c>
      <c r="V191" s="124">
        <v>1.0607789574132014</v>
      </c>
      <c r="W191" s="124">
        <v>1.0607789574132014</v>
      </c>
      <c r="X191" s="124">
        <v>1.0607789574132014</v>
      </c>
      <c r="Y191" s="124">
        <v>1.0607789574132014</v>
      </c>
      <c r="Z191" s="124">
        <v>1.0607789574132014</v>
      </c>
      <c r="AA191" s="124">
        <v>1.0607789574132014</v>
      </c>
      <c r="AB191" s="124">
        <v>1.0607789574132014</v>
      </c>
      <c r="AC191" s="124">
        <v>1.0607789574132014</v>
      </c>
      <c r="AD191" s="124">
        <v>1.0607789574132014</v>
      </c>
      <c r="AE191" s="124">
        <v>1.0607789574132014</v>
      </c>
      <c r="AF191" s="124">
        <v>1.0607789574132014</v>
      </c>
      <c r="AG191" s="124">
        <v>1.0607789574132014</v>
      </c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</row>
    <row r="192" spans="7:75">
      <c r="G192" s="43"/>
      <c r="H192" s="123"/>
      <c r="I192" s="36"/>
      <c r="J192" s="35"/>
      <c r="K192" s="37" t="s">
        <v>138</v>
      </c>
      <c r="L192" s="75" t="s">
        <v>45</v>
      </c>
      <c r="M192" s="124">
        <v>1.0607789574132014</v>
      </c>
      <c r="N192" s="124">
        <v>1.0607789574132014</v>
      </c>
      <c r="O192" s="124">
        <v>1.0607789574132014</v>
      </c>
      <c r="P192" s="124">
        <v>1.0607789574132014</v>
      </c>
      <c r="Q192" s="124">
        <v>1.0607789574132014</v>
      </c>
      <c r="R192" s="124">
        <v>1.0607789574132014</v>
      </c>
      <c r="S192" s="124">
        <v>1.0607789574132014</v>
      </c>
      <c r="T192" s="124">
        <v>1.0607789574132014</v>
      </c>
      <c r="U192" s="124">
        <v>1.0607789574132014</v>
      </c>
      <c r="V192" s="124">
        <v>1.0607789574132014</v>
      </c>
      <c r="W192" s="124">
        <v>1.0607789574132014</v>
      </c>
      <c r="X192" s="124">
        <v>1.0607789574132014</v>
      </c>
      <c r="Y192" s="124">
        <v>1.0607789574132014</v>
      </c>
      <c r="Z192" s="124">
        <v>1.0607789574132014</v>
      </c>
      <c r="AA192" s="124">
        <v>1.0607789574132014</v>
      </c>
      <c r="AB192" s="124">
        <v>1.0607789574132014</v>
      </c>
      <c r="AC192" s="124">
        <v>1.0607789574132014</v>
      </c>
      <c r="AD192" s="124">
        <v>1.0607789574132014</v>
      </c>
      <c r="AE192" s="124">
        <v>1.0607789574132014</v>
      </c>
      <c r="AF192" s="124">
        <v>1.0607789574132014</v>
      </c>
      <c r="AG192" s="124">
        <v>1.0607789574132014</v>
      </c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</row>
    <row r="193" spans="1:63">
      <c r="A193" s="169" t="s">
        <v>139</v>
      </c>
      <c r="B193" s="36"/>
      <c r="C193" s="36"/>
      <c r="D193" s="36"/>
      <c r="E193" s="36"/>
      <c r="F193" s="36"/>
      <c r="G193" s="43"/>
      <c r="H193" s="162"/>
      <c r="I193" s="169" t="s">
        <v>139</v>
      </c>
      <c r="J193" s="160"/>
      <c r="K193" s="107" t="s">
        <v>49</v>
      </c>
      <c r="L193" s="107"/>
      <c r="M193" s="82">
        <v>2030</v>
      </c>
      <c r="N193" s="82">
        <v>2031</v>
      </c>
      <c r="O193" s="82">
        <v>2032</v>
      </c>
      <c r="P193" s="82">
        <v>2033</v>
      </c>
      <c r="Q193" s="82">
        <v>2034</v>
      </c>
      <c r="R193" s="82">
        <v>2035</v>
      </c>
      <c r="S193" s="82">
        <v>2036</v>
      </c>
      <c r="T193" s="82">
        <v>2037</v>
      </c>
      <c r="U193" s="82">
        <v>2038</v>
      </c>
      <c r="V193" s="82">
        <v>2039</v>
      </c>
      <c r="W193" s="82">
        <v>2040</v>
      </c>
      <c r="X193" s="82">
        <v>2041</v>
      </c>
      <c r="Y193" s="82">
        <v>2042</v>
      </c>
      <c r="Z193" s="82">
        <v>2043</v>
      </c>
      <c r="AA193" s="82">
        <v>2044</v>
      </c>
      <c r="AB193" s="82">
        <v>2045</v>
      </c>
      <c r="AC193" s="82">
        <v>2046</v>
      </c>
      <c r="AD193" s="82">
        <v>2047</v>
      </c>
      <c r="AE193" s="82">
        <v>2048</v>
      </c>
      <c r="AF193" s="82">
        <v>2049</v>
      </c>
      <c r="AG193" s="82">
        <v>2050</v>
      </c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</row>
    <row r="194" spans="1:63" ht="38.25">
      <c r="A194" s="81">
        <v>0.2</v>
      </c>
      <c r="B194" s="36"/>
      <c r="C194" s="36"/>
      <c r="D194" s="36"/>
      <c r="E194" s="36"/>
      <c r="F194" s="36"/>
      <c r="G194" s="43"/>
      <c r="H194" s="162"/>
      <c r="I194" s="103">
        <v>0.05</v>
      </c>
      <c r="J194" s="120" t="s">
        <v>140</v>
      </c>
      <c r="K194" s="121">
        <v>1</v>
      </c>
      <c r="L194" s="121"/>
      <c r="M194" s="122">
        <v>0.93165035940455643</v>
      </c>
      <c r="N194" s="122">
        <v>0.93165035940455643</v>
      </c>
      <c r="O194" s="122">
        <v>0.93165035940455643</v>
      </c>
      <c r="P194" s="122">
        <v>0.93165035940455643</v>
      </c>
      <c r="Q194" s="122">
        <v>0.93165035940455643</v>
      </c>
      <c r="R194" s="122">
        <v>0.93165035940455643</v>
      </c>
      <c r="S194" s="122">
        <v>0.93165035940455643</v>
      </c>
      <c r="T194" s="122">
        <v>0.93165035940455643</v>
      </c>
      <c r="U194" s="122">
        <v>0.93165035940455643</v>
      </c>
      <c r="V194" s="122">
        <v>0.93165035940455643</v>
      </c>
      <c r="W194" s="122">
        <v>0.93165035940455643</v>
      </c>
      <c r="X194" s="122">
        <v>0.93165035940455643</v>
      </c>
      <c r="Y194" s="122">
        <v>0.93165035940455643</v>
      </c>
      <c r="Z194" s="122">
        <v>0.93165035940455643</v>
      </c>
      <c r="AA194" s="122">
        <v>0.93165035940455643</v>
      </c>
      <c r="AB194" s="122">
        <v>0.93165035940455643</v>
      </c>
      <c r="AC194" s="122">
        <v>0.93165035940455643</v>
      </c>
      <c r="AD194" s="122">
        <v>0.93165035940455643</v>
      </c>
      <c r="AE194" s="122">
        <v>0.93165035940455643</v>
      </c>
      <c r="AF194" s="122">
        <v>0.93165035940455643</v>
      </c>
      <c r="AG194" s="122">
        <v>0.93165035940455643</v>
      </c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</row>
    <row r="195" spans="1:63">
      <c r="A195" s="81">
        <v>0.32</v>
      </c>
      <c r="B195" s="36"/>
      <c r="C195" s="36"/>
      <c r="D195" s="36"/>
      <c r="E195" s="36"/>
      <c r="F195" s="36"/>
      <c r="G195" s="43"/>
      <c r="H195" s="162"/>
      <c r="I195" s="103">
        <v>9.5000000000000001E-2</v>
      </c>
      <c r="J195" s="120"/>
      <c r="K195" s="121">
        <v>2</v>
      </c>
      <c r="L195" s="121"/>
      <c r="M195" s="122">
        <v>0.8679723921786392</v>
      </c>
      <c r="N195" s="122">
        <v>0.8679723921786392</v>
      </c>
      <c r="O195" s="122">
        <v>0.8679723921786392</v>
      </c>
      <c r="P195" s="122">
        <v>0.8679723921786392</v>
      </c>
      <c r="Q195" s="122">
        <v>0.8679723921786392</v>
      </c>
      <c r="R195" s="122">
        <v>0.8679723921786392</v>
      </c>
      <c r="S195" s="122">
        <v>0.8679723921786392</v>
      </c>
      <c r="T195" s="122">
        <v>0.8679723921786392</v>
      </c>
      <c r="U195" s="122">
        <v>0.8679723921786392</v>
      </c>
      <c r="V195" s="122">
        <v>0.8679723921786392</v>
      </c>
      <c r="W195" s="122">
        <v>0.8679723921786392</v>
      </c>
      <c r="X195" s="122">
        <v>0.8679723921786392</v>
      </c>
      <c r="Y195" s="122">
        <v>0.8679723921786392</v>
      </c>
      <c r="Z195" s="122">
        <v>0.8679723921786392</v>
      </c>
      <c r="AA195" s="122">
        <v>0.8679723921786392</v>
      </c>
      <c r="AB195" s="122">
        <v>0.8679723921786392</v>
      </c>
      <c r="AC195" s="122">
        <v>0.8679723921786392</v>
      </c>
      <c r="AD195" s="122">
        <v>0.8679723921786392</v>
      </c>
      <c r="AE195" s="122">
        <v>0.8679723921786392</v>
      </c>
      <c r="AF195" s="122">
        <v>0.8679723921786392</v>
      </c>
      <c r="AG195" s="122">
        <v>0.8679723921786392</v>
      </c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</row>
    <row r="196" spans="1:63">
      <c r="A196" s="81">
        <v>0.192</v>
      </c>
      <c r="B196" s="36"/>
      <c r="C196" s="36"/>
      <c r="D196" s="36"/>
      <c r="E196" s="36"/>
      <c r="F196" s="36"/>
      <c r="G196" s="43"/>
      <c r="H196" s="162"/>
      <c r="I196" s="103">
        <v>8.5500000000000007E-2</v>
      </c>
      <c r="J196" s="120"/>
      <c r="K196" s="121">
        <v>3</v>
      </c>
      <c r="L196" s="121"/>
      <c r="M196" s="122">
        <v>0.80864679112646176</v>
      </c>
      <c r="N196" s="122">
        <v>0.80864679112646176</v>
      </c>
      <c r="O196" s="122">
        <v>0.80864679112646176</v>
      </c>
      <c r="P196" s="122">
        <v>0.80864679112646176</v>
      </c>
      <c r="Q196" s="122">
        <v>0.80864679112646176</v>
      </c>
      <c r="R196" s="122">
        <v>0.80864679112646176</v>
      </c>
      <c r="S196" s="122">
        <v>0.80864679112646176</v>
      </c>
      <c r="T196" s="122">
        <v>0.80864679112646176</v>
      </c>
      <c r="U196" s="122">
        <v>0.80864679112646176</v>
      </c>
      <c r="V196" s="122">
        <v>0.80864679112646176</v>
      </c>
      <c r="W196" s="122">
        <v>0.80864679112646176</v>
      </c>
      <c r="X196" s="122">
        <v>0.80864679112646176</v>
      </c>
      <c r="Y196" s="122">
        <v>0.80864679112646176</v>
      </c>
      <c r="Z196" s="122">
        <v>0.80864679112646176</v>
      </c>
      <c r="AA196" s="122">
        <v>0.80864679112646176</v>
      </c>
      <c r="AB196" s="122">
        <v>0.80864679112646176</v>
      </c>
      <c r="AC196" s="122">
        <v>0.80864679112646176</v>
      </c>
      <c r="AD196" s="122">
        <v>0.80864679112646176</v>
      </c>
      <c r="AE196" s="122">
        <v>0.80864679112646176</v>
      </c>
      <c r="AF196" s="122">
        <v>0.80864679112646176</v>
      </c>
      <c r="AG196" s="122">
        <v>0.80864679112646176</v>
      </c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</row>
    <row r="197" spans="1:63">
      <c r="A197" s="81">
        <v>0.1152</v>
      </c>
      <c r="B197" s="36"/>
      <c r="C197" s="36"/>
      <c r="D197" s="36"/>
      <c r="E197" s="36"/>
      <c r="F197" s="36"/>
      <c r="G197" s="43"/>
      <c r="H197" s="162"/>
      <c r="I197" s="103">
        <v>7.6999999999999999E-2</v>
      </c>
      <c r="J197" s="120"/>
      <c r="K197" s="121">
        <v>4</v>
      </c>
      <c r="L197" s="121"/>
      <c r="M197" s="122">
        <v>0.75337607358430947</v>
      </c>
      <c r="N197" s="122">
        <v>0.75337607358430947</v>
      </c>
      <c r="O197" s="122">
        <v>0.75337607358430947</v>
      </c>
      <c r="P197" s="122">
        <v>0.75337607358430947</v>
      </c>
      <c r="Q197" s="122">
        <v>0.75337607358430947</v>
      </c>
      <c r="R197" s="122">
        <v>0.75337607358430947</v>
      </c>
      <c r="S197" s="122">
        <v>0.75337607358430947</v>
      </c>
      <c r="T197" s="122">
        <v>0.75337607358430947</v>
      </c>
      <c r="U197" s="122">
        <v>0.75337607358430947</v>
      </c>
      <c r="V197" s="122">
        <v>0.75337607358430947</v>
      </c>
      <c r="W197" s="122">
        <v>0.75337607358430947</v>
      </c>
      <c r="X197" s="122">
        <v>0.75337607358430947</v>
      </c>
      <c r="Y197" s="122">
        <v>0.75337607358430947</v>
      </c>
      <c r="Z197" s="122">
        <v>0.75337607358430947</v>
      </c>
      <c r="AA197" s="122">
        <v>0.75337607358430947</v>
      </c>
      <c r="AB197" s="122">
        <v>0.75337607358430947</v>
      </c>
      <c r="AC197" s="122">
        <v>0.75337607358430947</v>
      </c>
      <c r="AD197" s="122">
        <v>0.75337607358430947</v>
      </c>
      <c r="AE197" s="122">
        <v>0.75337607358430947</v>
      </c>
      <c r="AF197" s="122">
        <v>0.75337607358430947</v>
      </c>
      <c r="AG197" s="122">
        <v>0.75337607358430947</v>
      </c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  <c r="BK197" s="36"/>
    </row>
    <row r="198" spans="1:63">
      <c r="A198" s="81">
        <v>0.1152</v>
      </c>
      <c r="B198" s="36"/>
      <c r="C198" s="36"/>
      <c r="D198" s="36"/>
      <c r="E198" s="36"/>
      <c r="F198" s="36"/>
      <c r="G198" s="43"/>
      <c r="H198" s="162"/>
      <c r="I198" s="103">
        <v>6.93E-2</v>
      </c>
      <c r="J198" s="120"/>
      <c r="K198" s="121">
        <v>5</v>
      </c>
      <c r="L198" s="121"/>
      <c r="M198" s="122">
        <v>0.70188308972161539</v>
      </c>
      <c r="N198" s="122">
        <v>0.70188308972161539</v>
      </c>
      <c r="O198" s="122">
        <v>0.70188308972161539</v>
      </c>
      <c r="P198" s="122">
        <v>0.70188308972161539</v>
      </c>
      <c r="Q198" s="122">
        <v>0.70188308972161539</v>
      </c>
      <c r="R198" s="122">
        <v>0.70188308972161539</v>
      </c>
      <c r="S198" s="122">
        <v>0.70188308972161539</v>
      </c>
      <c r="T198" s="122">
        <v>0.70188308972161539</v>
      </c>
      <c r="U198" s="122">
        <v>0.70188308972161539</v>
      </c>
      <c r="V198" s="122">
        <v>0.70188308972161539</v>
      </c>
      <c r="W198" s="122">
        <v>0.70188308972161539</v>
      </c>
      <c r="X198" s="122">
        <v>0.70188308972161539</v>
      </c>
      <c r="Y198" s="122">
        <v>0.70188308972161539</v>
      </c>
      <c r="Z198" s="122">
        <v>0.70188308972161539</v>
      </c>
      <c r="AA198" s="122">
        <v>0.70188308972161539</v>
      </c>
      <c r="AB198" s="122">
        <v>0.70188308972161539</v>
      </c>
      <c r="AC198" s="122">
        <v>0.70188308972161539</v>
      </c>
      <c r="AD198" s="122">
        <v>0.70188308972161539</v>
      </c>
      <c r="AE198" s="122">
        <v>0.70188308972161539</v>
      </c>
      <c r="AF198" s="122">
        <v>0.70188308972161539</v>
      </c>
      <c r="AG198" s="122">
        <v>0.70188308972161539</v>
      </c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</row>
    <row r="199" spans="1:63">
      <c r="A199" s="81">
        <v>5.7599999999999998E-2</v>
      </c>
      <c r="B199" s="36"/>
      <c r="C199" s="36"/>
      <c r="D199" s="36"/>
      <c r="E199" s="36"/>
      <c r="F199" s="36"/>
      <c r="G199" s="43"/>
      <c r="H199" s="162"/>
      <c r="I199" s="103">
        <v>6.2300000000000001E-2</v>
      </c>
      <c r="J199" s="120"/>
      <c r="K199" s="121">
        <v>6</v>
      </c>
      <c r="L199" s="121"/>
      <c r="M199" s="122">
        <v>0.65390963279912351</v>
      </c>
      <c r="N199" s="122">
        <v>0.65390963279912351</v>
      </c>
      <c r="O199" s="122">
        <v>0.65390963279912351</v>
      </c>
      <c r="P199" s="122">
        <v>0.65390963279912351</v>
      </c>
      <c r="Q199" s="122">
        <v>0.65390963279912351</v>
      </c>
      <c r="R199" s="122">
        <v>0.65390963279912351</v>
      </c>
      <c r="S199" s="122">
        <v>0.65390963279912351</v>
      </c>
      <c r="T199" s="122">
        <v>0.65390963279912351</v>
      </c>
      <c r="U199" s="122">
        <v>0.65390963279912351</v>
      </c>
      <c r="V199" s="122">
        <v>0.65390963279912351</v>
      </c>
      <c r="W199" s="122">
        <v>0.65390963279912351</v>
      </c>
      <c r="X199" s="122">
        <v>0.65390963279912351</v>
      </c>
      <c r="Y199" s="122">
        <v>0.65390963279912351</v>
      </c>
      <c r="Z199" s="122">
        <v>0.65390963279912351</v>
      </c>
      <c r="AA199" s="122">
        <v>0.65390963279912351</v>
      </c>
      <c r="AB199" s="122">
        <v>0.65390963279912351</v>
      </c>
      <c r="AC199" s="122">
        <v>0.65390963279912351</v>
      </c>
      <c r="AD199" s="122">
        <v>0.65390963279912351</v>
      </c>
      <c r="AE199" s="122">
        <v>0.65390963279912351</v>
      </c>
      <c r="AF199" s="122">
        <v>0.65390963279912351</v>
      </c>
      <c r="AG199" s="122">
        <v>0.65390963279912351</v>
      </c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</row>
    <row r="200" spans="1:63">
      <c r="A200" s="36"/>
      <c r="B200" s="36"/>
      <c r="C200" s="36"/>
      <c r="D200" s="36"/>
      <c r="E200" s="36"/>
      <c r="F200" s="36"/>
      <c r="G200" s="43"/>
      <c r="H200" s="162"/>
      <c r="I200" s="103">
        <v>5.8999999999999997E-2</v>
      </c>
      <c r="J200" s="120"/>
      <c r="K200" s="121">
        <v>7</v>
      </c>
      <c r="L200" s="121"/>
      <c r="M200" s="122">
        <v>0.60921514441540503</v>
      </c>
      <c r="N200" s="122">
        <v>0.60921514441540503</v>
      </c>
      <c r="O200" s="122">
        <v>0.60921514441540503</v>
      </c>
      <c r="P200" s="122">
        <v>0.60921514441540503</v>
      </c>
      <c r="Q200" s="122">
        <v>0.60921514441540503</v>
      </c>
      <c r="R200" s="122">
        <v>0.60921514441540503</v>
      </c>
      <c r="S200" s="122">
        <v>0.60921514441540503</v>
      </c>
      <c r="T200" s="122">
        <v>0.60921514441540503</v>
      </c>
      <c r="U200" s="122">
        <v>0.60921514441540503</v>
      </c>
      <c r="V200" s="122">
        <v>0.60921514441540503</v>
      </c>
      <c r="W200" s="122">
        <v>0.60921514441540503</v>
      </c>
      <c r="X200" s="122">
        <v>0.60921514441540503</v>
      </c>
      <c r="Y200" s="122">
        <v>0.60921514441540503</v>
      </c>
      <c r="Z200" s="122">
        <v>0.60921514441540503</v>
      </c>
      <c r="AA200" s="122">
        <v>0.60921514441540503</v>
      </c>
      <c r="AB200" s="122">
        <v>0.60921514441540503</v>
      </c>
      <c r="AC200" s="122">
        <v>0.60921514441540503</v>
      </c>
      <c r="AD200" s="122">
        <v>0.60921514441540503</v>
      </c>
      <c r="AE200" s="122">
        <v>0.60921514441540503</v>
      </c>
      <c r="AF200" s="122">
        <v>0.60921514441540503</v>
      </c>
      <c r="AG200" s="122">
        <v>0.60921514441540503</v>
      </c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</row>
    <row r="201" spans="1:63">
      <c r="A201" s="36"/>
      <c r="B201" s="36"/>
      <c r="C201" s="36"/>
      <c r="D201" s="36"/>
      <c r="E201" s="36"/>
      <c r="F201" s="36"/>
      <c r="G201" s="43"/>
      <c r="H201" s="162"/>
      <c r="I201" s="103">
        <v>5.8999999999999997E-2</v>
      </c>
      <c r="J201" s="120"/>
      <c r="K201" s="121">
        <v>8</v>
      </c>
      <c r="L201" s="121"/>
      <c r="M201" s="122">
        <v>0.5675755082493108</v>
      </c>
      <c r="N201" s="122">
        <v>0.5675755082493108</v>
      </c>
      <c r="O201" s="122">
        <v>0.5675755082493108</v>
      </c>
      <c r="P201" s="122">
        <v>0.5675755082493108</v>
      </c>
      <c r="Q201" s="122">
        <v>0.5675755082493108</v>
      </c>
      <c r="R201" s="122">
        <v>0.5675755082493108</v>
      </c>
      <c r="S201" s="122">
        <v>0.5675755082493108</v>
      </c>
      <c r="T201" s="122">
        <v>0.5675755082493108</v>
      </c>
      <c r="U201" s="122">
        <v>0.5675755082493108</v>
      </c>
      <c r="V201" s="122">
        <v>0.5675755082493108</v>
      </c>
      <c r="W201" s="122">
        <v>0.5675755082493108</v>
      </c>
      <c r="X201" s="122">
        <v>0.5675755082493108</v>
      </c>
      <c r="Y201" s="122">
        <v>0.5675755082493108</v>
      </c>
      <c r="Z201" s="122">
        <v>0.5675755082493108</v>
      </c>
      <c r="AA201" s="122">
        <v>0.5675755082493108</v>
      </c>
      <c r="AB201" s="122">
        <v>0.5675755082493108</v>
      </c>
      <c r="AC201" s="122">
        <v>0.5675755082493108</v>
      </c>
      <c r="AD201" s="122">
        <v>0.5675755082493108</v>
      </c>
      <c r="AE201" s="122">
        <v>0.5675755082493108</v>
      </c>
      <c r="AF201" s="122">
        <v>0.5675755082493108</v>
      </c>
      <c r="AG201" s="122">
        <v>0.5675755082493108</v>
      </c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</row>
    <row r="202" spans="1:63">
      <c r="A202" s="36"/>
      <c r="B202" s="36"/>
      <c r="C202" s="36"/>
      <c r="D202" s="36"/>
      <c r="E202" s="36"/>
      <c r="F202" s="36"/>
      <c r="G202" s="43"/>
      <c r="H202" s="162"/>
      <c r="I202" s="103">
        <v>5.91E-2</v>
      </c>
      <c r="J202" s="120"/>
      <c r="K202" s="121">
        <v>9</v>
      </c>
      <c r="L202" s="121"/>
      <c r="M202" s="122">
        <v>0.52878192624969411</v>
      </c>
      <c r="N202" s="122">
        <v>0.52878192624969411</v>
      </c>
      <c r="O202" s="122">
        <v>0.52878192624969411</v>
      </c>
      <c r="P202" s="122">
        <v>0.52878192624969411</v>
      </c>
      <c r="Q202" s="122">
        <v>0.52878192624969411</v>
      </c>
      <c r="R202" s="122">
        <v>0.52878192624969411</v>
      </c>
      <c r="S202" s="122">
        <v>0.52878192624969411</v>
      </c>
      <c r="T202" s="122">
        <v>0.52878192624969411</v>
      </c>
      <c r="U202" s="122">
        <v>0.52878192624969411</v>
      </c>
      <c r="V202" s="122">
        <v>0.52878192624969411</v>
      </c>
      <c r="W202" s="122">
        <v>0.52878192624969411</v>
      </c>
      <c r="X202" s="122">
        <v>0.52878192624969411</v>
      </c>
      <c r="Y202" s="122">
        <v>0.52878192624969411</v>
      </c>
      <c r="Z202" s="122">
        <v>0.52878192624969411</v>
      </c>
      <c r="AA202" s="122">
        <v>0.52878192624969411</v>
      </c>
      <c r="AB202" s="122">
        <v>0.52878192624969411</v>
      </c>
      <c r="AC202" s="122">
        <v>0.52878192624969411</v>
      </c>
      <c r="AD202" s="122">
        <v>0.52878192624969411</v>
      </c>
      <c r="AE202" s="122">
        <v>0.52878192624969411</v>
      </c>
      <c r="AF202" s="122">
        <v>0.52878192624969411</v>
      </c>
      <c r="AG202" s="122">
        <v>0.52878192624969411</v>
      </c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</row>
    <row r="203" spans="1:63">
      <c r="A203" s="36"/>
      <c r="B203" s="36"/>
      <c r="C203" s="36"/>
      <c r="D203" s="36"/>
      <c r="E203" s="36"/>
      <c r="F203" s="36"/>
      <c r="G203" s="43"/>
      <c r="H203" s="162"/>
      <c r="I203" s="103">
        <v>5.8999999999999997E-2</v>
      </c>
      <c r="J203" s="120"/>
      <c r="K203" s="121">
        <v>10</v>
      </c>
      <c r="L203" s="121"/>
      <c r="M203" s="122">
        <v>0.49263987163716128</v>
      </c>
      <c r="N203" s="122">
        <v>0.49263987163716128</v>
      </c>
      <c r="O203" s="122">
        <v>0.49263987163716128</v>
      </c>
      <c r="P203" s="122">
        <v>0.49263987163716128</v>
      </c>
      <c r="Q203" s="122">
        <v>0.49263987163716128</v>
      </c>
      <c r="R203" s="122">
        <v>0.49263987163716128</v>
      </c>
      <c r="S203" s="122">
        <v>0.49263987163716128</v>
      </c>
      <c r="T203" s="122">
        <v>0.49263987163716128</v>
      </c>
      <c r="U203" s="122">
        <v>0.49263987163716128</v>
      </c>
      <c r="V203" s="122">
        <v>0.49263987163716128</v>
      </c>
      <c r="W203" s="122">
        <v>0.49263987163716128</v>
      </c>
      <c r="X203" s="122">
        <v>0.49263987163716128</v>
      </c>
      <c r="Y203" s="122">
        <v>0.49263987163716128</v>
      </c>
      <c r="Z203" s="122">
        <v>0.49263987163716128</v>
      </c>
      <c r="AA203" s="122">
        <v>0.49263987163716128</v>
      </c>
      <c r="AB203" s="122">
        <v>0.49263987163716128</v>
      </c>
      <c r="AC203" s="122">
        <v>0.49263987163716128</v>
      </c>
      <c r="AD203" s="122">
        <v>0.49263987163716128</v>
      </c>
      <c r="AE203" s="122">
        <v>0.49263987163716128</v>
      </c>
      <c r="AF203" s="122">
        <v>0.49263987163716128</v>
      </c>
      <c r="AG203" s="122">
        <v>0.49263987163716128</v>
      </c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</row>
    <row r="204" spans="1:63">
      <c r="A204" s="36"/>
      <c r="B204" s="36"/>
      <c r="C204" s="36"/>
      <c r="D204" s="36"/>
      <c r="E204" s="36"/>
      <c r="F204" s="36"/>
      <c r="G204" s="43"/>
      <c r="H204" s="162"/>
      <c r="I204" s="103">
        <v>5.91E-2</v>
      </c>
      <c r="J204" s="120"/>
      <c r="K204" s="121">
        <v>11</v>
      </c>
      <c r="L204" s="121"/>
      <c r="M204" s="122">
        <v>0.45896811346777577</v>
      </c>
      <c r="N204" s="122">
        <v>0.45896811346777577</v>
      </c>
      <c r="O204" s="122">
        <v>0.45896811346777577</v>
      </c>
      <c r="P204" s="122">
        <v>0.45896811346777577</v>
      </c>
      <c r="Q204" s="122">
        <v>0.45896811346777577</v>
      </c>
      <c r="R204" s="122">
        <v>0.45896811346777577</v>
      </c>
      <c r="S204" s="122">
        <v>0.45896811346777577</v>
      </c>
      <c r="T204" s="122">
        <v>0.45896811346777577</v>
      </c>
      <c r="U204" s="122">
        <v>0.45896811346777577</v>
      </c>
      <c r="V204" s="122">
        <v>0.45896811346777577</v>
      </c>
      <c r="W204" s="122">
        <v>0.45896811346777577</v>
      </c>
      <c r="X204" s="122">
        <v>0.45896811346777577</v>
      </c>
      <c r="Y204" s="122">
        <v>0.45896811346777577</v>
      </c>
      <c r="Z204" s="122">
        <v>0.45896811346777577</v>
      </c>
      <c r="AA204" s="122">
        <v>0.45896811346777577</v>
      </c>
      <c r="AB204" s="122">
        <v>0.45896811346777577</v>
      </c>
      <c r="AC204" s="122">
        <v>0.45896811346777577</v>
      </c>
      <c r="AD204" s="122">
        <v>0.45896811346777577</v>
      </c>
      <c r="AE204" s="122">
        <v>0.45896811346777577</v>
      </c>
      <c r="AF204" s="122">
        <v>0.45896811346777577</v>
      </c>
      <c r="AG204" s="122">
        <v>0.45896811346777577</v>
      </c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</row>
    <row r="205" spans="1:63">
      <c r="A205" s="36"/>
      <c r="B205" s="36"/>
      <c r="C205" s="36"/>
      <c r="D205" s="36"/>
      <c r="E205" s="36"/>
      <c r="F205" s="36"/>
      <c r="G205" s="43"/>
      <c r="H205" s="162"/>
      <c r="I205" s="103">
        <v>5.8999999999999997E-2</v>
      </c>
      <c r="J205" s="120"/>
      <c r="K205" s="121">
        <v>12</v>
      </c>
      <c r="L205" s="121"/>
      <c r="M205" s="122">
        <v>0.42759780786748464</v>
      </c>
      <c r="N205" s="122">
        <v>0.42759780786748464</v>
      </c>
      <c r="O205" s="122">
        <v>0.42759780786748464</v>
      </c>
      <c r="P205" s="122">
        <v>0.42759780786748464</v>
      </c>
      <c r="Q205" s="122">
        <v>0.42759780786748464</v>
      </c>
      <c r="R205" s="122">
        <v>0.42759780786748464</v>
      </c>
      <c r="S205" s="122">
        <v>0.42759780786748464</v>
      </c>
      <c r="T205" s="122">
        <v>0.42759780786748464</v>
      </c>
      <c r="U205" s="122">
        <v>0.42759780786748464</v>
      </c>
      <c r="V205" s="122">
        <v>0.42759780786748464</v>
      </c>
      <c r="W205" s="122">
        <v>0.42759780786748464</v>
      </c>
      <c r="X205" s="122">
        <v>0.42759780786748464</v>
      </c>
      <c r="Y205" s="122">
        <v>0.42759780786748464</v>
      </c>
      <c r="Z205" s="122">
        <v>0.42759780786748464</v>
      </c>
      <c r="AA205" s="122">
        <v>0.42759780786748464</v>
      </c>
      <c r="AB205" s="122">
        <v>0.42759780786748464</v>
      </c>
      <c r="AC205" s="122">
        <v>0.42759780786748464</v>
      </c>
      <c r="AD205" s="122">
        <v>0.42759780786748464</v>
      </c>
      <c r="AE205" s="122">
        <v>0.42759780786748464</v>
      </c>
      <c r="AF205" s="122">
        <v>0.42759780786748464</v>
      </c>
      <c r="AG205" s="122">
        <v>0.42759780786748464</v>
      </c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</row>
    <row r="206" spans="1:63">
      <c r="A206" s="36"/>
      <c r="B206" s="36"/>
      <c r="C206" s="36"/>
      <c r="D206" s="36"/>
      <c r="E206" s="36"/>
      <c r="F206" s="36"/>
      <c r="G206" s="43"/>
      <c r="H206" s="162"/>
      <c r="I206" s="103">
        <v>5.91E-2</v>
      </c>
      <c r="J206" s="120"/>
      <c r="K206" s="121">
        <v>13</v>
      </c>
      <c r="L206" s="121"/>
      <c r="M206" s="122">
        <v>0.39837165138034247</v>
      </c>
      <c r="N206" s="122">
        <v>0.39837165138034247</v>
      </c>
      <c r="O206" s="122">
        <v>0.39837165138034247</v>
      </c>
      <c r="P206" s="122">
        <v>0.39837165138034247</v>
      </c>
      <c r="Q206" s="122">
        <v>0.39837165138034247</v>
      </c>
      <c r="R206" s="122">
        <v>0.39837165138034247</v>
      </c>
      <c r="S206" s="122">
        <v>0.39837165138034247</v>
      </c>
      <c r="T206" s="122">
        <v>0.39837165138034247</v>
      </c>
      <c r="U206" s="122">
        <v>0.39837165138034247</v>
      </c>
      <c r="V206" s="122">
        <v>0.39837165138034247</v>
      </c>
      <c r="W206" s="122">
        <v>0.39837165138034247</v>
      </c>
      <c r="X206" s="122">
        <v>0.39837165138034247</v>
      </c>
      <c r="Y206" s="122">
        <v>0.39837165138034247</v>
      </c>
      <c r="Z206" s="122">
        <v>0.39837165138034247</v>
      </c>
      <c r="AA206" s="122">
        <v>0.39837165138034247</v>
      </c>
      <c r="AB206" s="122">
        <v>0.39837165138034247</v>
      </c>
      <c r="AC206" s="122">
        <v>0.39837165138034247</v>
      </c>
      <c r="AD206" s="122">
        <v>0.39837165138034247</v>
      </c>
      <c r="AE206" s="122">
        <v>0.39837165138034247</v>
      </c>
      <c r="AF206" s="122">
        <v>0.39837165138034247</v>
      </c>
      <c r="AG206" s="122">
        <v>0.39837165138034247</v>
      </c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</row>
    <row r="207" spans="1:63">
      <c r="A207" s="36"/>
      <c r="B207" s="36"/>
      <c r="C207" s="36"/>
      <c r="D207" s="36"/>
      <c r="E207" s="36"/>
      <c r="F207" s="36"/>
      <c r="G207" s="43"/>
      <c r="H207" s="162"/>
      <c r="I207" s="103">
        <v>5.8999999999999997E-2</v>
      </c>
      <c r="J207" s="120"/>
      <c r="K207" s="121">
        <v>14</v>
      </c>
      <c r="L207" s="121"/>
      <c r="M207" s="122">
        <v>0.37114309218508273</v>
      </c>
      <c r="N207" s="122">
        <v>0.37114309218508273</v>
      </c>
      <c r="O207" s="122">
        <v>0.37114309218508273</v>
      </c>
      <c r="P207" s="122">
        <v>0.37114309218508273</v>
      </c>
      <c r="Q207" s="122">
        <v>0.37114309218508273</v>
      </c>
      <c r="R207" s="122">
        <v>0.37114309218508273</v>
      </c>
      <c r="S207" s="122">
        <v>0.37114309218508273</v>
      </c>
      <c r="T207" s="122">
        <v>0.37114309218508273</v>
      </c>
      <c r="U207" s="122">
        <v>0.37114309218508273</v>
      </c>
      <c r="V207" s="122">
        <v>0.37114309218508273</v>
      </c>
      <c r="W207" s="122">
        <v>0.37114309218508273</v>
      </c>
      <c r="X207" s="122">
        <v>0.37114309218508273</v>
      </c>
      <c r="Y207" s="122">
        <v>0.37114309218508273</v>
      </c>
      <c r="Z207" s="122">
        <v>0.37114309218508273</v>
      </c>
      <c r="AA207" s="122">
        <v>0.37114309218508273</v>
      </c>
      <c r="AB207" s="122">
        <v>0.37114309218508273</v>
      </c>
      <c r="AC207" s="122">
        <v>0.37114309218508273</v>
      </c>
      <c r="AD207" s="122">
        <v>0.37114309218508273</v>
      </c>
      <c r="AE207" s="122">
        <v>0.37114309218508273</v>
      </c>
      <c r="AF207" s="122">
        <v>0.37114309218508273</v>
      </c>
      <c r="AG207" s="122">
        <v>0.37114309218508273</v>
      </c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</row>
    <row r="208" spans="1:63">
      <c r="A208" s="36"/>
      <c r="B208" s="36"/>
      <c r="C208" s="36"/>
      <c r="D208" s="36"/>
      <c r="E208" s="36"/>
      <c r="F208" s="36"/>
      <c r="G208" s="43"/>
      <c r="H208" s="162"/>
      <c r="I208" s="103">
        <v>5.91E-2</v>
      </c>
      <c r="J208" s="120"/>
      <c r="K208" s="121">
        <v>15</v>
      </c>
      <c r="L208" s="121"/>
      <c r="M208" s="122">
        <v>0.34577559522475076</v>
      </c>
      <c r="N208" s="122">
        <v>0.34577559522475076</v>
      </c>
      <c r="O208" s="122">
        <v>0.34577559522475076</v>
      </c>
      <c r="P208" s="122">
        <v>0.34577559522475076</v>
      </c>
      <c r="Q208" s="122">
        <v>0.34577559522475076</v>
      </c>
      <c r="R208" s="122">
        <v>0.34577559522475076</v>
      </c>
      <c r="S208" s="122">
        <v>0.34577559522475076</v>
      </c>
      <c r="T208" s="122">
        <v>0.34577559522475076</v>
      </c>
      <c r="U208" s="122">
        <v>0.34577559522475076</v>
      </c>
      <c r="V208" s="122">
        <v>0.34577559522475076</v>
      </c>
      <c r="W208" s="122">
        <v>0.34577559522475076</v>
      </c>
      <c r="X208" s="122">
        <v>0.34577559522475076</v>
      </c>
      <c r="Y208" s="122">
        <v>0.34577559522475076</v>
      </c>
      <c r="Z208" s="122">
        <v>0.34577559522475076</v>
      </c>
      <c r="AA208" s="122">
        <v>0.34577559522475076</v>
      </c>
      <c r="AB208" s="122">
        <v>0.34577559522475076</v>
      </c>
      <c r="AC208" s="122">
        <v>0.34577559522475076</v>
      </c>
      <c r="AD208" s="122">
        <v>0.34577559522475076</v>
      </c>
      <c r="AE208" s="122">
        <v>0.34577559522475076</v>
      </c>
      <c r="AF208" s="122">
        <v>0.34577559522475076</v>
      </c>
      <c r="AG208" s="122">
        <v>0.34577559522475076</v>
      </c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</row>
    <row r="209" spans="6:65">
      <c r="F209" s="36"/>
      <c r="G209" s="43"/>
      <c r="H209" s="162"/>
      <c r="I209" s="103">
        <v>2.9499999999999998E-2</v>
      </c>
      <c r="J209" s="120"/>
      <c r="K209" s="121">
        <v>16</v>
      </c>
      <c r="L209" s="121"/>
      <c r="M209" s="122">
        <v>0.32214195756446345</v>
      </c>
      <c r="N209" s="122">
        <v>0.32214195756446345</v>
      </c>
      <c r="O209" s="122">
        <v>0.32214195756446345</v>
      </c>
      <c r="P209" s="122">
        <v>0.32214195756446345</v>
      </c>
      <c r="Q209" s="122">
        <v>0.32214195756446345</v>
      </c>
      <c r="R209" s="122">
        <v>0.32214195756446345</v>
      </c>
      <c r="S209" s="122">
        <v>0.32214195756446345</v>
      </c>
      <c r="T209" s="122">
        <v>0.32214195756446345</v>
      </c>
      <c r="U209" s="122">
        <v>0.32214195756446345</v>
      </c>
      <c r="V209" s="122">
        <v>0.32214195756446345</v>
      </c>
      <c r="W209" s="122">
        <v>0.32214195756446345</v>
      </c>
      <c r="X209" s="122">
        <v>0.32214195756446345</v>
      </c>
      <c r="Y209" s="122">
        <v>0.32214195756446345</v>
      </c>
      <c r="Z209" s="122">
        <v>0.32214195756446345</v>
      </c>
      <c r="AA209" s="122">
        <v>0.32214195756446345</v>
      </c>
      <c r="AB209" s="122">
        <v>0.32214195756446345</v>
      </c>
      <c r="AC209" s="122">
        <v>0.32214195756446345</v>
      </c>
      <c r="AD209" s="122">
        <v>0.32214195756446345</v>
      </c>
      <c r="AE209" s="122">
        <v>0.32214195756446345</v>
      </c>
      <c r="AF209" s="122">
        <v>0.32214195756446345</v>
      </c>
      <c r="AG209" s="122">
        <v>0.32214195756446345</v>
      </c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</row>
    <row r="210" spans="6:65">
      <c r="F210" s="36"/>
      <c r="G210" s="44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</row>
    <row r="211" spans="6:65">
      <c r="F211" s="138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</row>
    <row r="212" spans="6:65">
      <c r="F212" s="138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</row>
    <row r="213" spans="6:65" ht="15.75" thickBot="1">
      <c r="F213" s="138"/>
      <c r="G213" s="36"/>
      <c r="H213" s="36"/>
      <c r="I213" s="36"/>
      <c r="J213" s="36"/>
      <c r="K213" s="36"/>
      <c r="L213" s="36"/>
      <c r="M213" s="82">
        <v>2030</v>
      </c>
      <c r="N213" s="82">
        <v>2031</v>
      </c>
      <c r="O213" s="82">
        <v>2032</v>
      </c>
      <c r="P213" s="82">
        <v>2033</v>
      </c>
      <c r="Q213" s="82">
        <v>2034</v>
      </c>
      <c r="R213" s="82">
        <v>2035</v>
      </c>
      <c r="S213" s="82">
        <v>2036</v>
      </c>
      <c r="T213" s="82">
        <v>2037</v>
      </c>
      <c r="U213" s="82">
        <v>2038</v>
      </c>
      <c r="V213" s="82">
        <v>2039</v>
      </c>
      <c r="W213" s="82">
        <v>2040</v>
      </c>
      <c r="X213" s="82">
        <v>2041</v>
      </c>
      <c r="Y213" s="82">
        <v>2042</v>
      </c>
      <c r="Z213" s="82">
        <v>2043</v>
      </c>
      <c r="AA213" s="82">
        <v>2044</v>
      </c>
      <c r="AB213" s="82">
        <v>2045</v>
      </c>
      <c r="AC213" s="82">
        <v>2046</v>
      </c>
      <c r="AD213" s="82">
        <v>2047</v>
      </c>
      <c r="AE213" s="82">
        <v>2048</v>
      </c>
      <c r="AF213" s="82">
        <v>2049</v>
      </c>
      <c r="AG213" s="82">
        <v>2050</v>
      </c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</row>
    <row r="214" spans="6:65" ht="16.5" thickTop="1" thickBot="1">
      <c r="F214" s="138"/>
      <c r="G214" s="36"/>
      <c r="H214" s="162"/>
      <c r="I214" s="36"/>
      <c r="J214" s="22" t="s">
        <v>141</v>
      </c>
      <c r="K214" s="37" t="s">
        <v>142</v>
      </c>
      <c r="L214" s="167" t="s">
        <v>47</v>
      </c>
      <c r="M214" s="130">
        <v>1.2095957533845003</v>
      </c>
      <c r="N214" s="130">
        <v>1.2095957533845003</v>
      </c>
      <c r="O214" s="130">
        <v>1.2095957533845003</v>
      </c>
      <c r="P214" s="130">
        <v>1.2095957533845003</v>
      </c>
      <c r="Q214" s="130">
        <v>1.2095957533845003</v>
      </c>
      <c r="R214" s="130">
        <v>1.2095957533845003</v>
      </c>
      <c r="S214" s="130">
        <v>1.2095957533845003</v>
      </c>
      <c r="T214" s="130">
        <v>1.2095957533845003</v>
      </c>
      <c r="U214" s="130">
        <v>1.2095957533845003</v>
      </c>
      <c r="V214" s="130">
        <v>1.2095957533845003</v>
      </c>
      <c r="W214" s="130">
        <v>1.2095957533845003</v>
      </c>
      <c r="X214" s="130">
        <v>1.2095957533845003</v>
      </c>
      <c r="Y214" s="130">
        <v>1.2095957533845003</v>
      </c>
      <c r="Z214" s="130">
        <v>1.2095957533845003</v>
      </c>
      <c r="AA214" s="130">
        <v>1.2095957533845003</v>
      </c>
      <c r="AB214" s="130">
        <v>1.2095957533845003</v>
      </c>
      <c r="AC214" s="130">
        <v>1.2095957533845003</v>
      </c>
      <c r="AD214" s="130">
        <v>1.2095957533845003</v>
      </c>
      <c r="AE214" s="130">
        <v>1.2095957533845003</v>
      </c>
      <c r="AF214" s="130">
        <v>1.2095957533845003</v>
      </c>
      <c r="AG214" s="130">
        <v>1.2095957533845003</v>
      </c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</row>
    <row r="215" spans="6:65" ht="16.5" thickTop="1" thickBot="1">
      <c r="F215" s="138"/>
      <c r="G215" s="36"/>
      <c r="H215" s="162"/>
      <c r="I215" s="36"/>
      <c r="J215" s="22"/>
      <c r="K215" s="37" t="s">
        <v>142</v>
      </c>
      <c r="L215" s="37" t="s">
        <v>46</v>
      </c>
      <c r="M215" s="130">
        <v>1.3019417042656412</v>
      </c>
      <c r="N215" s="130">
        <v>1.3019417042656412</v>
      </c>
      <c r="O215" s="130">
        <v>1.3019417042656412</v>
      </c>
      <c r="P215" s="130">
        <v>1.3019417042656412</v>
      </c>
      <c r="Q215" s="130">
        <v>1.3019417042656412</v>
      </c>
      <c r="R215" s="130">
        <v>1.3019417042656412</v>
      </c>
      <c r="S215" s="130">
        <v>1.3019417042656412</v>
      </c>
      <c r="T215" s="130">
        <v>1.3019417042656412</v>
      </c>
      <c r="U215" s="130">
        <v>1.3019417042656412</v>
      </c>
      <c r="V215" s="130">
        <v>1.3019417042656412</v>
      </c>
      <c r="W215" s="130">
        <v>1.3019417042656412</v>
      </c>
      <c r="X215" s="130">
        <v>1.3019417042656412</v>
      </c>
      <c r="Y215" s="130">
        <v>1.3019417042656412</v>
      </c>
      <c r="Z215" s="130">
        <v>1.3019417042656412</v>
      </c>
      <c r="AA215" s="130">
        <v>1.3019417042656412</v>
      </c>
      <c r="AB215" s="130">
        <v>1.3019417042656412</v>
      </c>
      <c r="AC215" s="130">
        <v>1.3019417042656412</v>
      </c>
      <c r="AD215" s="130">
        <v>1.3019417042656412</v>
      </c>
      <c r="AE215" s="130">
        <v>1.3019417042656412</v>
      </c>
      <c r="AF215" s="130">
        <v>1.3019417042656412</v>
      </c>
      <c r="AG215" s="130">
        <v>1.3019417042656412</v>
      </c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</row>
    <row r="216" spans="6:65" ht="16.5" thickTop="1" thickBot="1">
      <c r="F216" s="138"/>
      <c r="G216" s="36"/>
      <c r="H216" s="162"/>
      <c r="I216" s="36"/>
      <c r="J216" s="22"/>
      <c r="K216" s="37" t="s">
        <v>142</v>
      </c>
      <c r="L216" s="37" t="s">
        <v>45</v>
      </c>
      <c r="M216" s="130">
        <v>1.5077856929991917</v>
      </c>
      <c r="N216" s="130">
        <v>1.5077856929991917</v>
      </c>
      <c r="O216" s="130">
        <v>1.5077856929991917</v>
      </c>
      <c r="P216" s="130">
        <v>1.5077856929991917</v>
      </c>
      <c r="Q216" s="130">
        <v>1.5077856929991917</v>
      </c>
      <c r="R216" s="130">
        <v>1.5077856929991917</v>
      </c>
      <c r="S216" s="130">
        <v>1.5077856929991917</v>
      </c>
      <c r="T216" s="130">
        <v>1.5077856929991917</v>
      </c>
      <c r="U216" s="130">
        <v>1.5077856929991917</v>
      </c>
      <c r="V216" s="130">
        <v>1.5077856929991917</v>
      </c>
      <c r="W216" s="130">
        <v>1.5077856929991917</v>
      </c>
      <c r="X216" s="130">
        <v>1.5077856929991917</v>
      </c>
      <c r="Y216" s="130">
        <v>1.5077856929991917</v>
      </c>
      <c r="Z216" s="130">
        <v>1.5077856929991917</v>
      </c>
      <c r="AA216" s="130">
        <v>1.5077856929991917</v>
      </c>
      <c r="AB216" s="130">
        <v>1.5077856929991917</v>
      </c>
      <c r="AC216" s="130">
        <v>1.5077856929991917</v>
      </c>
      <c r="AD216" s="130">
        <v>1.5077856929991917</v>
      </c>
      <c r="AE216" s="130">
        <v>1.5077856929991917</v>
      </c>
      <c r="AF216" s="130">
        <v>1.5077856929991917</v>
      </c>
      <c r="AG216" s="130">
        <v>1.5077856929991917</v>
      </c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</row>
    <row r="217" spans="6:65" ht="16.5" thickTop="1" thickBot="1">
      <c r="F217" s="138"/>
      <c r="G217" s="36"/>
      <c r="H217" s="162"/>
      <c r="I217" s="36"/>
      <c r="J217" s="22"/>
      <c r="K217" s="37" t="s">
        <v>143</v>
      </c>
      <c r="L217" s="167" t="s">
        <v>47</v>
      </c>
      <c r="M217" s="130">
        <v>1.1458464766908742</v>
      </c>
      <c r="N217" s="130">
        <v>1.1458464766908742</v>
      </c>
      <c r="O217" s="130">
        <v>1.1458464766908742</v>
      </c>
      <c r="P217" s="130">
        <v>1.1458464766908742</v>
      </c>
      <c r="Q217" s="130">
        <v>1.1458464766908742</v>
      </c>
      <c r="R217" s="130">
        <v>1.1458464766908742</v>
      </c>
      <c r="S217" s="130">
        <v>1.1458464766908742</v>
      </c>
      <c r="T217" s="130">
        <v>1.1458464766908742</v>
      </c>
      <c r="U217" s="130">
        <v>1.1458464766908742</v>
      </c>
      <c r="V217" s="130">
        <v>1.1458464766908742</v>
      </c>
      <c r="W217" s="130">
        <v>1.1458464766908742</v>
      </c>
      <c r="X217" s="130">
        <v>1.1458464766908742</v>
      </c>
      <c r="Y217" s="130">
        <v>1.1458464766908742</v>
      </c>
      <c r="Z217" s="130">
        <v>1.1458464766908742</v>
      </c>
      <c r="AA217" s="130">
        <v>1.1458464766908742</v>
      </c>
      <c r="AB217" s="130">
        <v>1.1458464766908742</v>
      </c>
      <c r="AC217" s="130">
        <v>1.1458464766908742</v>
      </c>
      <c r="AD217" s="130">
        <v>1.1458464766908742</v>
      </c>
      <c r="AE217" s="130">
        <v>1.1458464766908742</v>
      </c>
      <c r="AF217" s="130">
        <v>1.1458464766908742</v>
      </c>
      <c r="AG217" s="130">
        <v>1.1458464766908742</v>
      </c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</row>
    <row r="218" spans="6:65" ht="16.5" thickTop="1" thickBot="1">
      <c r="F218" s="138"/>
      <c r="G218" s="36"/>
      <c r="H218" s="162"/>
      <c r="I218" s="36"/>
      <c r="J218" s="22"/>
      <c r="K218" s="37" t="s">
        <v>143</v>
      </c>
      <c r="L218" s="37" t="s">
        <v>46</v>
      </c>
      <c r="M218" s="130">
        <v>1.1913581082779259</v>
      </c>
      <c r="N218" s="130">
        <v>1.1913581082779259</v>
      </c>
      <c r="O218" s="130">
        <v>1.1913581082779259</v>
      </c>
      <c r="P218" s="130">
        <v>1.1913581082779259</v>
      </c>
      <c r="Q218" s="130">
        <v>1.1913581082779259</v>
      </c>
      <c r="R218" s="130">
        <v>1.1913581082779259</v>
      </c>
      <c r="S218" s="130">
        <v>1.1913581082779259</v>
      </c>
      <c r="T218" s="130">
        <v>1.1913581082779259</v>
      </c>
      <c r="U218" s="130">
        <v>1.1913581082779259</v>
      </c>
      <c r="V218" s="130">
        <v>1.1913581082779259</v>
      </c>
      <c r="W218" s="130">
        <v>1.1913581082779259</v>
      </c>
      <c r="X218" s="130">
        <v>1.1913581082779259</v>
      </c>
      <c r="Y218" s="130">
        <v>1.1913581082779259</v>
      </c>
      <c r="Z218" s="130">
        <v>1.1913581082779259</v>
      </c>
      <c r="AA218" s="130">
        <v>1.1913581082779259</v>
      </c>
      <c r="AB218" s="130">
        <v>1.1913581082779259</v>
      </c>
      <c r="AC218" s="130">
        <v>1.1913581082779259</v>
      </c>
      <c r="AD218" s="130">
        <v>1.1913581082779259</v>
      </c>
      <c r="AE218" s="130">
        <v>1.1913581082779259</v>
      </c>
      <c r="AF218" s="130">
        <v>1.1913581082779259</v>
      </c>
      <c r="AG218" s="130">
        <v>1.1913581082779259</v>
      </c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</row>
    <row r="219" spans="6:65" ht="15.75" thickTop="1">
      <c r="F219" s="138"/>
      <c r="G219" s="36"/>
      <c r="H219" s="162"/>
      <c r="I219" s="36"/>
      <c r="J219" s="22"/>
      <c r="K219" s="37" t="s">
        <v>143</v>
      </c>
      <c r="L219" s="37" t="s">
        <v>45</v>
      </c>
      <c r="M219" s="130">
        <v>1.2555571136663268</v>
      </c>
      <c r="N219" s="130">
        <v>1.2555571136663268</v>
      </c>
      <c r="O219" s="130">
        <v>1.2555571136663268</v>
      </c>
      <c r="P219" s="130">
        <v>1.2555571136663268</v>
      </c>
      <c r="Q219" s="130">
        <v>1.2555571136663268</v>
      </c>
      <c r="R219" s="130">
        <v>1.2555571136663268</v>
      </c>
      <c r="S219" s="130">
        <v>1.2555571136663268</v>
      </c>
      <c r="T219" s="130">
        <v>1.2555571136663268</v>
      </c>
      <c r="U219" s="130">
        <v>1.2555571136663268</v>
      </c>
      <c r="V219" s="130">
        <v>1.2555571136663268</v>
      </c>
      <c r="W219" s="130">
        <v>1.2555571136663268</v>
      </c>
      <c r="X219" s="130">
        <v>1.2555571136663268</v>
      </c>
      <c r="Y219" s="130">
        <v>1.2555571136663268</v>
      </c>
      <c r="Z219" s="130">
        <v>1.2555571136663268</v>
      </c>
      <c r="AA219" s="130">
        <v>1.2555571136663268</v>
      </c>
      <c r="AB219" s="130">
        <v>1.2555571136663268</v>
      </c>
      <c r="AC219" s="130">
        <v>1.2555571136663268</v>
      </c>
      <c r="AD219" s="130">
        <v>1.2555571136663268</v>
      </c>
      <c r="AE219" s="130">
        <v>1.2555571136663268</v>
      </c>
      <c r="AF219" s="130">
        <v>1.2555571136663268</v>
      </c>
      <c r="AG219" s="130">
        <v>1.2555571136663268</v>
      </c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</row>
    <row r="220" spans="6:65" ht="15.75" thickBot="1">
      <c r="F220" s="138"/>
      <c r="G220" s="36"/>
      <c r="H220" s="162"/>
      <c r="I220" s="36"/>
      <c r="J220" s="126"/>
      <c r="K220" s="36"/>
      <c r="L220" s="37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</row>
    <row r="221" spans="6:65" ht="16.5" thickTop="1" thickBot="1">
      <c r="F221" s="138"/>
      <c r="G221" s="36"/>
      <c r="H221" s="162"/>
      <c r="I221" s="36"/>
      <c r="J221" s="120"/>
      <c r="K221" s="37" t="s">
        <v>144</v>
      </c>
      <c r="L221" s="37" t="s">
        <v>102</v>
      </c>
      <c r="M221" s="130">
        <v>1.0319883720275147</v>
      </c>
      <c r="N221" s="130">
        <v>1.0319883720275147</v>
      </c>
      <c r="O221" s="130">
        <v>1.0319883720275147</v>
      </c>
      <c r="P221" s="130">
        <v>1.0319883720275147</v>
      </c>
      <c r="Q221" s="130">
        <v>1.0319883720275147</v>
      </c>
      <c r="R221" s="130">
        <v>1.0319883720275147</v>
      </c>
      <c r="S221" s="130">
        <v>1.0319883720275147</v>
      </c>
      <c r="T221" s="130">
        <v>1.0319883720275147</v>
      </c>
      <c r="U221" s="130">
        <v>1.0319883720275147</v>
      </c>
      <c r="V221" s="130">
        <v>1.0319883720275147</v>
      </c>
      <c r="W221" s="130">
        <v>1.0319883720275147</v>
      </c>
      <c r="X221" s="130">
        <v>1.0319883720275147</v>
      </c>
      <c r="Y221" s="130">
        <v>1.0319883720275147</v>
      </c>
      <c r="Z221" s="130">
        <v>1.0319883720275147</v>
      </c>
      <c r="AA221" s="130">
        <v>1.0319883720275147</v>
      </c>
      <c r="AB221" s="130">
        <v>1.0319883720275147</v>
      </c>
      <c r="AC221" s="130">
        <v>1.0319883720275147</v>
      </c>
      <c r="AD221" s="130">
        <v>1.0319883720275147</v>
      </c>
      <c r="AE221" s="130">
        <v>1.0319883720275147</v>
      </c>
      <c r="AF221" s="130">
        <v>1.0319883720275147</v>
      </c>
      <c r="AG221" s="130">
        <v>1.0319883720275147</v>
      </c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</row>
    <row r="222" spans="6:65" ht="16.5" thickTop="1" thickBot="1">
      <c r="F222" s="138"/>
      <c r="G222" s="36"/>
      <c r="H222" s="162"/>
      <c r="I222" s="36"/>
      <c r="J222" s="120"/>
      <c r="K222" s="37" t="s">
        <v>145</v>
      </c>
      <c r="L222" s="37" t="s">
        <v>102</v>
      </c>
      <c r="M222" s="130">
        <v>1.0990676162093029</v>
      </c>
      <c r="N222" s="130">
        <v>1.0990676162093029</v>
      </c>
      <c r="O222" s="130">
        <v>1.0990676162093029</v>
      </c>
      <c r="P222" s="130">
        <v>1.0990676162093029</v>
      </c>
      <c r="Q222" s="130">
        <v>1.0990676162093029</v>
      </c>
      <c r="R222" s="130">
        <v>1.0990676162093029</v>
      </c>
      <c r="S222" s="130">
        <v>1.0990676162093029</v>
      </c>
      <c r="T222" s="130">
        <v>1.0990676162093029</v>
      </c>
      <c r="U222" s="130">
        <v>1.0990676162093029</v>
      </c>
      <c r="V222" s="130">
        <v>1.0990676162093029</v>
      </c>
      <c r="W222" s="130">
        <v>1.0990676162093029</v>
      </c>
      <c r="X222" s="130">
        <v>1.0990676162093029</v>
      </c>
      <c r="Y222" s="130">
        <v>1.0990676162093029</v>
      </c>
      <c r="Z222" s="130">
        <v>1.0990676162093029</v>
      </c>
      <c r="AA222" s="130">
        <v>1.0990676162093029</v>
      </c>
      <c r="AB222" s="130">
        <v>1.0990676162093029</v>
      </c>
      <c r="AC222" s="130">
        <v>1.0990676162093029</v>
      </c>
      <c r="AD222" s="130">
        <v>1.0990676162093029</v>
      </c>
      <c r="AE222" s="130">
        <v>1.0990676162093029</v>
      </c>
      <c r="AF222" s="130">
        <v>1.0990676162093029</v>
      </c>
      <c r="AG222" s="130">
        <v>1.0990676162093029</v>
      </c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</row>
    <row r="223" spans="6:65" ht="16.5" thickTop="1" thickBot="1">
      <c r="F223" s="138"/>
      <c r="G223" s="36"/>
      <c r="H223" s="162"/>
      <c r="I223" s="36"/>
      <c r="J223" s="120"/>
      <c r="K223" s="37" t="s">
        <v>146</v>
      </c>
      <c r="L223" s="37" t="s">
        <v>102</v>
      </c>
      <c r="M223" s="130">
        <v>1.1705070112629077</v>
      </c>
      <c r="N223" s="130">
        <v>1.1705070112629077</v>
      </c>
      <c r="O223" s="130">
        <v>1.1705070112629077</v>
      </c>
      <c r="P223" s="130">
        <v>1.1705070112629077</v>
      </c>
      <c r="Q223" s="130">
        <v>1.1705070112629077</v>
      </c>
      <c r="R223" s="130">
        <v>1.1705070112629077</v>
      </c>
      <c r="S223" s="130">
        <v>1.1705070112629077</v>
      </c>
      <c r="T223" s="130">
        <v>1.1705070112629077</v>
      </c>
      <c r="U223" s="130">
        <v>1.1705070112629077</v>
      </c>
      <c r="V223" s="130">
        <v>1.1705070112629077</v>
      </c>
      <c r="W223" s="130">
        <v>1.1705070112629077</v>
      </c>
      <c r="X223" s="130">
        <v>1.1705070112629077</v>
      </c>
      <c r="Y223" s="130">
        <v>1.1705070112629077</v>
      </c>
      <c r="Z223" s="130">
        <v>1.1705070112629077</v>
      </c>
      <c r="AA223" s="130">
        <v>1.1705070112629077</v>
      </c>
      <c r="AB223" s="130">
        <v>1.1705070112629077</v>
      </c>
      <c r="AC223" s="130">
        <v>1.1705070112629077</v>
      </c>
      <c r="AD223" s="130">
        <v>1.1705070112629077</v>
      </c>
      <c r="AE223" s="130">
        <v>1.1705070112629077</v>
      </c>
      <c r="AF223" s="130">
        <v>1.1705070112629077</v>
      </c>
      <c r="AG223" s="130">
        <v>1.1705070112629077</v>
      </c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</row>
    <row r="224" spans="6:65" ht="16.5" thickTop="1" thickBot="1">
      <c r="F224" s="138"/>
      <c r="G224" s="36"/>
      <c r="H224" s="162"/>
      <c r="I224" s="36"/>
      <c r="J224" s="120"/>
      <c r="K224" s="37" t="s">
        <v>147</v>
      </c>
      <c r="L224" s="37" t="s">
        <v>102</v>
      </c>
      <c r="M224" s="130">
        <v>1.2465899669949967</v>
      </c>
      <c r="N224" s="130">
        <v>1.2465899669949967</v>
      </c>
      <c r="O224" s="130">
        <v>1.2465899669949967</v>
      </c>
      <c r="P224" s="130">
        <v>1.2465899669949967</v>
      </c>
      <c r="Q224" s="130">
        <v>1.2465899669949967</v>
      </c>
      <c r="R224" s="130">
        <v>1.2465899669949967</v>
      </c>
      <c r="S224" s="130">
        <v>1.2465899669949967</v>
      </c>
      <c r="T224" s="130">
        <v>1.2465899669949967</v>
      </c>
      <c r="U224" s="130">
        <v>1.2465899669949967</v>
      </c>
      <c r="V224" s="130">
        <v>1.2465899669949967</v>
      </c>
      <c r="W224" s="130">
        <v>1.2465899669949967</v>
      </c>
      <c r="X224" s="130">
        <v>1.2465899669949967</v>
      </c>
      <c r="Y224" s="130">
        <v>1.2465899669949967</v>
      </c>
      <c r="Z224" s="130">
        <v>1.2465899669949967</v>
      </c>
      <c r="AA224" s="130">
        <v>1.2465899669949967</v>
      </c>
      <c r="AB224" s="130">
        <v>1.2465899669949967</v>
      </c>
      <c r="AC224" s="130">
        <v>1.2465899669949967</v>
      </c>
      <c r="AD224" s="130">
        <v>1.2465899669949967</v>
      </c>
      <c r="AE224" s="130">
        <v>1.2465899669949967</v>
      </c>
      <c r="AF224" s="130">
        <v>1.2465899669949967</v>
      </c>
      <c r="AG224" s="130">
        <v>1.2465899669949967</v>
      </c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</row>
    <row r="225" spans="6:33" ht="16.5" thickTop="1" thickBot="1">
      <c r="F225" s="138"/>
      <c r="G225" s="36"/>
      <c r="H225" s="162"/>
      <c r="I225" s="36"/>
      <c r="J225" s="120"/>
      <c r="K225" s="37" t="s">
        <v>148</v>
      </c>
      <c r="L225" s="37" t="s">
        <v>102</v>
      </c>
      <c r="M225" s="130">
        <v>1.3276183148496714</v>
      </c>
      <c r="N225" s="130">
        <v>1.3276183148496714</v>
      </c>
      <c r="O225" s="130">
        <v>1.3276183148496714</v>
      </c>
      <c r="P225" s="130">
        <v>1.3276183148496714</v>
      </c>
      <c r="Q225" s="130">
        <v>1.3276183148496714</v>
      </c>
      <c r="R225" s="130">
        <v>1.3276183148496714</v>
      </c>
      <c r="S225" s="130">
        <v>1.3276183148496714</v>
      </c>
      <c r="T225" s="130">
        <v>1.3276183148496714</v>
      </c>
      <c r="U225" s="130">
        <v>1.3276183148496714</v>
      </c>
      <c r="V225" s="130">
        <v>1.3276183148496714</v>
      </c>
      <c r="W225" s="130">
        <v>1.3276183148496714</v>
      </c>
      <c r="X225" s="130">
        <v>1.3276183148496714</v>
      </c>
      <c r="Y225" s="130">
        <v>1.3276183148496714</v>
      </c>
      <c r="Z225" s="130">
        <v>1.3276183148496714</v>
      </c>
      <c r="AA225" s="130">
        <v>1.3276183148496714</v>
      </c>
      <c r="AB225" s="130">
        <v>1.3276183148496714</v>
      </c>
      <c r="AC225" s="130">
        <v>1.3276183148496714</v>
      </c>
      <c r="AD225" s="130">
        <v>1.3276183148496714</v>
      </c>
      <c r="AE225" s="130">
        <v>1.3276183148496714</v>
      </c>
      <c r="AF225" s="130">
        <v>1.3276183148496714</v>
      </c>
      <c r="AG225" s="130">
        <v>1.3276183148496714</v>
      </c>
    </row>
    <row r="226" spans="6:33" ht="16.5" thickTop="1" thickBot="1">
      <c r="F226" s="138"/>
      <c r="G226" s="36"/>
      <c r="H226" s="162"/>
      <c r="I226" s="36"/>
      <c r="J226" s="120"/>
      <c r="K226" s="37" t="s">
        <v>149</v>
      </c>
      <c r="L226" s="37" t="s">
        <v>102</v>
      </c>
      <c r="M226" s="130">
        <v>1.4139135053148999</v>
      </c>
      <c r="N226" s="130">
        <v>1.4139135053148999</v>
      </c>
      <c r="O226" s="130">
        <v>1.4139135053148999</v>
      </c>
      <c r="P226" s="130">
        <v>1.4139135053148999</v>
      </c>
      <c r="Q226" s="130">
        <v>1.4139135053148999</v>
      </c>
      <c r="R226" s="130">
        <v>1.4139135053148999</v>
      </c>
      <c r="S226" s="130">
        <v>1.4139135053148999</v>
      </c>
      <c r="T226" s="130">
        <v>1.4139135053148999</v>
      </c>
      <c r="U226" s="130">
        <v>1.4139135053148999</v>
      </c>
      <c r="V226" s="130">
        <v>1.4139135053148999</v>
      </c>
      <c r="W226" s="130">
        <v>1.4139135053148999</v>
      </c>
      <c r="X226" s="130">
        <v>1.4139135053148999</v>
      </c>
      <c r="Y226" s="130">
        <v>1.4139135053148999</v>
      </c>
      <c r="Z226" s="130">
        <v>1.4139135053148999</v>
      </c>
      <c r="AA226" s="130">
        <v>1.4139135053148999</v>
      </c>
      <c r="AB226" s="130">
        <v>1.4139135053148999</v>
      </c>
      <c r="AC226" s="130">
        <v>1.4139135053148999</v>
      </c>
      <c r="AD226" s="130">
        <v>1.4139135053148999</v>
      </c>
      <c r="AE226" s="130">
        <v>1.4139135053148999</v>
      </c>
      <c r="AF226" s="130">
        <v>1.4139135053148999</v>
      </c>
      <c r="AG226" s="130">
        <v>1.4139135053148999</v>
      </c>
    </row>
    <row r="227" spans="6:33" ht="16.5" thickTop="1" thickBot="1">
      <c r="F227" s="138"/>
      <c r="G227" s="36"/>
      <c r="H227" s="162"/>
      <c r="I227" s="36"/>
      <c r="J227" s="120"/>
      <c r="K227" s="37" t="s">
        <v>150</v>
      </c>
      <c r="L227" s="37" t="s">
        <v>102</v>
      </c>
      <c r="M227" s="130">
        <v>1.5058178831603684</v>
      </c>
      <c r="N227" s="130">
        <v>1.5058178831603684</v>
      </c>
      <c r="O227" s="130">
        <v>1.5058178831603684</v>
      </c>
      <c r="P227" s="130">
        <v>1.5058178831603684</v>
      </c>
      <c r="Q227" s="130">
        <v>1.5058178831603684</v>
      </c>
      <c r="R227" s="130">
        <v>1.5058178831603684</v>
      </c>
      <c r="S227" s="130">
        <v>1.5058178831603684</v>
      </c>
      <c r="T227" s="130">
        <v>1.5058178831603684</v>
      </c>
      <c r="U227" s="130">
        <v>1.5058178831603684</v>
      </c>
      <c r="V227" s="130">
        <v>1.5058178831603684</v>
      </c>
      <c r="W227" s="130">
        <v>1.5058178831603684</v>
      </c>
      <c r="X227" s="130">
        <v>1.5058178831603684</v>
      </c>
      <c r="Y227" s="130">
        <v>1.5058178831603684</v>
      </c>
      <c r="Z227" s="130">
        <v>1.5058178831603684</v>
      </c>
      <c r="AA227" s="130">
        <v>1.5058178831603684</v>
      </c>
      <c r="AB227" s="130">
        <v>1.5058178831603684</v>
      </c>
      <c r="AC227" s="130">
        <v>1.5058178831603684</v>
      </c>
      <c r="AD227" s="130">
        <v>1.5058178831603684</v>
      </c>
      <c r="AE227" s="130">
        <v>1.5058178831603684</v>
      </c>
      <c r="AF227" s="130">
        <v>1.5058178831603684</v>
      </c>
      <c r="AG227" s="130">
        <v>1.5058178831603684</v>
      </c>
    </row>
    <row r="228" spans="6:33" ht="16.5" thickTop="1" thickBot="1">
      <c r="F228" s="138"/>
      <c r="G228" s="36"/>
      <c r="H228" s="162"/>
      <c r="I228" s="36"/>
      <c r="J228" s="120"/>
      <c r="K228" s="37" t="s">
        <v>151</v>
      </c>
      <c r="L228" s="37" t="s">
        <v>102</v>
      </c>
      <c r="M228" s="130">
        <v>1.6036960455657923</v>
      </c>
      <c r="N228" s="130">
        <v>1.6036960455657923</v>
      </c>
      <c r="O228" s="130">
        <v>1.6036960455657923</v>
      </c>
      <c r="P228" s="130">
        <v>1.6036960455657923</v>
      </c>
      <c r="Q228" s="130">
        <v>1.6036960455657923</v>
      </c>
      <c r="R228" s="130">
        <v>1.6036960455657923</v>
      </c>
      <c r="S228" s="130">
        <v>1.6036960455657923</v>
      </c>
      <c r="T228" s="130">
        <v>1.6036960455657923</v>
      </c>
      <c r="U228" s="130">
        <v>1.6036960455657923</v>
      </c>
      <c r="V228" s="130">
        <v>1.6036960455657923</v>
      </c>
      <c r="W228" s="130">
        <v>1.6036960455657923</v>
      </c>
      <c r="X228" s="130">
        <v>1.6036960455657923</v>
      </c>
      <c r="Y228" s="130">
        <v>1.6036960455657923</v>
      </c>
      <c r="Z228" s="130">
        <v>1.6036960455657923</v>
      </c>
      <c r="AA228" s="130">
        <v>1.6036960455657923</v>
      </c>
      <c r="AB228" s="130">
        <v>1.6036960455657923</v>
      </c>
      <c r="AC228" s="130">
        <v>1.6036960455657923</v>
      </c>
      <c r="AD228" s="130">
        <v>1.6036960455657923</v>
      </c>
      <c r="AE228" s="130">
        <v>1.6036960455657923</v>
      </c>
      <c r="AF228" s="130">
        <v>1.6036960455657923</v>
      </c>
      <c r="AG228" s="130">
        <v>1.6036960455657923</v>
      </c>
    </row>
    <row r="229" spans="6:33" ht="16.5" thickTop="1" thickBot="1">
      <c r="F229" s="138"/>
      <c r="G229" s="36"/>
      <c r="H229" s="162"/>
      <c r="I229" s="36"/>
      <c r="J229" s="120"/>
      <c r="K229" s="37" t="s">
        <v>152</v>
      </c>
      <c r="L229" s="37" t="s">
        <v>102</v>
      </c>
      <c r="M229" s="130">
        <v>1.7079362885275686</v>
      </c>
      <c r="N229" s="130">
        <v>1.7079362885275686</v>
      </c>
      <c r="O229" s="130">
        <v>1.7079362885275686</v>
      </c>
      <c r="P229" s="130">
        <v>1.7079362885275686</v>
      </c>
      <c r="Q229" s="130">
        <v>1.7079362885275686</v>
      </c>
      <c r="R229" s="130">
        <v>1.7079362885275686</v>
      </c>
      <c r="S229" s="130">
        <v>1.7079362885275686</v>
      </c>
      <c r="T229" s="130">
        <v>1.7079362885275686</v>
      </c>
      <c r="U229" s="130">
        <v>1.7079362885275686</v>
      </c>
      <c r="V229" s="130">
        <v>1.7079362885275686</v>
      </c>
      <c r="W229" s="130">
        <v>1.7079362885275686</v>
      </c>
      <c r="X229" s="130">
        <v>1.7079362885275686</v>
      </c>
      <c r="Y229" s="130">
        <v>1.7079362885275686</v>
      </c>
      <c r="Z229" s="130">
        <v>1.7079362885275686</v>
      </c>
      <c r="AA229" s="130">
        <v>1.7079362885275686</v>
      </c>
      <c r="AB229" s="130">
        <v>1.7079362885275686</v>
      </c>
      <c r="AC229" s="130">
        <v>1.7079362885275686</v>
      </c>
      <c r="AD229" s="130">
        <v>1.7079362885275686</v>
      </c>
      <c r="AE229" s="130">
        <v>1.7079362885275686</v>
      </c>
      <c r="AF229" s="130">
        <v>1.7079362885275686</v>
      </c>
      <c r="AG229" s="130">
        <v>1.7079362885275686</v>
      </c>
    </row>
    <row r="230" spans="6:33" ht="16.5" thickTop="1" thickBot="1">
      <c r="F230" s="138"/>
      <c r="G230" s="36"/>
      <c r="H230" s="162"/>
      <c r="I230" s="36"/>
      <c r="J230" s="120"/>
      <c r="K230" s="37" t="s">
        <v>153</v>
      </c>
      <c r="L230" s="37" t="s">
        <v>102</v>
      </c>
      <c r="M230" s="130">
        <v>1.8189521472818606</v>
      </c>
      <c r="N230" s="130">
        <v>1.8189521472818606</v>
      </c>
      <c r="O230" s="130">
        <v>1.8189521472818606</v>
      </c>
      <c r="P230" s="130">
        <v>1.8189521472818606</v>
      </c>
      <c r="Q230" s="130">
        <v>1.8189521472818606</v>
      </c>
      <c r="R230" s="130">
        <v>1.8189521472818606</v>
      </c>
      <c r="S230" s="130">
        <v>1.8189521472818606</v>
      </c>
      <c r="T230" s="130">
        <v>1.8189521472818606</v>
      </c>
      <c r="U230" s="130">
        <v>1.8189521472818606</v>
      </c>
      <c r="V230" s="130">
        <v>1.8189521472818606</v>
      </c>
      <c r="W230" s="130">
        <v>1.8189521472818606</v>
      </c>
      <c r="X230" s="130">
        <v>1.8189521472818606</v>
      </c>
      <c r="Y230" s="130">
        <v>1.8189521472818606</v>
      </c>
      <c r="Z230" s="130">
        <v>1.8189521472818606</v>
      </c>
      <c r="AA230" s="130">
        <v>1.8189521472818606</v>
      </c>
      <c r="AB230" s="130">
        <v>1.8189521472818606</v>
      </c>
      <c r="AC230" s="130">
        <v>1.8189521472818606</v>
      </c>
      <c r="AD230" s="130">
        <v>1.8189521472818606</v>
      </c>
      <c r="AE230" s="130">
        <v>1.8189521472818606</v>
      </c>
      <c r="AF230" s="130">
        <v>1.8189521472818606</v>
      </c>
      <c r="AG230" s="130">
        <v>1.8189521472818606</v>
      </c>
    </row>
    <row r="231" spans="6:33" ht="16.5" thickTop="1" thickBot="1">
      <c r="F231" s="138"/>
      <c r="G231" s="36"/>
      <c r="H231" s="162"/>
      <c r="I231" s="36"/>
      <c r="J231" s="120"/>
      <c r="K231" s="37" t="s">
        <v>154</v>
      </c>
      <c r="L231" s="37" t="s">
        <v>102</v>
      </c>
      <c r="M231" s="130">
        <v>1.0319883720275147</v>
      </c>
      <c r="N231" s="130">
        <v>1.0319883720275147</v>
      </c>
      <c r="O231" s="130">
        <v>1.0319883720275147</v>
      </c>
      <c r="P231" s="130">
        <v>1.0319883720275147</v>
      </c>
      <c r="Q231" s="130">
        <v>1.0319883720275147</v>
      </c>
      <c r="R231" s="130">
        <v>1.0319883720275147</v>
      </c>
      <c r="S231" s="130">
        <v>1.0319883720275147</v>
      </c>
      <c r="T231" s="130">
        <v>1.0319883720275147</v>
      </c>
      <c r="U231" s="130">
        <v>1.0319883720275147</v>
      </c>
      <c r="V231" s="130">
        <v>1.0319883720275147</v>
      </c>
      <c r="W231" s="130">
        <v>1.0319883720275147</v>
      </c>
      <c r="X231" s="130">
        <v>1.0319883720275147</v>
      </c>
      <c r="Y231" s="130">
        <v>1.0319883720275147</v>
      </c>
      <c r="Z231" s="130">
        <v>1.0319883720275147</v>
      </c>
      <c r="AA231" s="130">
        <v>1.0319883720275147</v>
      </c>
      <c r="AB231" s="130">
        <v>1.0319883720275147</v>
      </c>
      <c r="AC231" s="130">
        <v>1.0319883720275147</v>
      </c>
      <c r="AD231" s="130">
        <v>1.0319883720275147</v>
      </c>
      <c r="AE231" s="130">
        <v>1.0319883720275147</v>
      </c>
      <c r="AF231" s="130">
        <v>1.0319883720275147</v>
      </c>
      <c r="AG231" s="130">
        <v>1.0319883720275147</v>
      </c>
    </row>
    <row r="232" spans="6:33" ht="16.5" thickTop="1" thickBot="1">
      <c r="F232" s="138"/>
      <c r="G232" s="36"/>
      <c r="H232" s="162"/>
      <c r="I232" s="36"/>
      <c r="J232" s="120"/>
      <c r="K232" s="37" t="s">
        <v>155</v>
      </c>
      <c r="L232" s="167" t="s">
        <v>47</v>
      </c>
      <c r="M232" s="130">
        <v>1.0606601717798212</v>
      </c>
      <c r="N232" s="130">
        <v>1.0606601717798212</v>
      </c>
      <c r="O232" s="130">
        <v>1.0606601717798212</v>
      </c>
      <c r="P232" s="130">
        <v>1.0606601717798212</v>
      </c>
      <c r="Q232" s="130">
        <v>1.0606601717798212</v>
      </c>
      <c r="R232" s="130">
        <v>1.0606601717798212</v>
      </c>
      <c r="S232" s="130">
        <v>1.0606601717798212</v>
      </c>
      <c r="T232" s="130">
        <v>1.0606601717798212</v>
      </c>
      <c r="U232" s="130">
        <v>1.0606601717798212</v>
      </c>
      <c r="V232" s="130">
        <v>1.0606601717798212</v>
      </c>
      <c r="W232" s="130">
        <v>1.0606601717798212</v>
      </c>
      <c r="X232" s="130">
        <v>1.0606601717798212</v>
      </c>
      <c r="Y232" s="130">
        <v>1.0606601717798212</v>
      </c>
      <c r="Z232" s="130">
        <v>1.0606601717798212</v>
      </c>
      <c r="AA232" s="130">
        <v>1.0606601717798212</v>
      </c>
      <c r="AB232" s="130">
        <v>1.0606601717798212</v>
      </c>
      <c r="AC232" s="130">
        <v>1.0606601717798212</v>
      </c>
      <c r="AD232" s="130">
        <v>1.0606601717798212</v>
      </c>
      <c r="AE232" s="130">
        <v>1.0606601717798212</v>
      </c>
      <c r="AF232" s="130">
        <v>1.0606601717798212</v>
      </c>
      <c r="AG232" s="130">
        <v>1.0606601717798212</v>
      </c>
    </row>
    <row r="233" spans="6:33" ht="16.5" thickTop="1" thickBot="1">
      <c r="F233" s="138"/>
      <c r="G233" s="36"/>
      <c r="H233" s="162"/>
      <c r="I233" s="36"/>
      <c r="J233" s="120"/>
      <c r="K233" s="37" t="s">
        <v>156</v>
      </c>
      <c r="L233" s="167" t="s">
        <v>47</v>
      </c>
      <c r="M233" s="130">
        <v>1.193242693252299</v>
      </c>
      <c r="N233" s="130">
        <v>1.193242693252299</v>
      </c>
      <c r="O233" s="130">
        <v>1.193242693252299</v>
      </c>
      <c r="P233" s="130">
        <v>1.193242693252299</v>
      </c>
      <c r="Q233" s="130">
        <v>1.193242693252299</v>
      </c>
      <c r="R233" s="130">
        <v>1.193242693252299</v>
      </c>
      <c r="S233" s="130">
        <v>1.193242693252299</v>
      </c>
      <c r="T233" s="130">
        <v>1.193242693252299</v>
      </c>
      <c r="U233" s="130">
        <v>1.193242693252299</v>
      </c>
      <c r="V233" s="130">
        <v>1.193242693252299</v>
      </c>
      <c r="W233" s="130">
        <v>1.193242693252299</v>
      </c>
      <c r="X233" s="130">
        <v>1.193242693252299</v>
      </c>
      <c r="Y233" s="130">
        <v>1.193242693252299</v>
      </c>
      <c r="Z233" s="130">
        <v>1.193242693252299</v>
      </c>
      <c r="AA233" s="130">
        <v>1.193242693252299</v>
      </c>
      <c r="AB233" s="130">
        <v>1.193242693252299</v>
      </c>
      <c r="AC233" s="130">
        <v>1.193242693252299</v>
      </c>
      <c r="AD233" s="130">
        <v>1.193242693252299</v>
      </c>
      <c r="AE233" s="130">
        <v>1.193242693252299</v>
      </c>
      <c r="AF233" s="130">
        <v>1.193242693252299</v>
      </c>
      <c r="AG233" s="130">
        <v>1.193242693252299</v>
      </c>
    </row>
    <row r="234" spans="6:33" ht="16.5" thickTop="1" thickBot="1">
      <c r="F234" s="138"/>
      <c r="G234" s="36"/>
      <c r="H234" s="162"/>
      <c r="I234" s="36"/>
      <c r="J234" s="120"/>
      <c r="K234" s="37" t="s">
        <v>157</v>
      </c>
      <c r="L234" s="167" t="s">
        <v>47</v>
      </c>
      <c r="M234" s="130">
        <v>1.3423980299088363</v>
      </c>
      <c r="N234" s="130">
        <v>1.3423980299088363</v>
      </c>
      <c r="O234" s="130">
        <v>1.3423980299088363</v>
      </c>
      <c r="P234" s="130">
        <v>1.3423980299088363</v>
      </c>
      <c r="Q234" s="130">
        <v>1.3423980299088363</v>
      </c>
      <c r="R234" s="130">
        <v>1.3423980299088363</v>
      </c>
      <c r="S234" s="130">
        <v>1.3423980299088363</v>
      </c>
      <c r="T234" s="130">
        <v>1.3423980299088363</v>
      </c>
      <c r="U234" s="130">
        <v>1.3423980299088363</v>
      </c>
      <c r="V234" s="130">
        <v>1.3423980299088363</v>
      </c>
      <c r="W234" s="130">
        <v>1.3423980299088363</v>
      </c>
      <c r="X234" s="130">
        <v>1.3423980299088363</v>
      </c>
      <c r="Y234" s="130">
        <v>1.3423980299088363</v>
      </c>
      <c r="Z234" s="130">
        <v>1.3423980299088363</v>
      </c>
      <c r="AA234" s="130">
        <v>1.3423980299088363</v>
      </c>
      <c r="AB234" s="130">
        <v>1.3423980299088363</v>
      </c>
      <c r="AC234" s="130">
        <v>1.3423980299088363</v>
      </c>
      <c r="AD234" s="130">
        <v>1.3423980299088363</v>
      </c>
      <c r="AE234" s="130">
        <v>1.3423980299088363</v>
      </c>
      <c r="AF234" s="130">
        <v>1.3423980299088363</v>
      </c>
      <c r="AG234" s="130">
        <v>1.3423980299088363</v>
      </c>
    </row>
    <row r="235" spans="6:33" ht="16.5" thickTop="1" thickBot="1">
      <c r="F235" s="138"/>
      <c r="G235" s="36"/>
      <c r="H235" s="162"/>
      <c r="I235" s="36"/>
      <c r="J235" s="120"/>
      <c r="K235" s="37" t="s">
        <v>158</v>
      </c>
      <c r="L235" s="167" t="s">
        <v>47</v>
      </c>
      <c r="M235" s="130">
        <v>1.510197783647441</v>
      </c>
      <c r="N235" s="130">
        <v>1.510197783647441</v>
      </c>
      <c r="O235" s="130">
        <v>1.510197783647441</v>
      </c>
      <c r="P235" s="130">
        <v>1.510197783647441</v>
      </c>
      <c r="Q235" s="130">
        <v>1.510197783647441</v>
      </c>
      <c r="R235" s="130">
        <v>1.510197783647441</v>
      </c>
      <c r="S235" s="130">
        <v>1.510197783647441</v>
      </c>
      <c r="T235" s="130">
        <v>1.510197783647441</v>
      </c>
      <c r="U235" s="130">
        <v>1.510197783647441</v>
      </c>
      <c r="V235" s="130">
        <v>1.510197783647441</v>
      </c>
      <c r="W235" s="130">
        <v>1.510197783647441</v>
      </c>
      <c r="X235" s="130">
        <v>1.510197783647441</v>
      </c>
      <c r="Y235" s="130">
        <v>1.510197783647441</v>
      </c>
      <c r="Z235" s="130">
        <v>1.510197783647441</v>
      </c>
      <c r="AA235" s="130">
        <v>1.510197783647441</v>
      </c>
      <c r="AB235" s="130">
        <v>1.510197783647441</v>
      </c>
      <c r="AC235" s="130">
        <v>1.510197783647441</v>
      </c>
      <c r="AD235" s="130">
        <v>1.510197783647441</v>
      </c>
      <c r="AE235" s="130">
        <v>1.510197783647441</v>
      </c>
      <c r="AF235" s="130">
        <v>1.510197783647441</v>
      </c>
      <c r="AG235" s="130">
        <v>1.510197783647441</v>
      </c>
    </row>
    <row r="236" spans="6:33" ht="16.5" thickTop="1" thickBot="1">
      <c r="F236" s="138"/>
      <c r="G236" s="36"/>
      <c r="H236" s="162"/>
      <c r="I236" s="36"/>
      <c r="J236" s="120"/>
      <c r="K236" s="37" t="s">
        <v>159</v>
      </c>
      <c r="L236" s="167" t="s">
        <v>47</v>
      </c>
      <c r="M236" s="130">
        <v>1.698972506603371</v>
      </c>
      <c r="N236" s="130">
        <v>1.698972506603371</v>
      </c>
      <c r="O236" s="130">
        <v>1.698972506603371</v>
      </c>
      <c r="P236" s="130">
        <v>1.698972506603371</v>
      </c>
      <c r="Q236" s="130">
        <v>1.698972506603371</v>
      </c>
      <c r="R236" s="130">
        <v>1.698972506603371</v>
      </c>
      <c r="S236" s="130">
        <v>1.698972506603371</v>
      </c>
      <c r="T236" s="130">
        <v>1.698972506603371</v>
      </c>
      <c r="U236" s="130">
        <v>1.698972506603371</v>
      </c>
      <c r="V236" s="130">
        <v>1.698972506603371</v>
      </c>
      <c r="W236" s="130">
        <v>1.698972506603371</v>
      </c>
      <c r="X236" s="130">
        <v>1.698972506603371</v>
      </c>
      <c r="Y236" s="130">
        <v>1.698972506603371</v>
      </c>
      <c r="Z236" s="130">
        <v>1.698972506603371</v>
      </c>
      <c r="AA236" s="130">
        <v>1.698972506603371</v>
      </c>
      <c r="AB236" s="130">
        <v>1.698972506603371</v>
      </c>
      <c r="AC236" s="130">
        <v>1.698972506603371</v>
      </c>
      <c r="AD236" s="130">
        <v>1.698972506603371</v>
      </c>
      <c r="AE236" s="130">
        <v>1.698972506603371</v>
      </c>
      <c r="AF236" s="130">
        <v>1.698972506603371</v>
      </c>
      <c r="AG236" s="130">
        <v>1.698972506603371</v>
      </c>
    </row>
    <row r="237" spans="6:33" ht="16.5" thickTop="1" thickBot="1">
      <c r="F237" s="138"/>
      <c r="G237" s="36"/>
      <c r="H237" s="162"/>
      <c r="I237" s="36"/>
      <c r="J237" s="120"/>
      <c r="K237" s="37" t="s">
        <v>160</v>
      </c>
      <c r="L237" s="167" t="s">
        <v>47</v>
      </c>
      <c r="M237" s="130">
        <v>1.9113440699287922</v>
      </c>
      <c r="N237" s="130">
        <v>1.9113440699287922</v>
      </c>
      <c r="O237" s="130">
        <v>1.9113440699287922</v>
      </c>
      <c r="P237" s="130">
        <v>1.9113440699287922</v>
      </c>
      <c r="Q237" s="130">
        <v>1.9113440699287922</v>
      </c>
      <c r="R237" s="130">
        <v>1.9113440699287922</v>
      </c>
      <c r="S237" s="130">
        <v>1.9113440699287922</v>
      </c>
      <c r="T237" s="130">
        <v>1.9113440699287922</v>
      </c>
      <c r="U237" s="130">
        <v>1.9113440699287922</v>
      </c>
      <c r="V237" s="130">
        <v>1.9113440699287922</v>
      </c>
      <c r="W237" s="130">
        <v>1.9113440699287922</v>
      </c>
      <c r="X237" s="130">
        <v>1.9113440699287922</v>
      </c>
      <c r="Y237" s="130">
        <v>1.9113440699287922</v>
      </c>
      <c r="Z237" s="130">
        <v>1.9113440699287922</v>
      </c>
      <c r="AA237" s="130">
        <v>1.9113440699287922</v>
      </c>
      <c r="AB237" s="130">
        <v>1.9113440699287922</v>
      </c>
      <c r="AC237" s="130">
        <v>1.9113440699287922</v>
      </c>
      <c r="AD237" s="130">
        <v>1.9113440699287922</v>
      </c>
      <c r="AE237" s="130">
        <v>1.9113440699287922</v>
      </c>
      <c r="AF237" s="130">
        <v>1.9113440699287922</v>
      </c>
      <c r="AG237" s="130">
        <v>1.9113440699287922</v>
      </c>
    </row>
    <row r="238" spans="6:33" ht="16.5" thickTop="1" thickBot="1">
      <c r="F238" s="138"/>
      <c r="G238" s="36"/>
      <c r="H238" s="162"/>
      <c r="I238" s="36"/>
      <c r="J238" s="120"/>
      <c r="K238" s="37" t="s">
        <v>161</v>
      </c>
      <c r="L238" s="167" t="s">
        <v>47</v>
      </c>
      <c r="M238" s="130">
        <v>2.1502620786698916</v>
      </c>
      <c r="N238" s="130">
        <v>2.1502620786698916</v>
      </c>
      <c r="O238" s="130">
        <v>2.1502620786698916</v>
      </c>
      <c r="P238" s="130">
        <v>2.1502620786698916</v>
      </c>
      <c r="Q238" s="130">
        <v>2.1502620786698916</v>
      </c>
      <c r="R238" s="130">
        <v>2.1502620786698916</v>
      </c>
      <c r="S238" s="130">
        <v>2.1502620786698916</v>
      </c>
      <c r="T238" s="130">
        <v>2.1502620786698916</v>
      </c>
      <c r="U238" s="130">
        <v>2.1502620786698916</v>
      </c>
      <c r="V238" s="130">
        <v>2.1502620786698916</v>
      </c>
      <c r="W238" s="130">
        <v>2.1502620786698916</v>
      </c>
      <c r="X238" s="130">
        <v>2.1502620786698916</v>
      </c>
      <c r="Y238" s="130">
        <v>2.1502620786698916</v>
      </c>
      <c r="Z238" s="130">
        <v>2.1502620786698916</v>
      </c>
      <c r="AA238" s="130">
        <v>2.1502620786698916</v>
      </c>
      <c r="AB238" s="130">
        <v>2.1502620786698916</v>
      </c>
      <c r="AC238" s="130">
        <v>2.1502620786698916</v>
      </c>
      <c r="AD238" s="130">
        <v>2.1502620786698916</v>
      </c>
      <c r="AE238" s="130">
        <v>2.1502620786698916</v>
      </c>
      <c r="AF238" s="130">
        <v>2.1502620786698916</v>
      </c>
      <c r="AG238" s="130">
        <v>2.1502620786698916</v>
      </c>
    </row>
    <row r="239" spans="6:33" ht="16.5" thickTop="1" thickBot="1">
      <c r="F239" s="138"/>
      <c r="G239" s="36"/>
      <c r="H239" s="162"/>
      <c r="I239" s="36"/>
      <c r="J239" s="120"/>
      <c r="K239" s="37" t="s">
        <v>162</v>
      </c>
      <c r="L239" s="167" t="s">
        <v>47</v>
      </c>
      <c r="M239" s="130">
        <v>2.4190448385036278</v>
      </c>
      <c r="N239" s="130">
        <v>2.4190448385036278</v>
      </c>
      <c r="O239" s="130">
        <v>2.4190448385036278</v>
      </c>
      <c r="P239" s="130">
        <v>2.4190448385036278</v>
      </c>
      <c r="Q239" s="130">
        <v>2.4190448385036278</v>
      </c>
      <c r="R239" s="130">
        <v>2.4190448385036278</v>
      </c>
      <c r="S239" s="130">
        <v>2.4190448385036278</v>
      </c>
      <c r="T239" s="130">
        <v>2.4190448385036278</v>
      </c>
      <c r="U239" s="130">
        <v>2.4190448385036278</v>
      </c>
      <c r="V239" s="130">
        <v>2.4190448385036278</v>
      </c>
      <c r="W239" s="130">
        <v>2.4190448385036278</v>
      </c>
      <c r="X239" s="130">
        <v>2.4190448385036278</v>
      </c>
      <c r="Y239" s="130">
        <v>2.4190448385036278</v>
      </c>
      <c r="Z239" s="130">
        <v>2.4190448385036278</v>
      </c>
      <c r="AA239" s="130">
        <v>2.4190448385036278</v>
      </c>
      <c r="AB239" s="130">
        <v>2.4190448385036278</v>
      </c>
      <c r="AC239" s="130">
        <v>2.4190448385036278</v>
      </c>
      <c r="AD239" s="130">
        <v>2.4190448385036278</v>
      </c>
      <c r="AE239" s="130">
        <v>2.4190448385036278</v>
      </c>
      <c r="AF239" s="130">
        <v>2.4190448385036278</v>
      </c>
      <c r="AG239" s="130">
        <v>2.4190448385036278</v>
      </c>
    </row>
    <row r="240" spans="6:33" ht="16.5" thickTop="1" thickBot="1">
      <c r="F240" s="138"/>
      <c r="G240" s="36"/>
      <c r="H240" s="162"/>
      <c r="I240" s="36"/>
      <c r="J240" s="120"/>
      <c r="K240" s="37" t="s">
        <v>163</v>
      </c>
      <c r="L240" s="167" t="s">
        <v>47</v>
      </c>
      <c r="M240" s="130">
        <v>2.7214254433165812</v>
      </c>
      <c r="N240" s="130">
        <v>2.7214254433165812</v>
      </c>
      <c r="O240" s="130">
        <v>2.7214254433165812</v>
      </c>
      <c r="P240" s="130">
        <v>2.7214254433165812</v>
      </c>
      <c r="Q240" s="130">
        <v>2.7214254433165812</v>
      </c>
      <c r="R240" s="130">
        <v>2.7214254433165812</v>
      </c>
      <c r="S240" s="130">
        <v>2.7214254433165812</v>
      </c>
      <c r="T240" s="130">
        <v>2.7214254433165812</v>
      </c>
      <c r="U240" s="130">
        <v>2.7214254433165812</v>
      </c>
      <c r="V240" s="130">
        <v>2.7214254433165812</v>
      </c>
      <c r="W240" s="130">
        <v>2.7214254433165812</v>
      </c>
      <c r="X240" s="130">
        <v>2.7214254433165812</v>
      </c>
      <c r="Y240" s="130">
        <v>2.7214254433165812</v>
      </c>
      <c r="Z240" s="130">
        <v>2.7214254433165812</v>
      </c>
      <c r="AA240" s="130">
        <v>2.7214254433165812</v>
      </c>
      <c r="AB240" s="130">
        <v>2.7214254433165812</v>
      </c>
      <c r="AC240" s="130">
        <v>2.7214254433165812</v>
      </c>
      <c r="AD240" s="130">
        <v>2.7214254433165812</v>
      </c>
      <c r="AE240" s="130">
        <v>2.7214254433165812</v>
      </c>
      <c r="AF240" s="130">
        <v>2.7214254433165812</v>
      </c>
      <c r="AG240" s="130">
        <v>2.7214254433165812</v>
      </c>
    </row>
    <row r="241" spans="6:33" ht="16.5" thickTop="1" thickBot="1">
      <c r="F241" s="138"/>
      <c r="G241" s="36"/>
      <c r="H241" s="162"/>
      <c r="I241" s="36"/>
      <c r="J241" s="120"/>
      <c r="K241" s="37" t="s">
        <v>164</v>
      </c>
      <c r="L241" s="167" t="s">
        <v>47</v>
      </c>
      <c r="M241" s="130">
        <v>3.0616036237311541</v>
      </c>
      <c r="N241" s="130">
        <v>3.0616036237311541</v>
      </c>
      <c r="O241" s="130">
        <v>3.0616036237311541</v>
      </c>
      <c r="P241" s="130">
        <v>3.0616036237311541</v>
      </c>
      <c r="Q241" s="130">
        <v>3.0616036237311541</v>
      </c>
      <c r="R241" s="130">
        <v>3.0616036237311541</v>
      </c>
      <c r="S241" s="130">
        <v>3.0616036237311541</v>
      </c>
      <c r="T241" s="130">
        <v>3.0616036237311541</v>
      </c>
      <c r="U241" s="130">
        <v>3.0616036237311541</v>
      </c>
      <c r="V241" s="130">
        <v>3.0616036237311541</v>
      </c>
      <c r="W241" s="130">
        <v>3.0616036237311541</v>
      </c>
      <c r="X241" s="130">
        <v>3.0616036237311541</v>
      </c>
      <c r="Y241" s="130">
        <v>3.0616036237311541</v>
      </c>
      <c r="Z241" s="130">
        <v>3.0616036237311541</v>
      </c>
      <c r="AA241" s="130">
        <v>3.0616036237311541</v>
      </c>
      <c r="AB241" s="130">
        <v>3.0616036237311541</v>
      </c>
      <c r="AC241" s="130">
        <v>3.0616036237311541</v>
      </c>
      <c r="AD241" s="130">
        <v>3.0616036237311541</v>
      </c>
      <c r="AE241" s="130">
        <v>3.0616036237311541</v>
      </c>
      <c r="AF241" s="130">
        <v>3.0616036237311541</v>
      </c>
      <c r="AG241" s="130">
        <v>3.0616036237311541</v>
      </c>
    </row>
    <row r="242" spans="6:33" ht="16.5" thickTop="1" thickBot="1">
      <c r="F242" s="138"/>
      <c r="G242" s="36"/>
      <c r="H242" s="162"/>
      <c r="I242" s="36"/>
      <c r="J242" s="120"/>
      <c r="K242" s="37" t="s">
        <v>165</v>
      </c>
      <c r="L242" s="167" t="s">
        <v>47</v>
      </c>
      <c r="M242" s="130">
        <v>1.0606601717798212</v>
      </c>
      <c r="N242" s="130">
        <v>1.0606601717798212</v>
      </c>
      <c r="O242" s="130">
        <v>1.0606601717798212</v>
      </c>
      <c r="P242" s="130">
        <v>1.0606601717798212</v>
      </c>
      <c r="Q242" s="130">
        <v>1.0606601717798212</v>
      </c>
      <c r="R242" s="130">
        <v>1.0606601717798212</v>
      </c>
      <c r="S242" s="130">
        <v>1.0606601717798212</v>
      </c>
      <c r="T242" s="130">
        <v>1.0606601717798212</v>
      </c>
      <c r="U242" s="130">
        <v>1.0606601717798212</v>
      </c>
      <c r="V242" s="130">
        <v>1.0606601717798212</v>
      </c>
      <c r="W242" s="130">
        <v>1.0606601717798212</v>
      </c>
      <c r="X242" s="130">
        <v>1.0606601717798212</v>
      </c>
      <c r="Y242" s="130">
        <v>1.0606601717798212</v>
      </c>
      <c r="Z242" s="130">
        <v>1.0606601717798212</v>
      </c>
      <c r="AA242" s="130">
        <v>1.0606601717798212</v>
      </c>
      <c r="AB242" s="130">
        <v>1.0606601717798212</v>
      </c>
      <c r="AC242" s="130">
        <v>1.0606601717798212</v>
      </c>
      <c r="AD242" s="130">
        <v>1.0606601717798212</v>
      </c>
      <c r="AE242" s="130">
        <v>1.0606601717798212</v>
      </c>
      <c r="AF242" s="130">
        <v>1.0606601717798212</v>
      </c>
      <c r="AG242" s="130">
        <v>1.0606601717798212</v>
      </c>
    </row>
    <row r="243" spans="6:33" ht="16.5" thickTop="1" thickBot="1">
      <c r="F243" s="138"/>
      <c r="G243" s="36"/>
      <c r="H243" s="162"/>
      <c r="I243" s="36"/>
      <c r="J243" s="120"/>
      <c r="K243" s="37" t="s">
        <v>155</v>
      </c>
      <c r="L243" s="37" t="s">
        <v>46</v>
      </c>
      <c r="M243" s="130">
        <v>1.0606601717798212</v>
      </c>
      <c r="N243" s="130">
        <v>1.0606601717798212</v>
      </c>
      <c r="O243" s="130">
        <v>1.0606601717798212</v>
      </c>
      <c r="P243" s="130">
        <v>1.0606601717798212</v>
      </c>
      <c r="Q243" s="130">
        <v>1.0606601717798212</v>
      </c>
      <c r="R243" s="130">
        <v>1.0606601717798212</v>
      </c>
      <c r="S243" s="130">
        <v>1.0606601717798212</v>
      </c>
      <c r="T243" s="130">
        <v>1.0606601717798212</v>
      </c>
      <c r="U243" s="130">
        <v>1.0606601717798212</v>
      </c>
      <c r="V243" s="130">
        <v>1.0606601717798212</v>
      </c>
      <c r="W243" s="130">
        <v>1.0606601717798212</v>
      </c>
      <c r="X243" s="130">
        <v>1.0606601717798212</v>
      </c>
      <c r="Y243" s="130">
        <v>1.0606601717798212</v>
      </c>
      <c r="Z243" s="130">
        <v>1.0606601717798212</v>
      </c>
      <c r="AA243" s="130">
        <v>1.0606601717798212</v>
      </c>
      <c r="AB243" s="130">
        <v>1.0606601717798212</v>
      </c>
      <c r="AC243" s="130">
        <v>1.0606601717798212</v>
      </c>
      <c r="AD243" s="130">
        <v>1.0606601717798212</v>
      </c>
      <c r="AE243" s="130">
        <v>1.0606601717798212</v>
      </c>
      <c r="AF243" s="130">
        <v>1.0606601717798212</v>
      </c>
      <c r="AG243" s="130">
        <v>1.0606601717798212</v>
      </c>
    </row>
    <row r="244" spans="6:33" ht="16.5" thickTop="1" thickBot="1">
      <c r="F244" s="138"/>
      <c r="G244" s="36"/>
      <c r="H244" s="162"/>
      <c r="I244" s="36"/>
      <c r="J244" s="120"/>
      <c r="K244" s="37" t="s">
        <v>156</v>
      </c>
      <c r="L244" s="37" t="s">
        <v>46</v>
      </c>
      <c r="M244" s="130">
        <v>1.193242693252299</v>
      </c>
      <c r="N244" s="130">
        <v>1.193242693252299</v>
      </c>
      <c r="O244" s="130">
        <v>1.193242693252299</v>
      </c>
      <c r="P244" s="130">
        <v>1.193242693252299</v>
      </c>
      <c r="Q244" s="130">
        <v>1.193242693252299</v>
      </c>
      <c r="R244" s="130">
        <v>1.193242693252299</v>
      </c>
      <c r="S244" s="130">
        <v>1.193242693252299</v>
      </c>
      <c r="T244" s="130">
        <v>1.193242693252299</v>
      </c>
      <c r="U244" s="130">
        <v>1.193242693252299</v>
      </c>
      <c r="V244" s="130">
        <v>1.193242693252299</v>
      </c>
      <c r="W244" s="130">
        <v>1.193242693252299</v>
      </c>
      <c r="X244" s="130">
        <v>1.193242693252299</v>
      </c>
      <c r="Y244" s="130">
        <v>1.193242693252299</v>
      </c>
      <c r="Z244" s="130">
        <v>1.193242693252299</v>
      </c>
      <c r="AA244" s="130">
        <v>1.193242693252299</v>
      </c>
      <c r="AB244" s="130">
        <v>1.193242693252299</v>
      </c>
      <c r="AC244" s="130">
        <v>1.193242693252299</v>
      </c>
      <c r="AD244" s="130">
        <v>1.193242693252299</v>
      </c>
      <c r="AE244" s="130">
        <v>1.193242693252299</v>
      </c>
      <c r="AF244" s="130">
        <v>1.193242693252299</v>
      </c>
      <c r="AG244" s="130">
        <v>1.193242693252299</v>
      </c>
    </row>
    <row r="245" spans="6:33" ht="16.5" thickTop="1" thickBot="1">
      <c r="F245" s="138"/>
      <c r="G245" s="36"/>
      <c r="H245" s="162"/>
      <c r="I245" s="36"/>
      <c r="J245" s="120"/>
      <c r="K245" s="37" t="s">
        <v>157</v>
      </c>
      <c r="L245" s="37" t="s">
        <v>46</v>
      </c>
      <c r="M245" s="130">
        <v>1.3423980299088363</v>
      </c>
      <c r="N245" s="130">
        <v>1.3423980299088363</v>
      </c>
      <c r="O245" s="130">
        <v>1.3423980299088363</v>
      </c>
      <c r="P245" s="130">
        <v>1.3423980299088363</v>
      </c>
      <c r="Q245" s="130">
        <v>1.3423980299088363</v>
      </c>
      <c r="R245" s="130">
        <v>1.3423980299088363</v>
      </c>
      <c r="S245" s="130">
        <v>1.3423980299088363</v>
      </c>
      <c r="T245" s="130">
        <v>1.3423980299088363</v>
      </c>
      <c r="U245" s="130">
        <v>1.3423980299088363</v>
      </c>
      <c r="V245" s="130">
        <v>1.3423980299088363</v>
      </c>
      <c r="W245" s="130">
        <v>1.3423980299088363</v>
      </c>
      <c r="X245" s="130">
        <v>1.3423980299088363</v>
      </c>
      <c r="Y245" s="130">
        <v>1.3423980299088363</v>
      </c>
      <c r="Z245" s="130">
        <v>1.3423980299088363</v>
      </c>
      <c r="AA245" s="130">
        <v>1.3423980299088363</v>
      </c>
      <c r="AB245" s="130">
        <v>1.3423980299088363</v>
      </c>
      <c r="AC245" s="130">
        <v>1.3423980299088363</v>
      </c>
      <c r="AD245" s="130">
        <v>1.3423980299088363</v>
      </c>
      <c r="AE245" s="130">
        <v>1.3423980299088363</v>
      </c>
      <c r="AF245" s="130">
        <v>1.3423980299088363</v>
      </c>
      <c r="AG245" s="130">
        <v>1.3423980299088363</v>
      </c>
    </row>
    <row r="246" spans="6:33" ht="16.5" thickTop="1" thickBot="1">
      <c r="F246" s="138"/>
      <c r="G246" s="36"/>
      <c r="H246" s="162"/>
      <c r="I246" s="36"/>
      <c r="J246" s="120"/>
      <c r="K246" s="37" t="s">
        <v>158</v>
      </c>
      <c r="L246" s="37" t="s">
        <v>46</v>
      </c>
      <c r="M246" s="130">
        <v>1.510197783647441</v>
      </c>
      <c r="N246" s="130">
        <v>1.510197783647441</v>
      </c>
      <c r="O246" s="130">
        <v>1.510197783647441</v>
      </c>
      <c r="P246" s="130">
        <v>1.510197783647441</v>
      </c>
      <c r="Q246" s="130">
        <v>1.510197783647441</v>
      </c>
      <c r="R246" s="130">
        <v>1.510197783647441</v>
      </c>
      <c r="S246" s="130">
        <v>1.510197783647441</v>
      </c>
      <c r="T246" s="130">
        <v>1.510197783647441</v>
      </c>
      <c r="U246" s="130">
        <v>1.510197783647441</v>
      </c>
      <c r="V246" s="130">
        <v>1.510197783647441</v>
      </c>
      <c r="W246" s="130">
        <v>1.510197783647441</v>
      </c>
      <c r="X246" s="130">
        <v>1.510197783647441</v>
      </c>
      <c r="Y246" s="130">
        <v>1.510197783647441</v>
      </c>
      <c r="Z246" s="130">
        <v>1.510197783647441</v>
      </c>
      <c r="AA246" s="130">
        <v>1.510197783647441</v>
      </c>
      <c r="AB246" s="130">
        <v>1.510197783647441</v>
      </c>
      <c r="AC246" s="130">
        <v>1.510197783647441</v>
      </c>
      <c r="AD246" s="130">
        <v>1.510197783647441</v>
      </c>
      <c r="AE246" s="130">
        <v>1.510197783647441</v>
      </c>
      <c r="AF246" s="130">
        <v>1.510197783647441</v>
      </c>
      <c r="AG246" s="130">
        <v>1.510197783647441</v>
      </c>
    </row>
    <row r="247" spans="6:33" ht="16.5" thickTop="1" thickBot="1">
      <c r="F247" s="138"/>
      <c r="G247" s="36"/>
      <c r="H247" s="162"/>
      <c r="I247" s="36"/>
      <c r="J247" s="120"/>
      <c r="K247" s="37" t="s">
        <v>159</v>
      </c>
      <c r="L247" s="37" t="s">
        <v>46</v>
      </c>
      <c r="M247" s="130">
        <v>1.698972506603371</v>
      </c>
      <c r="N247" s="130">
        <v>1.698972506603371</v>
      </c>
      <c r="O247" s="130">
        <v>1.698972506603371</v>
      </c>
      <c r="P247" s="130">
        <v>1.698972506603371</v>
      </c>
      <c r="Q247" s="130">
        <v>1.698972506603371</v>
      </c>
      <c r="R247" s="130">
        <v>1.698972506603371</v>
      </c>
      <c r="S247" s="130">
        <v>1.698972506603371</v>
      </c>
      <c r="T247" s="130">
        <v>1.698972506603371</v>
      </c>
      <c r="U247" s="130">
        <v>1.698972506603371</v>
      </c>
      <c r="V247" s="130">
        <v>1.698972506603371</v>
      </c>
      <c r="W247" s="130">
        <v>1.698972506603371</v>
      </c>
      <c r="X247" s="130">
        <v>1.698972506603371</v>
      </c>
      <c r="Y247" s="130">
        <v>1.698972506603371</v>
      </c>
      <c r="Z247" s="130">
        <v>1.698972506603371</v>
      </c>
      <c r="AA247" s="130">
        <v>1.698972506603371</v>
      </c>
      <c r="AB247" s="130">
        <v>1.698972506603371</v>
      </c>
      <c r="AC247" s="130">
        <v>1.698972506603371</v>
      </c>
      <c r="AD247" s="130">
        <v>1.698972506603371</v>
      </c>
      <c r="AE247" s="130">
        <v>1.698972506603371</v>
      </c>
      <c r="AF247" s="130">
        <v>1.698972506603371</v>
      </c>
      <c r="AG247" s="130">
        <v>1.698972506603371</v>
      </c>
    </row>
    <row r="248" spans="6:33" ht="16.5" thickTop="1" thickBot="1">
      <c r="F248" s="138"/>
      <c r="G248" s="36"/>
      <c r="H248" s="162"/>
      <c r="I248" s="36"/>
      <c r="J248" s="120"/>
      <c r="K248" s="37" t="s">
        <v>160</v>
      </c>
      <c r="L248" s="37" t="s">
        <v>46</v>
      </c>
      <c r="M248" s="130">
        <v>1.9113440699287922</v>
      </c>
      <c r="N248" s="130">
        <v>1.9113440699287922</v>
      </c>
      <c r="O248" s="130">
        <v>1.9113440699287922</v>
      </c>
      <c r="P248" s="130">
        <v>1.9113440699287922</v>
      </c>
      <c r="Q248" s="130">
        <v>1.9113440699287922</v>
      </c>
      <c r="R248" s="130">
        <v>1.9113440699287922</v>
      </c>
      <c r="S248" s="130">
        <v>1.9113440699287922</v>
      </c>
      <c r="T248" s="130">
        <v>1.9113440699287922</v>
      </c>
      <c r="U248" s="130">
        <v>1.9113440699287922</v>
      </c>
      <c r="V248" s="130">
        <v>1.9113440699287922</v>
      </c>
      <c r="W248" s="130">
        <v>1.9113440699287922</v>
      </c>
      <c r="X248" s="130">
        <v>1.9113440699287922</v>
      </c>
      <c r="Y248" s="130">
        <v>1.9113440699287922</v>
      </c>
      <c r="Z248" s="130">
        <v>1.9113440699287922</v>
      </c>
      <c r="AA248" s="130">
        <v>1.9113440699287922</v>
      </c>
      <c r="AB248" s="130">
        <v>1.9113440699287922</v>
      </c>
      <c r="AC248" s="130">
        <v>1.9113440699287922</v>
      </c>
      <c r="AD248" s="130">
        <v>1.9113440699287922</v>
      </c>
      <c r="AE248" s="130">
        <v>1.9113440699287922</v>
      </c>
      <c r="AF248" s="130">
        <v>1.9113440699287922</v>
      </c>
      <c r="AG248" s="130">
        <v>1.9113440699287922</v>
      </c>
    </row>
    <row r="249" spans="6:33" ht="16.5" thickTop="1" thickBot="1">
      <c r="F249" s="138"/>
      <c r="G249" s="36"/>
      <c r="H249" s="162"/>
      <c r="I249" s="36"/>
      <c r="J249" s="120"/>
      <c r="K249" s="37" t="s">
        <v>161</v>
      </c>
      <c r="L249" s="37" t="s">
        <v>46</v>
      </c>
      <c r="M249" s="130">
        <v>2.1502620786698916</v>
      </c>
      <c r="N249" s="130">
        <v>2.1502620786698916</v>
      </c>
      <c r="O249" s="130">
        <v>2.1502620786698916</v>
      </c>
      <c r="P249" s="130">
        <v>2.1502620786698916</v>
      </c>
      <c r="Q249" s="130">
        <v>2.1502620786698916</v>
      </c>
      <c r="R249" s="130">
        <v>2.1502620786698916</v>
      </c>
      <c r="S249" s="130">
        <v>2.1502620786698916</v>
      </c>
      <c r="T249" s="130">
        <v>2.1502620786698916</v>
      </c>
      <c r="U249" s="130">
        <v>2.1502620786698916</v>
      </c>
      <c r="V249" s="130">
        <v>2.1502620786698916</v>
      </c>
      <c r="W249" s="130">
        <v>2.1502620786698916</v>
      </c>
      <c r="X249" s="130">
        <v>2.1502620786698916</v>
      </c>
      <c r="Y249" s="130">
        <v>2.1502620786698916</v>
      </c>
      <c r="Z249" s="130">
        <v>2.1502620786698916</v>
      </c>
      <c r="AA249" s="130">
        <v>2.1502620786698916</v>
      </c>
      <c r="AB249" s="130">
        <v>2.1502620786698916</v>
      </c>
      <c r="AC249" s="130">
        <v>2.1502620786698916</v>
      </c>
      <c r="AD249" s="130">
        <v>2.1502620786698916</v>
      </c>
      <c r="AE249" s="130">
        <v>2.1502620786698916</v>
      </c>
      <c r="AF249" s="130">
        <v>2.1502620786698916</v>
      </c>
      <c r="AG249" s="130">
        <v>2.1502620786698916</v>
      </c>
    </row>
    <row r="250" spans="6:33" ht="16.5" thickTop="1" thickBot="1">
      <c r="F250" s="138"/>
      <c r="G250" s="36"/>
      <c r="H250" s="162"/>
      <c r="I250" s="36"/>
      <c r="J250" s="120"/>
      <c r="K250" s="37" t="s">
        <v>162</v>
      </c>
      <c r="L250" s="37" t="s">
        <v>46</v>
      </c>
      <c r="M250" s="130">
        <v>2.4190448385036278</v>
      </c>
      <c r="N250" s="130">
        <v>2.4190448385036278</v>
      </c>
      <c r="O250" s="130">
        <v>2.4190448385036278</v>
      </c>
      <c r="P250" s="130">
        <v>2.4190448385036278</v>
      </c>
      <c r="Q250" s="130">
        <v>2.4190448385036278</v>
      </c>
      <c r="R250" s="130">
        <v>2.4190448385036278</v>
      </c>
      <c r="S250" s="130">
        <v>2.4190448385036278</v>
      </c>
      <c r="T250" s="130">
        <v>2.4190448385036278</v>
      </c>
      <c r="U250" s="130">
        <v>2.4190448385036278</v>
      </c>
      <c r="V250" s="130">
        <v>2.4190448385036278</v>
      </c>
      <c r="W250" s="130">
        <v>2.4190448385036278</v>
      </c>
      <c r="X250" s="130">
        <v>2.4190448385036278</v>
      </c>
      <c r="Y250" s="130">
        <v>2.4190448385036278</v>
      </c>
      <c r="Z250" s="130">
        <v>2.4190448385036278</v>
      </c>
      <c r="AA250" s="130">
        <v>2.4190448385036278</v>
      </c>
      <c r="AB250" s="130">
        <v>2.4190448385036278</v>
      </c>
      <c r="AC250" s="130">
        <v>2.4190448385036278</v>
      </c>
      <c r="AD250" s="130">
        <v>2.4190448385036278</v>
      </c>
      <c r="AE250" s="130">
        <v>2.4190448385036278</v>
      </c>
      <c r="AF250" s="130">
        <v>2.4190448385036278</v>
      </c>
      <c r="AG250" s="130">
        <v>2.4190448385036278</v>
      </c>
    </row>
    <row r="251" spans="6:33" ht="16.5" thickTop="1" thickBot="1">
      <c r="F251" s="138"/>
      <c r="G251" s="36"/>
      <c r="H251" s="162"/>
      <c r="I251" s="36"/>
      <c r="J251" s="120"/>
      <c r="K251" s="37" t="s">
        <v>163</v>
      </c>
      <c r="L251" s="37" t="s">
        <v>46</v>
      </c>
      <c r="M251" s="130">
        <v>2.7214254433165812</v>
      </c>
      <c r="N251" s="130">
        <v>2.7214254433165812</v>
      </c>
      <c r="O251" s="130">
        <v>2.7214254433165812</v>
      </c>
      <c r="P251" s="130">
        <v>2.7214254433165812</v>
      </c>
      <c r="Q251" s="130">
        <v>2.7214254433165812</v>
      </c>
      <c r="R251" s="130">
        <v>2.7214254433165812</v>
      </c>
      <c r="S251" s="130">
        <v>2.7214254433165812</v>
      </c>
      <c r="T251" s="130">
        <v>2.7214254433165812</v>
      </c>
      <c r="U251" s="130">
        <v>2.7214254433165812</v>
      </c>
      <c r="V251" s="130">
        <v>2.7214254433165812</v>
      </c>
      <c r="W251" s="130">
        <v>2.7214254433165812</v>
      </c>
      <c r="X251" s="130">
        <v>2.7214254433165812</v>
      </c>
      <c r="Y251" s="130">
        <v>2.7214254433165812</v>
      </c>
      <c r="Z251" s="130">
        <v>2.7214254433165812</v>
      </c>
      <c r="AA251" s="130">
        <v>2.7214254433165812</v>
      </c>
      <c r="AB251" s="130">
        <v>2.7214254433165812</v>
      </c>
      <c r="AC251" s="130">
        <v>2.7214254433165812</v>
      </c>
      <c r="AD251" s="130">
        <v>2.7214254433165812</v>
      </c>
      <c r="AE251" s="130">
        <v>2.7214254433165812</v>
      </c>
      <c r="AF251" s="130">
        <v>2.7214254433165812</v>
      </c>
      <c r="AG251" s="130">
        <v>2.7214254433165812</v>
      </c>
    </row>
    <row r="252" spans="6:33" ht="16.5" thickTop="1" thickBot="1">
      <c r="F252" s="138"/>
      <c r="G252" s="36"/>
      <c r="H252" s="162"/>
      <c r="I252" s="36"/>
      <c r="J252" s="120"/>
      <c r="K252" s="37" t="s">
        <v>164</v>
      </c>
      <c r="L252" s="37" t="s">
        <v>46</v>
      </c>
      <c r="M252" s="130">
        <v>3.0616036237311541</v>
      </c>
      <c r="N252" s="130">
        <v>3.0616036237311541</v>
      </c>
      <c r="O252" s="130">
        <v>3.0616036237311541</v>
      </c>
      <c r="P252" s="130">
        <v>3.0616036237311541</v>
      </c>
      <c r="Q252" s="130">
        <v>3.0616036237311541</v>
      </c>
      <c r="R252" s="130">
        <v>3.0616036237311541</v>
      </c>
      <c r="S252" s="130">
        <v>3.0616036237311541</v>
      </c>
      <c r="T252" s="130">
        <v>3.0616036237311541</v>
      </c>
      <c r="U252" s="130">
        <v>3.0616036237311541</v>
      </c>
      <c r="V252" s="130">
        <v>3.0616036237311541</v>
      </c>
      <c r="W252" s="130">
        <v>3.0616036237311541</v>
      </c>
      <c r="X252" s="130">
        <v>3.0616036237311541</v>
      </c>
      <c r="Y252" s="130">
        <v>3.0616036237311541</v>
      </c>
      <c r="Z252" s="130">
        <v>3.0616036237311541</v>
      </c>
      <c r="AA252" s="130">
        <v>3.0616036237311541</v>
      </c>
      <c r="AB252" s="130">
        <v>3.0616036237311541</v>
      </c>
      <c r="AC252" s="130">
        <v>3.0616036237311541</v>
      </c>
      <c r="AD252" s="130">
        <v>3.0616036237311541</v>
      </c>
      <c r="AE252" s="130">
        <v>3.0616036237311541</v>
      </c>
      <c r="AF252" s="130">
        <v>3.0616036237311541</v>
      </c>
      <c r="AG252" s="130">
        <v>3.0616036237311541</v>
      </c>
    </row>
    <row r="253" spans="6:33" ht="16.5" thickTop="1" thickBot="1">
      <c r="F253" s="138"/>
      <c r="G253" s="36"/>
      <c r="H253" s="162"/>
      <c r="I253" s="36"/>
      <c r="J253" s="120"/>
      <c r="K253" s="37" t="s">
        <v>165</v>
      </c>
      <c r="L253" s="37" t="s">
        <v>46</v>
      </c>
      <c r="M253" s="130">
        <v>1.0606601717798212</v>
      </c>
      <c r="N253" s="130">
        <v>1.0606601717798212</v>
      </c>
      <c r="O253" s="130">
        <v>1.0606601717798212</v>
      </c>
      <c r="P253" s="130">
        <v>1.0606601717798212</v>
      </c>
      <c r="Q253" s="130">
        <v>1.0606601717798212</v>
      </c>
      <c r="R253" s="130">
        <v>1.0606601717798212</v>
      </c>
      <c r="S253" s="130">
        <v>1.0606601717798212</v>
      </c>
      <c r="T253" s="130">
        <v>1.0606601717798212</v>
      </c>
      <c r="U253" s="130">
        <v>1.0606601717798212</v>
      </c>
      <c r="V253" s="130">
        <v>1.0606601717798212</v>
      </c>
      <c r="W253" s="130">
        <v>1.0606601717798212</v>
      </c>
      <c r="X253" s="130">
        <v>1.0606601717798212</v>
      </c>
      <c r="Y253" s="130">
        <v>1.0606601717798212</v>
      </c>
      <c r="Z253" s="130">
        <v>1.0606601717798212</v>
      </c>
      <c r="AA253" s="130">
        <v>1.0606601717798212</v>
      </c>
      <c r="AB253" s="130">
        <v>1.0606601717798212</v>
      </c>
      <c r="AC253" s="130">
        <v>1.0606601717798212</v>
      </c>
      <c r="AD253" s="130">
        <v>1.0606601717798212</v>
      </c>
      <c r="AE253" s="130">
        <v>1.0606601717798212</v>
      </c>
      <c r="AF253" s="130">
        <v>1.0606601717798212</v>
      </c>
      <c r="AG253" s="130">
        <v>1.0606601717798212</v>
      </c>
    </row>
    <row r="254" spans="6:33" ht="16.5" thickTop="1" thickBot="1">
      <c r="F254" s="138"/>
      <c r="G254" s="36"/>
      <c r="H254" s="162"/>
      <c r="I254" s="36"/>
      <c r="J254" s="120"/>
      <c r="K254" s="37" t="s">
        <v>155</v>
      </c>
      <c r="L254" s="37" t="s">
        <v>45</v>
      </c>
      <c r="M254" s="130">
        <v>1.0606601717798212</v>
      </c>
      <c r="N254" s="130">
        <v>1.0606601717798212</v>
      </c>
      <c r="O254" s="130">
        <v>1.0606601717798212</v>
      </c>
      <c r="P254" s="130">
        <v>1.0606601717798212</v>
      </c>
      <c r="Q254" s="130">
        <v>1.0606601717798212</v>
      </c>
      <c r="R254" s="130">
        <v>1.0606601717798212</v>
      </c>
      <c r="S254" s="130">
        <v>1.0606601717798212</v>
      </c>
      <c r="T254" s="130">
        <v>1.0606601717798212</v>
      </c>
      <c r="U254" s="130">
        <v>1.0606601717798212</v>
      </c>
      <c r="V254" s="130">
        <v>1.0606601717798212</v>
      </c>
      <c r="W254" s="130">
        <v>1.0606601717798212</v>
      </c>
      <c r="X254" s="130">
        <v>1.0606601717798212</v>
      </c>
      <c r="Y254" s="130">
        <v>1.0606601717798212</v>
      </c>
      <c r="Z254" s="130">
        <v>1.0606601717798212</v>
      </c>
      <c r="AA254" s="130">
        <v>1.0606601717798212</v>
      </c>
      <c r="AB254" s="130">
        <v>1.0606601717798212</v>
      </c>
      <c r="AC254" s="130">
        <v>1.0606601717798212</v>
      </c>
      <c r="AD254" s="130">
        <v>1.0606601717798212</v>
      </c>
      <c r="AE254" s="130">
        <v>1.0606601717798212</v>
      </c>
      <c r="AF254" s="130">
        <v>1.0606601717798212</v>
      </c>
      <c r="AG254" s="130">
        <v>1.0606601717798212</v>
      </c>
    </row>
    <row r="255" spans="6:33" ht="16.5" thickTop="1" thickBot="1">
      <c r="F255" s="138"/>
      <c r="G255" s="36"/>
      <c r="H255" s="162"/>
      <c r="I255" s="36"/>
      <c r="J255" s="120"/>
      <c r="K255" s="37" t="s">
        <v>156</v>
      </c>
      <c r="L255" s="37" t="s">
        <v>45</v>
      </c>
      <c r="M255" s="130">
        <v>1.193242693252299</v>
      </c>
      <c r="N255" s="130">
        <v>1.193242693252299</v>
      </c>
      <c r="O255" s="130">
        <v>1.193242693252299</v>
      </c>
      <c r="P255" s="130">
        <v>1.193242693252299</v>
      </c>
      <c r="Q255" s="130">
        <v>1.193242693252299</v>
      </c>
      <c r="R255" s="130">
        <v>1.193242693252299</v>
      </c>
      <c r="S255" s="130">
        <v>1.193242693252299</v>
      </c>
      <c r="T255" s="130">
        <v>1.193242693252299</v>
      </c>
      <c r="U255" s="130">
        <v>1.193242693252299</v>
      </c>
      <c r="V255" s="130">
        <v>1.193242693252299</v>
      </c>
      <c r="W255" s="130">
        <v>1.193242693252299</v>
      </c>
      <c r="X255" s="130">
        <v>1.193242693252299</v>
      </c>
      <c r="Y255" s="130">
        <v>1.193242693252299</v>
      </c>
      <c r="Z255" s="130">
        <v>1.193242693252299</v>
      </c>
      <c r="AA255" s="130">
        <v>1.193242693252299</v>
      </c>
      <c r="AB255" s="130">
        <v>1.193242693252299</v>
      </c>
      <c r="AC255" s="130">
        <v>1.193242693252299</v>
      </c>
      <c r="AD255" s="130">
        <v>1.193242693252299</v>
      </c>
      <c r="AE255" s="130">
        <v>1.193242693252299</v>
      </c>
      <c r="AF255" s="130">
        <v>1.193242693252299</v>
      </c>
      <c r="AG255" s="130">
        <v>1.193242693252299</v>
      </c>
    </row>
    <row r="256" spans="6:33" ht="16.5" thickTop="1" thickBot="1">
      <c r="F256" s="138"/>
      <c r="G256" s="36"/>
      <c r="H256" s="162"/>
      <c r="I256" s="36"/>
      <c r="J256" s="120"/>
      <c r="K256" s="37" t="s">
        <v>157</v>
      </c>
      <c r="L256" s="37" t="s">
        <v>45</v>
      </c>
      <c r="M256" s="130">
        <v>1.3423980299088363</v>
      </c>
      <c r="N256" s="130">
        <v>1.3423980299088363</v>
      </c>
      <c r="O256" s="130">
        <v>1.3423980299088363</v>
      </c>
      <c r="P256" s="130">
        <v>1.3423980299088363</v>
      </c>
      <c r="Q256" s="130">
        <v>1.3423980299088363</v>
      </c>
      <c r="R256" s="130">
        <v>1.3423980299088363</v>
      </c>
      <c r="S256" s="130">
        <v>1.3423980299088363</v>
      </c>
      <c r="T256" s="130">
        <v>1.3423980299088363</v>
      </c>
      <c r="U256" s="130">
        <v>1.3423980299088363</v>
      </c>
      <c r="V256" s="130">
        <v>1.3423980299088363</v>
      </c>
      <c r="W256" s="130">
        <v>1.3423980299088363</v>
      </c>
      <c r="X256" s="130">
        <v>1.3423980299088363</v>
      </c>
      <c r="Y256" s="130">
        <v>1.3423980299088363</v>
      </c>
      <c r="Z256" s="130">
        <v>1.3423980299088363</v>
      </c>
      <c r="AA256" s="130">
        <v>1.3423980299088363</v>
      </c>
      <c r="AB256" s="130">
        <v>1.3423980299088363</v>
      </c>
      <c r="AC256" s="130">
        <v>1.3423980299088363</v>
      </c>
      <c r="AD256" s="130">
        <v>1.3423980299088363</v>
      </c>
      <c r="AE256" s="130">
        <v>1.3423980299088363</v>
      </c>
      <c r="AF256" s="130">
        <v>1.3423980299088363</v>
      </c>
      <c r="AG256" s="130">
        <v>1.3423980299088363</v>
      </c>
    </row>
    <row r="257" spans="3:76" ht="16.5" thickTop="1" thickBot="1">
      <c r="C257" s="36"/>
      <c r="D257" s="36"/>
      <c r="E257" s="36"/>
      <c r="F257" s="138"/>
      <c r="G257" s="36"/>
      <c r="H257" s="162"/>
      <c r="I257" s="36"/>
      <c r="J257" s="120"/>
      <c r="K257" s="37" t="s">
        <v>158</v>
      </c>
      <c r="L257" s="37" t="s">
        <v>45</v>
      </c>
      <c r="M257" s="130">
        <v>1.510197783647441</v>
      </c>
      <c r="N257" s="130">
        <v>1.510197783647441</v>
      </c>
      <c r="O257" s="130">
        <v>1.510197783647441</v>
      </c>
      <c r="P257" s="130">
        <v>1.510197783647441</v>
      </c>
      <c r="Q257" s="130">
        <v>1.510197783647441</v>
      </c>
      <c r="R257" s="130">
        <v>1.510197783647441</v>
      </c>
      <c r="S257" s="130">
        <v>1.510197783647441</v>
      </c>
      <c r="T257" s="130">
        <v>1.510197783647441</v>
      </c>
      <c r="U257" s="130">
        <v>1.510197783647441</v>
      </c>
      <c r="V257" s="130">
        <v>1.510197783647441</v>
      </c>
      <c r="W257" s="130">
        <v>1.510197783647441</v>
      </c>
      <c r="X257" s="130">
        <v>1.510197783647441</v>
      </c>
      <c r="Y257" s="130">
        <v>1.510197783647441</v>
      </c>
      <c r="Z257" s="130">
        <v>1.510197783647441</v>
      </c>
      <c r="AA257" s="130">
        <v>1.510197783647441</v>
      </c>
      <c r="AB257" s="130">
        <v>1.510197783647441</v>
      </c>
      <c r="AC257" s="130">
        <v>1.510197783647441</v>
      </c>
      <c r="AD257" s="130">
        <v>1.510197783647441</v>
      </c>
      <c r="AE257" s="130">
        <v>1.510197783647441</v>
      </c>
      <c r="AF257" s="130">
        <v>1.510197783647441</v>
      </c>
      <c r="AG257" s="130">
        <v>1.510197783647441</v>
      </c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</row>
    <row r="258" spans="3:76" ht="16.5" thickTop="1" thickBot="1">
      <c r="C258" s="36"/>
      <c r="D258" s="36"/>
      <c r="E258" s="36"/>
      <c r="F258" s="138"/>
      <c r="G258" s="36"/>
      <c r="H258" s="162"/>
      <c r="I258" s="36"/>
      <c r="J258" s="120"/>
      <c r="K258" s="37" t="s">
        <v>159</v>
      </c>
      <c r="L258" s="37" t="s">
        <v>45</v>
      </c>
      <c r="M258" s="130">
        <v>1.698972506603371</v>
      </c>
      <c r="N258" s="130">
        <v>1.698972506603371</v>
      </c>
      <c r="O258" s="130">
        <v>1.698972506603371</v>
      </c>
      <c r="P258" s="130">
        <v>1.698972506603371</v>
      </c>
      <c r="Q258" s="130">
        <v>1.698972506603371</v>
      </c>
      <c r="R258" s="130">
        <v>1.698972506603371</v>
      </c>
      <c r="S258" s="130">
        <v>1.698972506603371</v>
      </c>
      <c r="T258" s="130">
        <v>1.698972506603371</v>
      </c>
      <c r="U258" s="130">
        <v>1.698972506603371</v>
      </c>
      <c r="V258" s="130">
        <v>1.698972506603371</v>
      </c>
      <c r="W258" s="130">
        <v>1.698972506603371</v>
      </c>
      <c r="X258" s="130">
        <v>1.698972506603371</v>
      </c>
      <c r="Y258" s="130">
        <v>1.698972506603371</v>
      </c>
      <c r="Z258" s="130">
        <v>1.698972506603371</v>
      </c>
      <c r="AA258" s="130">
        <v>1.698972506603371</v>
      </c>
      <c r="AB258" s="130">
        <v>1.698972506603371</v>
      </c>
      <c r="AC258" s="130">
        <v>1.698972506603371</v>
      </c>
      <c r="AD258" s="130">
        <v>1.698972506603371</v>
      </c>
      <c r="AE258" s="130">
        <v>1.698972506603371</v>
      </c>
      <c r="AF258" s="130">
        <v>1.698972506603371</v>
      </c>
      <c r="AG258" s="130">
        <v>1.698972506603371</v>
      </c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</row>
    <row r="259" spans="3:76" ht="16.5" thickTop="1" thickBot="1">
      <c r="C259" s="36"/>
      <c r="D259" s="36"/>
      <c r="E259" s="36"/>
      <c r="F259" s="138"/>
      <c r="G259" s="36"/>
      <c r="H259" s="162"/>
      <c r="I259" s="36"/>
      <c r="J259" s="120"/>
      <c r="K259" s="37" t="s">
        <v>160</v>
      </c>
      <c r="L259" s="37" t="s">
        <v>45</v>
      </c>
      <c r="M259" s="130">
        <v>1.9113440699287922</v>
      </c>
      <c r="N259" s="130">
        <v>1.9113440699287922</v>
      </c>
      <c r="O259" s="130">
        <v>1.9113440699287922</v>
      </c>
      <c r="P259" s="130">
        <v>1.9113440699287922</v>
      </c>
      <c r="Q259" s="130">
        <v>1.9113440699287922</v>
      </c>
      <c r="R259" s="130">
        <v>1.9113440699287922</v>
      </c>
      <c r="S259" s="130">
        <v>1.9113440699287922</v>
      </c>
      <c r="T259" s="130">
        <v>1.9113440699287922</v>
      </c>
      <c r="U259" s="130">
        <v>1.9113440699287922</v>
      </c>
      <c r="V259" s="130">
        <v>1.9113440699287922</v>
      </c>
      <c r="W259" s="130">
        <v>1.9113440699287922</v>
      </c>
      <c r="X259" s="130">
        <v>1.9113440699287922</v>
      </c>
      <c r="Y259" s="130">
        <v>1.9113440699287922</v>
      </c>
      <c r="Z259" s="130">
        <v>1.9113440699287922</v>
      </c>
      <c r="AA259" s="130">
        <v>1.9113440699287922</v>
      </c>
      <c r="AB259" s="130">
        <v>1.9113440699287922</v>
      </c>
      <c r="AC259" s="130">
        <v>1.9113440699287922</v>
      </c>
      <c r="AD259" s="130">
        <v>1.9113440699287922</v>
      </c>
      <c r="AE259" s="130">
        <v>1.9113440699287922</v>
      </c>
      <c r="AF259" s="130">
        <v>1.9113440699287922</v>
      </c>
      <c r="AG259" s="130">
        <v>1.9113440699287922</v>
      </c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</row>
    <row r="260" spans="3:76" ht="16.5" thickTop="1" thickBot="1">
      <c r="C260" s="36"/>
      <c r="D260" s="36"/>
      <c r="E260" s="36"/>
      <c r="F260" s="138"/>
      <c r="G260" s="36"/>
      <c r="H260" s="162"/>
      <c r="I260" s="36"/>
      <c r="J260" s="120"/>
      <c r="K260" s="37" t="s">
        <v>161</v>
      </c>
      <c r="L260" s="37" t="s">
        <v>45</v>
      </c>
      <c r="M260" s="130">
        <v>2.1502620786698916</v>
      </c>
      <c r="N260" s="130">
        <v>2.1502620786698916</v>
      </c>
      <c r="O260" s="130">
        <v>2.1502620786698916</v>
      </c>
      <c r="P260" s="130">
        <v>2.1502620786698916</v>
      </c>
      <c r="Q260" s="130">
        <v>2.1502620786698916</v>
      </c>
      <c r="R260" s="130">
        <v>2.1502620786698916</v>
      </c>
      <c r="S260" s="130">
        <v>2.1502620786698916</v>
      </c>
      <c r="T260" s="130">
        <v>2.1502620786698916</v>
      </c>
      <c r="U260" s="130">
        <v>2.1502620786698916</v>
      </c>
      <c r="V260" s="130">
        <v>2.1502620786698916</v>
      </c>
      <c r="W260" s="130">
        <v>2.1502620786698916</v>
      </c>
      <c r="X260" s="130">
        <v>2.1502620786698916</v>
      </c>
      <c r="Y260" s="130">
        <v>2.1502620786698916</v>
      </c>
      <c r="Z260" s="130">
        <v>2.1502620786698916</v>
      </c>
      <c r="AA260" s="130">
        <v>2.1502620786698916</v>
      </c>
      <c r="AB260" s="130">
        <v>2.1502620786698916</v>
      </c>
      <c r="AC260" s="130">
        <v>2.1502620786698916</v>
      </c>
      <c r="AD260" s="130">
        <v>2.1502620786698916</v>
      </c>
      <c r="AE260" s="130">
        <v>2.1502620786698916</v>
      </c>
      <c r="AF260" s="130">
        <v>2.1502620786698916</v>
      </c>
      <c r="AG260" s="130">
        <v>2.1502620786698916</v>
      </c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</row>
    <row r="261" spans="3:76" ht="16.5" thickTop="1" thickBot="1">
      <c r="C261" s="36"/>
      <c r="D261" s="36"/>
      <c r="E261" s="36"/>
      <c r="F261" s="138"/>
      <c r="G261" s="36"/>
      <c r="H261" s="162"/>
      <c r="I261" s="36"/>
      <c r="J261" s="120"/>
      <c r="K261" s="37" t="s">
        <v>162</v>
      </c>
      <c r="L261" s="37" t="s">
        <v>45</v>
      </c>
      <c r="M261" s="130">
        <v>2.4190448385036278</v>
      </c>
      <c r="N261" s="130">
        <v>2.4190448385036278</v>
      </c>
      <c r="O261" s="130">
        <v>2.4190448385036278</v>
      </c>
      <c r="P261" s="130">
        <v>2.4190448385036278</v>
      </c>
      <c r="Q261" s="130">
        <v>2.4190448385036278</v>
      </c>
      <c r="R261" s="130">
        <v>2.4190448385036278</v>
      </c>
      <c r="S261" s="130">
        <v>2.4190448385036278</v>
      </c>
      <c r="T261" s="130">
        <v>2.4190448385036278</v>
      </c>
      <c r="U261" s="130">
        <v>2.4190448385036278</v>
      </c>
      <c r="V261" s="130">
        <v>2.4190448385036278</v>
      </c>
      <c r="W261" s="130">
        <v>2.4190448385036278</v>
      </c>
      <c r="X261" s="130">
        <v>2.4190448385036278</v>
      </c>
      <c r="Y261" s="130">
        <v>2.4190448385036278</v>
      </c>
      <c r="Z261" s="130">
        <v>2.4190448385036278</v>
      </c>
      <c r="AA261" s="130">
        <v>2.4190448385036278</v>
      </c>
      <c r="AB261" s="130">
        <v>2.4190448385036278</v>
      </c>
      <c r="AC261" s="130">
        <v>2.4190448385036278</v>
      </c>
      <c r="AD261" s="130">
        <v>2.4190448385036278</v>
      </c>
      <c r="AE261" s="130">
        <v>2.4190448385036278</v>
      </c>
      <c r="AF261" s="130">
        <v>2.4190448385036278</v>
      </c>
      <c r="AG261" s="130">
        <v>2.4190448385036278</v>
      </c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</row>
    <row r="262" spans="3:76" ht="16.5" thickTop="1" thickBot="1">
      <c r="C262" s="36"/>
      <c r="D262" s="36"/>
      <c r="E262" s="36"/>
      <c r="F262" s="138"/>
      <c r="G262" s="36"/>
      <c r="H262" s="162"/>
      <c r="I262" s="36"/>
      <c r="J262" s="120"/>
      <c r="K262" s="37" t="s">
        <v>163</v>
      </c>
      <c r="L262" s="37" t="s">
        <v>45</v>
      </c>
      <c r="M262" s="130">
        <v>2.7214254433165812</v>
      </c>
      <c r="N262" s="130">
        <v>2.7214254433165812</v>
      </c>
      <c r="O262" s="130">
        <v>2.7214254433165812</v>
      </c>
      <c r="P262" s="130">
        <v>2.7214254433165812</v>
      </c>
      <c r="Q262" s="130">
        <v>2.7214254433165812</v>
      </c>
      <c r="R262" s="130">
        <v>2.7214254433165812</v>
      </c>
      <c r="S262" s="130">
        <v>2.7214254433165812</v>
      </c>
      <c r="T262" s="130">
        <v>2.7214254433165812</v>
      </c>
      <c r="U262" s="130">
        <v>2.7214254433165812</v>
      </c>
      <c r="V262" s="130">
        <v>2.7214254433165812</v>
      </c>
      <c r="W262" s="130">
        <v>2.7214254433165812</v>
      </c>
      <c r="X262" s="130">
        <v>2.7214254433165812</v>
      </c>
      <c r="Y262" s="130">
        <v>2.7214254433165812</v>
      </c>
      <c r="Z262" s="130">
        <v>2.7214254433165812</v>
      </c>
      <c r="AA262" s="130">
        <v>2.7214254433165812</v>
      </c>
      <c r="AB262" s="130">
        <v>2.7214254433165812</v>
      </c>
      <c r="AC262" s="130">
        <v>2.7214254433165812</v>
      </c>
      <c r="AD262" s="130">
        <v>2.7214254433165812</v>
      </c>
      <c r="AE262" s="130">
        <v>2.7214254433165812</v>
      </c>
      <c r="AF262" s="130">
        <v>2.7214254433165812</v>
      </c>
      <c r="AG262" s="130">
        <v>2.7214254433165812</v>
      </c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</row>
    <row r="263" spans="3:76" ht="16.5" thickTop="1" thickBot="1">
      <c r="C263" s="36"/>
      <c r="D263" s="36"/>
      <c r="E263" s="36"/>
      <c r="F263" s="138"/>
      <c r="G263" s="36"/>
      <c r="H263" s="162"/>
      <c r="I263" s="36"/>
      <c r="J263" s="120"/>
      <c r="K263" s="37" t="s">
        <v>164</v>
      </c>
      <c r="L263" s="37" t="s">
        <v>45</v>
      </c>
      <c r="M263" s="130">
        <v>3.0616036237311541</v>
      </c>
      <c r="N263" s="130">
        <v>3.0616036237311541</v>
      </c>
      <c r="O263" s="130">
        <v>3.0616036237311541</v>
      </c>
      <c r="P263" s="130">
        <v>3.0616036237311541</v>
      </c>
      <c r="Q263" s="130">
        <v>3.0616036237311541</v>
      </c>
      <c r="R263" s="130">
        <v>3.0616036237311541</v>
      </c>
      <c r="S263" s="130">
        <v>3.0616036237311541</v>
      </c>
      <c r="T263" s="130">
        <v>3.0616036237311541</v>
      </c>
      <c r="U263" s="130">
        <v>3.0616036237311541</v>
      </c>
      <c r="V263" s="130">
        <v>3.0616036237311541</v>
      </c>
      <c r="W263" s="130">
        <v>3.0616036237311541</v>
      </c>
      <c r="X263" s="130">
        <v>3.0616036237311541</v>
      </c>
      <c r="Y263" s="130">
        <v>3.0616036237311541</v>
      </c>
      <c r="Z263" s="130">
        <v>3.0616036237311541</v>
      </c>
      <c r="AA263" s="130">
        <v>3.0616036237311541</v>
      </c>
      <c r="AB263" s="130">
        <v>3.0616036237311541</v>
      </c>
      <c r="AC263" s="130">
        <v>3.0616036237311541</v>
      </c>
      <c r="AD263" s="130">
        <v>3.0616036237311541</v>
      </c>
      <c r="AE263" s="130">
        <v>3.0616036237311541</v>
      </c>
      <c r="AF263" s="130">
        <v>3.0616036237311541</v>
      </c>
      <c r="AG263" s="130">
        <v>3.0616036237311541</v>
      </c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</row>
    <row r="264" spans="3:76" ht="15.75" thickTop="1">
      <c r="C264" s="36"/>
      <c r="D264" s="36"/>
      <c r="E264" s="36"/>
      <c r="F264" s="138"/>
      <c r="G264" s="36"/>
      <c r="H264" s="162"/>
      <c r="I264" s="36"/>
      <c r="J264" s="120"/>
      <c r="K264" s="37" t="s">
        <v>165</v>
      </c>
      <c r="L264" s="37" t="s">
        <v>45</v>
      </c>
      <c r="M264" s="130">
        <v>1.0606601717798212</v>
      </c>
      <c r="N264" s="130">
        <v>1.0606601717798212</v>
      </c>
      <c r="O264" s="130">
        <v>1.0606601717798212</v>
      </c>
      <c r="P264" s="130">
        <v>1.0606601717798212</v>
      </c>
      <c r="Q264" s="130">
        <v>1.0606601717798212</v>
      </c>
      <c r="R264" s="130">
        <v>1.0606601717798212</v>
      </c>
      <c r="S264" s="130">
        <v>1.0606601717798212</v>
      </c>
      <c r="T264" s="130">
        <v>1.0606601717798212</v>
      </c>
      <c r="U264" s="130">
        <v>1.0606601717798212</v>
      </c>
      <c r="V264" s="130">
        <v>1.0606601717798212</v>
      </c>
      <c r="W264" s="130">
        <v>1.0606601717798212</v>
      </c>
      <c r="X264" s="130">
        <v>1.0606601717798212</v>
      </c>
      <c r="Y264" s="130">
        <v>1.0606601717798212</v>
      </c>
      <c r="Z264" s="130">
        <v>1.0606601717798212</v>
      </c>
      <c r="AA264" s="130">
        <v>1.0606601717798212</v>
      </c>
      <c r="AB264" s="130">
        <v>1.0606601717798212</v>
      </c>
      <c r="AC264" s="130">
        <v>1.0606601717798212</v>
      </c>
      <c r="AD264" s="130">
        <v>1.0606601717798212</v>
      </c>
      <c r="AE264" s="130">
        <v>1.0606601717798212</v>
      </c>
      <c r="AF264" s="130">
        <v>1.0606601717798212</v>
      </c>
      <c r="AG264" s="130">
        <v>1.0606601717798212</v>
      </c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</row>
    <row r="265" spans="3:76"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</row>
    <row r="267" spans="3:76">
      <c r="C267" s="97" t="s">
        <v>40</v>
      </c>
      <c r="D267" s="36"/>
      <c r="E267" s="36"/>
      <c r="F267" s="36"/>
      <c r="G267" s="32" t="s">
        <v>166</v>
      </c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161"/>
      <c r="W267" s="161"/>
      <c r="X267" s="161"/>
      <c r="Y267" s="161"/>
      <c r="Z267" s="105"/>
      <c r="AA267" s="105"/>
      <c r="AB267" s="105"/>
      <c r="AC267" s="105"/>
      <c r="AD267" s="105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</row>
    <row r="269" spans="3:76">
      <c r="C269" s="36"/>
      <c r="D269" s="36"/>
      <c r="E269" s="36"/>
      <c r="F269" s="36"/>
      <c r="G269" s="36"/>
      <c r="H269" s="25" t="s">
        <v>167</v>
      </c>
      <c r="I269" s="25"/>
      <c r="J269" s="25"/>
      <c r="K269" s="25"/>
      <c r="L269" s="25"/>
      <c r="M269" s="25"/>
      <c r="N269" s="23" t="s">
        <v>168</v>
      </c>
      <c r="O269" s="23"/>
      <c r="P269" s="23"/>
      <c r="Q269" s="23"/>
      <c r="R269" s="23"/>
      <c r="S269" s="139" t="s">
        <v>169</v>
      </c>
      <c r="T269" s="139" t="s">
        <v>170</v>
      </c>
      <c r="U269" s="157"/>
      <c r="V269" s="158"/>
      <c r="W269" s="158"/>
      <c r="X269" s="158"/>
      <c r="Y269" s="158"/>
      <c r="Z269" s="158"/>
      <c r="AA269" s="158"/>
      <c r="AB269" s="158"/>
      <c r="AC269" s="158"/>
      <c r="AD269" s="159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</row>
    <row r="270" spans="3:76">
      <c r="C270" s="36"/>
      <c r="D270" s="36"/>
      <c r="E270" s="36"/>
      <c r="F270" s="36"/>
      <c r="G270" s="36"/>
      <c r="H270" s="29" t="s">
        <v>117</v>
      </c>
      <c r="I270" s="29"/>
      <c r="J270" s="29"/>
      <c r="K270" s="29"/>
      <c r="L270" s="29"/>
      <c r="M270" s="29"/>
      <c r="N270" s="140" t="s">
        <v>171</v>
      </c>
      <c r="O270" s="141"/>
      <c r="P270" s="141"/>
      <c r="Q270" s="141"/>
      <c r="R270" s="141"/>
      <c r="S270" s="143"/>
      <c r="T270" s="143"/>
      <c r="U270" s="141"/>
      <c r="V270" s="141"/>
      <c r="W270" s="141"/>
      <c r="X270" s="141"/>
      <c r="Y270" s="141"/>
      <c r="Z270" s="141"/>
      <c r="AA270" s="141"/>
      <c r="AB270" s="141"/>
      <c r="AC270" s="141"/>
      <c r="AD270" s="142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</row>
    <row r="271" spans="3:76">
      <c r="C271" s="36"/>
      <c r="D271" s="36"/>
      <c r="E271" s="36"/>
      <c r="F271" s="36"/>
      <c r="G271" s="36"/>
      <c r="H271" s="24" t="s">
        <v>120</v>
      </c>
      <c r="I271" s="24"/>
      <c r="J271" s="24"/>
      <c r="K271" s="24"/>
      <c r="L271" s="24"/>
      <c r="M271" s="24"/>
      <c r="N271" s="140" t="s">
        <v>172</v>
      </c>
      <c r="O271" s="141"/>
      <c r="P271" s="141"/>
      <c r="Q271" s="141"/>
      <c r="R271" s="141"/>
      <c r="S271" s="143"/>
      <c r="T271" s="143"/>
      <c r="U271" s="141"/>
      <c r="V271" s="141"/>
      <c r="W271" s="141"/>
      <c r="X271" s="141"/>
      <c r="Y271" s="141"/>
      <c r="Z271" s="141"/>
      <c r="AA271" s="141"/>
      <c r="AB271" s="141"/>
      <c r="AC271" s="141"/>
      <c r="AD271" s="142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</row>
    <row r="272" spans="3:76">
      <c r="C272" s="36"/>
      <c r="D272" s="36"/>
      <c r="E272" s="36"/>
      <c r="F272" s="36"/>
      <c r="G272" s="36"/>
      <c r="H272" s="29" t="s">
        <v>123</v>
      </c>
      <c r="I272" s="29"/>
      <c r="J272" s="29"/>
      <c r="K272" s="29"/>
      <c r="L272" s="29"/>
      <c r="M272" s="29"/>
      <c r="N272" s="140" t="s">
        <v>171</v>
      </c>
      <c r="O272" s="141"/>
      <c r="P272" s="141"/>
      <c r="Q272" s="141"/>
      <c r="R272" s="141"/>
      <c r="S272" s="143"/>
      <c r="T272" s="143"/>
      <c r="U272" s="141"/>
      <c r="V272" s="141"/>
      <c r="W272" s="141"/>
      <c r="X272" s="141"/>
      <c r="Y272" s="141"/>
      <c r="Z272" s="141"/>
      <c r="AA272" s="141"/>
      <c r="AB272" s="141"/>
      <c r="AC272" s="141"/>
      <c r="AD272" s="142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</row>
    <row r="273" spans="8:30">
      <c r="H273" s="29" t="s">
        <v>173</v>
      </c>
      <c r="I273" s="29"/>
      <c r="J273" s="29"/>
      <c r="K273" s="29"/>
      <c r="L273" s="29"/>
      <c r="M273" s="29"/>
      <c r="N273" s="140" t="s">
        <v>171</v>
      </c>
      <c r="O273" s="141"/>
      <c r="P273" s="141"/>
      <c r="Q273" s="141"/>
      <c r="R273" s="141"/>
      <c r="S273" s="143"/>
      <c r="T273" s="143"/>
      <c r="U273" s="141"/>
      <c r="V273" s="141"/>
      <c r="W273" s="141"/>
      <c r="X273" s="141"/>
      <c r="Y273" s="141"/>
      <c r="Z273" s="141"/>
      <c r="AA273" s="141"/>
      <c r="AB273" s="141"/>
      <c r="AC273" s="141"/>
      <c r="AD273" s="142"/>
    </row>
    <row r="274" spans="8:30">
      <c r="H274" s="29" t="s">
        <v>174</v>
      </c>
      <c r="I274" s="29"/>
      <c r="J274" s="29"/>
      <c r="K274" s="29"/>
      <c r="L274" s="29"/>
      <c r="M274" s="29"/>
      <c r="N274" s="140" t="s">
        <v>171</v>
      </c>
      <c r="O274" s="141"/>
      <c r="P274" s="141"/>
      <c r="Q274" s="141"/>
      <c r="R274" s="141"/>
      <c r="S274" s="143"/>
      <c r="T274" s="143"/>
      <c r="U274" s="141"/>
      <c r="V274" s="141"/>
      <c r="W274" s="141"/>
      <c r="X274" s="141"/>
      <c r="Y274" s="141"/>
      <c r="Z274" s="141"/>
      <c r="AA274" s="141"/>
      <c r="AB274" s="141"/>
      <c r="AC274" s="141"/>
      <c r="AD274" s="142"/>
    </row>
    <row r="275" spans="8:30">
      <c r="H275" s="29" t="s">
        <v>126</v>
      </c>
      <c r="I275" s="29"/>
      <c r="J275" s="29"/>
      <c r="K275" s="29"/>
      <c r="L275" s="29"/>
      <c r="M275" s="29"/>
      <c r="N275" s="140" t="s">
        <v>171</v>
      </c>
      <c r="O275" s="141"/>
      <c r="P275" s="141"/>
      <c r="Q275" s="141"/>
      <c r="R275" s="141"/>
      <c r="S275" s="143"/>
      <c r="T275" s="143"/>
      <c r="U275" s="141"/>
      <c r="V275" s="141"/>
      <c r="W275" s="141"/>
      <c r="X275" s="141"/>
      <c r="Y275" s="141"/>
      <c r="Z275" s="141"/>
      <c r="AA275" s="141"/>
      <c r="AB275" s="141"/>
      <c r="AC275" s="141"/>
      <c r="AD275" s="142"/>
    </row>
    <row r="276" spans="8:30">
      <c r="H276" s="29" t="s">
        <v>175</v>
      </c>
      <c r="I276" s="29"/>
      <c r="J276" s="29"/>
      <c r="K276" s="29"/>
      <c r="L276" s="29"/>
      <c r="M276" s="29"/>
      <c r="N276" s="157" t="s">
        <v>176</v>
      </c>
      <c r="O276" s="158"/>
      <c r="P276" s="158"/>
      <c r="Q276" s="158"/>
      <c r="R276" s="158"/>
      <c r="S276" s="166"/>
      <c r="T276" s="166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9"/>
    </row>
    <row r="277" spans="8:30">
      <c r="H277" s="26"/>
      <c r="I277" s="26"/>
      <c r="J277" s="26"/>
      <c r="K277" s="26"/>
      <c r="L277" s="26"/>
      <c r="M277" s="26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  <c r="AA277" s="174"/>
      <c r="AB277" s="174"/>
      <c r="AC277" s="174"/>
      <c r="AD277" s="174"/>
    </row>
    <row r="278" spans="8:30">
      <c r="H278" s="25" t="s">
        <v>177</v>
      </c>
      <c r="I278" s="25"/>
      <c r="J278" s="25"/>
      <c r="K278" s="25"/>
      <c r="L278" s="25"/>
      <c r="M278" s="25"/>
      <c r="N278" s="23" t="s">
        <v>168</v>
      </c>
      <c r="O278" s="23"/>
      <c r="P278" s="23"/>
      <c r="Q278" s="23"/>
      <c r="R278" s="23"/>
      <c r="S278" s="139" t="s">
        <v>169</v>
      </c>
      <c r="T278" s="139" t="s">
        <v>170</v>
      </c>
      <c r="U278" s="157"/>
      <c r="V278" s="158"/>
      <c r="W278" s="158"/>
      <c r="X278" s="158"/>
      <c r="Y278" s="158"/>
      <c r="Z278" s="158"/>
      <c r="AA278" s="158"/>
      <c r="AB278" s="158"/>
      <c r="AC278" s="158"/>
      <c r="AD278" s="159"/>
    </row>
    <row r="279" spans="8:30">
      <c r="H279" s="29" t="s">
        <v>117</v>
      </c>
      <c r="I279" s="29"/>
      <c r="J279" s="29"/>
      <c r="K279" s="29"/>
      <c r="L279" s="29"/>
      <c r="M279" s="29"/>
      <c r="N279" s="140" t="s">
        <v>171</v>
      </c>
      <c r="O279" s="141"/>
      <c r="P279" s="141"/>
      <c r="Q279" s="141"/>
      <c r="R279" s="141"/>
      <c r="S279" s="143"/>
      <c r="T279" s="143"/>
      <c r="U279" s="141"/>
      <c r="V279" s="141"/>
      <c r="W279" s="141"/>
      <c r="X279" s="141"/>
      <c r="Y279" s="141"/>
      <c r="Z279" s="141"/>
      <c r="AA279" s="141"/>
      <c r="AB279" s="141"/>
      <c r="AC279" s="141"/>
      <c r="AD279" s="142"/>
    </row>
    <row r="280" spans="8:30">
      <c r="H280" s="24" t="s">
        <v>120</v>
      </c>
      <c r="I280" s="24"/>
      <c r="J280" s="24"/>
      <c r="K280" s="24"/>
      <c r="L280" s="24"/>
      <c r="M280" s="24"/>
      <c r="N280" s="140" t="s">
        <v>172</v>
      </c>
      <c r="O280" s="141"/>
      <c r="P280" s="141"/>
      <c r="Q280" s="141"/>
      <c r="R280" s="141"/>
      <c r="S280" s="143"/>
      <c r="T280" s="143"/>
      <c r="U280" s="141"/>
      <c r="V280" s="141"/>
      <c r="W280" s="141"/>
      <c r="X280" s="141"/>
      <c r="Y280" s="141"/>
      <c r="Z280" s="141"/>
      <c r="AA280" s="141"/>
      <c r="AB280" s="141"/>
      <c r="AC280" s="141"/>
      <c r="AD280" s="142"/>
    </row>
    <row r="281" spans="8:30">
      <c r="H281" s="29" t="s">
        <v>123</v>
      </c>
      <c r="I281" s="29"/>
      <c r="J281" s="29"/>
      <c r="K281" s="29"/>
      <c r="L281" s="29"/>
      <c r="M281" s="29"/>
      <c r="N281" s="140" t="s">
        <v>171</v>
      </c>
      <c r="O281" s="141"/>
      <c r="P281" s="141"/>
      <c r="Q281" s="141"/>
      <c r="R281" s="141"/>
      <c r="S281" s="143"/>
      <c r="T281" s="143"/>
      <c r="U281" s="141"/>
      <c r="V281" s="141"/>
      <c r="W281" s="141"/>
      <c r="X281" s="141"/>
      <c r="Y281" s="141"/>
      <c r="Z281" s="141"/>
      <c r="AA281" s="141"/>
      <c r="AB281" s="141"/>
      <c r="AC281" s="141"/>
      <c r="AD281" s="142"/>
    </row>
    <row r="282" spans="8:30">
      <c r="H282" s="29" t="s">
        <v>173</v>
      </c>
      <c r="I282" s="29"/>
      <c r="J282" s="29"/>
      <c r="K282" s="29"/>
      <c r="L282" s="29"/>
      <c r="M282" s="29"/>
      <c r="N282" s="140" t="s">
        <v>171</v>
      </c>
      <c r="O282" s="141"/>
      <c r="P282" s="141"/>
      <c r="Q282" s="141"/>
      <c r="R282" s="141"/>
      <c r="S282" s="143"/>
      <c r="T282" s="143"/>
      <c r="U282" s="141"/>
      <c r="V282" s="141"/>
      <c r="W282" s="141"/>
      <c r="X282" s="141"/>
      <c r="Y282" s="141"/>
      <c r="Z282" s="141"/>
      <c r="AA282" s="141"/>
      <c r="AB282" s="141"/>
      <c r="AC282" s="141"/>
      <c r="AD282" s="142"/>
    </row>
    <row r="283" spans="8:30">
      <c r="H283" s="29" t="s">
        <v>174</v>
      </c>
      <c r="I283" s="29"/>
      <c r="J283" s="29"/>
      <c r="K283" s="29"/>
      <c r="L283" s="29"/>
      <c r="M283" s="29"/>
      <c r="N283" s="140" t="s">
        <v>171</v>
      </c>
      <c r="O283" s="141"/>
      <c r="P283" s="141"/>
      <c r="Q283" s="141"/>
      <c r="R283" s="141"/>
      <c r="S283" s="143"/>
      <c r="T283" s="143"/>
      <c r="U283" s="141"/>
      <c r="V283" s="141"/>
      <c r="W283" s="141"/>
      <c r="X283" s="141"/>
      <c r="Y283" s="141"/>
      <c r="Z283" s="141"/>
      <c r="AA283" s="141"/>
      <c r="AB283" s="141"/>
      <c r="AC283" s="141"/>
      <c r="AD283" s="142"/>
    </row>
    <row r="284" spans="8:30">
      <c r="H284" s="29" t="s">
        <v>126</v>
      </c>
      <c r="I284" s="29"/>
      <c r="J284" s="29"/>
      <c r="K284" s="29"/>
      <c r="L284" s="29"/>
      <c r="M284" s="29"/>
      <c r="N284" s="140" t="s">
        <v>171</v>
      </c>
      <c r="O284" s="141"/>
      <c r="P284" s="141"/>
      <c r="Q284" s="141"/>
      <c r="R284" s="141"/>
      <c r="S284" s="143"/>
      <c r="T284" s="143"/>
      <c r="U284" s="141"/>
      <c r="V284" s="141"/>
      <c r="W284" s="141"/>
      <c r="X284" s="141"/>
      <c r="Y284" s="141"/>
      <c r="Z284" s="141"/>
      <c r="AA284" s="141"/>
      <c r="AB284" s="141"/>
      <c r="AC284" s="141"/>
      <c r="AD284" s="142"/>
    </row>
    <row r="285" spans="8:30">
      <c r="H285" s="29" t="s">
        <v>178</v>
      </c>
      <c r="I285" s="29"/>
      <c r="J285" s="29"/>
      <c r="K285" s="29"/>
      <c r="L285" s="29"/>
      <c r="M285" s="29"/>
      <c r="N285" s="157" t="s">
        <v>176</v>
      </c>
      <c r="O285" s="158"/>
      <c r="P285" s="158"/>
      <c r="Q285" s="158"/>
      <c r="R285" s="158"/>
      <c r="S285" s="166"/>
      <c r="T285" s="166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9"/>
    </row>
  </sheetData>
  <mergeCells count="64">
    <mergeCell ref="AG10:AG11"/>
    <mergeCell ref="H163:H168"/>
    <mergeCell ref="Y10:Y11"/>
    <mergeCell ref="Z10:Z11"/>
    <mergeCell ref="AC10:AC11"/>
    <mergeCell ref="AD10:AD11"/>
    <mergeCell ref="J163:J168"/>
    <mergeCell ref="J130:J135"/>
    <mergeCell ref="J34:U34"/>
    <mergeCell ref="K12:P12"/>
    <mergeCell ref="K13:P13"/>
    <mergeCell ref="K14:P14"/>
    <mergeCell ref="J20:O20"/>
    <mergeCell ref="J21:N21"/>
    <mergeCell ref="J146:J151"/>
    <mergeCell ref="J138:J143"/>
    <mergeCell ref="AH10:AH11"/>
    <mergeCell ref="H276:M276"/>
    <mergeCell ref="J16:J18"/>
    <mergeCell ref="H9:H18"/>
    <mergeCell ref="H271:M271"/>
    <mergeCell ref="J114:J119"/>
    <mergeCell ref="J106:J111"/>
    <mergeCell ref="J24:K24"/>
    <mergeCell ref="J22:N22"/>
    <mergeCell ref="N36:O36"/>
    <mergeCell ref="P36:S36"/>
    <mergeCell ref="J98:J103"/>
    <mergeCell ref="J90:J95"/>
    <mergeCell ref="J82:J87"/>
    <mergeCell ref="J23:N23"/>
    <mergeCell ref="N269:R269"/>
    <mergeCell ref="J180:J192"/>
    <mergeCell ref="J214:J219"/>
    <mergeCell ref="H172:H177"/>
    <mergeCell ref="J172:J177"/>
    <mergeCell ref="H272:M272"/>
    <mergeCell ref="H273:M273"/>
    <mergeCell ref="H274:M274"/>
    <mergeCell ref="H269:M269"/>
    <mergeCell ref="H270:M270"/>
    <mergeCell ref="H284:M284"/>
    <mergeCell ref="H285:M285"/>
    <mergeCell ref="H20:H73"/>
    <mergeCell ref="J44:J73"/>
    <mergeCell ref="G79:U79"/>
    <mergeCell ref="H83:H139"/>
    <mergeCell ref="H281:M281"/>
    <mergeCell ref="H282:M282"/>
    <mergeCell ref="H283:M283"/>
    <mergeCell ref="H277:M277"/>
    <mergeCell ref="H278:M278"/>
    <mergeCell ref="H279:M279"/>
    <mergeCell ref="H280:M280"/>
    <mergeCell ref="G267:U267"/>
    <mergeCell ref="N278:R278"/>
    <mergeCell ref="H275:M275"/>
    <mergeCell ref="J154:J159"/>
    <mergeCell ref="J122:J127"/>
    <mergeCell ref="U4:U5"/>
    <mergeCell ref="J9:L9"/>
    <mergeCell ref="G7:U7"/>
    <mergeCell ref="M9:P9"/>
    <mergeCell ref="J11:P11"/>
  </mergeCells>
  <hyperlinks>
    <hyperlink ref="N275" r:id="rId1" display="Abou-Jaoude et al 2024" xr:uid="{44286EB2-04C8-41CD-82B3-7266545CCD02}"/>
    <hyperlink ref="N274" r:id="rId2" display="Abou-Jaoude et al 2024" xr:uid="{2CC76418-8CFE-45FD-A9AD-7B82D91A97A6}"/>
    <hyperlink ref="N273" r:id="rId3" display="Abou-Jaoude et al 2024" xr:uid="{5FB9FBD6-B5C3-41B0-A4D5-38ED3AC52E72}"/>
    <hyperlink ref="N272" r:id="rId4" display="Abou-Jaoude et al 2024" xr:uid="{A5C199D2-FD3F-465F-9577-75F3BEFDAAA8}"/>
    <hyperlink ref="N281" r:id="rId5" display="Abou-Jaoude et al 2024" xr:uid="{AE450EB9-7D9D-45AE-92FC-C6EF7AFEC8D6}"/>
    <hyperlink ref="N282" r:id="rId6" display="Abou-Jaoude et al 2024" xr:uid="{B54320CF-754D-4C79-9212-B95EE582EED2}"/>
    <hyperlink ref="N283" r:id="rId7" display="Abou-Jaoude et al 2024" xr:uid="{A906D58F-6DC2-41E7-86F0-DFEF51A22250}"/>
    <hyperlink ref="N284" r:id="rId8" display="Abou-Jaoude et al 2024" xr:uid="{E3BD971A-84BB-4208-96CB-41F5FEE8F3BF}"/>
    <hyperlink ref="N270" r:id="rId9" display="Abou-Jaoude et al 2024" xr:uid="{26A98282-F43C-4B9D-8A41-52F091E4DBC3}"/>
    <hyperlink ref="N279" r:id="rId10" display="Abou-Jaoude et al 2024" xr:uid="{5F1BE842-B080-4B2A-BEF8-14775F56B32F}"/>
    <hyperlink ref="N271" r:id="rId11" display="Abou-Jaoude et al 2024" xr:uid="{128ED626-8F3A-47C5-8635-4F6D56C63BC0}"/>
    <hyperlink ref="N280" r:id="rId12" display="Abou-Jaoude et al 2024" xr:uid="{6D0346AD-68B7-4FA7-9185-9B8F3DD6E4C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ED23-99B0-4C49-8398-6F986ECAEF4C}">
  <sheetPr>
    <tabColor theme="8" tint="-0.249977111117893"/>
  </sheetPr>
  <dimension ref="A1:B25"/>
  <sheetViews>
    <sheetView workbookViewId="0">
      <selection activeCell="B23" sqref="B23"/>
    </sheetView>
  </sheetViews>
  <sheetFormatPr defaultRowHeight="15"/>
  <cols>
    <col min="1" max="1" width="36.28515625" customWidth="1"/>
    <col min="2" max="2" width="29.140625" customWidth="1"/>
  </cols>
  <sheetData>
    <row r="1" spans="1:2">
      <c r="A1" s="5" t="s">
        <v>19</v>
      </c>
      <c r="B1" s="4" t="s">
        <v>20</v>
      </c>
    </row>
    <row r="2" spans="1:2">
      <c r="A2" t="s">
        <v>13</v>
      </c>
      <c r="B2">
        <v>0</v>
      </c>
    </row>
    <row r="3" spans="1:2">
      <c r="A3" t="s">
        <v>17</v>
      </c>
      <c r="B3">
        <v>0</v>
      </c>
    </row>
    <row r="4" spans="1:2">
      <c r="A4" t="s">
        <v>18</v>
      </c>
      <c r="B4">
        <v>0</v>
      </c>
    </row>
    <row r="5" spans="1:2">
      <c r="A5" t="s">
        <v>1</v>
      </c>
      <c r="B5">
        <v>0</v>
      </c>
    </row>
    <row r="6" spans="1:2">
      <c r="A6" t="s">
        <v>2</v>
      </c>
      <c r="B6">
        <v>0</v>
      </c>
    </row>
    <row r="7" spans="1:2">
      <c r="A7" t="s">
        <v>12</v>
      </c>
      <c r="B7">
        <v>0</v>
      </c>
    </row>
    <row r="8" spans="1:2">
      <c r="A8" t="s">
        <v>3</v>
      </c>
      <c r="B8">
        <v>0</v>
      </c>
    </row>
    <row r="9" spans="1:2">
      <c r="A9" t="s">
        <v>4</v>
      </c>
      <c r="B9">
        <v>0</v>
      </c>
    </row>
    <row r="10" spans="1:2">
      <c r="A10" t="s">
        <v>5</v>
      </c>
      <c r="B10">
        <v>0</v>
      </c>
    </row>
    <row r="11" spans="1:2">
      <c r="A11" t="s">
        <v>6</v>
      </c>
      <c r="B11">
        <v>0</v>
      </c>
    </row>
    <row r="12" spans="1:2">
      <c r="A12" t="s">
        <v>7</v>
      </c>
      <c r="B12">
        <v>0</v>
      </c>
    </row>
    <row r="13" spans="1:2">
      <c r="A13" t="s">
        <v>8</v>
      </c>
      <c r="B13">
        <v>0</v>
      </c>
    </row>
    <row r="14" spans="1:2">
      <c r="A14" t="s">
        <v>10</v>
      </c>
      <c r="B14">
        <v>0</v>
      </c>
    </row>
    <row r="15" spans="1:2">
      <c r="A15" t="s">
        <v>11</v>
      </c>
      <c r="B15">
        <v>0</v>
      </c>
    </row>
    <row r="16" spans="1:2">
      <c r="A16" t="s">
        <v>14</v>
      </c>
      <c r="B16">
        <v>0</v>
      </c>
    </row>
    <row r="17" spans="1:2">
      <c r="A17" t="s">
        <v>15</v>
      </c>
      <c r="B17">
        <v>0</v>
      </c>
    </row>
    <row r="18" spans="1:2">
      <c r="A18" t="s">
        <v>16</v>
      </c>
      <c r="B18">
        <v>0</v>
      </c>
    </row>
    <row r="19" spans="1:2">
      <c r="A19" t="s">
        <v>24</v>
      </c>
      <c r="B19">
        <v>0</v>
      </c>
    </row>
    <row r="20" spans="1:2">
      <c r="A20" t="s">
        <v>25</v>
      </c>
      <c r="B20">
        <v>0</v>
      </c>
    </row>
    <row r="21" spans="1:2">
      <c r="A21" t="s">
        <v>26</v>
      </c>
      <c r="B21">
        <v>0</v>
      </c>
    </row>
    <row r="22" spans="1:2">
      <c r="A22" t="s">
        <v>27</v>
      </c>
      <c r="B22">
        <v>0</v>
      </c>
    </row>
    <row r="23" spans="1:2">
      <c r="A23" t="s">
        <v>28</v>
      </c>
      <c r="B23" s="8">
        <f>'ATB - Nuclear'!M150/'ATB - Nuclear'!M147-1</f>
        <v>0.23711340206185572</v>
      </c>
    </row>
    <row r="24" spans="1:2">
      <c r="A24" s="6" t="s">
        <v>29</v>
      </c>
      <c r="B24">
        <v>0</v>
      </c>
    </row>
    <row r="25" spans="1:2">
      <c r="A25" s="6" t="s">
        <v>30</v>
      </c>
      <c r="B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ATB - Nuclear</vt:lpstr>
      <vt:lpstr>FSPbPPT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Megan Mahajan</cp:lastModifiedBy>
  <dcterms:created xsi:type="dcterms:W3CDTF">2016-02-26T23:43:24Z</dcterms:created>
  <dcterms:modified xsi:type="dcterms:W3CDTF">2026-08-28T21:26:22Z</dcterms:modified>
</cp:coreProperties>
</file>