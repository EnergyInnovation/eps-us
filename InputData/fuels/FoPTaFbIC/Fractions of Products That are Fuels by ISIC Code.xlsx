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anMahajan\Documents\eps-us\InputData\fuels\FoPTaFbIC\"/>
    </mc:Choice>
  </mc:AlternateContent>
  <xr:revisionPtr revIDLastSave="0" documentId="13_ncr:1_{243F1153-7A33-468B-9948-8A0E636A1E1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bout" sheetId="1" r:id="rId1"/>
    <sheet name="source data&gt;" sheetId="2" r:id="rId2"/>
    <sheet name="AEO 2025 Table 2" sheetId="3" r:id="rId3"/>
    <sheet name="AEO 2025 Table 3" sheetId="4" r:id="rId4"/>
    <sheet name="AEO 2025 Table 6" sheetId="5" r:id="rId5"/>
    <sheet name="AEO 2025 Table 17" sheetId="6" r:id="rId6"/>
    <sheet name="AEO 2026 Table 2" sheetId="7" r:id="rId7"/>
    <sheet name="AEO 2026 Table 3" sheetId="8" r:id="rId8"/>
    <sheet name="AEO 2026 Table 6" sheetId="9" r:id="rId9"/>
    <sheet name="AEO 2026 Table 17" sheetId="10" r:id="rId10"/>
    <sheet name="calcs&gt;" sheetId="11" r:id="rId11"/>
    <sheet name="Checks" sheetId="12" r:id="rId12"/>
    <sheet name="Calculations" sheetId="13" r:id="rId13"/>
    <sheet name="FoPTaFbIC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2" i="14" l="1"/>
  <c r="AP2" i="14"/>
  <c r="AO2" i="14"/>
  <c r="AN2" i="14"/>
  <c r="AM2" i="14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V2" i="14"/>
  <c r="U2" i="14"/>
  <c r="T2" i="14"/>
  <c r="S2" i="14"/>
  <c r="R2" i="14"/>
  <c r="Q2" i="14"/>
  <c r="P2" i="14"/>
  <c r="O2" i="14"/>
  <c r="N2" i="14"/>
  <c r="M2" i="14"/>
  <c r="L2" i="14"/>
  <c r="J2" i="14"/>
  <c r="I2" i="14"/>
  <c r="H2" i="14"/>
  <c r="G2" i="14"/>
  <c r="F2" i="14"/>
  <c r="D2" i="14"/>
  <c r="C2" i="14"/>
  <c r="C34" i="13"/>
  <c r="C26" i="13" s="1"/>
  <c r="C28" i="13" s="1"/>
  <c r="C4" i="13" s="1"/>
  <c r="B2" i="14" s="1"/>
  <c r="C33" i="13"/>
  <c r="C32" i="13"/>
  <c r="C31" i="13"/>
  <c r="C21" i="13"/>
  <c r="C23" i="13" s="1"/>
  <c r="C7" i="13" s="1"/>
  <c r="E2" i="14" s="1"/>
  <c r="C17" i="13"/>
  <c r="C16" i="13"/>
  <c r="C18" i="13" s="1"/>
  <c r="C8" i="13" s="1"/>
  <c r="K2" i="14" s="1"/>
</calcChain>
</file>

<file path=xl/sharedStrings.xml><?xml version="1.0" encoding="utf-8"?>
<sst xmlns="http://schemas.openxmlformats.org/spreadsheetml/2006/main" count="4217" uniqueCount="2057">
  <si>
    <t>FoPTaFbIC Fractions of Products That are Fuels by ISIC Code</t>
  </si>
  <si>
    <t>Sources:</t>
  </si>
  <si>
    <t>U.S. Energy Information Administration</t>
  </si>
  <si>
    <t>Annual Energy Outlook 2026</t>
  </si>
  <si>
    <t>Alternative electricity and transportation:Table 2, Table 3, Table 6, Table 17</t>
  </si>
  <si>
    <t>https://www.eia.gov/outlooks/aeo/tables_side_xls.php</t>
  </si>
  <si>
    <t>Table numbers specified on "Calculations" tab</t>
  </si>
  <si>
    <t>Also relies on data from io-model/BObIC and fuels/BFPaT</t>
  </si>
  <si>
    <t>Notes</t>
  </si>
  <si>
    <t>This variable expresses what share of the products of a particular ISIC code</t>
  </si>
  <si>
    <t>consist of fuels.  For example, ISIC 19 (Coke and refined petroleum products)</t>
  </si>
  <si>
    <t>mostly consists of refined fuels, but refineries also produce some chemicals</t>
  </si>
  <si>
    <t>sold to the chemicals industry (such as BTX aromatics), which are not fuels.</t>
  </si>
  <si>
    <t>For most industries, the fraction in this variable should be zero, because most</t>
  </si>
  <si>
    <t>industries do not produce any fuels at all.</t>
  </si>
  <si>
    <t>Energy carriers such as electricity and heat are considered fuels in this variable.</t>
  </si>
  <si>
    <t>Fuel</t>
  </si>
  <si>
    <t>Producer ISIC Code</t>
  </si>
  <si>
    <t>ISIC Meaning</t>
  </si>
  <si>
    <t>electricity</t>
  </si>
  <si>
    <t>ISIC 351</t>
  </si>
  <si>
    <t>Electricity generation and distribution</t>
  </si>
  <si>
    <t>hard coal</t>
  </si>
  <si>
    <t>ISIC 05</t>
  </si>
  <si>
    <t>Coal mining</t>
  </si>
  <si>
    <t>natural gas</t>
  </si>
  <si>
    <t>ISIC 352T353</t>
  </si>
  <si>
    <t>Energy pipelines and gas processing</t>
  </si>
  <si>
    <t>nuclear</t>
  </si>
  <si>
    <t>ISIC 07T08</t>
  </si>
  <si>
    <t>Mining and quarrying of uranium and non-energy-producing products</t>
  </si>
  <si>
    <t>hydro</t>
  </si>
  <si>
    <t>wind</t>
  </si>
  <si>
    <t>solar</t>
  </si>
  <si>
    <t>biomass</t>
  </si>
  <si>
    <t>ISIC 01T03</t>
  </si>
  <si>
    <t>Agriculture, forestry and fishing</t>
  </si>
  <si>
    <t>petroleum gasoline</t>
  </si>
  <si>
    <t>ISIC 19</t>
  </si>
  <si>
    <t>Refining</t>
  </si>
  <si>
    <t>petroleum diesel</t>
  </si>
  <si>
    <t>biofuel gasoline</t>
  </si>
  <si>
    <t>biofuel diesel</t>
  </si>
  <si>
    <t>jet fuel or kerosene</t>
  </si>
  <si>
    <t>heat</t>
  </si>
  <si>
    <t>geothermal</t>
  </si>
  <si>
    <t>lignite</t>
  </si>
  <si>
    <t>crude oil</t>
  </si>
  <si>
    <t>ISIC 06</t>
  </si>
  <si>
    <t>Oil and gas extraction</t>
  </si>
  <si>
    <t>heavy or residual fuel oil</t>
  </si>
  <si>
    <t>LPG propane or butane</t>
  </si>
  <si>
    <t>municipal solid waste</t>
  </si>
  <si>
    <t>hydrogen</t>
  </si>
  <si>
    <t>42-code sibling (build_sector_shares_42):</t>
  </si>
  <si>
    <t>This workbook is the 42-code (un-split) sibling of the 52-code expansion. The 42 scheme is the 52 scheme with the six OECD-native parents</t>
  </si>
  <si>
    <t>left merged (ISIC 01T03, 07T08, 30, 49T53, 69T82, 90T96); the BEA carves ISIC 231/239 and 351/352T353 are retained (present in both</t>
  </si>
  <si>
    <t>schemes).</t>
  </si>
  <si>
    <t>The output tabs are the stock derivation, unchanged and live: the stock workbook is natively 42-code (its output columns already are the</t>
  </si>
  <si>
    <t>42-code ISIC list, in canonical order), so no child split is applied here. This is a RATE file (fraction of each code's products that are</t>
  </si>
  <si>
    <t>fuels), not an allocation, so its columns are NOT expected to sum to 1 across ISIC. It is emitted verbatim at 42 codes.</t>
  </si>
  <si>
    <t>Table 2.  Energy Consumption by Sector and Source</t>
  </si>
  <si>
    <t>https://www.eia.gov/outlooks/aeo/data/browser/#/?id=2-AEO2025&amp;cases=highZTC&amp;sourcekey=0</t>
  </si>
  <si>
    <t>Tue Dec 02 2025 13:12:48 GMT-0800 (Pacific Standard Time)</t>
  </si>
  <si>
    <t>Source: U.S. Energy Information Administration</t>
  </si>
  <si>
    <t>full name</t>
  </si>
  <si>
    <t>api key</t>
  </si>
  <si>
    <t>units</t>
  </si>
  <si>
    <t>Growth (2024-2050)</t>
  </si>
  <si>
    <t>Residential</t>
  </si>
  <si>
    <t>Propane</t>
  </si>
  <si>
    <t>Energy Use: Residential: Propane: High Zero-Carbon Technology Cost</t>
  </si>
  <si>
    <t>AEO.2025.HIGHZTC.CNSM_ENU_RESD_NA_PROP_NA_NA_QBTU.A</t>
  </si>
  <si>
    <t>quads</t>
  </si>
  <si>
    <t>Distillate Fuel Oil</t>
  </si>
  <si>
    <t>Energy Use: Residential: Distillate Fuel Oil: High Zero-Carbon Technology Cost</t>
  </si>
  <si>
    <t>AEO.2025.HIGHZTC.CNSM_ENU_RESD_NA_DFO_NA_NA_QBTU.A</t>
  </si>
  <si>
    <t>Petroleum and Other Liquids Subtotal</t>
  </si>
  <si>
    <t>Energy Use: Residential: Liquid Fuels Subtotal: High Zero-Carbon Technology Cost</t>
  </si>
  <si>
    <t>AEO.2025.HIGHZTC.CNSM_ENU_RESD_NA_LFL_NA_NA_QBTU.A</t>
  </si>
  <si>
    <t>Natural Gas</t>
  </si>
  <si>
    <t>Energy Use: Residential: Natural Gas: High Zero-Carbon Technology Cost</t>
  </si>
  <si>
    <t>AEO.2025.HIGHZTC.CNSM_ENU_RESD_NA_NG_NA_NA_QBTU.A</t>
  </si>
  <si>
    <t>Renewable Energy</t>
  </si>
  <si>
    <t>Energy Use: Residential: Renewable Energy: High Zero-Carbon Technology Cost</t>
  </si>
  <si>
    <t>AEO.2025.HIGHZTC.CNSM_ENU_RESD_NA_REN_NA_NA_QBTU.A</t>
  </si>
  <si>
    <t>Purchased Electricity for Residential Use</t>
  </si>
  <si>
    <t>Energy Use: Residential: Electricity: High Zero-Carbon Technology Cost</t>
  </si>
  <si>
    <t>AEO.2025.HIGHZTC.CNSM_ENU_RESD_NA_ELC_NA_NA_QBTU.A</t>
  </si>
  <si>
    <t>Delivered Energy</t>
  </si>
  <si>
    <t>Energy Use: Residential: Delivered Energy: High Zero-Carbon Technology Cost</t>
  </si>
  <si>
    <t>AEO.2025.HIGHZTC.CNSM_ENU_RESD_NA_DELE_NA_NA_QBTU.A</t>
  </si>
  <si>
    <t>Electricity-Related Losses</t>
  </si>
  <si>
    <t>Energy Use: Residential: Electricity Related Losses: High Zero-Carbon Technology Cost</t>
  </si>
  <si>
    <t>AEO.2025.HIGHZTC.CNSM_ENU_RESD_NA_ERL_NA_NA_QBTU.A</t>
  </si>
  <si>
    <t>Total</t>
  </si>
  <si>
    <t>Energy Use: Residential: Total: High Zero-Carbon Technology Cost</t>
  </si>
  <si>
    <t>AEO.2025.HIGHZTC.CNSM_ENU_RESD_NA_TOT_NA_NA_QBTU.A</t>
  </si>
  <si>
    <t>Commercial</t>
  </si>
  <si>
    <t>Energy Use: Commercial: Propane: High Zero-Carbon Technology Cost</t>
  </si>
  <si>
    <t>AEO.2025.HIGHZTC.CNSM_ENU_COMM_NA_PROP_NA_NA_QBTU.A</t>
  </si>
  <si>
    <t>Motor Gasoline</t>
  </si>
  <si>
    <t>Energy Use: Commercial: Motor Gasoline: High Zero-Carbon Technology Cost</t>
  </si>
  <si>
    <t>AEO.2025.HIGHZTC.CNSM_ENU_COMM_NA_MGS_NA_NA_QBTU.A</t>
  </si>
  <si>
    <t>Kerosene</t>
  </si>
  <si>
    <t>Energy Use: Commercial: Kerosene: High Zero-Carbon Technology Cost</t>
  </si>
  <si>
    <t>AEO.2025.HIGHZTC.CNSM_ENU_COMM_NA_KRS_NA_NA_QBTU.A</t>
  </si>
  <si>
    <t>Energy Use: Commercial: Distillate Fuel Oil: High Zero-Carbon Technology Cost</t>
  </si>
  <si>
    <t>AEO.2025.HIGHZTC.CNSM_ENU_COMM_NA_DFO_NA_NA_QBTU.A</t>
  </si>
  <si>
    <t>Residual Fuel Oil</t>
  </si>
  <si>
    <t>Energy Use: Commercial: Residual Fuel Oil: High Zero-Carbon Technology Cost</t>
  </si>
  <si>
    <t>AEO.2025.HIGHZTC.CNSM_ENU_COMM_NA_RFO_NA_NA_QBTU.A</t>
  </si>
  <si>
    <t>Energy Use: Commercial: Liquid Fuels Subtotal: High Zero-Carbon Technology Cost</t>
  </si>
  <si>
    <t>AEO.2025.HIGHZTC.CNSM_ENU_COMM_NA_LFL_NA_NA_QBTU.A</t>
  </si>
  <si>
    <t>Energy Use: Commercial: Natural Gas: High Zero-Carbon Technology Cost</t>
  </si>
  <si>
    <t>AEO.2025.HIGHZTC.CNSM_ENU_COMM_NA_NG_NA_NA_QBTU.A</t>
  </si>
  <si>
    <t>Coal</t>
  </si>
  <si>
    <t>Energy Use: Commercial: Coal: High Zero-Carbon Technology Cost</t>
  </si>
  <si>
    <t>AEO.2025.HIGHZTC.CNSM_ENU_COMM_NA_CL_NA_NA_QBTU.A</t>
  </si>
  <si>
    <t>Energy Use: Commercial: Renewable Energy: High Zero-Carbon Technology Cost</t>
  </si>
  <si>
    <t>AEO.2025.HIGHZTC.CNSM_ENU_COMM_NA_REN_NA_NA_QBTU.A</t>
  </si>
  <si>
    <t>Purchased Electricity for Commercial Use</t>
  </si>
  <si>
    <t>Energy Use: Commercial: Electricity: High Zero-Carbon Technology Cost</t>
  </si>
  <si>
    <t>AEO.2025.HIGHZTC.CNSM_ENU_COMM_NA_ELC_NA_NA_QBTU.A</t>
  </si>
  <si>
    <t>Energy Use: Commercial: Delivered Energy: High Zero-Carbon Technology Cost</t>
  </si>
  <si>
    <t>AEO.2025.HIGHZTC.CNSM_ENU_COMM_NA_DELE_NA_NA_QBTU.A</t>
  </si>
  <si>
    <t>Energy Use: Commercial: Electricity Related Losses: High Zero-Carbon Technology Cost</t>
  </si>
  <si>
    <t>AEO.2025.HIGHZTC.CNSM_ENU_COMM_NA_ERL_NA_NA_QBTU.A</t>
  </si>
  <si>
    <t>Energy Use: Commercial: Total: High Zero-Carbon Technology Cost</t>
  </si>
  <si>
    <t>AEO.2025.HIGHZTC.CNSM_ENU_COMM_NA_TOT_NA_NA_QBTU.A</t>
  </si>
  <si>
    <t>Industrial</t>
  </si>
  <si>
    <t>Hydrocarbon Gas Liquids</t>
  </si>
  <si>
    <t>Energy Use: Industrial: Hydrocarbon Gas Liquids: High Zero-Carbon Technology Cost</t>
  </si>
  <si>
    <t>AEO.2025.HIGHZTC.CNSM_ENU_IDAL_NA_LPG_NA_NA_QBTU.A</t>
  </si>
  <si>
    <t>Energy Use: Industrial: Motor Gasoline: High Zero-Carbon Technology Cost</t>
  </si>
  <si>
    <t>AEO.2025.HIGHZTC.CNSM_ENU_IDAL_NA_MGS_NA_NA_QBTU.A</t>
  </si>
  <si>
    <t>Energy Use: Industrial: Distillate Fuel Oil: High Zero-Carbon Technology Cost</t>
  </si>
  <si>
    <t>AEO.2025.HIGHZTC.CNSM_ENU_IDAL_NA_DFO_NA_NA_QBTU.A</t>
  </si>
  <si>
    <t>Energy Use: Industrial: Residual Fuel Oil: High Zero-Carbon Technology Cost</t>
  </si>
  <si>
    <t>AEO.2025.HIGHZTC.CNSM_ENU_IDAL_NA_RFO_NA_NA_QBTU.A</t>
  </si>
  <si>
    <t>Petrochemical Feedstocks</t>
  </si>
  <si>
    <t>Energy Use: Industrial: Petrochemical Feedstocks: High Zero-Carbon Technology Cost</t>
  </si>
  <si>
    <t>AEO.2025.HIGHZTC.CNSM_ENU_IDAL_NA_PCF_NA_NA_QBTU.A</t>
  </si>
  <si>
    <t>Other Petroleum</t>
  </si>
  <si>
    <t>Energy Use: Industrial: Other Petroleum: High Zero-Carbon Technology Cost</t>
  </si>
  <si>
    <t>AEO.2025.HIGHZTC.CNSM_ENU_IDAL_NA_ONP_NA_NA_QBTU.A</t>
  </si>
  <si>
    <t>Energy Use: Industrial: Liquid Fuels Subtotal: High Zero-Carbon Technology Cost</t>
  </si>
  <si>
    <t>AEO.2025.HIGHZTC.CNSM_ENU_IDAL_NA_LFL_NA_NA_QBTU.A</t>
  </si>
  <si>
    <t>Energy Use: Industrial: Natural Gas: High Zero-Carbon Technology Cost</t>
  </si>
  <si>
    <t>AEO.2025.HIGHZTC.CNSM_ENU_IDAL_NA_NG_NA_NA_QBTU.A</t>
  </si>
  <si>
    <t>Lease and Plant Fuel</t>
  </si>
  <si>
    <t>Energy Use: Industrial: Lease and Plant Fuel: High Zero-Carbon Technology Cost</t>
  </si>
  <si>
    <t>AEO.2025.HIGHZTC.CNSM_ENU_IDAL_NA_LSAPFL_NA_NA_QBTU.A</t>
  </si>
  <si>
    <t>Natural Gas Subtotal</t>
  </si>
  <si>
    <t>Energy Use: Industrial: Natural Gas Subtotal: High Zero-Carbon Technology Cost</t>
  </si>
  <si>
    <t>AEO.2025.HIGHZTC.CNSM_ENU_IDAL_NA_NGS_NA_NA_QBTU.A</t>
  </si>
  <si>
    <t>Metallurgical Coal</t>
  </si>
  <si>
    <t>Energy Use: Industrial: Metallurgical Coal: High Zero-Carbon Technology Cost</t>
  </si>
  <si>
    <t>AEO.2025.HIGHZTC.CNSM_ENU_IDAL_NA_MTC_NA_NA_QBTU.A</t>
  </si>
  <si>
    <t>Other Industrial Coal</t>
  </si>
  <si>
    <t>Energy Use: Industrial: Other Industrial Coal: High Zero-Carbon Technology Cost</t>
  </si>
  <si>
    <t>AEO.2025.HIGHZTC.CNSM_ENU_IDAL_NA_OIC_NA_NA_QBTU.A</t>
  </si>
  <si>
    <t>Net Coal Coke Imports</t>
  </si>
  <si>
    <t>Energy Use: Industrial: Net Coal Coke Imports: High Zero-Carbon Technology Cost</t>
  </si>
  <si>
    <t>AEO.2025.HIGHZTC.CNSM_ENU_IDAL_NA_NCC_NA_NA_QBTU.A</t>
  </si>
  <si>
    <t>Coal Subtotal</t>
  </si>
  <si>
    <t>Energy Use: Industrial: Coal Subtotal: High Zero-Carbon Technology Cost</t>
  </si>
  <si>
    <t>AEO.2025.HIGHZTC.CNSM_ENU_IDAL_NA_COS_NA_NA_QBTU.A</t>
  </si>
  <si>
    <t>Biofuels Heat and Coproducts</t>
  </si>
  <si>
    <t>Energy Use: Industrial: Biofuels Heat and Coproducts: High Zero-Carbon Technology Cost</t>
  </si>
  <si>
    <t>AEO.2025.HIGHZTC.CNSM_ENU_IDAL_NA_BFH_NA_NA_QBTU.A</t>
  </si>
  <si>
    <t>Energy Use: Industrial: Renewable Energy: High Zero-Carbon Technology Cost</t>
  </si>
  <si>
    <t>AEO.2025.HIGHZTC.CNSM_ENU_IDAL_NA_REN_NA_NA_QBTU.A</t>
  </si>
  <si>
    <t>Hydrogen</t>
  </si>
  <si>
    <t>Energy Use: Industrial: Hydrogen: High Zero-Carbon Technology Cost</t>
  </si>
  <si>
    <t>AEO.2025.HIGHZTC.CNSM_ENU_IDAL_NA_HDG_NA_NA_QBTU.A</t>
  </si>
  <si>
    <t>Purchased Electricity for Industrial Use</t>
  </si>
  <si>
    <t>Energy Use: Industrial: Electricity: High Zero-Carbon Technology Cost</t>
  </si>
  <si>
    <t>AEO.2025.HIGHZTC.CNSM_ENU_IDAL_NA_ELC_NA_NA_QBTU.A</t>
  </si>
  <si>
    <t>Energy Use: Industrial: Delivered Energy: High Zero-Carbon Technology Cost</t>
  </si>
  <si>
    <t>AEO.2025.HIGHZTC.CNSM_ENU_IDAL_NA_DELE_NA_NA_QBTU.A</t>
  </si>
  <si>
    <t>Energy Use: Industrial: Electricity Related Losses: High Zero-Carbon Technology Cost</t>
  </si>
  <si>
    <t>AEO.2025.HIGHZTC.CNSM_ENU_IDAL_NA_ERL_NA_NA_QBTU.A</t>
  </si>
  <si>
    <t>Hydrogen-Related Losses</t>
  </si>
  <si>
    <t>Energy Use: Industrial: Hydrogen Related Losses: High Zero-Carbon Technology Cost</t>
  </si>
  <si>
    <t>AEO.2025.HIGHZTC.CNSM_ENU_IDAL_NA_H2RELLOS_NA_NA_QBTU.A</t>
  </si>
  <si>
    <t>Energy Use: Industrial: Total: High Zero-Carbon Technology Cost</t>
  </si>
  <si>
    <t>AEO.2025.HIGHZTC.CNSM_ENU_IDAL_NA_TOT_NA_NA_QBTU.A</t>
  </si>
  <si>
    <t>Transportation</t>
  </si>
  <si>
    <t>Energy Use: Transportation: Propane: High Zero-Carbon Technology Cost</t>
  </si>
  <si>
    <t>AEO.2025.HIGHZTC.CNSM_ENU_TRN_NA_PROP_NA_NA_QBTU.A</t>
  </si>
  <si>
    <t>Energy Use: Transportation: Motor Gasoline: High Zero-Carbon Technology Cost</t>
  </si>
  <si>
    <t>AEO.2025.HIGHZTC.CNSM_ENU_TRN_NA_MGS_NA_NA_QBTU.A</t>
  </si>
  <si>
    <t>of which: E85</t>
  </si>
  <si>
    <t>Energy Use: Transportation: E85: High Zero-Carbon Technology Cost</t>
  </si>
  <si>
    <t>AEO.2025.HIGHZTC.CNSM_ENU_TRN_NA_E85_NA_NA_QBTU.A</t>
  </si>
  <si>
    <t>Jet Fuel</t>
  </si>
  <si>
    <t>Energy Use: Transportation: Jet Fuel: High Zero-Carbon Technology Cost</t>
  </si>
  <si>
    <t>AEO.2025.HIGHZTC.CNSM_ENU_TRN_NA_JFL_NA_NA_QBTU.A</t>
  </si>
  <si>
    <t>Energy Use: Transportation: Distillate Fuel Oil: High Zero-Carbon Technology Cost</t>
  </si>
  <si>
    <t>AEO.2025.HIGHZTC.CNSM_ENU_TRN_NA_DFO_NA_NA_QBTU.A</t>
  </si>
  <si>
    <t>Energy Use: Transportation: Residual Fuel Oil: High Zero-Carbon Technology Cost</t>
  </si>
  <si>
    <t>AEO.2025.HIGHZTC.CNSM_ENU_TRN_NA_RFO_NA_NA_QBTU.A</t>
  </si>
  <si>
    <t>Energy Use: Transportation: Other Petroleum: High Zero-Carbon Technology Cost</t>
  </si>
  <si>
    <t>AEO.2025.HIGHZTC.CNSM_ENU_TRN_NA_ONP_NA_NA_QBTU.A</t>
  </si>
  <si>
    <t>Energy Use: Transportation: Liquid Fuels Subtotal: High Zero-Carbon Technology Cost</t>
  </si>
  <si>
    <t>AEO.2025.HIGHZTC.CNSM_ENU_TRN_NA_LFL_NA_NA_QBTU.A</t>
  </si>
  <si>
    <t>Pipeline and Distribution Fuel Natural Gas</t>
  </si>
  <si>
    <t>Energy Use: Transportation: Pipeline Fuel Natural Gas: High Zero-Carbon Technology Cost</t>
  </si>
  <si>
    <t>AEO.2025.HIGHZTC.CNSM_ENU_TRN_NA_PFN_NA_NA_QBTU.A</t>
  </si>
  <si>
    <t>Natural Gas to Liquefy Gas for Export</t>
  </si>
  <si>
    <t>Energy Use: Transportation: Liquefaction: High Zero-Carbon Technology Cost</t>
  </si>
  <si>
    <t>AEO.2025.HIGHZTC.CNSM_ENU_IDAL_NA_LQFCT_NA_NA_QBTU.A</t>
  </si>
  <si>
    <t>Compressed / Liquefied Natural Gas</t>
  </si>
  <si>
    <t>Energy Use: Transportation: Natural Gas: High Zero-Carbon Technology Cost</t>
  </si>
  <si>
    <t>AEO.2025.HIGHZTC.CNSM_ENU_TRN_NA_NG_NA_NA_QBTU.A</t>
  </si>
  <si>
    <t>Energy Use: Transportation: Hydrogen: High Zero-Carbon Technology Cost</t>
  </si>
  <si>
    <t>AEO.2025.HIGHZTC.CNSM_ENU_TRN_NA_HDG_NA_NA_QBTU.A</t>
  </si>
  <si>
    <t>Purchased Electricity for Transportation Use</t>
  </si>
  <si>
    <t>Energy Use: Transportation: Electricity: High Zero-Carbon Technology Cost</t>
  </si>
  <si>
    <t>AEO.2025.HIGHZTC.CNSM_ENU_TRN_NA_ELC_NA_NA_QBTU.A</t>
  </si>
  <si>
    <t>Electric Vehicle Charging (Residential)</t>
  </si>
  <si>
    <t>Energy Use: Transportation: EV Charging (Residential): High Zero-Carbon Technology Cost</t>
  </si>
  <si>
    <t>AEO.2025.HIGHZTC.CNSM_ENU_TRN_NA_EVCHRGRES_NA_NA_QBTU.A</t>
  </si>
  <si>
    <t>Electric Vehicle Charging (Commercial)</t>
  </si>
  <si>
    <t>Energy Use: Transportation: EV Charging (Commercial): High Zero-Carbon Technology Cost</t>
  </si>
  <si>
    <t>AEO.2025.HIGHZTC.CNSM_ENU_TRN_NA_EVCHRGCOM_NA_NA_QBTU.A</t>
  </si>
  <si>
    <t>Passenger Rail</t>
  </si>
  <si>
    <t>Energy Use: Transportation: Passenger Rail: High Zero-Carbon Technology Cost</t>
  </si>
  <si>
    <t>AEO.2025.HIGHZTC.CNSM_ENU_TRN_NA_PSGRAIL_NA_NA_QBTU.A</t>
  </si>
  <si>
    <t>Energy Use: Transportation: Delivered Energy: High Zero-Carbon Technology Cost</t>
  </si>
  <si>
    <t>AEO.2025.HIGHZTC.CNSM_ENU_TRN_NA_DELE_NA_NA_QBTU.A</t>
  </si>
  <si>
    <t>Energy Use: Transportation: Electricity Related Losses: High Zero-Carbon Technology Cost</t>
  </si>
  <si>
    <t>AEO.2025.HIGHZTC.CNSM_ENU_TRN_NA_ERL_NA_NA_QBTU.A</t>
  </si>
  <si>
    <t>Energy Use: Transportation: Hydrogen Related Losses: High Zero-Carbon Technology Cost</t>
  </si>
  <si>
    <t>AEO.2025.HIGHZTC.CNSM_ENU_TRN_NA_H2RELLOS_NA_NA_QBTU.A</t>
  </si>
  <si>
    <t>Energy Use: Transportation: Total: High Zero-Carbon Technology Cost</t>
  </si>
  <si>
    <t>AEO.2025.HIGHZTC.CNSM_ENU_TRN_NA_TOT_NA_NA_QBTU.A</t>
  </si>
  <si>
    <t>Unspecified Sector</t>
  </si>
  <si>
    <t>Energy Use: Unspecified: Total: High Zero-Carbon Technology Cost</t>
  </si>
  <si>
    <t>AEO.2025.HIGHZTC.CNSM_ENU_OTH_NA_TOT_NA_NA_QBTU.A</t>
  </si>
  <si>
    <t>Delivered Energy Consumption</t>
  </si>
  <si>
    <t xml:space="preserve"> All Sectors</t>
  </si>
  <si>
    <t>Liquefied Petroleum Gases and Other</t>
  </si>
  <si>
    <t>Energy Use: Delivered: All Sectors: Liquefied Petroleum Gases: High Zero-Carbon Technology Cost</t>
  </si>
  <si>
    <t>AEO.2025.HIGHZTC.CNSM_ENU_ALLS_NA_LPG_DELV_NA_QBTU.A</t>
  </si>
  <si>
    <t>Energy Use: Delivered: All Sectors: Motor Gasoline: High Zero-Carbon Technology Cost</t>
  </si>
  <si>
    <t>AEO.2025.HIGHZTC.CNSM_ENU_ALLS_NA_MGS_DELV_NA_QBTU.A</t>
  </si>
  <si>
    <t>Energy Use: Delivered: All Sectors: E85: High Zero-Carbon Technology Cost</t>
  </si>
  <si>
    <t>AEO.2025.HIGHZTC.CNSM_ENU_ALLS_NA_E85_DELV_NA_QBTU.A</t>
  </si>
  <si>
    <t>Energy Use: Delivered: All Sectors: Jet Fuel: High Zero-Carbon Technology Cost</t>
  </si>
  <si>
    <t>AEO.2025.HIGHZTC.CNSM_ENU_ALLS_NA_JFL_DELV_NA_QBTU.A</t>
  </si>
  <si>
    <t>Energy Use: Delivered: All Sectors: Kerosene: High Zero-Carbon Technology Cost</t>
  </si>
  <si>
    <t>AEO.2025.HIGHZTC.CNSM_ENU_ALLS_NA_KRS_DELV_NA_QBTU.A</t>
  </si>
  <si>
    <t>Energy Use: Delivered: All Sectors: Distillate Fuel Oil: High Zero-Carbon Technology Cost</t>
  </si>
  <si>
    <t>AEO.2025.HIGHZTC.CNSM_ENU_ALLS_NA_DFO_DELV_NA_QBTU.A</t>
  </si>
  <si>
    <t>Energy Use: Delivered: All Sectors: Residual Fuel Oil: High Zero-Carbon Technology Cost</t>
  </si>
  <si>
    <t>AEO.2025.HIGHZTC.CNSM_ENU_ALLS_NA_RFO_DELV_NA_QBTU.A</t>
  </si>
  <si>
    <t>Energy Use: Delivered: All Sectors: Petrochemical Feedstocks: High Zero-Carbon Technology Cost</t>
  </si>
  <si>
    <t>AEO.2025.HIGHZTC.CNSM_ENU_ALLS_NA_PCF_DELV_NA_QBTU.A</t>
  </si>
  <si>
    <t>Energy Use: Delivered: All Sectors: Other Petroleum: High Zero-Carbon Technology Cost</t>
  </si>
  <si>
    <t>AEO.2025.HIGHZTC.CNSM_ENU_ALLS_NA_ONP_DELV_NA_QBTU.A</t>
  </si>
  <si>
    <t>Energy Use: Delivered: All Sectors: Liquid Fuels Subtotal: High Zero-Carbon Technology Cost</t>
  </si>
  <si>
    <t>AEO.2025.HIGHZTC.CNSM_ENU_ALLS_NA_LFL_DELV_NA_QBTU.A</t>
  </si>
  <si>
    <t>Energy Use: Delivered: All Sectors: Natural Gas: High Zero-Carbon Technology Cost</t>
  </si>
  <si>
    <t>AEO.2025.HIGHZTC.CNSM_ENU_ALLS_NA_NG_DELV_NA_QBTU.A</t>
  </si>
  <si>
    <t>Energy Use: Delivered: All Sectors: Lease and Plant Fuel: High Zero-Carbon Technology Cost</t>
  </si>
  <si>
    <t>AEO.2025.HIGHZTC.CNSM_ENU_ALLS_NA_LSAPFL_DELV_NA_QBTU.A</t>
  </si>
  <si>
    <t>Energy Use: Delivered: All Sectors: Liquefaction: High Zero-Carbon Technology Cost</t>
  </si>
  <si>
    <t>AEO.2025.HIGHZTC.CNSM_ENU_ALLS_NA_LQFCT_DELV_NA_QBTU.A</t>
  </si>
  <si>
    <t>Energy Use: Delivered: All Sectors: Pipeline Natural Gas: High Zero-Carbon Technology Cost</t>
  </si>
  <si>
    <t>AEO.2025.HIGHZTC.CNSM_ENU_ALLS_NA_PPN_DELV_NA_QBTU.A</t>
  </si>
  <si>
    <t>Energy Use: Delivered: All Sectors: Natural Gas Subtotal: High Zero-Carbon Technology Cost</t>
  </si>
  <si>
    <t>AEO.2025.HIGHZTC.CNSM_ENU_ALLS_NA_NGS_DELV_NA_QBTU.A</t>
  </si>
  <si>
    <t>Energy Use: Delivered: All Sectors: Metallurgical Coal: High Zero-Carbon Technology Cost</t>
  </si>
  <si>
    <t>AEO.2025.HIGHZTC.CNSM_ENU_ALLS_NA_MTC_DELV_NA_QBTU.A</t>
  </si>
  <si>
    <t>Other Coal</t>
  </si>
  <si>
    <t>Energy Use: Delivered: All Sectors: Other Coal: High Zero-Carbon Technology Cost</t>
  </si>
  <si>
    <t>AEO.2025.HIGHZTC.CNSM_ENU_ALLS_NA_OCA_DELV_NA_QBTU.A</t>
  </si>
  <si>
    <t>Energy Use: Delivered: All Sectors: Net Coal Coke Imports: High Zero-Carbon Technology Cost</t>
  </si>
  <si>
    <t>AEO.2025.HIGHZTC.CNSM_ENU_ALLS_NA_NCC_DELV_NA_QBTU.A</t>
  </si>
  <si>
    <t>Energy Use: Delivered: All Sectors: Coal Subtotal: High Zero-Carbon Technology Cost</t>
  </si>
  <si>
    <t>AEO.2025.HIGHZTC.CNSM_ENU_ALLS_NA_COS_DELV_NA_QBTU.A</t>
  </si>
  <si>
    <t>Energy Use: Delivered: All Sectors: Biofuels Heat and Coproducts: High Zero-Carbon Technology Cost</t>
  </si>
  <si>
    <t>AEO.2025.HIGHZTC.CNSM_ENU_ALLS_NA_BFH_DELV_NA_QBTU.A</t>
  </si>
  <si>
    <t>Energy Use: Delivered: All Sectors: Renewable Energy: High Zero-Carbon Technology Cost</t>
  </si>
  <si>
    <t>AEO.2025.HIGHZTC.CNSM_ENU_ALLS_NA_REN_DELV_NA_QBTU.A</t>
  </si>
  <si>
    <t>Energy Use: Delivered: All Sectors: Hydrogen: High Zero-Carbon Technology Cost</t>
  </si>
  <si>
    <t>AEO.2025.HIGHZTC.CNSM_ENU_ALLS_NA_HDG_DELV_NA_QBTU.A</t>
  </si>
  <si>
    <t>Purchased Electricity</t>
  </si>
  <si>
    <t>Energy Use: Delivered: All Sectors: Electricity: High Zero-Carbon Technology Cost</t>
  </si>
  <si>
    <t>AEO.2025.HIGHZTC.CNSM_ENU_ALLS_NA_ELC_DELV_NA_QBTU.A</t>
  </si>
  <si>
    <t>Energy Use: Delivered: All Sectors: Delivered Energy: High Zero-Carbon Technology Cost</t>
  </si>
  <si>
    <t>AEO.2025.HIGHZTC.CNSM_ENU_ALLS_NA_DELE_DELV_NA_QBTU.A</t>
  </si>
  <si>
    <t>Energy Use: Delivered: All Sectors: Electricity Related Losses: High Zero-Carbon Technology Cost</t>
  </si>
  <si>
    <t>AEO.2025.HIGHZTC.CNSM_ENU_ALLS_NA_ERL_DELV_NA_QBTU.A</t>
  </si>
  <si>
    <t>Energy Use: Delivered: All Sectors: Hydrogen Related Losses: High Zero-Carbon Technology Cost</t>
  </si>
  <si>
    <t>AEO.2025.HIGHZTC.CNSM_ENU_ALLS_NA_H2RELLOS_DELV_NA_QBTU.A</t>
  </si>
  <si>
    <t>Energy Use: Delivered: All Sectors: Total: High Zero-Carbon Technology Cost</t>
  </si>
  <si>
    <t>AEO.2025.HIGHZTC.CNSM_ENU_ALLS_NA_TOT_NA_NA_QBTU.A</t>
  </si>
  <si>
    <t>Electric Power</t>
  </si>
  <si>
    <t>Energy Use: Electric Power: Distillate Fuel Oil: High Zero-Carbon Technology Cost</t>
  </si>
  <si>
    <t>AEO.2025.HIGHZTC.CNSM_ENU_ELEP_NA_DFO_NA_NA_QBTU.A</t>
  </si>
  <si>
    <t>Energy Use: Electric Power: Residual Fuel Oil: High Zero-Carbon Technology Cost</t>
  </si>
  <si>
    <t>AEO.2025.HIGHZTC.CNSM_ENU_ELEP_NA_RFO_NA_NA_QBTU.A</t>
  </si>
  <si>
    <t>Energy Use: Electric Power: Liquid Fuels Subtotal: High Zero-Carbon Technology Cost</t>
  </si>
  <si>
    <t>AEO.2025.HIGHZTC.CNSM_ENU_ELEP_NA_LFL_NA_NA_QBTU.A</t>
  </si>
  <si>
    <t>Energy Use: Electric Power: Natural Gas: High Zero-Carbon Technology Cost</t>
  </si>
  <si>
    <t>AEO.2025.HIGHZTC.CNSM_ENU_ELEP_NA_NG_NA_NA_QBTU.A</t>
  </si>
  <si>
    <t>Steam Coal</t>
  </si>
  <si>
    <t>Energy Use: Electric Power: Steam Coal: High Zero-Carbon Technology Cost</t>
  </si>
  <si>
    <t>AEO.2025.HIGHZTC.CNSM_ENU_ELEP_NA_STC_NA_NA_QBTU.A</t>
  </si>
  <si>
    <t>Nuclear / Uranium</t>
  </si>
  <si>
    <t>Energy Use: Electric Power: Nuclear: High Zero-Carbon Technology Cost</t>
  </si>
  <si>
    <t>AEO.2025.HIGHZTC.CNSM_ENU_ELEP_NA_NUC_NA_NA_QBTU.A</t>
  </si>
  <si>
    <t>Energy Use: Electric Power: Renewable Energy: High Zero-Carbon Technology Cost</t>
  </si>
  <si>
    <t>AEO.2025.HIGHZTC.CNSM_ENU_ELEP_NA_REN_NA_NA_QBTU.A</t>
  </si>
  <si>
    <t>Energy Use: Electric Power: Hydrogen: High Zero-Carbon Technology Cost</t>
  </si>
  <si>
    <t>AEO.2025.HIGHZTC.CNSM_ENU_ELEP_NA_HDG_NA_NA_QBTU.A</t>
  </si>
  <si>
    <t>- -</t>
  </si>
  <si>
    <t>Non-biogenic Municipal Waste</t>
  </si>
  <si>
    <t>Energy Use: Electric Power: Non-biogenic Municipal Waste: High Zero-Carbon Technology Cost</t>
  </si>
  <si>
    <t>AEO.2025.HIGHZTC.CNSM_ENU_ELEP_NA_NBMSW_NA_NA_QBTU.A</t>
  </si>
  <si>
    <t>Electricity Imports</t>
  </si>
  <si>
    <t>Energy Use: Electric Power: Electricity Imports: High Zero-Carbon Technology Cost</t>
  </si>
  <si>
    <t>AEO.2025.HIGHZTC.CNSM_ENU_ELEP_NA_ELI_NA_NA_QBTU.A</t>
  </si>
  <si>
    <t>Total Energy</t>
  </si>
  <si>
    <t>Energy Use: Electric Power: Total Energy: High Zero-Carbon Technology Cost</t>
  </si>
  <si>
    <t>AEO.2025.HIGHZTC.CNSM_ENU_ELEP_NA_TEN_NA_NA_QBTU.A</t>
  </si>
  <si>
    <t>Energy Use: Electric Power: Hydrogen Related Losses: High Zero-Carbon Technology Cost</t>
  </si>
  <si>
    <t>AEO.2025.HIGHZTC.CNSM_ENU_ELEP_NA_H2RELLOS_NA_NA_QBTU.A</t>
  </si>
  <si>
    <t>Energy Use: Electric Power: Total: High Zero-Carbon Technology Cost</t>
  </si>
  <si>
    <t>AEO.2025.HIGHZTC.CNSM_ENU_ELEP_NA_TOT_NA_NA_QBTU.A</t>
  </si>
  <si>
    <t>Industrial: Hydrogen Production</t>
  </si>
  <si>
    <t>Energy Use: Industrial: Hydrogen Production: Natural Gas: High Zero-Carbon Technology Cost</t>
  </si>
  <si>
    <t>AEO.2025.HIGHZTC.INDH2_ENU_TEN_NA_NGAS_NA_NA_QBTU.A</t>
  </si>
  <si>
    <t>Energy Use: Industrial: Hydrogen Production: Purchased Electricity: High Zero-Carbon Technology Cost</t>
  </si>
  <si>
    <t>AEO.2025.HIGHZTC.INDH2_ENU_TEN_NA_PURCHELEC_NA_NA_QBTU.A</t>
  </si>
  <si>
    <t>Byproduct Hydrogen</t>
  </si>
  <si>
    <t>Energy Use: High Zero-Carbon Technology Cost</t>
  </si>
  <si>
    <t>AEO.2025.HIGHZTC.INDH2_ENU_TEN_NA_NA_NA_NA_NA.A</t>
  </si>
  <si>
    <t>Energy Use: Industrial: Hydrogen Production: Total Energy: High Zero-Carbon Technology Cost</t>
  </si>
  <si>
    <t>AEO.2025.HIGHZTC.INDH2_ENU_TEN_NA_TEN_NA_NA_QBTU.A</t>
  </si>
  <si>
    <t>Energy Use: Industrial: Hydrogen Production: Electricity Related Losses: High Zero-Carbon Technology Cost</t>
  </si>
  <si>
    <t>AEO.2025.HIGHZTC.INDH2_ENU_TEN_NA_ELC_NA_NA_QBTU.A</t>
  </si>
  <si>
    <t>Energy Use: Industrial: Hydrogen Production: Total: High Zero-Carbon Technology Cost</t>
  </si>
  <si>
    <t>AEO.2025.HIGHZTC.INDH2_ENU_TEN_NA_TOT_NA_NA_QBTU.A</t>
  </si>
  <si>
    <t>Total Energy Consumption</t>
  </si>
  <si>
    <t>Energy Use: Total: Liquefied Petroleum Gases: High Zero-Carbon Technology Cost</t>
  </si>
  <si>
    <t>AEO.2025.HIGHZTC.CNSM_ENU_TEN_NA_LPG_NA_NA_QBTU.A</t>
  </si>
  <si>
    <t>Energy Use: Total: Motor Gasoline: High Zero-Carbon Technology Cost</t>
  </si>
  <si>
    <t>AEO.2025.HIGHZTC.CNSM_ENU_TEN_NA_MGS_NA_NA_QBTU.A</t>
  </si>
  <si>
    <t>Energy Use: Total: E85: High Zero-Carbon Technology Cost</t>
  </si>
  <si>
    <t>AEO.2025.HIGHZTC.CNSM_ENU_TEN_NA_E85_NA_NA_QBTU.A</t>
  </si>
  <si>
    <t>Energy Use: Total: Jet Fuel: High Zero-Carbon Technology Cost</t>
  </si>
  <si>
    <t>AEO.2025.HIGHZTC.CNSM_ENU_TEN_NA_JFL_NA_NA_QBTU.A</t>
  </si>
  <si>
    <t>Energy Use: Total: Kerosene: High Zero-Carbon Technology Cost</t>
  </si>
  <si>
    <t>AEO.2025.HIGHZTC.CNSM_ENU_TEN_NA_KRS_NA_NA_QBTU.A</t>
  </si>
  <si>
    <t>Energy Use: Total: Distillate Fuel Oil: High Zero-Carbon Technology Cost</t>
  </si>
  <si>
    <t>AEO.2025.HIGHZTC.CNSM_ENU_TEN_NA_DFO_NA_NA_QBTU.A</t>
  </si>
  <si>
    <t>Energy Use: Total: Residual Fuel Oil: High Zero-Carbon Technology Cost</t>
  </si>
  <si>
    <t>AEO.2025.HIGHZTC.CNSM_ENU_TEN_NA_RFO_NA_NA_QBTU.A</t>
  </si>
  <si>
    <t>Energy Use: Total: Petrochemical Feedstocks: High Zero-Carbon Technology Cost</t>
  </si>
  <si>
    <t>AEO.2025.HIGHZTC.CNSM_ENU_TEN_NA_PCF_NA_NA_QBTU.A</t>
  </si>
  <si>
    <t>Energy Use: Total: Other Petroleum: High Zero-Carbon Technology Cost</t>
  </si>
  <si>
    <t>AEO.2025.HIGHZTC.CNSM_ENU_TEN_NA_ONP_NA_NA_QBTU.A</t>
  </si>
  <si>
    <t>Energy Use: Total: Liquid Fuels Subtotal: High Zero-Carbon Technology Cost</t>
  </si>
  <si>
    <t>AEO.2025.HIGHZTC.CNSM_ENU_TEN_NA_LFL_NA_NA_QBTU.A</t>
  </si>
  <si>
    <t>Energy Use: Total: Natural Gas: High Zero-Carbon Technology Cost</t>
  </si>
  <si>
    <t>AEO.2025.HIGHZTC.CNSM_ENU_TEN_NA_NG_NA_NA_QBTU.A</t>
  </si>
  <si>
    <t>Energy Use: Total: Lease and Plant Fuel: High Zero-Carbon Technology Cost</t>
  </si>
  <si>
    <t>AEO.2025.HIGHZTC.CNSM_ENU_TEN_NA_LSAPFL_NA_NA_QBTU.A</t>
  </si>
  <si>
    <t>Energy Use: Total: Liquefaction: High Zero-Carbon Technology Cost</t>
  </si>
  <si>
    <t>AEO.2025.HIGHZTC.CNSM_ENU_TEN_NA_LQFCT_NA_NA_QBTU.A</t>
  </si>
  <si>
    <t>Energy Use: Total: Pipeline Natural Gas: High Zero-Carbon Technology Cost</t>
  </si>
  <si>
    <t>AEO.2025.HIGHZTC.CNSM_ENU_TEN_NA_PPN_NA_NA_QBTU.A</t>
  </si>
  <si>
    <t>Energy Use: Total: Natural Gas Subtotal: High Zero-Carbon Technology Cost</t>
  </si>
  <si>
    <t>AEO.2025.HIGHZTC.CNSM_ENU_TEN_NA_NGS_NA_NA_QBTU.A</t>
  </si>
  <si>
    <t>Energy Use: Total: Metallurgical Coal: High Zero-Carbon Technology Cost</t>
  </si>
  <si>
    <t>AEO.2025.HIGHZTC.CNSM_ENU_TEN_NA_MTC_NA_NA_QBTU.A</t>
  </si>
  <si>
    <t>Energy Use: Total: Other Coal: High Zero-Carbon Technology Cost</t>
  </si>
  <si>
    <t>AEO.2025.HIGHZTC.CNSM_ENU_TEN_NA_OCA_NA_NA_QBTU.A</t>
  </si>
  <si>
    <t>Energy Use: Total: Net Coal Coke Imports: High Zero-Carbon Technology Cost</t>
  </si>
  <si>
    <t>AEO.2025.HIGHZTC.CNSM_ENU_TEN_NA_NCC_NA_NA_QBTU.A</t>
  </si>
  <si>
    <t>Energy Use: Total: Coal Subtotal: High Zero-Carbon Technology Cost</t>
  </si>
  <si>
    <t>AEO.2025.HIGHZTC.CNSM_ENU_TEN_NA_COS_NA_NA_QBTU.A</t>
  </si>
  <si>
    <t>Energy Use: Total: Nuclear: High Zero-Carbon Technology Cost</t>
  </si>
  <si>
    <t>AEO.2025.HIGHZTC.CNSM_ENU_TEN_NA_NUC_NA_NA_QBTU.A</t>
  </si>
  <si>
    <t>Energy Use: Total: Biofuels Heat and Coproducts: High Zero-Carbon Technology Cost</t>
  </si>
  <si>
    <t>AEO.2025.HIGHZTC.CNSM_ENU_TEN_NA_BFH_NA_NA_QBTU.A</t>
  </si>
  <si>
    <t>Energy Use: Total: Renewable Energy: High Zero-Carbon Technology Cost</t>
  </si>
  <si>
    <t>AEO.2025.HIGHZTC.CNSM_ENU_TEN_NA_REN_NA_NA_QBTU.A</t>
  </si>
  <si>
    <t>Energy Use: Total: Non-biogenic Municipal Waste: High Zero-Carbon Technology Cost</t>
  </si>
  <si>
    <t>AEO.2025.HIGHZTC.CNSM_ENU_TEN_NA_NBMSW_NA_NA_QBTU.A</t>
  </si>
  <si>
    <t>Energy Use: Total: Electricity Imports: High Zero-Carbon Technology Cost</t>
  </si>
  <si>
    <t>AEO.2025.HIGHZTC.CNSM_ENU_TEN_NA_ELI_NA_NA_QBTU.A</t>
  </si>
  <si>
    <t>AEO.2025.HIGHZTC.CNSM_ENU_BYPRDH2_NA_ELI_NA_NA_QBTU.A</t>
  </si>
  <si>
    <t>Energy Use: Total: Total: High Zero-Carbon Technology Cost</t>
  </si>
  <si>
    <t>AEO.2025.HIGHZTC.CNSM_ENU_TEN_NA_TOT_NA_NA_QBTU.A</t>
  </si>
  <si>
    <t>Energy Use &amp; Related Statistics</t>
  </si>
  <si>
    <t>Delivered Energy Use</t>
  </si>
  <si>
    <t>Energy Use &amp; Related Statistics: Delivered Energy Use: High Zero-Carbon Technology Cost</t>
  </si>
  <si>
    <t>AEO.2025.HIGHZTC.CNSM_DEU_TOTD_NA_DEU_NA_NA_QBTU.A</t>
  </si>
  <si>
    <t>Total Energy Use</t>
  </si>
  <si>
    <t>Energy Use &amp; Related Statistics: Total Energy Use: High Zero-Carbon Technology Cost</t>
  </si>
  <si>
    <t>AEO.2025.HIGHZTC.CNSM_ENU_TEN_NA_TEU_NA_NA_QBTU.A</t>
  </si>
  <si>
    <t>Ethanol (denatured) Consumed in Motor Gasoline and E85</t>
  </si>
  <si>
    <t>Energy Use &amp; Related Statistics: Ethanol Consumed in Motor Gasoline and E85: High Zero-Carbon Technology Cost</t>
  </si>
  <si>
    <t>AEO.2025.HIGHZTC.CNSM_ENU_NA_NA_EM1_NA_NA_QBTU.A</t>
  </si>
  <si>
    <t>Population (millions)</t>
  </si>
  <si>
    <t>Energy Use &amp; Related Statistics: Population: High Zero-Carbon Technology Cost</t>
  </si>
  <si>
    <t>AEO.2025.HIGHZTC.DMG_POP_NA_NA_NA_NA_NA_MILL.A</t>
  </si>
  <si>
    <t>millions</t>
  </si>
  <si>
    <t>Gross Domestic Product (billion 2012 dollars)</t>
  </si>
  <si>
    <t>Energy Use &amp; Related Statistics: Gross Domestic Product: High Zero-Carbon Technology Cost</t>
  </si>
  <si>
    <t>AEO.2025.HIGHZTC.KEI_GDP_NA_NA_NA_NA_NA_BLNY09DLR.A</t>
  </si>
  <si>
    <t>billion 2012 $</t>
  </si>
  <si>
    <t>Carbon Dioxide Emissions (million metric</t>
  </si>
  <si>
    <t>tons CO2)</t>
  </si>
  <si>
    <t>Energy Use &amp; Related Statistics: Carbon Dioxide Emissions: High Zero-Carbon Technology Cost</t>
  </si>
  <si>
    <t>AEO.2025.HIGHZTC.EMI_CO2_NA_NA_NA_NA_NA_MILLMTCO2EQ.A</t>
  </si>
  <si>
    <t>MMmtcarbon dioxide</t>
  </si>
  <si>
    <t>Table 3.  Energy Prices by Sector and Source</t>
  </si>
  <si>
    <t>https://www.eia.gov/outlooks/aeo/data/browser/#/?id=3-AEO2025&amp;cases=highZTC&amp;sourcekey=0</t>
  </si>
  <si>
    <t>Tue Dec 02 2025 13:12:56 GMT-0800 (Pacific Standard Time)</t>
  </si>
  <si>
    <t>Energy Prices: Residential: Propane: High Zero-Carbon Technology Cost</t>
  </si>
  <si>
    <t>AEO.2025.HIGHZTC.PRCE_REAL_RESD_NA_PROP_NA_NA_Y13DLRPMMBTU.A</t>
  </si>
  <si>
    <t>2024 $/MMBtu</t>
  </si>
  <si>
    <t>Energy Prices: Residential: Distillate Fuel Oil: High Zero-Carbon Technology Cost</t>
  </si>
  <si>
    <t>AEO.2025.HIGHZTC.PRCE_REAL_RESD_NA_DFO_NA_NA_Y13DLRPMMBTU.A</t>
  </si>
  <si>
    <t>Energy Prices: Residential: Natural Gas: High Zero-Carbon Technology Cost</t>
  </si>
  <si>
    <t>AEO.2025.HIGHZTC.PRCE_REAL_RESD_NA_NG_NA_NA_Y13DLRPMMBTU.A</t>
  </si>
  <si>
    <t>Electricity</t>
  </si>
  <si>
    <t>Energy Prices: Residential: Electricity: High Zero-Carbon Technology Cost</t>
  </si>
  <si>
    <t>AEO.2025.HIGHZTC.PRCE_REAL_RESD_NA_ELC_NA_NA_Y13DLRPMMBTU.A</t>
  </si>
  <si>
    <t>Energy Prices: Commercial: Propane: High Zero-Carbon Technology Cost</t>
  </si>
  <si>
    <t>AEO.2025.HIGHZTC.PRCE_REAL_COMM_NA_PROP_NA_NA_Y13DLRPMMBTU.A</t>
  </si>
  <si>
    <t>Energy Prices: Commercial: Distillate Fuel Oil: High Zero-Carbon Technology Cost</t>
  </si>
  <si>
    <t>AEO.2025.HIGHZTC.PRCE_REAL_COMM_NA_DFO_NA_NA_Y13DLRPMMBTU.A</t>
  </si>
  <si>
    <t>Energy Prices: Commercial: Residual Fuel: High Zero-Carbon Technology Cost</t>
  </si>
  <si>
    <t>AEO.2025.HIGHZTC.PRCE_REAL_COMM_NA_RFL_NA_NA_Y13DLRPMMBTU.A</t>
  </si>
  <si>
    <t>Energy Prices: Commercial: Natural Gas: High Zero-Carbon Technology Cost</t>
  </si>
  <si>
    <t>AEO.2025.HIGHZTC.PRCE_REAL_COMM_NA_NG_NA_NA_Y13DLRPMMBTU.A</t>
  </si>
  <si>
    <t>Energy Prices: Commercial: Electricity: High Zero-Carbon Technology Cost</t>
  </si>
  <si>
    <t>AEO.2025.HIGHZTC.PRCE_REAL_COMM_NA_ELC_NA_NA_Y13DLRPMMBTU.A</t>
  </si>
  <si>
    <t>Energy Prices: Industrial: Propane: High Zero-Carbon Technology Cost</t>
  </si>
  <si>
    <t>AEO.2025.HIGHZTC.PRCE_REAL_IDAL_NA_PROP_NA_NA_Y13DLRPMMBTU.A</t>
  </si>
  <si>
    <t>Energy Prices: Industrial: Distillate Fuel Oil: High Zero-Carbon Technology Cost</t>
  </si>
  <si>
    <t>AEO.2025.HIGHZTC.PRCE_REAL_IDAL_NA_DFO_NA_NA_Y13DLRPMMBTU.A</t>
  </si>
  <si>
    <t>Energy Prices: Industrial: Residual Fuel Oil: High Zero-Carbon Technology Cost</t>
  </si>
  <si>
    <t>AEO.2025.HIGHZTC.PRCE_REAL_IDAL_NA_RFO_NA_NA_Y13DLRPMMBTU.A</t>
  </si>
  <si>
    <t>Energy Prices: Industrial: Natural Gas: High Zero-Carbon Technology Cost</t>
  </si>
  <si>
    <t>AEO.2025.HIGHZTC.PRCE_REAL_IDAL_NA_NG_NA_NA_Y13DLRPMMBTU.A</t>
  </si>
  <si>
    <t>Energy Prices: Industrial: Metallurgical Coal: High Zero-Carbon Technology Cost</t>
  </si>
  <si>
    <t>AEO.2025.HIGHZTC.PRCE_REAL_IDAL_NA_MTC_NA_NA_Y13DLRPMMBTU.A</t>
  </si>
  <si>
    <t>Energy Prices: Industrial: Other Industrial Coal: High Zero-Carbon Technology Cost</t>
  </si>
  <si>
    <t>AEO.2025.HIGHZTC.PRCE_REAL_IDAL_NA_OIC_NA_NA_Y13DLRPMMBTU.A</t>
  </si>
  <si>
    <t>Energy Prices: Industrial: Hydrogen: High Zero-Carbon Technology Cost</t>
  </si>
  <si>
    <t>AEO.2025.HIGHZTC.PRCE_REAL_IDAL_NA_HDG_NA_NA_Y13DLRPMMBTU.A</t>
  </si>
  <si>
    <t>Energy Prices: Industrial: Electricity: High Zero-Carbon Technology Cost</t>
  </si>
  <si>
    <t>AEO.2025.HIGHZTC.PRCE_REAL_IDAL_NA_ELC_NA_NA_Y13DLRPMMBTU.A</t>
  </si>
  <si>
    <t>Energy Prices: Transportation: Propane: High Zero-Carbon Technology Cost</t>
  </si>
  <si>
    <t>AEO.2025.HIGHZTC.PRCE_REAL_TRN_NA_PROP_NA_NA_Y13DLRPMMBTU.A</t>
  </si>
  <si>
    <t>E85</t>
  </si>
  <si>
    <t>Energy Prices: Transportation: E85: High Zero-Carbon Technology Cost</t>
  </si>
  <si>
    <t>AEO.2025.HIGHZTC.PRCE_REAL_TRN_NA_E85_NA_NA_Y13DLRPMMBTU.A</t>
  </si>
  <si>
    <t>Energy Prices: Transportation: Motor Gasoline: High Zero-Carbon Technology Cost</t>
  </si>
  <si>
    <t>AEO.2025.HIGHZTC.PRCE_REAL_TRN_NA_MGS_NA_NA_Y13DLRPMMBTU.A</t>
  </si>
  <si>
    <t>Energy Prices: Transportation: Jet Fuel: High Zero-Carbon Technology Cost</t>
  </si>
  <si>
    <t>AEO.2025.HIGHZTC.PRCE_REAL_TRN_NA_JFL_NA_NA_Y13DLRPMMBTU.A</t>
  </si>
  <si>
    <t>Diesel Fuel (distillate fuel oil)</t>
  </si>
  <si>
    <t>Energy Prices: Transportation: Diesel Fuel: High Zero-Carbon Technology Cost</t>
  </si>
  <si>
    <t>AEO.2025.HIGHZTC.PRCE_REAL_TRN_NA_DFU_NA_NA_Y13DLRPMMBTU.A</t>
  </si>
  <si>
    <t>Energy Prices: Transportation: Residual Fuel Oil: High Zero-Carbon Technology Cost</t>
  </si>
  <si>
    <t>AEO.2025.HIGHZTC.PRCE_REAL_TRN_NA_RFO_NA_NA_Y13DLRPMMBTU.A</t>
  </si>
  <si>
    <t>Energy Prices: Transportation: Natural Gas: High Zero-Carbon Technology Cost</t>
  </si>
  <si>
    <t>AEO.2025.HIGHZTC.PRCE_REAL_TRN_NA_NG_NA_NA_Y13DLRPMMBTU.A</t>
  </si>
  <si>
    <t>Energy Prices: Transportation: Hydrogen: High Zero-Carbon Technology Cost</t>
  </si>
  <si>
    <t>AEO.2025.HIGHZTC.PRCE_REAL_TRN_NA_HDG_NA_NA_Y13DLRPMMBTU.A</t>
  </si>
  <si>
    <t>Energy Prices: Transportation: Electricity: High Zero-Carbon Technology Cost</t>
  </si>
  <si>
    <t>AEO.2025.HIGHZTC.PRCE_REAL_TRN_NA_ELC_NA_NA_Y13DLRPMMBTU.A</t>
  </si>
  <si>
    <t>Energy Prices: Electric Power: Distillate Fuel Oil: High Zero-Carbon Technology Cost</t>
  </si>
  <si>
    <t>AEO.2025.HIGHZTC.PRCE_REAL_ELEP_NA_DFO_NA_NA_Y13DLRPMMBTU.A</t>
  </si>
  <si>
    <t>Energy Prices: Electric Power: Residual Fuel Oil: High Zero-Carbon Technology Cost</t>
  </si>
  <si>
    <t>AEO.2025.HIGHZTC.PRCE_REAL_ELEP_NA_RFO_NA_NA_Y13DLRPMMBTU.A</t>
  </si>
  <si>
    <t>Energy Prices: Electric Power: Natural Gas: High Zero-Carbon Technology Cost</t>
  </si>
  <si>
    <t>AEO.2025.HIGHZTC.PRCE_REAL_ELEP_NA_NG_NA_NA_Y13DLRPMMBTU.A</t>
  </si>
  <si>
    <t>Energy Prices: Electric Power: Steam Coal: High Zero-Carbon Technology Cost</t>
  </si>
  <si>
    <t>AEO.2025.HIGHZTC.PRCE_REAL_ELEP_NA_STC_NA_NA_Y13DLRPMMBTU.A</t>
  </si>
  <si>
    <t>Uranium</t>
  </si>
  <si>
    <t>Energy Prices: Electric Power: Uranium: High Zero-Carbon Technology Cost</t>
  </si>
  <si>
    <t>AEO.2025.HIGHZTC.PRCE_REAL_ELEP_NA_U_NA_NA_Y13DLRPMMBTU.A</t>
  </si>
  <si>
    <t>Energy Prices: Electric Power: Hydrogen: High Zero-Carbon Technology Cost</t>
  </si>
  <si>
    <t>AEO.2025.HIGHZTC.PRCE_REAL_ELEP_NA_HDG_NA_NA_Y13DLRPMMBTU.A</t>
  </si>
  <si>
    <t>Average Price to All Users</t>
  </si>
  <si>
    <t>Energy Prices: Average Price to All Users: Propane: High Zero-Carbon Technology Cost</t>
  </si>
  <si>
    <t>AEO.2025.HIGHZTC.PRCE_REAL_TEN_NA_PROP_NA_NA_Y13DLRPMMBTU.A</t>
  </si>
  <si>
    <t>Energy Prices: Average Price to All Users: E85: High Zero-Carbon Technology Cost</t>
  </si>
  <si>
    <t>AEO.2025.HIGHZTC.PRCE_REAL_TEN_NA_E85_NA_NA_Y13DLRPMMBTU.A</t>
  </si>
  <si>
    <t>Energy Prices: Average Price to All Users: Motor Gasoline: High Zero-Carbon Technology Cost</t>
  </si>
  <si>
    <t>AEO.2025.HIGHZTC.PRCE_REAL_TEN_NA_MGS_NA_NA_Y13DLRPMMBTU.A</t>
  </si>
  <si>
    <t>Energy Prices: Average Price to All Users: Jet Fuel: High Zero-Carbon Technology Cost</t>
  </si>
  <si>
    <t>AEO.2025.HIGHZTC.PRCE_REAL_TEN_NA_JFL_NA_NA_Y13DLRPMMBTU.A</t>
  </si>
  <si>
    <t>Energy Prices: Average Price to All Users: Distillate Fuel Oil: High Zero-Carbon Technology Cost</t>
  </si>
  <si>
    <t>AEO.2025.HIGHZTC.PRCE_REAL_TEN_NA_DFO_NA_NA_Y13DLRPMMBTU.A</t>
  </si>
  <si>
    <t>Energy Prices: Average Price to All Users: Residual Fuel Oil: High Zero-Carbon Technology Cost</t>
  </si>
  <si>
    <t>AEO.2025.HIGHZTC.PRCE_REAL_TEN_NA_RFO_NA_NA_Y13DLRPMMBTU.A</t>
  </si>
  <si>
    <t>Energy Prices: Average Price to All Users: Natural Gas: High Zero-Carbon Technology Cost</t>
  </si>
  <si>
    <t>AEO.2025.HIGHZTC.PRCE_REAL_TEN_NA_NG_NA_NA_Y13DLRPMMBTU.A</t>
  </si>
  <si>
    <t>Energy Prices: Average Price to All Users: Metallurgical Coal: High Zero-Carbon Technology Cost</t>
  </si>
  <si>
    <t>AEO.2025.HIGHZTC.PRCE_REAL_TEN_NA_MTC_NA_NA_Y13DLRPMMBTU.A</t>
  </si>
  <si>
    <t>Energy Prices: Average Price to All Users: Other Coal: High Zero-Carbon Technology Cost</t>
  </si>
  <si>
    <t>AEO.2025.HIGHZTC.PRCE_REAL_TEN_NA_OCA_NA_NA_Y13DLRPMMBTU.A</t>
  </si>
  <si>
    <t>Energy Prices: Average Price to All Users: Hydrogen: High Zero-Carbon Technology Cost</t>
  </si>
  <si>
    <t>AEO.2025.HIGHZTC.PRCE_REAL_TEN_NA_HDG_NA_NA_Y13DLRPMMBTU.A</t>
  </si>
  <si>
    <t>Energy Prices: Average Price to All Users: Electricity: High Zero-Carbon Technology Cost</t>
  </si>
  <si>
    <t>AEO.2025.HIGHZTC.PRCE_REAL_TEN_NA_ELC_NA_NA_Y13DLRPMMBTU.A</t>
  </si>
  <si>
    <t>Non-Renewable Energy Expenditures by Sector</t>
  </si>
  <si>
    <t>(billion 2024 dollars)</t>
  </si>
  <si>
    <t>Energy Expenditures: Non-Renewable Residential: High Zero-Carbon Technology Cost</t>
  </si>
  <si>
    <t>AEO.2025.HIGHZTC.EXPD_REAL_RESD_NA_NRN_NA_NA_BLNY13DLR.A</t>
  </si>
  <si>
    <t>billion 2024 $</t>
  </si>
  <si>
    <t>Energy Expenditures: Non-Renewable Commercial: High Zero-Carbon Technology Cost</t>
  </si>
  <si>
    <t>AEO.2025.HIGHZTC.EXPD_REAL_COMM_NA_NRN_NA_NA_BLNY13DLR.A</t>
  </si>
  <si>
    <t>Energy Expenditures: Non-Renewable Industrial: High Zero-Carbon Technology Cost</t>
  </si>
  <si>
    <t>AEO.2025.HIGHZTC.EXPD_REAL_IDAL_NA_NRN_NA_NA_BLNY13DLR.A</t>
  </si>
  <si>
    <t>Energy Expenditures: Non-Renewable Transportation: High Zero-Carbon Technology Cost</t>
  </si>
  <si>
    <t>AEO.2025.HIGHZTC.EXPD_REAL_TRN_NA_NRN_NA_NA_BLNY13DLR.A</t>
  </si>
  <si>
    <t>Total Non-Renewable Expenditures</t>
  </si>
  <si>
    <t>Energy Expenditures: Total Non-Renewable: High Zero-Carbon Technology Cost</t>
  </si>
  <si>
    <t>AEO.2025.HIGHZTC.EXPD_REAL_TEN_NA_NRN_NA_NA_BLNY13DLR.A</t>
  </si>
  <si>
    <t>Transportation Renewable Expenditures</t>
  </si>
  <si>
    <t>Energy Expenditures: Renewable Transportation: High Zero-Carbon Technology Cost</t>
  </si>
  <si>
    <t>AEO.2025.HIGHZTC.EXPD_REAL_TRN_NA_RNW_NA_NA_BLNY13DLR.A</t>
  </si>
  <si>
    <t>Total Expenditures</t>
  </si>
  <si>
    <t>Energy Expenditures: High Zero-Carbon Technology Cost</t>
  </si>
  <si>
    <t>AEO.2025.HIGHZTC.EXPD_REAL_TEN_NA_NA_NA_NA_BLNY13DLR.A</t>
  </si>
  <si>
    <t>Prices in Nominal Dollars</t>
  </si>
  <si>
    <t>Energy Prices: Nominal: Residential: Propane: High Zero-Carbon Technology Cost</t>
  </si>
  <si>
    <t>AEO.2025.HIGHZTC.PRCE_NOM_RESD_NA_PROP_NA_NA_NDLRPMBTU.A</t>
  </si>
  <si>
    <t>nom $/MMBtu</t>
  </si>
  <si>
    <t>Energy Prices: Nominal: Residential: Distillate Fuel Oil: High Zero-Carbon Technology Cost</t>
  </si>
  <si>
    <t>AEO.2025.HIGHZTC.PRCE_NOM_RESD_NA_DFO_NA_NA_NDLRPMBTU.A</t>
  </si>
  <si>
    <t>Energy Prices: Nominal: Residential: Natural Gas: High Zero-Carbon Technology Cost</t>
  </si>
  <si>
    <t>AEO.2025.HIGHZTC.PRCE_NOM_RESD_NA_NG_NA_NA_NDLRPMBTU.A</t>
  </si>
  <si>
    <t>Energy Prices: Nominal: Residential: Electricity: High Zero-Carbon Technology Cost</t>
  </si>
  <si>
    <t>AEO.2025.HIGHZTC.PRCE_NOM_RESD_NA_ELC_NA_NA_NDLRPMBTU.A</t>
  </si>
  <si>
    <t>Energy Prices: Nominal: Commercial: Propane: High Zero-Carbon Technology Cost</t>
  </si>
  <si>
    <t>AEO.2025.HIGHZTC.PRCE_NOM_COMM_NA_PROP_NA_NA_NDLRPMBTU.A</t>
  </si>
  <si>
    <t>Energy Prices: Nominal: Commercial: Distillate Fuel Oil: High Zero-Carbon Technology Cost</t>
  </si>
  <si>
    <t>AEO.2025.HIGHZTC.PRCE_NOM_COMM_NA_DFO_NA_NA_NDLRPMBTU.A</t>
  </si>
  <si>
    <t>Energy Prices: Nominal: Commercial: Residual Fuel: High Zero-Carbon Technology Cost</t>
  </si>
  <si>
    <t>AEO.2025.HIGHZTC.PRCE_NOM_COMM_NA_RFL_NA_NA_NDLRPMBTU.A</t>
  </si>
  <si>
    <t>Energy Prices: Nominal: Commercial: Natural Gas: High Zero-Carbon Technology Cost</t>
  </si>
  <si>
    <t>AEO.2025.HIGHZTC.PRCE_NOM_COMM_NA_NG_NA_NA_NDLRPMBTU.A</t>
  </si>
  <si>
    <t>Energy Prices: Nominal: Commercial: Electricity: High Zero-Carbon Technology Cost</t>
  </si>
  <si>
    <t>AEO.2025.HIGHZTC.PRCE_NOM_COMM_NA_ELC_NA_NA_NDLRPMBTU.A</t>
  </si>
  <si>
    <t>Energy Prices: Nominal: Industrial: Propane: High Zero-Carbon Technology Cost</t>
  </si>
  <si>
    <t>AEO.2025.HIGHZTC.PRCE_NOM_IDAL_NA_PROP_NA_NA_NDLRPMBTU.A</t>
  </si>
  <si>
    <t>Energy Prices: Nominal: Industrial: Distillate Fuel Oil: High Zero-Carbon Technology Cost</t>
  </si>
  <si>
    <t>AEO.2025.HIGHZTC.PRCE_NOM_IDAL_NA_DFO_NA_NA_NDLRPMBTU.A</t>
  </si>
  <si>
    <t>Energy Prices: Nominal: Industrial: Residual Fuel Oil: High Zero-Carbon Technology Cost</t>
  </si>
  <si>
    <t>AEO.2025.HIGHZTC.PRCE_NOM_IDAL_NA_RFO_NA_NA_NDLRPMBTU.A</t>
  </si>
  <si>
    <t>Energy Prices: Nominal: Industrial: Natural Gas: High Zero-Carbon Technology Cost</t>
  </si>
  <si>
    <t>AEO.2025.HIGHZTC.PRCE_NOM_IDAL_NA_NG_NA_NA_NDLRPMBTU.A</t>
  </si>
  <si>
    <t>Energy Prices: Nominal: Industrial: Metallurgical Coal: High Zero-Carbon Technology Cost</t>
  </si>
  <si>
    <t>AEO.2025.HIGHZTC.PRCE_NOM_IDAL_NA_MTC_NA_NA_NDLRPMBTU.A</t>
  </si>
  <si>
    <t>Energy Prices: Nominal: Industrial: Other Industrial Coal: High Zero-Carbon Technology Cost</t>
  </si>
  <si>
    <t>AEO.2025.HIGHZTC.PRCE_NOM_IDAL_NA_OIC_NA_NA_NDLRPMBTU.A</t>
  </si>
  <si>
    <t>Energy Prices: Nominal: Industrial: Hydrogen: High Zero-Carbon Technology Cost</t>
  </si>
  <si>
    <t>AEO.2025.HIGHZTC.PRCE_NOM_IDAL_NA_HDG_NA_NA_NDLRPMBTU.A</t>
  </si>
  <si>
    <t>Energy Prices: Nominal: Industrial: Electricity: High Zero-Carbon Technology Cost</t>
  </si>
  <si>
    <t>AEO.2025.HIGHZTC.PRCE_NOM_IDAL_NA_ELC_NA_NA_NDLRPMBTU.A</t>
  </si>
  <si>
    <t>Energy Prices: Nominal: Transportation: Propane: High Zero-Carbon Technology Cost</t>
  </si>
  <si>
    <t>AEO.2025.HIGHZTC.PRCE_NOM_TRN_NA_PROP_NA_NA_NDLRPMBTU.A</t>
  </si>
  <si>
    <t>Energy Prices: Nominal: Transportation: E85: High Zero-Carbon Technology Cost</t>
  </si>
  <si>
    <t>AEO.2025.HIGHZTC.PRCE_NOM_TRN_NA_E85_NA_NA_NDLRPMBTU.A</t>
  </si>
  <si>
    <t>Energy Prices: Nominal: Transportation: Motor Gasoline: High Zero-Carbon Technology Cost</t>
  </si>
  <si>
    <t>AEO.2025.HIGHZTC.PRCE_NOM_TRN_NA_MGS_NA_NA_NDLRPMBTU.A</t>
  </si>
  <si>
    <t>Energy Prices: Nominal: Transportation: Jet Fuel: High Zero-Carbon Technology Cost</t>
  </si>
  <si>
    <t>AEO.2025.HIGHZTC.PRCE_NOM_TRN_NA_JFL_NA_NA_NDLRPMBTU.A</t>
  </si>
  <si>
    <t>Energy Prices: Nominal: Transportation: Diesel Fuel: High Zero-Carbon Technology Cost</t>
  </si>
  <si>
    <t>AEO.2025.HIGHZTC.PRCE_NOM_TRN_NA_DFU_NA_NA_NDLRPMBTU.A</t>
  </si>
  <si>
    <t>Energy Prices: Nominal: Transportation: Residual Fuel Oil: High Zero-Carbon Technology Cost</t>
  </si>
  <si>
    <t>AEO.2025.HIGHZTC.PRCE_NOM_TRN_NA_RFO_NA_NA_NDLRPMBTU.A</t>
  </si>
  <si>
    <t>Energy Prices: Nominal: Transportation: Natural Gas: High Zero-Carbon Technology Cost</t>
  </si>
  <si>
    <t>AEO.2025.HIGHZTC.PRCE_NOM_TRN_NA_NG_NA_NA_NDLRPMBTU.A</t>
  </si>
  <si>
    <t>Energy Prices: Nominal: Transportation: Electricity: High Zero-Carbon Technology Cost</t>
  </si>
  <si>
    <t>AEO.2025.HIGHZTC.PRCE_NOM_TRN_NA_ELC_NA_NA_NDLRPMBTU.A</t>
  </si>
  <si>
    <t>Energy Prices: Nominal: Electric Power: Distillate Fuel Oil: High Zero-Carbon Technology Cost</t>
  </si>
  <si>
    <t>AEO.2025.HIGHZTC.PRCE_NOM_ELEP_NA_DFO_NA_NA_NDLRPMBTU.A</t>
  </si>
  <si>
    <t>Energy Prices: Nominal: Electric Power: Residual Fuel Oil: High Zero-Carbon Technology Cost</t>
  </si>
  <si>
    <t>AEO.2025.HIGHZTC.PRCE_NOM_ELEP_NA_RFO_NA_NA_NDLRPMBTU.A</t>
  </si>
  <si>
    <t>Energy Prices: Nominal: Electric Power: Natural Gas: High Zero-Carbon Technology Cost</t>
  </si>
  <si>
    <t>AEO.2025.HIGHZTC.PRCE_NOM_ELEP_NA_NG_NA_NA_NDLRPMBTU.A</t>
  </si>
  <si>
    <t>Energy Prices: Nominal: Electric Power: Steam Coal: High Zero-Carbon Technology Cost</t>
  </si>
  <si>
    <t>AEO.2025.HIGHZTC.PRCE_NOM_ELEP_NA_STC_NA_NA_NDLRPMBTU.A</t>
  </si>
  <si>
    <t>Energy Prices: Nominal: Electric Power: Uranium: High Zero-Carbon Technology Cost</t>
  </si>
  <si>
    <t>AEO.2025.HIGHZTC.PRCE_NOM_ELEP_NA_U_NA_NA_NDLRPMBTU.A</t>
  </si>
  <si>
    <t>AEO.2025.HIGHZTC.NA_NOM_ELEP_NA_HDG_NA_NA_NDLRPMBTU.A</t>
  </si>
  <si>
    <t>Energy Prices: Nominal: Average Price to All Users: Propane: High Zero-Carbon Technology Cost</t>
  </si>
  <si>
    <t>AEO.2025.HIGHZTC.PRCE_NOM_TEN_NA_PROP_NA_NA_NDLRPMBTU.A</t>
  </si>
  <si>
    <t>Energy Prices: Nominal: Average Price to All Users: E85: High Zero-Carbon Technology Cost</t>
  </si>
  <si>
    <t>AEO.2025.HIGHZTC.PRCE_NOM_TEN_NA_E85_NA_NA_NDLRPMBTU.A</t>
  </si>
  <si>
    <t>Energy Prices: Nominal: Average Price to All Users: Motor Gasoline: High Zero-Carbon Technology Cost</t>
  </si>
  <si>
    <t>AEO.2025.HIGHZTC.PRCE_NOM_TEN_NA_MGS_NA_NA_NDLRPMBTU.A</t>
  </si>
  <si>
    <t>Energy Prices: Nominal: Average Price to All Users: Jet Fuel: High Zero-Carbon Technology Cost</t>
  </si>
  <si>
    <t>AEO.2025.HIGHZTC.PRCE_NOM_TEN_NA_JFL_NA_NA_NDLRPMBTU.A</t>
  </si>
  <si>
    <t>Energy Prices: Nominal: Average Price to All Users: Distillate Fuel Oil: High Zero-Carbon Technology Cost</t>
  </si>
  <si>
    <t>AEO.2025.HIGHZTC.PRCE_NOM_TEN_NA_DFO_NA_NA_NDLRPMBTU.A</t>
  </si>
  <si>
    <t>Energy Prices: Nominal: Average Price to All Users: Residual Fuel Oil: High Zero-Carbon Technology Cost</t>
  </si>
  <si>
    <t>AEO.2025.HIGHZTC.PRCE_NOM_TEN_NA_RFO_NA_NA_NDLRPMBTU.A</t>
  </si>
  <si>
    <t>Energy Prices: Nominal: Average Price to All Users: Natural Gas: High Zero-Carbon Technology Cost</t>
  </si>
  <si>
    <t>AEO.2025.HIGHZTC.PRCE_NOM_TEN_NA_NG_NA_NA_NDLRPMBTU.A</t>
  </si>
  <si>
    <t>Energy Prices: Nominal: Average Price to All Users: Metallurgical Coal: High Zero-Carbon Technology Cost</t>
  </si>
  <si>
    <t>AEO.2025.HIGHZTC.PRCE_NOM_TEN_NA_MTC_NA_NA_NDLRPMBTU.A</t>
  </si>
  <si>
    <t>Energy Prices: Nominal: Average Price to All Users: Other Coal: High Zero-Carbon Technology Cost</t>
  </si>
  <si>
    <t>AEO.2025.HIGHZTC.PRCE_NOM_TEN_NA_OCA_NA_NA_NDLRPMBTU.A</t>
  </si>
  <si>
    <t>AEO.2025.HIGHZTC.PRCE_NOM_TEN_NA_HDG_NA_NA_NDLRPMBTU.A</t>
  </si>
  <si>
    <t>Energy Prices: Nominal: Average Price to All Users: Electricity: High Zero-Carbon Technology Cost</t>
  </si>
  <si>
    <t>AEO.2025.HIGHZTC.PRCE_NOM_TEN_NA_ELC_NA_NA_NDLRPMBTU.A</t>
  </si>
  <si>
    <t>(billion nominal dollars)</t>
  </si>
  <si>
    <t>Energy Expenditures: Nominal: Non-Renewable Residential: High Zero-Carbon Technology Cost</t>
  </si>
  <si>
    <t>AEO.2025.HIGHZTC.EXPD_NOM_RESD_NA_NRN_NA_NA_BLNNOMDLR.A</t>
  </si>
  <si>
    <t>billion nom $</t>
  </si>
  <si>
    <t>Energy Expenditures: Nominal: Non-Renewable Commercial: High Zero-Carbon Technology Cost</t>
  </si>
  <si>
    <t>AEO.2025.HIGHZTC.EXPD_NOM_COMM_NA_NRN_NA_NA_BLNNOMDLR.A</t>
  </si>
  <si>
    <t>Energy Expenditures: Nominal: Non-Renewable Industrial: High Zero-Carbon Technology Cost</t>
  </si>
  <si>
    <t>AEO.2025.HIGHZTC.EXPD_NOM_IDAL_NA_NRN_NA_NA_BLNNOMDLR.A</t>
  </si>
  <si>
    <t>Energy Expenditures: Nominal: Non-Renewable Transportation: High Zero-Carbon Technology Cost</t>
  </si>
  <si>
    <t>AEO.2025.HIGHZTC.EXPD_NOM_TRN_NA_NRN_NA_NA_BLNNOMDLR.A</t>
  </si>
  <si>
    <t>Energy Expenditures: Nominal: Total Non-Renewable: High Zero-Carbon Technology Cost</t>
  </si>
  <si>
    <t>AEO.2025.HIGHZTC.EXPD_NOM_TEN_NA_NRN_NA_NA_BLNNOMDLR.A</t>
  </si>
  <si>
    <t>Energy Expenditures: Nominal: Renewable Transportation: High Zero-Carbon Technology Cost</t>
  </si>
  <si>
    <t>AEO.2025.HIGHZTC.EXPD_NOM_TRN_NA_RNW_NA_NA_BLNNOMDLR.A</t>
  </si>
  <si>
    <t>Energy Expenditures: Nominal: High Zero-Carbon Technology Cost</t>
  </si>
  <si>
    <t>AEO.2025.HIGHZTC.EXPD_NOM_TEN_NA_NA_NA_NA_BLNNOMDLR.A</t>
  </si>
  <si>
    <t>Table 6.  Industrial Sector Key Indicators and Consumption</t>
  </si>
  <si>
    <t>https://www.eia.gov/outlooks/aeo/data/browser/#/?id=6-AEO2025&amp;cases=highZTC&amp;sourcekey=0</t>
  </si>
  <si>
    <t>Tue Dec 02 2025 13:18:59 GMT-0800 (Pacific Standard Time)</t>
  </si>
  <si>
    <t>Value of Shipments</t>
  </si>
  <si>
    <t>(billion 2012 dollars)</t>
  </si>
  <si>
    <t>Manufacturing</t>
  </si>
  <si>
    <t>Industrial: Value of Shipments: Manufacturing: High Zero-Carbon Technology Cost</t>
  </si>
  <si>
    <t>AEO.2025.HIGHZTC.ECI_NA_IDAL_MANF_VOS_NA_USA_BLNY09DLR.A</t>
  </si>
  <si>
    <t>Agriculture</t>
  </si>
  <si>
    <t xml:space="preserve"> Mining</t>
  </si>
  <si>
    <t xml:space="preserve"> and Construction</t>
  </si>
  <si>
    <t>Industrial: Value of Shipments: Agriculture, Mining, and Construction: High Zero-Carbon Technology Cost</t>
  </si>
  <si>
    <t>AEO.2025.HIGHZTC.ECI_NA_IDAL_NMFG_VOS_NA_USA_BLNY09DLR.A</t>
  </si>
  <si>
    <t>Industrial: Value of Shipments: Total: High Zero-Carbon Technology Cost</t>
  </si>
  <si>
    <t>AEO.2025.HIGHZTC.ECI_NA_IDAL_NA_VOS_NA_USA_BLNY09DLR.A</t>
  </si>
  <si>
    <t>Energy Prices</t>
  </si>
  <si>
    <t>(2024 dollars per MMBtu)</t>
  </si>
  <si>
    <t>Industrial: Energy Prices: Propane: High Zero-Carbon Technology Cost</t>
  </si>
  <si>
    <t>AEO.2025.HIGHZTC.PRCE_NA_IDAL_HAP_PROP_NA_USA_Y13DLRPMMBTU.A</t>
  </si>
  <si>
    <t>Industrial: Energy Prices: Motor Gasoline: High Zero-Carbon Technology Cost</t>
  </si>
  <si>
    <t>AEO.2025.HIGHZTC.PRCE_NA_IDAL_NA_MGS_NA_USA_Y13DLRPMMBTU.A</t>
  </si>
  <si>
    <t>Industrial: Energy Prices: Distillate Fuel Oil: High Zero-Carbon Technology Cost</t>
  </si>
  <si>
    <t>AEO.2025.HIGHZTC.PRCE_NA_IDAL_NA_DFO_NA_USA_Y13DLRPMMBTU.A</t>
  </si>
  <si>
    <t>Industrial: Energy Prices: Residual Fuel Oil: High Zero-Carbon Technology Cost</t>
  </si>
  <si>
    <t>AEO.2025.HIGHZTC.PRCE_NA_IDAL_NA_RFO_NA_USA_Y13DLRPMMBTU.A</t>
  </si>
  <si>
    <t>Asphalt and Road Oil</t>
  </si>
  <si>
    <t>Industrial: Energy Prices: Asphalt and Road Oil: High Zero-Carbon Technology Cost</t>
  </si>
  <si>
    <t>AEO.2025.HIGHZTC.PRCE_NA_IDAL_NA_ARO_NA_USA_Y13DLRPMMBTU.A</t>
  </si>
  <si>
    <t>Industrial: Energy Prices: Natural Gas: High Zero-Carbon Technology Cost</t>
  </si>
  <si>
    <t>AEO.2025.HIGHZTC.PRCE_NA_IDAL_NA_NG_NA_USA_Y13DLRPMMBTU.A</t>
  </si>
  <si>
    <t>Industrial: Energy Prices: Hydrogen: High Zero-Carbon Technology Cost</t>
  </si>
  <si>
    <t>AEO.2025.HIGHZTC.PRCE_NA_IDAL_NA_HDG_NA_USA_Y13DLRPMMBTU.A</t>
  </si>
  <si>
    <t>Industrial: Energy Prices: Metallurgical Coal: High Zero-Carbon Technology Cost</t>
  </si>
  <si>
    <t>AEO.2025.HIGHZTC.PRCE_NA_IDAL_NA_MTC_NA_USA_Y13DLRPMMBTU.A</t>
  </si>
  <si>
    <t>Industrial: Energy Prices: Other Industrial Coal: High Zero-Carbon Technology Cost</t>
  </si>
  <si>
    <t>AEO.2025.HIGHZTC.PRCE_NA_IDAL_NA_STC_NA_USA_Y13DLRPMMBTU.A</t>
  </si>
  <si>
    <t>Industrial: Energy Prices: Electricity: High Zero-Carbon Technology Cost</t>
  </si>
  <si>
    <t>AEO.2025.HIGHZTC.PRCE_NA_IDAL_NA_ELC_NA_USA_Y13DLRPMMBTU.A</t>
  </si>
  <si>
    <t>(nominal dollars per MMBtu)</t>
  </si>
  <si>
    <t>Industrial: Energy Prices: Nominal: Propane: High Zero-Carbon Technology Cost</t>
  </si>
  <si>
    <t>AEO.2025.HIGHZTC.PRCE_NA_IDAL_HAP_PROP_NA_USA_NDLRPMBTU.A</t>
  </si>
  <si>
    <t>Industrial: Energy Prices: Nominal: Motor Gasoline: High Zero-Carbon Technology Cost</t>
  </si>
  <si>
    <t>AEO.2025.HIGHZTC.PRCE_NA_IDAL_NA_MGS_NA_USA_NDLRPMBTU.A</t>
  </si>
  <si>
    <t>Industrial: Energy Prices: Nominal: Distillate Fuel Oil: High Zero-Carbon Technology Cost</t>
  </si>
  <si>
    <t>AEO.2025.HIGHZTC.PRCE_NA_IDAL_NA_DFO_NA_USA_NDLRPMBTU.A</t>
  </si>
  <si>
    <t>Industrial: Energy Prices: Nominal: Residual Fuel Oil: High Zero-Carbon Technology Cost</t>
  </si>
  <si>
    <t>AEO.2025.HIGHZTC.PRCE_NA_IDAL_NA_RFO_NA_USA_NDLRPMBTU.A</t>
  </si>
  <si>
    <t>Industrial: Energy Prices: Nominal: Asphalt and Road Oil: High Zero-Carbon Technology Cost</t>
  </si>
  <si>
    <t>AEO.2025.HIGHZTC.PRCE_NA_IDAL_NA_ARO_NA_USA_NDLRPMBTU.A</t>
  </si>
  <si>
    <t>Industrial: Energy Prices: Nominal: Natural Gas Heat: High Zero-Carbon Technology Cost</t>
  </si>
  <si>
    <t>AEO.2025.HIGHZTC.PRCE_NA_IDAL_NA_NG_NA_USA_NDLRPMBTU.A</t>
  </si>
  <si>
    <t>Industrial: Energy Prices: Nominal: Hydrogen: High Zero-Carbon Technology Cost</t>
  </si>
  <si>
    <t>AEO.2025.HIGHZTC.PRCE_NA_IDAL_NA_HDG_NA_USA_NDLRPMBTU.A</t>
  </si>
  <si>
    <t>Industrial: Energy Prices: Nominal: Metallurgical Coal: High Zero-Carbon Technology Cost</t>
  </si>
  <si>
    <t>AEO.2025.HIGHZTC.PRCE_NA_IDAL_NA_MTC_NA_USA_NDLRPMBTU.A</t>
  </si>
  <si>
    <t>Industrial: Energy Prices: Nominal: Other Industrial Coal: High Zero-Carbon Technology Cost</t>
  </si>
  <si>
    <t>AEO.2025.HIGHZTC.PRCE_NA_IDAL_NA_STC_NA_USA_NDLRPMBTU.A</t>
  </si>
  <si>
    <t>Industrial: Energy Prices: Nominal: Electricity: High Zero-Carbon Technology Cost</t>
  </si>
  <si>
    <t>AEO.2025.HIGHZTC.PRCE_NA_IDAL_NA_ELC_NA_USA_NDLRPMBTU.A</t>
  </si>
  <si>
    <t>Energy Consumption (quadrillion Btu)</t>
  </si>
  <si>
    <t>Industrial End-Use Consumption Excluding Refining and Hydrogen Production</t>
  </si>
  <si>
    <t>Propane Heat and Power</t>
  </si>
  <si>
    <t>Industrial: Energy Use: Excluding Refining: Propane Heat and Power: High Zero-Carbon Technology Cost</t>
  </si>
  <si>
    <t>AEO.2025.HIGHZTC.CNSM_NA_IDAL_IDEI_LPGHP_NA_USA_QBTU.A</t>
  </si>
  <si>
    <t>Hydrocarbon Gas Liquid Feedstocks</t>
  </si>
  <si>
    <t>Industrial: Energy Use: Excluding Refining: LPG and Other Feedstocks: High Zero-Carbon Technology Cost</t>
  </si>
  <si>
    <t>AEO.2025.HIGHZTC.CNSM_NA_IDAL_IDEI_LPGF_NA_USA_QBTU.A</t>
  </si>
  <si>
    <t>Ethane</t>
  </si>
  <si>
    <t>Industrial: Energy Use: Excluding Refining: Ethane: High Zero-Carbon Technology Cost</t>
  </si>
  <si>
    <t>AEO.2025.HIGHZTC.CNSM_NA_IDAL_IDEI_C2H6_NA_USA_QBTU.A</t>
  </si>
  <si>
    <t>Industrial: Energy Use: Excluding Refining: Propane: High Zero-Carbon Technology Cost</t>
  </si>
  <si>
    <t>AEO.2025.HIGHZTC.CNSM_NA_IDAL_IDEI_PROP_NA_USA_QBTU.A</t>
  </si>
  <si>
    <t>Propylene</t>
  </si>
  <si>
    <t>Industrial: Energy Use: Excluding Refining: Propylene: High Zero-Carbon Technology Cost</t>
  </si>
  <si>
    <t>AEO.2025.HIGHZTC.CNSM_NA_IDAL_IDEI_PPL_NA_USA_QBTU.A</t>
  </si>
  <si>
    <t>Butane</t>
  </si>
  <si>
    <t>Industrial: Energy Use: Excluding Refining: Butane: High Zero-Carbon Technology Cost</t>
  </si>
  <si>
    <t>AEO.2025.HIGHZTC.CNSM_NA_IDAL_IDEI_NBTN_NA_USA_QBTU.A</t>
  </si>
  <si>
    <t>Natural Gasoline</t>
  </si>
  <si>
    <t>Industrial: Energy Use: Excluding Refining: Natural Gas: High Zero-Carbon Technology Cost</t>
  </si>
  <si>
    <t>AEO.2025.HIGHZTC.CNSM_NA_IDAL_IDEI_NG_NA_USA_QBTU.A</t>
  </si>
  <si>
    <t>Industrial: Energy Use: Excluding Refining: Motor Gasoline: High Zero-Carbon Technology Cost</t>
  </si>
  <si>
    <t>AEO.2025.HIGHZTC.CNSM_NA_IDAL_IDEI_MGS_NA_USA_QBTU.A</t>
  </si>
  <si>
    <t>Industrial: Energy Use: Excluding Refining: Distillate Fuel Oil: High Zero-Carbon Technology Cost</t>
  </si>
  <si>
    <t>AEO.2025.HIGHZTC.CNSM_NA_IDAL_IDEI_DFO_NA_USA_QBTU.A</t>
  </si>
  <si>
    <t>Industrial: Energy Use: Excluding Refining: Residual Fuel Oil: High Zero-Carbon Technology Cost</t>
  </si>
  <si>
    <t>AEO.2025.HIGHZTC.CNSM_NA_IDAL_IDEI_RFO_NA_USA_QBTU.A</t>
  </si>
  <si>
    <t>Industrial: Energy Use: Excluding Refining: Petrochemical Feedstocks: High Zero-Carbon Technology Cost</t>
  </si>
  <si>
    <t>AEO.2025.HIGHZTC.CNSM_NA_IDAL_IDEI_PCF_NA_USA_QBTU.A</t>
  </si>
  <si>
    <t>Petroleum Coke</t>
  </si>
  <si>
    <t>Industrial: Energy Use: Excluding Refining: Petroleum Coke: High Zero-Carbon Technology Cost</t>
  </si>
  <si>
    <t>AEO.2025.HIGHZTC.CNSM_NA_IDAL_IDEI_PCK_NA_USA_QBTU.A</t>
  </si>
  <si>
    <t>Industrial: Energy Use: Excluding Refining: Asphalt and Road Oil: High Zero-Carbon Technology Cost</t>
  </si>
  <si>
    <t>AEO.2025.HIGHZTC.CNSM_NA_IDAL_IDEI_ARO_NA_USA_QBTU.A</t>
  </si>
  <si>
    <t>Miscellaneous Petroleum</t>
  </si>
  <si>
    <t>Industrial: Energy Use: Excluding Refining: Miscellaneous Petroleum: High Zero-Carbon Technology Cost</t>
  </si>
  <si>
    <t>AEO.2025.HIGHZTC.CNSM_NA_IDAL_IDEI_MPET_NA_USA_QBTU.A</t>
  </si>
  <si>
    <t>Industrial: Energy Use: Excluding Refining: Petroleum Subtotal: High Zero-Carbon Technology Cost</t>
  </si>
  <si>
    <t>AEO.2025.HIGHZTC.CNSM_NA_IDAL_IDEI_PET_NA_USA_QBTU.A</t>
  </si>
  <si>
    <t>Natural Gas Heat and Power</t>
  </si>
  <si>
    <t>Industrial: Energy Use: Excluding Refining: Natural Gas Heat and Power: High Zero-Carbon Technology Cost</t>
  </si>
  <si>
    <t>AEO.2025.HIGHZTC.CNSM_NA_IDAL_IDEI_NHP_NA_USA_QBTU.A</t>
  </si>
  <si>
    <t>Natural Gas Feedstocks</t>
  </si>
  <si>
    <t>Industrial: Energy Use: Excluding Refining: Natural Gas Feedstocks: High Zero-Carbon Technology Cost</t>
  </si>
  <si>
    <t>AEO.2025.HIGHZTC.CNSM_NA_IDAL_IDEI_NGF_NA_USA_QBTU.A</t>
  </si>
  <si>
    <t>Industrial: Energy Use: Excluding Refining: Lease and Plant Fuel: High Zero-Carbon Technology Cost</t>
  </si>
  <si>
    <t>AEO.2025.HIGHZTC.CNSM_NA_IDAL_IDEI_LSAPFL_NA_USA_QBTU.A</t>
  </si>
  <si>
    <t>Industrial: Energy Use: Excluding Refining: Natural Gas Subtotal: High Zero-Carbon Technology Cost</t>
  </si>
  <si>
    <t>AEO.2025.HIGHZTC.CNSM_NA_IDAL_IDEI_NGS_NA_USA_QBTU.A</t>
  </si>
  <si>
    <t>Hydrogen Consumed as Feedstocks</t>
  </si>
  <si>
    <t>Industrial: Energy Use: Excluding Refining: Hydrogen Feedstocks: High Zero-Carbon Technology Cost</t>
  </si>
  <si>
    <t>AEO.2025.HIGHZTC.CNSM_NA_IDAL_IDEI_H2FEEDSTK_NA_USA_QBTU.A</t>
  </si>
  <si>
    <t>Metallurgical Coal and Coke</t>
  </si>
  <si>
    <t>Industrial: Energy Use: Excluding Refining: Metallurgical Coal and Coke: High Zero-Carbon Technology Cost</t>
  </si>
  <si>
    <t>AEO.2025.HIGHZTC.CNSM_NA_IDAL_IDEI_MCC_NA_USA_QBTU.A</t>
  </si>
  <si>
    <t>Industrial: Energy Use: Excluding Refining: Other Industrial Coal: High Zero-Carbon Technology Cost</t>
  </si>
  <si>
    <t>AEO.2025.HIGHZTC.CNSM_NA_IDAL_IDEI_OIC_NA_USA_QBTU.A</t>
  </si>
  <si>
    <t>Industrial: Energy Use: Excluding Refining: Coal Subtotal: High Zero-Carbon Technology Cost</t>
  </si>
  <si>
    <t>AEO.2025.HIGHZTC.CNSM_NA_IDAL_IDEI_COS_NA_USA_QBTU.A</t>
  </si>
  <si>
    <t>Renewables</t>
  </si>
  <si>
    <t>Industrial: Energy Use: Excluding Refining: Renewables: High Zero-Carbon Technology Cost</t>
  </si>
  <si>
    <t>AEO.2025.HIGHZTC.CNSM_NA_IDAL_IDEI_REB_NA_USA_QBTU.A</t>
  </si>
  <si>
    <t>Industrial: Energy Use: Excluding Refining: Purchased Electricity: High Zero-Carbon Technology Cost</t>
  </si>
  <si>
    <t>AEO.2025.HIGHZTC.CNSM_NA_IDAL_IDEI_PRC_NA_USA_QBTU.A</t>
  </si>
  <si>
    <t>Industrial: Energy Use: Excluding Refining: Delivered Energy: High Zero-Carbon Technology Cost</t>
  </si>
  <si>
    <t>AEO.2025.HIGHZTC.CNSM_NA_IDAL_IDEI_DELE_NA_USA_QBTU.A</t>
  </si>
  <si>
    <t>Industrial: Energy Use: Excluding Refining: Electricity-Related Losses: High Zero-Carbon Technology Cost</t>
  </si>
  <si>
    <t>AEO.2025.HIGHZTC.CNSM_NA_IDAL_IDEI_ELECRELOS_NA_USA_QBTU.A</t>
  </si>
  <si>
    <t>Industrial: Energy Use: Excluding Refining: Hydrogen-Related Losses: High Zero-Carbon Technology Cost</t>
  </si>
  <si>
    <t>AEO.2025.HIGHZTC.CNSM_NA_IDAL_IDEI_H2RELLOS_NA_USA_QBTU.A</t>
  </si>
  <si>
    <t>Industrial: Energy Use: Excluding Refining: Total: High Zero-Carbon Technology Cost</t>
  </si>
  <si>
    <t>AEO.2025.HIGHZTC.CNSM_NA_IDAL_IDEI_TOT_NA_USA_QBTU.A</t>
  </si>
  <si>
    <t>Refining Consumption</t>
  </si>
  <si>
    <t>Industrial: Refining Use: Propane Heat and Power: High Zero-Carbon Technology Cost</t>
  </si>
  <si>
    <t>AEO.2025.HIGHZTC.CNSM_NA_IDAL_REFU_LPGHP_NA_USA_QBTU.A</t>
  </si>
  <si>
    <t>Industrial: Refining Use: Distillate Fuel Oil: High Zero-Carbon Technology Cost</t>
  </si>
  <si>
    <t>AEO.2025.HIGHZTC.CNSM_NA_IDAL_REFU_DFO_NA_USA_QBTU.A</t>
  </si>
  <si>
    <t>Industrial: Refining Use: Residual Fuel Oil: High Zero-Carbon Technology Cost</t>
  </si>
  <si>
    <t>AEO.2025.HIGHZTC.CNSM_NA_IDAL_REFU_RFO_NA_USA_QBTU.A</t>
  </si>
  <si>
    <t>Industrial: Refining Use: Petroleum Coke: High Zero-Carbon Technology Cost</t>
  </si>
  <si>
    <t>AEO.2025.HIGHZTC.CNSM_NA_IDAL_REFU_PCK_NA_USA_QBTU.A</t>
  </si>
  <si>
    <t>Still Gas</t>
  </si>
  <si>
    <t>Industrial: Refining Use: Still Gas: High Zero-Carbon Technology Cost</t>
  </si>
  <si>
    <t>AEO.2025.HIGHZTC.CNSM_NA_IDAL_REFU_SLG_NA_USA_QBTU.A</t>
  </si>
  <si>
    <t>Industrial: Refining Use: Miscellaneous Petroleum: High Zero-Carbon Technology Cost</t>
  </si>
  <si>
    <t>AEO.2025.HIGHZTC.CNSM_NA_IDAL_REFU_MPET_NA_USA_QBTU.A</t>
  </si>
  <si>
    <t>Industrial: Refining Use: Petroleum Subtotal: High Zero-Carbon Technology Cost</t>
  </si>
  <si>
    <t>AEO.2025.HIGHZTC.CNSM_NA_IDAL_REFU_PET_NA_USA_QBTU.A</t>
  </si>
  <si>
    <t>Industrial: Refining Use: Natural Gas Heat and Power: High Zero-Carbon Technology Cost</t>
  </si>
  <si>
    <t>AEO.2025.HIGHZTC.CNSM_NA_IDAL_REFU_NHP_NA_USA_QBTU.A</t>
  </si>
  <si>
    <t>Industrial: Refining Use: Hydrogen Feedstocks: High Zero-Carbon Technology Cost</t>
  </si>
  <si>
    <t>AEO.2025.HIGHZTC.CNSM_NA_IDAL_REFU_H2FEEDSTK_NA_USA_QBTU.A</t>
  </si>
  <si>
    <t>Industrial: Refining Use: Other Industrial Coal: High Zero-Carbon Technology Cost</t>
  </si>
  <si>
    <t>AEO.2025.HIGHZTC.CNSM_NA_IDAL_REFU_OIC_NA_USA_QBTU.A</t>
  </si>
  <si>
    <t>Industrial: Refining Use: Biofuels Heat and Coproducts: High Zero-Carbon Technology Cost</t>
  </si>
  <si>
    <t>AEO.2025.HIGHZTC.CNSM_NA_IDAL_REFU_BFH_NA_USA_QBTU.A</t>
  </si>
  <si>
    <t>Industrial: Refining Use: Purchased Electricity: High Zero-Carbon Technology Cost</t>
  </si>
  <si>
    <t>AEO.2025.HIGHZTC.CNSM_NA_IDAL_REFU_PRC_NA_USA_QBTU.A</t>
  </si>
  <si>
    <t>Industrial: Refining Use: Delivered Energy: High Zero-Carbon Technology Cost</t>
  </si>
  <si>
    <t>AEO.2025.HIGHZTC.CNSM_NA_IDAL_REFU_DELE_NA_USA_QBTU.A</t>
  </si>
  <si>
    <t>Industrial: Refining Use: Electricity-Related Losses: High Zero-Carbon Technology Cost</t>
  </si>
  <si>
    <t>AEO.2025.HIGHZTC.CNSM_NA_IDAL_REFU_ELECRELOS_NA_USA_QBTU.A</t>
  </si>
  <si>
    <t>Industrial: Refining Use: Hydrogen-Related Losses: High Zero-Carbon Technology Cost</t>
  </si>
  <si>
    <t>AEO.2025.HIGHZTC.CNSM_NA_IDAL_REFU_H2RELLOS_NA_USA_QBTU.A</t>
  </si>
  <si>
    <t>Industrial: Refining Use: Total: High Zero-Carbon Technology Cost</t>
  </si>
  <si>
    <t>AEO.2025.HIGHZTC.CNSM_NA_IDAL_REFU_TOT_NA_USA_QBTU.A</t>
  </si>
  <si>
    <t>Hydrogen Production-Related Consumption (quadrillon Btu)</t>
  </si>
  <si>
    <t>Industrial: Hydrogen Production: Natural Gas Heat and Power: High Zero-Carbon Technology Cost</t>
  </si>
  <si>
    <t>AEO.2025.HIGHZTC.CNSM_NA_IDAL_H2PROD_NHP_NA_NA_QBTU.A</t>
  </si>
  <si>
    <t>Industrial: Hydrogen Production: Natural Gas Feedstocks: High Zero-Carbon Technology Cost</t>
  </si>
  <si>
    <t>AEO.2025.HIGHZTC.CNSM_NA_IDAL_H2PROD_NGF_NA_NA_QBTU.A</t>
  </si>
  <si>
    <t>Industrial: Hydrogen Production: Natural Gas Subtotal: High Zero-Carbon Technology Cost</t>
  </si>
  <si>
    <t>AEO.2025.HIGHZTC.CNSM_NA_IDAL_H2PROD_NGS_NA_NA_QBTU.A</t>
  </si>
  <si>
    <t>Industrial: Hydrogen Production: Purchased Electricity: High Zero-Carbon Technology Cost</t>
  </si>
  <si>
    <t>AEO.2025.HIGHZTC.CNSM_NA_IDAL_H2PROD_PRC_NA_NA_QBTU.A</t>
  </si>
  <si>
    <t>Industrial: Hydrogen Production: Delivered Energy: High Zero-Carbon Technology Cost</t>
  </si>
  <si>
    <t>AEO.2025.HIGHZTC.CNSM_NA_IDAL_H2PROD_DELE_NA_NA_QBTU.A</t>
  </si>
  <si>
    <t>Industrial: Hydrogen Production: Electricity-Related Losses: High Zero-Carbon Technology Cost</t>
  </si>
  <si>
    <t>AEO.2025.HIGHZTC.CNSM_NA_IDAL_H2PROD_ELECRELOS_NA_NA_QBTU.A</t>
  </si>
  <si>
    <t>Industrial: Hydrogen Production: Total: High Zero-Carbon Technology Cost</t>
  </si>
  <si>
    <t>AEO.2025.HIGHZTC.CNSM_NA_IDAL_H2PROD_TOT_NA_NA_QBTU.A</t>
  </si>
  <si>
    <t>Industrial Sector End-Use Consumption Excluding Hydrogen Production</t>
  </si>
  <si>
    <t>Industrial: Total Industrial Sector Use Excluding H2 Production: Propane Heat and Power: High Zero-Carbon Technology Cost</t>
  </si>
  <si>
    <t>AEO.2025.HIGHZTC.CNSM_NA_IDAL_NA_LPGHP_NA_USA_QBTU.A</t>
  </si>
  <si>
    <t>Industrial: Total Industrial Sector Use Excluding H2 Production: LPG and Other Feedstocks: High Zero-Carbon Technology Cost</t>
  </si>
  <si>
    <t>AEO.2025.HIGHZTC.CNSM_NA_IDAL_NA_LPGF_NA_USA_QBTU.A</t>
  </si>
  <si>
    <t>Industrial: Total Industrial Sector Use Excluding H2 Production: Motor Gasoline: High Zero-Carbon Technology Cost</t>
  </si>
  <si>
    <t>AEO.2025.HIGHZTC.CNSM_NA_IDAL_NA_MGS_NA_USA_QBTU.A</t>
  </si>
  <si>
    <t>Industrial: Total Industrial Sector Use Excluding H2 Production: Distillate Fuel Oil: High Zero-Carbon Technology Cost</t>
  </si>
  <si>
    <t>AEO.2025.HIGHZTC.CNSM_NA_IDAL_NA_DFO_NA_USA_QBTU.A</t>
  </si>
  <si>
    <t>Industrial: Total Industrial Sector Use Excluding H2 Production: Residual Fuel Oil: High Zero-Carbon Technology Cost</t>
  </si>
  <si>
    <t>AEO.2025.HIGHZTC.CNSM_NA_IDAL_NA_RFO_NA_USA_QBTU.A</t>
  </si>
  <si>
    <t>Industrial: Total Industrial Sector Use Excluding H2 Production: Petrochemical Feedstocks: High Zero-Carbon Technology Cost</t>
  </si>
  <si>
    <t>AEO.2025.HIGHZTC.CNSM_NA_IDAL_NA_PCF_NA_USA_QBTU.A</t>
  </si>
  <si>
    <t>Industrial: Total Industrial Sector Use Excluding H2 Production: Petroleum Coke: High Zero-Carbon Technology Cost</t>
  </si>
  <si>
    <t>AEO.2025.HIGHZTC.CNSM_NA_IDAL_NA_PCK_NA_USA_QBTU.A</t>
  </si>
  <si>
    <t>Industrial: Total Industrial Sector Use Excluding H2 Production: Asphalt and Road Oil: High Zero-Carbon Technology Cost</t>
  </si>
  <si>
    <t>AEO.2025.HIGHZTC.CNSM_NA_IDAL_NA_ARO_NA_USA_QBTU.A</t>
  </si>
  <si>
    <t>Industrial: Total Industrial Sector Use Excluding H2 Production: Still Gas: High Zero-Carbon Technology Cost</t>
  </si>
  <si>
    <t>AEO.2025.HIGHZTC.CNSM_NA_IDAL_NA_SLG_NA_USA_QBTU.A</t>
  </si>
  <si>
    <t>Industrial: Total Industrial Sector Use Excluding H2 Production: Miscellaneous Petroleum: High Zero-Carbon Technology Cost</t>
  </si>
  <si>
    <t>AEO.2025.HIGHZTC.CNSM_NA_IDAL_NA_MPET_NA_USA_QBTU.A</t>
  </si>
  <si>
    <t>Industrial: Total Industrial Sector Use Excluding H2 Production: Petroleum Subtotal: High Zero-Carbon Technology Cost</t>
  </si>
  <si>
    <t>AEO.2025.HIGHZTC.CNSM_NA_IDAL_NA_PET_NA_USA_QBTU.A</t>
  </si>
  <si>
    <t>Industrial: Total Industrial Sector Use Excluding H2 Production: Natural Gas Heat and Power: High Zero-Carbon Technology Cost</t>
  </si>
  <si>
    <t>AEO.2025.HIGHZTC.CNSM_NA_IDAL_NA_NHP_NA_USA_QBTU.A</t>
  </si>
  <si>
    <t>Industrial: Total Industrial Sector Use Excluding H2 Production: Natural Gas Feedstocks: High Zero-Carbon Technology Cost</t>
  </si>
  <si>
    <t>AEO.2025.HIGHZTC.CNSM_NA_IDAL_NA_NGF_NA_USA_QBTU.A</t>
  </si>
  <si>
    <t>Industrial: Total Industrial Sector Use Excluding H2 Production: Lease and Plant Fuel: High Zero-Carbon Technology Cost</t>
  </si>
  <si>
    <t>AEO.2025.HIGHZTC.CNSM_NA_IDAL_NA_LSAPFL_NA_USA_QBTU.A</t>
  </si>
  <si>
    <t>Industrial: Total Industrial Sector Use Excluding H2 Production: Natural Gas Subtotal: High Zero-Carbon Technology Cost</t>
  </si>
  <si>
    <t>AEO.2025.HIGHZTC.CNSM_NA_IDAL_NA_NGS_NA_USA_QBTU.A</t>
  </si>
  <si>
    <t>Industrial: Total Industrial Sector Use Excluding H2 Production: Hydrogen Feedstocks: High Zero-Carbon Technology Cost</t>
  </si>
  <si>
    <t>AEO.2025.HIGHZTC.CNSM_NA_IDAL_NA_H2FEEDSTK_NA_USA_QBTU.A</t>
  </si>
  <si>
    <t>Industrial: Total Industrial Sector Use Excluding H2 Production: Metallurgical Coal and Coke: High Zero-Carbon Technology Cost</t>
  </si>
  <si>
    <t>AEO.2025.HIGHZTC.CNSM_NA_IDAL_NA_MCC_NA_USA_QBTU.A</t>
  </si>
  <si>
    <t>Industrial: Total Industrial Sector Use Excluding H2 Production: Other Industrial Coal: High Zero-Carbon Technology Cost</t>
  </si>
  <si>
    <t>AEO.2025.HIGHZTC.CNSM_NA_IDAL_NA_STC_NA_USA_QBTU.A</t>
  </si>
  <si>
    <t>Industrial: Total Industrial Sector Use Excluding H2 Production: Coal Subtotal: High Zero-Carbon Technology Cost</t>
  </si>
  <si>
    <t>AEO.2025.HIGHZTC.CNSM_NA_IDAL_NA_COS_NA_USA_QBTU.A</t>
  </si>
  <si>
    <t>Industrial: Total Industrial Sector Use Excluding H2 Production: Biofuels Heat and Coproducts: High Zero-Carbon Technology Cost</t>
  </si>
  <si>
    <t>AEO.2025.HIGHZTC.CNSM_NA_IDAL_NA_BFH_NA_USA_QBTU.A</t>
  </si>
  <si>
    <t>Industrial: Total Industrial Sector Use Excluding H2 Production: Renewables: High Zero-Carbon Technology Cost</t>
  </si>
  <si>
    <t>AEO.2025.HIGHZTC.CNSM_NA_IDAL_NA_REB_NA_USA_QBTU.A</t>
  </si>
  <si>
    <t>Industrial: Total Industrial Sector Use Excluding H2 Production: Purchased Electricity: High Zero-Carbon Technology Cost</t>
  </si>
  <si>
    <t>AEO.2025.HIGHZTC.CNSM_NA_IDAL_NA_PRC_NA_USA_QBTU.A</t>
  </si>
  <si>
    <t>Industrial: Total Industrial Sector Use Excluding H2 Production: Delivered Energy: High Zero-Carbon Technology Cost</t>
  </si>
  <si>
    <t>AEO.2025.HIGHZTC.CNSM_NA_IDAL_NA_DELE_NA_USA_QBTU.A</t>
  </si>
  <si>
    <t>Industrial: Total Industrial Sector Use Excluding H2 Production: Electricity-Related Losses: High Zero-Carbon Technology Cost</t>
  </si>
  <si>
    <t>AEO.2025.HIGHZTC.CNSM_NA_IDAL_NA_ELECRELOS_NA_USA_QBTU.A</t>
  </si>
  <si>
    <t>Industrial: Total Industrial Sector Use Excluding H2 Production: Hydrogen-Related Losses: High Zero-Carbon Technology Cost</t>
  </si>
  <si>
    <t>AEO.2025.HIGHZTC.CNSM_NA_IDAL_NA_H2RELLOS_NA_USA_QBTU.A</t>
  </si>
  <si>
    <t>Industrial: Total Industrial Sector Use: Total: High Zero-Carbon Technology Cost</t>
  </si>
  <si>
    <t>AEO.2025.HIGHZTC.CNSM_NA_IDAL_NA_TOT_NA_USA_QBTU.A</t>
  </si>
  <si>
    <t>Total Industrial Sector Primary Consumption</t>
  </si>
  <si>
    <t>Industrial: Total Industrial Sector Primary Consumption: Propane Heat and Power: High Zero-Carbon Technology Cost</t>
  </si>
  <si>
    <t>Industrial: Total Industrial Sector Primary Consumption: LPG and Other Feedstocks: High Zero-Carbon Technology Cost</t>
  </si>
  <si>
    <t>Industrial: Total Industrial Sector Primary Consumption: Motor Gasoline: High Zero-Carbon Technology Cost</t>
  </si>
  <si>
    <t>Industrial: Total Industrial Sector Primary Consumption: Distillate Fuel Oil: High Zero-Carbon Technology Cost</t>
  </si>
  <si>
    <t>Industrial: Total Industrial Sector Primary Consumption: Residual Fuel Oil: High Zero-Carbon Technology Cost</t>
  </si>
  <si>
    <t>Industrial: Total Industrial Sector Primary Consumption: Petrochemical Feedstocks: High Zero-Carbon Technology Cost</t>
  </si>
  <si>
    <t>Industrial: Total Industrial Sector Primary Consumption: Petroleum Coke: High Zero-Carbon Technology Cost</t>
  </si>
  <si>
    <t>Industrial: Total Industrial Sector Primary Consumption: Asphalt and Road Oil: High Zero-Carbon Technology Cost</t>
  </si>
  <si>
    <t>Industrial: Total Industrial Sector Primary Consumption: Still Gas: High Zero-Carbon Technology Cost</t>
  </si>
  <si>
    <t>Industrial: Total Industrial Sector Primary Consumption: Miscellaneous Petroleum: High Zero-Carbon Technology Cost</t>
  </si>
  <si>
    <t>Industrial: Total Industrial Sector Primary Consumption: Petroleum Subtotal: High Zero-Carbon Technology Cost</t>
  </si>
  <si>
    <t>Industrial: Total Industrial Sector Primary Consumption: Natural Gas Heat and Power: High Zero-Carbon Technology Cost</t>
  </si>
  <si>
    <t>Industrial: Total Industrial Sector Primary Consumption: Natural Gas Feedstocks: High Zero-Carbon Technology Cost</t>
  </si>
  <si>
    <t>Industrial: Total Industrial Sector Primary Consumption: Lease and Plant Fuel: High Zero-Carbon Technology Cost</t>
  </si>
  <si>
    <t>Industrial: Total Industrial Sector Primary Consumption: Natural Gas Subtotal: High Zero-Carbon Technology Cost</t>
  </si>
  <si>
    <t>Industrial: Total Industrial Sector Primary Consumption: Metallurgical Coal and Coke: High Zero-Carbon Technology Cost</t>
  </si>
  <si>
    <t>Industrial: Total Industrial Sector Primary Consumption: Steam Coal: High Zero-Carbon Technology Cost</t>
  </si>
  <si>
    <t>Industrial: Total Industrial Sector Primary Consumption: Coal Subtotal: High Zero-Carbon Technology Cost</t>
  </si>
  <si>
    <t>Industrial: Total Industrial Sector Primary Consumption: Biofuels Heat and Coproducts: High Zero-Carbon Technology Cost</t>
  </si>
  <si>
    <t>Industrial: Total Industrial Sector Primary Consumption: Renewables: High Zero-Carbon Technology Cost</t>
  </si>
  <si>
    <t>Industrial: Total Industrial Sector Primary Consumption: Purchased Electricity: High Zero-Carbon Technology Cost</t>
  </si>
  <si>
    <t>Industrial: Total Industrial Sector Primary Consumption: Delivered Energy: High Zero-Carbon Technology Cost</t>
  </si>
  <si>
    <t>Electricity Related Losses</t>
  </si>
  <si>
    <t>Industrial: Total Industrial Sector Primary Consumption: Electricity-Related Losses: High Zero-Carbon Technology Cost</t>
  </si>
  <si>
    <t>Industrial: Total Industrial Sector Primary Consumption: Total: High Zero-Carbon Technology Cost</t>
  </si>
  <si>
    <t>Primary Energy Consumption per dollar of Shipments</t>
  </si>
  <si>
    <t>(thousand Btu per 2012 dollar)</t>
  </si>
  <si>
    <t>Industrial: Energy Use per dollar of Shipment: Propane Heat and Power: High Zero-Carbon Technology Cost</t>
  </si>
  <si>
    <t>AEO.2025.HIGHZTC.INY_NA_IDAL_NA_LPGHP_NA_USA_THBTUPY05DLR.A</t>
  </si>
  <si>
    <t>thousand Btu/2012 $</t>
  </si>
  <si>
    <t>Industrial: Energy Use per dollar of Shipment: LPG and Other Feedstocks: High Zero-Carbon Technology Cost</t>
  </si>
  <si>
    <t>AEO.2025.HIGHZTC.INY_NA_IDAL_NA_LPGF_NA_USA_THBTUPY05DLR.A</t>
  </si>
  <si>
    <t>Industrial: Energy Use per dollar of Shipment: Motor Gasoline: High Zero-Carbon Technology Cost</t>
  </si>
  <si>
    <t>AEO.2025.HIGHZTC.INY_NA_IDAL_NA_MGS_NA_USA_THBTUPY05DLR.A</t>
  </si>
  <si>
    <t>Industrial: Energy Use per dollar of Shipment: Distillate Fuel Oil: High Zero-Carbon Technology Cost</t>
  </si>
  <si>
    <t>AEO.2025.HIGHZTC.INY_NA_IDAL_NA_DFO_NA_USA_THBTUPY05DLR.A</t>
  </si>
  <si>
    <t>Industrial: Energy Use per dollar of Shipment: Residual Fuel Oil: High Zero-Carbon Technology Cost</t>
  </si>
  <si>
    <t>AEO.2025.HIGHZTC.INY_NA_IDAL_NA_RFO_NA_USA_THBTUPY05DLR.A</t>
  </si>
  <si>
    <t>Industrial: Energy Use per dollar of Shipment: Petrochemical Feedstocks: High Zero-Carbon Technology Cost</t>
  </si>
  <si>
    <t>AEO.2025.HIGHZTC.INY_NA_IDAL_NA_PCF_NA_USA_THBTUPY05DLR.A</t>
  </si>
  <si>
    <t>Industrial: Energy Use per dollar of Shipment: Petroleum Coke: High Zero-Carbon Technology Cost</t>
  </si>
  <si>
    <t>AEO.2025.HIGHZTC.INY_NA_IDAL_NA_PCK_NA_USA_THBTUPY05DLR.A</t>
  </si>
  <si>
    <t>Industrial: Energy Use per dollar of Shipment: Asphalt and Road Oil: High Zero-Carbon Technology Cost</t>
  </si>
  <si>
    <t>AEO.2025.HIGHZTC.INY_NA_IDAL_NA_ARO_NA_USA_THBTUPY05DLR.A</t>
  </si>
  <si>
    <t>Industrial: Energy Use per dollar of Shipment: Still Gas: High Zero-Carbon Technology Cost</t>
  </si>
  <si>
    <t>AEO.2025.HIGHZTC.INY_NA_IDAL_NA_SLG_NA_USA_THBTUPY05DLR.A</t>
  </si>
  <si>
    <t>Industrial: Energy Use per dollar of Shipment: Miscellaneous Petroleum: High Zero-Carbon Technology Cost</t>
  </si>
  <si>
    <t>AEO.2025.HIGHZTC.INY_NA_IDAL_NA_MPET_NA_USA_THBTUPY05DLR.A</t>
  </si>
  <si>
    <t>Industrial: Energy Use per dollar of Shipment: Petroleum Subtotal: High Zero-Carbon Technology Cost</t>
  </si>
  <si>
    <t>AEO.2025.HIGHZTC.INY_NA_IDAL_NA_PET_NA_USA_THBTUPY05DLR.A</t>
  </si>
  <si>
    <t>Industrial: Energy Use per dollar of Shipment: Natural Gas Heat and Power: High Zero-Carbon Technology Cost</t>
  </si>
  <si>
    <t>AEO.2025.HIGHZTC.INY_NA_IDAL_NA_NHP_NA_USA_THBTUPY05DLR.A</t>
  </si>
  <si>
    <t>Natural Gas Feedstock</t>
  </si>
  <si>
    <t>Industrial: Energy Use per dollar of Shipment: Natural Gas Feedstock: High Zero-Carbon Technology Cost</t>
  </si>
  <si>
    <t>AEO.2025.HIGHZTC.INY_NA_IDAL_NA_NFS_NA_USA_THBTUPY05DLR.A</t>
  </si>
  <si>
    <t>Industrial: Energy Use per dollar of Shipment: Lease and Plant Fuel: High Zero-Carbon Technology Cost</t>
  </si>
  <si>
    <t>AEO.2025.HIGHZTC.INY_NA_IDAL_NA_LSAPFL_NA_USA_THBTUPY05DLR.A</t>
  </si>
  <si>
    <t>Industrial: Energy Use per dollar of Shipment: Natural Gas Subtotal: High Zero-Carbon Technology Cost</t>
  </si>
  <si>
    <t>AEO.2025.HIGHZTC.INY_NA_IDAL_NA_NGS_NA_USA_THBTUPY05DLR.A</t>
  </si>
  <si>
    <t>Industrial: Energy Use per dollar of Shipment: Metallurgical Coal and Coke: High Zero-Carbon Technology Cost</t>
  </si>
  <si>
    <t>AEO.2025.HIGHZTC.INY_NA_IDAL_NA_MCC_NA_USA_THBTUPY05DLR.A</t>
  </si>
  <si>
    <t>Industrial: Energy Use per dollar of Shipment: Steam Coal: High Zero-Carbon Technology Cost</t>
  </si>
  <si>
    <t>AEO.2025.HIGHZTC.INY_NA_IDAL_NA_OIC_NA_USA_THBTUPY05DLR.A</t>
  </si>
  <si>
    <t>Industrial: Energy Use per dollar of Shipment: Coal Subtotal: High Zero-Carbon Technology Cost</t>
  </si>
  <si>
    <t>AEO.2025.HIGHZTC.INY_NA_IDAL_NA_COS_NA_USA_THBTUPY05DLR.A</t>
  </si>
  <si>
    <t>Industrial: Energy Use per dollar of Shipment: Biofuels Heat and Coproducts: High Zero-Carbon Technology Cost</t>
  </si>
  <si>
    <t>AEO.2025.HIGHZTC.INY_NA_IDAL_NA_BFH_NA_USA_THBTUPY05DLR.A</t>
  </si>
  <si>
    <t>Industrial: Energy Use per dollar of Shipment: Renewables: High Zero-Carbon Technology Cost</t>
  </si>
  <si>
    <t>AEO.2025.HIGHZTC.INY_NA_IDAL_NA_REB_NA_USA_THBTUPY05DLR.A</t>
  </si>
  <si>
    <t>Industrial: Energy Use per dollar of Shipment: Purchased Electricity: High Zero-Carbon Technology Cost</t>
  </si>
  <si>
    <t>AEO.2025.HIGHZTC.INY_NA_IDAL_NA_PRC_NA_USA_THBTUPY05DLR.A</t>
  </si>
  <si>
    <t>Industrial: Energy Use per dollar of Shipment: Delivered Energy: High Zero-Carbon Technology Cost</t>
  </si>
  <si>
    <t>AEO.2025.HIGHZTC.INY_NA_IDAL_NA_DELE_NA_USA_THBTUPY05DLR.A</t>
  </si>
  <si>
    <t>Industrial: Energy Use per dollar of Shipment: Electricity Related Losses: High Zero-Carbon Technology Cost</t>
  </si>
  <si>
    <t>AEO.2025.HIGHZTC.INY_NA_IDAL_NA_ERL_NA_USA_THBTUPY05DLR.A</t>
  </si>
  <si>
    <t>Industrial: Energy Use per dollar of Shipment: Total: High Zero-Carbon Technology Cost</t>
  </si>
  <si>
    <t>AEO.2025.HIGHZTC.INY_NA_IDAL_NA_EUS_NA_USA_THBTUPY05DLR.A</t>
  </si>
  <si>
    <t>Total Industrial Combined Heat and Power</t>
  </si>
  <si>
    <t>Capacity (gigawatts)</t>
  </si>
  <si>
    <t>Industrial: Total Industrial Combined Heat and Power: Capacity: High Zero-Carbon Technology Cost</t>
  </si>
  <si>
    <t>AEO.2025.HIGHZTC.CAP_NA_IDAL_TOTINDCHP_CHP_NA_USA_GW.A</t>
  </si>
  <si>
    <t>GW</t>
  </si>
  <si>
    <t>Generation (billion kilowatthours)</t>
  </si>
  <si>
    <t>Industrial: Total Industrial Combined Heat and Power: Generation: High Zero-Carbon Technology Cost</t>
  </si>
  <si>
    <t>AEO.2025.HIGHZTC.GEN_NA_IDAL_TOTINDCHP_CHP_NA_USA_BLNKWH.A</t>
  </si>
  <si>
    <t>BkWh</t>
  </si>
  <si>
    <t>Table 17.  Renewable Energy Consumption by Sector and Source</t>
  </si>
  <si>
    <t>https://www.eia.gov/outlooks/aeo/data/browser/#/?id=24-AEO2025&amp;cases=highZTC&amp;sourcekey=0</t>
  </si>
  <si>
    <t>Tue Dec 02 2025 13:21:06 GMT-0800 (Pacific Standard Time)</t>
  </si>
  <si>
    <t>Marketed Renewable Energy</t>
  </si>
  <si>
    <t>Residential (wood)</t>
  </si>
  <si>
    <t>Renewable Energy: Marketed Use: Residential: Wood: High Zero-Carbon Technology Cost</t>
  </si>
  <si>
    <t>AEO.2025.HIGHZTC.CNSM_NA_RESD_NA_BMS_NA_NA_QBTU.A</t>
  </si>
  <si>
    <t>Commercial (biomass)</t>
  </si>
  <si>
    <t>Renewable Energy: Marketed Use: Commercial: Biomass: High Zero-Carbon Technology Cost</t>
  </si>
  <si>
    <t>AEO.2025.HIGHZTC.CNSM_NA_COMM_NA_BMS_NA_NA_QBTU.A</t>
  </si>
  <si>
    <t>Renewable Energy: Marketed Use: Industrial: High Zero-Carbon Technology Cost</t>
  </si>
  <si>
    <t>AEO.2025.HIGHZTC.CNSM_NA_IDAL_NA_MRE_NA_NA_QBTU.A</t>
  </si>
  <si>
    <t>Conventional Hydroelectric Power</t>
  </si>
  <si>
    <t>Renewable Energy: Marketed Use: Industrial: Hydropower: High Zero-Carbon Technology Cost</t>
  </si>
  <si>
    <t>AEO.2025.HIGHZTC.CNSM_NA_IDAL_NA_HYD_CNV_NA_QBTU.A</t>
  </si>
  <si>
    <t>Municipal Waste</t>
  </si>
  <si>
    <t>Renewable Energy: Marketed Use: Industrial: Municipal Waste: High Zero-Carbon Technology Cost</t>
  </si>
  <si>
    <t>AEO.2025.HIGHZTC.CNSM_NA_IDAL_NA_MUNWST_NA_NA_QBTU.A</t>
  </si>
  <si>
    <t>Biomass</t>
  </si>
  <si>
    <t>Renewable Energy: Marketed Use: Industrial: Biomass: High Zero-Carbon Technology Cost</t>
  </si>
  <si>
    <t>AEO.2025.HIGHZTC.CNSM_NA_IDAL_NA_BMS_NA_NA_QBTU.A</t>
  </si>
  <si>
    <t>Renewable Energy: Marketed Use: Industrial: Biofuels Heat and Coproducts: High Zero-Carbon Technology Cost</t>
  </si>
  <si>
    <t>AEO.2025.HIGHZTC.CNSM_NA_IDAL_NA_BFH_NA_NA_QBTU.A</t>
  </si>
  <si>
    <t>Renewable Energy: Marketed Use: Transportation: High Zero-Carbon Technology Cost</t>
  </si>
  <si>
    <t>AEO.2025.HIGHZTC.CNSM_NA_TRN_NA_NA_NA_NA_QBTU.A</t>
  </si>
  <si>
    <t>Ethanol used in E85</t>
  </si>
  <si>
    <t>Renewable Energy: Marketed Use: Transportation: Ethanol used in E85: High Zero-Carbon Technology Cost</t>
  </si>
  <si>
    <t>AEO.2025.HIGHZTC.CNSM_NA_TRN_NA_ETE_NA_NA_QBTU.A</t>
  </si>
  <si>
    <t>Ethanol used in Gasoline Blending</t>
  </si>
  <si>
    <t>Renewable Energy: Marketed Use: Transportation: Ethanol used in Gasoline Blending: High Zero-Carbon Technology Cost</t>
  </si>
  <si>
    <t>AEO.2025.HIGHZTC.CNSM_NA_TRN_NA_EBL_NA_NA_QBTU.A</t>
  </si>
  <si>
    <t>Biodiesel used in Distillate Blending</t>
  </si>
  <si>
    <t>Renewable Energy: Marketed Use: Transportation: Biodiesel used in Distillate Blending: High Zero-Carbon Technology Cost</t>
  </si>
  <si>
    <t>AEO.2025.HIGHZTC.CNSM_NA_TRN_NA_BUD_NA_NA_QBTU.A</t>
  </si>
  <si>
    <t>Biobutanol</t>
  </si>
  <si>
    <t>Renewable Energy: Marketed Use: Transportation: Biobutanol: High Zero-Carbon Technology Cost</t>
  </si>
  <si>
    <t>AEO.2025.HIGHZTC.CNSM_NA_TRN_NA_BIOB_NA_NA_NA.A</t>
  </si>
  <si>
    <t>Liquids from Biomass</t>
  </si>
  <si>
    <t>Renewable Energy: Marketed Use: Transportation: Liquids from Biomass: High Zero-Carbon Technology Cost</t>
  </si>
  <si>
    <t>AEO.2025.HIGHZTC.CNSM_NA_TRN_NA_LFB_NA_NA_QBTU.A</t>
  </si>
  <si>
    <t>Renewable Diesel and Gasoline</t>
  </si>
  <si>
    <t>Renewable Energy: Marketed Use: Transportation: Green Liquids: High Zero-Carbon Technology Cost</t>
  </si>
  <si>
    <t>AEO.2025.HIGHZTC.CNSM_NA_TRN_NA_GLQ_NA_NA_QBTU.A</t>
  </si>
  <si>
    <t>Renewable Energy: Marketed Use: Electric Power: High Zero-Carbon Technology Cost</t>
  </si>
  <si>
    <t>AEO.2025.HIGHZTC.CNSM_NA_ELEP_NA_NA_NA_NA_QBTU.A</t>
  </si>
  <si>
    <t>Renewable Energy: Marketed Use: Electric Power: Hydropower: High Zero-Carbon Technology Cost</t>
  </si>
  <si>
    <t>AEO.2025.HIGHZTC.CNSM_NA_ELEP_NA_HYD_CNV_NA_QBTU.A</t>
  </si>
  <si>
    <t>Geothermal</t>
  </si>
  <si>
    <t>Renewable Energy: Marketed Use: Electric Power: Geothermal: High Zero-Carbon Technology Cost</t>
  </si>
  <si>
    <t>AEO.2025.HIGHZTC.CNSM_NA_ELEP_NA_GEOTHM_NA_NA_QBTU.A</t>
  </si>
  <si>
    <t>Biogenic Municipal Waste</t>
  </si>
  <si>
    <t>Renewable Energy: Marketed Use: Electric Power: Biogenic Municipal Waste: High Zero-Carbon Technology Cost</t>
  </si>
  <si>
    <t>AEO.2025.HIGHZTC.CNSM_NA_ELEP_NA_BGM_NA_NA_QBTU.A</t>
  </si>
  <si>
    <t>Renewable Energy: Marketed Use: Electric Power: Biomass: High Zero-Carbon Technology Cost</t>
  </si>
  <si>
    <t>AEO.2025.HIGHZTC.CNSM_NA_ELEP_NA_BMS_NA_NA_QBTU.A</t>
  </si>
  <si>
    <t>Dedicated Plants</t>
  </si>
  <si>
    <t>Renewable Energy: Marketed Use: Electric Power: Biomass: Dedicated Plants: High Zero-Carbon Technology Cost</t>
  </si>
  <si>
    <t>AEO.2025.HIGHZTC.CNSM_NA_ELEP_NA_DPE_NA_NA_QBTU.A</t>
  </si>
  <si>
    <t>Cofiring</t>
  </si>
  <si>
    <t>Renewable Energy: Marketed Use: Electric Power: Biomass: Cofiring: High Zero-Carbon Technology Cost</t>
  </si>
  <si>
    <t>AEO.2025.HIGHZTC.CNSM_NA_ELEP_NA_CFR_NA_NA_QBTU.A</t>
  </si>
  <si>
    <t>Solar Thermal</t>
  </si>
  <si>
    <t>Renewable Energy: Marketed Use: Electric Power: Solar Thermal: High Zero-Carbon Technology Cost</t>
  </si>
  <si>
    <t>AEO.2025.HIGHZTC.CNSM_NA_ELEP_NA_SLR_THERM_NA_QBTU.A</t>
  </si>
  <si>
    <t>Solar Photovoltaic</t>
  </si>
  <si>
    <t>Renewable Energy: Marketed Use: Electric Power: Solar Photovoltaic: High Zero-Carbon Technology Cost</t>
  </si>
  <si>
    <t>AEO.2025.HIGHZTC.CNSM_NA_ELEP_NA_SLR_PHTVL_NA_QBTU.A</t>
  </si>
  <si>
    <t>Wind</t>
  </si>
  <si>
    <t>Renewable Energy: Marketed Use: Electric Power: Wind: High Zero-Carbon Technology Cost</t>
  </si>
  <si>
    <t>AEO.2025.HIGHZTC.CNSM_NA_ELEP_NA_WND_NA_NA_QBTU.A</t>
  </si>
  <si>
    <t>Total Marketed Renewable Energy</t>
  </si>
  <si>
    <t>Renewable Energy: Total Marketed Renewable Energy Use: High Zero-Carbon Technology Cost</t>
  </si>
  <si>
    <t>AEO.2025.HIGHZTC.CNSM_NA_NA_NA_NA_NA_NA_QBTU.A</t>
  </si>
  <si>
    <t>Sources of Ethanol</t>
  </si>
  <si>
    <t>From Corn and Other Starch</t>
  </si>
  <si>
    <t>Renewable Energy: Sources of Ethanol: From Corn: High Zero-Carbon Technology Cost</t>
  </si>
  <si>
    <t>AEO.2025.HIGHZTC.SUP_PRD_FCO_NA_ETH_NA_NA_QBTU.A</t>
  </si>
  <si>
    <t>From Cellulose</t>
  </si>
  <si>
    <t>Renewable Energy: Sources of Ethanol: From Cellulose: High Zero-Carbon Technology Cost</t>
  </si>
  <si>
    <t>AEO.2025.HIGHZTC.SUP_PRD_FCE_NA_ETH_NA_NA_QBTU.A</t>
  </si>
  <si>
    <t>Net Imports</t>
  </si>
  <si>
    <t>Renewable Energy: Sources of Ethanol: Net Imports: High Zero-Carbon Technology Cost</t>
  </si>
  <si>
    <t>AEO.2025.HIGHZTC.SUP_NETIMP_NA_NA_ETH_NA_NA_QBTU.A</t>
  </si>
  <si>
    <t>Total U.S. Supply of Ethanol</t>
  </si>
  <si>
    <t>Renewable Energy: Total U.S. Supply of Ethanol: High Zero-Carbon Technology Cost</t>
  </si>
  <si>
    <t>AEO.2025.HIGHZTC.SUP_NA_NA_NA_ETH_NA_NA_QBTU.A</t>
  </si>
  <si>
    <t>Nonmarketed Renewable Energy</t>
  </si>
  <si>
    <t>Selected Consumption</t>
  </si>
  <si>
    <t>Renewable Energy: Nonmarketed Selected Use: Residential: High Zero-Carbon Technology Cost</t>
  </si>
  <si>
    <t>AEO.2025.HIGHZTC.CNSM_NA_RESD_NA_NA_NA_NA_QBTU.A</t>
  </si>
  <si>
    <t>Solar Hot Water Heating</t>
  </si>
  <si>
    <t>Renewable Energy: Nonmarketed Selected Use: Residential: Solar Hot Water Heating: High Zero-Carbon Technology Cost</t>
  </si>
  <si>
    <t>AEO.2025.HIGHZTC.CNSM_NA_RESD_NA_SHW_NA_NA_QBTU.A</t>
  </si>
  <si>
    <t>Renewable Energy: Nonmarketed Selected Use: Residential: Solar Photovoltaic: High Zero-Carbon Technology Cost</t>
  </si>
  <si>
    <t>AEO.2025.HIGHZTC.CNSM_NA_RESD_NA_SLR_PHTVL_NA_QBTU.A</t>
  </si>
  <si>
    <t>Renewable Energy: Nonmarketed Selected Use: Residential: Wind: High Zero-Carbon Technology Cost</t>
  </si>
  <si>
    <t>AEO.2025.HIGHZTC.CNSM_NA_RESD_NA_WND_NA_NA_QBTU.A</t>
  </si>
  <si>
    <t>Renewable Energy: Nonmarketed Selected Use: Commercial: High Zero-Carbon Technology Cost</t>
  </si>
  <si>
    <t>AEO.2025.HIGHZTC.CNSM_NA_COMM_NA_NA_NA_NA_QBTU.A</t>
  </si>
  <si>
    <t>Renewable Energy: Nonmarketed Selected Use: Commercial: Solar Thermal: High Zero-Carbon Technology Cost</t>
  </si>
  <si>
    <t>AEO.2025.HIGHZTC.CNSM_NA_COMM_NA_SLR_THERM_NA_QBTU.A</t>
  </si>
  <si>
    <t>Renewable Energy: Nonmarketed Selected Use: Commercial: Solar Photovoltaic: High Zero-Carbon Technology Cost</t>
  </si>
  <si>
    <t>AEO.2025.HIGHZTC.CNSM_NA_COMM_NA_SLR_PHTVL_NA_QBTU.A</t>
  </si>
  <si>
    <t>Renewable Energy: Nonmarketed Selected Use: Commercial: Wind: High Zero-Carbon Technology Cost</t>
  </si>
  <si>
    <t>AEO.2025.HIGHZTC.CNSM_NA_COMM_NA_WND_NA_NA_QBTU.A</t>
  </si>
  <si>
    <t>https://www.eia.gov/outlooks/aeo/data/browser/#/?id=2-AEO2026&amp;cases=electrnp&amp;sourcekey=0</t>
  </si>
  <si>
    <t>Thu Apr 23 2026 14:57:29 GMT-0700 (Pacific Daylight Time)</t>
  </si>
  <si>
    <t>Growth (2025-2050)</t>
  </si>
  <si>
    <t>Energy Use: Residential: Propane: Alternative Electricity and Transportation</t>
  </si>
  <si>
    <t>AEO.2026.ELECTRNP.CNSM_ENU_RESD_NA_PROP_NA_NA_QBTU.A</t>
  </si>
  <si>
    <t>-0.7%</t>
  </si>
  <si>
    <t>Energy Use: Residential: Distillate Fuel Oil: Alternative Electricity and Transportation</t>
  </si>
  <si>
    <t>AEO.2026.ELECTRNP.CNSM_ENU_RESD_NA_DFO_NA_NA_QBTU.A</t>
  </si>
  <si>
    <t>-1.5%</t>
  </si>
  <si>
    <t>Energy Use: Residential: Liquid Fuels Subtotal: Alternative Electricity and Transportation</t>
  </si>
  <si>
    <t>AEO.2026.ELECTRNP.CNSM_ENU_RESD_NA_LFL_NA_NA_QBTU.A</t>
  </si>
  <si>
    <t>-1.1%</t>
  </si>
  <si>
    <t>Energy Use: Residential: Natural Gas: Alternative Electricity and Transportation</t>
  </si>
  <si>
    <t>AEO.2026.ELECTRNP.CNSM_ENU_RESD_NA_NG_NA_NA_QBTU.A</t>
  </si>
  <si>
    <t>Energy Use: Residential: Renewable Energy: Alternative Electricity and Transportation</t>
  </si>
  <si>
    <t>AEO.2026.ELECTRNP.CNSM_ENU_RESD_NA_REN_NA_NA_QBTU.A</t>
  </si>
  <si>
    <t>Energy Use: Residential: Electricity: Alternative Electricity and Transportation</t>
  </si>
  <si>
    <t>AEO.2026.ELECTRNP.CNSM_ENU_RESD_NA_ELC_NA_NA_QBTU.A</t>
  </si>
  <si>
    <t>0.2%</t>
  </si>
  <si>
    <t>Energy Use: Residential: Delivered Energy: Alternative Electricity and Transportation</t>
  </si>
  <si>
    <t>AEO.2026.ELECTRNP.CNSM_ENU_RESD_NA_DELE_NA_NA_QBTU.A</t>
  </si>
  <si>
    <t>-0.3%</t>
  </si>
  <si>
    <t>Energy Use: Residential: Electricity Related Losses: Alternative Electricity and Transportation</t>
  </si>
  <si>
    <t>AEO.2026.ELECTRNP.CNSM_ENU_RESD_NA_ERL_NA_NA_QBTU.A</t>
  </si>
  <si>
    <t>-1.3%</t>
  </si>
  <si>
    <t>Energy Use: Residential: Total: Alternative Electricity and Transportation</t>
  </si>
  <si>
    <t>AEO.2026.ELECTRNP.CNSM_ENU_RESD_NA_TOT_NA_NA_QBTU.A</t>
  </si>
  <si>
    <t>Energy Use: Commercial: Propane: Alternative Electricity and Transportation</t>
  </si>
  <si>
    <t>AEO.2026.ELECTRNP.CNSM_ENU_COMM_NA_PROP_NA_NA_QBTU.A</t>
  </si>
  <si>
    <t>1.0%</t>
  </si>
  <si>
    <t>Energy Use: Commercial: Motor Gasoline: Alternative Electricity and Transportation</t>
  </si>
  <si>
    <t>AEO.2026.ELECTRNP.CNSM_ENU_COMM_NA_MGS_NA_NA_QBTU.A</t>
  </si>
  <si>
    <t>1.2%</t>
  </si>
  <si>
    <t>Energy Use: Commercial: Kerosene: Alternative Electricity and Transportation</t>
  </si>
  <si>
    <t>AEO.2026.ELECTRNP.CNSM_ENU_COMM_NA_KRS_NA_NA_QBTU.A</t>
  </si>
  <si>
    <t>-6.0%</t>
  </si>
  <si>
    <t>Energy Use: Commercial: Distillate Fuel Oil: Alternative Electricity and Transportation</t>
  </si>
  <si>
    <t>AEO.2026.ELECTRNP.CNSM_ENU_COMM_NA_DFO_NA_NA_QBTU.A</t>
  </si>
  <si>
    <t>Energy Use: Commercial: Residual Fuel Oil: Alternative Electricity and Transportation</t>
  </si>
  <si>
    <t>AEO.2026.ELECTRNP.CNSM_ENU_COMM_NA_RFO_NA_NA_QBTU.A</t>
  </si>
  <si>
    <t>-2.4%</t>
  </si>
  <si>
    <t>Energy Use: Commercial: Liquid Fuels Subtotal: Alternative Electricity and Transportation</t>
  </si>
  <si>
    <t>AEO.2026.ELECTRNP.CNSM_ENU_COMM_NA_LFL_NA_NA_QBTU.A</t>
  </si>
  <si>
    <t>0.7%</t>
  </si>
  <si>
    <t>Energy Use: Commercial: Natural Gas: Alternative Electricity and Transportation</t>
  </si>
  <si>
    <t>AEO.2026.ELECTRNP.CNSM_ENU_COMM_NA_NG_NA_NA_QBTU.A</t>
  </si>
  <si>
    <t>Energy Use: Commercial: Coal: Alternative Electricity and Transportation</t>
  </si>
  <si>
    <t>AEO.2026.ELECTRNP.CNSM_ENU_COMM_NA_CL_NA_NA_QBTU.A</t>
  </si>
  <si>
    <t>0.4%</t>
  </si>
  <si>
    <t>Energy Use: Commercial: Renewable Energy: Alternative Electricity and Transportation</t>
  </si>
  <si>
    <t>AEO.2026.ELECTRNP.CNSM_ENU_COMM_NA_REN_NA_NA_QBTU.A</t>
  </si>
  <si>
    <t>0.0%</t>
  </si>
  <si>
    <t>Energy Use: Commercial: Electricity: Alternative Electricity and Transportation</t>
  </si>
  <si>
    <t>AEO.2026.ELECTRNP.CNSM_ENU_COMM_NA_ELC_NA_NA_QBTU.A</t>
  </si>
  <si>
    <t>Energy Use: Commercial: Delivered Energy: Alternative Electricity and Transportation</t>
  </si>
  <si>
    <t>AEO.2026.ELECTRNP.CNSM_ENU_COMM_NA_DELE_NA_NA_QBTU.A</t>
  </si>
  <si>
    <t>0.5%</t>
  </si>
  <si>
    <t>Energy Use: Commercial: Electricity Related Losses: Alternative Electricity and Transportation</t>
  </si>
  <si>
    <t>AEO.2026.ELECTRNP.CNSM_ENU_COMM_NA_ERL_NA_NA_QBTU.A</t>
  </si>
  <si>
    <t>-0.5%</t>
  </si>
  <si>
    <t>Energy Use: Commercial: Total: Alternative Electricity and Transportation</t>
  </si>
  <si>
    <t>AEO.2026.ELECTRNP.CNSM_ENU_COMM_NA_TOT_NA_NA_QBTU.A</t>
  </si>
  <si>
    <t>0.1%</t>
  </si>
  <si>
    <t>Energy Use: Industrial: Hydrocarbon Gas Liquids: Alternative Electricity and Transportation</t>
  </si>
  <si>
    <t>AEO.2026.ELECTRNP.CNSM_ENU_IDAL_NA_LPG_NA_NA_QBTU.A</t>
  </si>
  <si>
    <t>Energy Use: Industrial: Motor Gasoline: Alternative Electricity and Transportation</t>
  </si>
  <si>
    <t>AEO.2026.ELECTRNP.CNSM_ENU_IDAL_NA_MGS_NA_NA_QBTU.A</t>
  </si>
  <si>
    <t>0.9%</t>
  </si>
  <si>
    <t>Energy Use: Industrial: Distillate Fuel Oil: Alternative Electricity and Transportation</t>
  </si>
  <si>
    <t>AEO.2026.ELECTRNP.CNSM_ENU_IDAL_NA_DFO_NA_NA_QBTU.A</t>
  </si>
  <si>
    <t>Energy Use: Industrial: Residual Fuel Oil: Alternative Electricity and Transportation</t>
  </si>
  <si>
    <t>AEO.2026.ELECTRNP.CNSM_ENU_IDAL_NA_RFO_NA_NA_QBTU.A</t>
  </si>
  <si>
    <t>-1.7%</t>
  </si>
  <si>
    <t>Energy Use: Industrial: Petrochemical Feedstocks: Alternative Electricity and Transportation</t>
  </si>
  <si>
    <t>AEO.2026.ELECTRNP.CNSM_ENU_IDAL_NA_PCF_NA_NA_QBTU.A</t>
  </si>
  <si>
    <t>Energy Use: Industrial: Other Petroleum: Alternative Electricity and Transportation</t>
  </si>
  <si>
    <t>AEO.2026.ELECTRNP.CNSM_ENU_IDAL_NA_ONP_NA_NA_QBTU.A</t>
  </si>
  <si>
    <t>Energy Use: Industrial: Liquid Fuels Subtotal: Alternative Electricity and Transportation</t>
  </si>
  <si>
    <t>AEO.2026.ELECTRNP.CNSM_ENU_IDAL_NA_LFL_NA_NA_QBTU.A</t>
  </si>
  <si>
    <t>0.8%</t>
  </si>
  <si>
    <t>Energy Use: Industrial: Natural Gas: Alternative Electricity and Transportation</t>
  </si>
  <si>
    <t>AEO.2026.ELECTRNP.CNSM_ENU_IDAL_NA_NG_NA_NA_QBTU.A</t>
  </si>
  <si>
    <t>Energy Use: Industrial: Lease and Plant Fuel: Alternative Electricity and Transportation</t>
  </si>
  <si>
    <t>AEO.2026.ELECTRNP.CNSM_ENU_IDAL_NA_LSAPFL_NA_NA_QBTU.A</t>
  </si>
  <si>
    <t>Energy Use: Industrial: Natural Gas Subtotal: Alternative Electricity and Transportation</t>
  </si>
  <si>
    <t>AEO.2026.ELECTRNP.CNSM_ENU_IDAL_NA_NGS_NA_NA_QBTU.A</t>
  </si>
  <si>
    <t>Energy Use: Industrial: Metallurgical Coal: Alternative Electricity and Transportation</t>
  </si>
  <si>
    <t>AEO.2026.ELECTRNP.CNSM_ENU_IDAL_NA_MTC_NA_NA_QBTU.A</t>
  </si>
  <si>
    <t>-1.9%</t>
  </si>
  <si>
    <t>Energy Use: Industrial: Other Industrial Coal: Alternative Electricity and Transportation</t>
  </si>
  <si>
    <t>AEO.2026.ELECTRNP.CNSM_ENU_IDAL_NA_OIC_NA_NA_QBTU.A</t>
  </si>
  <si>
    <t>-1.2%</t>
  </si>
  <si>
    <t>Energy Use: Industrial: Net Coal Coke Imports: Alternative Electricity and Transportation</t>
  </si>
  <si>
    <t>AEO.2026.ELECTRNP.CNSM_ENU_IDAL_NA_NCC_NA_NA_QBTU.A</t>
  </si>
  <si>
    <t>Energy Use: Industrial: Coal Subtotal: Alternative Electricity and Transportation</t>
  </si>
  <si>
    <t>AEO.2026.ELECTRNP.CNSM_ENU_IDAL_NA_COS_NA_NA_QBTU.A</t>
  </si>
  <si>
    <t>Energy Use: Industrial: Biofuels Heat and Coproducts: Alternative Electricity and Transportation</t>
  </si>
  <si>
    <t>AEO.2026.ELECTRNP.CNSM_ENU_IDAL_NA_BFH_NA_NA_QBTU.A</t>
  </si>
  <si>
    <t>0.3%</t>
  </si>
  <si>
    <t>Energy Use: Industrial: Renewable Energy: Alternative Electricity and Transportation</t>
  </si>
  <si>
    <t>AEO.2026.ELECTRNP.CNSM_ENU_IDAL_NA_REN_NA_NA_QBTU.A</t>
  </si>
  <si>
    <t>0.6%</t>
  </si>
  <si>
    <t>Energy Use: Industrial: Hydrogen: Alternative Electricity and Transportation</t>
  </si>
  <si>
    <t>AEO.2026.ELECTRNP.CNSM_ENU_IDAL_NA_HDG_NA_NA_QBTU.A</t>
  </si>
  <si>
    <t>Energy Use: Industrial: Electricity: Alternative Electricity and Transportation</t>
  </si>
  <si>
    <t>AEO.2026.ELECTRNP.CNSM_ENU_IDAL_NA_ELC_NA_NA_QBTU.A</t>
  </si>
  <si>
    <t>Energy Use: Industrial: Delivered Energy: Alternative Electricity and Transportation</t>
  </si>
  <si>
    <t>AEO.2026.ELECTRNP.CNSM_ENU_IDAL_NA_DELE_NA_NA_QBTU.A</t>
  </si>
  <si>
    <t>Energy Use: Industrial: Electricity Related Losses: Alternative Electricity and Transportation</t>
  </si>
  <si>
    <t>AEO.2026.ELECTRNP.CNSM_ENU_IDAL_NA_ERL_NA_NA_QBTU.A</t>
  </si>
  <si>
    <t>-0.8%</t>
  </si>
  <si>
    <t>Energy Use: Industrial: Hydrogen Related Losses: Alternative Electricity and Transportation</t>
  </si>
  <si>
    <t>AEO.2026.ELECTRNP.CNSM_ENU_IDAL_NA_H2RELLOS_NA_NA_QBTU.A</t>
  </si>
  <si>
    <t>Energy Use: Industrial: Total: Alternative Electricity and Transportation</t>
  </si>
  <si>
    <t>AEO.2026.ELECTRNP.CNSM_ENU_IDAL_NA_TOT_NA_NA_QBTU.A</t>
  </si>
  <si>
    <t>Energy Use: Transportation: Propane: Alternative Electricity and Transportation</t>
  </si>
  <si>
    <t>AEO.2026.ELECTRNP.CNSM_ENU_TRN_NA_PROP_NA_NA_QBTU.A</t>
  </si>
  <si>
    <t>Energy Use: Transportation: Motor Gasoline: Alternative Electricity and Transportation</t>
  </si>
  <si>
    <t>AEO.2026.ELECTRNP.CNSM_ENU_TRN_NA_MGS_NA_NA_QBTU.A</t>
  </si>
  <si>
    <t>-1.0%</t>
  </si>
  <si>
    <t>Energy Use: Transportation: E85: Alternative Electricity and Transportation</t>
  </si>
  <si>
    <t>AEO.2026.ELECTRNP.CNSM_ENU_TRN_NA_E85_NA_NA_QBTU.A</t>
  </si>
  <si>
    <t>-7.3%</t>
  </si>
  <si>
    <t>Energy Use: Transportation: Jet Fuel: Alternative Electricity and Transportation</t>
  </si>
  <si>
    <t>AEO.2026.ELECTRNP.CNSM_ENU_TRN_NA_JFL_NA_NA_QBTU.A</t>
  </si>
  <si>
    <t>Energy Use: Transportation: Distillate Fuel Oil: Alternative Electricity and Transportation</t>
  </si>
  <si>
    <t>AEO.2026.ELECTRNP.CNSM_ENU_TRN_NA_DFO_NA_NA_QBTU.A</t>
  </si>
  <si>
    <t>-0.4%</t>
  </si>
  <si>
    <t>Energy Use: Transportation: Residual Fuel Oil: Alternative Electricity and Transportation</t>
  </si>
  <si>
    <t>AEO.2026.ELECTRNP.CNSM_ENU_TRN_NA_RFO_NA_NA_QBTU.A</t>
  </si>
  <si>
    <t>Energy Use: Transportation: Other Petroleum: Alternative Electricity and Transportation</t>
  </si>
  <si>
    <t>AEO.2026.ELECTRNP.CNSM_ENU_TRN_NA_ONP_NA_NA_QBTU.A</t>
  </si>
  <si>
    <t>Energy Use: Transportation: Liquid Fuels Subtotal: Alternative Electricity and Transportation</t>
  </si>
  <si>
    <t>AEO.2026.ELECTRNP.CNSM_ENU_TRN_NA_LFL_NA_NA_QBTU.A</t>
  </si>
  <si>
    <t>Energy Use: Transportation: Pipeline Fuel Natural Gas: Alternative Electricity and Transportation</t>
  </si>
  <si>
    <t>AEO.2026.ELECTRNP.CNSM_ENU_TRN_NA_PFN_NA_NA_QBTU.A</t>
  </si>
  <si>
    <t>Energy Use: Transportation: Liquefaction: Alternative Electricity and Transportation</t>
  </si>
  <si>
    <t>AEO.2026.ELECTRNP.CNSM_ENU_IDAL_NA_LQFCT_NA_NA_QBTU.A</t>
  </si>
  <si>
    <t>3.8%</t>
  </si>
  <si>
    <t>Energy Use: Transportation: Natural Gas: Alternative Electricity and Transportation</t>
  </si>
  <si>
    <t>AEO.2026.ELECTRNP.CNSM_ENU_TRN_NA_NG_NA_NA_QBTU.A</t>
  </si>
  <si>
    <t>3.2%</t>
  </si>
  <si>
    <t>Energy Use: Transportation: Hydrogen: Alternative Electricity and Transportation</t>
  </si>
  <si>
    <t>AEO.2026.ELECTRNP.CNSM_ENU_TRN_NA_HDG_NA_NA_QBTU.A</t>
  </si>
  <si>
    <t>-7.6%</t>
  </si>
  <si>
    <t>Energy Use: Transportation: Electricity: Alternative Electricity and Transportation</t>
  </si>
  <si>
    <t>AEO.2026.ELECTRNP.CNSM_ENU_TRN_NA_ELC_NA_NA_QBTU.A</t>
  </si>
  <si>
    <t>8.7%</t>
  </si>
  <si>
    <t>Energy Use: Transportation: EV Charging (Residential): Alternative Electricity and Transportation</t>
  </si>
  <si>
    <t>AEO.2026.ELECTRNP.CNSM_ENU_TRN_NA_EVCHRGRES_NA_NA_QBTU.A</t>
  </si>
  <si>
    <t>9.0%</t>
  </si>
  <si>
    <t>Energy Use: Transportation: EV Charging (Commercial): Alternative Electricity and Transportation</t>
  </si>
  <si>
    <t>AEO.2026.ELECTRNP.CNSM_ENU_TRN_NA_EVCHRGCOM_NA_NA_QBTU.A</t>
  </si>
  <si>
    <t>10.4%</t>
  </si>
  <si>
    <t>Energy Use: Transportation: Passenger Rail: Alternative Electricity and Transportation</t>
  </si>
  <si>
    <t>AEO.2026.ELECTRNP.CNSM_ENU_TRN_NA_PSGRAIL_NA_NA_QBTU.A</t>
  </si>
  <si>
    <t>1.1%</t>
  </si>
  <si>
    <t>Energy Use: Transportation: Delivered Energy: Alternative Electricity and Transportation</t>
  </si>
  <si>
    <t>AEO.2026.ELECTRNP.CNSM_ENU_TRN_NA_DELE_NA_NA_QBTU.A</t>
  </si>
  <si>
    <t>-0.2%</t>
  </si>
  <si>
    <t>Energy Use: Transportation: Electricity Related Losses: Alternative Electricity and Transportation</t>
  </si>
  <si>
    <t>AEO.2026.ELECTRNP.CNSM_ENU_TRN_NA_ERL_NA_NA_QBTU.A</t>
  </si>
  <si>
    <t>7.0%</t>
  </si>
  <si>
    <t>Energy Use: Transportation: Hydrogen Related Losses: Alternative Electricity and Transportation</t>
  </si>
  <si>
    <t>AEO.2026.ELECTRNP.CNSM_ENU_TRN_NA_H2RELLOS_NA_NA_QBTU.A</t>
  </si>
  <si>
    <t>-7.8%</t>
  </si>
  <si>
    <t>Energy Use: Transportation: Total: Alternative Electricity and Transportation</t>
  </si>
  <si>
    <t>AEO.2026.ELECTRNP.CNSM_ENU_TRN_NA_TOT_NA_NA_QBTU.A</t>
  </si>
  <si>
    <t>-0.1%</t>
  </si>
  <si>
    <t>Energy Use: Unspecified: Total: Alternative Electricity and Transportation</t>
  </si>
  <si>
    <t>AEO.2026.ELECTRNP.CNSM_ENU_OTH_NA_TOT_NA_NA_QBTU.A</t>
  </si>
  <si>
    <t>All Sectors</t>
  </si>
  <si>
    <t>Energy Use: Delivered: All Sectors: Liquefied Petroleum Gases: Alternative Electricity and Transportation</t>
  </si>
  <si>
    <t>AEO.2026.ELECTRNP.CNSM_ENU_ALLS_NA_LPG_DELV_NA_QBTU.A</t>
  </si>
  <si>
    <t>Energy Use: Delivered: All Sectors: Motor Gasoline: Alternative Electricity and Transportation</t>
  </si>
  <si>
    <t>AEO.2026.ELECTRNP.CNSM_ENU_ALLS_NA_MGS_DELV_NA_QBTU.A</t>
  </si>
  <si>
    <t>-0.9%</t>
  </si>
  <si>
    <t>Energy Use: Delivered: All Sectors: E85: Alternative Electricity and Transportation</t>
  </si>
  <si>
    <t>AEO.2026.ELECTRNP.CNSM_ENU_ALLS_NA_E85_DELV_NA_QBTU.A</t>
  </si>
  <si>
    <t>Energy Use: Delivered: All Sectors: Jet Fuel: Alternative Electricity and Transportation</t>
  </si>
  <si>
    <t>AEO.2026.ELECTRNP.CNSM_ENU_ALLS_NA_JFL_DELV_NA_QBTU.A</t>
  </si>
  <si>
    <t>Energy Use: Delivered: All Sectors: Kerosene: Alternative Electricity and Transportation</t>
  </si>
  <si>
    <t>AEO.2026.ELECTRNP.CNSM_ENU_ALLS_NA_KRS_DELV_NA_QBTU.A</t>
  </si>
  <si>
    <t>Energy Use: Delivered: All Sectors: Distillate Fuel Oil: Alternative Electricity and Transportation</t>
  </si>
  <si>
    <t>AEO.2026.ELECTRNP.CNSM_ENU_ALLS_NA_DFO_DELV_NA_QBTU.A</t>
  </si>
  <si>
    <t>Energy Use: Delivered: All Sectors: Residual Fuel Oil: Alternative Electricity and Transportation</t>
  </si>
  <si>
    <t>AEO.2026.ELECTRNP.CNSM_ENU_ALLS_NA_RFO_DELV_NA_QBTU.A</t>
  </si>
  <si>
    <t>Energy Use: Delivered: All Sectors: Petrochemical Feedstocks: Alternative Electricity and Transportation</t>
  </si>
  <si>
    <t>AEO.2026.ELECTRNP.CNSM_ENU_ALLS_NA_PCF_DELV_NA_QBTU.A</t>
  </si>
  <si>
    <t>Energy Use: Delivered: All Sectors: Other Petroleum: Alternative Electricity and Transportation</t>
  </si>
  <si>
    <t>AEO.2026.ELECTRNP.CNSM_ENU_ALLS_NA_ONP_DELV_NA_QBTU.A</t>
  </si>
  <si>
    <t>Energy Use: Delivered: All Sectors: Liquid Fuels Subtotal: Alternative Electricity and Transportation</t>
  </si>
  <si>
    <t>AEO.2026.ELECTRNP.CNSM_ENU_ALLS_NA_LFL_DELV_NA_QBTU.A</t>
  </si>
  <si>
    <t>Energy Use: Delivered: All Sectors: Natural Gas: Alternative Electricity and Transportation</t>
  </si>
  <si>
    <t>AEO.2026.ELECTRNP.CNSM_ENU_ALLS_NA_NG_DELV_NA_QBTU.A</t>
  </si>
  <si>
    <t>Energy Use: Delivered: All Sectors: Lease and Plant Fuel: Alternative Electricity and Transportation</t>
  </si>
  <si>
    <t>AEO.2026.ELECTRNP.CNSM_ENU_ALLS_NA_LSAPFL_DELV_NA_QBTU.A</t>
  </si>
  <si>
    <t>Energy Use: Delivered: All Sectors: Liquefaction: Alternative Electricity and Transportation</t>
  </si>
  <si>
    <t>AEO.2026.ELECTRNP.CNSM_ENU_ALLS_NA_LQFCT_DELV_NA_QBTU.A</t>
  </si>
  <si>
    <t>Energy Use: Delivered: All Sectors: Pipeline Natural Gas: Alternative Electricity and Transportation</t>
  </si>
  <si>
    <t>AEO.2026.ELECTRNP.CNSM_ENU_ALLS_NA_PPN_DELV_NA_QBTU.A</t>
  </si>
  <si>
    <t>Energy Use: Delivered: All Sectors: Natural Gas Subtotal: Alternative Electricity and Transportation</t>
  </si>
  <si>
    <t>AEO.2026.ELECTRNP.CNSM_ENU_ALLS_NA_NGS_DELV_NA_QBTU.A</t>
  </si>
  <si>
    <t>Energy Use: Delivered: All Sectors: Metallurgical Coal: Alternative Electricity and Transportation</t>
  </si>
  <si>
    <t>AEO.2026.ELECTRNP.CNSM_ENU_ALLS_NA_MTC_DELV_NA_QBTU.A</t>
  </si>
  <si>
    <t>Energy Use: Delivered: All Sectors: Other Coal: Alternative Electricity and Transportation</t>
  </si>
  <si>
    <t>AEO.2026.ELECTRNP.CNSM_ENU_ALLS_NA_OCA_DELV_NA_QBTU.A</t>
  </si>
  <si>
    <t>Energy Use: Delivered: All Sectors: Net Coal Coke Imports: Alternative Electricity and Transportation</t>
  </si>
  <si>
    <t>AEO.2026.ELECTRNP.CNSM_ENU_ALLS_NA_NCC_DELV_NA_QBTU.A</t>
  </si>
  <si>
    <t>Energy Use: Delivered: All Sectors: Coal Subtotal: Alternative Electricity and Transportation</t>
  </si>
  <si>
    <t>AEO.2026.ELECTRNP.CNSM_ENU_ALLS_NA_COS_DELV_NA_QBTU.A</t>
  </si>
  <si>
    <t>Energy Use: Delivered: All Sectors: Biofuels Heat and Coproducts: Alternative Electricity and Transportation</t>
  </si>
  <si>
    <t>AEO.2026.ELECTRNP.CNSM_ENU_ALLS_NA_BFH_DELV_NA_QBTU.A</t>
  </si>
  <si>
    <t>Energy Use: Delivered: All Sectors: Renewable Energy: Alternative Electricity and Transportation</t>
  </si>
  <si>
    <t>AEO.2026.ELECTRNP.CNSM_ENU_ALLS_NA_REN_DELV_NA_QBTU.A</t>
  </si>
  <si>
    <t>Energy Use: Delivered: All Sectors: Hydrogen: Alternative Electricity and Transportation</t>
  </si>
  <si>
    <t>AEO.2026.ELECTRNP.CNSM_ENU_ALLS_NA_HDG_DELV_NA_QBTU.A</t>
  </si>
  <si>
    <t>Energy Use: Delivered: All Sectors: Electricity: Alternative Electricity and Transportation</t>
  </si>
  <si>
    <t>AEO.2026.ELECTRNP.CNSM_ENU_ALLS_NA_ELC_DELV_NA_QBTU.A</t>
  </si>
  <si>
    <t>Energy Use: Delivered: All Sectors: Delivered Energy: Alternative Electricity and Transportation</t>
  </si>
  <si>
    <t>AEO.2026.ELECTRNP.CNSM_ENU_ALLS_NA_DELE_DELV_NA_QBTU.A</t>
  </si>
  <si>
    <t>Energy Use: Delivered: All Sectors: Electricity Related Losses: Alternative Electricity and Transportation</t>
  </si>
  <si>
    <t>AEO.2026.ELECTRNP.CNSM_ENU_ALLS_NA_ERL_DELV_NA_QBTU.A</t>
  </si>
  <si>
    <t>Energy Use: Delivered: All Sectors: Hydrogen Related Losses: Alternative Electricity and Transportation</t>
  </si>
  <si>
    <t>AEO.2026.ELECTRNP.CNSM_ENU_ALLS_NA_H2RELLOS_DELV_NA_QBTU.A</t>
  </si>
  <si>
    <t>Energy Use: Delivered: All Sectors: Total: Alternative Electricity and Transportation</t>
  </si>
  <si>
    <t>AEO.2026.ELECTRNP.CNSM_ENU_ALLS_NA_TOT_NA_NA_QBTU.A</t>
  </si>
  <si>
    <t>Energy Use: Electric Power: Distillate Fuel Oil: Alternative Electricity and Transportation</t>
  </si>
  <si>
    <t>AEO.2026.ELECTRNP.CNSM_ENU_ELEP_NA_DFO_NA_NA_QBTU.A</t>
  </si>
  <si>
    <t>-4.2%</t>
  </si>
  <si>
    <t>Energy Use: Electric Power: Residual Fuel Oil: Alternative Electricity and Transportation</t>
  </si>
  <si>
    <t>AEO.2026.ELECTRNP.CNSM_ENU_ELEP_NA_RFO_NA_NA_QBTU.A</t>
  </si>
  <si>
    <t>-4.5%</t>
  </si>
  <si>
    <t>Energy Use: Electric Power: Liquid Fuels Subtotal: Alternative Electricity and Transportation</t>
  </si>
  <si>
    <t>AEO.2026.ELECTRNP.CNSM_ENU_ELEP_NA_LFL_NA_NA_QBTU.A</t>
  </si>
  <si>
    <t>-4.3%</t>
  </si>
  <si>
    <t>Energy Use: Electric Power: Natural Gas: Alternative Electricity and Transportation</t>
  </si>
  <si>
    <t>AEO.2026.ELECTRNP.CNSM_ENU_ELEP_NA_NG_NA_NA_QBTU.A</t>
  </si>
  <si>
    <t>Energy Use: Electric Power: Steam Coal: Alternative Electricity and Transportation</t>
  </si>
  <si>
    <t>AEO.2026.ELECTRNP.CNSM_ENU_ELEP_NA_STC_NA_NA_QBTU.A</t>
  </si>
  <si>
    <t>-3.7%</t>
  </si>
  <si>
    <t>Energy Use: Electric Power: Nuclear: Alternative Electricity and Transportation</t>
  </si>
  <si>
    <t>AEO.2026.ELECTRNP.CNSM_ENU_ELEP_NA_NUC_NA_NA_QBTU.A</t>
  </si>
  <si>
    <t>Energy Use: Electric Power: Renewable Energy: Alternative Electricity and Transportation</t>
  </si>
  <si>
    <t>AEO.2026.ELECTRNP.CNSM_ENU_ELEP_NA_REN_NA_NA_QBTU.A</t>
  </si>
  <si>
    <t>2.8%</t>
  </si>
  <si>
    <t>Energy Use: Electric Power: Hydrogen: Alternative Electricity and Transportation</t>
  </si>
  <si>
    <t>AEO.2026.ELECTRNP.CNSM_ENU_ELEP_NA_HDG_NA_NA_QBTU.A</t>
  </si>
  <si>
    <t>Energy Use: Electric Power: Non-biogenic Municipal Waste: Alternative Electricity and Transportation</t>
  </si>
  <si>
    <t>AEO.2026.ELECTRNP.CNSM_ENU_ELEP_NA_NBMSW_NA_NA_QBTU.A</t>
  </si>
  <si>
    <t>Energy Use: Electric Power: Electricity Imports: Alternative Electricity and Transportation</t>
  </si>
  <si>
    <t>AEO.2026.ELECTRNP.CNSM_ENU_ELEP_NA_ELI_NA_NA_QBTU.A</t>
  </si>
  <si>
    <t>3.9%</t>
  </si>
  <si>
    <t>Energy Use: Electric Power: Total Energy: Alternative Electricity and Transportation</t>
  </si>
  <si>
    <t>AEO.2026.ELECTRNP.CNSM_ENU_ELEP_NA_TEN_NA_NA_QBTU.A</t>
  </si>
  <si>
    <t>Energy Use: Electric Power: Hydrogen Related Losses: Alternative Electricity and Transportation</t>
  </si>
  <si>
    <t>AEO.2026.ELECTRNP.CNSM_ENU_ELEP_NA_H2RELLOS_NA_NA_QBTU.A</t>
  </si>
  <si>
    <t>Energy Use: Electric Power: Total: Alternative Electricity and Transportation</t>
  </si>
  <si>
    <t>AEO.2026.ELECTRNP.CNSM_ENU_ELEP_NA_TOT_NA_NA_QBTU.A</t>
  </si>
  <si>
    <t>Energy Use: Industrial: Hydrogen Production: Natural Gas: Alternative Electricity and Transportation</t>
  </si>
  <si>
    <t>AEO.2026.ELECTRNP.INDH2_ENU_TEN_NA_NGAS_NA_NA_QBTU.A</t>
  </si>
  <si>
    <t>Energy Use: Industrial: Hydrogen Production: Purchased Electricity: Alternative Electricity and Transportation</t>
  </si>
  <si>
    <t>AEO.2026.ELECTRNP.INDH2_ENU_TEN_NA_PURCHELEC_NA_NA_QBTU.A</t>
  </si>
  <si>
    <t>-1.6%</t>
  </si>
  <si>
    <t>Energy Use: Alternative Electricity and Transportation</t>
  </si>
  <si>
    <t>AEO.2026.ELECTRNP.INDH2_ENU_TEN_NA_NA_NA_NA_NA.A</t>
  </si>
  <si>
    <t>Energy Use: Industrial: Hydrogen Production: Total Energy: Alternative Electricity and Transportation</t>
  </si>
  <si>
    <t>AEO.2026.ELECTRNP.INDH2_ENU_TEN_NA_TEN_NA_NA_QBTU.A</t>
  </si>
  <si>
    <t>Energy Use: Industrial: Hydrogen Production: Electricity Related Losses: Alternative Electricity and Transportation</t>
  </si>
  <si>
    <t>AEO.2026.ELECTRNP.INDH2_ENU_TEN_NA_ELC_NA_NA_QBTU.A</t>
  </si>
  <si>
    <t>-3.1%</t>
  </si>
  <si>
    <t>Energy Use: Industrial: Hydrogen Production: Total: Alternative Electricity and Transportation</t>
  </si>
  <si>
    <t>AEO.2026.ELECTRNP.INDH2_ENU_TEN_NA_TOT_NA_NA_QBTU.A</t>
  </si>
  <si>
    <t>Energy Use: Total: Liquefied Petroleum Gases: Alternative Electricity and Transportation</t>
  </si>
  <si>
    <t>AEO.2026.ELECTRNP.CNSM_ENU_TEN_NA_LPG_NA_NA_QBTU.A</t>
  </si>
  <si>
    <t>Energy Use: Total: Motor Gasoline: Alternative Electricity and Transportation</t>
  </si>
  <si>
    <t>AEO.2026.ELECTRNP.CNSM_ENU_TEN_NA_MGS_NA_NA_QBTU.A</t>
  </si>
  <si>
    <t>Energy Use: Total: E85: Alternative Electricity and Transportation</t>
  </si>
  <si>
    <t>AEO.2026.ELECTRNP.CNSM_ENU_TEN_NA_E85_NA_NA_QBTU.A</t>
  </si>
  <si>
    <t>Energy Use: Total: Jet Fuel: Alternative Electricity and Transportation</t>
  </si>
  <si>
    <t>AEO.2026.ELECTRNP.CNSM_ENU_TEN_NA_JFL_NA_NA_QBTU.A</t>
  </si>
  <si>
    <t>Energy Use: Total: Kerosene: Alternative Electricity and Transportation</t>
  </si>
  <si>
    <t>AEO.2026.ELECTRNP.CNSM_ENU_TEN_NA_KRS_NA_NA_QBTU.A</t>
  </si>
  <si>
    <t>Energy Use: Total: Distillate Fuel Oil: Alternative Electricity and Transportation</t>
  </si>
  <si>
    <t>AEO.2026.ELECTRNP.CNSM_ENU_TEN_NA_DFO_NA_NA_QBTU.A</t>
  </si>
  <si>
    <t>Energy Use: Total: Residual Fuel Oil: Alternative Electricity and Transportation</t>
  </si>
  <si>
    <t>AEO.2026.ELECTRNP.CNSM_ENU_TEN_NA_RFO_NA_NA_QBTU.A</t>
  </si>
  <si>
    <t>Energy Use: Total: Petrochemical Feedstocks: Alternative Electricity and Transportation</t>
  </si>
  <si>
    <t>AEO.2026.ELECTRNP.CNSM_ENU_TEN_NA_PCF_NA_NA_QBTU.A</t>
  </si>
  <si>
    <t>Energy Use: Total: Other Petroleum: Alternative Electricity and Transportation</t>
  </si>
  <si>
    <t>AEO.2026.ELECTRNP.CNSM_ENU_TEN_NA_ONP_NA_NA_QBTU.A</t>
  </si>
  <si>
    <t>Energy Use: Total: Liquid Fuels Subtotal: Alternative Electricity and Transportation</t>
  </si>
  <si>
    <t>AEO.2026.ELECTRNP.CNSM_ENU_TEN_NA_LFL_NA_NA_QBTU.A</t>
  </si>
  <si>
    <t>Energy Use: Total: Natural Gas: Alternative Electricity and Transportation</t>
  </si>
  <si>
    <t>AEO.2026.ELECTRNP.CNSM_ENU_TEN_NA_NG_NA_NA_QBTU.A</t>
  </si>
  <si>
    <t>Energy Use: Total: Lease and Plant Fuel: Alternative Electricity and Transportation</t>
  </si>
  <si>
    <t>AEO.2026.ELECTRNP.CNSM_ENU_TEN_NA_LSAPFL_NA_NA_QBTU.A</t>
  </si>
  <si>
    <t>Energy Use: Total: Liquefaction: Alternative Electricity and Transportation</t>
  </si>
  <si>
    <t>AEO.2026.ELECTRNP.CNSM_ENU_TEN_NA_LQFCT_NA_NA_QBTU.A</t>
  </si>
  <si>
    <t>Energy Use: Total: Pipeline Natural Gas: Alternative Electricity and Transportation</t>
  </si>
  <si>
    <t>AEO.2026.ELECTRNP.CNSM_ENU_TEN_NA_PPN_NA_NA_QBTU.A</t>
  </si>
  <si>
    <t>Energy Use: Total: Natural Gas Subtotal: Alternative Electricity and Transportation</t>
  </si>
  <si>
    <t>AEO.2026.ELECTRNP.CNSM_ENU_TEN_NA_NGS_NA_NA_QBTU.A</t>
  </si>
  <si>
    <t>Energy Use: Total: Metallurgical Coal: Alternative Electricity and Transportation</t>
  </si>
  <si>
    <t>AEO.2026.ELECTRNP.CNSM_ENU_TEN_NA_MTC_NA_NA_QBTU.A</t>
  </si>
  <si>
    <t>Energy Use: Total: Other Coal: Alternative Electricity and Transportation</t>
  </si>
  <si>
    <t>AEO.2026.ELECTRNP.CNSM_ENU_TEN_NA_OCA_NA_NA_QBTU.A</t>
  </si>
  <si>
    <t>-3.5%</t>
  </si>
  <si>
    <t>Energy Use: Total: Net Coal Coke Imports: Alternative Electricity and Transportation</t>
  </si>
  <si>
    <t>AEO.2026.ELECTRNP.CNSM_ENU_TEN_NA_NCC_NA_NA_QBTU.A</t>
  </si>
  <si>
    <t>Energy Use: Total: Coal Subtotal: Alternative Electricity and Transportation</t>
  </si>
  <si>
    <t>AEO.2026.ELECTRNP.CNSM_ENU_TEN_NA_COS_NA_NA_QBTU.A</t>
  </si>
  <si>
    <t>-3.4%</t>
  </si>
  <si>
    <t>Energy Use: Total: Nuclear: Alternative Electricity and Transportation</t>
  </si>
  <si>
    <t>AEO.2026.ELECTRNP.CNSM_ENU_TEN_NA_NUC_NA_NA_QBTU.A</t>
  </si>
  <si>
    <t>Energy Use: Total: Biofuels Heat and Coproducts: Alternative Electricity and Transportation</t>
  </si>
  <si>
    <t>AEO.2026.ELECTRNP.CNSM_ENU_TEN_NA_BFH_NA_NA_QBTU.A</t>
  </si>
  <si>
    <t>Energy Use: Total: Renewable Energy: Alternative Electricity and Transportation</t>
  </si>
  <si>
    <t>AEO.2026.ELECTRNP.CNSM_ENU_TEN_NA_REN_NA_NA_QBTU.A</t>
  </si>
  <si>
    <t>2.1%</t>
  </si>
  <si>
    <t>Energy Use: Total: Non-biogenic Municipal Waste: Alternative Electricity and Transportation</t>
  </si>
  <si>
    <t>AEO.2026.ELECTRNP.CNSM_ENU_TEN_NA_NBMSW_NA_NA_QBTU.A</t>
  </si>
  <si>
    <t>Energy Use: Total: Electricity Imports: Alternative Electricity and Transportation</t>
  </si>
  <si>
    <t>AEO.2026.ELECTRNP.CNSM_ENU_TEN_NA_ELI_NA_NA_QBTU.A</t>
  </si>
  <si>
    <t>Energy Use: Total: Byproduct Hydrogen: Alternative Electricity and Transportation</t>
  </si>
  <si>
    <t>AEO.2026.ELECTRNP.CNSM_ENU_BYPRDH2_NA_ELI_NA_NA_QBTU.A</t>
  </si>
  <si>
    <t>Energy Use: Total: Total: Alternative Electricity and Transportation</t>
  </si>
  <si>
    <t>AEO.2026.ELECTRNP.CNSM_ENU_TEN_NA_TOT_NA_NA_QBTU.A</t>
  </si>
  <si>
    <t>Energy Use &amp; Related Statistics: Delivered Energy Use: Alternative Electricity and Transportation</t>
  </si>
  <si>
    <t>AEO.2026.ELECTRNP.CNSM_DEU_TOTD_NA_DEU_NA_NA_QBTU.A</t>
  </si>
  <si>
    <t>Energy Use &amp; Related Statistics: Total Energy Use: Alternative Electricity and Transportation</t>
  </si>
  <si>
    <t>AEO.2026.ELECTRNP.CNSM_ENU_TEN_NA_TEU_NA_NA_QBTU.A</t>
  </si>
  <si>
    <t>Energy Use &amp; Related Statistics: Ethanol Consumed in Motor Gasoline and E85: Alternative Electricity and Transportation</t>
  </si>
  <si>
    <t>AEO.2026.ELECTRNP.CNSM_ENU_NA_NA_EM1_NA_NA_QBTU.A</t>
  </si>
  <si>
    <t>Energy Use &amp; Related Statistics: Population: Alternative Electricity and Transportation</t>
  </si>
  <si>
    <t>AEO.2026.ELECTRNP.DMG_POP_NA_NA_NA_NA_NA_MILL.A</t>
  </si>
  <si>
    <t>Energy Use &amp; Related Statistics: Gross Domestic Product: Alternative Electricity and Transportation</t>
  </si>
  <si>
    <t>AEO.2026.ELECTRNP.KEI_GDP_NA_NA_NA_NA_NA_BLNY09DLR.A</t>
  </si>
  <si>
    <t>1.7%</t>
  </si>
  <si>
    <t>Energy Use &amp; Related Statistics: Carbon Dioxide Emissions: Alternative Electricity and Transportation</t>
  </si>
  <si>
    <t>AEO.2026.ELECTRNP.EMI_CO2_NA_NA_NA_NA_NA_MILLMTCO2EQ.A</t>
  </si>
  <si>
    <t>MMmt carbon dioxide</t>
  </si>
  <si>
    <t>https://www.eia.gov/outlooks/aeo/data/browser/#/?id=3-AEO2026&amp;cases=electrnp&amp;sourcekey=0</t>
  </si>
  <si>
    <t>Thu Apr 23 2026 14:57:36 GMT-0700 (Pacific Daylight Time)</t>
  </si>
  <si>
    <t>Energy Prices: Residential: Propane: Alternative Electricity and Transportation</t>
  </si>
  <si>
    <t>AEO.2026.ELECTRNP.PRCE_REAL_RESD_NA_PROP_NA_NA_Y13DLRPMMBTU.A</t>
  </si>
  <si>
    <t>2025 $/MMBtu</t>
  </si>
  <si>
    <t>Energy Prices: Residential: Distillate Fuel Oil: Alternative Electricity and Transportation</t>
  </si>
  <si>
    <t>AEO.2026.ELECTRNP.PRCE_REAL_RESD_NA_DFO_NA_NA_Y13DLRPMMBTU.A</t>
  </si>
  <si>
    <t>Energy Prices: Residential: Natural Gas: Alternative Electricity and Transportation</t>
  </si>
  <si>
    <t>AEO.2026.ELECTRNP.PRCE_REAL_RESD_NA_NG_NA_NA_Y13DLRPMMBTU.A</t>
  </si>
  <si>
    <t>Energy Prices: Residential: Electricity: Alternative Electricity and Transportation</t>
  </si>
  <si>
    <t>AEO.2026.ELECTRNP.PRCE_REAL_RESD_NA_ELC_NA_NA_Y13DLRPMMBTU.A</t>
  </si>
  <si>
    <t>Energy Prices: Commercial: Propane: Alternative Electricity and Transportation</t>
  </si>
  <si>
    <t>AEO.2026.ELECTRNP.PRCE_REAL_COMM_NA_PROP_NA_NA_Y13DLRPMMBTU.A</t>
  </si>
  <si>
    <t>Energy Prices: Commercial: Distillate Fuel Oil: Alternative Electricity and Transportation</t>
  </si>
  <si>
    <t>AEO.2026.ELECTRNP.PRCE_REAL_COMM_NA_DFO_NA_NA_Y13DLRPMMBTU.A</t>
  </si>
  <si>
    <t>Energy Prices: Commercial: Residual Fuel: Alternative Electricity and Transportation</t>
  </si>
  <si>
    <t>AEO.2026.ELECTRNP.PRCE_REAL_COMM_NA_RFL_NA_NA_Y13DLRPMMBTU.A</t>
  </si>
  <si>
    <t>Energy Prices: Commercial: Natural Gas: Alternative Electricity and Transportation</t>
  </si>
  <si>
    <t>AEO.2026.ELECTRNP.PRCE_REAL_COMM_NA_NG_NA_NA_Y13DLRPMMBTU.A</t>
  </si>
  <si>
    <t>Energy Prices: Commercial: Electricity: Alternative Electricity and Transportation</t>
  </si>
  <si>
    <t>AEO.2026.ELECTRNP.PRCE_REAL_COMM_NA_ELC_NA_NA_Y13DLRPMMBTU.A</t>
  </si>
  <si>
    <t>-0.0%</t>
  </si>
  <si>
    <t>Energy Prices: Industrial: Propane: Alternative Electricity and Transportation</t>
  </si>
  <si>
    <t>AEO.2026.ELECTRNP.PRCE_REAL_IDAL_NA_PROP_NA_NA_Y13DLRPMMBTU.A</t>
  </si>
  <si>
    <t>1.8%</t>
  </si>
  <si>
    <t>Energy Prices: Industrial: Distillate Fuel Oil: Alternative Electricity and Transportation</t>
  </si>
  <si>
    <t>AEO.2026.ELECTRNP.PRCE_REAL_IDAL_NA_DFO_NA_NA_Y13DLRPMMBTU.A</t>
  </si>
  <si>
    <t>Energy Prices: Industrial: Residual Fuel Oil: Alternative Electricity and Transportation</t>
  </si>
  <si>
    <t>AEO.2026.ELECTRNP.PRCE_REAL_IDAL_NA_RFO_NA_NA_Y13DLRPMMBTU.A</t>
  </si>
  <si>
    <t>2.7%</t>
  </si>
  <si>
    <t>Energy Prices: Industrial: Natural Gas: Alternative Electricity and Transportation</t>
  </si>
  <si>
    <t>AEO.2026.ELECTRNP.PRCE_REAL_IDAL_NA_NG_NA_NA_Y13DLRPMMBTU.A</t>
  </si>
  <si>
    <t>Energy Prices: Industrial: Metallurgical Coal: Alternative Electricity and Transportation</t>
  </si>
  <si>
    <t>AEO.2026.ELECTRNP.PRCE_REAL_IDAL_NA_MTC_NA_NA_Y13DLRPMMBTU.A</t>
  </si>
  <si>
    <t>Energy Prices: Industrial: Other Industrial Coal: Alternative Electricity and Transportation</t>
  </si>
  <si>
    <t>AEO.2026.ELECTRNP.PRCE_REAL_IDAL_NA_OIC_NA_NA_Y13DLRPMMBTU.A</t>
  </si>
  <si>
    <t>Energy Prices: Industrial: Hydrogen: Alternative Electricity and Transportation</t>
  </si>
  <si>
    <t>AEO.2026.ELECTRNP.PRCE_REAL_IDAL_NA_HDG_NA_NA_Y13DLRPMMBTU.A</t>
  </si>
  <si>
    <t>Energy Prices: Industrial: Electricity: Alternative Electricity and Transportation</t>
  </si>
  <si>
    <t>AEO.2026.ELECTRNP.PRCE_REAL_IDAL_NA_ELC_NA_NA_Y13DLRPMMBTU.A</t>
  </si>
  <si>
    <t>Energy Prices: Transportation: Propane: Alternative Electricity and Transportation</t>
  </si>
  <si>
    <t>AEO.2026.ELECTRNP.PRCE_REAL_TRN_NA_PROP_NA_NA_Y13DLRPMMBTU.A</t>
  </si>
  <si>
    <t>Energy Prices: Transportation: E85: Alternative Electricity and Transportation</t>
  </si>
  <si>
    <t>AEO.2026.ELECTRNP.PRCE_REAL_TRN_NA_E85_NA_NA_Y13DLRPMMBTU.A</t>
  </si>
  <si>
    <t>Energy Prices: Transportation: Motor Gasoline: Alternative Electricity and Transportation</t>
  </si>
  <si>
    <t>AEO.2026.ELECTRNP.PRCE_REAL_TRN_NA_MGS_NA_NA_Y13DLRPMMBTU.A</t>
  </si>
  <si>
    <t>Energy Prices: Transportation: Jet Fuel: Alternative Electricity and Transportation</t>
  </si>
  <si>
    <t>AEO.2026.ELECTRNP.PRCE_REAL_TRN_NA_JFL_NA_NA_Y13DLRPMMBTU.A</t>
  </si>
  <si>
    <t>Energy Prices: Transportation: Diesel Fuel: Alternative Electricity and Transportation</t>
  </si>
  <si>
    <t>AEO.2026.ELECTRNP.PRCE_REAL_TRN_NA_DFU_NA_NA_Y13DLRPMMBTU.A</t>
  </si>
  <si>
    <t>Energy Prices: Transportation: Residual Fuel Oil: Alternative Electricity and Transportation</t>
  </si>
  <si>
    <t>AEO.2026.ELECTRNP.PRCE_REAL_TRN_NA_RFO_NA_NA_Y13DLRPMMBTU.A</t>
  </si>
  <si>
    <t>Energy Prices: Transportation: Natural Gas: Alternative Electricity and Transportation</t>
  </si>
  <si>
    <t>AEO.2026.ELECTRNP.PRCE_REAL_TRN_NA_NG_NA_NA_Y13DLRPMMBTU.A</t>
  </si>
  <si>
    <t>Energy Prices: Transportation: Hydrogen: Alternative Electricity and Transportation</t>
  </si>
  <si>
    <t>AEO.2026.ELECTRNP.PRCE_REAL_TRN_NA_HDG_NA_NA_Y13DLRPMMBTU.A</t>
  </si>
  <si>
    <t>Energy Prices: Transportation: Electricity: Alternative Electricity and Transportation</t>
  </si>
  <si>
    <t>AEO.2026.ELECTRNP.PRCE_REAL_TRN_NA_ELC_NA_NA_Y13DLRPMMBTU.A</t>
  </si>
  <si>
    <t>Energy Prices: Electric Power: Distillate Fuel Oil: Alternative Electricity and Transportation</t>
  </si>
  <si>
    <t>AEO.2026.ELECTRNP.PRCE_REAL_ELEP_NA_DFO_NA_NA_Y13DLRPMMBTU.A</t>
  </si>
  <si>
    <t>Energy Prices: Electric Power: Residual Fuel Oil: Alternative Electricity and Transportation</t>
  </si>
  <si>
    <t>AEO.2026.ELECTRNP.PRCE_REAL_ELEP_NA_RFO_NA_NA_Y13DLRPMMBTU.A</t>
  </si>
  <si>
    <t>Energy Prices: Electric Power: Natural Gas: Alternative Electricity and Transportation</t>
  </si>
  <si>
    <t>AEO.2026.ELECTRNP.PRCE_REAL_ELEP_NA_NG_NA_NA_Y13DLRPMMBTU.A</t>
  </si>
  <si>
    <t>Energy Prices: Electric Power: Steam Coal: Alternative Electricity and Transportation</t>
  </si>
  <si>
    <t>AEO.2026.ELECTRNP.PRCE_REAL_ELEP_NA_STC_NA_NA_Y13DLRPMMBTU.A</t>
  </si>
  <si>
    <t>Nuclear Fuel</t>
  </si>
  <si>
    <t>Energy Prices: Electric Power: Nuclear Fuel: Alternative Electricity and Transportation</t>
  </si>
  <si>
    <t>AEO.2026.ELECTRNP.PRCE_REAL_ELEP_NA_U_NA_NA_Y13DLRPMMBTU.A</t>
  </si>
  <si>
    <t>-0.6%</t>
  </si>
  <si>
    <t>Energy Prices: Electric Power: Hydrogen: Alternative Electricity and Transportation</t>
  </si>
  <si>
    <t>AEO.2026.ELECTRNP.PRCE_REAL_ELEP_NA_HDG_NA_NA_Y13DLRPMMBTU.A</t>
  </si>
  <si>
    <t>Energy Prices: Average Price to All Users: Propane: Alternative Electricity and Transportation</t>
  </si>
  <si>
    <t>AEO.2026.ELECTRNP.PRCE_REAL_TEN_NA_PROP_NA_NA_Y13DLRPMMBTU.A</t>
  </si>
  <si>
    <t>Energy Prices: Average Price to All Users: E85: Alternative Electricity and Transportation</t>
  </si>
  <si>
    <t>AEO.2026.ELECTRNP.PRCE_REAL_TEN_NA_E85_NA_NA_Y13DLRPMMBTU.A</t>
  </si>
  <si>
    <t>Energy Prices: Average Price to All Users: Motor Gasoline: Alternative Electricity and Transportation</t>
  </si>
  <si>
    <t>AEO.2026.ELECTRNP.PRCE_REAL_TEN_NA_MGS_NA_NA_Y13DLRPMMBTU.A</t>
  </si>
  <si>
    <t>Energy Prices: Average Price to All Users: Jet Fuel: Alternative Electricity and Transportation</t>
  </si>
  <si>
    <t>AEO.2026.ELECTRNP.PRCE_REAL_TEN_NA_JFL_NA_NA_Y13DLRPMMBTU.A</t>
  </si>
  <si>
    <t>Energy Prices: Average Price to All Users: Distillate Fuel Oil: Alternative Electricity and Transportation</t>
  </si>
  <si>
    <t>AEO.2026.ELECTRNP.PRCE_REAL_TEN_NA_DFO_NA_NA_Y13DLRPMMBTU.A</t>
  </si>
  <si>
    <t>Energy Prices: Average Price to All Users: Residual Fuel Oil: Alternative Electricity and Transportation</t>
  </si>
  <si>
    <t>AEO.2026.ELECTRNP.PRCE_REAL_TEN_NA_RFO_NA_NA_Y13DLRPMMBTU.A</t>
  </si>
  <si>
    <t>Energy Prices: Average Price to All Users: Natural Gas: Alternative Electricity and Transportation</t>
  </si>
  <si>
    <t>AEO.2026.ELECTRNP.PRCE_REAL_TEN_NA_NG_NA_NA_Y13DLRPMMBTU.A</t>
  </si>
  <si>
    <t>Energy Prices: Average Price to All Users: Metallurgical Coal: Alternative Electricity and Transportation</t>
  </si>
  <si>
    <t>AEO.2026.ELECTRNP.PRCE_REAL_TEN_NA_MTC_NA_NA_Y13DLRPMMBTU.A</t>
  </si>
  <si>
    <t>Energy Prices: Average Price to All Users: Other Coal: Alternative Electricity and Transportation</t>
  </si>
  <si>
    <t>AEO.2026.ELECTRNP.PRCE_REAL_TEN_NA_OCA_NA_NA_Y13DLRPMMBTU.A</t>
  </si>
  <si>
    <t>Energy Prices: Average Price to All Users: Hydrogen: Alternative Electricity and Transportation</t>
  </si>
  <si>
    <t>AEO.2026.ELECTRNP.PRCE_REAL_TEN_NA_HDG_NA_NA_Y13DLRPMMBTU.A</t>
  </si>
  <si>
    <t>Energy Prices: Average Price to All Users: Electricity: Alternative Electricity and Transportation</t>
  </si>
  <si>
    <t>AEO.2026.ELECTRNP.PRCE_REAL_TEN_NA_ELC_NA_NA_Y13DLRPMMBTU.A</t>
  </si>
  <si>
    <t>(billion 2025 dollars)</t>
  </si>
  <si>
    <t>Energy Expenditures: Non-Renewable Residential: Alternative Electricity and Transportation</t>
  </si>
  <si>
    <t>AEO.2026.ELECTRNP.EXPD_REAL_RESD_NA_NRN_NA_NA_BLNY13DLR.A</t>
  </si>
  <si>
    <t>billion 2025 $</t>
  </si>
  <si>
    <t>Energy Expenditures: Non-Renewable Commercial: Alternative Electricity and Transportation</t>
  </si>
  <si>
    <t>AEO.2026.ELECTRNP.EXPD_REAL_COMM_NA_NRN_NA_NA_BLNY13DLR.A</t>
  </si>
  <si>
    <t>Energy Expenditures: Non-Renewable Industrial: Alternative Electricity and Transportation</t>
  </si>
  <si>
    <t>AEO.2026.ELECTRNP.EXPD_REAL_IDAL_NA_NRN_NA_NA_BLNY13DLR.A</t>
  </si>
  <si>
    <t>Energy Expenditures: Non-Renewable Transportation: Alternative Electricity and Transportation</t>
  </si>
  <si>
    <t>AEO.2026.ELECTRNP.EXPD_REAL_TRN_NA_NRN_NA_NA_BLNY13DLR.A</t>
  </si>
  <si>
    <t>Energy Expenditures: Total Non-Renewable: Alternative Electricity and Transportation</t>
  </si>
  <si>
    <t>AEO.2026.ELECTRNP.EXPD_REAL_TEN_NA_NRN_NA_NA_BLNY13DLR.A</t>
  </si>
  <si>
    <t>Energy Expenditures: Renewable Transportation: Alternative Electricity and Transportation</t>
  </si>
  <si>
    <t>AEO.2026.ELECTRNP.EXPD_REAL_TRN_NA_RNW_NA_NA_BLNY13DLR.A</t>
  </si>
  <si>
    <t>-7.1%</t>
  </si>
  <si>
    <t>Energy Expenditures: Alternative Electricity and Transportation</t>
  </si>
  <si>
    <t>AEO.2026.ELECTRNP.EXPD_REAL_TEN_NA_NA_NA_NA_BLNY13DLR.A</t>
  </si>
  <si>
    <t>Energy Prices: Nominal: Residential: Propane: Alternative Electricity and Transportation</t>
  </si>
  <si>
    <t>AEO.2026.ELECTRNP.PRCE_NOM_RESD_NA_PROP_NA_NA_NDLRPMBTU.A</t>
  </si>
  <si>
    <t>3.1%</t>
  </si>
  <si>
    <t>Energy Prices: Nominal: Residential: Distillate Fuel Oil: Alternative Electricity and Transportation</t>
  </si>
  <si>
    <t>AEO.2026.ELECTRNP.PRCE_NOM_RESD_NA_DFO_NA_NA_NDLRPMBTU.A</t>
  </si>
  <si>
    <t>2.6%</t>
  </si>
  <si>
    <t>Energy Prices: Nominal: Residential: Natural Gas: Alternative Electricity and Transportation</t>
  </si>
  <si>
    <t>AEO.2026.ELECTRNP.PRCE_NOM_RESD_NA_NG_NA_NA_NDLRPMBTU.A</t>
  </si>
  <si>
    <t>2.3%</t>
  </si>
  <si>
    <t>Energy Prices: Nominal: Residential: Electricity: Alternative Electricity and Transportation</t>
  </si>
  <si>
    <t>AEO.2026.ELECTRNP.PRCE_NOM_RESD_NA_ELC_NA_NA_NDLRPMBTU.A</t>
  </si>
  <si>
    <t>2.2%</t>
  </si>
  <si>
    <t>Energy Prices: Nominal: Commercial: Propane: Alternative Electricity and Transportation</t>
  </si>
  <si>
    <t>AEO.2026.ELECTRNP.PRCE_NOM_COMM_NA_PROP_NA_NA_NDLRPMBTU.A</t>
  </si>
  <si>
    <t>Energy Prices: Nominal: Commercial: Distillate Fuel Oil: Alternative Electricity and Transportation</t>
  </si>
  <si>
    <t>AEO.2026.ELECTRNP.PRCE_NOM_COMM_NA_DFO_NA_NA_NDLRPMBTU.A</t>
  </si>
  <si>
    <t>Energy Prices: Nominal: Commercial: Residual Fuel: Alternative Electricity and Transportation</t>
  </si>
  <si>
    <t>AEO.2026.ELECTRNP.PRCE_NOM_COMM_NA_RFL_NA_NA_NDLRPMBTU.A</t>
  </si>
  <si>
    <t>4.8%</t>
  </si>
  <si>
    <t>Energy Prices: Nominal: Commercial: Natural Gas: Alternative Electricity and Transportation</t>
  </si>
  <si>
    <t>AEO.2026.ELECTRNP.PRCE_NOM_COMM_NA_NG_NA_NA_NDLRPMBTU.A</t>
  </si>
  <si>
    <t>2.9%</t>
  </si>
  <si>
    <t>Energy Prices: Nominal: Commercial: Electricity: Alternative Electricity and Transportation</t>
  </si>
  <si>
    <t>AEO.2026.ELECTRNP.PRCE_NOM_COMM_NA_ELC_NA_NA_NDLRPMBTU.A</t>
  </si>
  <si>
    <t>2.0%</t>
  </si>
  <si>
    <t>Energy Prices: Nominal: Industrial: Propane: Alternative Electricity and Transportation</t>
  </si>
  <si>
    <t>AEO.2026.ELECTRNP.PRCE_NOM_IDAL_NA_PROP_NA_NA_NDLRPMBTU.A</t>
  </si>
  <si>
    <t>Energy Prices: Nominal: Industrial: Distillate Fuel Oil: Alternative Electricity and Transportation</t>
  </si>
  <si>
    <t>AEO.2026.ELECTRNP.PRCE_NOM_IDAL_NA_DFO_NA_NA_NDLRPMBTU.A</t>
  </si>
  <si>
    <t>Energy Prices: Nominal: Industrial: Residual Fuel Oil: Alternative Electricity and Transportation</t>
  </si>
  <si>
    <t>AEO.2026.ELECTRNP.PRCE_NOM_IDAL_NA_RFO_NA_NA_NDLRPMBTU.A</t>
  </si>
  <si>
    <t>Energy Prices: Nominal: Industrial: Natural Gas: Alternative Electricity and Transportation</t>
  </si>
  <si>
    <t>AEO.2026.ELECTRNP.PRCE_NOM_IDAL_NA_NG_NA_NA_NDLRPMBTU.A</t>
  </si>
  <si>
    <t>Energy Prices: Nominal: Industrial: Metallurgical Coal: Alternative Electricity and Transportation</t>
  </si>
  <si>
    <t>AEO.2026.ELECTRNP.PRCE_NOM_IDAL_NA_MTC_NA_NA_NDLRPMBTU.A</t>
  </si>
  <si>
    <t>1.9%</t>
  </si>
  <si>
    <t>Energy Prices: Nominal: Industrial: Other Industrial Coal: Alternative Electricity and Transportation</t>
  </si>
  <si>
    <t>AEO.2026.ELECTRNP.PRCE_NOM_IDAL_NA_OIC_NA_NA_NDLRPMBTU.A</t>
  </si>
  <si>
    <t>Energy Prices: Nominal: Industrial: Hydrogen: Alternative Electricity and Transportation</t>
  </si>
  <si>
    <t>AEO.2026.ELECTRNP.PRCE_NOM_IDAL_NA_HDG_NA_NA_NDLRPMBTU.A</t>
  </si>
  <si>
    <t>2.4%</t>
  </si>
  <si>
    <t>Energy Prices: Nominal: Industrial: Electricity: Alternative Electricity and Transportation</t>
  </si>
  <si>
    <t>AEO.2026.ELECTRNP.PRCE_NOM_IDAL_NA_ELC_NA_NA_NDLRPMBTU.A</t>
  </si>
  <si>
    <t>Energy Prices: Nominal: Transportation: Propane: Alternative Electricity and Transportation</t>
  </si>
  <si>
    <t>AEO.2026.ELECTRNP.PRCE_NOM_TRN_NA_PROP_NA_NA_NDLRPMBTU.A</t>
  </si>
  <si>
    <t>Energy Prices: Nominal: Transportation: E85: Alternative Electricity and Transportation</t>
  </si>
  <si>
    <t>AEO.2026.ELECTRNP.PRCE_NOM_TRN_NA_E85_NA_NA_NDLRPMBTU.A</t>
  </si>
  <si>
    <t>Energy Prices: Nominal: Transportation: Motor Gasoline: Alternative Electricity and Transportation</t>
  </si>
  <si>
    <t>AEO.2026.ELECTRNP.PRCE_NOM_TRN_NA_MGS_NA_NA_NDLRPMBTU.A</t>
  </si>
  <si>
    <t>Energy Prices: Nominal: Transportation: Jet Fuel: Alternative Electricity and Transportation</t>
  </si>
  <si>
    <t>AEO.2026.ELECTRNP.PRCE_NOM_TRN_NA_JFL_NA_NA_NDLRPMBTU.A</t>
  </si>
  <si>
    <t>Energy Prices: Nominal: Transportation: Diesel Fuel: Alternative Electricity and Transportation</t>
  </si>
  <si>
    <t>AEO.2026.ELECTRNP.PRCE_NOM_TRN_NA_DFU_NA_NA_NDLRPMBTU.A</t>
  </si>
  <si>
    <t>2.5%</t>
  </si>
  <si>
    <t>Energy Prices: Nominal: Transportation: Residual Fuel Oil: Alternative Electricity and Transportation</t>
  </si>
  <si>
    <t>AEO.2026.ELECTRNP.PRCE_NOM_TRN_NA_RFO_NA_NA_NDLRPMBTU.A</t>
  </si>
  <si>
    <t>Energy Prices: Nominal: Transportation: Natural Gas: Alternative Electricity and Transportation</t>
  </si>
  <si>
    <t>AEO.2026.ELECTRNP.PRCE_NOM_TRN_NA_NG_NA_NA_NDLRPMBTU.A</t>
  </si>
  <si>
    <t>Energy Prices: Nominal: Transportation: Electricity: Alternative Electricity and Transportation</t>
  </si>
  <si>
    <t>AEO.2026.ELECTRNP.PRCE_NOM_TRN_NA_ELC_NA_NA_NDLRPMBTU.A</t>
  </si>
  <si>
    <t>Energy Prices: Nominal: Electric Power: Distillate Fuel Oil: Alternative Electricity and Transportation</t>
  </si>
  <si>
    <t>AEO.2026.ELECTRNP.PRCE_NOM_ELEP_NA_DFO_NA_NA_NDLRPMBTU.A</t>
  </si>
  <si>
    <t>1.6%</t>
  </si>
  <si>
    <t>Energy Prices: Nominal: Electric Power: Residual Fuel Oil: Alternative Electricity and Transportation</t>
  </si>
  <si>
    <t>AEO.2026.ELECTRNP.PRCE_NOM_ELEP_NA_RFO_NA_NA_NDLRPMBTU.A</t>
  </si>
  <si>
    <t>Energy Prices: Nominal: Electric Power: Natural Gas: Alternative Electricity and Transportation</t>
  </si>
  <si>
    <t>AEO.2026.ELECTRNP.PRCE_NOM_ELEP_NA_NG_NA_NA_NDLRPMBTU.A</t>
  </si>
  <si>
    <t>Energy Prices: Nominal: Electric Power: Steam Coal: Alternative Electricity and Transportation</t>
  </si>
  <si>
    <t>AEO.2026.ELECTRNP.PRCE_NOM_ELEP_NA_STC_NA_NA_NDLRPMBTU.A</t>
  </si>
  <si>
    <t>Energy Prices: Nominal: Electric Power: Uranium: Alternative Electricity and Transportation</t>
  </si>
  <si>
    <t>AEO.2026.ELECTRNP.PRCE_NOM_ELEP_NA_U_NA_NA_NDLRPMBTU.A</t>
  </si>
  <si>
    <t>1.3%</t>
  </si>
  <si>
    <t>AEO.2026.ELECTRNP.NA_NOM_ELEP_NA_HDG_NA_NA_NDLRPMBTU.A</t>
  </si>
  <si>
    <t>Energy Prices: Nominal: Average Price to All Users: Propane: Alternative Electricity and Transportation</t>
  </si>
  <si>
    <t>AEO.2026.ELECTRNP.PRCE_NOM_TEN_NA_PROP_NA_NA_NDLRPMBTU.A</t>
  </si>
  <si>
    <t>3.0%</t>
  </si>
  <si>
    <t>Energy Prices: Nominal: Average Price to All Users: E85: Alternative Electricity and Transportation</t>
  </si>
  <si>
    <t>AEO.2026.ELECTRNP.PRCE_NOM_TEN_NA_E85_NA_NA_NDLRPMBTU.A</t>
  </si>
  <si>
    <t>Energy Prices: Nominal: Average Price to All Users: Motor Gasoline: Alternative Electricity and Transportation</t>
  </si>
  <si>
    <t>AEO.2026.ELECTRNP.PRCE_NOM_TEN_NA_MGS_NA_NA_NDLRPMBTU.A</t>
  </si>
  <si>
    <t>Energy Prices: Nominal: Average Price to All Users: Jet Fuel: Alternative Electricity and Transportation</t>
  </si>
  <si>
    <t>AEO.2026.ELECTRNP.PRCE_NOM_TEN_NA_JFL_NA_NA_NDLRPMBTU.A</t>
  </si>
  <si>
    <t>Energy Prices: Nominal: Average Price to All Users: Distillate Fuel Oil: Alternative Electricity and Transportation</t>
  </si>
  <si>
    <t>AEO.2026.ELECTRNP.PRCE_NOM_TEN_NA_DFO_NA_NA_NDLRPMBTU.A</t>
  </si>
  <si>
    <t>Energy Prices: Nominal: Average Price to All Users: Residual Fuel Oil: Alternative Electricity and Transportation</t>
  </si>
  <si>
    <t>AEO.2026.ELECTRNP.PRCE_NOM_TEN_NA_RFO_NA_NA_NDLRPMBTU.A</t>
  </si>
  <si>
    <t>Energy Prices: Nominal: Average Price to All Users: Natural Gas: Alternative Electricity and Transportation</t>
  </si>
  <si>
    <t>AEO.2026.ELECTRNP.PRCE_NOM_TEN_NA_NG_NA_NA_NDLRPMBTU.A</t>
  </si>
  <si>
    <t>Energy Prices: Nominal: Average Price to All Users: Metallurgical Coal: Alternative Electricity and Transportation</t>
  </si>
  <si>
    <t>AEO.2026.ELECTRNP.PRCE_NOM_TEN_NA_MTC_NA_NA_NDLRPMBTU.A</t>
  </si>
  <si>
    <t>Energy Prices: Nominal: Average Price to All Users: Other Coal: Alternative Electricity and Transportation</t>
  </si>
  <si>
    <t>AEO.2026.ELECTRNP.PRCE_NOM_TEN_NA_OCA_NA_NA_NDLRPMBTU.A</t>
  </si>
  <si>
    <t>AEO.2026.ELECTRNP.PRCE_NOM_TEN_NA_HDG_NA_NA_NDLRPMBTU.A</t>
  </si>
  <si>
    <t>Energy Prices: Nominal: Average Price to All Users: Electricity: Alternative Electricity and Transportation</t>
  </si>
  <si>
    <t>AEO.2026.ELECTRNP.PRCE_NOM_TEN_NA_ELC_NA_NA_NDLRPMBTU.A</t>
  </si>
  <si>
    <t>Energy Expenditures: Nominal: Non-Renewable Residential: Alternative Electricity and Transportation</t>
  </si>
  <si>
    <t>AEO.2026.ELECTRNP.EXPD_NOM_RESD_NA_NRN_NA_NA_BLNNOMDLR.A</t>
  </si>
  <si>
    <t>Energy Expenditures: Nominal: Non-Renewable Commercial: Alternative Electricity and Transportation</t>
  </si>
  <si>
    <t>AEO.2026.ELECTRNP.EXPD_NOM_COMM_NA_NRN_NA_NA_BLNNOMDLR.A</t>
  </si>
  <si>
    <t>Energy Expenditures: Nominal: Non-Renewable Industrial: Alternative Electricity and Transportation</t>
  </si>
  <si>
    <t>AEO.2026.ELECTRNP.EXPD_NOM_IDAL_NA_NRN_NA_NA_BLNNOMDLR.A</t>
  </si>
  <si>
    <t>3.3%</t>
  </si>
  <si>
    <t>Energy Expenditures: Nominal: Non-Renewable Transportation: Alternative Electricity and Transportation</t>
  </si>
  <si>
    <t>AEO.2026.ELECTRNP.EXPD_NOM_TRN_NA_NRN_NA_NA_BLNNOMDLR.A</t>
  </si>
  <si>
    <t>Energy Expenditures: Nominal: Total Non-Renewable: Alternative Electricity and Transportation</t>
  </si>
  <si>
    <t>AEO.2026.ELECTRNP.EXPD_NOM_TEN_NA_NRN_NA_NA_BLNNOMDLR.A</t>
  </si>
  <si>
    <t>Energy Expenditures: Nominal: Renewable Transportation: Alternative Electricity and Transportation</t>
  </si>
  <si>
    <t>AEO.2026.ELECTRNP.EXPD_NOM_TRN_NA_RNW_NA_NA_BLNNOMDLR.A</t>
  </si>
  <si>
    <t>-5.3%</t>
  </si>
  <si>
    <t>Energy Expenditures: Nominal: Alternative Electricity and Transportation</t>
  </si>
  <si>
    <t>AEO.2026.ELECTRNP.EXPD_NOM_TEN_NA_NA_NA_NA_BLNNOMDLR.A</t>
  </si>
  <si>
    <t>https://www.eia.gov/outlooks/aeo/data/browser/#/?id=6-AEO2026&amp;cases=electrnp&amp;sourcekey=0</t>
  </si>
  <si>
    <t>Thu Apr 23 2026 14:57:55 GMT-0700 (Pacific Daylight Time)</t>
  </si>
  <si>
    <t>Industrial: Value of Shipments: Manufacturing: Alternative Electricity and Transportation</t>
  </si>
  <si>
    <t>AEO.2026.ELECTRNP.ECI_NA_IDAL_MANF_VOS_NA_USA_BLNY09DLR.A</t>
  </si>
  <si>
    <t>Mining</t>
  </si>
  <si>
    <t>and Construction</t>
  </si>
  <si>
    <t>Industrial: Value of Shipments: Agriculture, Mining, and Construction: Alternative Electricity and Transportation</t>
  </si>
  <si>
    <t>AEO.2026.ELECTRNP.ECI_NA_IDAL_NMFG_VOS_NA_USA_BLNY09DLR.A</t>
  </si>
  <si>
    <t>Industrial: Value of Shipments: Total: Alternative Electricity and Transportation</t>
  </si>
  <si>
    <t>AEO.2026.ELECTRNP.ECI_NA_IDAL_NA_VOS_NA_USA_BLNY09DLR.A</t>
  </si>
  <si>
    <t>(2025 dollars per MMBtu)</t>
  </si>
  <si>
    <t>Industrial: Energy Prices: Propane: Alternative Electricity and Transportation</t>
  </si>
  <si>
    <t>AEO.2026.ELECTRNP.PRCE_NA_IDAL_HAP_PROP_NA_USA_Y13DLRPMMBTU.A</t>
  </si>
  <si>
    <t>Industrial: Energy Prices: Motor Gasoline: Alternative Electricity and Transportation</t>
  </si>
  <si>
    <t>AEO.2026.ELECTRNP.PRCE_NA_IDAL_NA_MGS_NA_USA_Y13DLRPMMBTU.A</t>
  </si>
  <si>
    <t>Industrial: Energy Prices: Distillate Fuel Oil: Alternative Electricity and Transportation</t>
  </si>
  <si>
    <t>AEO.2026.ELECTRNP.PRCE_NA_IDAL_NA_DFO_NA_USA_Y13DLRPMMBTU.A</t>
  </si>
  <si>
    <t>Industrial: Energy Prices: Residual Fuel Oil: Alternative Electricity and Transportation</t>
  </si>
  <si>
    <t>AEO.2026.ELECTRNP.PRCE_NA_IDAL_NA_RFO_NA_USA_Y13DLRPMMBTU.A</t>
  </si>
  <si>
    <t>Industrial: Energy Prices: Asphalt and Road Oil: Alternative Electricity and Transportation</t>
  </si>
  <si>
    <t>AEO.2026.ELECTRNP.PRCE_NA_IDAL_NA_ARO_NA_USA_Y13DLRPMMBTU.A</t>
  </si>
  <si>
    <t>Industrial: Energy Prices: Natural Gas: Alternative Electricity and Transportation</t>
  </si>
  <si>
    <t>AEO.2026.ELECTRNP.PRCE_NA_IDAL_NA_NG_NA_USA_Y13DLRPMMBTU.A</t>
  </si>
  <si>
    <t>Industrial: Energy Prices: Hydrogen: Alternative Electricity and Transportation</t>
  </si>
  <si>
    <t>AEO.2026.ELECTRNP.PRCE_NA_IDAL_NA_HDG_NA_USA_Y13DLRPMMBTU.A</t>
  </si>
  <si>
    <t>Industrial: Energy Prices: Metallurgical Coal: Alternative Electricity and Transportation</t>
  </si>
  <si>
    <t>AEO.2026.ELECTRNP.PRCE_NA_IDAL_NA_MTC_NA_USA_Y13DLRPMMBTU.A</t>
  </si>
  <si>
    <t>Industrial: Energy Prices: Other Industrial Coal: Alternative Electricity and Transportation</t>
  </si>
  <si>
    <t>AEO.2026.ELECTRNP.PRCE_NA_IDAL_NA_STC_NA_USA_Y13DLRPMMBTU.A</t>
  </si>
  <si>
    <t>Industrial: Energy Prices: Electricity: Alternative Electricity and Transportation</t>
  </si>
  <si>
    <t>AEO.2026.ELECTRNP.PRCE_NA_IDAL_NA_ELC_NA_USA_Y13DLRPMMBTU.A</t>
  </si>
  <si>
    <t>Industrial: Energy Prices: Nominal: Propane: Alternative Electricity and Transportation</t>
  </si>
  <si>
    <t>AEO.2026.ELECTRNP.PRCE_NA_IDAL_HAP_PROP_NA_USA_NDLRPMBTU.A</t>
  </si>
  <si>
    <t>Industrial: Energy Prices: Nominal: Motor Gasoline: Alternative Electricity and Transportation</t>
  </si>
  <si>
    <t>AEO.2026.ELECTRNP.PRCE_NA_IDAL_NA_MGS_NA_USA_NDLRPMBTU.A</t>
  </si>
  <si>
    <t>Industrial: Energy Prices: Nominal: Distillate Fuel Oil: Alternative Electricity and Transportation</t>
  </si>
  <si>
    <t>AEO.2026.ELECTRNP.PRCE_NA_IDAL_NA_DFO_NA_USA_NDLRPMBTU.A</t>
  </si>
  <si>
    <t>Industrial: Energy Prices: Nominal: Residual Fuel Oil: Alternative Electricity and Transportation</t>
  </si>
  <si>
    <t>AEO.2026.ELECTRNP.PRCE_NA_IDAL_NA_RFO_NA_USA_NDLRPMBTU.A</t>
  </si>
  <si>
    <t>Industrial: Energy Prices: Nominal: Asphalt and Road Oil: Alternative Electricity and Transportation</t>
  </si>
  <si>
    <t>AEO.2026.ELECTRNP.PRCE_NA_IDAL_NA_ARO_NA_USA_NDLRPMBTU.A</t>
  </si>
  <si>
    <t>Industrial: Energy Prices: Nominal: Natural Gas Heat: Alternative Electricity and Transportation</t>
  </si>
  <si>
    <t>AEO.2026.ELECTRNP.PRCE_NA_IDAL_NA_NG_NA_USA_NDLRPMBTU.A</t>
  </si>
  <si>
    <t>Industrial: Energy Prices: Nominal: Hydrogen: Alternative Electricity and Transportation</t>
  </si>
  <si>
    <t>AEO.2026.ELECTRNP.PRCE_NA_IDAL_NA_HDG_NA_USA_NDLRPMBTU.A</t>
  </si>
  <si>
    <t>Industrial: Energy Prices: Nominal: Metallurgical Coal: Alternative Electricity and Transportation</t>
  </si>
  <si>
    <t>AEO.2026.ELECTRNP.PRCE_NA_IDAL_NA_MTC_NA_USA_NDLRPMBTU.A</t>
  </si>
  <si>
    <t>Industrial: Energy Prices: Nominal: Other Industrial Coal: Alternative Electricity and Transportation</t>
  </si>
  <si>
    <t>AEO.2026.ELECTRNP.PRCE_NA_IDAL_NA_STC_NA_USA_NDLRPMBTU.A</t>
  </si>
  <si>
    <t>Industrial: Energy Prices: Nominal: Electricity: Alternative Electricity and Transportation</t>
  </si>
  <si>
    <t>AEO.2026.ELECTRNP.PRCE_NA_IDAL_NA_ELC_NA_USA_NDLRPMBTU.A</t>
  </si>
  <si>
    <t>Industrial: Energy Use: Excluding Refining: Propane Heat and Power: Alternative Electricity and Transportation</t>
  </si>
  <si>
    <t>AEO.2026.ELECTRNP.CNSM_NA_IDAL_IDEI_LPGHP_NA_USA_QBTU.A</t>
  </si>
  <si>
    <t>Industrial: Energy Use: Excluding Refining: LPG and Other Feedstocks: Alternative Electricity and Transportation</t>
  </si>
  <si>
    <t>AEO.2026.ELECTRNP.CNSM_NA_IDAL_IDEI_LPGF_NA_USA_QBTU.A</t>
  </si>
  <si>
    <t>Industrial: Energy Use: Excluding Refining: Ethane: Alternative Electricity and Transportation</t>
  </si>
  <si>
    <t>AEO.2026.ELECTRNP.CNSM_NA_IDAL_IDEI_C2H6_NA_USA_QBTU.A</t>
  </si>
  <si>
    <t>Industrial: Energy Use: Excluding Refining: Propane: Alternative Electricity and Transportation</t>
  </si>
  <si>
    <t>AEO.2026.ELECTRNP.CNSM_NA_IDAL_IDEI_PROP_NA_USA_QBTU.A</t>
  </si>
  <si>
    <t>Industrial: Energy Use: Excluding Refining: Propylene: Alternative Electricity and Transportation</t>
  </si>
  <si>
    <t>AEO.2026.ELECTRNP.CNSM_NA_IDAL_IDEI_PPL_NA_USA_QBTU.A</t>
  </si>
  <si>
    <t>Industrial: Energy Use: Excluding Refining: Butane: Alternative Electricity and Transportation</t>
  </si>
  <si>
    <t>AEO.2026.ELECTRNP.CNSM_NA_IDAL_IDEI_NBTN_NA_USA_QBTU.A</t>
  </si>
  <si>
    <t>Industrial: Energy Use: Excluding Refining: Motor Gasoline: Alternative Electricity and Transportation</t>
  </si>
  <si>
    <t>AEO.2026.ELECTRNP.CNSM_NA_IDAL_IDEI_MGS_NA_USA_QBTU.A</t>
  </si>
  <si>
    <t>Industrial: Energy Use: Excluding Refining: Distillate Fuel Oil: Alternative Electricity and Transportation</t>
  </si>
  <si>
    <t>AEO.2026.ELECTRNP.CNSM_NA_IDAL_IDEI_DFO_NA_USA_QBTU.A</t>
  </si>
  <si>
    <t>Industrial: Energy Use: Excluding Refining: Residual Fuel Oil: Alternative Electricity and Transportation</t>
  </si>
  <si>
    <t>AEO.2026.ELECTRNP.CNSM_NA_IDAL_IDEI_RFO_NA_USA_QBTU.A</t>
  </si>
  <si>
    <t>Industrial: Energy Use: Excluding Refining: Petrochemical Feedstocks: Alternative Electricity and Transportation</t>
  </si>
  <si>
    <t>AEO.2026.ELECTRNP.CNSM_NA_IDAL_IDEI_PCF_NA_USA_QBTU.A</t>
  </si>
  <si>
    <t>Industrial: Energy Use: Excluding Refining: Petroleum Coke: Alternative Electricity and Transportation</t>
  </si>
  <si>
    <t>AEO.2026.ELECTRNP.CNSM_NA_IDAL_IDEI_PCK_NA_USA_QBTU.A</t>
  </si>
  <si>
    <t>-2.9%</t>
  </si>
  <si>
    <t>Industrial: Energy Use: Excluding Refining: Asphalt and Road Oil: Alternative Electricity and Transportation</t>
  </si>
  <si>
    <t>AEO.2026.ELECTRNP.CNSM_NA_IDAL_IDEI_ARO_NA_USA_QBTU.A</t>
  </si>
  <si>
    <t>Industrial: Energy Use: Excluding Refining: Miscellaneous Petroleum: Alternative Electricity and Transportation</t>
  </si>
  <si>
    <t>AEO.2026.ELECTRNP.CNSM_NA_IDAL_IDEI_MPET_NA_USA_QBTU.A</t>
  </si>
  <si>
    <t>Industrial: Energy Use: Excluding Refining: Petroleum Subtotal: Alternative Electricity and Transportation</t>
  </si>
  <si>
    <t>AEO.2026.ELECTRNP.CNSM_NA_IDAL_IDEI_PET_NA_USA_QBTU.A</t>
  </si>
  <si>
    <t>Industrial: Energy Use: Excluding Refining: Natural Gas Heat and Power: Alternative Electricity and Transportation</t>
  </si>
  <si>
    <t>AEO.2026.ELECTRNP.CNSM_NA_IDAL_IDEI_NHP_NA_USA_QBTU.A</t>
  </si>
  <si>
    <t>Industrial: Energy Use: Excluding Refining: Natural Gas Feedstocks: Alternative Electricity and Transportation</t>
  </si>
  <si>
    <t>AEO.2026.ELECTRNP.CNSM_NA_IDAL_IDEI_NGF_NA_USA_QBTU.A</t>
  </si>
  <si>
    <t>Industrial: Energy Use: Excluding Refining: Lease and Plant Fuel: Alternative Electricity and Transportation</t>
  </si>
  <si>
    <t>AEO.2026.ELECTRNP.CNSM_NA_IDAL_IDEI_LSAPFL_NA_USA_QBTU.A</t>
  </si>
  <si>
    <t>Industrial: Energy Use: Excluding Refining: Natural Gas Subtotal: Alternative Electricity and Transportation</t>
  </si>
  <si>
    <t>AEO.2026.ELECTRNP.CNSM_NA_IDAL_IDEI_NGS_NA_USA_QBTU.A</t>
  </si>
  <si>
    <t>Industrial: Energy Use: Excluding Refining: Hydrogen Feedstocks: Alternative Electricity and Transportation</t>
  </si>
  <si>
    <t>AEO.2026.ELECTRNP.CNSM_NA_IDAL_IDEI_H2FEEDSTK_NA_USA_QBTU.A</t>
  </si>
  <si>
    <t>Industrial: Energy Use: Excluding Refining: Metallurgical Coal and Coke: Alternative Electricity and Transportation</t>
  </si>
  <si>
    <t>AEO.2026.ELECTRNP.CNSM_NA_IDAL_IDEI_MCC_NA_USA_QBTU.A</t>
  </si>
  <si>
    <t>Industrial: Energy Use: Excluding Refining: Other Industrial Coal: Alternative Electricity and Transportation</t>
  </si>
  <si>
    <t>AEO.2026.ELECTRNP.CNSM_NA_IDAL_IDEI_OIC_NA_USA_QBTU.A</t>
  </si>
  <si>
    <t>Industrial: Energy Use: Excluding Refining: Coal Subtotal: Alternative Electricity and Transportation</t>
  </si>
  <si>
    <t>AEO.2026.ELECTRNP.CNSM_NA_IDAL_IDEI_COS_NA_USA_QBTU.A</t>
  </si>
  <si>
    <t>Industrial: Energy Use: Excluding Refining: Renewables: Alternative Electricity and Transportation</t>
  </si>
  <si>
    <t>AEO.2026.ELECTRNP.CNSM_NA_IDAL_IDEI_REB_NA_USA_QBTU.A</t>
  </si>
  <si>
    <t>Industrial: Energy Use: Excluding Refining: Purchased Electricity: Alternative Electricity and Transportation</t>
  </si>
  <si>
    <t>AEO.2026.ELECTRNP.CNSM_NA_IDAL_IDEI_PRC_NA_USA_QBTU.A</t>
  </si>
  <si>
    <t>Industrial: Energy Use: Excluding Refining: Delivered Energy: Alternative Electricity and Transportation</t>
  </si>
  <si>
    <t>AEO.2026.ELECTRNP.CNSM_NA_IDAL_IDEI_DELE_NA_USA_QBTU.A</t>
  </si>
  <si>
    <t>Industrial: Energy Use: Excluding Refining: Electricity-Related Losses: Alternative Electricity and Transportation</t>
  </si>
  <si>
    <t>AEO.2026.ELECTRNP.CNSM_NA_IDAL_IDEI_ELECRELOS_NA_USA_QBTU.A</t>
  </si>
  <si>
    <t>Industrial: Energy Use: Excluding Refining: Hydrogen-Related Losses: Alternative Electricity and Transportation</t>
  </si>
  <si>
    <t>AEO.2026.ELECTRNP.CNSM_NA_IDAL_IDEI_H2RELLOS_NA_USA_QBTU.A</t>
  </si>
  <si>
    <t>Industrial: Energy Use: Excluding Refining: Total: Alternative Electricity and Transportation</t>
  </si>
  <si>
    <t>AEO.2026.ELECTRNP.CNSM_NA_IDAL_IDEI_TOT_NA_USA_QBTU.A</t>
  </si>
  <si>
    <t>Industrial: Refining Use: Propane Heat and Power: Alternative Electricity and Transportation</t>
  </si>
  <si>
    <t>AEO.2026.ELECTRNP.CNSM_NA_IDAL_REFU_LPGHP_NA_USA_QBTU.A</t>
  </si>
  <si>
    <t>-100.0%</t>
  </si>
  <si>
    <t>Industrial: Refining Use: Distillate Fuel Oil: Alternative Electricity and Transportation</t>
  </si>
  <si>
    <t>AEO.2026.ELECTRNP.CNSM_NA_IDAL_REFU_DFO_NA_USA_QBTU.A</t>
  </si>
  <si>
    <t>Industrial: Refining Use: Residual Fuel Oil: Alternative Electricity and Transportation</t>
  </si>
  <si>
    <t>AEO.2026.ELECTRNP.CNSM_NA_IDAL_REFU_RFO_NA_USA_QBTU.A</t>
  </si>
  <si>
    <t>Industrial: Refining Use: Petroleum Coke: Alternative Electricity and Transportation</t>
  </si>
  <si>
    <t>AEO.2026.ELECTRNP.CNSM_NA_IDAL_REFU_PCK_NA_USA_QBTU.A</t>
  </si>
  <si>
    <t>Industrial: Refining Use: Still Gas: Alternative Electricity and Transportation</t>
  </si>
  <si>
    <t>AEO.2026.ELECTRNP.CNSM_NA_IDAL_REFU_SLG_NA_USA_QBTU.A</t>
  </si>
  <si>
    <t>Industrial: Refining Use: Petroleum Subtotal: Alternative Electricity and Transportation</t>
  </si>
  <si>
    <t>AEO.2026.ELECTRNP.CNSM_NA_IDAL_REFU_PET_NA_USA_QBTU.A</t>
  </si>
  <si>
    <t>Industrial: Refining Use: Natural Gas Heat and Power: Alternative Electricity and Transportation</t>
  </si>
  <si>
    <t>AEO.2026.ELECTRNP.CNSM_NA_IDAL_REFU_NHP_NA_USA_QBTU.A</t>
  </si>
  <si>
    <t>Industrial: Refining Use: Hydrogen Feedstocks: Alternative Electricity and Transportation</t>
  </si>
  <si>
    <t>AEO.2026.ELECTRNP.CNSM_NA_IDAL_REFU_H2FEEDSTK_NA_USA_QBTU.A</t>
  </si>
  <si>
    <t>Industrial: Refining Use: Other Industrial Coal: Alternative Electricity and Transportation</t>
  </si>
  <si>
    <t>AEO.2026.ELECTRNP.CNSM_NA_IDAL_REFU_OIC_NA_USA_QBTU.A</t>
  </si>
  <si>
    <t>Industrial: Refining Use: Biofuels Heat and Coproducts: Alternative Electricity and Transportation</t>
  </si>
  <si>
    <t>AEO.2026.ELECTRNP.CNSM_NA_IDAL_REFU_BFH_NA_USA_QBTU.A</t>
  </si>
  <si>
    <t>Industrial: Refining Use: Purchased Electricity: Alternative Electricity and Transportation</t>
  </si>
  <si>
    <t>AEO.2026.ELECTRNP.CNSM_NA_IDAL_REFU_PRC_NA_USA_QBTU.A</t>
  </si>
  <si>
    <t>Industrial: Refining Use: Delivered Energy: Alternative Electricity and Transportation</t>
  </si>
  <si>
    <t>AEO.2026.ELECTRNP.CNSM_NA_IDAL_REFU_DELE_NA_USA_QBTU.A</t>
  </si>
  <si>
    <t>Industrial: Refining Use: Electricity-Related Losses: Alternative Electricity and Transportation</t>
  </si>
  <si>
    <t>AEO.2026.ELECTRNP.CNSM_NA_IDAL_REFU_ELECRELOS_NA_USA_QBTU.A</t>
  </si>
  <si>
    <t>Industrial: Refining Use: Hydrogen-Related Losses: Alternative Electricity and Transportation</t>
  </si>
  <si>
    <t>AEO.2026.ELECTRNP.CNSM_NA_IDAL_REFU_H2RELLOS_NA_USA_QBTU.A</t>
  </si>
  <si>
    <t>Industrial: Refining Use: Total: Alternative Electricity and Transportation</t>
  </si>
  <si>
    <t>AEO.2026.ELECTRNP.CNSM_NA_IDAL_REFU_TOT_NA_USA_QBTU.A</t>
  </si>
  <si>
    <t>Industrial: Hydrogen Production: Natural Gas Heat and Power: Alternative Electricity and Transportation</t>
  </si>
  <si>
    <t>AEO.2026.ELECTRNP.CNSM_NA_IDAL_H2PROD_NHP_NA_NA_QBTU.A</t>
  </si>
  <si>
    <t>Industrial: Hydrogen Production: Natural Gas Feedstocks: Alternative Electricity and Transportation</t>
  </si>
  <si>
    <t>AEO.2026.ELECTRNP.CNSM_NA_IDAL_H2PROD_NGF_NA_NA_QBTU.A</t>
  </si>
  <si>
    <t>Industrial: Hydrogen Production: Natural Gas Subtotal: Alternative Electricity and Transportation</t>
  </si>
  <si>
    <t>AEO.2026.ELECTRNP.CNSM_NA_IDAL_H2PROD_NGS_NA_NA_QBTU.A</t>
  </si>
  <si>
    <t>Industrial: Hydrogen Production: Purchased Electricity: Alternative Electricity and Transportation</t>
  </si>
  <si>
    <t>AEO.2026.ELECTRNP.CNSM_NA_IDAL_H2PROD_PRC_NA_NA_QBTU.A</t>
  </si>
  <si>
    <t>AEO.2026.ELECTRNP.CNSM_NA_IDAL_H2PROD_BYH2_NA_NA_QBTU.A</t>
  </si>
  <si>
    <t>Industrial: Hydrogen Production: Delivered Energy: Alternative Electricity and Transportation</t>
  </si>
  <si>
    <t>AEO.2026.ELECTRNP.CNSM_NA_IDAL_H2PROD_DELE_NA_NA_QBTU.A</t>
  </si>
  <si>
    <t>Industrial: Hydrogen Production: Electricity-Related Losses: Alternative Electricity and Transportation</t>
  </si>
  <si>
    <t>AEO.2026.ELECTRNP.CNSM_NA_IDAL_H2PROD_ELECRELOS_NA_NA_QBTU.A</t>
  </si>
  <si>
    <t>Industrial: Hydrogen Production: Total: Alternative Electricity and Transportation</t>
  </si>
  <si>
    <t>AEO.2026.ELECTRNP.CNSM_NA_IDAL_H2PROD_TOT_NA_NA_QBTU.A</t>
  </si>
  <si>
    <t>Industrial: Total Industrial Sector Use Excluding H2 Production: Propane Heat and Power: Alternative Electricity and Transportation</t>
  </si>
  <si>
    <t>AEO.2026.ELECTRNP.CNSM_NA_IDAL_NA_LPGHP_NA_USA_QBTU.A</t>
  </si>
  <si>
    <t>Industrial: Total Industrial Sector Use Excluding H2 Production: LPG and Other Feedstocks: Alternative Electricity and Transportation</t>
  </si>
  <si>
    <t>AEO.2026.ELECTRNP.CNSM_NA_IDAL_NA_LPGF_NA_USA_QBTU.A</t>
  </si>
  <si>
    <t>Industrial: Total Industrial Sector Use Excluding H2 Production: Motor Gasoline: Alternative Electricity and Transportation</t>
  </si>
  <si>
    <t>AEO.2026.ELECTRNP.CNSM_NA_IDAL_NA_MGS_NA_USA_QBTU.A</t>
  </si>
  <si>
    <t>Industrial: Total Industrial Sector Use Excluding H2 Production: Distillate Fuel Oil: Alternative Electricity and Transportation</t>
  </si>
  <si>
    <t>AEO.2026.ELECTRNP.CNSM_NA_IDAL_NA_DFO_NA_USA_QBTU.A</t>
  </si>
  <si>
    <t>Industrial: Total Industrial Sector Use Excluding H2 Production: Residual Fuel Oil: Alternative Electricity and Transportation</t>
  </si>
  <si>
    <t>AEO.2026.ELECTRNP.CNSM_NA_IDAL_NA_RFO_NA_USA_QBTU.A</t>
  </si>
  <si>
    <t>Industrial: Total Industrial Sector Use Excluding H2 Production: Petrochemical Feedstocks: Alternative Electricity and Transportation</t>
  </si>
  <si>
    <t>AEO.2026.ELECTRNP.CNSM_NA_IDAL_NA_PCF_NA_USA_QBTU.A</t>
  </si>
  <si>
    <t>Industrial: Total Industrial Sector Use Excluding H2 Production: Petroleum Coke: Alternative Electricity and Transportation</t>
  </si>
  <si>
    <t>AEO.2026.ELECTRNP.CNSM_NA_IDAL_NA_PCK_NA_USA_QBTU.A</t>
  </si>
  <si>
    <t>Industrial: Total Industrial Sector Use Excluding H2 Production: Asphalt and Road Oil: Alternative Electricity and Transportation</t>
  </si>
  <si>
    <t>AEO.2026.ELECTRNP.CNSM_NA_IDAL_NA_ARO_NA_USA_QBTU.A</t>
  </si>
  <si>
    <t>Industrial: Total Industrial Sector Use Excluding H2 Production: Still Gas: Alternative Electricity and Transportation</t>
  </si>
  <si>
    <t>AEO.2026.ELECTRNP.CNSM_NA_IDAL_NA_SLG_NA_USA_QBTU.A</t>
  </si>
  <si>
    <t>Industrial: Total Industrial Sector Use Excluding H2 Production: Miscellaneous Petroleum: Alternative Electricity and Transportation</t>
  </si>
  <si>
    <t>AEO.2026.ELECTRNP.CNSM_NA_IDAL_NA_MPET_NA_USA_QBTU.A</t>
  </si>
  <si>
    <t>1.4%</t>
  </si>
  <si>
    <t>Industrial: Total Industrial Sector Use Excluding H2 Production: Petroleum Subtotal: Alternative Electricity and Transportation</t>
  </si>
  <si>
    <t>AEO.2026.ELECTRNP.CNSM_NA_IDAL_NA_PET_NA_USA_QBTU.A</t>
  </si>
  <si>
    <t>Industrial: Total Industrial Sector Use Excluding H2 Production: Natural Gas Heat and Power: Alternative Electricity and Transportation</t>
  </si>
  <si>
    <t>AEO.2026.ELECTRNP.CNSM_NA_IDAL_NA_NHP_NA_USA_QBTU.A</t>
  </si>
  <si>
    <t>Industrial: Total Industrial Sector Use Excluding H2 Production: Natural Gas Feedstocks: Alternative Electricity and Transportation</t>
  </si>
  <si>
    <t>AEO.2026.ELECTRNP.CNSM_NA_IDAL_NA_NGF_NA_USA_QBTU.A</t>
  </si>
  <si>
    <t>Industrial: Total Industrial Sector Use Excluding H2 Production: Lease and Plant Fuel: Alternative Electricity and Transportation</t>
  </si>
  <si>
    <t>AEO.2026.ELECTRNP.CNSM_NA_IDAL_NA_LSAPFL_NA_USA_QBTU.A</t>
  </si>
  <si>
    <t>Industrial: Total Industrial Sector Use Excluding H2 Production: Natural Gas Subtotal: Alternative Electricity and Transportation</t>
  </si>
  <si>
    <t>AEO.2026.ELECTRNP.CNSM_NA_IDAL_NA_NGS_NA_USA_QBTU.A</t>
  </si>
  <si>
    <t>Industrial: Total Industrial Sector Use Excluding H2 Production: Hydrogen Feedstocks: Alternative Electricity and Transportation</t>
  </si>
  <si>
    <t>AEO.2026.ELECTRNP.CNSM_NA_IDAL_NA_H2FEEDSTK_NA_USA_QBTU.A</t>
  </si>
  <si>
    <t>Industrial: Total Industrial Sector Use Excluding H2 Production: Metallurgical Coal and Coke: Alternative Electricity and Transportation</t>
  </si>
  <si>
    <t>AEO.2026.ELECTRNP.CNSM_NA_IDAL_NA_MCC_NA_USA_QBTU.A</t>
  </si>
  <si>
    <t>Industrial: Total Industrial Sector Use Excluding H2 Production: Other Industrial Coal: Alternative Electricity and Transportation</t>
  </si>
  <si>
    <t>AEO.2026.ELECTRNP.CNSM_NA_IDAL_NA_STC_NA_USA_QBTU.A</t>
  </si>
  <si>
    <t>Industrial: Total Industrial Sector Use Excluding H2 Production: Coal Subtotal: Alternative Electricity and Transportation</t>
  </si>
  <si>
    <t>AEO.2026.ELECTRNP.CNSM_NA_IDAL_NA_COS_NA_USA_QBTU.A</t>
  </si>
  <si>
    <t>Industrial: Total Industrial Sector Use Excluding H2 Production: Biofuels Heat and Coproducts: Alternative Electricity and Transportation</t>
  </si>
  <si>
    <t>AEO.2026.ELECTRNP.CNSM_NA_IDAL_NA_BFH_NA_USA_QBTU.A</t>
  </si>
  <si>
    <t>Industrial: Total Industrial Sector Use Excluding H2 Production: Renewables: Alternative Electricity and Transportation</t>
  </si>
  <si>
    <t>AEO.2026.ELECTRNP.CNSM_NA_IDAL_NA_REB_NA_USA_QBTU.A</t>
  </si>
  <si>
    <t>Industrial: Total Industrial Sector Use Excluding H2 Production: Purchased Electricity: Alternative Electricity and Transportation</t>
  </si>
  <si>
    <t>AEO.2026.ELECTRNP.CNSM_NA_IDAL_NA_PRC_NA_USA_QBTU.A</t>
  </si>
  <si>
    <t>Industrial: Total Industrial Sector Use Excluding H2 Production: Delivered Energy: Alternative Electricity and Transportation</t>
  </si>
  <si>
    <t>AEO.2026.ELECTRNP.CNSM_NA_IDAL_NA_DELE_NA_USA_QBTU.A</t>
  </si>
  <si>
    <t>Industrial: Total Industrial Sector Use Excluding H2 Production: Electricity-Related Losses: Alternative Electricity and Transportation</t>
  </si>
  <si>
    <t>AEO.2026.ELECTRNP.CNSM_NA_IDAL_NA_ELECRELOS_NA_USA_QBTU.A</t>
  </si>
  <si>
    <t>Industrial: Total Industrial Sector Use Excluding H2 Production: Hydrogen-Related Losses: Alternative Electricity and Transportation</t>
  </si>
  <si>
    <t>AEO.2026.ELECTRNP.CNSM_NA_IDAL_NA_H2RELLOS_NA_USA_QBTU.A</t>
  </si>
  <si>
    <t>Industrial: Total Industrial Sector Use: Total: Alternative Electricity and Transportation</t>
  </si>
  <si>
    <t>AEO.2026.ELECTRNP.CNSM_NA_IDAL_NA_TOT_NA_USA_QBTU.A</t>
  </si>
  <si>
    <t>Industrial: Total Industrial Sector Primary Consumption: Propane Heat and Power: Alternative Electricity and Transportation</t>
  </si>
  <si>
    <t>Industrial: Total Industrial Sector Primary Consumption: LPG and Other Feedstocks: Alternative Electricity and Transportation</t>
  </si>
  <si>
    <t>Industrial: Total Industrial Sector Primary Consumption: Motor Gasoline: Alternative Electricity and Transportation</t>
  </si>
  <si>
    <t>Industrial: Total Industrial Sector Primary Consumption: Distillate Fuel Oil: Alternative Electricity and Transportation</t>
  </si>
  <si>
    <t>Industrial: Total Industrial Sector Primary Consumption: Residual Fuel Oil: Alternative Electricity and Transportation</t>
  </si>
  <si>
    <t>Industrial: Total Industrial Sector Primary Consumption: Petrochemical Feedstocks: Alternative Electricity and Transportation</t>
  </si>
  <si>
    <t>Industrial: Total Industrial Sector Primary Consumption: Petroleum Coke: Alternative Electricity and Transportation</t>
  </si>
  <si>
    <t>Industrial: Total Industrial Sector Primary Consumption: Asphalt and Road Oil: Alternative Electricity and Transportation</t>
  </si>
  <si>
    <t>Industrial: Total Industrial Sector Primary Consumption: Still Gas: Alternative Electricity and Transportation</t>
  </si>
  <si>
    <t>Industrial: Total Industrial Sector Primary Consumption: Miscellaneous Petroleum: Alternative Electricity and Transportation</t>
  </si>
  <si>
    <t>Industrial: Total Industrial Sector Primary Consumption: Petroleum Subtotal: Alternative Electricity and Transportation</t>
  </si>
  <si>
    <t>Industrial: Total Industrial Sector Primary Consumption: Natural Gas Heat and Power: Alternative Electricity and Transportation</t>
  </si>
  <si>
    <t>Industrial: Total Industrial Sector Primary Consumption: Natural Gas Feedstocks: Alternative Electricity and Transportation</t>
  </si>
  <si>
    <t>Industrial: Total Industrial Sector Primary Consumption: Lease and Plant Fuel: Alternative Electricity and Transportation</t>
  </si>
  <si>
    <t>Industrial: Total Industrial Sector Primary Consumption: Natural Gas Subtotal: Alternative Electricity and Transportation</t>
  </si>
  <si>
    <t>Industrial: Total Industrial Sector Primary Consumption: Metallurgical Coal and Coke: Alternative Electricity and Transportation</t>
  </si>
  <si>
    <t>Industrial: Total Industrial Sector Primary Consumption: Steam Coal: Alternative Electricity and Transportation</t>
  </si>
  <si>
    <t>Industrial: Total Industrial Sector Primary Consumption: Coal Subtotal: Alternative Electricity and Transportation</t>
  </si>
  <si>
    <t>Industrial: Total Industrial Sector Primary Consumption: Biofuels Heat and Coproducts: Alternative Electricity and Transportation</t>
  </si>
  <si>
    <t>Industrial: Total Industrial Sector Primary Consumption: Renewables: Alternative Electricity and Transportation</t>
  </si>
  <si>
    <t>Industrial: Total Industrial Sector Primary Consumption: Purchased Electricity: Alternative Electricity and Transportation</t>
  </si>
  <si>
    <t>Industrial: Total Industrial Sector Primary Consumption: Delivered Energy: Alternative Electricity and Transportation</t>
  </si>
  <si>
    <t>Industrial: Total Industrial Sector Primary Consumption: Electricity-Related Losses: Alternative Electricity and Transportation</t>
  </si>
  <si>
    <t>Industrial: Total Industrial Sector Primary Consumption: Total: Alternative Electricity and Transportation</t>
  </si>
  <si>
    <t>Industrial: Energy Use per dollar of Shipment: Propane Heat and Power: Alternative Electricity and Transportation</t>
  </si>
  <si>
    <t>AEO.2026.ELECTRNP.INY_NA_IDAL_NA_LPGHP_NA_USA_THBTUPY05DLR.A</t>
  </si>
  <si>
    <t>Industrial: Energy Use per dollar of Shipment: LPG and Other Feedstocks: Alternative Electricity and Transportation</t>
  </si>
  <si>
    <t>AEO.2026.ELECTRNP.INY_NA_IDAL_NA_LPGF_NA_USA_THBTUPY05DLR.A</t>
  </si>
  <si>
    <t>Industrial: Energy Use per dollar of Shipment: Motor Gasoline: Alternative Electricity and Transportation</t>
  </si>
  <si>
    <t>AEO.2026.ELECTRNP.INY_NA_IDAL_NA_MGS_NA_USA_THBTUPY05DLR.A</t>
  </si>
  <si>
    <t>Industrial: Energy Use per dollar of Shipment: Distillate Fuel Oil: Alternative Electricity and Transportation</t>
  </si>
  <si>
    <t>AEO.2026.ELECTRNP.INY_NA_IDAL_NA_DFO_NA_USA_THBTUPY05DLR.A</t>
  </si>
  <si>
    <t>Industrial: Energy Use per dollar of Shipment: Residual Fuel Oil: Alternative Electricity and Transportation</t>
  </si>
  <si>
    <t>AEO.2026.ELECTRNP.INY_NA_IDAL_NA_RFO_NA_USA_THBTUPY05DLR.A</t>
  </si>
  <si>
    <t>-2.6%</t>
  </si>
  <si>
    <t>Industrial: Energy Use per dollar of Shipment: Petrochemical Feedstocks: Alternative Electricity and Transportation</t>
  </si>
  <si>
    <t>AEO.2026.ELECTRNP.INY_NA_IDAL_NA_PCF_NA_USA_THBTUPY05DLR.A</t>
  </si>
  <si>
    <t>Industrial: Energy Use per dollar of Shipment: Petroleum Coke: Alternative Electricity and Transportation</t>
  </si>
  <si>
    <t>AEO.2026.ELECTRNP.INY_NA_IDAL_NA_PCK_NA_USA_THBTUPY05DLR.A</t>
  </si>
  <si>
    <t>Industrial: Energy Use per dollar of Shipment: Asphalt and Road Oil: Alternative Electricity and Transportation</t>
  </si>
  <si>
    <t>AEO.2026.ELECTRNP.INY_NA_IDAL_NA_ARO_NA_USA_THBTUPY05DLR.A</t>
  </si>
  <si>
    <t>Industrial: Energy Use per dollar of Shipment: Still Gas: Alternative Electricity and Transportation</t>
  </si>
  <si>
    <t>AEO.2026.ELECTRNP.INY_NA_IDAL_NA_SLG_NA_USA_THBTUPY05DLR.A</t>
  </si>
  <si>
    <t>Industrial: Energy Use per dollar of Shipment: Miscellaneous Petroleum: Alternative Electricity and Transportation</t>
  </si>
  <si>
    <t>AEO.2026.ELECTRNP.INY_NA_IDAL_NA_MPET_NA_USA_THBTUPY05DLR.A</t>
  </si>
  <si>
    <t>Industrial: Energy Use per dollar of Shipment: Petroleum Subtotal: Alternative Electricity and Transportation</t>
  </si>
  <si>
    <t>AEO.2026.ELECTRNP.INY_NA_IDAL_NA_PET_NA_USA_THBTUPY05DLR.A</t>
  </si>
  <si>
    <t>Industrial: Energy Use per dollar of Shipment: Natural Gas Heat and Power: Alternative Electricity and Transportation</t>
  </si>
  <si>
    <t>AEO.2026.ELECTRNP.INY_NA_IDAL_NA_NHP_NA_USA_THBTUPY05DLR.A</t>
  </si>
  <si>
    <t>Industrial: Energy Use per dollar of Shipment: Natural Gas Feedstock: Alternative Electricity and Transportation</t>
  </si>
  <si>
    <t>AEO.2026.ELECTRNP.INY_NA_IDAL_NA_NFS_NA_USA_THBTUPY05DLR.A</t>
  </si>
  <si>
    <t>Industrial: Energy Use per dollar of Shipment: Lease and Plant Fuel: Alternative Electricity and Transportation</t>
  </si>
  <si>
    <t>AEO.2026.ELECTRNP.INY_NA_IDAL_NA_LSAPFL_NA_USA_THBTUPY05DLR.A</t>
  </si>
  <si>
    <t>Industrial: Energy Use per dollar of Shipment: Natural Gas Subtotal: Alternative Electricity and Transportation</t>
  </si>
  <si>
    <t>AEO.2026.ELECTRNP.INY_NA_IDAL_NA_NGS_NA_USA_THBTUPY05DLR.A</t>
  </si>
  <si>
    <t>Industrial: Energy Use per dollar of Shipment: Metallurgical Coal and Coke: Alternative Electricity and Transportation</t>
  </si>
  <si>
    <t>AEO.2026.ELECTRNP.INY_NA_IDAL_NA_MCC_NA_USA_THBTUPY05DLR.A</t>
  </si>
  <si>
    <t>-2.8%</t>
  </si>
  <si>
    <t>Industrial: Energy Use per dollar of Shipment: Steam Coal: Alternative Electricity and Transportation</t>
  </si>
  <si>
    <t>AEO.2026.ELECTRNP.INY_NA_IDAL_NA_OIC_NA_USA_THBTUPY05DLR.A</t>
  </si>
  <si>
    <t>-2.1%</t>
  </si>
  <si>
    <t>Industrial: Energy Use per dollar of Shipment: Coal Subtotal: Alternative Electricity and Transportation</t>
  </si>
  <si>
    <t>AEO.2026.ELECTRNP.INY_NA_IDAL_NA_COS_NA_USA_THBTUPY05DLR.A</t>
  </si>
  <si>
    <t>Industrial: Energy Use per dollar of Shipment: Biofuels Heat and Coproducts: Alternative Electricity and Transportation</t>
  </si>
  <si>
    <t>AEO.2026.ELECTRNP.INY_NA_IDAL_NA_BFH_NA_USA_THBTUPY05DLR.A</t>
  </si>
  <si>
    <t>Industrial: Energy Use per dollar of Shipment: Renewables: Alternative Electricity and Transportation</t>
  </si>
  <si>
    <t>AEO.2026.ELECTRNP.INY_NA_IDAL_NA_REB_NA_USA_THBTUPY05DLR.A</t>
  </si>
  <si>
    <t>Industrial: Energy Use per dollar of Shipment: Purchased Electricity: Alternative Electricity and Transportation</t>
  </si>
  <si>
    <t>AEO.2026.ELECTRNP.INY_NA_IDAL_NA_PRC_NA_USA_THBTUPY05DLR.A</t>
  </si>
  <si>
    <t>Industrial: Energy Use per dollar of Shipment: Delivered Energy: Alternative Electricity and Transportation</t>
  </si>
  <si>
    <t>AEO.2026.ELECTRNP.INY_NA_IDAL_NA_DELE_NA_USA_THBTUPY05DLR.A</t>
  </si>
  <si>
    <t>Industrial: Energy Use per dollar of Shipment: Electricity Related Losses: Alternative Electricity and Transportation</t>
  </si>
  <si>
    <t>AEO.2026.ELECTRNP.INY_NA_IDAL_NA_ERL_NA_USA_THBTUPY05DLR.A</t>
  </si>
  <si>
    <t>Industrial: Energy Use per dollar of Shipment: Total: Alternative Electricity and Transportation</t>
  </si>
  <si>
    <t>AEO.2026.ELECTRNP.INY_NA_IDAL_NA_EUS_NA_USA_THBTUPY05DLR.A</t>
  </si>
  <si>
    <t>Industrial: Total Industrial Combined Heat and Power: Capacity: Alternative Electricity and Transportation</t>
  </si>
  <si>
    <t>AEO.2026.ELECTRNP.CAP_NA_IDAL_TOTINDCHP_CHP_NA_USA_GW.A</t>
  </si>
  <si>
    <t>Industrial: Total Industrial Combined Heat and Power: Generation: Alternative Electricity and Transportation</t>
  </si>
  <si>
    <t>AEO.2026.ELECTRNP.GEN_NA_IDAL_TOTINDCHP_CHP_NA_USA_BLNKWH.A</t>
  </si>
  <si>
    <t>https://www.eia.gov/outlooks/aeo/data/browser/#/?id=24-AEO2026&amp;cases=electrnp&amp;sourcekey=0</t>
  </si>
  <si>
    <t>Thu Apr 23 2026 14:59:47 GMT-0700 (Pacific Daylight Time)</t>
  </si>
  <si>
    <t>Renewable Energy: Marketed Use: Residential: Wood: Alternative Electricity and Transportation</t>
  </si>
  <si>
    <t>AEO.2026.ELECTRNP.CNSM_NA_RESD_NA_BMS_NA_NA_QBTU.A</t>
  </si>
  <si>
    <t>Renewable Energy: Marketed Use: Commercial: Biomass: Alternative Electricity and Transportation</t>
  </si>
  <si>
    <t>AEO.2026.ELECTRNP.CNSM_NA_COMM_NA_BMS_NA_NA_QBTU.A</t>
  </si>
  <si>
    <t>Renewable Energy: Marketed Use: Industrial: Alternative Electricity and Transportation</t>
  </si>
  <si>
    <t>AEO.2026.ELECTRNP.CNSM_NA_IDAL_NA_MRE_NA_NA_QBTU.A</t>
  </si>
  <si>
    <t>Renewable Energy: Marketed Use: Industrial: Hydropower: Alternative Electricity and Transportation</t>
  </si>
  <si>
    <t>AEO.2026.ELECTRNP.CNSM_NA_IDAL_NA_HYD_CNV_NA_QBTU.A</t>
  </si>
  <si>
    <t>Renewable Energy: Marketed Use: Industrial: Municipal Waste: Alternative Electricity and Transportation</t>
  </si>
  <si>
    <t>AEO.2026.ELECTRNP.CNSM_NA_IDAL_NA_MUNWST_NA_NA_QBTU.A</t>
  </si>
  <si>
    <t>Renewable Energy: Marketed Use: Industrial: Biomass: Alternative Electricity and Transportation</t>
  </si>
  <si>
    <t>AEO.2026.ELECTRNP.CNSM_NA_IDAL_NA_BMS_NA_NA_QBTU.A</t>
  </si>
  <si>
    <t>Renewable Energy: Marketed Use: Industrial: Biofuels Heat and Coproducts: Alternative Electricity and Transportation</t>
  </si>
  <si>
    <t>AEO.2026.ELECTRNP.CNSM_NA_IDAL_NA_BFH_NA_NA_QBTU.A</t>
  </si>
  <si>
    <t>Renewable Energy: Marketed Use: Transportation: Alternative Electricity and Transportation</t>
  </si>
  <si>
    <t>AEO.2026.ELECTRNP.CNSM_NA_TRN_NA_NA_NA_NA_QBTU.A</t>
  </si>
  <si>
    <t>Renewable Energy: Marketed Use: Transportation: Ethanol used in E85: Alternative Electricity and Transportation</t>
  </si>
  <si>
    <t>AEO.2026.ELECTRNP.CNSM_NA_TRN_NA_ETE_NA_NA_QBTU.A</t>
  </si>
  <si>
    <t>Renewable Energy: Marketed Use: Transportation: Ethanol used in Gasoline Blending: Alternative Electricity and Transportation</t>
  </si>
  <si>
    <t>AEO.2026.ELECTRNP.CNSM_NA_TRN_NA_EBL_NA_NA_QBTU.A</t>
  </si>
  <si>
    <t>Renewable Energy: Marketed Use: Transportation: Biodiesel used in Distillate Blending: Alternative Electricity and Transportation</t>
  </si>
  <si>
    <t>AEO.2026.ELECTRNP.CNSM_NA_TRN_NA_BUD_NA_NA_QBTU.A</t>
  </si>
  <si>
    <t>Renewable Energy: Marketed Use: Transportation: Biobutanol: Alternative Electricity and Transportation</t>
  </si>
  <si>
    <t>AEO.2026.ELECTRNP.CNSM_NA_TRN_NA_BIOB_NA_NA_NA.A</t>
  </si>
  <si>
    <t>Renewable Energy: Marketed Use: Transportation: Liquids from Biomass: Alternative Electricity and Transportation</t>
  </si>
  <si>
    <t>AEO.2026.ELECTRNP.CNSM_NA_TRN_NA_LFB_NA_NA_QBTU.A</t>
  </si>
  <si>
    <t>Renewable Energy: Marketed Use: Transportation: Green Liquids: Alternative Electricity and Transportation</t>
  </si>
  <si>
    <t>AEO.2026.ELECTRNP.CNSM_NA_TRN_NA_GLQ_NA_NA_QBTU.A</t>
  </si>
  <si>
    <t>Renewable Energy: Marketed Use: Electric Power: Alternative Electricity and Transportation</t>
  </si>
  <si>
    <t>AEO.2026.ELECTRNP.CNSM_NA_ELEP_NA_NA_NA_NA_QBTU.A</t>
  </si>
  <si>
    <t>Renewable Energy: Marketed Use: Electric Power: Hydropower: Alternative Electricity and Transportation</t>
  </si>
  <si>
    <t>AEO.2026.ELECTRNP.CNSM_NA_ELEP_NA_HYD_CNV_NA_QBTU.A</t>
  </si>
  <si>
    <t>Renewable Energy: Marketed Use: Electric Power: Geothermal: Alternative Electricity and Transportation</t>
  </si>
  <si>
    <t>AEO.2026.ELECTRNP.CNSM_NA_ELEP_NA_GEOTHM_NA_NA_QBTU.A</t>
  </si>
  <si>
    <t>5.1%</t>
  </si>
  <si>
    <t>Renewable Energy: Marketed Use: Electric Power: Biogenic Municipal Waste: Alternative Electricity and Transportation</t>
  </si>
  <si>
    <t>AEO.2026.ELECTRNP.CNSM_NA_ELEP_NA_BGM_NA_NA_QBTU.A</t>
  </si>
  <si>
    <t>Renewable Energy: Marketed Use: Electric Power: Biomass: Alternative Electricity and Transportation</t>
  </si>
  <si>
    <t>AEO.2026.ELECTRNP.CNSM_NA_ELEP_NA_BMS_NA_NA_QBTU.A</t>
  </si>
  <si>
    <t>Renewable Energy: Marketed Use: Electric Power: Solar Thermal: Alternative Electricity and Transportation</t>
  </si>
  <si>
    <t>AEO.2026.ELECTRNP.CNSM_NA_ELEP_NA_SLR_THERM_NA_QBTU.A</t>
  </si>
  <si>
    <t>Renewable Energy: Marketed Use: Electric Power: Solar Photovoltaic: Alternative Electricity and Transportation</t>
  </si>
  <si>
    <t>AEO.2026.ELECTRNP.CNSM_NA_ELEP_NA_SLR_PHTVL_NA_QBTU.A</t>
  </si>
  <si>
    <t>Renewable Energy: Marketed Use: Electric Power: Wind: Alternative Electricity and Transportation</t>
  </si>
  <si>
    <t>AEO.2026.ELECTRNP.CNSM_NA_ELEP_NA_WND_NA_NA_QBTU.A</t>
  </si>
  <si>
    <t>Renewable Energy: Total Marketed Renewable Energy Use: Alternative Electricity and Transportation</t>
  </si>
  <si>
    <t>AEO.2026.ELECTRNP.CNSM_NA_NA_NA_NA_NA_NA_QBTU.A</t>
  </si>
  <si>
    <t>Renewable Energy: Sources of Ethanol: From Corn: Alternative Electricity and Transportation</t>
  </si>
  <si>
    <t>AEO.2026.ELECTRNP.SUP_PRD_FCO_NA_ETH_NA_NA_QBTU.A</t>
  </si>
  <si>
    <t>Renewable Energy: Sources of Ethanol: From Cellulose: Alternative Electricity and Transportation</t>
  </si>
  <si>
    <t>AEO.2026.ELECTRNP.SUP_PRD_FCE_NA_ETH_NA_NA_QBTU.A</t>
  </si>
  <si>
    <t>Renewable Energy: Sources of Ethanol: Net Imports: Alternative Electricity and Transportation</t>
  </si>
  <si>
    <t>AEO.2026.ELECTRNP.SUP_NETIMP_NA_NA_ETH_NA_NA_QBTU.A</t>
  </si>
  <si>
    <t>Renewable Energy: Total U.S. Supply of Ethanol: Alternative Electricity and Transportation</t>
  </si>
  <si>
    <t>AEO.2026.ELECTRNP.SUP_NA_NA_NA_ETH_NA_NA_QBTU.A</t>
  </si>
  <si>
    <t>Renewable Energy: Nonmarketed Selected Use: Residential: Alternative Electricity and Transportation</t>
  </si>
  <si>
    <t>AEO.2026.ELECTRNP.CNSM_NA_RESD_NA_NA_NA_NA_QBTU.A</t>
  </si>
  <si>
    <t>4.5%</t>
  </si>
  <si>
    <t>Renewable Energy: Nonmarketed Selected Use: Residential: Solar Hot Water Heating: Alternative Electricity and Transportation</t>
  </si>
  <si>
    <t>AEO.2026.ELECTRNP.CNSM_NA_RESD_NA_SHW_NA_NA_QBTU.A</t>
  </si>
  <si>
    <t>Renewable Energy: Nonmarketed Selected Use: Residential: Solar Photovoltaic: Alternative Electricity and Transportation</t>
  </si>
  <si>
    <t>AEO.2026.ELECTRNP.CNSM_NA_RESD_NA_SLR_PHTVL_NA_QBTU.A</t>
  </si>
  <si>
    <t>Renewable Energy: Nonmarketed Selected Use: Residential: Wind: Alternative Electricity and Transportation</t>
  </si>
  <si>
    <t>AEO.2026.ELECTRNP.CNSM_NA_RESD_NA_WND_NA_NA_QBTU.A</t>
  </si>
  <si>
    <t>Renewable Energy: Nonmarketed Selected Use: Commercial: Alternative Electricity and Transportation</t>
  </si>
  <si>
    <t>AEO.2026.ELECTRNP.CNSM_NA_COMM_NA_NA_NA_NA_QBTU.A</t>
  </si>
  <si>
    <t>Renewable Energy: Nonmarketed Selected Use: Commercial: Solar Thermal: Alternative Electricity and Transportation</t>
  </si>
  <si>
    <t>AEO.2026.ELECTRNP.CNSM_NA_COMM_NA_SLR_THERM_NA_QBTU.A</t>
  </si>
  <si>
    <t>Renewable Energy: Nonmarketed Selected Use: Commercial: Solar Photovoltaic: Alternative Electricity and Transportation</t>
  </si>
  <si>
    <t>AEO.2026.ELECTRNP.CNSM_NA_COMM_NA_SLR_PHTVL_NA_QBTU.A</t>
  </si>
  <si>
    <t>Renewable Energy: Nonmarketed Selected Use: Commercial: Wind: Alternative Electricity and Transportation</t>
  </si>
  <si>
    <t>AEO.2026.ELECTRNP.CNSM_NA_COMM_NA_WND_NA_NA_QBTU.A</t>
  </si>
  <si>
    <t>Validation checks (42-code sibling)</t>
  </si>
  <si>
    <t>Allocation output rows sum to 1 across the 42 ISIC codes (rate files excluded — see note).</t>
  </si>
  <si>
    <t>FoPTaFbIC.csv</t>
  </si>
  <si>
    <t xml:space="preserve">  rate file — per-code fuel fraction, no sum-to-1 check</t>
  </si>
  <si>
    <t>Fuel-Producing ISIC Codes</t>
  </si>
  <si>
    <t>ISIC Code</t>
  </si>
  <si>
    <t>ISIC Code Meaning</t>
  </si>
  <si>
    <t>Fuel Fraction of Production</t>
  </si>
  <si>
    <t>We assume 100% of products are fuels</t>
  </si>
  <si>
    <t>We assume 100% of products are fuels (refined products are from ISIC 19, not from ISIC 06)</t>
  </si>
  <si>
    <t>Data Sources</t>
  </si>
  <si>
    <t>Non-Fuel Share of Industrial Refinery Product Use</t>
  </si>
  <si>
    <t>AEO T6</t>
  </si>
  <si>
    <t>Industrial Share of Refinery Product Use</t>
  </si>
  <si>
    <t>AEO T2</t>
  </si>
  <si>
    <t>Fuel Share of ISIC 19 products</t>
  </si>
  <si>
    <t>Uranium revenue</t>
  </si>
  <si>
    <t>AEO T2, AEO T3</t>
  </si>
  <si>
    <t>ISIC 07T08 total revenue</t>
  </si>
  <si>
    <t>see io-model/BObIC</t>
  </si>
  <si>
    <t>Fuel share of ISIC 07T08 products</t>
  </si>
  <si>
    <t>Biomass revenue ($)</t>
  </si>
  <si>
    <t>see small table below</t>
  </si>
  <si>
    <t>ISIC 01T03 total revenue</t>
  </si>
  <si>
    <t>Fuel share of ISIC 01T03 products</t>
  </si>
  <si>
    <t>Biomass-Purchasing Sector</t>
  </si>
  <si>
    <t>Price for That Sector ($/BTU)</t>
  </si>
  <si>
    <t>Quantity Purchased (quadrillion BTU)</t>
  </si>
  <si>
    <t>Residential Bldg</t>
  </si>
  <si>
    <t>Comm Bldg</t>
  </si>
  <si>
    <t>Industry</t>
  </si>
  <si>
    <t>see fuels/BFPaT</t>
  </si>
  <si>
    <t>AEO T17</t>
  </si>
  <si>
    <t>Unit: dimensionless</t>
  </si>
  <si>
    <t>ISIC 09</t>
  </si>
  <si>
    <t>ISIC 10T12</t>
  </si>
  <si>
    <t>ISIC 13T15</t>
  </si>
  <si>
    <t>ISIC 16</t>
  </si>
  <si>
    <t>ISIC 17T18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</si>
  <si>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</si>
  <si>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</si>
  <si>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</si>
  <si>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</si>
  <si>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</si>
  <si>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</si>
  <si>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</si>
  <si>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</si>
  <si>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</si>
  <si>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</si>
  <si>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</si>
  <si>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</si>
  <si>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</si>
  <si>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</si>
  <si>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</si>
  <si>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</si>
  <si>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</si>
  <si>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</si>
  <si>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</si>
  <si>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</si>
  <si>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</si>
  <si>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</si>
  <si>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</si>
  <si>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</si>
  <si>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</si>
  <si>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</si>
  <si>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</si>
  <si>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</si>
  <si>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</si>
  <si>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</si>
  <si>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Fraction of Products that are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</si>
</sst>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0"/>
      <color theme="4"/>
      <name val="Calibri"/>
      <family val="2"/>
      <scheme val="minor"/>
    </font>
    <font>
      <u/>
      <sz val="11"/>
      <color theme="4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5">
    <xf numFmtId="0" fontId="0" fillId="0" borderId="0"/>
    <xf numFmtId="9" fontId="1" fillId="0" borderId="0"/>
    <xf numFmtId="0" fontId="4" fillId="0" borderId="0"/>
    <xf numFmtId="0" fontId="4" fillId="0" borderId="0"/>
    <xf numFmtId="0" fontId="5" fillId="0" borderId="7">
      <alignment wrapText="1"/>
    </xf>
    <xf numFmtId="0" fontId="6" fillId="0" borderId="0">
      <alignment horizontal="left"/>
    </xf>
    <xf numFmtId="0" fontId="5" fillId="0" borderId="8">
      <alignment wrapText="1"/>
    </xf>
    <xf numFmtId="0" fontId="4" fillId="0" borderId="9">
      <alignment wrapText="1"/>
    </xf>
    <xf numFmtId="0" fontId="4" fillId="0" borderId="10">
      <alignment wrapText="1"/>
    </xf>
    <xf numFmtId="0" fontId="7" fillId="0" borderId="0">
      <alignment vertical="top"/>
      <protection locked="0"/>
    </xf>
    <xf numFmtId="0" fontId="1" fillId="0" borderId="0"/>
    <xf numFmtId="0" fontId="4" fillId="0" borderId="0"/>
    <xf numFmtId="0" fontId="4" fillId="0" borderId="9">
      <alignment wrapText="1"/>
    </xf>
    <xf numFmtId="0" fontId="4" fillId="0" borderId="0"/>
    <xf numFmtId="0" fontId="4" fillId="0" borderId="10">
      <alignment wrapText="1"/>
    </xf>
    <xf numFmtId="0" fontId="5" fillId="0" borderId="7">
      <alignment wrapText="1"/>
    </xf>
    <xf numFmtId="0" fontId="5" fillId="0" borderId="8">
      <alignment wrapText="1"/>
    </xf>
    <xf numFmtId="0" fontId="6" fillId="0" borderId="0">
      <alignment horizontal="left"/>
    </xf>
    <xf numFmtId="0" fontId="1" fillId="0" borderId="0"/>
    <xf numFmtId="0" fontId="4" fillId="0" borderId="9">
      <alignment wrapText="1"/>
    </xf>
    <xf numFmtId="0" fontId="4" fillId="0" borderId="0"/>
    <xf numFmtId="0" fontId="4" fillId="0" borderId="10">
      <alignment wrapText="1"/>
    </xf>
    <xf numFmtId="0" fontId="5" fillId="0" borderId="7">
      <alignment wrapText="1"/>
    </xf>
    <xf numFmtId="0" fontId="5" fillId="0" borderId="8">
      <alignment wrapText="1"/>
    </xf>
    <xf numFmtId="0" fontId="6" fillId="0" borderId="0">
      <alignment horizontal="left"/>
    </xf>
  </cellStyleXfs>
  <cellXfs count="39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4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11" fontId="0" fillId="0" borderId="0" xfId="0" applyNumberFormat="1"/>
    <xf numFmtId="10" fontId="0" fillId="0" borderId="0" xfId="1" applyNumberFormat="1" applyFont="1"/>
    <xf numFmtId="0" fontId="0" fillId="0" borderId="0" xfId="0" applyAlignment="1">
      <alignment horizontal="left"/>
    </xf>
    <xf numFmtId="0" fontId="8" fillId="0" borderId="0" xfId="9" applyFont="1" applyAlignment="1" applyProtection="1"/>
    <xf numFmtId="10" fontId="0" fillId="3" borderId="0" xfId="1" applyNumberFormat="1" applyFont="1" applyFill="1"/>
    <xf numFmtId="0" fontId="3" fillId="0" borderId="0" xfId="0" applyFont="1" applyAlignment="1">
      <alignment horizontal="center"/>
    </xf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wrapText="1"/>
    </xf>
    <xf numFmtId="0" fontId="2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/>
    <xf numFmtId="164" fontId="0" fillId="0" borderId="11" xfId="0" applyNumberFormat="1" applyBorder="1" applyAlignment="1">
      <alignment horizontal="left"/>
    </xf>
    <xf numFmtId="4" fontId="0" fillId="0" borderId="12" xfId="0" applyNumberFormat="1" applyBorder="1"/>
    <xf numFmtId="0" fontId="0" fillId="0" borderId="11" xfId="0" applyBorder="1"/>
    <xf numFmtId="0" fontId="0" fillId="0" borderId="12" xfId="0" applyBorder="1"/>
    <xf numFmtId="164" fontId="2" fillId="0" borderId="4" xfId="0" applyNumberFormat="1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6" borderId="1" xfId="0" applyFont="1" applyFill="1" applyBorder="1" applyAlignment="1">
      <alignment wrapText="1"/>
    </xf>
    <xf numFmtId="0" fontId="2" fillId="6" borderId="3" xfId="0" applyFont="1" applyFill="1" applyBorder="1" applyAlignment="1">
      <alignment horizontal="right" wrapText="1"/>
    </xf>
    <xf numFmtId="0" fontId="2" fillId="6" borderId="2" xfId="0" applyFont="1" applyFill="1" applyBorder="1" applyAlignment="1">
      <alignment horizontal="right" wrapText="1"/>
    </xf>
    <xf numFmtId="10" fontId="0" fillId="0" borderId="0" xfId="0" applyNumberFormat="1"/>
    <xf numFmtId="0" fontId="0" fillId="2" borderId="0" xfId="0" applyFill="1"/>
    <xf numFmtId="10" fontId="0" fillId="2" borderId="0" xfId="0" applyNumberFormat="1" applyFill="1"/>
    <xf numFmtId="0" fontId="0" fillId="7" borderId="0" xfId="0" applyFill="1"/>
    <xf numFmtId="10" fontId="0" fillId="7" borderId="0" xfId="0" applyNumberFormat="1" applyFill="1"/>
    <xf numFmtId="0" fontId="0" fillId="8" borderId="0" xfId="0" applyFill="1"/>
    <xf numFmtId="0" fontId="10" fillId="0" borderId="0" xfId="0" applyFont="1"/>
    <xf numFmtId="0" fontId="0" fillId="0" borderId="0" xfId="0" applyAlignment="1">
      <alignment horizontal="left" vertical="top" wrapText="1"/>
    </xf>
  </cellXfs>
  <cellStyles count="25">
    <cellStyle name="Body: normal cell" xfId="7" xr:uid="{00000000-0005-0000-0000-000007000000}"/>
    <cellStyle name="Body: normal cell 2" xfId="19" xr:uid="{00000000-0005-0000-0000-000013000000}"/>
    <cellStyle name="Body: normal cell 3" xfId="12" xr:uid="{00000000-0005-0000-0000-00000C000000}"/>
    <cellStyle name="Font: Calibri, 9pt regular" xfId="3" xr:uid="{00000000-0005-0000-0000-000003000000}"/>
    <cellStyle name="Font: Calibri, 9pt regular 2" xfId="20" xr:uid="{00000000-0005-0000-0000-000014000000}"/>
    <cellStyle name="Font: Calibri, 9pt regular 3" xfId="13" xr:uid="{00000000-0005-0000-0000-00000D000000}"/>
    <cellStyle name="Footnotes: top row" xfId="8" xr:uid="{00000000-0005-0000-0000-000008000000}"/>
    <cellStyle name="Footnotes: top row 2" xfId="21" xr:uid="{00000000-0005-0000-0000-000015000000}"/>
    <cellStyle name="Footnotes: top row 3" xfId="14" xr:uid="{00000000-0005-0000-0000-00000E000000}"/>
    <cellStyle name="Header: bottom row" xfId="4" xr:uid="{00000000-0005-0000-0000-000004000000}"/>
    <cellStyle name="Header: bottom row 2" xfId="22" xr:uid="{00000000-0005-0000-0000-000016000000}"/>
    <cellStyle name="Header: bottom row 3" xfId="15" xr:uid="{00000000-0005-0000-0000-00000F000000}"/>
    <cellStyle name="Hyperlink" xfId="9" builtinId="8"/>
    <cellStyle name="Normal" xfId="0" builtinId="0"/>
    <cellStyle name="Normal 2" xfId="2" xr:uid="{00000000-0005-0000-0000-000002000000}"/>
    <cellStyle name="Normal 3" xfId="18" xr:uid="{00000000-0005-0000-0000-000012000000}"/>
    <cellStyle name="Normal 4" xfId="11" xr:uid="{00000000-0005-0000-0000-00000B000000}"/>
    <cellStyle name="Normal 5" xfId="10" xr:uid="{00000000-0005-0000-0000-00000A000000}"/>
    <cellStyle name="Parent row" xfId="6" xr:uid="{00000000-0005-0000-0000-000006000000}"/>
    <cellStyle name="Parent row 2" xfId="23" xr:uid="{00000000-0005-0000-0000-000017000000}"/>
    <cellStyle name="Parent row 3" xfId="16" xr:uid="{00000000-0005-0000-0000-000010000000}"/>
    <cellStyle name="Percent" xfId="1" builtinId="5"/>
    <cellStyle name="Table title" xfId="5" xr:uid="{00000000-0005-0000-0000-000005000000}"/>
    <cellStyle name="Table title 2" xfId="24" xr:uid="{00000000-0005-0000-0000-000018000000}"/>
    <cellStyle name="Table title 3" xfId="17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/>
  </sheetViews>
  <sheetFormatPr defaultRowHeight="15" x14ac:dyDescent="0.25"/>
  <cols>
    <col min="1" max="1" width="23.7109375" customWidth="1"/>
    <col min="2" max="2" width="42.7109375" customWidth="1"/>
    <col min="3" max="3" width="36.28515625" customWidth="1"/>
  </cols>
  <sheetData>
    <row r="1" spans="1:3" x14ac:dyDescent="0.25">
      <c r="A1" s="1" t="s">
        <v>0</v>
      </c>
    </row>
    <row r="3" spans="1:3" x14ac:dyDescent="0.25">
      <c r="A3" s="1" t="s">
        <v>1</v>
      </c>
      <c r="B3" s="36" t="s">
        <v>2</v>
      </c>
    </row>
    <row r="4" spans="1:3" x14ac:dyDescent="0.25">
      <c r="B4" t="s">
        <v>2</v>
      </c>
    </row>
    <row r="5" spans="1:3" x14ac:dyDescent="0.25">
      <c r="B5" s="9">
        <v>2026</v>
      </c>
      <c r="C5" s="9"/>
    </row>
    <row r="6" spans="1:3" x14ac:dyDescent="0.25">
      <c r="B6" t="s">
        <v>3</v>
      </c>
    </row>
    <row r="7" spans="1:3" x14ac:dyDescent="0.25">
      <c r="B7" t="s">
        <v>4</v>
      </c>
    </row>
    <row r="8" spans="1:3" x14ac:dyDescent="0.25">
      <c r="B8" t="s">
        <v>5</v>
      </c>
    </row>
    <row r="9" spans="1:3" x14ac:dyDescent="0.25">
      <c r="B9" s="5"/>
    </row>
    <row r="10" spans="1:3" x14ac:dyDescent="0.25">
      <c r="B10" s="5" t="s">
        <v>6</v>
      </c>
    </row>
    <row r="12" spans="1:3" x14ac:dyDescent="0.25">
      <c r="B12" s="20" t="s">
        <v>7</v>
      </c>
    </row>
    <row r="13" spans="1:3" x14ac:dyDescent="0.25">
      <c r="B13" s="10"/>
    </row>
    <row r="14" spans="1:3" x14ac:dyDescent="0.25">
      <c r="A14" s="1" t="s">
        <v>8</v>
      </c>
    </row>
    <row r="15" spans="1:3" x14ac:dyDescent="0.25">
      <c r="A15" t="s">
        <v>9</v>
      </c>
    </row>
    <row r="16" spans="1:3" x14ac:dyDescent="0.25">
      <c r="A16" t="s">
        <v>10</v>
      </c>
    </row>
    <row r="17" spans="1:3" x14ac:dyDescent="0.25">
      <c r="A17" t="s">
        <v>11</v>
      </c>
    </row>
    <row r="18" spans="1:3" x14ac:dyDescent="0.25">
      <c r="A18" t="s">
        <v>12</v>
      </c>
    </row>
    <row r="20" spans="1:3" x14ac:dyDescent="0.25">
      <c r="A20" t="s">
        <v>13</v>
      </c>
    </row>
    <row r="21" spans="1:3" x14ac:dyDescent="0.25">
      <c r="A21" t="s">
        <v>14</v>
      </c>
    </row>
    <row r="23" spans="1:3" x14ac:dyDescent="0.25">
      <c r="A23" s="5" t="s">
        <v>15</v>
      </c>
    </row>
    <row r="25" spans="1:3" x14ac:dyDescent="0.25">
      <c r="A25" s="4" t="s">
        <v>16</v>
      </c>
      <c r="B25" s="4" t="s">
        <v>17</v>
      </c>
      <c r="C25" s="4" t="s">
        <v>18</v>
      </c>
    </row>
    <row r="26" spans="1:3" x14ac:dyDescent="0.25">
      <c r="A26" t="s">
        <v>19</v>
      </c>
      <c r="B26" t="s">
        <v>20</v>
      </c>
      <c r="C26" t="s">
        <v>21</v>
      </c>
    </row>
    <row r="27" spans="1:3" x14ac:dyDescent="0.25">
      <c r="A27" t="s">
        <v>22</v>
      </c>
      <c r="B27" t="s">
        <v>23</v>
      </c>
      <c r="C27" t="s">
        <v>24</v>
      </c>
    </row>
    <row r="28" spans="1:3" x14ac:dyDescent="0.25">
      <c r="A28" t="s">
        <v>25</v>
      </c>
      <c r="B28" t="s">
        <v>26</v>
      </c>
      <c r="C28" t="s">
        <v>27</v>
      </c>
    </row>
    <row r="29" spans="1:3" x14ac:dyDescent="0.25">
      <c r="A29" t="s">
        <v>28</v>
      </c>
      <c r="B29" t="s">
        <v>29</v>
      </c>
      <c r="C29" t="s">
        <v>30</v>
      </c>
    </row>
    <row r="30" spans="1:3" x14ac:dyDescent="0.25">
      <c r="A30" t="s">
        <v>31</v>
      </c>
      <c r="B30" t="s">
        <v>20</v>
      </c>
      <c r="C30" t="s">
        <v>21</v>
      </c>
    </row>
    <row r="31" spans="1:3" x14ac:dyDescent="0.25">
      <c r="A31" t="s">
        <v>32</v>
      </c>
      <c r="B31" t="s">
        <v>20</v>
      </c>
      <c r="C31" t="s">
        <v>21</v>
      </c>
    </row>
    <row r="32" spans="1:3" x14ac:dyDescent="0.25">
      <c r="A32" t="s">
        <v>33</v>
      </c>
      <c r="B32" t="s">
        <v>20</v>
      </c>
      <c r="C32" t="s">
        <v>21</v>
      </c>
    </row>
    <row r="33" spans="1:3" x14ac:dyDescent="0.25">
      <c r="A33" t="s">
        <v>34</v>
      </c>
      <c r="B33" t="s">
        <v>35</v>
      </c>
      <c r="C33" t="s">
        <v>36</v>
      </c>
    </row>
    <row r="34" spans="1:3" x14ac:dyDescent="0.25">
      <c r="A34" t="s">
        <v>37</v>
      </c>
      <c r="B34" t="s">
        <v>38</v>
      </c>
      <c r="C34" t="s">
        <v>39</v>
      </c>
    </row>
    <row r="35" spans="1:3" x14ac:dyDescent="0.25">
      <c r="A35" t="s">
        <v>40</v>
      </c>
      <c r="B35" t="s">
        <v>38</v>
      </c>
      <c r="C35" t="s">
        <v>39</v>
      </c>
    </row>
    <row r="36" spans="1:3" x14ac:dyDescent="0.25">
      <c r="A36" t="s">
        <v>41</v>
      </c>
      <c r="B36" t="s">
        <v>38</v>
      </c>
      <c r="C36" t="s">
        <v>39</v>
      </c>
    </row>
    <row r="37" spans="1:3" x14ac:dyDescent="0.25">
      <c r="A37" t="s">
        <v>42</v>
      </c>
      <c r="B37" t="s">
        <v>38</v>
      </c>
      <c r="C37" t="s">
        <v>39</v>
      </c>
    </row>
    <row r="38" spans="1:3" x14ac:dyDescent="0.25">
      <c r="A38" t="s">
        <v>43</v>
      </c>
      <c r="B38" t="s">
        <v>38</v>
      </c>
      <c r="C38" t="s">
        <v>39</v>
      </c>
    </row>
    <row r="39" spans="1:3" x14ac:dyDescent="0.25">
      <c r="A39" t="s">
        <v>44</v>
      </c>
      <c r="B39" t="s">
        <v>26</v>
      </c>
      <c r="C39" t="s">
        <v>27</v>
      </c>
    </row>
    <row r="40" spans="1:3" x14ac:dyDescent="0.25">
      <c r="A40" t="s">
        <v>45</v>
      </c>
      <c r="B40" t="s">
        <v>20</v>
      </c>
      <c r="C40" t="s">
        <v>21</v>
      </c>
    </row>
    <row r="41" spans="1:3" x14ac:dyDescent="0.25">
      <c r="A41" t="s">
        <v>46</v>
      </c>
      <c r="B41" t="s">
        <v>23</v>
      </c>
      <c r="C41" t="s">
        <v>24</v>
      </c>
    </row>
    <row r="42" spans="1:3" x14ac:dyDescent="0.25">
      <c r="A42" t="s">
        <v>47</v>
      </c>
      <c r="B42" t="s">
        <v>48</v>
      </c>
      <c r="C42" t="s">
        <v>49</v>
      </c>
    </row>
    <row r="43" spans="1:3" x14ac:dyDescent="0.25">
      <c r="A43" t="s">
        <v>50</v>
      </c>
      <c r="B43" t="s">
        <v>38</v>
      </c>
      <c r="C43" t="s">
        <v>39</v>
      </c>
    </row>
    <row r="44" spans="1:3" x14ac:dyDescent="0.25">
      <c r="A44" t="s">
        <v>51</v>
      </c>
      <c r="B44" t="s">
        <v>38</v>
      </c>
      <c r="C44" t="s">
        <v>39</v>
      </c>
    </row>
    <row r="45" spans="1:3" x14ac:dyDescent="0.25">
      <c r="A45" t="s">
        <v>52</v>
      </c>
      <c r="B45" t="s">
        <v>26</v>
      </c>
      <c r="C45" t="s">
        <v>27</v>
      </c>
    </row>
    <row r="46" spans="1:3" x14ac:dyDescent="0.25">
      <c r="A46" t="s">
        <v>53</v>
      </c>
      <c r="B46" t="s">
        <v>26</v>
      </c>
      <c r="C46" t="s">
        <v>27</v>
      </c>
    </row>
    <row r="48" spans="1:3" x14ac:dyDescent="0.25">
      <c r="A48" s="37" t="s">
        <v>54</v>
      </c>
    </row>
    <row r="49" spans="1:1" ht="90" x14ac:dyDescent="0.25">
      <c r="A49" s="38" t="s">
        <v>55</v>
      </c>
    </row>
    <row r="50" spans="1:1" ht="90" x14ac:dyDescent="0.25">
      <c r="A50" s="38" t="s">
        <v>56</v>
      </c>
    </row>
    <row r="51" spans="1:1" x14ac:dyDescent="0.25">
      <c r="A51" s="38" t="s">
        <v>57</v>
      </c>
    </row>
    <row r="53" spans="1:1" ht="105" x14ac:dyDescent="0.25">
      <c r="A53" s="38" t="s">
        <v>58</v>
      </c>
    </row>
    <row r="54" spans="1:1" ht="90" x14ac:dyDescent="0.25">
      <c r="A54" s="38" t="s">
        <v>59</v>
      </c>
    </row>
    <row r="55" spans="1:1" ht="75" x14ac:dyDescent="0.25">
      <c r="A55" s="38" t="s">
        <v>60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59"/>
  <sheetViews>
    <sheetView topLeftCell="A121" workbookViewId="0">
      <selection activeCell="A145" sqref="A145:XFD145"/>
    </sheetView>
  </sheetViews>
  <sheetFormatPr defaultRowHeight="15" x14ac:dyDescent="0.25"/>
  <cols>
    <col min="1" max="1" width="32.42578125" customWidth="1"/>
    <col min="2" max="2" width="36" customWidth="1"/>
  </cols>
  <sheetData>
    <row r="1" spans="1:33" x14ac:dyDescent="0.25">
      <c r="A1" t="s">
        <v>61</v>
      </c>
    </row>
    <row r="2" spans="1:33" x14ac:dyDescent="0.25">
      <c r="A2" t="s">
        <v>62</v>
      </c>
    </row>
    <row r="3" spans="1:33" x14ac:dyDescent="0.25">
      <c r="A3" t="s">
        <v>63</v>
      </c>
    </row>
    <row r="4" spans="1:33" x14ac:dyDescent="0.25">
      <c r="A4" t="s">
        <v>64</v>
      </c>
    </row>
    <row r="5" spans="1:33" x14ac:dyDescent="0.25">
      <c r="B5" t="s">
        <v>65</v>
      </c>
      <c r="C5" t="s">
        <v>66</v>
      </c>
      <c r="D5" t="s">
        <v>67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68</v>
      </c>
    </row>
    <row r="6" spans="1:33" x14ac:dyDescent="0.25">
      <c r="A6" t="s">
        <v>69</v>
      </c>
    </row>
    <row r="7" spans="1:33" x14ac:dyDescent="0.25">
      <c r="A7" t="s">
        <v>70</v>
      </c>
      <c r="B7" t="s">
        <v>71</v>
      </c>
      <c r="C7" t="s">
        <v>72</v>
      </c>
      <c r="D7" t="s">
        <v>73</v>
      </c>
      <c r="F7">
        <v>0.44558500000000001</v>
      </c>
      <c r="G7">
        <v>0.480711</v>
      </c>
      <c r="H7">
        <v>0.47766599999999998</v>
      </c>
      <c r="I7">
        <v>0.47374300000000003</v>
      </c>
      <c r="J7">
        <v>0.46951399999999999</v>
      </c>
      <c r="K7">
        <v>0.46448600000000001</v>
      </c>
      <c r="L7">
        <v>0.45884900000000001</v>
      </c>
      <c r="M7">
        <v>0.45316299999999998</v>
      </c>
      <c r="N7">
        <v>0.44746599999999997</v>
      </c>
      <c r="O7">
        <v>0.44225799999999998</v>
      </c>
      <c r="P7">
        <v>0.43704300000000001</v>
      </c>
      <c r="Q7">
        <v>0.43268699999999999</v>
      </c>
      <c r="R7">
        <v>0.42906499999999997</v>
      </c>
      <c r="S7">
        <v>0.42608400000000002</v>
      </c>
      <c r="T7">
        <v>0.42352899999999999</v>
      </c>
      <c r="U7">
        <v>0.42134700000000003</v>
      </c>
      <c r="V7">
        <v>0.41947600000000002</v>
      </c>
      <c r="W7">
        <v>0.41770099999999999</v>
      </c>
      <c r="X7">
        <v>0.41602899999999998</v>
      </c>
      <c r="Y7">
        <v>0.41437600000000002</v>
      </c>
      <c r="Z7">
        <v>0.41289599999999999</v>
      </c>
      <c r="AA7">
        <v>0.41159299999999999</v>
      </c>
      <c r="AB7">
        <v>0.41061999999999999</v>
      </c>
      <c r="AC7">
        <v>0.40981499999999998</v>
      </c>
      <c r="AD7">
        <v>0.40911399999999998</v>
      </c>
      <c r="AE7">
        <v>0.40834900000000002</v>
      </c>
      <c r="AF7">
        <v>0.40728799999999998</v>
      </c>
      <c r="AG7" s="31">
        <v>-3.0000000000000001E-3</v>
      </c>
    </row>
    <row r="8" spans="1:33" x14ac:dyDescent="0.25">
      <c r="A8" t="s">
        <v>74</v>
      </c>
      <c r="B8" t="s">
        <v>75</v>
      </c>
      <c r="C8" t="s">
        <v>76</v>
      </c>
      <c r="D8" t="s">
        <v>73</v>
      </c>
      <c r="F8">
        <v>0.44587700000000002</v>
      </c>
      <c r="G8">
        <v>0.47523500000000002</v>
      </c>
      <c r="H8">
        <v>0.468476</v>
      </c>
      <c r="I8">
        <v>0.45941900000000002</v>
      </c>
      <c r="J8">
        <v>0.44931599999999999</v>
      </c>
      <c r="K8">
        <v>0.43910399999999999</v>
      </c>
      <c r="L8">
        <v>0.42929099999999998</v>
      </c>
      <c r="M8">
        <v>0.42082199999999997</v>
      </c>
      <c r="N8">
        <v>0.413547</v>
      </c>
      <c r="O8">
        <v>0.40717500000000001</v>
      </c>
      <c r="P8">
        <v>0.40077099999999999</v>
      </c>
      <c r="Q8">
        <v>0.39471600000000001</v>
      </c>
      <c r="R8">
        <v>0.388874</v>
      </c>
      <c r="S8">
        <v>0.38307400000000003</v>
      </c>
      <c r="T8">
        <v>0.37743900000000002</v>
      </c>
      <c r="U8">
        <v>0.37194899999999997</v>
      </c>
      <c r="V8">
        <v>0.366483</v>
      </c>
      <c r="W8">
        <v>0.36104199999999997</v>
      </c>
      <c r="X8">
        <v>0.35572900000000002</v>
      </c>
      <c r="Y8">
        <v>0.35056199999999998</v>
      </c>
      <c r="Z8">
        <v>0.34526699999999999</v>
      </c>
      <c r="AA8">
        <v>0.34054400000000001</v>
      </c>
      <c r="AB8">
        <v>0.33597300000000002</v>
      </c>
      <c r="AC8">
        <v>0.331592</v>
      </c>
      <c r="AD8">
        <v>0.32734600000000003</v>
      </c>
      <c r="AE8">
        <v>0.32318799999999998</v>
      </c>
      <c r="AF8">
        <v>0.31897500000000001</v>
      </c>
      <c r="AG8" s="31">
        <v>-1.2999999999999999E-2</v>
      </c>
    </row>
    <row r="9" spans="1:33" x14ac:dyDescent="0.25">
      <c r="A9" t="s">
        <v>77</v>
      </c>
      <c r="B9" t="s">
        <v>78</v>
      </c>
      <c r="C9" t="s">
        <v>79</v>
      </c>
      <c r="D9" t="s">
        <v>73</v>
      </c>
      <c r="F9">
        <v>0.89146199999999998</v>
      </c>
      <c r="G9">
        <v>0.95594599999999996</v>
      </c>
      <c r="H9">
        <v>0.94614200000000004</v>
      </c>
      <c r="I9">
        <v>0.93316200000000005</v>
      </c>
      <c r="J9">
        <v>0.91882900000000001</v>
      </c>
      <c r="K9">
        <v>0.90359</v>
      </c>
      <c r="L9">
        <v>0.88814000000000004</v>
      </c>
      <c r="M9">
        <v>0.87398600000000004</v>
      </c>
      <c r="N9">
        <v>0.86101300000000003</v>
      </c>
      <c r="O9">
        <v>0.84943299999999999</v>
      </c>
      <c r="P9">
        <v>0.83781499999999998</v>
      </c>
      <c r="Q9">
        <v>0.827403</v>
      </c>
      <c r="R9">
        <v>0.81793800000000005</v>
      </c>
      <c r="S9">
        <v>0.80915800000000004</v>
      </c>
      <c r="T9">
        <v>0.80096800000000001</v>
      </c>
      <c r="U9">
        <v>0.793296</v>
      </c>
      <c r="V9">
        <v>0.78595899999999996</v>
      </c>
      <c r="W9">
        <v>0.77874299999999996</v>
      </c>
      <c r="X9">
        <v>0.77175800000000006</v>
      </c>
      <c r="Y9">
        <v>0.76493800000000001</v>
      </c>
      <c r="Z9">
        <v>0.758162</v>
      </c>
      <c r="AA9">
        <v>0.75213700000000006</v>
      </c>
      <c r="AB9">
        <v>0.74659299999999995</v>
      </c>
      <c r="AC9">
        <v>0.74140700000000004</v>
      </c>
      <c r="AD9">
        <v>0.73646</v>
      </c>
      <c r="AE9">
        <v>0.73153699999999999</v>
      </c>
      <c r="AF9">
        <v>0.72626299999999999</v>
      </c>
      <c r="AG9" s="31">
        <v>-8.0000000000000002E-3</v>
      </c>
    </row>
    <row r="10" spans="1:33" x14ac:dyDescent="0.25">
      <c r="A10" t="s">
        <v>80</v>
      </c>
      <c r="B10" t="s">
        <v>81</v>
      </c>
      <c r="C10" t="s">
        <v>82</v>
      </c>
      <c r="D10" t="s">
        <v>73</v>
      </c>
      <c r="F10">
        <v>4.60344</v>
      </c>
      <c r="G10">
        <v>4.966208</v>
      </c>
      <c r="H10">
        <v>4.9995219999999998</v>
      </c>
      <c r="I10">
        <v>5.0195169999999996</v>
      </c>
      <c r="J10">
        <v>5.0296079999999996</v>
      </c>
      <c r="K10">
        <v>5.016108</v>
      </c>
      <c r="L10">
        <v>4.9945209999999998</v>
      </c>
      <c r="M10">
        <v>4.9609519999999998</v>
      </c>
      <c r="N10">
        <v>4.9130729999999998</v>
      </c>
      <c r="O10">
        <v>4.8717969999999999</v>
      </c>
      <c r="P10">
        <v>4.830965</v>
      </c>
      <c r="Q10">
        <v>4.8000860000000003</v>
      </c>
      <c r="R10">
        <v>4.7762690000000001</v>
      </c>
      <c r="S10">
        <v>4.7566199999999998</v>
      </c>
      <c r="T10">
        <v>4.738029</v>
      </c>
      <c r="U10">
        <v>4.7204990000000002</v>
      </c>
      <c r="V10">
        <v>4.7006449999999997</v>
      </c>
      <c r="W10">
        <v>4.6752089999999997</v>
      </c>
      <c r="X10">
        <v>4.6475150000000003</v>
      </c>
      <c r="Y10">
        <v>4.6186999999999996</v>
      </c>
      <c r="Z10">
        <v>4.5911010000000001</v>
      </c>
      <c r="AA10">
        <v>4.5650729999999999</v>
      </c>
      <c r="AB10">
        <v>4.5387300000000002</v>
      </c>
      <c r="AC10">
        <v>4.5131389999999998</v>
      </c>
      <c r="AD10">
        <v>4.4889289999999997</v>
      </c>
      <c r="AE10">
        <v>4.4652130000000003</v>
      </c>
      <c r="AF10">
        <v>4.4413049999999998</v>
      </c>
      <c r="AG10" s="31">
        <v>-1E-3</v>
      </c>
    </row>
    <row r="11" spans="1:33" x14ac:dyDescent="0.25">
      <c r="A11" t="s">
        <v>83</v>
      </c>
      <c r="B11" t="s">
        <v>84</v>
      </c>
      <c r="C11" t="s">
        <v>85</v>
      </c>
      <c r="D11" t="s">
        <v>73</v>
      </c>
      <c r="F11">
        <v>0.35758400000000001</v>
      </c>
      <c r="G11">
        <v>0.36509399999999997</v>
      </c>
      <c r="H11">
        <v>0.35265400000000002</v>
      </c>
      <c r="I11">
        <v>0.34729500000000002</v>
      </c>
      <c r="J11">
        <v>0.34571800000000003</v>
      </c>
      <c r="K11">
        <v>0.345503</v>
      </c>
      <c r="L11">
        <v>0.34528999999999999</v>
      </c>
      <c r="M11">
        <v>0.342499</v>
      </c>
      <c r="N11">
        <v>0.33729500000000001</v>
      </c>
      <c r="O11">
        <v>0.33283800000000002</v>
      </c>
      <c r="P11">
        <v>0.32823400000000003</v>
      </c>
      <c r="Q11">
        <v>0.323965</v>
      </c>
      <c r="R11">
        <v>0.31938100000000003</v>
      </c>
      <c r="S11">
        <v>0.31522099999999997</v>
      </c>
      <c r="T11">
        <v>0.31101800000000002</v>
      </c>
      <c r="U11">
        <v>0.306564</v>
      </c>
      <c r="V11">
        <v>0.30218200000000001</v>
      </c>
      <c r="W11">
        <v>0.29809999999999998</v>
      </c>
      <c r="X11">
        <v>0.294377</v>
      </c>
      <c r="Y11">
        <v>0.29094999999999999</v>
      </c>
      <c r="Z11">
        <v>0.28853600000000001</v>
      </c>
      <c r="AA11">
        <v>0.28493499999999999</v>
      </c>
      <c r="AB11">
        <v>0.28137699999999999</v>
      </c>
      <c r="AC11">
        <v>0.27769199999999999</v>
      </c>
      <c r="AD11">
        <v>0.273872</v>
      </c>
      <c r="AE11">
        <v>0.27057199999999998</v>
      </c>
      <c r="AF11">
        <v>0.26805000000000001</v>
      </c>
      <c r="AG11" s="31">
        <v>-1.0999999999999999E-2</v>
      </c>
    </row>
    <row r="12" spans="1:33" x14ac:dyDescent="0.25">
      <c r="A12" t="s">
        <v>86</v>
      </c>
      <c r="B12" t="s">
        <v>87</v>
      </c>
      <c r="C12" t="s">
        <v>88</v>
      </c>
      <c r="D12" t="s">
        <v>73</v>
      </c>
      <c r="F12">
        <v>5.0973949999999997</v>
      </c>
      <c r="G12">
        <v>5.0153499999999998</v>
      </c>
      <c r="H12">
        <v>5.0563089999999997</v>
      </c>
      <c r="I12">
        <v>5.1038269999999999</v>
      </c>
      <c r="J12">
        <v>5.1289210000000001</v>
      </c>
      <c r="K12">
        <v>5.1203729999999998</v>
      </c>
      <c r="L12">
        <v>5.0907850000000003</v>
      </c>
      <c r="M12">
        <v>5.0511239999999997</v>
      </c>
      <c r="N12">
        <v>5.0159099999999999</v>
      </c>
      <c r="O12">
        <v>4.9880019999999998</v>
      </c>
      <c r="P12">
        <v>4.9690659999999998</v>
      </c>
      <c r="Q12">
        <v>4.9705260000000004</v>
      </c>
      <c r="R12">
        <v>4.9866859999999997</v>
      </c>
      <c r="S12">
        <v>5.0111809999999997</v>
      </c>
      <c r="T12">
        <v>5.0332590000000001</v>
      </c>
      <c r="U12">
        <v>5.0600300000000002</v>
      </c>
      <c r="V12">
        <v>5.0864979999999997</v>
      </c>
      <c r="W12">
        <v>5.113048</v>
      </c>
      <c r="X12">
        <v>5.1415410000000001</v>
      </c>
      <c r="Y12">
        <v>5.1727650000000001</v>
      </c>
      <c r="Z12">
        <v>5.2034469999999997</v>
      </c>
      <c r="AA12">
        <v>5.2331009999999996</v>
      </c>
      <c r="AB12">
        <v>5.2620909999999999</v>
      </c>
      <c r="AC12">
        <v>5.2905920000000002</v>
      </c>
      <c r="AD12">
        <v>5.3189729999999997</v>
      </c>
      <c r="AE12">
        <v>5.3488090000000001</v>
      </c>
      <c r="AF12">
        <v>5.3785470000000002</v>
      </c>
      <c r="AG12" s="31">
        <v>2E-3</v>
      </c>
    </row>
    <row r="13" spans="1:33" x14ac:dyDescent="0.25">
      <c r="A13" t="s">
        <v>89</v>
      </c>
      <c r="B13" t="s">
        <v>90</v>
      </c>
      <c r="C13" t="s">
        <v>91</v>
      </c>
      <c r="D13" t="s">
        <v>73</v>
      </c>
      <c r="F13">
        <v>10.949878999999999</v>
      </c>
      <c r="G13">
        <v>11.302598</v>
      </c>
      <c r="H13">
        <v>11.354626</v>
      </c>
      <c r="I13">
        <v>11.403802000000001</v>
      </c>
      <c r="J13">
        <v>11.423075000000001</v>
      </c>
      <c r="K13">
        <v>11.385574</v>
      </c>
      <c r="L13">
        <v>11.318735999999999</v>
      </c>
      <c r="M13">
        <v>11.22856</v>
      </c>
      <c r="N13">
        <v>11.127291</v>
      </c>
      <c r="O13">
        <v>11.042070000000001</v>
      </c>
      <c r="P13">
        <v>10.96608</v>
      </c>
      <c r="Q13">
        <v>10.921979</v>
      </c>
      <c r="R13">
        <v>10.900274</v>
      </c>
      <c r="S13">
        <v>10.892181000000001</v>
      </c>
      <c r="T13">
        <v>10.883274</v>
      </c>
      <c r="U13">
        <v>10.880388999999999</v>
      </c>
      <c r="V13">
        <v>10.875284000000001</v>
      </c>
      <c r="W13">
        <v>10.865099000000001</v>
      </c>
      <c r="X13">
        <v>10.855191</v>
      </c>
      <c r="Y13">
        <v>10.847352000000001</v>
      </c>
      <c r="Z13">
        <v>10.841246999999999</v>
      </c>
      <c r="AA13">
        <v>10.835243999999999</v>
      </c>
      <c r="AB13">
        <v>10.828792</v>
      </c>
      <c r="AC13">
        <v>10.82283</v>
      </c>
      <c r="AD13">
        <v>10.818232999999999</v>
      </c>
      <c r="AE13">
        <v>10.816129999999999</v>
      </c>
      <c r="AF13">
        <v>10.814168</v>
      </c>
      <c r="AG13" s="31">
        <v>0</v>
      </c>
    </row>
    <row r="14" spans="1:33" x14ac:dyDescent="0.25">
      <c r="A14" t="s">
        <v>92</v>
      </c>
      <c r="B14" t="s">
        <v>93</v>
      </c>
      <c r="C14" t="s">
        <v>94</v>
      </c>
      <c r="D14" t="s">
        <v>73</v>
      </c>
      <c r="F14">
        <v>7.2451470000000002</v>
      </c>
      <c r="G14">
        <v>6.9122009999999996</v>
      </c>
      <c r="H14">
        <v>6.553731</v>
      </c>
      <c r="I14">
        <v>6.3626110000000002</v>
      </c>
      <c r="J14">
        <v>6.252065</v>
      </c>
      <c r="K14">
        <v>6.1319800000000004</v>
      </c>
      <c r="L14">
        <v>5.8515509999999997</v>
      </c>
      <c r="M14">
        <v>5.6203079999999996</v>
      </c>
      <c r="N14">
        <v>5.2200709999999999</v>
      </c>
      <c r="O14">
        <v>5.0221</v>
      </c>
      <c r="P14">
        <v>4.8221249999999998</v>
      </c>
      <c r="Q14">
        <v>4.6117929999999996</v>
      </c>
      <c r="R14">
        <v>4.4298359999999999</v>
      </c>
      <c r="S14">
        <v>4.219049</v>
      </c>
      <c r="T14">
        <v>4.1036109999999999</v>
      </c>
      <c r="U14">
        <v>3.8784830000000001</v>
      </c>
      <c r="V14">
        <v>3.8286739999999999</v>
      </c>
      <c r="W14">
        <v>3.8400029999999998</v>
      </c>
      <c r="X14">
        <v>3.8532760000000001</v>
      </c>
      <c r="Y14">
        <v>3.8497479999999999</v>
      </c>
      <c r="Z14">
        <v>3.852274</v>
      </c>
      <c r="AA14">
        <v>3.8311649999999999</v>
      </c>
      <c r="AB14">
        <v>3.808954</v>
      </c>
      <c r="AC14">
        <v>3.7996810000000001</v>
      </c>
      <c r="AD14">
        <v>3.8008649999999999</v>
      </c>
      <c r="AE14">
        <v>3.8104849999999999</v>
      </c>
      <c r="AF14">
        <v>3.790734</v>
      </c>
      <c r="AG14" s="31">
        <v>-2.5000000000000001E-2</v>
      </c>
    </row>
    <row r="15" spans="1:33" x14ac:dyDescent="0.25">
      <c r="A15" t="s">
        <v>95</v>
      </c>
      <c r="B15" t="s">
        <v>96</v>
      </c>
      <c r="C15" t="s">
        <v>97</v>
      </c>
      <c r="D15" t="s">
        <v>73</v>
      </c>
      <c r="F15">
        <v>18.195025999999999</v>
      </c>
      <c r="G15">
        <v>18.2148</v>
      </c>
      <c r="H15">
        <v>17.908356000000001</v>
      </c>
      <c r="I15">
        <v>17.766413</v>
      </c>
      <c r="J15">
        <v>17.675139999999999</v>
      </c>
      <c r="K15">
        <v>17.517555000000002</v>
      </c>
      <c r="L15">
        <v>17.170286000000001</v>
      </c>
      <c r="M15">
        <v>16.848869000000001</v>
      </c>
      <c r="N15">
        <v>16.347363000000001</v>
      </c>
      <c r="O15">
        <v>16.064171000000002</v>
      </c>
      <c r="P15">
        <v>15.788204</v>
      </c>
      <c r="Q15">
        <v>15.533772000000001</v>
      </c>
      <c r="R15">
        <v>15.330111</v>
      </c>
      <c r="S15">
        <v>15.111231</v>
      </c>
      <c r="T15">
        <v>14.986884999999999</v>
      </c>
      <c r="U15">
        <v>14.758872</v>
      </c>
      <c r="V15">
        <v>14.703958</v>
      </c>
      <c r="W15">
        <v>14.705102</v>
      </c>
      <c r="X15">
        <v>14.708467000000001</v>
      </c>
      <c r="Y15">
        <v>14.697100000000001</v>
      </c>
      <c r="Z15">
        <v>14.693521</v>
      </c>
      <c r="AA15">
        <v>14.666409</v>
      </c>
      <c r="AB15">
        <v>14.637746</v>
      </c>
      <c r="AC15">
        <v>14.622510999999999</v>
      </c>
      <c r="AD15">
        <v>14.619099</v>
      </c>
      <c r="AE15">
        <v>14.626616</v>
      </c>
      <c r="AF15">
        <v>14.604901999999999</v>
      </c>
      <c r="AG15" s="31">
        <v>-8.0000000000000002E-3</v>
      </c>
    </row>
    <row r="16" spans="1:33" x14ac:dyDescent="0.25">
      <c r="A16" t="s">
        <v>98</v>
      </c>
    </row>
    <row r="17" spans="1:33" x14ac:dyDescent="0.25">
      <c r="A17" t="s">
        <v>70</v>
      </c>
      <c r="B17" t="s">
        <v>99</v>
      </c>
      <c r="C17" t="s">
        <v>100</v>
      </c>
      <c r="D17" t="s">
        <v>73</v>
      </c>
      <c r="F17">
        <v>0.20352700000000001</v>
      </c>
      <c r="G17">
        <v>0.207036</v>
      </c>
      <c r="H17">
        <v>0.21118899999999999</v>
      </c>
      <c r="I17">
        <v>0.21576000000000001</v>
      </c>
      <c r="J17">
        <v>0.220555</v>
      </c>
      <c r="K17">
        <v>0.22461800000000001</v>
      </c>
      <c r="L17">
        <v>0.228576</v>
      </c>
      <c r="M17">
        <v>0.232463</v>
      </c>
      <c r="N17">
        <v>0.23636499999999999</v>
      </c>
      <c r="O17">
        <v>0.24030499999999999</v>
      </c>
      <c r="P17">
        <v>0.24426300000000001</v>
      </c>
      <c r="Q17">
        <v>0.24820300000000001</v>
      </c>
      <c r="R17">
        <v>0.252085</v>
      </c>
      <c r="S17">
        <v>0.255888</v>
      </c>
      <c r="T17">
        <v>0.25962000000000002</v>
      </c>
      <c r="U17">
        <v>0.26329200000000003</v>
      </c>
      <c r="V17">
        <v>0.26691700000000002</v>
      </c>
      <c r="W17">
        <v>0.27050800000000003</v>
      </c>
      <c r="X17">
        <v>0.27407399999999998</v>
      </c>
      <c r="Y17">
        <v>0.27762300000000001</v>
      </c>
      <c r="Z17">
        <v>0.281163</v>
      </c>
      <c r="AA17">
        <v>0.28470499999999999</v>
      </c>
      <c r="AB17">
        <v>0.28825400000000001</v>
      </c>
      <c r="AC17">
        <v>0.29182000000000002</v>
      </c>
      <c r="AD17">
        <v>0.295404</v>
      </c>
      <c r="AE17">
        <v>0.29900900000000002</v>
      </c>
      <c r="AF17">
        <v>0.30263499999999999</v>
      </c>
      <c r="AG17" s="31">
        <v>1.4999999999999999E-2</v>
      </c>
    </row>
    <row r="18" spans="1:33" x14ac:dyDescent="0.25">
      <c r="A18" t="s">
        <v>101</v>
      </c>
      <c r="B18" t="s">
        <v>102</v>
      </c>
      <c r="C18" t="s">
        <v>103</v>
      </c>
      <c r="D18" t="s">
        <v>73</v>
      </c>
      <c r="F18">
        <v>0.43311500000000003</v>
      </c>
      <c r="G18">
        <v>0.43885800000000003</v>
      </c>
      <c r="H18">
        <v>0.445824</v>
      </c>
      <c r="I18">
        <v>0.45365899999999998</v>
      </c>
      <c r="J18">
        <v>0.46195999999999998</v>
      </c>
      <c r="K18">
        <v>0.47047699999999998</v>
      </c>
      <c r="L18">
        <v>0.47877799999999998</v>
      </c>
      <c r="M18">
        <v>0.48693399999999998</v>
      </c>
      <c r="N18">
        <v>0.49512099999999998</v>
      </c>
      <c r="O18">
        <v>0.50339100000000003</v>
      </c>
      <c r="P18">
        <v>0.51170000000000004</v>
      </c>
      <c r="Q18">
        <v>0.51997400000000005</v>
      </c>
      <c r="R18">
        <v>0.52812999999999999</v>
      </c>
      <c r="S18">
        <v>0.53612499999999996</v>
      </c>
      <c r="T18">
        <v>0.54397200000000001</v>
      </c>
      <c r="U18">
        <v>0.55169599999999996</v>
      </c>
      <c r="V18">
        <v>0.55932499999999996</v>
      </c>
      <c r="W18">
        <v>0.566886</v>
      </c>
      <c r="X18">
        <v>0.57439700000000005</v>
      </c>
      <c r="Y18">
        <v>0.58187299999999997</v>
      </c>
      <c r="Z18">
        <v>0.589333</v>
      </c>
      <c r="AA18">
        <v>0.59679800000000005</v>
      </c>
      <c r="AB18">
        <v>0.60428199999999999</v>
      </c>
      <c r="AC18">
        <v>0.61180000000000001</v>
      </c>
      <c r="AD18">
        <v>0.61935899999999999</v>
      </c>
      <c r="AE18">
        <v>0.62696399999999997</v>
      </c>
      <c r="AF18">
        <v>0.63461299999999998</v>
      </c>
      <c r="AG18" s="31">
        <v>1.4999999999999999E-2</v>
      </c>
    </row>
    <row r="19" spans="1:33" x14ac:dyDescent="0.25">
      <c r="A19" t="s">
        <v>104</v>
      </c>
      <c r="B19" t="s">
        <v>105</v>
      </c>
      <c r="C19" t="s">
        <v>106</v>
      </c>
      <c r="D19" t="s">
        <v>73</v>
      </c>
      <c r="F19">
        <v>2.101E-3</v>
      </c>
      <c r="G19">
        <v>1.663E-3</v>
      </c>
      <c r="H19">
        <v>3.0829999999999998E-3</v>
      </c>
      <c r="I19">
        <v>3.0999999999999999E-3</v>
      </c>
      <c r="J19">
        <v>2.96E-3</v>
      </c>
      <c r="K19">
        <v>2.4970000000000001E-3</v>
      </c>
      <c r="L19">
        <v>2.1050000000000001E-3</v>
      </c>
      <c r="M19">
        <v>2.0330000000000001E-3</v>
      </c>
      <c r="N19">
        <v>2.065E-3</v>
      </c>
      <c r="O19">
        <v>1.89E-3</v>
      </c>
      <c r="P19">
        <v>1.818E-3</v>
      </c>
      <c r="Q19">
        <v>1.7060000000000001E-3</v>
      </c>
      <c r="R19">
        <v>1.673E-3</v>
      </c>
      <c r="S19">
        <v>1.536E-3</v>
      </c>
      <c r="T19">
        <v>1.4300000000000001E-3</v>
      </c>
      <c r="U19">
        <v>1.377E-3</v>
      </c>
      <c r="V19">
        <v>1.2750000000000001E-3</v>
      </c>
      <c r="W19">
        <v>1.142E-3</v>
      </c>
      <c r="X19">
        <v>1.0250000000000001E-3</v>
      </c>
      <c r="Y19">
        <v>8.8800000000000001E-4</v>
      </c>
      <c r="Z19">
        <v>6.8800000000000003E-4</v>
      </c>
      <c r="AA19">
        <v>7.0699999999999995E-4</v>
      </c>
      <c r="AB19">
        <v>6.7299999999999999E-4</v>
      </c>
      <c r="AC19">
        <v>6.6200000000000005E-4</v>
      </c>
      <c r="AD19">
        <v>6.7000000000000002E-4</v>
      </c>
      <c r="AE19">
        <v>6.4899999999999995E-4</v>
      </c>
      <c r="AF19">
        <v>6.0999999999999997E-4</v>
      </c>
      <c r="AG19" s="31">
        <v>-4.5999999999999999E-2</v>
      </c>
    </row>
    <row r="20" spans="1:33" x14ac:dyDescent="0.25">
      <c r="A20" t="s">
        <v>74</v>
      </c>
      <c r="B20" t="s">
        <v>107</v>
      </c>
      <c r="C20" t="s">
        <v>108</v>
      </c>
      <c r="D20" t="s">
        <v>73</v>
      </c>
      <c r="F20">
        <v>0.308284</v>
      </c>
      <c r="G20">
        <v>0.31653100000000001</v>
      </c>
      <c r="H20">
        <v>0.32009100000000001</v>
      </c>
      <c r="I20">
        <v>0.322023</v>
      </c>
      <c r="J20">
        <v>0.32281300000000002</v>
      </c>
      <c r="K20">
        <v>0.32287100000000002</v>
      </c>
      <c r="L20">
        <v>0.32285000000000003</v>
      </c>
      <c r="M20">
        <v>0.32228200000000001</v>
      </c>
      <c r="N20">
        <v>0.32166</v>
      </c>
      <c r="O20">
        <v>0.32047900000000001</v>
      </c>
      <c r="P20">
        <v>0.31917800000000002</v>
      </c>
      <c r="Q20">
        <v>0.317716</v>
      </c>
      <c r="R20">
        <v>0.31651099999999999</v>
      </c>
      <c r="S20">
        <v>0.31507499999999999</v>
      </c>
      <c r="T20">
        <v>0.313805</v>
      </c>
      <c r="U20">
        <v>0.31265199999999999</v>
      </c>
      <c r="V20">
        <v>0.31139600000000001</v>
      </c>
      <c r="W20">
        <v>0.31006899999999998</v>
      </c>
      <c r="X20">
        <v>0.30861</v>
      </c>
      <c r="Y20">
        <v>0.30712600000000001</v>
      </c>
      <c r="Z20">
        <v>0.30511100000000002</v>
      </c>
      <c r="AA20">
        <v>0.30393100000000001</v>
      </c>
      <c r="AB20">
        <v>0.30281200000000003</v>
      </c>
      <c r="AC20">
        <v>0.30214400000000002</v>
      </c>
      <c r="AD20">
        <v>0.30171900000000001</v>
      </c>
      <c r="AE20">
        <v>0.30105999999999999</v>
      </c>
      <c r="AF20">
        <v>0.30013000000000001</v>
      </c>
      <c r="AG20" s="31">
        <v>-1E-3</v>
      </c>
    </row>
    <row r="21" spans="1:33" x14ac:dyDescent="0.25">
      <c r="A21" t="s">
        <v>109</v>
      </c>
      <c r="B21" t="s">
        <v>110</v>
      </c>
      <c r="C21" t="s">
        <v>111</v>
      </c>
      <c r="D21" t="s">
        <v>73</v>
      </c>
      <c r="F21">
        <v>2.5500000000000002E-3</v>
      </c>
      <c r="G21">
        <v>9.859999999999999E-4</v>
      </c>
      <c r="H21">
        <v>9.859999999999999E-4</v>
      </c>
      <c r="I21">
        <v>1.0560000000000001E-3</v>
      </c>
      <c r="J21">
        <v>1.132E-3</v>
      </c>
      <c r="K21">
        <v>1.157E-3</v>
      </c>
      <c r="L21">
        <v>1.1800000000000001E-3</v>
      </c>
      <c r="M21">
        <v>1.204E-3</v>
      </c>
      <c r="N21">
        <v>1.227E-3</v>
      </c>
      <c r="O21">
        <v>1.2509999999999999E-3</v>
      </c>
      <c r="P21">
        <v>1.274E-3</v>
      </c>
      <c r="Q21">
        <v>1.2979999999999999E-3</v>
      </c>
      <c r="R21">
        <v>1.3209999999999999E-3</v>
      </c>
      <c r="S21">
        <v>1.343E-3</v>
      </c>
      <c r="T21">
        <v>1.3649999999999999E-3</v>
      </c>
      <c r="U21">
        <v>1.3860000000000001E-3</v>
      </c>
      <c r="V21">
        <v>1.407E-3</v>
      </c>
      <c r="W21">
        <v>1.4270000000000001E-3</v>
      </c>
      <c r="X21">
        <v>1.4469999999999999E-3</v>
      </c>
      <c r="Y21">
        <v>1.467E-3</v>
      </c>
      <c r="Z21">
        <v>1.487E-3</v>
      </c>
      <c r="AA21">
        <v>1.5070000000000001E-3</v>
      </c>
      <c r="AB21">
        <v>1.5269999999999999E-3</v>
      </c>
      <c r="AC21">
        <v>1.5460000000000001E-3</v>
      </c>
      <c r="AD21">
        <v>1.5659999999999999E-3</v>
      </c>
      <c r="AE21">
        <v>1.586E-3</v>
      </c>
      <c r="AF21">
        <v>1.606E-3</v>
      </c>
      <c r="AG21" s="31">
        <v>-1.7999999999999999E-2</v>
      </c>
    </row>
    <row r="22" spans="1:33" x14ac:dyDescent="0.25">
      <c r="A22" t="s">
        <v>77</v>
      </c>
      <c r="B22" t="s">
        <v>112</v>
      </c>
      <c r="C22" t="s">
        <v>113</v>
      </c>
      <c r="D22" t="s">
        <v>73</v>
      </c>
      <c r="F22">
        <v>0.94957800000000003</v>
      </c>
      <c r="G22">
        <v>0.96507399999999999</v>
      </c>
      <c r="H22">
        <v>0.98117299999999996</v>
      </c>
      <c r="I22">
        <v>0.99559799999999998</v>
      </c>
      <c r="J22">
        <v>1.0094190000000001</v>
      </c>
      <c r="K22">
        <v>1.02162</v>
      </c>
      <c r="L22">
        <v>1.0334890000000001</v>
      </c>
      <c r="M22">
        <v>1.044916</v>
      </c>
      <c r="N22">
        <v>1.056438</v>
      </c>
      <c r="O22">
        <v>1.0673159999999999</v>
      </c>
      <c r="P22">
        <v>1.0782339999999999</v>
      </c>
      <c r="Q22">
        <v>1.0888960000000001</v>
      </c>
      <c r="R22">
        <v>1.0997189999999999</v>
      </c>
      <c r="S22">
        <v>1.1099669999999999</v>
      </c>
      <c r="T22">
        <v>1.1201920000000001</v>
      </c>
      <c r="U22">
        <v>1.1304019999999999</v>
      </c>
      <c r="V22">
        <v>1.1403190000000001</v>
      </c>
      <c r="W22">
        <v>1.1500330000000001</v>
      </c>
      <c r="X22">
        <v>1.1595530000000001</v>
      </c>
      <c r="Y22">
        <v>1.1689769999999999</v>
      </c>
      <c r="Z22">
        <v>1.177783</v>
      </c>
      <c r="AA22">
        <v>1.187648</v>
      </c>
      <c r="AB22">
        <v>1.1975480000000001</v>
      </c>
      <c r="AC22">
        <v>1.207972</v>
      </c>
      <c r="AD22">
        <v>1.218718</v>
      </c>
      <c r="AE22">
        <v>1.229268</v>
      </c>
      <c r="AF22">
        <v>1.2395940000000001</v>
      </c>
      <c r="AG22" s="31">
        <v>0.01</v>
      </c>
    </row>
    <row r="23" spans="1:33" x14ac:dyDescent="0.25">
      <c r="A23" t="s">
        <v>80</v>
      </c>
      <c r="B23" t="s">
        <v>114</v>
      </c>
      <c r="C23" t="s">
        <v>115</v>
      </c>
      <c r="D23" t="s">
        <v>73</v>
      </c>
      <c r="F23">
        <v>3.426704</v>
      </c>
      <c r="G23">
        <v>3.6111780000000002</v>
      </c>
      <c r="H23">
        <v>3.645448</v>
      </c>
      <c r="I23">
        <v>3.6524359999999998</v>
      </c>
      <c r="J23">
        <v>3.6438869999999999</v>
      </c>
      <c r="K23">
        <v>3.6439720000000002</v>
      </c>
      <c r="L23">
        <v>3.6367579999999999</v>
      </c>
      <c r="M23">
        <v>3.632056</v>
      </c>
      <c r="N23">
        <v>3.6185269999999998</v>
      </c>
      <c r="O23">
        <v>3.6024530000000001</v>
      </c>
      <c r="P23">
        <v>3.5903450000000001</v>
      </c>
      <c r="Q23">
        <v>3.5876600000000001</v>
      </c>
      <c r="R23">
        <v>3.5944940000000001</v>
      </c>
      <c r="S23">
        <v>3.6066060000000002</v>
      </c>
      <c r="T23">
        <v>3.6202920000000001</v>
      </c>
      <c r="U23">
        <v>3.6363379999999998</v>
      </c>
      <c r="V23">
        <v>3.64947</v>
      </c>
      <c r="W23">
        <v>3.6574110000000002</v>
      </c>
      <c r="X23">
        <v>3.6625070000000002</v>
      </c>
      <c r="Y23">
        <v>3.6661109999999999</v>
      </c>
      <c r="Z23">
        <v>3.6724770000000002</v>
      </c>
      <c r="AA23">
        <v>3.67936</v>
      </c>
      <c r="AB23">
        <v>3.6838069999999998</v>
      </c>
      <c r="AC23">
        <v>3.6905290000000002</v>
      </c>
      <c r="AD23">
        <v>3.6991930000000002</v>
      </c>
      <c r="AE23">
        <v>3.706769</v>
      </c>
      <c r="AF23">
        <v>3.7131810000000001</v>
      </c>
      <c r="AG23" s="31">
        <v>3.0000000000000001E-3</v>
      </c>
    </row>
    <row r="24" spans="1:33" x14ac:dyDescent="0.25">
      <c r="A24" t="s">
        <v>116</v>
      </c>
      <c r="B24" t="s">
        <v>117</v>
      </c>
      <c r="C24" t="s">
        <v>118</v>
      </c>
      <c r="D24" t="s">
        <v>73</v>
      </c>
      <c r="F24">
        <v>1.2118E-2</v>
      </c>
      <c r="G24">
        <v>1.2670000000000001E-2</v>
      </c>
      <c r="H24">
        <v>1.6739E-2</v>
      </c>
      <c r="I24">
        <v>1.7260999999999999E-2</v>
      </c>
      <c r="J24">
        <v>1.8487E-2</v>
      </c>
      <c r="K24">
        <v>1.7757999999999999E-2</v>
      </c>
      <c r="L24">
        <v>1.8492999999999999E-2</v>
      </c>
      <c r="M24">
        <v>1.9202E-2</v>
      </c>
      <c r="N24">
        <v>2.0131E-2</v>
      </c>
      <c r="O24">
        <v>2.0423E-2</v>
      </c>
      <c r="P24">
        <v>2.1233999999999999E-2</v>
      </c>
      <c r="Q24">
        <v>2.1901E-2</v>
      </c>
      <c r="R24">
        <v>2.2010999999999999E-2</v>
      </c>
      <c r="S24">
        <v>2.2176000000000001E-2</v>
      </c>
      <c r="T24">
        <v>2.1845E-2</v>
      </c>
      <c r="U24">
        <v>2.2261E-2</v>
      </c>
      <c r="V24">
        <v>2.2491000000000001E-2</v>
      </c>
      <c r="W24">
        <v>2.2289E-2</v>
      </c>
      <c r="X24">
        <v>2.2297999999999998E-2</v>
      </c>
      <c r="Y24">
        <v>2.2141000000000001E-2</v>
      </c>
      <c r="Z24">
        <v>2.1982999999999999E-2</v>
      </c>
      <c r="AA24">
        <v>2.1867999999999999E-2</v>
      </c>
      <c r="AB24">
        <v>2.1568E-2</v>
      </c>
      <c r="AC24">
        <v>2.1554E-2</v>
      </c>
      <c r="AD24">
        <v>2.1545000000000002E-2</v>
      </c>
      <c r="AE24">
        <v>2.1557E-2</v>
      </c>
      <c r="AF24">
        <v>2.1255E-2</v>
      </c>
      <c r="AG24" s="31">
        <v>2.1999999999999999E-2</v>
      </c>
    </row>
    <row r="25" spans="1:33" x14ac:dyDescent="0.25">
      <c r="A25" t="s">
        <v>83</v>
      </c>
      <c r="B25" t="s">
        <v>119</v>
      </c>
      <c r="C25" t="s">
        <v>120</v>
      </c>
      <c r="D25" t="s">
        <v>73</v>
      </c>
      <c r="F25">
        <v>0.15810399999999999</v>
      </c>
      <c r="G25">
        <v>0.15810399999999999</v>
      </c>
      <c r="H25">
        <v>0.15810399999999999</v>
      </c>
      <c r="I25">
        <v>0.15810399999999999</v>
      </c>
      <c r="J25">
        <v>0.15810399999999999</v>
      </c>
      <c r="K25">
        <v>0.15810399999999999</v>
      </c>
      <c r="L25">
        <v>0.15810399999999999</v>
      </c>
      <c r="M25">
        <v>0.15810399999999999</v>
      </c>
      <c r="N25">
        <v>0.15810399999999999</v>
      </c>
      <c r="O25">
        <v>0.15810399999999999</v>
      </c>
      <c r="P25">
        <v>0.15810399999999999</v>
      </c>
      <c r="Q25">
        <v>0.15810399999999999</v>
      </c>
      <c r="R25">
        <v>0.15810399999999999</v>
      </c>
      <c r="S25">
        <v>0.15810399999999999</v>
      </c>
      <c r="T25">
        <v>0.15810399999999999</v>
      </c>
      <c r="U25">
        <v>0.15810399999999999</v>
      </c>
      <c r="V25">
        <v>0.15810399999999999</v>
      </c>
      <c r="W25">
        <v>0.15810399999999999</v>
      </c>
      <c r="X25">
        <v>0.15810399999999999</v>
      </c>
      <c r="Y25">
        <v>0.15810399999999999</v>
      </c>
      <c r="Z25">
        <v>0.15810399999999999</v>
      </c>
      <c r="AA25">
        <v>0.15810399999999999</v>
      </c>
      <c r="AB25">
        <v>0.15810399999999999</v>
      </c>
      <c r="AC25">
        <v>0.15810399999999999</v>
      </c>
      <c r="AD25">
        <v>0.15810399999999999</v>
      </c>
      <c r="AE25">
        <v>0.15810399999999999</v>
      </c>
      <c r="AF25">
        <v>0.15810399999999999</v>
      </c>
      <c r="AG25" s="31">
        <v>0</v>
      </c>
    </row>
    <row r="26" spans="1:33" x14ac:dyDescent="0.25">
      <c r="A26" t="s">
        <v>121</v>
      </c>
      <c r="B26" t="s">
        <v>122</v>
      </c>
      <c r="C26" t="s">
        <v>123</v>
      </c>
      <c r="D26" t="s">
        <v>73</v>
      </c>
      <c r="F26">
        <v>4.7493379999999998</v>
      </c>
      <c r="G26">
        <v>4.8217499999999998</v>
      </c>
      <c r="H26">
        <v>4.7823409999999997</v>
      </c>
      <c r="I26">
        <v>4.8266179999999999</v>
      </c>
      <c r="J26">
        <v>4.8610980000000001</v>
      </c>
      <c r="K26">
        <v>4.9273340000000001</v>
      </c>
      <c r="L26">
        <v>4.9671339999999997</v>
      </c>
      <c r="M26">
        <v>5.0036860000000001</v>
      </c>
      <c r="N26">
        <v>5.0454720000000002</v>
      </c>
      <c r="O26">
        <v>5.0842229999999997</v>
      </c>
      <c r="P26">
        <v>5.135777</v>
      </c>
      <c r="Q26">
        <v>5.2029759999999996</v>
      </c>
      <c r="R26">
        <v>5.2810090000000001</v>
      </c>
      <c r="S26">
        <v>5.3637100000000002</v>
      </c>
      <c r="T26">
        <v>5.4409229999999997</v>
      </c>
      <c r="U26">
        <v>5.5250649999999997</v>
      </c>
      <c r="V26">
        <v>5.609845</v>
      </c>
      <c r="W26">
        <v>5.6957570000000004</v>
      </c>
      <c r="X26">
        <v>5.78301</v>
      </c>
      <c r="Y26">
        <v>5.8726919999999998</v>
      </c>
      <c r="Z26">
        <v>5.9649359999999998</v>
      </c>
      <c r="AA26">
        <v>6.0587929999999997</v>
      </c>
      <c r="AB26">
        <v>6.1554279999999997</v>
      </c>
      <c r="AC26">
        <v>6.2532180000000004</v>
      </c>
      <c r="AD26">
        <v>6.3540169999999998</v>
      </c>
      <c r="AE26">
        <v>6.4577470000000003</v>
      </c>
      <c r="AF26">
        <v>6.5644989999999996</v>
      </c>
      <c r="AG26" s="31">
        <v>1.2999999999999999E-2</v>
      </c>
    </row>
    <row r="27" spans="1:33" x14ac:dyDescent="0.25">
      <c r="A27" t="s">
        <v>89</v>
      </c>
      <c r="B27" t="s">
        <v>124</v>
      </c>
      <c r="C27" t="s">
        <v>125</v>
      </c>
      <c r="D27" t="s">
        <v>73</v>
      </c>
      <c r="F27">
        <v>9.2958420000000004</v>
      </c>
      <c r="G27">
        <v>9.568778</v>
      </c>
      <c r="H27">
        <v>9.5838040000000007</v>
      </c>
      <c r="I27">
        <v>9.6500170000000001</v>
      </c>
      <c r="J27">
        <v>9.6909930000000006</v>
      </c>
      <c r="K27">
        <v>9.7687869999999997</v>
      </c>
      <c r="L27">
        <v>9.8139769999999995</v>
      </c>
      <c r="M27">
        <v>9.8579640000000008</v>
      </c>
      <c r="N27">
        <v>9.8986719999999995</v>
      </c>
      <c r="O27">
        <v>9.932518</v>
      </c>
      <c r="P27">
        <v>9.9836919999999996</v>
      </c>
      <c r="Q27">
        <v>10.059537000000001</v>
      </c>
      <c r="R27">
        <v>10.155336999999999</v>
      </c>
      <c r="S27">
        <v>10.260562999999999</v>
      </c>
      <c r="T27">
        <v>10.361356000000001</v>
      </c>
      <c r="U27">
        <v>10.472172</v>
      </c>
      <c r="V27">
        <v>10.58023</v>
      </c>
      <c r="W27">
        <v>10.683596</v>
      </c>
      <c r="X27">
        <v>10.785473</v>
      </c>
      <c r="Y27">
        <v>10.888024</v>
      </c>
      <c r="Z27">
        <v>10.995282</v>
      </c>
      <c r="AA27">
        <v>11.105772</v>
      </c>
      <c r="AB27">
        <v>11.216454000000001</v>
      </c>
      <c r="AC27">
        <v>11.331375</v>
      </c>
      <c r="AD27">
        <v>11.451575</v>
      </c>
      <c r="AE27">
        <v>11.573444</v>
      </c>
      <c r="AF27">
        <v>11.696633</v>
      </c>
      <c r="AG27" s="31">
        <v>8.9999999999999993E-3</v>
      </c>
    </row>
    <row r="28" spans="1:33" x14ac:dyDescent="0.25">
      <c r="A28" t="s">
        <v>92</v>
      </c>
      <c r="B28" t="s">
        <v>126</v>
      </c>
      <c r="C28" t="s">
        <v>127</v>
      </c>
      <c r="D28" t="s">
        <v>73</v>
      </c>
      <c r="F28">
        <v>6.7504390000000001</v>
      </c>
      <c r="G28">
        <v>6.6453800000000003</v>
      </c>
      <c r="H28">
        <v>6.1986270000000001</v>
      </c>
      <c r="I28">
        <v>6.0170329999999996</v>
      </c>
      <c r="J28">
        <v>5.9255940000000002</v>
      </c>
      <c r="K28">
        <v>5.9008029999999998</v>
      </c>
      <c r="L28">
        <v>5.709422</v>
      </c>
      <c r="M28">
        <v>5.5675249999999998</v>
      </c>
      <c r="N28">
        <v>5.2508359999999996</v>
      </c>
      <c r="O28">
        <v>5.1189780000000003</v>
      </c>
      <c r="P28">
        <v>4.983905</v>
      </c>
      <c r="Q28">
        <v>4.8274670000000004</v>
      </c>
      <c r="R28">
        <v>4.6912919999999998</v>
      </c>
      <c r="S28">
        <v>4.5158519999999998</v>
      </c>
      <c r="T28">
        <v>4.4359799999999998</v>
      </c>
      <c r="U28">
        <v>4.2349309999999996</v>
      </c>
      <c r="V28">
        <v>4.2226030000000003</v>
      </c>
      <c r="W28">
        <v>4.2776290000000001</v>
      </c>
      <c r="X28">
        <v>4.3340189999999996</v>
      </c>
      <c r="Y28">
        <v>4.3706579999999997</v>
      </c>
      <c r="Z28">
        <v>4.416029</v>
      </c>
      <c r="AA28">
        <v>4.4356559999999998</v>
      </c>
      <c r="AB28">
        <v>4.4555949999999998</v>
      </c>
      <c r="AC28">
        <v>4.4910350000000001</v>
      </c>
      <c r="AD28">
        <v>4.5404939999999998</v>
      </c>
      <c r="AE28">
        <v>4.6004909999999999</v>
      </c>
      <c r="AF28">
        <v>4.6265780000000003</v>
      </c>
      <c r="AG28" s="31">
        <v>-1.4E-2</v>
      </c>
    </row>
    <row r="29" spans="1:33" x14ac:dyDescent="0.25">
      <c r="A29" t="s">
        <v>95</v>
      </c>
      <c r="B29" t="s">
        <v>128</v>
      </c>
      <c r="C29" t="s">
        <v>129</v>
      </c>
      <c r="D29" t="s">
        <v>73</v>
      </c>
      <c r="F29">
        <v>16.046282000000001</v>
      </c>
      <c r="G29">
        <v>16.214157</v>
      </c>
      <c r="H29">
        <v>15.782431000000001</v>
      </c>
      <c r="I29">
        <v>15.667049</v>
      </c>
      <c r="J29">
        <v>15.616587000000001</v>
      </c>
      <c r="K29">
        <v>15.669589999999999</v>
      </c>
      <c r="L29">
        <v>15.523399</v>
      </c>
      <c r="M29">
        <v>15.425488</v>
      </c>
      <c r="N29">
        <v>15.149508000000001</v>
      </c>
      <c r="O29">
        <v>15.051496</v>
      </c>
      <c r="P29">
        <v>14.967597</v>
      </c>
      <c r="Q29">
        <v>14.887005</v>
      </c>
      <c r="R29">
        <v>14.846629999999999</v>
      </c>
      <c r="S29">
        <v>14.776415</v>
      </c>
      <c r="T29">
        <v>14.797336</v>
      </c>
      <c r="U29">
        <v>14.707102000000001</v>
      </c>
      <c r="V29">
        <v>14.802834000000001</v>
      </c>
      <c r="W29">
        <v>14.961225000000001</v>
      </c>
      <c r="X29">
        <v>15.119491999999999</v>
      </c>
      <c r="Y29">
        <v>15.258682</v>
      </c>
      <c r="Z29">
        <v>15.411311</v>
      </c>
      <c r="AA29">
        <v>15.541428</v>
      </c>
      <c r="AB29">
        <v>15.672048999999999</v>
      </c>
      <c r="AC29">
        <v>15.82241</v>
      </c>
      <c r="AD29">
        <v>15.992069000000001</v>
      </c>
      <c r="AE29">
        <v>16.173935</v>
      </c>
      <c r="AF29">
        <v>16.323212000000002</v>
      </c>
      <c r="AG29" s="31">
        <v>1E-3</v>
      </c>
    </row>
    <row r="30" spans="1:33" x14ac:dyDescent="0.25">
      <c r="A30" t="s">
        <v>130</v>
      </c>
    </row>
    <row r="31" spans="1:33" x14ac:dyDescent="0.25">
      <c r="A31" t="s">
        <v>131</v>
      </c>
      <c r="B31" t="s">
        <v>132</v>
      </c>
      <c r="C31" t="s">
        <v>133</v>
      </c>
      <c r="D31" t="s">
        <v>73</v>
      </c>
      <c r="F31">
        <v>3.549334</v>
      </c>
      <c r="G31">
        <v>3.6120909999999999</v>
      </c>
      <c r="H31">
        <v>3.6082679999999998</v>
      </c>
      <c r="I31">
        <v>3.6132569999999999</v>
      </c>
      <c r="J31">
        <v>3.6198929999999998</v>
      </c>
      <c r="K31">
        <v>3.6259679999999999</v>
      </c>
      <c r="L31">
        <v>3.630452</v>
      </c>
      <c r="M31">
        <v>3.6325910000000001</v>
      </c>
      <c r="N31">
        <v>3.6348029999999998</v>
      </c>
      <c r="O31">
        <v>3.636342</v>
      </c>
      <c r="P31">
        <v>3.633108</v>
      </c>
      <c r="Q31">
        <v>3.6297039999999998</v>
      </c>
      <c r="R31">
        <v>3.6279699999999999</v>
      </c>
      <c r="S31">
        <v>3.6233559999999998</v>
      </c>
      <c r="T31">
        <v>3.6534239999999998</v>
      </c>
      <c r="U31">
        <v>3.722283</v>
      </c>
      <c r="V31">
        <v>3.7976930000000002</v>
      </c>
      <c r="W31">
        <v>3.858349</v>
      </c>
      <c r="X31">
        <v>3.9214850000000001</v>
      </c>
      <c r="Y31">
        <v>3.966205</v>
      </c>
      <c r="Z31">
        <v>3.9386899999999998</v>
      </c>
      <c r="AA31">
        <v>3.8998940000000002</v>
      </c>
      <c r="AB31">
        <v>3.9388000000000001</v>
      </c>
      <c r="AC31">
        <v>4.0122059999999999</v>
      </c>
      <c r="AD31">
        <v>4.0656800000000004</v>
      </c>
      <c r="AE31">
        <v>4.0390129999999997</v>
      </c>
      <c r="AF31">
        <v>4.0112759999999996</v>
      </c>
      <c r="AG31" s="31">
        <v>5.0000000000000001E-3</v>
      </c>
    </row>
    <row r="32" spans="1:33" x14ac:dyDescent="0.25">
      <c r="A32" t="s">
        <v>101</v>
      </c>
      <c r="B32" t="s">
        <v>134</v>
      </c>
      <c r="C32" t="s">
        <v>135</v>
      </c>
      <c r="D32" t="s">
        <v>73</v>
      </c>
      <c r="F32">
        <v>0.28129100000000001</v>
      </c>
      <c r="G32">
        <v>0.28524699999999997</v>
      </c>
      <c r="H32">
        <v>0.288387</v>
      </c>
      <c r="I32">
        <v>0.29223900000000003</v>
      </c>
      <c r="J32">
        <v>0.29710900000000001</v>
      </c>
      <c r="K32">
        <v>0.30265799999999998</v>
      </c>
      <c r="L32">
        <v>0.30711500000000003</v>
      </c>
      <c r="M32">
        <v>0.31040400000000001</v>
      </c>
      <c r="N32">
        <v>0.313444</v>
      </c>
      <c r="O32">
        <v>0.31531999999999999</v>
      </c>
      <c r="P32">
        <v>0.31691900000000001</v>
      </c>
      <c r="Q32">
        <v>0.319351</v>
      </c>
      <c r="R32">
        <v>0.32223499999999999</v>
      </c>
      <c r="S32">
        <v>0.32399</v>
      </c>
      <c r="T32">
        <v>0.32590000000000002</v>
      </c>
      <c r="U32">
        <v>0.32769100000000001</v>
      </c>
      <c r="V32">
        <v>0.32958599999999999</v>
      </c>
      <c r="W32">
        <v>0.33104</v>
      </c>
      <c r="X32">
        <v>0.33304600000000001</v>
      </c>
      <c r="Y32">
        <v>0.33460600000000001</v>
      </c>
      <c r="Z32">
        <v>0.336343</v>
      </c>
      <c r="AA32">
        <v>0.33907900000000002</v>
      </c>
      <c r="AB32">
        <v>0.342198</v>
      </c>
      <c r="AC32">
        <v>0.34522700000000001</v>
      </c>
      <c r="AD32">
        <v>0.34826400000000002</v>
      </c>
      <c r="AE32">
        <v>0.35161100000000001</v>
      </c>
      <c r="AF32">
        <v>0.35470000000000002</v>
      </c>
      <c r="AG32" s="31">
        <v>8.9999999999999993E-3</v>
      </c>
    </row>
    <row r="33" spans="1:33" x14ac:dyDescent="0.25">
      <c r="A33" t="s">
        <v>74</v>
      </c>
      <c r="B33" t="s">
        <v>136</v>
      </c>
      <c r="C33" t="s">
        <v>137</v>
      </c>
      <c r="D33" t="s">
        <v>73</v>
      </c>
      <c r="F33">
        <v>1.1400129999999999</v>
      </c>
      <c r="G33">
        <v>1.15177</v>
      </c>
      <c r="H33">
        <v>1.1634389999999999</v>
      </c>
      <c r="I33">
        <v>1.1770879999999999</v>
      </c>
      <c r="J33">
        <v>1.1952050000000001</v>
      </c>
      <c r="K33">
        <v>1.2161040000000001</v>
      </c>
      <c r="L33">
        <v>1.2327399999999999</v>
      </c>
      <c r="M33">
        <v>1.246904</v>
      </c>
      <c r="N33">
        <v>1.260956</v>
      </c>
      <c r="O33">
        <v>1.2692889999999999</v>
      </c>
      <c r="P33">
        <v>1.2779590000000001</v>
      </c>
      <c r="Q33">
        <v>1.288505</v>
      </c>
      <c r="R33">
        <v>1.2995129999999999</v>
      </c>
      <c r="S33">
        <v>1.3081959999999999</v>
      </c>
      <c r="T33">
        <v>1.317186</v>
      </c>
      <c r="U33">
        <v>1.324638</v>
      </c>
      <c r="V33">
        <v>1.3324290000000001</v>
      </c>
      <c r="W33">
        <v>1.3377509999999999</v>
      </c>
      <c r="X33">
        <v>1.3440970000000001</v>
      </c>
      <c r="Y33">
        <v>1.349923</v>
      </c>
      <c r="Z33">
        <v>1.3560989999999999</v>
      </c>
      <c r="AA33">
        <v>1.3644849999999999</v>
      </c>
      <c r="AB33">
        <v>1.374968</v>
      </c>
      <c r="AC33">
        <v>1.385294</v>
      </c>
      <c r="AD33">
        <v>1.394428</v>
      </c>
      <c r="AE33">
        <v>1.4056869999999999</v>
      </c>
      <c r="AF33">
        <v>1.4157500000000001</v>
      </c>
      <c r="AG33" s="31">
        <v>8.0000000000000002E-3</v>
      </c>
    </row>
    <row r="34" spans="1:33" x14ac:dyDescent="0.25">
      <c r="A34" t="s">
        <v>109</v>
      </c>
      <c r="B34" t="s">
        <v>138</v>
      </c>
      <c r="C34" t="s">
        <v>139</v>
      </c>
      <c r="D34" t="s">
        <v>73</v>
      </c>
      <c r="F34">
        <v>4.1174000000000002E-2</v>
      </c>
      <c r="G34">
        <v>4.1980000000000003E-2</v>
      </c>
      <c r="H34">
        <v>4.1255E-2</v>
      </c>
      <c r="I34">
        <v>4.0060999999999999E-2</v>
      </c>
      <c r="J34">
        <v>3.8841000000000001E-2</v>
      </c>
      <c r="K34">
        <v>3.7551000000000001E-2</v>
      </c>
      <c r="L34">
        <v>3.6368999999999999E-2</v>
      </c>
      <c r="M34">
        <v>3.5532000000000001E-2</v>
      </c>
      <c r="N34">
        <v>3.5131999999999997E-2</v>
      </c>
      <c r="O34">
        <v>3.4660000000000003E-2</v>
      </c>
      <c r="P34">
        <v>3.4278999999999997E-2</v>
      </c>
      <c r="Q34">
        <v>3.3785999999999997E-2</v>
      </c>
      <c r="R34">
        <v>3.3265000000000003E-2</v>
      </c>
      <c r="S34">
        <v>3.2701000000000001E-2</v>
      </c>
      <c r="T34">
        <v>3.2197999999999997E-2</v>
      </c>
      <c r="U34">
        <v>3.1759000000000003E-2</v>
      </c>
      <c r="V34">
        <v>3.1438000000000001E-2</v>
      </c>
      <c r="W34">
        <v>3.1171999999999998E-2</v>
      </c>
      <c r="X34">
        <v>3.0896E-2</v>
      </c>
      <c r="Y34">
        <v>3.0629E-2</v>
      </c>
      <c r="Z34">
        <v>3.0439999999999998E-2</v>
      </c>
      <c r="AA34">
        <v>3.024E-2</v>
      </c>
      <c r="AB34">
        <v>2.9949E-2</v>
      </c>
      <c r="AC34">
        <v>2.9728000000000001E-2</v>
      </c>
      <c r="AD34">
        <v>2.9472999999999999E-2</v>
      </c>
      <c r="AE34">
        <v>2.9252E-2</v>
      </c>
      <c r="AF34">
        <v>2.8857000000000001E-2</v>
      </c>
      <c r="AG34" s="31">
        <v>-1.4E-2</v>
      </c>
    </row>
    <row r="35" spans="1:33" x14ac:dyDescent="0.25">
      <c r="A35" t="s">
        <v>140</v>
      </c>
      <c r="B35" t="s">
        <v>141</v>
      </c>
      <c r="C35" t="s">
        <v>142</v>
      </c>
      <c r="D35" t="s">
        <v>73</v>
      </c>
      <c r="F35">
        <v>0.39052500000000001</v>
      </c>
      <c r="G35">
        <v>0.35499999999999998</v>
      </c>
      <c r="H35">
        <v>0.55000000000000004</v>
      </c>
      <c r="I35">
        <v>0.55000000000000004</v>
      </c>
      <c r="J35">
        <v>0.55000000000000004</v>
      </c>
      <c r="K35">
        <v>0.55000000000000004</v>
      </c>
      <c r="L35">
        <v>0.55000000000000004</v>
      </c>
      <c r="M35">
        <v>0.55000000000000004</v>
      </c>
      <c r="N35">
        <v>0.55000000000000004</v>
      </c>
      <c r="O35">
        <v>0.55000000000000004</v>
      </c>
      <c r="P35">
        <v>0.55000000000000004</v>
      </c>
      <c r="Q35">
        <v>0.55000000000000004</v>
      </c>
      <c r="R35">
        <v>0.55000000000000004</v>
      </c>
      <c r="S35">
        <v>0.55000000000000004</v>
      </c>
      <c r="T35">
        <v>0.55000000000000004</v>
      </c>
      <c r="U35">
        <v>0.55000000000000004</v>
      </c>
      <c r="V35">
        <v>0.55000000000000004</v>
      </c>
      <c r="W35">
        <v>0.55000000000000004</v>
      </c>
      <c r="X35">
        <v>0.55000000000000004</v>
      </c>
      <c r="Y35">
        <v>0.55000000000000004</v>
      </c>
      <c r="Z35">
        <v>0.69557999999999998</v>
      </c>
      <c r="AA35">
        <v>0.84116000000000002</v>
      </c>
      <c r="AB35">
        <v>0.84116000000000002</v>
      </c>
      <c r="AC35">
        <v>0.84116000000000002</v>
      </c>
      <c r="AD35">
        <v>0.84116000000000002</v>
      </c>
      <c r="AE35">
        <v>0.96409500000000004</v>
      </c>
      <c r="AF35">
        <v>1.087029</v>
      </c>
      <c r="AG35" s="31">
        <v>0.04</v>
      </c>
    </row>
    <row r="36" spans="1:33" x14ac:dyDescent="0.25">
      <c r="A36" t="s">
        <v>143</v>
      </c>
      <c r="B36" t="s">
        <v>144</v>
      </c>
      <c r="C36" t="s">
        <v>145</v>
      </c>
      <c r="D36" t="s">
        <v>73</v>
      </c>
      <c r="F36">
        <v>3.0740020000000001</v>
      </c>
      <c r="G36">
        <v>3.1140249999999998</v>
      </c>
      <c r="H36">
        <v>3.0742400000000001</v>
      </c>
      <c r="I36">
        <v>3.102287</v>
      </c>
      <c r="J36">
        <v>3.1480890000000001</v>
      </c>
      <c r="K36">
        <v>3.139748</v>
      </c>
      <c r="L36">
        <v>3.1741760000000001</v>
      </c>
      <c r="M36">
        <v>3.1917819999999999</v>
      </c>
      <c r="N36">
        <v>3.1912820000000002</v>
      </c>
      <c r="O36">
        <v>3.177934</v>
      </c>
      <c r="P36">
        <v>3.1908910000000001</v>
      </c>
      <c r="Q36">
        <v>3.1891560000000001</v>
      </c>
      <c r="R36">
        <v>3.203246</v>
      </c>
      <c r="S36">
        <v>3.2078880000000001</v>
      </c>
      <c r="T36">
        <v>3.2083089999999999</v>
      </c>
      <c r="U36">
        <v>3.2187260000000002</v>
      </c>
      <c r="V36">
        <v>3.236173</v>
      </c>
      <c r="W36">
        <v>3.2442129999999998</v>
      </c>
      <c r="X36">
        <v>3.2330199999999998</v>
      </c>
      <c r="Y36">
        <v>3.2493780000000001</v>
      </c>
      <c r="Z36">
        <v>3.249571</v>
      </c>
      <c r="AA36">
        <v>3.2487729999999999</v>
      </c>
      <c r="AB36">
        <v>3.261228</v>
      </c>
      <c r="AC36">
        <v>3.2797480000000001</v>
      </c>
      <c r="AD36">
        <v>3.2799070000000001</v>
      </c>
      <c r="AE36">
        <v>3.2766670000000002</v>
      </c>
      <c r="AF36">
        <v>3.2632680000000001</v>
      </c>
      <c r="AG36" s="31">
        <v>2E-3</v>
      </c>
    </row>
    <row r="37" spans="1:33" s="32" customFormat="1" x14ac:dyDescent="0.25">
      <c r="A37" s="32" t="s">
        <v>77</v>
      </c>
      <c r="B37" s="32" t="s">
        <v>146</v>
      </c>
      <c r="C37" s="32" t="s">
        <v>147</v>
      </c>
      <c r="D37" s="32" t="s">
        <v>73</v>
      </c>
      <c r="F37" s="32">
        <v>8.4763389999999994</v>
      </c>
      <c r="G37" s="32">
        <v>8.5601129999999994</v>
      </c>
      <c r="H37" s="32">
        <v>8.7255900000000004</v>
      </c>
      <c r="I37" s="32">
        <v>8.7749330000000008</v>
      </c>
      <c r="J37" s="32">
        <v>8.8491359999999997</v>
      </c>
      <c r="K37" s="32">
        <v>8.8720289999999995</v>
      </c>
      <c r="L37" s="32">
        <v>8.9308530000000008</v>
      </c>
      <c r="M37" s="32">
        <v>8.9672140000000002</v>
      </c>
      <c r="N37" s="32">
        <v>8.9856180000000005</v>
      </c>
      <c r="O37" s="32">
        <v>8.9835440000000002</v>
      </c>
      <c r="P37" s="32">
        <v>9.0031560000000006</v>
      </c>
      <c r="Q37" s="32">
        <v>9.0105029999999999</v>
      </c>
      <c r="R37" s="32">
        <v>9.0362290000000005</v>
      </c>
      <c r="S37" s="32">
        <v>9.0461310000000008</v>
      </c>
      <c r="T37" s="32">
        <v>9.0870180000000005</v>
      </c>
      <c r="U37" s="32">
        <v>9.1750980000000002</v>
      </c>
      <c r="V37" s="32">
        <v>9.2773190000000003</v>
      </c>
      <c r="W37" s="32">
        <v>9.352525</v>
      </c>
      <c r="X37" s="32">
        <v>9.4125449999999997</v>
      </c>
      <c r="Y37" s="32">
        <v>9.4807419999999993</v>
      </c>
      <c r="Z37" s="32">
        <v>9.6067230000000006</v>
      </c>
      <c r="AA37" s="32">
        <v>9.7236320000000003</v>
      </c>
      <c r="AB37" s="32">
        <v>9.7883040000000001</v>
      </c>
      <c r="AC37" s="32">
        <v>9.8933649999999993</v>
      </c>
      <c r="AD37" s="32">
        <v>9.9589119999999998</v>
      </c>
      <c r="AE37" s="32">
        <v>10.066326</v>
      </c>
      <c r="AF37" s="32">
        <v>10.160880000000001</v>
      </c>
      <c r="AG37" s="33">
        <v>7.0000000000000001E-3</v>
      </c>
    </row>
    <row r="38" spans="1:33" x14ac:dyDescent="0.25">
      <c r="A38" t="s">
        <v>80</v>
      </c>
      <c r="B38" t="s">
        <v>148</v>
      </c>
      <c r="C38" t="s">
        <v>149</v>
      </c>
      <c r="D38" t="s">
        <v>73</v>
      </c>
      <c r="F38">
        <v>7.80328</v>
      </c>
      <c r="G38">
        <v>7.9154540000000004</v>
      </c>
      <c r="H38">
        <v>7.6861329999999999</v>
      </c>
      <c r="I38">
        <v>7.6887150000000002</v>
      </c>
      <c r="J38">
        <v>7.6922110000000004</v>
      </c>
      <c r="K38">
        <v>7.7114310000000001</v>
      </c>
      <c r="L38">
        <v>7.7261920000000002</v>
      </c>
      <c r="M38">
        <v>7.7616149999999999</v>
      </c>
      <c r="N38">
        <v>7.7715880000000004</v>
      </c>
      <c r="O38">
        <v>7.7398699999999998</v>
      </c>
      <c r="P38">
        <v>7.7059949999999997</v>
      </c>
      <c r="Q38">
        <v>7.6781610000000002</v>
      </c>
      <c r="R38">
        <v>7.6657149999999996</v>
      </c>
      <c r="S38">
        <v>7.6668820000000002</v>
      </c>
      <c r="T38">
        <v>7.6988810000000001</v>
      </c>
      <c r="U38">
        <v>7.7419820000000001</v>
      </c>
      <c r="V38">
        <v>7.7851610000000004</v>
      </c>
      <c r="W38">
        <v>7.7981249999999998</v>
      </c>
      <c r="X38">
        <v>7.8150300000000001</v>
      </c>
      <c r="Y38">
        <v>7.8523690000000004</v>
      </c>
      <c r="Z38">
        <v>7.8725630000000004</v>
      </c>
      <c r="AA38">
        <v>7.8945759999999998</v>
      </c>
      <c r="AB38">
        <v>7.9203489999999999</v>
      </c>
      <c r="AC38">
        <v>7.9723220000000001</v>
      </c>
      <c r="AD38">
        <v>8.0101980000000008</v>
      </c>
      <c r="AE38">
        <v>8.04101</v>
      </c>
      <c r="AF38">
        <v>8.0624020000000005</v>
      </c>
      <c r="AG38" s="31">
        <v>1E-3</v>
      </c>
    </row>
    <row r="39" spans="1:33" x14ac:dyDescent="0.25">
      <c r="A39" t="s">
        <v>150</v>
      </c>
      <c r="B39" t="s">
        <v>151</v>
      </c>
      <c r="C39" t="s">
        <v>152</v>
      </c>
      <c r="D39" t="s">
        <v>73</v>
      </c>
      <c r="F39">
        <v>2.0452949999999999</v>
      </c>
      <c r="G39">
        <v>2.0521980000000002</v>
      </c>
      <c r="H39">
        <v>2.1515580000000001</v>
      </c>
      <c r="I39">
        <v>2.1604230000000002</v>
      </c>
      <c r="J39">
        <v>2.2060050000000002</v>
      </c>
      <c r="K39">
        <v>2.226782</v>
      </c>
      <c r="L39">
        <v>2.2380469999999999</v>
      </c>
      <c r="M39">
        <v>2.2325900000000001</v>
      </c>
      <c r="N39">
        <v>2.285561</v>
      </c>
      <c r="O39">
        <v>2.2989380000000001</v>
      </c>
      <c r="P39">
        <v>2.3135829999999999</v>
      </c>
      <c r="Q39">
        <v>2.3050079999999999</v>
      </c>
      <c r="R39">
        <v>2.2963170000000002</v>
      </c>
      <c r="S39">
        <v>2.271652</v>
      </c>
      <c r="T39">
        <v>2.265647</v>
      </c>
      <c r="U39">
        <v>2.2465199999999999</v>
      </c>
      <c r="V39">
        <v>2.2501500000000001</v>
      </c>
      <c r="W39">
        <v>2.2605300000000002</v>
      </c>
      <c r="X39">
        <v>2.271182</v>
      </c>
      <c r="Y39">
        <v>2.275658</v>
      </c>
      <c r="Z39">
        <v>2.278661</v>
      </c>
      <c r="AA39">
        <v>2.28227</v>
      </c>
      <c r="AB39">
        <v>2.2915199999999998</v>
      </c>
      <c r="AC39">
        <v>2.3010579999999998</v>
      </c>
      <c r="AD39">
        <v>2.3056939999999999</v>
      </c>
      <c r="AE39">
        <v>2.3112720000000002</v>
      </c>
      <c r="AF39">
        <v>2.318181</v>
      </c>
      <c r="AG39" s="31">
        <v>5.0000000000000001E-3</v>
      </c>
    </row>
    <row r="40" spans="1:33" x14ac:dyDescent="0.25">
      <c r="A40" t="s">
        <v>153</v>
      </c>
      <c r="B40" t="s">
        <v>154</v>
      </c>
      <c r="C40" t="s">
        <v>155</v>
      </c>
      <c r="D40" t="s">
        <v>73</v>
      </c>
      <c r="F40">
        <v>9.8485750000000003</v>
      </c>
      <c r="G40">
        <v>9.9676530000000003</v>
      </c>
      <c r="H40">
        <v>9.8376909999999995</v>
      </c>
      <c r="I40">
        <v>9.8491379999999999</v>
      </c>
      <c r="J40">
        <v>9.8982150000000004</v>
      </c>
      <c r="K40">
        <v>9.938212</v>
      </c>
      <c r="L40">
        <v>9.9642389999999992</v>
      </c>
      <c r="M40">
        <v>9.9942049999999991</v>
      </c>
      <c r="N40">
        <v>10.057149000000001</v>
      </c>
      <c r="O40">
        <v>10.038807</v>
      </c>
      <c r="P40">
        <v>10.019579</v>
      </c>
      <c r="Q40">
        <v>9.9831690000000002</v>
      </c>
      <c r="R40">
        <v>9.9620320000000007</v>
      </c>
      <c r="S40">
        <v>9.9385340000000006</v>
      </c>
      <c r="T40">
        <v>9.9645279999999996</v>
      </c>
      <c r="U40">
        <v>9.9885029999999997</v>
      </c>
      <c r="V40">
        <v>10.035311999999999</v>
      </c>
      <c r="W40">
        <v>10.058655</v>
      </c>
      <c r="X40">
        <v>10.086212</v>
      </c>
      <c r="Y40">
        <v>10.128028</v>
      </c>
      <c r="Z40">
        <v>10.151223999999999</v>
      </c>
      <c r="AA40">
        <v>10.176845999999999</v>
      </c>
      <c r="AB40">
        <v>10.211869</v>
      </c>
      <c r="AC40">
        <v>10.273379</v>
      </c>
      <c r="AD40">
        <v>10.315892</v>
      </c>
      <c r="AE40">
        <v>10.352282000000001</v>
      </c>
      <c r="AF40">
        <v>10.380583</v>
      </c>
      <c r="AG40" s="31">
        <v>2E-3</v>
      </c>
    </row>
    <row r="41" spans="1:33" x14ac:dyDescent="0.25">
      <c r="A41" t="s">
        <v>156</v>
      </c>
      <c r="B41" t="s">
        <v>157</v>
      </c>
      <c r="C41" t="s">
        <v>158</v>
      </c>
      <c r="D41" t="s">
        <v>73</v>
      </c>
      <c r="F41">
        <v>0.43991799999999998</v>
      </c>
      <c r="G41">
        <v>0.43567299999999998</v>
      </c>
      <c r="H41">
        <v>0.43846099999999999</v>
      </c>
      <c r="I41">
        <v>0.42828899999999998</v>
      </c>
      <c r="J41">
        <v>0.411773</v>
      </c>
      <c r="K41">
        <v>0.39733600000000002</v>
      </c>
      <c r="L41">
        <v>0.38921699999999998</v>
      </c>
      <c r="M41">
        <v>0.38336100000000001</v>
      </c>
      <c r="N41">
        <v>0.37771900000000003</v>
      </c>
      <c r="O41">
        <v>0.365618</v>
      </c>
      <c r="P41">
        <v>0.35786000000000001</v>
      </c>
      <c r="Q41">
        <v>0.34966399999999997</v>
      </c>
      <c r="R41">
        <v>0.34114299999999997</v>
      </c>
      <c r="S41">
        <v>0.33612799999999998</v>
      </c>
      <c r="T41">
        <v>0.32967800000000003</v>
      </c>
      <c r="U41">
        <v>0.32287199999999999</v>
      </c>
      <c r="V41">
        <v>0.318494</v>
      </c>
      <c r="W41">
        <v>0.31237700000000002</v>
      </c>
      <c r="X41">
        <v>0.305367</v>
      </c>
      <c r="Y41">
        <v>0.30014999999999997</v>
      </c>
      <c r="Z41">
        <v>0.29406100000000002</v>
      </c>
      <c r="AA41">
        <v>0.28689700000000001</v>
      </c>
      <c r="AB41">
        <v>0.27923700000000001</v>
      </c>
      <c r="AC41">
        <v>0.27291900000000002</v>
      </c>
      <c r="AD41">
        <v>0.26561099999999999</v>
      </c>
      <c r="AE41">
        <v>0.25784299999999999</v>
      </c>
      <c r="AF41">
        <v>0.249977</v>
      </c>
      <c r="AG41" s="31">
        <v>-2.1999999999999999E-2</v>
      </c>
    </row>
    <row r="42" spans="1:33" x14ac:dyDescent="0.25">
      <c r="A42" t="s">
        <v>159</v>
      </c>
      <c r="B42" t="s">
        <v>160</v>
      </c>
      <c r="C42" t="s">
        <v>161</v>
      </c>
      <c r="D42" t="s">
        <v>73</v>
      </c>
      <c r="F42">
        <v>0.346719</v>
      </c>
      <c r="G42">
        <v>0.35904599999999998</v>
      </c>
      <c r="H42">
        <v>0.36619400000000002</v>
      </c>
      <c r="I42">
        <v>0.37179899999999999</v>
      </c>
      <c r="J42">
        <v>0.377274</v>
      </c>
      <c r="K42">
        <v>0.37957600000000002</v>
      </c>
      <c r="L42">
        <v>0.38246799999999997</v>
      </c>
      <c r="M42">
        <v>0.38463000000000003</v>
      </c>
      <c r="N42">
        <v>0.38840599999999997</v>
      </c>
      <c r="O42">
        <v>0.38864399999999999</v>
      </c>
      <c r="P42">
        <v>0.38737300000000002</v>
      </c>
      <c r="Q42">
        <v>0.38355</v>
      </c>
      <c r="R42">
        <v>0.37776100000000001</v>
      </c>
      <c r="S42">
        <v>0.37189100000000003</v>
      </c>
      <c r="T42">
        <v>0.366035</v>
      </c>
      <c r="U42">
        <v>0.36093700000000001</v>
      </c>
      <c r="V42">
        <v>0.35692400000000002</v>
      </c>
      <c r="W42">
        <v>0.35333799999999999</v>
      </c>
      <c r="X42">
        <v>0.34936099999999998</v>
      </c>
      <c r="Y42">
        <v>0.34515200000000001</v>
      </c>
      <c r="Z42">
        <v>0.34085399999999999</v>
      </c>
      <c r="AA42">
        <v>0.33666400000000002</v>
      </c>
      <c r="AB42">
        <v>0.33276</v>
      </c>
      <c r="AC42">
        <v>0.32897599999999999</v>
      </c>
      <c r="AD42">
        <v>0.325349</v>
      </c>
      <c r="AE42">
        <v>0.32200000000000001</v>
      </c>
      <c r="AF42">
        <v>0.31792199999999998</v>
      </c>
      <c r="AG42" s="31">
        <v>-3.0000000000000001E-3</v>
      </c>
    </row>
    <row r="43" spans="1:33" x14ac:dyDescent="0.25">
      <c r="A43" t="s">
        <v>162</v>
      </c>
      <c r="B43" t="s">
        <v>163</v>
      </c>
      <c r="C43" t="s">
        <v>164</v>
      </c>
      <c r="D43" t="s">
        <v>73</v>
      </c>
      <c r="F43">
        <v>-3.8963999999999999E-2</v>
      </c>
      <c r="G43">
        <v>-2.3890999999999999E-2</v>
      </c>
      <c r="H43">
        <v>-2.3021E-2</v>
      </c>
      <c r="I43">
        <v>-2.3144999999999999E-2</v>
      </c>
      <c r="J43">
        <v>-2.2817E-2</v>
      </c>
      <c r="K43">
        <v>-2.2089999999999999E-2</v>
      </c>
      <c r="L43">
        <v>-2.1711000000000001E-2</v>
      </c>
      <c r="M43">
        <v>-2.1406000000000001E-2</v>
      </c>
      <c r="N43">
        <v>-2.1104999999999999E-2</v>
      </c>
      <c r="O43">
        <v>-2.0562E-2</v>
      </c>
      <c r="P43">
        <v>-2.0174999999999998E-2</v>
      </c>
      <c r="Q43">
        <v>-1.9771E-2</v>
      </c>
      <c r="R43">
        <v>-1.9342999999999999E-2</v>
      </c>
      <c r="S43">
        <v>-1.8997E-2</v>
      </c>
      <c r="T43">
        <v>-1.8634999999999999E-2</v>
      </c>
      <c r="U43">
        <v>-1.8258E-2</v>
      </c>
      <c r="V43">
        <v>-1.7729999999999999E-2</v>
      </c>
      <c r="W43">
        <v>-1.7425E-2</v>
      </c>
      <c r="X43">
        <v>-1.7121999999999998E-2</v>
      </c>
      <c r="Y43">
        <v>-1.6646000000000001E-2</v>
      </c>
      <c r="Z43">
        <v>-1.6327999999999999E-2</v>
      </c>
      <c r="AA43">
        <v>-1.6050999999999999E-2</v>
      </c>
      <c r="AB43">
        <v>-1.5833E-2</v>
      </c>
      <c r="AC43">
        <v>-1.5453E-2</v>
      </c>
      <c r="AD43">
        <v>-1.5294E-2</v>
      </c>
      <c r="AE43">
        <v>-1.5107000000000001E-2</v>
      </c>
      <c r="AF43">
        <v>-1.4683E-2</v>
      </c>
      <c r="AG43" s="31">
        <v>-3.6999999999999998E-2</v>
      </c>
    </row>
    <row r="44" spans="1:33" x14ac:dyDescent="0.25">
      <c r="A44" t="s">
        <v>165</v>
      </c>
      <c r="B44" t="s">
        <v>166</v>
      </c>
      <c r="C44" t="s">
        <v>167</v>
      </c>
      <c r="D44" t="s">
        <v>73</v>
      </c>
      <c r="F44">
        <v>0.74767300000000003</v>
      </c>
      <c r="G44">
        <v>0.77082899999999999</v>
      </c>
      <c r="H44">
        <v>0.78163400000000005</v>
      </c>
      <c r="I44">
        <v>0.77694300000000005</v>
      </c>
      <c r="J44">
        <v>0.766231</v>
      </c>
      <c r="K44">
        <v>0.75482199999999999</v>
      </c>
      <c r="L44">
        <v>0.749973</v>
      </c>
      <c r="M44">
        <v>0.74658500000000005</v>
      </c>
      <c r="N44">
        <v>0.74501899999999999</v>
      </c>
      <c r="O44">
        <v>0.73370000000000002</v>
      </c>
      <c r="P44">
        <v>0.72505799999999998</v>
      </c>
      <c r="Q44">
        <v>0.71344300000000005</v>
      </c>
      <c r="R44">
        <v>0.69956099999999999</v>
      </c>
      <c r="S44">
        <v>0.68902200000000002</v>
      </c>
      <c r="T44">
        <v>0.67707799999999996</v>
      </c>
      <c r="U44">
        <v>0.66555200000000003</v>
      </c>
      <c r="V44">
        <v>0.65768700000000002</v>
      </c>
      <c r="W44">
        <v>0.64829000000000003</v>
      </c>
      <c r="X44">
        <v>0.63760700000000003</v>
      </c>
      <c r="Y44">
        <v>0.62865599999999999</v>
      </c>
      <c r="Z44">
        <v>0.618587</v>
      </c>
      <c r="AA44">
        <v>0.60751100000000002</v>
      </c>
      <c r="AB44">
        <v>0.59616400000000003</v>
      </c>
      <c r="AC44">
        <v>0.58644200000000002</v>
      </c>
      <c r="AD44">
        <v>0.57566600000000001</v>
      </c>
      <c r="AE44">
        <v>0.56473600000000002</v>
      </c>
      <c r="AF44">
        <v>0.55321699999999996</v>
      </c>
      <c r="AG44" s="31">
        <v>-1.2E-2</v>
      </c>
    </row>
    <row r="45" spans="1:33" x14ac:dyDescent="0.25">
      <c r="A45" t="s">
        <v>168</v>
      </c>
      <c r="B45" t="s">
        <v>169</v>
      </c>
      <c r="C45" t="s">
        <v>170</v>
      </c>
      <c r="D45" t="s">
        <v>73</v>
      </c>
      <c r="F45">
        <v>0.89433099999999999</v>
      </c>
      <c r="G45">
        <v>0.91656700000000002</v>
      </c>
      <c r="H45">
        <v>0.914157</v>
      </c>
      <c r="I45">
        <v>0.91446300000000003</v>
      </c>
      <c r="J45">
        <v>0.91318200000000005</v>
      </c>
      <c r="K45">
        <v>0.90827199999999997</v>
      </c>
      <c r="L45">
        <v>0.903837</v>
      </c>
      <c r="M45">
        <v>0.89296799999999998</v>
      </c>
      <c r="N45">
        <v>0.88368899999999995</v>
      </c>
      <c r="O45">
        <v>0.86835099999999998</v>
      </c>
      <c r="P45">
        <v>0.85361900000000002</v>
      </c>
      <c r="Q45">
        <v>0.83833000000000002</v>
      </c>
      <c r="R45">
        <v>0.828071</v>
      </c>
      <c r="S45">
        <v>0.81101100000000004</v>
      </c>
      <c r="T45">
        <v>0.79574999999999996</v>
      </c>
      <c r="U45">
        <v>0.78434899999999996</v>
      </c>
      <c r="V45">
        <v>0.78216600000000003</v>
      </c>
      <c r="W45">
        <v>0.77179699999999996</v>
      </c>
      <c r="X45">
        <v>0.76169600000000004</v>
      </c>
      <c r="Y45">
        <v>0.75520600000000004</v>
      </c>
      <c r="Z45">
        <v>0.75332500000000002</v>
      </c>
      <c r="AA45">
        <v>0.75422</v>
      </c>
      <c r="AB45">
        <v>0.75177300000000002</v>
      </c>
      <c r="AC45">
        <v>0.75181500000000001</v>
      </c>
      <c r="AD45">
        <v>0.75012000000000001</v>
      </c>
      <c r="AE45">
        <v>0.75201099999999999</v>
      </c>
      <c r="AF45">
        <v>0.75567499999999999</v>
      </c>
      <c r="AG45" s="31">
        <v>-6.0000000000000001E-3</v>
      </c>
    </row>
    <row r="46" spans="1:33" x14ac:dyDescent="0.25">
      <c r="A46" t="s">
        <v>83</v>
      </c>
      <c r="B46" t="s">
        <v>171</v>
      </c>
      <c r="C46" t="s">
        <v>172</v>
      </c>
      <c r="D46" t="s">
        <v>73</v>
      </c>
      <c r="F46">
        <v>1.404115</v>
      </c>
      <c r="G46">
        <v>1.4243939999999999</v>
      </c>
      <c r="H46">
        <v>1.4469479999999999</v>
      </c>
      <c r="I46">
        <v>1.44554</v>
      </c>
      <c r="J46">
        <v>1.4523870000000001</v>
      </c>
      <c r="K46">
        <v>1.474432</v>
      </c>
      <c r="L46">
        <v>1.4950939999999999</v>
      </c>
      <c r="M46">
        <v>1.518669</v>
      </c>
      <c r="N46">
        <v>1.536608</v>
      </c>
      <c r="O46">
        <v>1.543585</v>
      </c>
      <c r="P46">
        <v>1.5628169999999999</v>
      </c>
      <c r="Q46">
        <v>1.582662</v>
      </c>
      <c r="R46">
        <v>1.614209</v>
      </c>
      <c r="S46">
        <v>1.637877</v>
      </c>
      <c r="T46">
        <v>1.654558</v>
      </c>
      <c r="U46">
        <v>1.6763110000000001</v>
      </c>
      <c r="V46">
        <v>1.692145</v>
      </c>
      <c r="W46">
        <v>1.690858</v>
      </c>
      <c r="X46">
        <v>1.695535</v>
      </c>
      <c r="Y46">
        <v>1.6912590000000001</v>
      </c>
      <c r="Z46">
        <v>1.6968289999999999</v>
      </c>
      <c r="AA46">
        <v>1.7099299999999999</v>
      </c>
      <c r="AB46">
        <v>1.7276590000000001</v>
      </c>
      <c r="AC46">
        <v>1.750516</v>
      </c>
      <c r="AD46">
        <v>1.771954</v>
      </c>
      <c r="AE46">
        <v>1.794454</v>
      </c>
      <c r="AF46">
        <v>1.8138540000000001</v>
      </c>
      <c r="AG46" s="31">
        <v>0.01</v>
      </c>
    </row>
    <row r="47" spans="1:33" x14ac:dyDescent="0.25">
      <c r="A47" t="s">
        <v>173</v>
      </c>
      <c r="B47" t="s">
        <v>174</v>
      </c>
      <c r="C47" t="s">
        <v>175</v>
      </c>
      <c r="D47" t="s">
        <v>73</v>
      </c>
      <c r="F47">
        <v>1.044613</v>
      </c>
      <c r="G47">
        <v>1.058959</v>
      </c>
      <c r="H47">
        <v>1.0784469999999999</v>
      </c>
      <c r="I47">
        <v>1.083585</v>
      </c>
      <c r="J47">
        <v>1.084128</v>
      </c>
      <c r="K47">
        <v>1.0844549999999999</v>
      </c>
      <c r="L47">
        <v>1.0949040000000001</v>
      </c>
      <c r="M47">
        <v>1.1024620000000001</v>
      </c>
      <c r="N47">
        <v>1.110392</v>
      </c>
      <c r="O47">
        <v>1.1153820000000001</v>
      </c>
      <c r="P47">
        <v>1.1249499999999999</v>
      </c>
      <c r="Q47">
        <v>1.132385</v>
      </c>
      <c r="R47">
        <v>1.1398109999999999</v>
      </c>
      <c r="S47">
        <v>1.147634</v>
      </c>
      <c r="T47">
        <v>1.1549510000000001</v>
      </c>
      <c r="U47">
        <v>1.1621900000000001</v>
      </c>
      <c r="V47">
        <v>1.16916</v>
      </c>
      <c r="W47">
        <v>1.1752339999999999</v>
      </c>
      <c r="X47">
        <v>1.1813959999999999</v>
      </c>
      <c r="Y47">
        <v>1.187384</v>
      </c>
      <c r="Z47">
        <v>1.194237</v>
      </c>
      <c r="AA47">
        <v>1.1992719999999999</v>
      </c>
      <c r="AB47">
        <v>1.204467</v>
      </c>
      <c r="AC47">
        <v>1.210037</v>
      </c>
      <c r="AD47">
        <v>1.2148140000000001</v>
      </c>
      <c r="AE47">
        <v>1.2189030000000001</v>
      </c>
      <c r="AF47">
        <v>1.2228680000000001</v>
      </c>
      <c r="AG47" s="31">
        <v>6.0000000000000001E-3</v>
      </c>
    </row>
    <row r="48" spans="1:33" x14ac:dyDescent="0.25">
      <c r="A48" t="s">
        <v>176</v>
      </c>
      <c r="B48" t="s">
        <v>177</v>
      </c>
      <c r="C48" t="s">
        <v>178</v>
      </c>
      <c r="D48" t="s">
        <v>73</v>
      </c>
      <c r="F48">
        <v>3.4985460000000002</v>
      </c>
      <c r="G48">
        <v>3.545369</v>
      </c>
      <c r="H48">
        <v>3.5818590000000001</v>
      </c>
      <c r="I48">
        <v>3.605855</v>
      </c>
      <c r="J48">
        <v>3.6244719999999999</v>
      </c>
      <c r="K48">
        <v>3.6534650000000002</v>
      </c>
      <c r="L48">
        <v>3.7023700000000002</v>
      </c>
      <c r="M48">
        <v>3.7600419999999999</v>
      </c>
      <c r="N48">
        <v>3.8435640000000002</v>
      </c>
      <c r="O48">
        <v>3.9286310000000002</v>
      </c>
      <c r="P48">
        <v>4.0418219999999998</v>
      </c>
      <c r="Q48">
        <v>4.1533429999999996</v>
      </c>
      <c r="R48">
        <v>4.251055</v>
      </c>
      <c r="S48">
        <v>4.3310449999999996</v>
      </c>
      <c r="T48">
        <v>4.3934439999999997</v>
      </c>
      <c r="U48">
        <v>4.4537259999999996</v>
      </c>
      <c r="V48">
        <v>4.524152</v>
      </c>
      <c r="W48">
        <v>4.5866100000000003</v>
      </c>
      <c r="X48">
        <v>4.643548</v>
      </c>
      <c r="Y48">
        <v>4.6947270000000003</v>
      </c>
      <c r="Z48">
        <v>4.7398769999999999</v>
      </c>
      <c r="AA48">
        <v>4.7852009999999998</v>
      </c>
      <c r="AB48">
        <v>4.8326989999999999</v>
      </c>
      <c r="AC48">
        <v>4.8865080000000001</v>
      </c>
      <c r="AD48">
        <v>4.9296530000000001</v>
      </c>
      <c r="AE48">
        <v>4.9760980000000004</v>
      </c>
      <c r="AF48">
        <v>5.0173969999999999</v>
      </c>
      <c r="AG48" s="31">
        <v>1.4E-2</v>
      </c>
    </row>
    <row r="49" spans="1:33" x14ac:dyDescent="0.25">
      <c r="A49" t="s">
        <v>89</v>
      </c>
      <c r="B49" t="s">
        <v>179</v>
      </c>
      <c r="C49" t="s">
        <v>180</v>
      </c>
      <c r="D49" t="s">
        <v>73</v>
      </c>
      <c r="F49">
        <v>25.914190999999999</v>
      </c>
      <c r="G49">
        <v>26.243887999999998</v>
      </c>
      <c r="H49">
        <v>26.366330999999999</v>
      </c>
      <c r="I49">
        <v>26.450457</v>
      </c>
      <c r="J49">
        <v>26.587754</v>
      </c>
      <c r="K49">
        <v>26.685687999999999</v>
      </c>
      <c r="L49">
        <v>26.841270999999999</v>
      </c>
      <c r="M49">
        <v>26.982144000000002</v>
      </c>
      <c r="N49">
        <v>27.162037999999999</v>
      </c>
      <c r="O49">
        <v>27.212</v>
      </c>
      <c r="P49">
        <v>27.331002000000002</v>
      </c>
      <c r="Q49">
        <v>27.413836</v>
      </c>
      <c r="R49">
        <v>27.530968000000001</v>
      </c>
      <c r="S49">
        <v>27.601254999999998</v>
      </c>
      <c r="T49">
        <v>27.727328</v>
      </c>
      <c r="U49">
        <v>27.905729000000001</v>
      </c>
      <c r="V49">
        <v>28.137941999999999</v>
      </c>
      <c r="W49">
        <v>28.283965999999999</v>
      </c>
      <c r="X49">
        <v>28.418541000000001</v>
      </c>
      <c r="Y49">
        <v>28.566001</v>
      </c>
      <c r="Z49">
        <v>28.760802000000002</v>
      </c>
      <c r="AA49">
        <v>28.956613000000001</v>
      </c>
      <c r="AB49">
        <v>29.112935</v>
      </c>
      <c r="AC49">
        <v>29.352063999999999</v>
      </c>
      <c r="AD49">
        <v>29.517009999999999</v>
      </c>
      <c r="AE49">
        <v>29.724809</v>
      </c>
      <c r="AF49">
        <v>29.904472999999999</v>
      </c>
      <c r="AG49" s="31">
        <v>6.0000000000000001E-3</v>
      </c>
    </row>
    <row r="50" spans="1:33" x14ac:dyDescent="0.25">
      <c r="A50" t="s">
        <v>92</v>
      </c>
      <c r="B50" t="s">
        <v>181</v>
      </c>
      <c r="C50" t="s">
        <v>182</v>
      </c>
      <c r="D50" t="s">
        <v>73</v>
      </c>
      <c r="F50">
        <v>4.9726340000000002</v>
      </c>
      <c r="G50">
        <v>4.88626</v>
      </c>
      <c r="H50">
        <v>4.6426239999999996</v>
      </c>
      <c r="I50">
        <v>4.4951850000000002</v>
      </c>
      <c r="J50">
        <v>4.4181689999999998</v>
      </c>
      <c r="K50">
        <v>4.3752610000000001</v>
      </c>
      <c r="L50">
        <v>4.2556520000000004</v>
      </c>
      <c r="M50">
        <v>4.1837419999999996</v>
      </c>
      <c r="N50">
        <v>4.0000070000000001</v>
      </c>
      <c r="O50">
        <v>3.9554870000000002</v>
      </c>
      <c r="P50">
        <v>3.922301</v>
      </c>
      <c r="Q50">
        <v>3.8535879999999998</v>
      </c>
      <c r="R50">
        <v>3.7763499999999999</v>
      </c>
      <c r="S50">
        <v>3.646423</v>
      </c>
      <c r="T50">
        <v>3.5819719999999999</v>
      </c>
      <c r="U50">
        <v>3.4137550000000001</v>
      </c>
      <c r="V50">
        <v>3.4053879999999999</v>
      </c>
      <c r="W50">
        <v>3.4446370000000002</v>
      </c>
      <c r="X50">
        <v>3.4800610000000001</v>
      </c>
      <c r="Y50">
        <v>3.4939770000000001</v>
      </c>
      <c r="Z50">
        <v>3.5090789999999998</v>
      </c>
      <c r="AA50">
        <v>3.5032559999999999</v>
      </c>
      <c r="AB50">
        <v>3.4981399999999998</v>
      </c>
      <c r="AC50">
        <v>3.5094699999999999</v>
      </c>
      <c r="AD50">
        <v>3.522662</v>
      </c>
      <c r="AE50">
        <v>3.5449660000000001</v>
      </c>
      <c r="AF50">
        <v>3.5362</v>
      </c>
      <c r="AG50" s="31">
        <v>-1.2999999999999999E-2</v>
      </c>
    </row>
    <row r="51" spans="1:33" x14ac:dyDescent="0.25">
      <c r="A51" t="s">
        <v>183</v>
      </c>
      <c r="B51" t="s">
        <v>184</v>
      </c>
      <c r="C51" t="s">
        <v>185</v>
      </c>
      <c r="D51" t="s">
        <v>73</v>
      </c>
      <c r="F51">
        <v>0.30130499999999999</v>
      </c>
      <c r="G51">
        <v>0.30480299999999999</v>
      </c>
      <c r="H51">
        <v>0.31467600000000001</v>
      </c>
      <c r="I51">
        <v>0.31834499999999999</v>
      </c>
      <c r="J51">
        <v>0.31687599999999999</v>
      </c>
      <c r="K51">
        <v>0.31775399999999998</v>
      </c>
      <c r="L51">
        <v>0.32094899999999998</v>
      </c>
      <c r="M51">
        <v>0.32609500000000002</v>
      </c>
      <c r="N51">
        <v>0.33142300000000002</v>
      </c>
      <c r="O51">
        <v>0.341312</v>
      </c>
      <c r="P51">
        <v>0.349414</v>
      </c>
      <c r="Q51">
        <v>0.35752299999999998</v>
      </c>
      <c r="R51">
        <v>0.36227300000000001</v>
      </c>
      <c r="S51">
        <v>0.36287399999999997</v>
      </c>
      <c r="T51">
        <v>0.36409999999999998</v>
      </c>
      <c r="U51">
        <v>0.36590499999999998</v>
      </c>
      <c r="V51">
        <v>0.36801699999999998</v>
      </c>
      <c r="W51">
        <v>0.37065599999999999</v>
      </c>
      <c r="X51">
        <v>0.37217800000000001</v>
      </c>
      <c r="Y51">
        <v>0.37427899999999997</v>
      </c>
      <c r="Z51">
        <v>0.37671700000000002</v>
      </c>
      <c r="AA51">
        <v>0.37829299999999999</v>
      </c>
      <c r="AB51">
        <v>0.37892799999999999</v>
      </c>
      <c r="AC51">
        <v>0.37851899999999999</v>
      </c>
      <c r="AD51">
        <v>0.38012299999999999</v>
      </c>
      <c r="AE51">
        <v>0.37740899999999999</v>
      </c>
      <c r="AF51">
        <v>0.37924600000000003</v>
      </c>
      <c r="AG51" s="31">
        <v>8.9999999999999993E-3</v>
      </c>
    </row>
    <row r="52" spans="1:33" x14ac:dyDescent="0.25">
      <c r="A52" t="s">
        <v>95</v>
      </c>
      <c r="B52" t="s">
        <v>186</v>
      </c>
      <c r="C52" t="s">
        <v>187</v>
      </c>
      <c r="D52" t="s">
        <v>73</v>
      </c>
      <c r="F52">
        <v>31.188130000000001</v>
      </c>
      <c r="G52">
        <v>31.434951000000002</v>
      </c>
      <c r="H52">
        <v>31.323630999999999</v>
      </c>
      <c r="I52">
        <v>31.263987</v>
      </c>
      <c r="J52">
        <v>31.322799</v>
      </c>
      <c r="K52">
        <v>31.378703000000002</v>
      </c>
      <c r="L52">
        <v>31.417871000000002</v>
      </c>
      <c r="M52">
        <v>31.491980999999999</v>
      </c>
      <c r="N52">
        <v>31.493468</v>
      </c>
      <c r="O52">
        <v>31.508797999999999</v>
      </c>
      <c r="P52">
        <v>31.602716000000001</v>
      </c>
      <c r="Q52">
        <v>31.624946000000001</v>
      </c>
      <c r="R52">
        <v>31.669591</v>
      </c>
      <c r="S52">
        <v>31.610551999999998</v>
      </c>
      <c r="T52">
        <v>31.673400000000001</v>
      </c>
      <c r="U52">
        <v>31.685390000000002</v>
      </c>
      <c r="V52">
        <v>31.911348</v>
      </c>
      <c r="W52">
        <v>32.099259000000004</v>
      </c>
      <c r="X52">
        <v>32.270780000000002</v>
      </c>
      <c r="Y52">
        <v>32.434255999999998</v>
      </c>
      <c r="Z52">
        <v>32.646597</v>
      </c>
      <c r="AA52">
        <v>32.838161999999997</v>
      </c>
      <c r="AB52">
        <v>32.990003000000002</v>
      </c>
      <c r="AC52">
        <v>33.240051999999999</v>
      </c>
      <c r="AD52">
        <v>33.419795000000001</v>
      </c>
      <c r="AE52">
        <v>33.647184000000003</v>
      </c>
      <c r="AF52">
        <v>33.819918999999999</v>
      </c>
      <c r="AG52" s="31">
        <v>3.0000000000000001E-3</v>
      </c>
    </row>
    <row r="53" spans="1:33" x14ac:dyDescent="0.25">
      <c r="A53" t="s">
        <v>188</v>
      </c>
    </row>
    <row r="54" spans="1:33" x14ac:dyDescent="0.25">
      <c r="A54" t="s">
        <v>70</v>
      </c>
      <c r="B54" t="s">
        <v>189</v>
      </c>
      <c r="C54" t="s">
        <v>190</v>
      </c>
      <c r="D54" t="s">
        <v>73</v>
      </c>
      <c r="F54">
        <v>1.1195E-2</v>
      </c>
      <c r="G54">
        <v>1.1325999999999999E-2</v>
      </c>
      <c r="H54">
        <v>1.1342E-2</v>
      </c>
      <c r="I54">
        <v>1.1297E-2</v>
      </c>
      <c r="J54">
        <v>1.1205E-2</v>
      </c>
      <c r="K54">
        <v>1.1043000000000001E-2</v>
      </c>
      <c r="L54">
        <v>1.0857E-2</v>
      </c>
      <c r="M54">
        <v>1.0560999999999999E-2</v>
      </c>
      <c r="N54">
        <v>1.0184E-2</v>
      </c>
      <c r="O54">
        <v>9.8049999999999995E-3</v>
      </c>
      <c r="P54">
        <v>9.4439999999999993E-3</v>
      </c>
      <c r="Q54">
        <v>9.0810000000000005E-3</v>
      </c>
      <c r="R54">
        <v>8.7320000000000002E-3</v>
      </c>
      <c r="S54">
        <v>8.4069999999999995E-3</v>
      </c>
      <c r="T54">
        <v>8.0750000000000006E-3</v>
      </c>
      <c r="U54">
        <v>7.7650000000000002E-3</v>
      </c>
      <c r="V54">
        <v>7.4710000000000002E-3</v>
      </c>
      <c r="W54">
        <v>7.1929999999999997E-3</v>
      </c>
      <c r="X54">
        <v>6.9329999999999999E-3</v>
      </c>
      <c r="Y54">
        <v>6.679E-3</v>
      </c>
      <c r="Z54">
        <v>6.4510000000000001E-3</v>
      </c>
      <c r="AA54">
        <v>6.2680000000000001E-3</v>
      </c>
      <c r="AB54">
        <v>6.1269999999999996E-3</v>
      </c>
      <c r="AC54">
        <v>6.0080000000000003E-3</v>
      </c>
      <c r="AD54">
        <v>5.888E-3</v>
      </c>
      <c r="AE54">
        <v>5.7720000000000002E-3</v>
      </c>
      <c r="AF54">
        <v>5.6680000000000003E-3</v>
      </c>
      <c r="AG54" s="31">
        <v>-2.5999999999999999E-2</v>
      </c>
    </row>
    <row r="55" spans="1:33" x14ac:dyDescent="0.25">
      <c r="A55" t="s">
        <v>101</v>
      </c>
      <c r="B55" t="s">
        <v>191</v>
      </c>
      <c r="C55" t="s">
        <v>192</v>
      </c>
      <c r="D55" t="s">
        <v>73</v>
      </c>
      <c r="F55">
        <v>16.210775000000002</v>
      </c>
      <c r="G55">
        <v>16.221838000000002</v>
      </c>
      <c r="H55">
        <v>16.069057000000001</v>
      </c>
      <c r="I55">
        <v>15.822627000000001</v>
      </c>
      <c r="J55">
        <v>15.572903</v>
      </c>
      <c r="K55">
        <v>15.260414000000001</v>
      </c>
      <c r="L55">
        <v>14.868506999999999</v>
      </c>
      <c r="M55">
        <v>14.476609</v>
      </c>
      <c r="N55">
        <v>14.007550999999999</v>
      </c>
      <c r="O55">
        <v>13.530052</v>
      </c>
      <c r="P55">
        <v>13.070603</v>
      </c>
      <c r="Q55">
        <v>12.609261999999999</v>
      </c>
      <c r="R55">
        <v>12.128078</v>
      </c>
      <c r="S55">
        <v>11.655457</v>
      </c>
      <c r="T55">
        <v>11.219963999999999</v>
      </c>
      <c r="U55">
        <v>10.806561</v>
      </c>
      <c r="V55">
        <v>10.438981</v>
      </c>
      <c r="W55">
        <v>10.102791</v>
      </c>
      <c r="X55">
        <v>9.7716829999999995</v>
      </c>
      <c r="Y55">
        <v>9.5066670000000002</v>
      </c>
      <c r="Z55">
        <v>9.2428840000000001</v>
      </c>
      <c r="AA55">
        <v>9.0307230000000001</v>
      </c>
      <c r="AB55">
        <v>8.8326980000000006</v>
      </c>
      <c r="AC55">
        <v>8.6771469999999997</v>
      </c>
      <c r="AD55">
        <v>8.4899450000000005</v>
      </c>
      <c r="AE55">
        <v>8.3657699999999995</v>
      </c>
      <c r="AF55">
        <v>8.2689959999999996</v>
      </c>
      <c r="AG55" s="31">
        <v>-2.5999999999999999E-2</v>
      </c>
    </row>
    <row r="56" spans="1:33" x14ac:dyDescent="0.25">
      <c r="A56" t="s">
        <v>193</v>
      </c>
      <c r="B56" t="s">
        <v>194</v>
      </c>
      <c r="C56" t="s">
        <v>195</v>
      </c>
      <c r="D56" t="s">
        <v>73</v>
      </c>
      <c r="F56">
        <v>3.7429999999999998E-3</v>
      </c>
      <c r="G56">
        <v>3.4680000000000002E-3</v>
      </c>
      <c r="H56">
        <v>3.0929999999999998E-3</v>
      </c>
      <c r="I56">
        <v>2.8969999999999998E-3</v>
      </c>
      <c r="J56">
        <v>2.8110000000000001E-3</v>
      </c>
      <c r="K56">
        <v>2.9139999999999999E-3</v>
      </c>
      <c r="L56">
        <v>2.7620000000000001E-3</v>
      </c>
      <c r="M56">
        <v>2.552E-3</v>
      </c>
      <c r="N56">
        <v>2.3749999999999999E-3</v>
      </c>
      <c r="O56">
        <v>2.2269999999999998E-3</v>
      </c>
      <c r="P56">
        <v>2.1090000000000002E-3</v>
      </c>
      <c r="Q56">
        <v>1.9840000000000001E-3</v>
      </c>
      <c r="R56">
        <v>1.859E-3</v>
      </c>
      <c r="S56">
        <v>1.7639999999999999E-3</v>
      </c>
      <c r="T56">
        <v>1.6659999999999999E-3</v>
      </c>
      <c r="U56">
        <v>1.591E-3</v>
      </c>
      <c r="V56">
        <v>1.555E-3</v>
      </c>
      <c r="W56">
        <v>1.5219999999999999E-3</v>
      </c>
      <c r="X56">
        <v>1.495E-3</v>
      </c>
      <c r="Y56">
        <v>1.48E-3</v>
      </c>
      <c r="Z56">
        <v>1.5020000000000001E-3</v>
      </c>
      <c r="AA56">
        <v>1.4630000000000001E-3</v>
      </c>
      <c r="AB56">
        <v>1.459E-3</v>
      </c>
      <c r="AC56">
        <v>1.4920000000000001E-3</v>
      </c>
      <c r="AD56">
        <v>1.488E-3</v>
      </c>
      <c r="AE56">
        <v>1.488E-3</v>
      </c>
      <c r="AF56">
        <v>1.48E-3</v>
      </c>
      <c r="AG56" s="31">
        <v>-3.5000000000000003E-2</v>
      </c>
    </row>
    <row r="57" spans="1:33" x14ac:dyDescent="0.25">
      <c r="A57" t="s">
        <v>196</v>
      </c>
      <c r="B57" t="s">
        <v>197</v>
      </c>
      <c r="C57" t="s">
        <v>198</v>
      </c>
      <c r="D57" t="s">
        <v>73</v>
      </c>
      <c r="F57">
        <v>3.5818699999999999</v>
      </c>
      <c r="G57">
        <v>3.5793659999999998</v>
      </c>
      <c r="H57">
        <v>3.5865010000000002</v>
      </c>
      <c r="I57">
        <v>3.6006459999999998</v>
      </c>
      <c r="J57">
        <v>3.628514</v>
      </c>
      <c r="K57">
        <v>3.662887</v>
      </c>
      <c r="L57">
        <v>3.692876</v>
      </c>
      <c r="M57">
        <v>3.713435</v>
      </c>
      <c r="N57">
        <v>3.7377980000000002</v>
      </c>
      <c r="O57">
        <v>3.7617289999999999</v>
      </c>
      <c r="P57">
        <v>3.7858499999999999</v>
      </c>
      <c r="Q57">
        <v>3.81914</v>
      </c>
      <c r="R57">
        <v>3.851299</v>
      </c>
      <c r="S57">
        <v>3.8876219999999999</v>
      </c>
      <c r="T57">
        <v>3.9262139999999999</v>
      </c>
      <c r="U57">
        <v>3.9663870000000001</v>
      </c>
      <c r="V57">
        <v>4.0093829999999997</v>
      </c>
      <c r="W57">
        <v>4.0481309999999997</v>
      </c>
      <c r="X57">
        <v>4.0892220000000004</v>
      </c>
      <c r="Y57">
        <v>4.1273790000000004</v>
      </c>
      <c r="Z57">
        <v>4.1659350000000002</v>
      </c>
      <c r="AA57">
        <v>4.2033610000000001</v>
      </c>
      <c r="AB57">
        <v>4.2418589999999998</v>
      </c>
      <c r="AC57">
        <v>4.2803550000000001</v>
      </c>
      <c r="AD57">
        <v>4.3183920000000002</v>
      </c>
      <c r="AE57">
        <v>4.3574549999999999</v>
      </c>
      <c r="AF57">
        <v>4.3961649999999999</v>
      </c>
      <c r="AG57" s="31">
        <v>8.0000000000000002E-3</v>
      </c>
    </row>
    <row r="58" spans="1:33" x14ac:dyDescent="0.25">
      <c r="A58" t="s">
        <v>74</v>
      </c>
      <c r="B58" t="s">
        <v>199</v>
      </c>
      <c r="C58" t="s">
        <v>200</v>
      </c>
      <c r="D58" t="s">
        <v>73</v>
      </c>
      <c r="F58">
        <v>6.9979100000000001</v>
      </c>
      <c r="G58">
        <v>7.0585370000000003</v>
      </c>
      <c r="H58">
        <v>6.9956490000000002</v>
      </c>
      <c r="I58">
        <v>6.8897599999999999</v>
      </c>
      <c r="J58">
        <v>6.8189440000000001</v>
      </c>
      <c r="K58">
        <v>6.7366619999999999</v>
      </c>
      <c r="L58">
        <v>6.6246770000000001</v>
      </c>
      <c r="M58">
        <v>6.4870749999999999</v>
      </c>
      <c r="N58">
        <v>6.2792459999999997</v>
      </c>
      <c r="O58">
        <v>6.086525</v>
      </c>
      <c r="P58">
        <v>5.9186430000000003</v>
      </c>
      <c r="Q58">
        <v>5.7605069999999996</v>
      </c>
      <c r="R58">
        <v>5.6206040000000002</v>
      </c>
      <c r="S58">
        <v>5.4945589999999997</v>
      </c>
      <c r="T58">
        <v>5.3805769999999997</v>
      </c>
      <c r="U58">
        <v>5.2683229999999996</v>
      </c>
      <c r="V58">
        <v>5.1791729999999996</v>
      </c>
      <c r="W58">
        <v>5.0906630000000002</v>
      </c>
      <c r="X58">
        <v>5.0174120000000002</v>
      </c>
      <c r="Y58">
        <v>4.950412</v>
      </c>
      <c r="Z58">
        <v>4.892042</v>
      </c>
      <c r="AA58">
        <v>4.8463070000000004</v>
      </c>
      <c r="AB58">
        <v>4.8132890000000002</v>
      </c>
      <c r="AC58">
        <v>4.7884029999999997</v>
      </c>
      <c r="AD58">
        <v>4.7639829999999996</v>
      </c>
      <c r="AE58">
        <v>4.7489299999999997</v>
      </c>
      <c r="AF58">
        <v>4.7323180000000002</v>
      </c>
      <c r="AG58" s="31">
        <v>-1.4999999999999999E-2</v>
      </c>
    </row>
    <row r="59" spans="1:33" x14ac:dyDescent="0.25">
      <c r="A59" t="s">
        <v>109</v>
      </c>
      <c r="B59" t="s">
        <v>201</v>
      </c>
      <c r="C59" t="s">
        <v>202</v>
      </c>
      <c r="D59" t="s">
        <v>73</v>
      </c>
      <c r="F59">
        <v>0.55169100000000004</v>
      </c>
      <c r="G59">
        <v>0.51529700000000001</v>
      </c>
      <c r="H59">
        <v>0.51195100000000004</v>
      </c>
      <c r="I59">
        <v>0.52094499999999999</v>
      </c>
      <c r="J59">
        <v>0.52715800000000002</v>
      </c>
      <c r="K59">
        <v>0.53540100000000002</v>
      </c>
      <c r="L59">
        <v>0.54370700000000005</v>
      </c>
      <c r="M59">
        <v>0.55016399999999999</v>
      </c>
      <c r="N59">
        <v>0.55513900000000005</v>
      </c>
      <c r="O59">
        <v>0.55919700000000006</v>
      </c>
      <c r="P59">
        <v>0.56572800000000001</v>
      </c>
      <c r="Q59">
        <v>0.57143699999999997</v>
      </c>
      <c r="R59">
        <v>0.57599599999999995</v>
      </c>
      <c r="S59">
        <v>0.58207500000000001</v>
      </c>
      <c r="T59">
        <v>0.58621500000000004</v>
      </c>
      <c r="U59">
        <v>0.59176600000000001</v>
      </c>
      <c r="V59">
        <v>0.59672400000000003</v>
      </c>
      <c r="W59">
        <v>0.60092100000000004</v>
      </c>
      <c r="X59">
        <v>0.60536699999999999</v>
      </c>
      <c r="Y59">
        <v>0.60950300000000002</v>
      </c>
      <c r="Z59">
        <v>0.61703699999999995</v>
      </c>
      <c r="AA59">
        <v>0.62063199999999996</v>
      </c>
      <c r="AB59">
        <v>0.62381799999999998</v>
      </c>
      <c r="AC59">
        <v>0.62882199999999999</v>
      </c>
      <c r="AD59">
        <v>0.63300999999999996</v>
      </c>
      <c r="AE59">
        <v>0.63659399999999999</v>
      </c>
      <c r="AF59">
        <v>0.63859500000000002</v>
      </c>
      <c r="AG59" s="31">
        <v>6.0000000000000001E-3</v>
      </c>
    </row>
    <row r="60" spans="1:33" x14ac:dyDescent="0.25">
      <c r="A60" t="s">
        <v>143</v>
      </c>
      <c r="B60" t="s">
        <v>203</v>
      </c>
      <c r="C60" t="s">
        <v>204</v>
      </c>
      <c r="D60" t="s">
        <v>73</v>
      </c>
      <c r="F60">
        <v>0.156663</v>
      </c>
      <c r="G60">
        <v>0.157053</v>
      </c>
      <c r="H60">
        <v>0.15772600000000001</v>
      </c>
      <c r="I60">
        <v>0.15820100000000001</v>
      </c>
      <c r="J60">
        <v>0.15842700000000001</v>
      </c>
      <c r="K60">
        <v>0.158552</v>
      </c>
      <c r="L60">
        <v>0.15861600000000001</v>
      </c>
      <c r="M60">
        <v>0.15853700000000001</v>
      </c>
      <c r="N60">
        <v>0.158417</v>
      </c>
      <c r="O60">
        <v>0.15837300000000001</v>
      </c>
      <c r="P60">
        <v>0.15839400000000001</v>
      </c>
      <c r="Q60">
        <v>0.15840099999999999</v>
      </c>
      <c r="R60">
        <v>0.158391</v>
      </c>
      <c r="S60">
        <v>0.158389</v>
      </c>
      <c r="T60">
        <v>0.158414</v>
      </c>
      <c r="U60">
        <v>0.15848000000000001</v>
      </c>
      <c r="V60">
        <v>0.15854399999999999</v>
      </c>
      <c r="W60">
        <v>0.15854599999999999</v>
      </c>
      <c r="X60">
        <v>0.15853800000000001</v>
      </c>
      <c r="Y60">
        <v>0.15851499999999999</v>
      </c>
      <c r="Z60">
        <v>0.15848000000000001</v>
      </c>
      <c r="AA60">
        <v>0.158447</v>
      </c>
      <c r="AB60">
        <v>0.158414</v>
      </c>
      <c r="AC60">
        <v>0.15834999999999999</v>
      </c>
      <c r="AD60">
        <v>0.158273</v>
      </c>
      <c r="AE60">
        <v>0.15818199999999999</v>
      </c>
      <c r="AF60">
        <v>0.15806600000000001</v>
      </c>
      <c r="AG60" s="31">
        <v>0</v>
      </c>
    </row>
    <row r="61" spans="1:33" x14ac:dyDescent="0.25">
      <c r="A61" t="s">
        <v>77</v>
      </c>
      <c r="B61" t="s">
        <v>205</v>
      </c>
      <c r="C61" t="s">
        <v>206</v>
      </c>
      <c r="D61" t="s">
        <v>73</v>
      </c>
      <c r="F61">
        <v>27.510107000000001</v>
      </c>
      <c r="G61">
        <v>27.543419</v>
      </c>
      <c r="H61">
        <v>27.332225999999999</v>
      </c>
      <c r="I61">
        <v>27.003475000000002</v>
      </c>
      <c r="J61">
        <v>26.71715</v>
      </c>
      <c r="K61">
        <v>26.364955999999999</v>
      </c>
      <c r="L61">
        <v>25.899239000000001</v>
      </c>
      <c r="M61">
        <v>25.396381000000002</v>
      </c>
      <c r="N61">
        <v>24.748335000000001</v>
      </c>
      <c r="O61">
        <v>24.10568</v>
      </c>
      <c r="P61">
        <v>23.508662999999999</v>
      </c>
      <c r="Q61">
        <v>22.927826</v>
      </c>
      <c r="R61">
        <v>22.343101999999998</v>
      </c>
      <c r="S61">
        <v>21.786507</v>
      </c>
      <c r="T61">
        <v>21.279457000000001</v>
      </c>
      <c r="U61">
        <v>20.799284</v>
      </c>
      <c r="V61">
        <v>20.390274000000002</v>
      </c>
      <c r="W61">
        <v>20.008244000000001</v>
      </c>
      <c r="X61">
        <v>19.649155</v>
      </c>
      <c r="Y61">
        <v>19.359158000000001</v>
      </c>
      <c r="Z61">
        <v>19.082829</v>
      </c>
      <c r="AA61">
        <v>18.865738</v>
      </c>
      <c r="AB61">
        <v>18.676207000000002</v>
      </c>
      <c r="AC61">
        <v>18.539085</v>
      </c>
      <c r="AD61">
        <v>18.369489999999999</v>
      </c>
      <c r="AE61">
        <v>18.272703</v>
      </c>
      <c r="AF61">
        <v>18.199812000000001</v>
      </c>
      <c r="AG61" s="31">
        <v>-1.6E-2</v>
      </c>
    </row>
    <row r="62" spans="1:33" x14ac:dyDescent="0.25">
      <c r="A62" t="s">
        <v>207</v>
      </c>
      <c r="B62" t="s">
        <v>208</v>
      </c>
      <c r="C62" t="s">
        <v>209</v>
      </c>
      <c r="D62" t="s">
        <v>73</v>
      </c>
      <c r="F62">
        <v>0.92418800000000001</v>
      </c>
      <c r="G62">
        <v>0.87045600000000001</v>
      </c>
      <c r="H62">
        <v>0.86442300000000005</v>
      </c>
      <c r="I62">
        <v>0.83605799999999997</v>
      </c>
      <c r="J62">
        <v>0.79698000000000002</v>
      </c>
      <c r="K62">
        <v>0.76596500000000001</v>
      </c>
      <c r="L62">
        <v>0.72879099999999997</v>
      </c>
      <c r="M62">
        <v>0.71577000000000002</v>
      </c>
      <c r="N62">
        <v>0.72421400000000002</v>
      </c>
      <c r="O62">
        <v>0.71766300000000005</v>
      </c>
      <c r="P62">
        <v>0.71669499999999997</v>
      </c>
      <c r="Q62">
        <v>0.71806800000000004</v>
      </c>
      <c r="R62">
        <v>0.71989700000000001</v>
      </c>
      <c r="S62">
        <v>0.71830799999999995</v>
      </c>
      <c r="T62">
        <v>0.71970400000000001</v>
      </c>
      <c r="U62">
        <v>0.72253800000000001</v>
      </c>
      <c r="V62">
        <v>0.73092699999999999</v>
      </c>
      <c r="W62">
        <v>0.74004400000000004</v>
      </c>
      <c r="X62">
        <v>0.751189</v>
      </c>
      <c r="Y62">
        <v>0.76455899999999999</v>
      </c>
      <c r="Z62">
        <v>0.78026099999999998</v>
      </c>
      <c r="AA62">
        <v>0.79553499999999999</v>
      </c>
      <c r="AB62">
        <v>0.80706800000000001</v>
      </c>
      <c r="AC62">
        <v>0.81946600000000003</v>
      </c>
      <c r="AD62">
        <v>0.83334399999999997</v>
      </c>
      <c r="AE62">
        <v>0.84864700000000004</v>
      </c>
      <c r="AF62">
        <v>0.86641699999999999</v>
      </c>
      <c r="AG62" s="31">
        <v>-2E-3</v>
      </c>
    </row>
    <row r="63" spans="1:33" x14ac:dyDescent="0.25">
      <c r="A63" t="s">
        <v>210</v>
      </c>
      <c r="B63" t="s">
        <v>211</v>
      </c>
      <c r="C63" t="s">
        <v>212</v>
      </c>
      <c r="D63" t="s">
        <v>73</v>
      </c>
      <c r="F63">
        <v>0.36798999999999998</v>
      </c>
      <c r="G63">
        <v>0.42041099999999998</v>
      </c>
      <c r="H63">
        <v>0.44769300000000001</v>
      </c>
      <c r="I63">
        <v>0.44849299999999998</v>
      </c>
      <c r="J63">
        <v>0.53499699999999994</v>
      </c>
      <c r="K63">
        <v>0.59558800000000001</v>
      </c>
      <c r="L63">
        <v>0.65857699999999997</v>
      </c>
      <c r="M63">
        <v>0.67561300000000002</v>
      </c>
      <c r="N63">
        <v>0.693994</v>
      </c>
      <c r="O63">
        <v>0.709179</v>
      </c>
      <c r="P63">
        <v>0.72592299999999998</v>
      </c>
      <c r="Q63">
        <v>0.73431500000000005</v>
      </c>
      <c r="R63">
        <v>0.74434400000000001</v>
      </c>
      <c r="S63">
        <v>0.75113700000000005</v>
      </c>
      <c r="T63">
        <v>0.75113700000000005</v>
      </c>
      <c r="U63">
        <v>0.75113700000000005</v>
      </c>
      <c r="V63">
        <v>0.75273500000000004</v>
      </c>
      <c r="W63">
        <v>0.75113700000000005</v>
      </c>
      <c r="X63">
        <v>0.75105299999999997</v>
      </c>
      <c r="Y63">
        <v>0.74779600000000002</v>
      </c>
      <c r="Z63">
        <v>0.74588699999999997</v>
      </c>
      <c r="AA63">
        <v>0.74406099999999997</v>
      </c>
      <c r="AB63">
        <v>0.74129400000000001</v>
      </c>
      <c r="AC63">
        <v>0.74168199999999995</v>
      </c>
      <c r="AD63">
        <v>0.74083299999999996</v>
      </c>
      <c r="AE63">
        <v>0.73885100000000004</v>
      </c>
      <c r="AF63">
        <v>0.74192599999999997</v>
      </c>
      <c r="AG63" s="31">
        <v>2.7E-2</v>
      </c>
    </row>
    <row r="64" spans="1:33" x14ac:dyDescent="0.25">
      <c r="A64" t="s">
        <v>213</v>
      </c>
      <c r="B64" t="s">
        <v>214</v>
      </c>
      <c r="C64" t="s">
        <v>215</v>
      </c>
      <c r="D64" t="s">
        <v>73</v>
      </c>
      <c r="F64">
        <v>8.8660000000000003E-2</v>
      </c>
      <c r="G64">
        <v>9.6424999999999997E-2</v>
      </c>
      <c r="H64">
        <v>0.10255</v>
      </c>
      <c r="I64">
        <v>0.10725700000000001</v>
      </c>
      <c r="J64">
        <v>0.110931</v>
      </c>
      <c r="K64">
        <v>0.11405700000000001</v>
      </c>
      <c r="L64">
        <v>0.11627800000000001</v>
      </c>
      <c r="M64">
        <v>0.11768000000000001</v>
      </c>
      <c r="N64">
        <v>0.11748500000000001</v>
      </c>
      <c r="O64">
        <v>0.116937</v>
      </c>
      <c r="P64">
        <v>0.116963</v>
      </c>
      <c r="Q64">
        <v>0.11753</v>
      </c>
      <c r="R64">
        <v>0.118685</v>
      </c>
      <c r="S64">
        <v>0.120592</v>
      </c>
      <c r="T64">
        <v>0.123544</v>
      </c>
      <c r="U64">
        <v>0.12772800000000001</v>
      </c>
      <c r="V64">
        <v>0.134127</v>
      </c>
      <c r="W64">
        <v>0.141426</v>
      </c>
      <c r="X64">
        <v>0.14980199999999999</v>
      </c>
      <c r="Y64">
        <v>0.15925300000000001</v>
      </c>
      <c r="Z64">
        <v>0.16911000000000001</v>
      </c>
      <c r="AA64">
        <v>0.17960499999999999</v>
      </c>
      <c r="AB64">
        <v>0.19103300000000001</v>
      </c>
      <c r="AC64">
        <v>0.20267299999999999</v>
      </c>
      <c r="AD64">
        <v>0.214615</v>
      </c>
      <c r="AE64">
        <v>0.22708999999999999</v>
      </c>
      <c r="AF64">
        <v>0.23996500000000001</v>
      </c>
      <c r="AG64" s="31">
        <v>3.9E-2</v>
      </c>
    </row>
    <row r="65" spans="1:33" x14ac:dyDescent="0.25">
      <c r="A65" t="s">
        <v>173</v>
      </c>
      <c r="B65" t="s">
        <v>216</v>
      </c>
      <c r="C65" t="s">
        <v>217</v>
      </c>
      <c r="D65" t="s">
        <v>73</v>
      </c>
      <c r="F65">
        <v>8.1400000000000005E-4</v>
      </c>
      <c r="G65">
        <v>2.967E-3</v>
      </c>
      <c r="H65">
        <v>6.5189999999999996E-3</v>
      </c>
      <c r="I65">
        <v>1.1925E-2</v>
      </c>
      <c r="J65">
        <v>2.0097E-2</v>
      </c>
      <c r="K65">
        <v>2.9843999999999999E-2</v>
      </c>
      <c r="L65">
        <v>4.1044999999999998E-2</v>
      </c>
      <c r="M65">
        <v>6.6350000000000006E-2</v>
      </c>
      <c r="N65">
        <v>0.124156</v>
      </c>
      <c r="O65">
        <v>0.177429</v>
      </c>
      <c r="P65">
        <v>0.226746</v>
      </c>
      <c r="Q65">
        <v>0.27223900000000001</v>
      </c>
      <c r="R65">
        <v>0.31554599999999999</v>
      </c>
      <c r="S65">
        <v>0.356881</v>
      </c>
      <c r="T65">
        <v>0.39580399999999999</v>
      </c>
      <c r="U65">
        <v>0.43265900000000002</v>
      </c>
      <c r="V65">
        <v>0.46864099999999997</v>
      </c>
      <c r="W65">
        <v>0.50185400000000002</v>
      </c>
      <c r="X65">
        <v>0.53282399999999996</v>
      </c>
      <c r="Y65">
        <v>0.56065699999999996</v>
      </c>
      <c r="Z65">
        <v>0.58648299999999998</v>
      </c>
      <c r="AA65">
        <v>0.61015200000000003</v>
      </c>
      <c r="AB65">
        <v>0.631826</v>
      </c>
      <c r="AC65">
        <v>0.65145900000000001</v>
      </c>
      <c r="AD65">
        <v>0.66846000000000005</v>
      </c>
      <c r="AE65">
        <v>0.68415199999999998</v>
      </c>
      <c r="AF65">
        <v>0.69732499999999997</v>
      </c>
      <c r="AG65" s="31">
        <v>0.29699999999999999</v>
      </c>
    </row>
    <row r="66" spans="1:33" x14ac:dyDescent="0.25">
      <c r="A66" t="s">
        <v>218</v>
      </c>
      <c r="B66" t="s">
        <v>219</v>
      </c>
      <c r="C66" t="s">
        <v>220</v>
      </c>
      <c r="D66" t="s">
        <v>73</v>
      </c>
      <c r="F66">
        <v>8.6180999999999994E-2</v>
      </c>
      <c r="G66">
        <v>0.118743</v>
      </c>
      <c r="H66">
        <v>0.16594200000000001</v>
      </c>
      <c r="I66">
        <v>0.228496</v>
      </c>
      <c r="J66">
        <v>0.30601200000000001</v>
      </c>
      <c r="K66">
        <v>0.399955</v>
      </c>
      <c r="L66">
        <v>0.51866999999999996</v>
      </c>
      <c r="M66">
        <v>0.64985000000000004</v>
      </c>
      <c r="N66">
        <v>0.80764800000000003</v>
      </c>
      <c r="O66">
        <v>0.97020600000000001</v>
      </c>
      <c r="P66">
        <v>1.1334869999999999</v>
      </c>
      <c r="Q66">
        <v>1.2917350000000001</v>
      </c>
      <c r="R66">
        <v>1.4448160000000001</v>
      </c>
      <c r="S66">
        <v>1.592587</v>
      </c>
      <c r="T66">
        <v>1.7324390000000001</v>
      </c>
      <c r="U66">
        <v>1.863882</v>
      </c>
      <c r="V66">
        <v>1.9867170000000001</v>
      </c>
      <c r="W66">
        <v>2.0999690000000002</v>
      </c>
      <c r="X66">
        <v>2.2028690000000002</v>
      </c>
      <c r="Y66">
        <v>2.2947860000000002</v>
      </c>
      <c r="Z66">
        <v>2.3762560000000001</v>
      </c>
      <c r="AA66">
        <v>2.4492219999999998</v>
      </c>
      <c r="AB66">
        <v>2.5155270000000001</v>
      </c>
      <c r="AC66">
        <v>2.5756770000000002</v>
      </c>
      <c r="AD66">
        <v>2.6280060000000001</v>
      </c>
      <c r="AE66">
        <v>2.674652</v>
      </c>
      <c r="AF66">
        <v>2.7163680000000001</v>
      </c>
      <c r="AG66" s="31">
        <v>0.14199999999999999</v>
      </c>
    </row>
    <row r="67" spans="1:33" x14ac:dyDescent="0.25">
      <c r="A67" t="s">
        <v>221</v>
      </c>
      <c r="B67" t="s">
        <v>222</v>
      </c>
      <c r="C67" t="s">
        <v>223</v>
      </c>
      <c r="D67" t="s">
        <v>73</v>
      </c>
      <c r="F67">
        <v>4.4337000000000001E-2</v>
      </c>
      <c r="G67">
        <v>6.6201999999999997E-2</v>
      </c>
      <c r="H67">
        <v>9.8492999999999997E-2</v>
      </c>
      <c r="I67">
        <v>0.14113400000000001</v>
      </c>
      <c r="J67">
        <v>0.19359399999999999</v>
      </c>
      <c r="K67">
        <v>0.25625700000000001</v>
      </c>
      <c r="L67">
        <v>0.33226899999999998</v>
      </c>
      <c r="M67">
        <v>0.40964400000000001</v>
      </c>
      <c r="N67">
        <v>0.49610599999999999</v>
      </c>
      <c r="O67">
        <v>0.58273399999999997</v>
      </c>
      <c r="P67">
        <v>0.67127199999999998</v>
      </c>
      <c r="Q67">
        <v>0.75774600000000003</v>
      </c>
      <c r="R67">
        <v>0.84255199999999997</v>
      </c>
      <c r="S67">
        <v>0.92561800000000005</v>
      </c>
      <c r="T67">
        <v>1.0052989999999999</v>
      </c>
      <c r="U67">
        <v>1.0807180000000001</v>
      </c>
      <c r="V67">
        <v>1.151586</v>
      </c>
      <c r="W67">
        <v>1.2174419999999999</v>
      </c>
      <c r="X67">
        <v>1.277585</v>
      </c>
      <c r="Y67">
        <v>1.331949</v>
      </c>
      <c r="Z67">
        <v>1.380314</v>
      </c>
      <c r="AA67">
        <v>1.4238759999999999</v>
      </c>
      <c r="AB67">
        <v>1.4637</v>
      </c>
      <c r="AC67">
        <v>1.499768</v>
      </c>
      <c r="AD67">
        <v>1.5314890000000001</v>
      </c>
      <c r="AE67">
        <v>1.559817</v>
      </c>
      <c r="AF67">
        <v>1.58514</v>
      </c>
      <c r="AG67" s="31">
        <v>0.14699999999999999</v>
      </c>
    </row>
    <row r="68" spans="1:33" x14ac:dyDescent="0.25">
      <c r="A68" t="s">
        <v>224</v>
      </c>
      <c r="B68" t="s">
        <v>225</v>
      </c>
      <c r="C68" t="s">
        <v>226</v>
      </c>
      <c r="D68" t="s">
        <v>73</v>
      </c>
      <c r="F68">
        <v>1.8762000000000001E-2</v>
      </c>
      <c r="G68">
        <v>2.8121E-2</v>
      </c>
      <c r="H68">
        <v>4.2235000000000002E-2</v>
      </c>
      <c r="I68">
        <v>6.1641000000000001E-2</v>
      </c>
      <c r="J68">
        <v>8.6249999999999993E-2</v>
      </c>
      <c r="K68">
        <v>0.117048</v>
      </c>
      <c r="L68">
        <v>0.15936900000000001</v>
      </c>
      <c r="M68">
        <v>0.21291599999999999</v>
      </c>
      <c r="N68">
        <v>0.28401900000000002</v>
      </c>
      <c r="O68">
        <v>0.35977700000000001</v>
      </c>
      <c r="P68">
        <v>0.43437399999999998</v>
      </c>
      <c r="Q68">
        <v>0.50603100000000001</v>
      </c>
      <c r="R68">
        <v>0.57409600000000005</v>
      </c>
      <c r="S68">
        <v>0.638567</v>
      </c>
      <c r="T68">
        <v>0.69851600000000003</v>
      </c>
      <c r="U68">
        <v>0.75433700000000004</v>
      </c>
      <c r="V68">
        <v>0.80611299999999997</v>
      </c>
      <c r="W68">
        <v>0.85333000000000003</v>
      </c>
      <c r="X68">
        <v>0.89590400000000003</v>
      </c>
      <c r="Y68">
        <v>0.93331200000000003</v>
      </c>
      <c r="Z68">
        <v>0.96634600000000004</v>
      </c>
      <c r="AA68">
        <v>0.99562600000000001</v>
      </c>
      <c r="AB68">
        <v>1.0219309999999999</v>
      </c>
      <c r="AC68">
        <v>1.045841</v>
      </c>
      <c r="AD68">
        <v>1.066279</v>
      </c>
      <c r="AE68">
        <v>1.084419</v>
      </c>
      <c r="AF68">
        <v>1.1006229999999999</v>
      </c>
      <c r="AG68" s="31">
        <v>0.17</v>
      </c>
    </row>
    <row r="69" spans="1:33" x14ac:dyDescent="0.25">
      <c r="A69" t="s">
        <v>227</v>
      </c>
      <c r="B69" t="s">
        <v>228</v>
      </c>
      <c r="C69" t="s">
        <v>229</v>
      </c>
      <c r="D69" t="s">
        <v>73</v>
      </c>
      <c r="F69">
        <v>2.3082999999999999E-2</v>
      </c>
      <c r="G69">
        <v>2.4420000000000001E-2</v>
      </c>
      <c r="H69">
        <v>2.5214E-2</v>
      </c>
      <c r="I69">
        <v>2.5721000000000001E-2</v>
      </c>
      <c r="J69">
        <v>2.6169000000000001E-2</v>
      </c>
      <c r="K69">
        <v>2.665E-2</v>
      </c>
      <c r="L69">
        <v>2.7033000000000001E-2</v>
      </c>
      <c r="M69">
        <v>2.7289999999999998E-2</v>
      </c>
      <c r="N69">
        <v>2.7522000000000001E-2</v>
      </c>
      <c r="O69">
        <v>2.7695000000000001E-2</v>
      </c>
      <c r="P69">
        <v>2.784E-2</v>
      </c>
      <c r="Q69">
        <v>2.7958E-2</v>
      </c>
      <c r="R69">
        <v>2.8169E-2</v>
      </c>
      <c r="S69">
        <v>2.8402E-2</v>
      </c>
      <c r="T69">
        <v>2.8625000000000001E-2</v>
      </c>
      <c r="U69">
        <v>2.8826000000000001E-2</v>
      </c>
      <c r="V69">
        <v>2.9017999999999999E-2</v>
      </c>
      <c r="W69">
        <v>2.9196E-2</v>
      </c>
      <c r="X69">
        <v>2.938E-2</v>
      </c>
      <c r="Y69">
        <v>2.9524000000000002E-2</v>
      </c>
      <c r="Z69">
        <v>2.9595E-2</v>
      </c>
      <c r="AA69">
        <v>2.9721000000000001E-2</v>
      </c>
      <c r="AB69">
        <v>2.9895999999999999E-2</v>
      </c>
      <c r="AC69">
        <v>3.0068000000000001E-2</v>
      </c>
      <c r="AD69">
        <v>3.0238000000000001E-2</v>
      </c>
      <c r="AE69">
        <v>3.0415999999999999E-2</v>
      </c>
      <c r="AF69">
        <v>3.0606000000000001E-2</v>
      </c>
      <c r="AG69" s="31">
        <v>1.0999999999999999E-2</v>
      </c>
    </row>
    <row r="70" spans="1:33" x14ac:dyDescent="0.25">
      <c r="A70" t="s">
        <v>89</v>
      </c>
      <c r="B70" t="s">
        <v>230</v>
      </c>
      <c r="C70" t="s">
        <v>231</v>
      </c>
      <c r="D70" t="s">
        <v>73</v>
      </c>
      <c r="F70">
        <v>28.977941999999999</v>
      </c>
      <c r="G70">
        <v>29.052417999999999</v>
      </c>
      <c r="H70">
        <v>28.919353000000001</v>
      </c>
      <c r="I70">
        <v>28.635705999999999</v>
      </c>
      <c r="J70">
        <v>28.486167999999999</v>
      </c>
      <c r="K70">
        <v>28.270367</v>
      </c>
      <c r="L70">
        <v>27.962599000000001</v>
      </c>
      <c r="M70">
        <v>27.621645000000001</v>
      </c>
      <c r="N70">
        <v>27.215834000000001</v>
      </c>
      <c r="O70">
        <v>26.797094000000001</v>
      </c>
      <c r="P70">
        <v>26.428474000000001</v>
      </c>
      <c r="Q70">
        <v>26.061710000000001</v>
      </c>
      <c r="R70">
        <v>25.686388000000001</v>
      </c>
      <c r="S70">
        <v>25.32601</v>
      </c>
      <c r="T70">
        <v>25.002085000000001</v>
      </c>
      <c r="U70">
        <v>24.697227000000002</v>
      </c>
      <c r="V70">
        <v>24.463421</v>
      </c>
      <c r="W70">
        <v>24.242671999999999</v>
      </c>
      <c r="X70">
        <v>24.036894</v>
      </c>
      <c r="Y70">
        <v>23.886209000000001</v>
      </c>
      <c r="Z70">
        <v>23.740824</v>
      </c>
      <c r="AA70">
        <v>23.644314000000001</v>
      </c>
      <c r="AB70">
        <v>23.562954000000001</v>
      </c>
      <c r="AC70">
        <v>23.530042999999999</v>
      </c>
      <c r="AD70">
        <v>23.454747999999999</v>
      </c>
      <c r="AE70">
        <v>23.446096000000001</v>
      </c>
      <c r="AF70">
        <v>23.461812999999999</v>
      </c>
      <c r="AG70" s="31">
        <v>-8.0000000000000002E-3</v>
      </c>
    </row>
    <row r="71" spans="1:33" x14ac:dyDescent="0.25">
      <c r="A71" t="s">
        <v>92</v>
      </c>
      <c r="B71" t="s">
        <v>232</v>
      </c>
      <c r="C71" t="s">
        <v>233</v>
      </c>
      <c r="D71" t="s">
        <v>73</v>
      </c>
      <c r="F71">
        <v>0.122493</v>
      </c>
      <c r="G71">
        <v>0.16365299999999999</v>
      </c>
      <c r="H71">
        <v>0.215085</v>
      </c>
      <c r="I71">
        <v>0.28485199999999999</v>
      </c>
      <c r="J71">
        <v>0.37302400000000002</v>
      </c>
      <c r="K71">
        <v>0.47897299999999998</v>
      </c>
      <c r="L71">
        <v>0.59618000000000004</v>
      </c>
      <c r="M71">
        <v>0.723078</v>
      </c>
      <c r="N71">
        <v>0.84052099999999996</v>
      </c>
      <c r="O71">
        <v>0.97683799999999998</v>
      </c>
      <c r="P71">
        <v>1.0999680000000001</v>
      </c>
      <c r="Q71">
        <v>1.1985079999999999</v>
      </c>
      <c r="R71">
        <v>1.283477</v>
      </c>
      <c r="S71">
        <v>1.3408420000000001</v>
      </c>
      <c r="T71">
        <v>1.4124570000000001</v>
      </c>
      <c r="U71">
        <v>1.428655</v>
      </c>
      <c r="V71">
        <v>1.495428</v>
      </c>
      <c r="W71">
        <v>1.5771189999999999</v>
      </c>
      <c r="X71">
        <v>1.6509180000000001</v>
      </c>
      <c r="Y71">
        <v>1.7078580000000001</v>
      </c>
      <c r="Z71">
        <v>1.759217</v>
      </c>
      <c r="AA71">
        <v>1.7930809999999999</v>
      </c>
      <c r="AB71">
        <v>1.820859</v>
      </c>
      <c r="AC71">
        <v>1.8498410000000001</v>
      </c>
      <c r="AD71">
        <v>1.877937</v>
      </c>
      <c r="AE71">
        <v>1.905419</v>
      </c>
      <c r="AF71">
        <v>1.914463</v>
      </c>
      <c r="AG71" s="31">
        <v>0.112</v>
      </c>
    </row>
    <row r="72" spans="1:33" x14ac:dyDescent="0.25">
      <c r="A72" t="s">
        <v>183</v>
      </c>
      <c r="B72" t="s">
        <v>234</v>
      </c>
      <c r="C72" t="s">
        <v>235</v>
      </c>
      <c r="D72" t="s">
        <v>73</v>
      </c>
      <c r="F72">
        <v>2.3499999999999999E-4</v>
      </c>
      <c r="G72">
        <v>8.5400000000000005E-4</v>
      </c>
      <c r="H72">
        <v>1.902E-3</v>
      </c>
      <c r="I72">
        <v>3.5040000000000002E-3</v>
      </c>
      <c r="J72">
        <v>5.8739999999999999E-3</v>
      </c>
      <c r="K72">
        <v>8.744E-3</v>
      </c>
      <c r="L72">
        <v>1.2031E-2</v>
      </c>
      <c r="M72">
        <v>1.9625E-2</v>
      </c>
      <c r="N72">
        <v>3.7057E-2</v>
      </c>
      <c r="O72">
        <v>5.4294000000000002E-2</v>
      </c>
      <c r="P72">
        <v>7.0428000000000004E-2</v>
      </c>
      <c r="Q72">
        <v>8.5953000000000002E-2</v>
      </c>
      <c r="R72">
        <v>0.10029200000000001</v>
      </c>
      <c r="S72">
        <v>0.112843</v>
      </c>
      <c r="T72">
        <v>0.124778</v>
      </c>
      <c r="U72">
        <v>0.13621900000000001</v>
      </c>
      <c r="V72">
        <v>0.14751400000000001</v>
      </c>
      <c r="W72">
        <v>0.158279</v>
      </c>
      <c r="X72">
        <v>0.16785700000000001</v>
      </c>
      <c r="Y72">
        <v>0.17672599999999999</v>
      </c>
      <c r="Z72">
        <v>0.185003</v>
      </c>
      <c r="AA72">
        <v>0.192463</v>
      </c>
      <c r="AB72">
        <v>0.19877400000000001</v>
      </c>
      <c r="AC72">
        <v>0.203787</v>
      </c>
      <c r="AD72">
        <v>0.20916599999999999</v>
      </c>
      <c r="AE72">
        <v>0.21183399999999999</v>
      </c>
      <c r="AF72">
        <v>0.21626000000000001</v>
      </c>
      <c r="AG72" s="31">
        <v>0.3</v>
      </c>
    </row>
    <row r="73" spans="1:33" x14ac:dyDescent="0.25">
      <c r="A73" t="s">
        <v>95</v>
      </c>
      <c r="B73" t="s">
        <v>236</v>
      </c>
      <c r="C73" t="s">
        <v>237</v>
      </c>
      <c r="D73" t="s">
        <v>73</v>
      </c>
      <c r="F73">
        <v>29.100667999999999</v>
      </c>
      <c r="G73">
        <v>29.216925</v>
      </c>
      <c r="H73">
        <v>29.136339</v>
      </c>
      <c r="I73">
        <v>28.924060999999998</v>
      </c>
      <c r="J73">
        <v>28.865067</v>
      </c>
      <c r="K73">
        <v>28.758085000000001</v>
      </c>
      <c r="L73">
        <v>28.570810000000002</v>
      </c>
      <c r="M73">
        <v>28.364346999999999</v>
      </c>
      <c r="N73">
        <v>28.093412000000001</v>
      </c>
      <c r="O73">
        <v>27.828226000000001</v>
      </c>
      <c r="P73">
        <v>27.598870999999999</v>
      </c>
      <c r="Q73">
        <v>27.346170000000001</v>
      </c>
      <c r="R73">
        <v>27.070157999999999</v>
      </c>
      <c r="S73">
        <v>26.779693999999999</v>
      </c>
      <c r="T73">
        <v>26.539318000000002</v>
      </c>
      <c r="U73">
        <v>26.2621</v>
      </c>
      <c r="V73">
        <v>26.106363000000002</v>
      </c>
      <c r="W73">
        <v>25.978071</v>
      </c>
      <c r="X73">
        <v>25.855668999999999</v>
      </c>
      <c r="Y73">
        <v>25.770792</v>
      </c>
      <c r="Z73">
        <v>25.685043</v>
      </c>
      <c r="AA73">
        <v>25.629857999999999</v>
      </c>
      <c r="AB73">
        <v>25.582588000000001</v>
      </c>
      <c r="AC73">
        <v>25.583670000000001</v>
      </c>
      <c r="AD73">
        <v>25.541851000000001</v>
      </c>
      <c r="AE73">
        <v>25.563348999999999</v>
      </c>
      <c r="AF73">
        <v>25.592537</v>
      </c>
      <c r="AG73" s="31">
        <v>-5.0000000000000001E-3</v>
      </c>
    </row>
    <row r="74" spans="1:33" x14ac:dyDescent="0.25">
      <c r="A74" t="s">
        <v>238</v>
      </c>
    </row>
    <row r="75" spans="1:33" x14ac:dyDescent="0.25">
      <c r="A75" t="s">
        <v>95</v>
      </c>
      <c r="B75" t="s">
        <v>239</v>
      </c>
      <c r="C75" t="s">
        <v>240</v>
      </c>
      <c r="D75" t="s">
        <v>73</v>
      </c>
      <c r="F75">
        <v>-0.74169099999999999</v>
      </c>
      <c r="G75">
        <v>-0.53466800000000003</v>
      </c>
      <c r="H75">
        <v>-0.407275</v>
      </c>
      <c r="I75">
        <v>-0.28057100000000001</v>
      </c>
      <c r="J75">
        <v>-0.27667700000000001</v>
      </c>
      <c r="K75">
        <v>-0.271866</v>
      </c>
      <c r="L75">
        <v>-0.26572299999999999</v>
      </c>
      <c r="M75">
        <v>-0.25930399999999998</v>
      </c>
      <c r="N75">
        <v>-0.25118299999999999</v>
      </c>
      <c r="O75">
        <v>-0.24310499999999999</v>
      </c>
      <c r="P75">
        <v>-0.235512</v>
      </c>
      <c r="Q75">
        <v>-0.22800999999999999</v>
      </c>
      <c r="R75">
        <v>-0.22043399999999999</v>
      </c>
      <c r="S75">
        <v>-0.213116</v>
      </c>
      <c r="T75">
        <v>-0.20640500000000001</v>
      </c>
      <c r="U75">
        <v>-0.19999700000000001</v>
      </c>
      <c r="V75">
        <v>-0.19442200000000001</v>
      </c>
      <c r="W75">
        <v>-0.18925</v>
      </c>
      <c r="X75">
        <v>-0.18430299999999999</v>
      </c>
      <c r="Y75">
        <v>-0.18026800000000001</v>
      </c>
      <c r="Z75">
        <v>-0.17633599999999999</v>
      </c>
      <c r="AA75">
        <v>-0.17319899999999999</v>
      </c>
      <c r="AB75">
        <v>-0.170374</v>
      </c>
      <c r="AC75">
        <v>-0.16818</v>
      </c>
      <c r="AD75">
        <v>-0.16558100000000001</v>
      </c>
      <c r="AE75">
        <v>-0.16389400000000001</v>
      </c>
      <c r="AF75">
        <v>-0.16254299999999999</v>
      </c>
      <c r="AG75" s="31">
        <v>-5.7000000000000002E-2</v>
      </c>
    </row>
    <row r="76" spans="1:33" x14ac:dyDescent="0.25">
      <c r="A76" s="1" t="s">
        <v>241</v>
      </c>
      <c r="B76" t="s">
        <v>242</v>
      </c>
    </row>
    <row r="77" spans="1:33" x14ac:dyDescent="0.25">
      <c r="A77" t="s">
        <v>243</v>
      </c>
      <c r="B77" t="s">
        <v>244</v>
      </c>
      <c r="C77" t="s">
        <v>245</v>
      </c>
      <c r="D77" t="s">
        <v>73</v>
      </c>
      <c r="F77">
        <v>4.2096410000000004</v>
      </c>
      <c r="G77">
        <v>4.3111629999999996</v>
      </c>
      <c r="H77">
        <v>4.308465</v>
      </c>
      <c r="I77">
        <v>4.314057</v>
      </c>
      <c r="J77">
        <v>4.3211659999999998</v>
      </c>
      <c r="K77">
        <v>4.3261159999999999</v>
      </c>
      <c r="L77">
        <v>4.3287339999999999</v>
      </c>
      <c r="M77">
        <v>4.3287789999999999</v>
      </c>
      <c r="N77">
        <v>4.3288169999999999</v>
      </c>
      <c r="O77">
        <v>4.3287089999999999</v>
      </c>
      <c r="P77">
        <v>4.3238570000000003</v>
      </c>
      <c r="Q77">
        <v>4.319674</v>
      </c>
      <c r="R77">
        <v>4.3178520000000002</v>
      </c>
      <c r="S77">
        <v>4.3137350000000003</v>
      </c>
      <c r="T77">
        <v>4.3446490000000004</v>
      </c>
      <c r="U77">
        <v>4.4146879999999999</v>
      </c>
      <c r="V77">
        <v>4.4915560000000001</v>
      </c>
      <c r="W77">
        <v>4.5537510000000001</v>
      </c>
      <c r="X77">
        <v>4.6185210000000003</v>
      </c>
      <c r="Y77">
        <v>4.6648829999999997</v>
      </c>
      <c r="Z77">
        <v>4.6391999999999998</v>
      </c>
      <c r="AA77">
        <v>4.6024589999999996</v>
      </c>
      <c r="AB77">
        <v>4.643802</v>
      </c>
      <c r="AC77">
        <v>4.719849</v>
      </c>
      <c r="AD77">
        <v>4.7760850000000001</v>
      </c>
      <c r="AE77">
        <v>4.7521430000000002</v>
      </c>
      <c r="AF77">
        <v>4.7268679999999996</v>
      </c>
      <c r="AG77" s="31">
        <v>4.0000000000000001E-3</v>
      </c>
    </row>
    <row r="78" spans="1:33" x14ac:dyDescent="0.25">
      <c r="A78" t="s">
        <v>101</v>
      </c>
      <c r="B78" t="s">
        <v>246</v>
      </c>
      <c r="C78" t="s">
        <v>247</v>
      </c>
      <c r="D78" t="s">
        <v>73</v>
      </c>
      <c r="F78">
        <v>16.513548</v>
      </c>
      <c r="G78">
        <v>16.489156999999999</v>
      </c>
      <c r="H78">
        <v>16.473248999999999</v>
      </c>
      <c r="I78">
        <v>16.364160999999999</v>
      </c>
      <c r="J78">
        <v>16.130832999999999</v>
      </c>
      <c r="K78">
        <v>15.836448000000001</v>
      </c>
      <c r="L78">
        <v>15.462358999999999</v>
      </c>
      <c r="M78">
        <v>15.086967</v>
      </c>
      <c r="N78">
        <v>14.635192999999999</v>
      </c>
      <c r="O78">
        <v>14.174006</v>
      </c>
      <c r="P78">
        <v>13.730399</v>
      </c>
      <c r="Q78">
        <v>13.285722</v>
      </c>
      <c r="R78">
        <v>12.821792</v>
      </c>
      <c r="S78">
        <v>12.365026</v>
      </c>
      <c r="T78">
        <v>11.944914000000001</v>
      </c>
      <c r="U78">
        <v>11.546367</v>
      </c>
      <c r="V78">
        <v>11.193057</v>
      </c>
      <c r="W78">
        <v>10.870225</v>
      </c>
      <c r="X78">
        <v>10.552911999999999</v>
      </c>
      <c r="Y78">
        <v>10.300356000000001</v>
      </c>
      <c r="Z78">
        <v>10.049175999999999</v>
      </c>
      <c r="AA78">
        <v>9.8499569999999999</v>
      </c>
      <c r="AB78">
        <v>9.6650930000000006</v>
      </c>
      <c r="AC78">
        <v>9.5220990000000008</v>
      </c>
      <c r="AD78">
        <v>9.3479120000000009</v>
      </c>
      <c r="AE78">
        <v>9.2362929999999999</v>
      </c>
      <c r="AF78">
        <v>9.1515050000000002</v>
      </c>
      <c r="AG78" s="31">
        <v>-2.1999999999999999E-2</v>
      </c>
    </row>
    <row r="79" spans="1:33" x14ac:dyDescent="0.25">
      <c r="A79" t="s">
        <v>193</v>
      </c>
      <c r="B79" t="s">
        <v>248</v>
      </c>
      <c r="C79" t="s">
        <v>249</v>
      </c>
      <c r="D79" t="s">
        <v>73</v>
      </c>
      <c r="F79">
        <v>3.7429999999999998E-3</v>
      </c>
      <c r="G79">
        <v>3.4680000000000002E-3</v>
      </c>
      <c r="H79">
        <v>3.0929999999999998E-3</v>
      </c>
      <c r="I79">
        <v>2.8969999999999998E-3</v>
      </c>
      <c r="J79">
        <v>2.8110000000000001E-3</v>
      </c>
      <c r="K79">
        <v>2.9139999999999999E-3</v>
      </c>
      <c r="L79">
        <v>2.7620000000000001E-3</v>
      </c>
      <c r="M79">
        <v>2.552E-3</v>
      </c>
      <c r="N79">
        <v>2.3749999999999999E-3</v>
      </c>
      <c r="O79">
        <v>2.2269999999999998E-3</v>
      </c>
      <c r="P79">
        <v>2.1090000000000002E-3</v>
      </c>
      <c r="Q79">
        <v>1.9840000000000001E-3</v>
      </c>
      <c r="R79">
        <v>1.859E-3</v>
      </c>
      <c r="S79">
        <v>1.7639999999999999E-3</v>
      </c>
      <c r="T79">
        <v>1.6659999999999999E-3</v>
      </c>
      <c r="U79">
        <v>1.591E-3</v>
      </c>
      <c r="V79">
        <v>1.555E-3</v>
      </c>
      <c r="W79">
        <v>1.5219999999999999E-3</v>
      </c>
      <c r="X79">
        <v>1.495E-3</v>
      </c>
      <c r="Y79">
        <v>1.48E-3</v>
      </c>
      <c r="Z79">
        <v>1.5020000000000001E-3</v>
      </c>
      <c r="AA79">
        <v>1.4630000000000001E-3</v>
      </c>
      <c r="AB79">
        <v>1.459E-3</v>
      </c>
      <c r="AC79">
        <v>1.4920000000000001E-3</v>
      </c>
      <c r="AD79">
        <v>1.488E-3</v>
      </c>
      <c r="AE79">
        <v>1.488E-3</v>
      </c>
      <c r="AF79">
        <v>1.48E-3</v>
      </c>
      <c r="AG79" s="31">
        <v>-3.5000000000000003E-2</v>
      </c>
    </row>
    <row r="80" spans="1:33" x14ac:dyDescent="0.25">
      <c r="A80" t="s">
        <v>196</v>
      </c>
      <c r="B80" t="s">
        <v>250</v>
      </c>
      <c r="C80" t="s">
        <v>251</v>
      </c>
      <c r="D80" t="s">
        <v>73</v>
      </c>
      <c r="F80">
        <v>3.5202260000000001</v>
      </c>
      <c r="G80">
        <v>3.5730430000000002</v>
      </c>
      <c r="H80">
        <v>3.5801639999999999</v>
      </c>
      <c r="I80">
        <v>3.5942850000000002</v>
      </c>
      <c r="J80">
        <v>3.6221040000000002</v>
      </c>
      <c r="K80">
        <v>3.6564160000000001</v>
      </c>
      <c r="L80">
        <v>3.6863510000000002</v>
      </c>
      <c r="M80">
        <v>3.7068750000000001</v>
      </c>
      <c r="N80">
        <v>3.7311939999999999</v>
      </c>
      <c r="O80">
        <v>3.7550829999999999</v>
      </c>
      <c r="P80">
        <v>3.7791610000000002</v>
      </c>
      <c r="Q80">
        <v>3.812392</v>
      </c>
      <c r="R80">
        <v>3.8444950000000002</v>
      </c>
      <c r="S80">
        <v>3.880754</v>
      </c>
      <c r="T80">
        <v>3.9192770000000001</v>
      </c>
      <c r="U80">
        <v>3.9593790000000002</v>
      </c>
      <c r="V80">
        <v>4.0022989999999998</v>
      </c>
      <c r="W80">
        <v>4.040978</v>
      </c>
      <c r="X80">
        <v>4.0819979999999996</v>
      </c>
      <c r="Y80">
        <v>4.120088</v>
      </c>
      <c r="Z80">
        <v>4.1585749999999999</v>
      </c>
      <c r="AA80">
        <v>4.1959350000000004</v>
      </c>
      <c r="AB80">
        <v>4.2343650000000004</v>
      </c>
      <c r="AC80">
        <v>4.2727930000000001</v>
      </c>
      <c r="AD80">
        <v>4.3107620000000004</v>
      </c>
      <c r="AE80">
        <v>4.3497570000000003</v>
      </c>
      <c r="AF80">
        <v>4.3883989999999997</v>
      </c>
      <c r="AG80" s="31">
        <v>8.9999999999999993E-3</v>
      </c>
    </row>
    <row r="81" spans="1:33" x14ac:dyDescent="0.25">
      <c r="A81" t="s">
        <v>104</v>
      </c>
      <c r="B81" t="s">
        <v>252</v>
      </c>
      <c r="C81" t="s">
        <v>253</v>
      </c>
      <c r="D81" t="s">
        <v>73</v>
      </c>
      <c r="F81">
        <v>3.189E-3</v>
      </c>
      <c r="G81">
        <v>2.751E-3</v>
      </c>
      <c r="H81">
        <v>4.1710000000000002E-3</v>
      </c>
      <c r="I81">
        <v>4.1879999999999999E-3</v>
      </c>
      <c r="J81">
        <v>4.0480000000000004E-3</v>
      </c>
      <c r="K81">
        <v>3.5850000000000001E-3</v>
      </c>
      <c r="L81">
        <v>3.1930000000000001E-3</v>
      </c>
      <c r="M81">
        <v>3.1210000000000001E-3</v>
      </c>
      <c r="N81">
        <v>3.153E-3</v>
      </c>
      <c r="O81">
        <v>2.9780000000000002E-3</v>
      </c>
      <c r="P81">
        <v>2.9060000000000002E-3</v>
      </c>
      <c r="Q81">
        <v>2.794E-3</v>
      </c>
      <c r="R81">
        <v>2.761E-3</v>
      </c>
      <c r="S81">
        <v>2.624E-3</v>
      </c>
      <c r="T81">
        <v>2.5179999999999998E-3</v>
      </c>
      <c r="U81">
        <v>2.4650000000000002E-3</v>
      </c>
      <c r="V81">
        <v>2.3630000000000001E-3</v>
      </c>
      <c r="W81">
        <v>2.2300000000000002E-3</v>
      </c>
      <c r="X81">
        <v>2.1129999999999999E-3</v>
      </c>
      <c r="Y81">
        <v>1.9759999999999999E-3</v>
      </c>
      <c r="Z81">
        <v>1.776E-3</v>
      </c>
      <c r="AA81">
        <v>1.7949999999999999E-3</v>
      </c>
      <c r="AB81">
        <v>1.761E-3</v>
      </c>
      <c r="AC81">
        <v>1.75E-3</v>
      </c>
      <c r="AD81">
        <v>1.758E-3</v>
      </c>
      <c r="AE81">
        <v>1.737E-3</v>
      </c>
      <c r="AF81">
        <v>1.6980000000000001E-3</v>
      </c>
      <c r="AG81" s="31">
        <v>-2.4E-2</v>
      </c>
    </row>
    <row r="82" spans="1:33" x14ac:dyDescent="0.25">
      <c r="A82" t="s">
        <v>74</v>
      </c>
      <c r="B82" t="s">
        <v>254</v>
      </c>
      <c r="C82" t="s">
        <v>255</v>
      </c>
      <c r="D82" t="s">
        <v>73</v>
      </c>
      <c r="F82">
        <v>8.6236719999999991</v>
      </c>
      <c r="G82">
        <v>8.930517</v>
      </c>
      <c r="H82">
        <v>8.8767370000000003</v>
      </c>
      <c r="I82">
        <v>8.7784460000000006</v>
      </c>
      <c r="J82">
        <v>8.7171509999999994</v>
      </c>
      <c r="K82">
        <v>8.6464490000000005</v>
      </c>
      <c r="L82">
        <v>8.5424000000000007</v>
      </c>
      <c r="M82">
        <v>8.4113209999999992</v>
      </c>
      <c r="N82">
        <v>8.2117529999999999</v>
      </c>
      <c r="O82">
        <v>8.0217679999999998</v>
      </c>
      <c r="P82">
        <v>7.8565509999999996</v>
      </c>
      <c r="Q82">
        <v>7.7030469999999998</v>
      </c>
      <c r="R82">
        <v>7.568524</v>
      </c>
      <c r="S82">
        <v>7.4452020000000001</v>
      </c>
      <c r="T82">
        <v>7.3344610000000001</v>
      </c>
      <c r="U82">
        <v>7.2241540000000004</v>
      </c>
      <c r="V82">
        <v>7.1369769999999999</v>
      </c>
      <c r="W82">
        <v>7.0479190000000003</v>
      </c>
      <c r="X82">
        <v>6.9749850000000002</v>
      </c>
      <c r="Y82">
        <v>6.9078379999999999</v>
      </c>
      <c r="Z82">
        <v>6.8489259999999996</v>
      </c>
      <c r="AA82">
        <v>6.8061389999999999</v>
      </c>
      <c r="AB82">
        <v>6.7782460000000002</v>
      </c>
      <c r="AC82">
        <v>6.7588920000000003</v>
      </c>
      <c r="AD82">
        <v>6.7391819999999996</v>
      </c>
      <c r="AE82">
        <v>6.7307230000000002</v>
      </c>
      <c r="AF82">
        <v>6.7191989999999997</v>
      </c>
      <c r="AG82" s="31">
        <v>-0.01</v>
      </c>
    </row>
    <row r="83" spans="1:33" x14ac:dyDescent="0.25">
      <c r="A83" t="s">
        <v>109</v>
      </c>
      <c r="B83" t="s">
        <v>256</v>
      </c>
      <c r="C83" t="s">
        <v>257</v>
      </c>
      <c r="D83" t="s">
        <v>73</v>
      </c>
      <c r="F83">
        <v>0.595414</v>
      </c>
      <c r="G83">
        <v>0.55826299999999995</v>
      </c>
      <c r="H83">
        <v>0.55419300000000005</v>
      </c>
      <c r="I83">
        <v>0.56206199999999995</v>
      </c>
      <c r="J83">
        <v>0.56713000000000002</v>
      </c>
      <c r="K83">
        <v>0.57410799999999995</v>
      </c>
      <c r="L83">
        <v>0.58125599999999999</v>
      </c>
      <c r="M83">
        <v>0.58689999999999998</v>
      </c>
      <c r="N83">
        <v>0.591499</v>
      </c>
      <c r="O83">
        <v>0.59510799999999997</v>
      </c>
      <c r="P83">
        <v>0.60128099999999995</v>
      </c>
      <c r="Q83">
        <v>0.60652099999999998</v>
      </c>
      <c r="R83">
        <v>0.61058199999999996</v>
      </c>
      <c r="S83">
        <v>0.61611899999999997</v>
      </c>
      <c r="T83">
        <v>0.61977800000000005</v>
      </c>
      <c r="U83">
        <v>0.62491099999999999</v>
      </c>
      <c r="V83">
        <v>0.62956900000000005</v>
      </c>
      <c r="W83">
        <v>0.63351900000000005</v>
      </c>
      <c r="X83">
        <v>0.63771</v>
      </c>
      <c r="Y83">
        <v>0.64159900000000003</v>
      </c>
      <c r="Z83">
        <v>0.64896399999999999</v>
      </c>
      <c r="AA83">
        <v>0.65237900000000004</v>
      </c>
      <c r="AB83">
        <v>0.65529300000000001</v>
      </c>
      <c r="AC83">
        <v>0.66009700000000004</v>
      </c>
      <c r="AD83">
        <v>0.664049</v>
      </c>
      <c r="AE83">
        <v>0.66743200000000003</v>
      </c>
      <c r="AF83">
        <v>0.66905800000000004</v>
      </c>
      <c r="AG83" s="31">
        <v>4.0000000000000001E-3</v>
      </c>
    </row>
    <row r="84" spans="1:33" x14ac:dyDescent="0.25">
      <c r="A84" t="s">
        <v>140</v>
      </c>
      <c r="B84" t="s">
        <v>258</v>
      </c>
      <c r="C84" t="s">
        <v>259</v>
      </c>
      <c r="D84" t="s">
        <v>73</v>
      </c>
      <c r="F84">
        <v>0.39052500000000001</v>
      </c>
      <c r="G84">
        <v>0.35499999999999998</v>
      </c>
      <c r="H84">
        <v>0.55000000000000004</v>
      </c>
      <c r="I84">
        <v>0.55000000000000004</v>
      </c>
      <c r="J84">
        <v>0.55000000000000004</v>
      </c>
      <c r="K84">
        <v>0.55000000000000004</v>
      </c>
      <c r="L84">
        <v>0.55000000000000004</v>
      </c>
      <c r="M84">
        <v>0.55000000000000004</v>
      </c>
      <c r="N84">
        <v>0.55000000000000004</v>
      </c>
      <c r="O84">
        <v>0.55000000000000004</v>
      </c>
      <c r="P84">
        <v>0.55000000000000004</v>
      </c>
      <c r="Q84">
        <v>0.55000000000000004</v>
      </c>
      <c r="R84">
        <v>0.55000000000000004</v>
      </c>
      <c r="S84">
        <v>0.55000000000000004</v>
      </c>
      <c r="T84">
        <v>0.55000000000000004</v>
      </c>
      <c r="U84">
        <v>0.55000000000000004</v>
      </c>
      <c r="V84">
        <v>0.55000000000000004</v>
      </c>
      <c r="W84">
        <v>0.55000000000000004</v>
      </c>
      <c r="X84">
        <v>0.55000000000000004</v>
      </c>
      <c r="Y84">
        <v>0.55000000000000004</v>
      </c>
      <c r="Z84">
        <v>0.69557999999999998</v>
      </c>
      <c r="AA84">
        <v>0.84116000000000002</v>
      </c>
      <c r="AB84">
        <v>0.84116000000000002</v>
      </c>
      <c r="AC84">
        <v>0.84116000000000002</v>
      </c>
      <c r="AD84">
        <v>0.84116000000000002</v>
      </c>
      <c r="AE84">
        <v>0.96409500000000004</v>
      </c>
      <c r="AF84">
        <v>1.087029</v>
      </c>
      <c r="AG84" s="31">
        <v>0.04</v>
      </c>
    </row>
    <row r="85" spans="1:33" x14ac:dyDescent="0.25">
      <c r="A85" t="s">
        <v>143</v>
      </c>
      <c r="B85" t="s">
        <v>260</v>
      </c>
      <c r="C85" t="s">
        <v>261</v>
      </c>
      <c r="D85" t="s">
        <v>73</v>
      </c>
      <c r="F85">
        <v>3.2295769999999999</v>
      </c>
      <c r="G85">
        <v>3.2699889999999998</v>
      </c>
      <c r="H85">
        <v>3.2308780000000001</v>
      </c>
      <c r="I85">
        <v>3.2593999999999999</v>
      </c>
      <c r="J85">
        <v>3.3054290000000002</v>
      </c>
      <c r="K85">
        <v>3.297212</v>
      </c>
      <c r="L85">
        <v>3.3317030000000001</v>
      </c>
      <c r="M85">
        <v>3.3492299999999999</v>
      </c>
      <c r="N85">
        <v>3.348611</v>
      </c>
      <c r="O85">
        <v>3.3352200000000001</v>
      </c>
      <c r="P85">
        <v>3.3481969999999999</v>
      </c>
      <c r="Q85">
        <v>3.3464689999999999</v>
      </c>
      <c r="R85">
        <v>3.3605480000000001</v>
      </c>
      <c r="S85">
        <v>3.365189</v>
      </c>
      <c r="T85">
        <v>3.3656350000000002</v>
      </c>
      <c r="U85">
        <v>3.376118</v>
      </c>
      <c r="V85">
        <v>3.3936289999999998</v>
      </c>
      <c r="W85">
        <v>3.4016700000000002</v>
      </c>
      <c r="X85">
        <v>3.3904709999999998</v>
      </c>
      <c r="Y85">
        <v>3.4068040000000002</v>
      </c>
      <c r="Z85">
        <v>3.4069630000000002</v>
      </c>
      <c r="AA85">
        <v>3.4061319999999999</v>
      </c>
      <c r="AB85">
        <v>3.4185539999999999</v>
      </c>
      <c r="AC85">
        <v>3.437011</v>
      </c>
      <c r="AD85">
        <v>3.4370910000000001</v>
      </c>
      <c r="AE85">
        <v>3.4337620000000002</v>
      </c>
      <c r="AF85">
        <v>3.4202460000000001</v>
      </c>
      <c r="AG85" s="31">
        <v>2E-3</v>
      </c>
    </row>
    <row r="86" spans="1:33" s="32" customFormat="1" x14ac:dyDescent="0.25">
      <c r="A86" s="32" t="s">
        <v>77</v>
      </c>
      <c r="B86" s="32" t="s">
        <v>262</v>
      </c>
      <c r="C86" s="32" t="s">
        <v>263</v>
      </c>
      <c r="D86" s="32" t="s">
        <v>73</v>
      </c>
      <c r="F86" s="32">
        <v>37.085793000000002</v>
      </c>
      <c r="G86" s="32">
        <v>37.489882999999999</v>
      </c>
      <c r="H86" s="32">
        <v>37.577854000000002</v>
      </c>
      <c r="I86" s="32">
        <v>37.426597999999998</v>
      </c>
      <c r="J86" s="32">
        <v>37.217857000000002</v>
      </c>
      <c r="K86" s="32">
        <v>36.890331000000003</v>
      </c>
      <c r="L86" s="32">
        <v>36.485996</v>
      </c>
      <c r="M86" s="32">
        <v>36.023192999999999</v>
      </c>
      <c r="N86" s="32">
        <v>35.400219</v>
      </c>
      <c r="O86" s="32">
        <v>34.762870999999997</v>
      </c>
      <c r="P86" s="32">
        <v>34.192352</v>
      </c>
      <c r="Q86" s="32">
        <v>33.626617000000003</v>
      </c>
      <c r="R86" s="32">
        <v>33.076552999999997</v>
      </c>
      <c r="S86" s="32">
        <v>32.538646999999997</v>
      </c>
      <c r="T86" s="32">
        <v>32.081234000000002</v>
      </c>
      <c r="U86" s="32">
        <v>31.698080000000001</v>
      </c>
      <c r="V86" s="32">
        <v>31.399448</v>
      </c>
      <c r="W86" s="32">
        <v>31.100292</v>
      </c>
      <c r="X86" s="32">
        <v>30.808707999999999</v>
      </c>
      <c r="Y86" s="32">
        <v>30.593544000000001</v>
      </c>
      <c r="Z86" s="32">
        <v>30.449158000000001</v>
      </c>
      <c r="AA86" s="32">
        <v>30.355955000000002</v>
      </c>
      <c r="AB86" s="32">
        <v>30.238275999999999</v>
      </c>
      <c r="AC86" s="32">
        <v>30.213650000000001</v>
      </c>
      <c r="AD86" s="32">
        <v>30.117999999999999</v>
      </c>
      <c r="AE86" s="32">
        <v>30.135940999999999</v>
      </c>
      <c r="AF86" s="32">
        <v>30.164000000000001</v>
      </c>
      <c r="AG86" s="33">
        <v>-8.0000000000000002E-3</v>
      </c>
    </row>
    <row r="87" spans="1:33" x14ac:dyDescent="0.25">
      <c r="A87" t="s">
        <v>80</v>
      </c>
      <c r="B87" t="s">
        <v>264</v>
      </c>
      <c r="C87" t="s">
        <v>265</v>
      </c>
      <c r="D87" t="s">
        <v>73</v>
      </c>
      <c r="F87">
        <v>15.922084999999999</v>
      </c>
      <c r="G87">
        <v>16.589268000000001</v>
      </c>
      <c r="H87">
        <v>16.433655000000002</v>
      </c>
      <c r="I87">
        <v>16.467925999999999</v>
      </c>
      <c r="J87">
        <v>16.476635000000002</v>
      </c>
      <c r="K87">
        <v>16.485569000000002</v>
      </c>
      <c r="L87">
        <v>16.473749000000002</v>
      </c>
      <c r="M87">
        <v>16.472303</v>
      </c>
      <c r="N87">
        <v>16.420673000000001</v>
      </c>
      <c r="O87">
        <v>16.331054999999999</v>
      </c>
      <c r="P87">
        <v>16.244268000000002</v>
      </c>
      <c r="Q87">
        <v>16.183437000000001</v>
      </c>
      <c r="R87">
        <v>16.155165</v>
      </c>
      <c r="S87">
        <v>16.150697999999998</v>
      </c>
      <c r="T87">
        <v>16.180745999999999</v>
      </c>
      <c r="U87">
        <v>16.226548999999999</v>
      </c>
      <c r="V87">
        <v>16.269404999999999</v>
      </c>
      <c r="W87">
        <v>16.272172999999999</v>
      </c>
      <c r="X87">
        <v>16.274857000000001</v>
      </c>
      <c r="Y87">
        <v>16.296431999999999</v>
      </c>
      <c r="Z87">
        <v>16.305250000000001</v>
      </c>
      <c r="AA87">
        <v>16.318612999999999</v>
      </c>
      <c r="AB87">
        <v>16.333918000000001</v>
      </c>
      <c r="AC87">
        <v>16.378664000000001</v>
      </c>
      <c r="AD87">
        <v>16.412935000000001</v>
      </c>
      <c r="AE87">
        <v>16.440083000000001</v>
      </c>
      <c r="AF87">
        <v>16.456854</v>
      </c>
      <c r="AG87" s="31">
        <v>1E-3</v>
      </c>
    </row>
    <row r="88" spans="1:33" x14ac:dyDescent="0.25">
      <c r="A88" t="s">
        <v>150</v>
      </c>
      <c r="B88" t="s">
        <v>266</v>
      </c>
      <c r="C88" t="s">
        <v>267</v>
      </c>
      <c r="D88" t="s">
        <v>73</v>
      </c>
      <c r="F88">
        <v>2.0452949999999999</v>
      </c>
      <c r="G88">
        <v>2.0521980000000002</v>
      </c>
      <c r="H88">
        <v>2.1515580000000001</v>
      </c>
      <c r="I88">
        <v>2.1604230000000002</v>
      </c>
      <c r="J88">
        <v>2.2060050000000002</v>
      </c>
      <c r="K88">
        <v>2.226782</v>
      </c>
      <c r="L88">
        <v>2.2380469999999999</v>
      </c>
      <c r="M88">
        <v>2.2325900000000001</v>
      </c>
      <c r="N88">
        <v>2.285561</v>
      </c>
      <c r="O88">
        <v>2.2989380000000001</v>
      </c>
      <c r="P88">
        <v>2.3135829999999999</v>
      </c>
      <c r="Q88">
        <v>2.3050079999999999</v>
      </c>
      <c r="R88">
        <v>2.2963170000000002</v>
      </c>
      <c r="S88">
        <v>2.271652</v>
      </c>
      <c r="T88">
        <v>2.265647</v>
      </c>
      <c r="U88">
        <v>2.2465199999999999</v>
      </c>
      <c r="V88">
        <v>2.2501500000000001</v>
      </c>
      <c r="W88">
        <v>2.2605300000000002</v>
      </c>
      <c r="X88">
        <v>2.271182</v>
      </c>
      <c r="Y88">
        <v>2.275658</v>
      </c>
      <c r="Z88">
        <v>2.278661</v>
      </c>
      <c r="AA88">
        <v>2.28227</v>
      </c>
      <c r="AB88">
        <v>2.2915199999999998</v>
      </c>
      <c r="AC88">
        <v>2.3010579999999998</v>
      </c>
      <c r="AD88">
        <v>2.3056939999999999</v>
      </c>
      <c r="AE88">
        <v>2.3112720000000002</v>
      </c>
      <c r="AF88">
        <v>2.318181</v>
      </c>
      <c r="AG88" s="31">
        <v>5.0000000000000001E-3</v>
      </c>
    </row>
    <row r="89" spans="1:33" x14ac:dyDescent="0.25">
      <c r="A89" t="s">
        <v>210</v>
      </c>
      <c r="B89" t="s">
        <v>268</v>
      </c>
      <c r="C89" t="s">
        <v>269</v>
      </c>
      <c r="D89" t="s">
        <v>73</v>
      </c>
      <c r="F89">
        <v>0.36798999999999998</v>
      </c>
      <c r="G89">
        <v>0.42041099999999998</v>
      </c>
      <c r="H89">
        <v>0.44769300000000001</v>
      </c>
      <c r="I89">
        <v>0.44849299999999998</v>
      </c>
      <c r="J89">
        <v>0.53499699999999994</v>
      </c>
      <c r="K89">
        <v>0.59558800000000001</v>
      </c>
      <c r="L89">
        <v>0.65857699999999997</v>
      </c>
      <c r="M89">
        <v>0.67561300000000002</v>
      </c>
      <c r="N89">
        <v>0.693994</v>
      </c>
      <c r="O89">
        <v>0.709179</v>
      </c>
      <c r="P89">
        <v>0.72592299999999998</v>
      </c>
      <c r="Q89">
        <v>0.73431500000000005</v>
      </c>
      <c r="R89">
        <v>0.74434400000000001</v>
      </c>
      <c r="S89">
        <v>0.75113700000000005</v>
      </c>
      <c r="T89">
        <v>0.75113700000000005</v>
      </c>
      <c r="U89">
        <v>0.75113700000000005</v>
      </c>
      <c r="V89">
        <v>0.75273500000000004</v>
      </c>
      <c r="W89">
        <v>0.75113700000000005</v>
      </c>
      <c r="X89">
        <v>0.75105299999999997</v>
      </c>
      <c r="Y89">
        <v>0.74779600000000002</v>
      </c>
      <c r="Z89">
        <v>0.74588699999999997</v>
      </c>
      <c r="AA89">
        <v>0.74406099999999997</v>
      </c>
      <c r="AB89">
        <v>0.74129400000000001</v>
      </c>
      <c r="AC89">
        <v>0.74168199999999995</v>
      </c>
      <c r="AD89">
        <v>0.74083299999999996</v>
      </c>
      <c r="AE89">
        <v>0.73885100000000004</v>
      </c>
      <c r="AF89">
        <v>0.74192599999999997</v>
      </c>
      <c r="AG89" s="31">
        <v>2.7E-2</v>
      </c>
    </row>
    <row r="90" spans="1:33" x14ac:dyDescent="0.25">
      <c r="A90" t="s">
        <v>207</v>
      </c>
      <c r="B90" t="s">
        <v>270</v>
      </c>
      <c r="C90" t="s">
        <v>271</v>
      </c>
      <c r="D90" t="s">
        <v>73</v>
      </c>
      <c r="F90">
        <v>0.92418800000000001</v>
      </c>
      <c r="G90">
        <v>0.87045600000000001</v>
      </c>
      <c r="H90">
        <v>0.86442300000000005</v>
      </c>
      <c r="I90">
        <v>0.83605799999999997</v>
      </c>
      <c r="J90">
        <v>0.79698000000000002</v>
      </c>
      <c r="K90">
        <v>0.76596500000000001</v>
      </c>
      <c r="L90">
        <v>0.72879099999999997</v>
      </c>
      <c r="M90">
        <v>0.71577000000000002</v>
      </c>
      <c r="N90">
        <v>0.72421400000000002</v>
      </c>
      <c r="O90">
        <v>0.71766300000000005</v>
      </c>
      <c r="P90">
        <v>0.71669499999999997</v>
      </c>
      <c r="Q90">
        <v>0.71806800000000004</v>
      </c>
      <c r="R90">
        <v>0.71989700000000001</v>
      </c>
      <c r="S90">
        <v>0.71830799999999995</v>
      </c>
      <c r="T90">
        <v>0.71970400000000001</v>
      </c>
      <c r="U90">
        <v>0.72253800000000001</v>
      </c>
      <c r="V90">
        <v>0.73092699999999999</v>
      </c>
      <c r="W90">
        <v>0.74004400000000004</v>
      </c>
      <c r="X90">
        <v>0.751189</v>
      </c>
      <c r="Y90">
        <v>0.76455899999999999</v>
      </c>
      <c r="Z90">
        <v>0.78026099999999998</v>
      </c>
      <c r="AA90">
        <v>0.79553499999999999</v>
      </c>
      <c r="AB90">
        <v>0.80706800000000001</v>
      </c>
      <c r="AC90">
        <v>0.81946600000000003</v>
      </c>
      <c r="AD90">
        <v>0.83334399999999997</v>
      </c>
      <c r="AE90">
        <v>0.84864700000000004</v>
      </c>
      <c r="AF90">
        <v>0.86641699999999999</v>
      </c>
      <c r="AG90" s="31">
        <v>-2E-3</v>
      </c>
    </row>
    <row r="91" spans="1:33" x14ac:dyDescent="0.25">
      <c r="A91" t="s">
        <v>153</v>
      </c>
      <c r="B91" t="s">
        <v>272</v>
      </c>
      <c r="C91" t="s">
        <v>273</v>
      </c>
      <c r="D91" t="s">
        <v>73</v>
      </c>
      <c r="F91">
        <v>19.25956</v>
      </c>
      <c r="G91">
        <v>19.932333</v>
      </c>
      <c r="H91">
        <v>19.897328999999999</v>
      </c>
      <c r="I91">
        <v>19.912901000000002</v>
      </c>
      <c r="J91">
        <v>20.014617999999999</v>
      </c>
      <c r="K91">
        <v>20.073903999999999</v>
      </c>
      <c r="L91">
        <v>20.099163000000001</v>
      </c>
      <c r="M91">
        <v>20.096277000000001</v>
      </c>
      <c r="N91">
        <v>20.124442999999999</v>
      </c>
      <c r="O91">
        <v>20.056835</v>
      </c>
      <c r="P91">
        <v>20.000468999999999</v>
      </c>
      <c r="Q91">
        <v>19.940828</v>
      </c>
      <c r="R91">
        <v>19.91572</v>
      </c>
      <c r="S91">
        <v>19.891794000000001</v>
      </c>
      <c r="T91">
        <v>19.917233</v>
      </c>
      <c r="U91">
        <v>19.946743000000001</v>
      </c>
      <c r="V91">
        <v>20.003219999999999</v>
      </c>
      <c r="W91">
        <v>20.023883999999999</v>
      </c>
      <c r="X91">
        <v>20.048279000000001</v>
      </c>
      <c r="Y91">
        <v>20.084446</v>
      </c>
      <c r="Z91">
        <v>20.110060000000001</v>
      </c>
      <c r="AA91">
        <v>20.14048</v>
      </c>
      <c r="AB91">
        <v>20.1738</v>
      </c>
      <c r="AC91">
        <v>20.240870000000001</v>
      </c>
      <c r="AD91">
        <v>20.292807</v>
      </c>
      <c r="AE91">
        <v>20.338851999999999</v>
      </c>
      <c r="AF91">
        <v>20.383376999999999</v>
      </c>
      <c r="AG91" s="31">
        <v>2E-3</v>
      </c>
    </row>
    <row r="92" spans="1:33" x14ac:dyDescent="0.25">
      <c r="A92" t="s">
        <v>156</v>
      </c>
      <c r="B92" t="s">
        <v>274</v>
      </c>
      <c r="C92" t="s">
        <v>275</v>
      </c>
      <c r="D92" t="s">
        <v>73</v>
      </c>
      <c r="F92">
        <v>0.43991799999999998</v>
      </c>
      <c r="G92">
        <v>0.43567299999999998</v>
      </c>
      <c r="H92">
        <v>0.43846099999999999</v>
      </c>
      <c r="I92">
        <v>0.42828899999999998</v>
      </c>
      <c r="J92">
        <v>0.411773</v>
      </c>
      <c r="K92">
        <v>0.39733600000000002</v>
      </c>
      <c r="L92">
        <v>0.38921699999999998</v>
      </c>
      <c r="M92">
        <v>0.38336100000000001</v>
      </c>
      <c r="N92">
        <v>0.37771900000000003</v>
      </c>
      <c r="O92">
        <v>0.365618</v>
      </c>
      <c r="P92">
        <v>0.35786000000000001</v>
      </c>
      <c r="Q92">
        <v>0.34966399999999997</v>
      </c>
      <c r="R92">
        <v>0.34114299999999997</v>
      </c>
      <c r="S92">
        <v>0.33612799999999998</v>
      </c>
      <c r="T92">
        <v>0.32967800000000003</v>
      </c>
      <c r="U92">
        <v>0.32287199999999999</v>
      </c>
      <c r="V92">
        <v>0.318494</v>
      </c>
      <c r="W92">
        <v>0.31237700000000002</v>
      </c>
      <c r="X92">
        <v>0.305367</v>
      </c>
      <c r="Y92">
        <v>0.30014999999999997</v>
      </c>
      <c r="Z92">
        <v>0.29406100000000002</v>
      </c>
      <c r="AA92">
        <v>0.28689700000000001</v>
      </c>
      <c r="AB92">
        <v>0.27923700000000001</v>
      </c>
      <c r="AC92">
        <v>0.27291900000000002</v>
      </c>
      <c r="AD92">
        <v>0.26561099999999999</v>
      </c>
      <c r="AE92">
        <v>0.25784299999999999</v>
      </c>
      <c r="AF92">
        <v>0.249977</v>
      </c>
      <c r="AG92" s="31">
        <v>-2.1999999999999999E-2</v>
      </c>
    </row>
    <row r="93" spans="1:33" x14ac:dyDescent="0.25">
      <c r="A93" t="s">
        <v>276</v>
      </c>
      <c r="B93" t="s">
        <v>277</v>
      </c>
      <c r="C93" t="s">
        <v>278</v>
      </c>
      <c r="D93" t="s">
        <v>73</v>
      </c>
      <c r="F93">
        <v>0.35883599999999999</v>
      </c>
      <c r="G93">
        <v>0.37171700000000002</v>
      </c>
      <c r="H93">
        <v>0.38293300000000002</v>
      </c>
      <c r="I93">
        <v>0.38906000000000002</v>
      </c>
      <c r="J93">
        <v>0.39576099999999997</v>
      </c>
      <c r="K93">
        <v>0.39733400000000002</v>
      </c>
      <c r="L93">
        <v>0.40095999999999998</v>
      </c>
      <c r="M93">
        <v>0.40383200000000002</v>
      </c>
      <c r="N93">
        <v>0.40853699999999998</v>
      </c>
      <c r="O93">
        <v>0.40906799999999999</v>
      </c>
      <c r="P93">
        <v>0.40860600000000002</v>
      </c>
      <c r="Q93">
        <v>0.40545100000000001</v>
      </c>
      <c r="R93">
        <v>0.39977200000000002</v>
      </c>
      <c r="S93">
        <v>0.39406799999999997</v>
      </c>
      <c r="T93">
        <v>0.38788</v>
      </c>
      <c r="U93">
        <v>0.38319799999999998</v>
      </c>
      <c r="V93">
        <v>0.379415</v>
      </c>
      <c r="W93">
        <v>0.37562699999999999</v>
      </c>
      <c r="X93">
        <v>0.37165900000000002</v>
      </c>
      <c r="Y93">
        <v>0.36729299999999998</v>
      </c>
      <c r="Z93">
        <v>0.36283700000000002</v>
      </c>
      <c r="AA93">
        <v>0.35853200000000002</v>
      </c>
      <c r="AB93">
        <v>0.354327</v>
      </c>
      <c r="AC93">
        <v>0.35053000000000001</v>
      </c>
      <c r="AD93">
        <v>0.34689300000000001</v>
      </c>
      <c r="AE93">
        <v>0.343557</v>
      </c>
      <c r="AF93">
        <v>0.33917700000000001</v>
      </c>
      <c r="AG93" s="31">
        <v>-2E-3</v>
      </c>
    </row>
    <row r="94" spans="1:33" x14ac:dyDescent="0.25">
      <c r="A94" t="s">
        <v>162</v>
      </c>
      <c r="B94" t="s">
        <v>279</v>
      </c>
      <c r="C94" t="s">
        <v>280</v>
      </c>
      <c r="D94" t="s">
        <v>73</v>
      </c>
      <c r="F94">
        <v>-3.8963999999999999E-2</v>
      </c>
      <c r="G94">
        <v>-2.3890999999999999E-2</v>
      </c>
      <c r="H94">
        <v>-2.3021E-2</v>
      </c>
      <c r="I94">
        <v>-2.3144999999999999E-2</v>
      </c>
      <c r="J94">
        <v>-2.2817E-2</v>
      </c>
      <c r="K94">
        <v>-2.2089999999999999E-2</v>
      </c>
      <c r="L94">
        <v>-2.1711000000000001E-2</v>
      </c>
      <c r="M94">
        <v>-2.1406000000000001E-2</v>
      </c>
      <c r="N94">
        <v>-2.1104999999999999E-2</v>
      </c>
      <c r="O94">
        <v>-2.0562E-2</v>
      </c>
      <c r="P94">
        <v>-2.0174999999999998E-2</v>
      </c>
      <c r="Q94">
        <v>-1.9771E-2</v>
      </c>
      <c r="R94">
        <v>-1.9342999999999999E-2</v>
      </c>
      <c r="S94">
        <v>-1.8997E-2</v>
      </c>
      <c r="T94">
        <v>-1.8634999999999999E-2</v>
      </c>
      <c r="U94">
        <v>-1.8258E-2</v>
      </c>
      <c r="V94">
        <v>-1.7729999999999999E-2</v>
      </c>
      <c r="W94">
        <v>-1.7425E-2</v>
      </c>
      <c r="X94">
        <v>-1.7121999999999998E-2</v>
      </c>
      <c r="Y94">
        <v>-1.6646000000000001E-2</v>
      </c>
      <c r="Z94">
        <v>-1.6327999999999999E-2</v>
      </c>
      <c r="AA94">
        <v>-1.6050999999999999E-2</v>
      </c>
      <c r="AB94">
        <v>-1.5833E-2</v>
      </c>
      <c r="AC94">
        <v>-1.5453E-2</v>
      </c>
      <c r="AD94">
        <v>-1.5294E-2</v>
      </c>
      <c r="AE94">
        <v>-1.5107000000000001E-2</v>
      </c>
      <c r="AF94">
        <v>-1.4683E-2</v>
      </c>
      <c r="AG94" s="31">
        <v>-3.6999999999999998E-2</v>
      </c>
    </row>
    <row r="95" spans="1:33" x14ac:dyDescent="0.25">
      <c r="A95" t="s">
        <v>165</v>
      </c>
      <c r="B95" t="s">
        <v>281</v>
      </c>
      <c r="C95" t="s">
        <v>282</v>
      </c>
      <c r="D95" t="s">
        <v>73</v>
      </c>
      <c r="F95">
        <v>0.75979099999999999</v>
      </c>
      <c r="G95">
        <v>0.78349899999999995</v>
      </c>
      <c r="H95">
        <v>0.798373</v>
      </c>
      <c r="I95">
        <v>0.79420400000000002</v>
      </c>
      <c r="J95">
        <v>0.784717</v>
      </c>
      <c r="K95">
        <v>0.77258000000000004</v>
      </c>
      <c r="L95">
        <v>0.76846599999999998</v>
      </c>
      <c r="M95">
        <v>0.765787</v>
      </c>
      <c r="N95">
        <v>0.76515</v>
      </c>
      <c r="O95">
        <v>0.75412299999999999</v>
      </c>
      <c r="P95">
        <v>0.74629199999999996</v>
      </c>
      <c r="Q95">
        <v>0.735344</v>
      </c>
      <c r="R95">
        <v>0.72157199999999999</v>
      </c>
      <c r="S95">
        <v>0.71119900000000003</v>
      </c>
      <c r="T95">
        <v>0.69892299999999996</v>
      </c>
      <c r="U95">
        <v>0.68781300000000001</v>
      </c>
      <c r="V95">
        <v>0.68017899999999998</v>
      </c>
      <c r="W95">
        <v>0.67057900000000004</v>
      </c>
      <c r="X95">
        <v>0.65990499999999996</v>
      </c>
      <c r="Y95">
        <v>0.65079699999999996</v>
      </c>
      <c r="Z95">
        <v>0.640571</v>
      </c>
      <c r="AA95">
        <v>0.62937900000000002</v>
      </c>
      <c r="AB95">
        <v>0.61773199999999995</v>
      </c>
      <c r="AC95">
        <v>0.60799599999999998</v>
      </c>
      <c r="AD95">
        <v>0.59721000000000002</v>
      </c>
      <c r="AE95">
        <v>0.58629299999999995</v>
      </c>
      <c r="AF95">
        <v>0.57447199999999998</v>
      </c>
      <c r="AG95" s="31">
        <v>-1.0999999999999999E-2</v>
      </c>
    </row>
    <row r="96" spans="1:33" x14ac:dyDescent="0.25">
      <c r="A96" t="s">
        <v>168</v>
      </c>
      <c r="B96" t="s">
        <v>283</v>
      </c>
      <c r="C96" t="s">
        <v>284</v>
      </c>
      <c r="D96" t="s">
        <v>73</v>
      </c>
      <c r="F96">
        <v>0.89433099999999999</v>
      </c>
      <c r="G96">
        <v>0.91656700000000002</v>
      </c>
      <c r="H96">
        <v>0.914157</v>
      </c>
      <c r="I96">
        <v>0.91446300000000003</v>
      </c>
      <c r="J96">
        <v>0.91318200000000005</v>
      </c>
      <c r="K96">
        <v>0.90827199999999997</v>
      </c>
      <c r="L96">
        <v>0.903837</v>
      </c>
      <c r="M96">
        <v>0.89296799999999998</v>
      </c>
      <c r="N96">
        <v>0.88368899999999995</v>
      </c>
      <c r="O96">
        <v>0.86835099999999998</v>
      </c>
      <c r="P96">
        <v>0.85361900000000002</v>
      </c>
      <c r="Q96">
        <v>0.83833000000000002</v>
      </c>
      <c r="R96">
        <v>0.828071</v>
      </c>
      <c r="S96">
        <v>0.81101100000000004</v>
      </c>
      <c r="T96">
        <v>0.79574999999999996</v>
      </c>
      <c r="U96">
        <v>0.78434899999999996</v>
      </c>
      <c r="V96">
        <v>0.78216600000000003</v>
      </c>
      <c r="W96">
        <v>0.77179699999999996</v>
      </c>
      <c r="X96">
        <v>0.76169600000000004</v>
      </c>
      <c r="Y96">
        <v>0.75520600000000004</v>
      </c>
      <c r="Z96">
        <v>0.75332500000000002</v>
      </c>
      <c r="AA96">
        <v>0.75422</v>
      </c>
      <c r="AB96">
        <v>0.75177300000000002</v>
      </c>
      <c r="AC96">
        <v>0.75181500000000001</v>
      </c>
      <c r="AD96">
        <v>0.75012000000000001</v>
      </c>
      <c r="AE96">
        <v>0.75201099999999999</v>
      </c>
      <c r="AF96">
        <v>0.75567499999999999</v>
      </c>
      <c r="AG96" s="31">
        <v>-6.0000000000000001E-3</v>
      </c>
    </row>
    <row r="97" spans="1:33" x14ac:dyDescent="0.25">
      <c r="A97" t="s">
        <v>83</v>
      </c>
      <c r="B97" t="s">
        <v>285</v>
      </c>
      <c r="C97" t="s">
        <v>286</v>
      </c>
      <c r="D97" t="s">
        <v>73</v>
      </c>
      <c r="F97">
        <v>1.919802</v>
      </c>
      <c r="G97">
        <v>1.947592</v>
      </c>
      <c r="H97">
        <v>1.9577059999999999</v>
      </c>
      <c r="I97">
        <v>1.950939</v>
      </c>
      <c r="J97">
        <v>1.9562079999999999</v>
      </c>
      <c r="K97">
        <v>1.9780390000000001</v>
      </c>
      <c r="L97">
        <v>1.998489</v>
      </c>
      <c r="M97">
        <v>2.019272</v>
      </c>
      <c r="N97">
        <v>2.0320070000000001</v>
      </c>
      <c r="O97">
        <v>2.0345270000000002</v>
      </c>
      <c r="P97">
        <v>2.0491549999999998</v>
      </c>
      <c r="Q97">
        <v>2.0647310000000001</v>
      </c>
      <c r="R97">
        <v>2.0916939999999999</v>
      </c>
      <c r="S97">
        <v>2.111202</v>
      </c>
      <c r="T97">
        <v>2.1236799999999998</v>
      </c>
      <c r="U97">
        <v>2.1409799999999999</v>
      </c>
      <c r="V97">
        <v>2.152431</v>
      </c>
      <c r="W97">
        <v>2.147062</v>
      </c>
      <c r="X97">
        <v>2.1480160000000001</v>
      </c>
      <c r="Y97">
        <v>2.1403129999999999</v>
      </c>
      <c r="Z97">
        <v>2.1434700000000002</v>
      </c>
      <c r="AA97">
        <v>2.1529690000000001</v>
      </c>
      <c r="AB97">
        <v>2.1671399999999998</v>
      </c>
      <c r="AC97">
        <v>2.186312</v>
      </c>
      <c r="AD97">
        <v>2.2039309999999999</v>
      </c>
      <c r="AE97">
        <v>2.2231290000000001</v>
      </c>
      <c r="AF97">
        <v>2.240008</v>
      </c>
      <c r="AG97" s="31">
        <v>6.0000000000000001E-3</v>
      </c>
    </row>
    <row r="98" spans="1:33" x14ac:dyDescent="0.25">
      <c r="A98" t="s">
        <v>173</v>
      </c>
      <c r="B98" t="s">
        <v>287</v>
      </c>
      <c r="C98" t="s">
        <v>288</v>
      </c>
      <c r="D98" t="s">
        <v>73</v>
      </c>
      <c r="F98">
        <v>1.0454270000000001</v>
      </c>
      <c r="G98">
        <v>1.0619259999999999</v>
      </c>
      <c r="H98">
        <v>1.0849660000000001</v>
      </c>
      <c r="I98">
        <v>1.09551</v>
      </c>
      <c r="J98">
        <v>1.104225</v>
      </c>
      <c r="K98">
        <v>1.114298</v>
      </c>
      <c r="L98">
        <v>1.1359490000000001</v>
      </c>
      <c r="M98">
        <v>1.168811</v>
      </c>
      <c r="N98">
        <v>1.2345489999999999</v>
      </c>
      <c r="O98">
        <v>1.2928120000000001</v>
      </c>
      <c r="P98">
        <v>1.3516969999999999</v>
      </c>
      <c r="Q98">
        <v>1.404623</v>
      </c>
      <c r="R98">
        <v>1.4553560000000001</v>
      </c>
      <c r="S98">
        <v>1.504515</v>
      </c>
      <c r="T98">
        <v>1.550754</v>
      </c>
      <c r="U98">
        <v>1.5948500000000001</v>
      </c>
      <c r="V98">
        <v>1.6378010000000001</v>
      </c>
      <c r="W98">
        <v>1.6770890000000001</v>
      </c>
      <c r="X98">
        <v>1.7142200000000001</v>
      </c>
      <c r="Y98">
        <v>1.7480420000000001</v>
      </c>
      <c r="Z98">
        <v>1.780721</v>
      </c>
      <c r="AA98">
        <v>1.8094239999999999</v>
      </c>
      <c r="AB98">
        <v>1.836292</v>
      </c>
      <c r="AC98">
        <v>1.8614949999999999</v>
      </c>
      <c r="AD98">
        <v>1.8832739999999999</v>
      </c>
      <c r="AE98">
        <v>1.9030560000000001</v>
      </c>
      <c r="AF98">
        <v>1.920193</v>
      </c>
      <c r="AG98" s="31">
        <v>2.4E-2</v>
      </c>
    </row>
    <row r="99" spans="1:33" x14ac:dyDescent="0.25">
      <c r="A99" t="s">
        <v>289</v>
      </c>
      <c r="B99" t="s">
        <v>290</v>
      </c>
      <c r="C99" t="s">
        <v>291</v>
      </c>
      <c r="D99" t="s">
        <v>73</v>
      </c>
      <c r="F99">
        <v>13.431459</v>
      </c>
      <c r="G99">
        <v>13.501211</v>
      </c>
      <c r="H99">
        <v>13.586451</v>
      </c>
      <c r="I99">
        <v>13.764796</v>
      </c>
      <c r="J99">
        <v>13.920503</v>
      </c>
      <c r="K99">
        <v>14.101127999999999</v>
      </c>
      <c r="L99">
        <v>14.27896</v>
      </c>
      <c r="M99">
        <v>14.464703</v>
      </c>
      <c r="N99">
        <v>14.712593999999999</v>
      </c>
      <c r="O99">
        <v>14.971062999999999</v>
      </c>
      <c r="P99">
        <v>15.280151</v>
      </c>
      <c r="Q99">
        <v>15.618581000000001</v>
      </c>
      <c r="R99">
        <v>15.963566</v>
      </c>
      <c r="S99">
        <v>16.298525000000001</v>
      </c>
      <c r="T99">
        <v>16.600065000000001</v>
      </c>
      <c r="U99">
        <v>16.902704</v>
      </c>
      <c r="V99">
        <v>17.207211999999998</v>
      </c>
      <c r="W99">
        <v>17.495384000000001</v>
      </c>
      <c r="X99">
        <v>17.770969000000001</v>
      </c>
      <c r="Y99">
        <v>18.034969</v>
      </c>
      <c r="Z99">
        <v>18.284517000000001</v>
      </c>
      <c r="AA99">
        <v>18.526319999999998</v>
      </c>
      <c r="AB99">
        <v>18.765744999999999</v>
      </c>
      <c r="AC99">
        <v>19.005994999999999</v>
      </c>
      <c r="AD99">
        <v>19.230647999999999</v>
      </c>
      <c r="AE99">
        <v>19.457304000000001</v>
      </c>
      <c r="AF99">
        <v>19.676811000000001</v>
      </c>
      <c r="AG99" s="31">
        <v>1.4999999999999999E-2</v>
      </c>
    </row>
    <row r="100" spans="1:33" x14ac:dyDescent="0.25">
      <c r="A100" t="s">
        <v>89</v>
      </c>
      <c r="B100" t="s">
        <v>292</v>
      </c>
      <c r="C100" t="s">
        <v>293</v>
      </c>
      <c r="D100" t="s">
        <v>73</v>
      </c>
      <c r="F100">
        <v>74.396165999999994</v>
      </c>
      <c r="G100">
        <v>75.633016999999995</v>
      </c>
      <c r="H100">
        <v>75.816835999999995</v>
      </c>
      <c r="I100">
        <v>75.859414000000001</v>
      </c>
      <c r="J100">
        <v>75.91131</v>
      </c>
      <c r="K100">
        <v>75.838549</v>
      </c>
      <c r="L100">
        <v>75.670862</v>
      </c>
      <c r="M100">
        <v>75.431008000000006</v>
      </c>
      <c r="N100">
        <v>75.152647000000002</v>
      </c>
      <c r="O100">
        <v>74.740581000000006</v>
      </c>
      <c r="P100">
        <v>74.473737</v>
      </c>
      <c r="Q100">
        <v>74.229052999999993</v>
      </c>
      <c r="R100">
        <v>74.052531999999999</v>
      </c>
      <c r="S100">
        <v>73.866893000000005</v>
      </c>
      <c r="T100">
        <v>73.767640999999998</v>
      </c>
      <c r="U100">
        <v>73.755516999999998</v>
      </c>
      <c r="V100">
        <v>73.862459000000001</v>
      </c>
      <c r="W100">
        <v>73.886084999999994</v>
      </c>
      <c r="X100">
        <v>73.911794999999998</v>
      </c>
      <c r="Y100">
        <v>74.007313999999994</v>
      </c>
      <c r="Z100">
        <v>74.161824999999993</v>
      </c>
      <c r="AA100">
        <v>74.368748999999994</v>
      </c>
      <c r="AB100">
        <v>74.550758999999999</v>
      </c>
      <c r="AC100">
        <v>74.868138000000002</v>
      </c>
      <c r="AD100">
        <v>75.075986999999998</v>
      </c>
      <c r="AE100">
        <v>75.396585000000002</v>
      </c>
      <c r="AF100">
        <v>75.714538000000005</v>
      </c>
      <c r="AG100" s="31">
        <v>1E-3</v>
      </c>
    </row>
    <row r="101" spans="1:33" x14ac:dyDescent="0.25">
      <c r="A101" t="s">
        <v>92</v>
      </c>
      <c r="B101" t="s">
        <v>294</v>
      </c>
      <c r="C101" t="s">
        <v>295</v>
      </c>
      <c r="D101" t="s">
        <v>73</v>
      </c>
      <c r="F101">
        <v>19.090713999999998</v>
      </c>
      <c r="G101">
        <v>18.607493999999999</v>
      </c>
      <c r="H101">
        <v>17.610064999999999</v>
      </c>
      <c r="I101">
        <v>17.159680999999999</v>
      </c>
      <c r="J101">
        <v>16.968851000000001</v>
      </c>
      <c r="K101">
        <v>16.887015999999999</v>
      </c>
      <c r="L101">
        <v>16.412807000000001</v>
      </c>
      <c r="M101">
        <v>16.094652</v>
      </c>
      <c r="N101">
        <v>15.311437</v>
      </c>
      <c r="O101">
        <v>15.073403000000001</v>
      </c>
      <c r="P101">
        <v>14.828298</v>
      </c>
      <c r="Q101">
        <v>14.491358</v>
      </c>
      <c r="R101">
        <v>14.180956</v>
      </c>
      <c r="S101">
        <v>13.722165</v>
      </c>
      <c r="T101">
        <v>13.53402</v>
      </c>
      <c r="U101">
        <v>12.955824</v>
      </c>
      <c r="V101">
        <v>12.952093</v>
      </c>
      <c r="W101">
        <v>13.139388</v>
      </c>
      <c r="X101">
        <v>13.318275</v>
      </c>
      <c r="Y101">
        <v>13.422241</v>
      </c>
      <c r="Z101">
        <v>13.536598</v>
      </c>
      <c r="AA101">
        <v>13.563157</v>
      </c>
      <c r="AB101">
        <v>13.583549</v>
      </c>
      <c r="AC101">
        <v>13.650024</v>
      </c>
      <c r="AD101">
        <v>13.741956999999999</v>
      </c>
      <c r="AE101">
        <v>13.861359999999999</v>
      </c>
      <c r="AF101">
        <v>13.867974</v>
      </c>
      <c r="AG101" s="31">
        <v>-1.2E-2</v>
      </c>
    </row>
    <row r="102" spans="1:33" x14ac:dyDescent="0.25">
      <c r="A102" t="s">
        <v>183</v>
      </c>
      <c r="B102" t="s">
        <v>296</v>
      </c>
      <c r="C102" t="s">
        <v>297</v>
      </c>
      <c r="D102" t="s">
        <v>73</v>
      </c>
      <c r="F102">
        <v>0.301539</v>
      </c>
      <c r="G102">
        <v>0.30565700000000001</v>
      </c>
      <c r="H102">
        <v>0.31657800000000003</v>
      </c>
      <c r="I102">
        <v>0.321849</v>
      </c>
      <c r="J102">
        <v>0.32274999999999998</v>
      </c>
      <c r="K102">
        <v>0.32649800000000001</v>
      </c>
      <c r="L102">
        <v>0.33298</v>
      </c>
      <c r="M102">
        <v>0.345721</v>
      </c>
      <c r="N102">
        <v>0.36847999999999997</v>
      </c>
      <c r="O102">
        <v>0.39560600000000001</v>
      </c>
      <c r="P102">
        <v>0.41984199999999999</v>
      </c>
      <c r="Q102">
        <v>0.44347500000000001</v>
      </c>
      <c r="R102">
        <v>0.46256399999999998</v>
      </c>
      <c r="S102">
        <v>0.475717</v>
      </c>
      <c r="T102">
        <v>0.48887799999999998</v>
      </c>
      <c r="U102">
        <v>0.50212400000000001</v>
      </c>
      <c r="V102">
        <v>0.51553199999999999</v>
      </c>
      <c r="W102">
        <v>0.52893599999999996</v>
      </c>
      <c r="X102">
        <v>0.54003500000000004</v>
      </c>
      <c r="Y102">
        <v>0.55100499999999997</v>
      </c>
      <c r="Z102">
        <v>0.56172</v>
      </c>
      <c r="AA102">
        <v>0.57075600000000004</v>
      </c>
      <c r="AB102">
        <v>0.57770100000000002</v>
      </c>
      <c r="AC102">
        <v>0.58230599999999999</v>
      </c>
      <c r="AD102">
        <v>0.58928899999999995</v>
      </c>
      <c r="AE102">
        <v>0.58924299999999996</v>
      </c>
      <c r="AF102">
        <v>0.59550599999999998</v>
      </c>
      <c r="AG102" s="31">
        <v>2.7E-2</v>
      </c>
    </row>
    <row r="103" spans="1:33" x14ac:dyDescent="0.25">
      <c r="A103" t="s">
        <v>95</v>
      </c>
      <c r="B103" t="s">
        <v>298</v>
      </c>
      <c r="C103" t="s">
        <v>299</v>
      </c>
      <c r="D103" t="s">
        <v>73</v>
      </c>
      <c r="F103">
        <v>93.788419000000005</v>
      </c>
      <c r="G103">
        <v>94.546169000000006</v>
      </c>
      <c r="H103">
        <v>93.743478999999994</v>
      </c>
      <c r="I103">
        <v>93.340943999999993</v>
      </c>
      <c r="J103">
        <v>93.202910000000003</v>
      </c>
      <c r="K103">
        <v>93.052064000000001</v>
      </c>
      <c r="L103">
        <v>92.416649000000007</v>
      </c>
      <c r="M103">
        <v>91.871381</v>
      </c>
      <c r="N103">
        <v>90.832564000000005</v>
      </c>
      <c r="O103">
        <v>90.209591000000003</v>
      </c>
      <c r="P103">
        <v>89.721875999999995</v>
      </c>
      <c r="Q103">
        <v>89.163886000000005</v>
      </c>
      <c r="R103">
        <v>88.696051999999995</v>
      </c>
      <c r="S103">
        <v>88.064774999999997</v>
      </c>
      <c r="T103">
        <v>87.790539999999993</v>
      </c>
      <c r="U103">
        <v>87.213464999999999</v>
      </c>
      <c r="V103">
        <v>87.330083999999999</v>
      </c>
      <c r="W103">
        <v>87.554407999999995</v>
      </c>
      <c r="X103">
        <v>87.770105000000001</v>
      </c>
      <c r="Y103">
        <v>87.980559999999997</v>
      </c>
      <c r="Z103">
        <v>88.260142999999999</v>
      </c>
      <c r="AA103">
        <v>88.502662999999998</v>
      </c>
      <c r="AB103">
        <v>88.712008999999995</v>
      </c>
      <c r="AC103">
        <v>89.100469000000004</v>
      </c>
      <c r="AD103">
        <v>89.407231999999993</v>
      </c>
      <c r="AE103">
        <v>89.847187000000005</v>
      </c>
      <c r="AF103">
        <v>90.178017999999994</v>
      </c>
      <c r="AG103" s="31">
        <v>-2E-3</v>
      </c>
    </row>
    <row r="104" spans="1:33" x14ac:dyDescent="0.25">
      <c r="A104" s="1" t="s">
        <v>300</v>
      </c>
    </row>
    <row r="105" spans="1:33" x14ac:dyDescent="0.25">
      <c r="A105" t="s">
        <v>74</v>
      </c>
      <c r="B105" t="s">
        <v>301</v>
      </c>
      <c r="C105" t="s">
        <v>302</v>
      </c>
      <c r="D105" t="s">
        <v>73</v>
      </c>
      <c r="F105">
        <v>6.6403000000000004E-2</v>
      </c>
      <c r="G105">
        <v>6.5481999999999999E-2</v>
      </c>
      <c r="H105">
        <v>5.9721999999999997E-2</v>
      </c>
      <c r="I105">
        <v>5.1561999999999997E-2</v>
      </c>
      <c r="J105">
        <v>4.7604E-2</v>
      </c>
      <c r="K105">
        <v>4.5219000000000002E-2</v>
      </c>
      <c r="L105">
        <v>4.0858999999999999E-2</v>
      </c>
      <c r="M105">
        <v>3.7157999999999997E-2</v>
      </c>
      <c r="N105">
        <v>2.6273999999999999E-2</v>
      </c>
      <c r="O105">
        <v>2.5523000000000001E-2</v>
      </c>
      <c r="P105">
        <v>2.5486999999999999E-2</v>
      </c>
      <c r="Q105">
        <v>2.4426E-2</v>
      </c>
      <c r="R105">
        <v>2.4424000000000001E-2</v>
      </c>
      <c r="S105">
        <v>2.3857E-2</v>
      </c>
      <c r="T105">
        <v>2.3148999999999999E-2</v>
      </c>
      <c r="U105">
        <v>2.3078000000000001E-2</v>
      </c>
      <c r="V105">
        <v>2.3018E-2</v>
      </c>
      <c r="W105">
        <v>2.2388999999999999E-2</v>
      </c>
      <c r="X105">
        <v>2.1225999999999998E-2</v>
      </c>
      <c r="Y105">
        <v>2.0516E-2</v>
      </c>
      <c r="Z105">
        <v>1.9154000000000001E-2</v>
      </c>
      <c r="AA105">
        <v>1.8159000000000002E-2</v>
      </c>
      <c r="AB105">
        <v>1.7684999999999999E-2</v>
      </c>
      <c r="AC105">
        <v>1.7484E-2</v>
      </c>
      <c r="AD105">
        <v>1.7670999999999999E-2</v>
      </c>
      <c r="AE105">
        <v>1.7884000000000001E-2</v>
      </c>
      <c r="AF105">
        <v>1.8141999999999998E-2</v>
      </c>
      <c r="AG105" s="31">
        <v>-4.9000000000000002E-2</v>
      </c>
    </row>
    <row r="106" spans="1:33" x14ac:dyDescent="0.25">
      <c r="A106" t="s">
        <v>109</v>
      </c>
      <c r="B106" t="s">
        <v>303</v>
      </c>
      <c r="C106" t="s">
        <v>304</v>
      </c>
      <c r="D106" t="s">
        <v>73</v>
      </c>
      <c r="F106">
        <v>4.4082999999999997E-2</v>
      </c>
      <c r="G106">
        <v>4.2743999999999997E-2</v>
      </c>
      <c r="H106">
        <v>4.2098999999999998E-2</v>
      </c>
      <c r="I106">
        <v>4.1531999999999999E-2</v>
      </c>
      <c r="J106">
        <v>3.9579000000000003E-2</v>
      </c>
      <c r="K106">
        <v>3.9204000000000003E-2</v>
      </c>
      <c r="L106">
        <v>3.8851999999999998E-2</v>
      </c>
      <c r="M106">
        <v>3.8795999999999997E-2</v>
      </c>
      <c r="N106">
        <v>3.9023000000000002E-2</v>
      </c>
      <c r="O106">
        <v>3.9286000000000001E-2</v>
      </c>
      <c r="P106">
        <v>3.9634999999999997E-2</v>
      </c>
      <c r="Q106">
        <v>4.0089E-2</v>
      </c>
      <c r="R106">
        <v>3.9732999999999997E-2</v>
      </c>
      <c r="S106">
        <v>3.9333E-2</v>
      </c>
      <c r="T106">
        <v>3.8802000000000003E-2</v>
      </c>
      <c r="U106">
        <v>3.8283999999999999E-2</v>
      </c>
      <c r="V106">
        <v>3.7614000000000002E-2</v>
      </c>
      <c r="W106">
        <v>3.4838000000000001E-2</v>
      </c>
      <c r="X106">
        <v>3.1877999999999997E-2</v>
      </c>
      <c r="Y106">
        <v>2.8754999999999999E-2</v>
      </c>
      <c r="Z106">
        <v>2.5484E-2</v>
      </c>
      <c r="AA106">
        <v>2.2106000000000001E-2</v>
      </c>
      <c r="AB106">
        <v>2.2297999999999998E-2</v>
      </c>
      <c r="AC106">
        <v>2.2473E-2</v>
      </c>
      <c r="AD106">
        <v>2.2655999999999999E-2</v>
      </c>
      <c r="AE106">
        <v>2.2860999999999999E-2</v>
      </c>
      <c r="AF106">
        <v>2.3052E-2</v>
      </c>
      <c r="AG106" s="31">
        <v>-2.5000000000000001E-2</v>
      </c>
    </row>
    <row r="107" spans="1:33" x14ac:dyDescent="0.25">
      <c r="A107" t="s">
        <v>77</v>
      </c>
      <c r="B107" t="s">
        <v>305</v>
      </c>
      <c r="C107" t="s">
        <v>306</v>
      </c>
      <c r="D107" t="s">
        <v>73</v>
      </c>
      <c r="F107">
        <v>0.110486</v>
      </c>
      <c r="G107">
        <v>0.108227</v>
      </c>
      <c r="H107">
        <v>0.10181999999999999</v>
      </c>
      <c r="I107">
        <v>9.3093999999999996E-2</v>
      </c>
      <c r="J107">
        <v>8.7182999999999997E-2</v>
      </c>
      <c r="K107">
        <v>8.4422999999999998E-2</v>
      </c>
      <c r="L107">
        <v>7.9711000000000004E-2</v>
      </c>
      <c r="M107">
        <v>7.5953999999999994E-2</v>
      </c>
      <c r="N107">
        <v>6.5297999999999995E-2</v>
      </c>
      <c r="O107">
        <v>6.4809000000000005E-2</v>
      </c>
      <c r="P107">
        <v>6.5121999999999999E-2</v>
      </c>
      <c r="Q107">
        <v>6.4516000000000004E-2</v>
      </c>
      <c r="R107">
        <v>6.4157000000000006E-2</v>
      </c>
      <c r="S107">
        <v>6.3189999999999996E-2</v>
      </c>
      <c r="T107">
        <v>6.1950999999999999E-2</v>
      </c>
      <c r="U107">
        <v>6.1362E-2</v>
      </c>
      <c r="V107">
        <v>6.0631999999999998E-2</v>
      </c>
      <c r="W107">
        <v>5.7227E-2</v>
      </c>
      <c r="X107">
        <v>5.3103999999999998E-2</v>
      </c>
      <c r="Y107">
        <v>4.9271000000000002E-2</v>
      </c>
      <c r="Z107">
        <v>4.4637999999999997E-2</v>
      </c>
      <c r="AA107">
        <v>4.0265000000000002E-2</v>
      </c>
      <c r="AB107">
        <v>3.9982999999999998E-2</v>
      </c>
      <c r="AC107">
        <v>3.9956999999999999E-2</v>
      </c>
      <c r="AD107">
        <v>4.0327000000000002E-2</v>
      </c>
      <c r="AE107">
        <v>4.0745000000000003E-2</v>
      </c>
      <c r="AF107">
        <v>4.1194000000000001E-2</v>
      </c>
      <c r="AG107" s="31">
        <v>-3.6999999999999998E-2</v>
      </c>
    </row>
    <row r="108" spans="1:33" x14ac:dyDescent="0.25">
      <c r="A108" t="s">
        <v>80</v>
      </c>
      <c r="B108" t="s">
        <v>307</v>
      </c>
      <c r="C108" t="s">
        <v>308</v>
      </c>
      <c r="D108" t="s">
        <v>73</v>
      </c>
      <c r="F108">
        <v>13.928751999999999</v>
      </c>
      <c r="G108">
        <v>12.961791</v>
      </c>
      <c r="H108">
        <v>12.332006</v>
      </c>
      <c r="I108">
        <v>12.814469000000001</v>
      </c>
      <c r="J108">
        <v>12.775031999999999</v>
      </c>
      <c r="K108">
        <v>12.874219</v>
      </c>
      <c r="L108">
        <v>13.066364999999999</v>
      </c>
      <c r="M108">
        <v>12.920246000000001</v>
      </c>
      <c r="N108">
        <v>14.43693</v>
      </c>
      <c r="O108">
        <v>13.99907</v>
      </c>
      <c r="P108">
        <v>13.549018999999999</v>
      </c>
      <c r="Q108">
        <v>12.973680999999999</v>
      </c>
      <c r="R108">
        <v>12.49203</v>
      </c>
      <c r="S108">
        <v>11.657304</v>
      </c>
      <c r="T108">
        <v>11.344967</v>
      </c>
      <c r="U108">
        <v>10.781556</v>
      </c>
      <c r="V108">
        <v>10.757802</v>
      </c>
      <c r="W108">
        <v>11.080935</v>
      </c>
      <c r="X108">
        <v>11.368726000000001</v>
      </c>
      <c r="Y108">
        <v>11.544606999999999</v>
      </c>
      <c r="Z108">
        <v>11.729016</v>
      </c>
      <c r="AA108">
        <v>11.844905000000001</v>
      </c>
      <c r="AB108">
        <v>12.052026</v>
      </c>
      <c r="AC108">
        <v>12.196947</v>
      </c>
      <c r="AD108">
        <v>12.346659000000001</v>
      </c>
      <c r="AE108">
        <v>12.542368</v>
      </c>
      <c r="AF108">
        <v>12.544281</v>
      </c>
      <c r="AG108" s="31">
        <v>-4.0000000000000001E-3</v>
      </c>
    </row>
    <row r="109" spans="1:33" x14ac:dyDescent="0.25">
      <c r="A109" t="s">
        <v>309</v>
      </c>
      <c r="B109" t="s">
        <v>310</v>
      </c>
      <c r="C109" t="s">
        <v>311</v>
      </c>
      <c r="D109" t="s">
        <v>73</v>
      </c>
      <c r="F109">
        <v>6.7714280000000002</v>
      </c>
      <c r="G109">
        <v>6.7575510000000003</v>
      </c>
      <c r="H109">
        <v>5.8142240000000003</v>
      </c>
      <c r="I109">
        <v>4.7032290000000003</v>
      </c>
      <c r="J109">
        <v>4.5218910000000001</v>
      </c>
      <c r="K109">
        <v>4.2834680000000001</v>
      </c>
      <c r="L109">
        <v>3.5192909999999999</v>
      </c>
      <c r="M109">
        <v>3.2391209999999999</v>
      </c>
      <c r="N109">
        <v>0.76125299999999996</v>
      </c>
      <c r="O109">
        <v>0.76565700000000003</v>
      </c>
      <c r="P109">
        <v>0.74390800000000001</v>
      </c>
      <c r="Q109">
        <v>0.70231600000000005</v>
      </c>
      <c r="R109">
        <v>0.67731600000000003</v>
      </c>
      <c r="S109">
        <v>0.63363999999999998</v>
      </c>
      <c r="T109">
        <v>0.58205399999999996</v>
      </c>
      <c r="U109">
        <v>0.21281900000000001</v>
      </c>
      <c r="V109">
        <v>0.21332799999999999</v>
      </c>
      <c r="W109">
        <v>0.21385499999999999</v>
      </c>
      <c r="X109">
        <v>0.21418400000000001</v>
      </c>
      <c r="Y109">
        <v>0.21473</v>
      </c>
      <c r="Z109">
        <v>0.21060499999999999</v>
      </c>
      <c r="AA109">
        <v>0.192386</v>
      </c>
      <c r="AB109">
        <v>4.7468000000000003E-2</v>
      </c>
      <c r="AC109">
        <v>4.7543000000000002E-2</v>
      </c>
      <c r="AD109">
        <v>4.7598000000000001E-2</v>
      </c>
      <c r="AE109">
        <v>4.4523E-2</v>
      </c>
      <c r="AF109">
        <v>4.471E-2</v>
      </c>
      <c r="AG109" s="31">
        <v>-0.17599999999999999</v>
      </c>
    </row>
    <row r="110" spans="1:33" x14ac:dyDescent="0.25">
      <c r="A110" t="s">
        <v>312</v>
      </c>
      <c r="B110" t="s">
        <v>313</v>
      </c>
      <c r="C110" t="s">
        <v>314</v>
      </c>
      <c r="D110" t="s">
        <v>73</v>
      </c>
      <c r="F110">
        <v>8.1225660000000008</v>
      </c>
      <c r="G110">
        <v>8.281053</v>
      </c>
      <c r="H110">
        <v>8.3596509999999995</v>
      </c>
      <c r="I110">
        <v>8.3406389999999995</v>
      </c>
      <c r="J110">
        <v>8.3405020000000007</v>
      </c>
      <c r="K110">
        <v>8.3403890000000001</v>
      </c>
      <c r="L110">
        <v>8.2471390000000007</v>
      </c>
      <c r="M110">
        <v>8.1603460000000005</v>
      </c>
      <c r="N110">
        <v>8.1603019999999997</v>
      </c>
      <c r="O110">
        <v>8.1604609999999997</v>
      </c>
      <c r="P110">
        <v>8.1604609999999997</v>
      </c>
      <c r="Q110">
        <v>8.1391779999999994</v>
      </c>
      <c r="R110">
        <v>8.087199</v>
      </c>
      <c r="S110">
        <v>8.1279859999999999</v>
      </c>
      <c r="T110">
        <v>8.1249500000000001</v>
      </c>
      <c r="U110">
        <v>8.1106999999999996</v>
      </c>
      <c r="V110">
        <v>8.1093729999999997</v>
      </c>
      <c r="W110">
        <v>8.1100390000000004</v>
      </c>
      <c r="X110">
        <v>8.1103830000000006</v>
      </c>
      <c r="Y110">
        <v>8.1107829999999996</v>
      </c>
      <c r="Z110">
        <v>8.1087369999999996</v>
      </c>
      <c r="AA110">
        <v>8.1102089999999993</v>
      </c>
      <c r="AB110">
        <v>8.1065240000000003</v>
      </c>
      <c r="AC110">
        <v>8.1099440000000005</v>
      </c>
      <c r="AD110">
        <v>8.109</v>
      </c>
      <c r="AE110">
        <v>8.1071609999999996</v>
      </c>
      <c r="AF110">
        <v>8.1079439999999998</v>
      </c>
      <c r="AG110" s="31">
        <v>0</v>
      </c>
    </row>
    <row r="111" spans="1:33" x14ac:dyDescent="0.25">
      <c r="A111" t="s">
        <v>83</v>
      </c>
      <c r="B111" t="s">
        <v>315</v>
      </c>
      <c r="C111" t="s">
        <v>316</v>
      </c>
      <c r="D111" t="s">
        <v>73</v>
      </c>
      <c r="F111">
        <v>3.4094410000000002</v>
      </c>
      <c r="G111">
        <v>3.8024849999999999</v>
      </c>
      <c r="H111">
        <v>4.3689400000000003</v>
      </c>
      <c r="I111">
        <v>4.6928029999999996</v>
      </c>
      <c r="J111">
        <v>4.8440750000000001</v>
      </c>
      <c r="K111">
        <v>5.067399</v>
      </c>
      <c r="L111">
        <v>5.415483</v>
      </c>
      <c r="M111">
        <v>5.7938359999999998</v>
      </c>
      <c r="N111">
        <v>6.2255589999999996</v>
      </c>
      <c r="O111">
        <v>6.6744339999999998</v>
      </c>
      <c r="P111">
        <v>7.2109439999999996</v>
      </c>
      <c r="Q111">
        <v>7.849945</v>
      </c>
      <c r="R111">
        <v>8.4510159999999992</v>
      </c>
      <c r="S111">
        <v>9.1673589999999994</v>
      </c>
      <c r="T111">
        <v>9.6489840000000004</v>
      </c>
      <c r="U111">
        <v>10.328339</v>
      </c>
      <c r="V111">
        <v>10.649782999999999</v>
      </c>
      <c r="W111">
        <v>10.803039</v>
      </c>
      <c r="X111">
        <v>10.975296</v>
      </c>
      <c r="Y111">
        <v>11.190047</v>
      </c>
      <c r="Z111">
        <v>11.380852000000001</v>
      </c>
      <c r="AA111">
        <v>11.55542</v>
      </c>
      <c r="AB111">
        <v>11.771945000000001</v>
      </c>
      <c r="AC111">
        <v>11.940047</v>
      </c>
      <c r="AD111">
        <v>12.114095000000001</v>
      </c>
      <c r="AE111">
        <v>12.275302999999999</v>
      </c>
      <c r="AF111">
        <v>12.507334999999999</v>
      </c>
      <c r="AG111" s="31">
        <v>5.0999999999999997E-2</v>
      </c>
    </row>
    <row r="112" spans="1:33" x14ac:dyDescent="0.25">
      <c r="A112" t="s">
        <v>173</v>
      </c>
      <c r="B112" t="s">
        <v>317</v>
      </c>
      <c r="C112" t="s">
        <v>318</v>
      </c>
      <c r="D112" t="s">
        <v>73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9.1394000000000003E-2</v>
      </c>
      <c r="O112">
        <v>0.105557</v>
      </c>
      <c r="P112">
        <v>0.117968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 t="s">
        <v>319</v>
      </c>
    </row>
    <row r="113" spans="1:33" x14ac:dyDescent="0.25">
      <c r="A113" t="s">
        <v>320</v>
      </c>
      <c r="B113" t="s">
        <v>321</v>
      </c>
      <c r="C113" t="s">
        <v>322</v>
      </c>
      <c r="D113" t="s">
        <v>73</v>
      </c>
      <c r="F113">
        <v>8.7989999999999999E-2</v>
      </c>
      <c r="G113">
        <v>8.7989999999999999E-2</v>
      </c>
      <c r="H113">
        <v>8.7989999999999999E-2</v>
      </c>
      <c r="I113">
        <v>8.7989999999999999E-2</v>
      </c>
      <c r="J113">
        <v>8.7989999999999999E-2</v>
      </c>
      <c r="K113">
        <v>8.7989999999999999E-2</v>
      </c>
      <c r="L113">
        <v>8.7989999999999999E-2</v>
      </c>
      <c r="M113">
        <v>8.7989999999999999E-2</v>
      </c>
      <c r="N113">
        <v>8.7989999999999999E-2</v>
      </c>
      <c r="O113">
        <v>8.7989999999999999E-2</v>
      </c>
      <c r="P113">
        <v>8.7989999999999999E-2</v>
      </c>
      <c r="Q113">
        <v>8.7989999999999999E-2</v>
      </c>
      <c r="R113">
        <v>8.7989999999999999E-2</v>
      </c>
      <c r="S113">
        <v>8.7989999999999999E-2</v>
      </c>
      <c r="T113">
        <v>8.7989999999999999E-2</v>
      </c>
      <c r="U113">
        <v>8.7989999999999999E-2</v>
      </c>
      <c r="V113">
        <v>8.7989999999999999E-2</v>
      </c>
      <c r="W113">
        <v>8.7989999999999999E-2</v>
      </c>
      <c r="X113">
        <v>8.7989999999999999E-2</v>
      </c>
      <c r="Y113">
        <v>8.7989999999999999E-2</v>
      </c>
      <c r="Z113">
        <v>8.7989999999999999E-2</v>
      </c>
      <c r="AA113">
        <v>8.7989999999999999E-2</v>
      </c>
      <c r="AB113">
        <v>8.7989999999999999E-2</v>
      </c>
      <c r="AC113">
        <v>8.7989999999999999E-2</v>
      </c>
      <c r="AD113">
        <v>8.7989999999999999E-2</v>
      </c>
      <c r="AE113">
        <v>8.7989999999999999E-2</v>
      </c>
      <c r="AF113">
        <v>8.7989999999999999E-2</v>
      </c>
      <c r="AG113" s="31">
        <v>0</v>
      </c>
    </row>
    <row r="114" spans="1:33" x14ac:dyDescent="0.25">
      <c r="A114" t="s">
        <v>323</v>
      </c>
      <c r="B114" t="s">
        <v>324</v>
      </c>
      <c r="C114" t="s">
        <v>325</v>
      </c>
      <c r="D114" t="s">
        <v>73</v>
      </c>
      <c r="F114">
        <v>0.100341</v>
      </c>
      <c r="G114">
        <v>0.118393</v>
      </c>
      <c r="H114">
        <v>0.142458</v>
      </c>
      <c r="I114">
        <v>0.202903</v>
      </c>
      <c r="J114">
        <v>0.24338399999999999</v>
      </c>
      <c r="K114">
        <v>0.26112200000000002</v>
      </c>
      <c r="L114">
        <v>0.28683500000000001</v>
      </c>
      <c r="M114">
        <v>0.29337000000000002</v>
      </c>
      <c r="N114">
        <v>0.29980800000000002</v>
      </c>
      <c r="O114">
        <v>0.308062</v>
      </c>
      <c r="P114">
        <v>0.30971300000000002</v>
      </c>
      <c r="Q114">
        <v>0.31395499999999998</v>
      </c>
      <c r="R114">
        <v>0.30632599999999999</v>
      </c>
      <c r="S114">
        <v>0.302757</v>
      </c>
      <c r="T114">
        <v>0.301151</v>
      </c>
      <c r="U114">
        <v>0.29325000000000001</v>
      </c>
      <c r="V114">
        <v>0.29788199999999998</v>
      </c>
      <c r="W114">
        <v>0.29930400000000001</v>
      </c>
      <c r="X114">
        <v>0.29688999999999999</v>
      </c>
      <c r="Y114">
        <v>0.27687</v>
      </c>
      <c r="Z114">
        <v>0.27546500000000002</v>
      </c>
      <c r="AA114">
        <v>0.27317000000000002</v>
      </c>
      <c r="AB114">
        <v>0.25714999999999999</v>
      </c>
      <c r="AC114">
        <v>0.246115</v>
      </c>
      <c r="AD114">
        <v>0.23954600000000001</v>
      </c>
      <c r="AE114">
        <v>0.22953499999999999</v>
      </c>
      <c r="AF114">
        <v>0.22034999999999999</v>
      </c>
      <c r="AG114" s="31">
        <v>3.1E-2</v>
      </c>
    </row>
    <row r="115" spans="1:33" x14ac:dyDescent="0.25">
      <c r="A115" t="s">
        <v>326</v>
      </c>
      <c r="B115" t="s">
        <v>327</v>
      </c>
      <c r="C115" t="s">
        <v>328</v>
      </c>
      <c r="D115" t="s">
        <v>73</v>
      </c>
      <c r="F115">
        <v>32.531005999999998</v>
      </c>
      <c r="G115">
        <v>32.117488999999999</v>
      </c>
      <c r="H115">
        <v>31.207094000000001</v>
      </c>
      <c r="I115">
        <v>30.935127000000001</v>
      </c>
      <c r="J115">
        <v>30.900058999999999</v>
      </c>
      <c r="K115">
        <v>30.999009999999998</v>
      </c>
      <c r="L115">
        <v>30.702814</v>
      </c>
      <c r="M115">
        <v>30.57086</v>
      </c>
      <c r="N115">
        <v>30.037230999999998</v>
      </c>
      <c r="O115">
        <v>30.060589</v>
      </c>
      <c r="P115">
        <v>30.127275000000001</v>
      </c>
      <c r="Q115">
        <v>30.131582000000002</v>
      </c>
      <c r="R115">
        <v>30.166039000000001</v>
      </c>
      <c r="S115">
        <v>30.040230000000001</v>
      </c>
      <c r="T115">
        <v>30.152049999999999</v>
      </c>
      <c r="U115">
        <v>29.876017000000001</v>
      </c>
      <c r="V115">
        <v>30.17679</v>
      </c>
      <c r="W115">
        <v>30.652387999999998</v>
      </c>
      <c r="X115">
        <v>31.106574999999999</v>
      </c>
      <c r="Y115">
        <v>31.474298000000001</v>
      </c>
      <c r="Z115">
        <v>31.837302999999999</v>
      </c>
      <c r="AA115">
        <v>32.104343</v>
      </c>
      <c r="AB115">
        <v>32.363087</v>
      </c>
      <c r="AC115">
        <v>32.668545000000002</v>
      </c>
      <c r="AD115">
        <v>32.985218000000003</v>
      </c>
      <c r="AE115">
        <v>33.327621000000001</v>
      </c>
      <c r="AF115">
        <v>33.553801999999997</v>
      </c>
      <c r="AG115" s="31">
        <v>1E-3</v>
      </c>
    </row>
    <row r="116" spans="1:33" x14ac:dyDescent="0.25">
      <c r="A116" t="s">
        <v>183</v>
      </c>
      <c r="B116" t="s">
        <v>329</v>
      </c>
      <c r="C116" t="s">
        <v>330</v>
      </c>
      <c r="D116" t="s">
        <v>73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3.6000000000000001E-5</v>
      </c>
      <c r="O116">
        <v>4.1999999999999998E-5</v>
      </c>
      <c r="P116">
        <v>4.6999999999999997E-5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 t="s">
        <v>319</v>
      </c>
    </row>
    <row r="117" spans="1:33" x14ac:dyDescent="0.25">
      <c r="A117" t="s">
        <v>95</v>
      </c>
      <c r="B117" t="s">
        <v>331</v>
      </c>
      <c r="C117" t="s">
        <v>332</v>
      </c>
      <c r="D117" t="s">
        <v>73</v>
      </c>
      <c r="F117">
        <v>32.531005999999998</v>
      </c>
      <c r="G117">
        <v>32.117488999999999</v>
      </c>
      <c r="H117">
        <v>31.207094000000001</v>
      </c>
      <c r="I117">
        <v>30.935127000000001</v>
      </c>
      <c r="J117">
        <v>30.900058999999999</v>
      </c>
      <c r="K117">
        <v>30.999009999999998</v>
      </c>
      <c r="L117">
        <v>30.702814</v>
      </c>
      <c r="M117">
        <v>30.57086</v>
      </c>
      <c r="N117">
        <v>30.037268000000001</v>
      </c>
      <c r="O117">
        <v>30.060631000000001</v>
      </c>
      <c r="P117">
        <v>30.127323000000001</v>
      </c>
      <c r="Q117">
        <v>30.131582000000002</v>
      </c>
      <c r="R117">
        <v>30.166039000000001</v>
      </c>
      <c r="S117">
        <v>30.040230000000001</v>
      </c>
      <c r="T117">
        <v>30.152049999999999</v>
      </c>
      <c r="U117">
        <v>29.876017000000001</v>
      </c>
      <c r="V117">
        <v>30.17679</v>
      </c>
      <c r="W117">
        <v>30.652387999999998</v>
      </c>
      <c r="X117">
        <v>31.106574999999999</v>
      </c>
      <c r="Y117">
        <v>31.474298000000001</v>
      </c>
      <c r="Z117">
        <v>31.837302999999999</v>
      </c>
      <c r="AA117">
        <v>32.104343</v>
      </c>
      <c r="AB117">
        <v>32.363087</v>
      </c>
      <c r="AC117">
        <v>32.668545000000002</v>
      </c>
      <c r="AD117">
        <v>32.985218000000003</v>
      </c>
      <c r="AE117">
        <v>33.327621000000001</v>
      </c>
      <c r="AF117">
        <v>33.553801999999997</v>
      </c>
      <c r="AG117" s="31">
        <v>1E-3</v>
      </c>
    </row>
    <row r="118" spans="1:33" x14ac:dyDescent="0.25">
      <c r="A118" s="1" t="s">
        <v>333</v>
      </c>
    </row>
    <row r="119" spans="1:33" x14ac:dyDescent="0.25">
      <c r="A119" t="s">
        <v>80</v>
      </c>
      <c r="B119" t="s">
        <v>334</v>
      </c>
      <c r="C119" t="s">
        <v>335</v>
      </c>
      <c r="D119" t="s">
        <v>73</v>
      </c>
      <c r="F119">
        <v>1.0604819999999999</v>
      </c>
      <c r="G119">
        <v>1.078702</v>
      </c>
      <c r="H119">
        <v>1.1099749999999999</v>
      </c>
      <c r="I119">
        <v>1.1256269999999999</v>
      </c>
      <c r="J119">
        <v>1.1349020000000001</v>
      </c>
      <c r="K119">
        <v>1.148471</v>
      </c>
      <c r="L119">
        <v>1.176577</v>
      </c>
      <c r="M119">
        <v>1.2220610000000001</v>
      </c>
      <c r="N119">
        <v>1.309051</v>
      </c>
      <c r="O119">
        <v>1.3920889999999999</v>
      </c>
      <c r="P119">
        <v>1.4700610000000001</v>
      </c>
      <c r="Q119">
        <v>1.5432650000000001</v>
      </c>
      <c r="R119">
        <v>1.6124499999999999</v>
      </c>
      <c r="S119">
        <v>1.673084</v>
      </c>
      <c r="T119">
        <v>1.7300199999999999</v>
      </c>
      <c r="U119">
        <v>1.7820100000000001</v>
      </c>
      <c r="V119">
        <v>1.8314710000000001</v>
      </c>
      <c r="W119">
        <v>1.8790309999999999</v>
      </c>
      <c r="X119">
        <v>1.9213089999999999</v>
      </c>
      <c r="Y119">
        <v>1.9635480000000001</v>
      </c>
      <c r="Z119">
        <v>2.0080580000000001</v>
      </c>
      <c r="AA119">
        <v>2.0488300000000002</v>
      </c>
      <c r="AB119">
        <v>2.0800369999999999</v>
      </c>
      <c r="AC119">
        <v>2.1036169999999998</v>
      </c>
      <c r="AD119">
        <v>2.1276570000000001</v>
      </c>
      <c r="AE119">
        <v>2.1479189999999999</v>
      </c>
      <c r="AF119">
        <v>2.1715059999999999</v>
      </c>
      <c r="AG119" s="31">
        <v>2.8000000000000001E-2</v>
      </c>
    </row>
    <row r="120" spans="1:33" x14ac:dyDescent="0.25">
      <c r="A120" t="s">
        <v>289</v>
      </c>
      <c r="B120" t="s">
        <v>336</v>
      </c>
      <c r="C120" t="s">
        <v>337</v>
      </c>
      <c r="D120" t="s">
        <v>73</v>
      </c>
      <c r="F120">
        <v>3.6489999999999999E-3</v>
      </c>
      <c r="G120">
        <v>3.6930000000000001E-3</v>
      </c>
      <c r="H120">
        <v>4.6059999999999999E-3</v>
      </c>
      <c r="I120">
        <v>4.7400000000000003E-3</v>
      </c>
      <c r="J120">
        <v>4.8240000000000002E-3</v>
      </c>
      <c r="K120">
        <v>4.9449999999999997E-3</v>
      </c>
      <c r="L120">
        <v>5.1399999999999996E-3</v>
      </c>
      <c r="M120">
        <v>5.4460000000000003E-3</v>
      </c>
      <c r="N120">
        <v>6.4869999999999997E-3</v>
      </c>
      <c r="O120">
        <v>8.0549999999999997E-3</v>
      </c>
      <c r="P120">
        <v>9.5779999999999997E-3</v>
      </c>
      <c r="Q120">
        <v>1.1226E-2</v>
      </c>
      <c r="R120">
        <v>1.1394E-2</v>
      </c>
      <c r="S120">
        <v>1.0609E-2</v>
      </c>
      <c r="T120">
        <v>9.8960000000000003E-3</v>
      </c>
      <c r="U120">
        <v>9.9010000000000001E-3</v>
      </c>
      <c r="V120">
        <v>9.9760000000000005E-3</v>
      </c>
      <c r="W120">
        <v>1.0061E-2</v>
      </c>
      <c r="X120">
        <v>9.9069999999999991E-3</v>
      </c>
      <c r="Y120">
        <v>9.7959999999999992E-3</v>
      </c>
      <c r="Z120">
        <v>9.3010000000000002E-3</v>
      </c>
      <c r="AA120">
        <v>8.5839999999999996E-3</v>
      </c>
      <c r="AB120">
        <v>8.0009999999999994E-3</v>
      </c>
      <c r="AC120">
        <v>7.2890000000000003E-3</v>
      </c>
      <c r="AD120">
        <v>7.3559999999999997E-3</v>
      </c>
      <c r="AE120">
        <v>5.2319999999999997E-3</v>
      </c>
      <c r="AF120">
        <v>5.2900000000000004E-3</v>
      </c>
      <c r="AG120" s="31">
        <v>1.4E-2</v>
      </c>
    </row>
    <row r="121" spans="1:33" x14ac:dyDescent="0.25">
      <c r="A121" t="s">
        <v>338</v>
      </c>
      <c r="B121" t="s">
        <v>339</v>
      </c>
      <c r="C121" t="s">
        <v>340</v>
      </c>
      <c r="D121" t="s">
        <v>73</v>
      </c>
      <c r="F121">
        <v>0.28129799999999999</v>
      </c>
      <c r="G121">
        <v>0.28379199999999999</v>
      </c>
      <c r="H121">
        <v>0.28559899999999999</v>
      </c>
      <c r="I121">
        <v>0.28582299999999999</v>
      </c>
      <c r="J121">
        <v>0.286192</v>
      </c>
      <c r="K121">
        <v>0.28640399999999999</v>
      </c>
      <c r="L121">
        <v>0.28644399999999998</v>
      </c>
      <c r="M121">
        <v>0.28641100000000003</v>
      </c>
      <c r="N121">
        <v>0.28726299999999999</v>
      </c>
      <c r="O121">
        <v>0.28826000000000002</v>
      </c>
      <c r="P121">
        <v>0.29222999999999999</v>
      </c>
      <c r="Q121">
        <v>0.29441699999999998</v>
      </c>
      <c r="R121">
        <v>0.29534899999999997</v>
      </c>
      <c r="S121">
        <v>0.29821500000000001</v>
      </c>
      <c r="T121">
        <v>0.30154399999999998</v>
      </c>
      <c r="U121">
        <v>0.30737500000000001</v>
      </c>
      <c r="V121">
        <v>0.31435200000000002</v>
      </c>
      <c r="W121">
        <v>0.319438</v>
      </c>
      <c r="X121">
        <v>0.325521</v>
      </c>
      <c r="Y121">
        <v>0.328208</v>
      </c>
      <c r="Z121">
        <v>0.32749699999999998</v>
      </c>
      <c r="AA121">
        <v>0.32506600000000002</v>
      </c>
      <c r="AB121">
        <v>0.32816499999999998</v>
      </c>
      <c r="AC121">
        <v>0.33494800000000002</v>
      </c>
      <c r="AD121">
        <v>0.33964899999999998</v>
      </c>
      <c r="AE121">
        <v>0.34065200000000001</v>
      </c>
      <c r="AF121">
        <v>0.34046399999999999</v>
      </c>
      <c r="AG121" s="31">
        <v>7.0000000000000001E-3</v>
      </c>
    </row>
    <row r="122" spans="1:33" x14ac:dyDescent="0.25">
      <c r="A122" t="s">
        <v>326</v>
      </c>
      <c r="B122" t="s">
        <v>341</v>
      </c>
      <c r="C122" t="s">
        <v>342</v>
      </c>
      <c r="D122" t="s">
        <v>73</v>
      </c>
      <c r="F122">
        <v>1.345429</v>
      </c>
      <c r="G122">
        <v>1.3661859999999999</v>
      </c>
      <c r="H122">
        <v>1.40018</v>
      </c>
      <c r="I122">
        <v>1.4161900000000001</v>
      </c>
      <c r="J122">
        <v>1.425918</v>
      </c>
      <c r="K122">
        <v>1.4398200000000001</v>
      </c>
      <c r="L122">
        <v>1.468161</v>
      </c>
      <c r="M122">
        <v>1.5139180000000001</v>
      </c>
      <c r="N122">
        <v>1.6028009999999999</v>
      </c>
      <c r="O122">
        <v>1.688404</v>
      </c>
      <c r="P122">
        <v>1.7718689999999999</v>
      </c>
      <c r="Q122">
        <v>1.8489089999999999</v>
      </c>
      <c r="R122">
        <v>1.9191929999999999</v>
      </c>
      <c r="S122">
        <v>1.981908</v>
      </c>
      <c r="T122">
        <v>2.0414599999999998</v>
      </c>
      <c r="U122">
        <v>2.0992860000000002</v>
      </c>
      <c r="V122">
        <v>2.155799</v>
      </c>
      <c r="W122">
        <v>2.208529</v>
      </c>
      <c r="X122">
        <v>2.2567370000000002</v>
      </c>
      <c r="Y122">
        <v>2.301552</v>
      </c>
      <c r="Z122">
        <v>2.3448560000000001</v>
      </c>
      <c r="AA122">
        <v>2.3824800000000002</v>
      </c>
      <c r="AB122">
        <v>2.4162029999999999</v>
      </c>
      <c r="AC122">
        <v>2.4458549999999999</v>
      </c>
      <c r="AD122">
        <v>2.4746619999999999</v>
      </c>
      <c r="AE122">
        <v>2.4938030000000002</v>
      </c>
      <c r="AF122">
        <v>2.5172599999999998</v>
      </c>
      <c r="AG122" s="31">
        <v>2.4E-2</v>
      </c>
    </row>
    <row r="123" spans="1:33" x14ac:dyDescent="0.25">
      <c r="A123" t="s">
        <v>92</v>
      </c>
      <c r="B123" t="s">
        <v>343</v>
      </c>
      <c r="C123" t="s">
        <v>344</v>
      </c>
      <c r="D123" t="s">
        <v>73</v>
      </c>
      <c r="F123">
        <v>5.1859999999999996E-3</v>
      </c>
      <c r="G123">
        <v>5.0899999999999999E-3</v>
      </c>
      <c r="H123">
        <v>5.9699999999999996E-3</v>
      </c>
      <c r="I123">
        <v>5.9090000000000002E-3</v>
      </c>
      <c r="J123">
        <v>5.8809999999999999E-3</v>
      </c>
      <c r="K123">
        <v>5.9220000000000002E-3</v>
      </c>
      <c r="L123">
        <v>5.9080000000000001E-3</v>
      </c>
      <c r="M123">
        <v>6.0600000000000003E-3</v>
      </c>
      <c r="N123">
        <v>6.7510000000000001E-3</v>
      </c>
      <c r="O123">
        <v>8.1099999999999992E-3</v>
      </c>
      <c r="P123">
        <v>9.2940000000000002E-3</v>
      </c>
      <c r="Q123">
        <v>1.0416E-2</v>
      </c>
      <c r="R123">
        <v>1.0122000000000001E-2</v>
      </c>
      <c r="S123">
        <v>8.9320000000000007E-3</v>
      </c>
      <c r="T123">
        <v>8.0689999999999998E-3</v>
      </c>
      <c r="U123">
        <v>7.5890000000000003E-3</v>
      </c>
      <c r="V123">
        <v>7.509E-3</v>
      </c>
      <c r="W123">
        <v>7.5560000000000002E-3</v>
      </c>
      <c r="X123">
        <v>7.424E-3</v>
      </c>
      <c r="Y123">
        <v>7.2909999999999997E-3</v>
      </c>
      <c r="Z123">
        <v>6.8859999999999998E-3</v>
      </c>
      <c r="AA123">
        <v>6.2849999999999998E-3</v>
      </c>
      <c r="AB123">
        <v>5.7920000000000003E-3</v>
      </c>
      <c r="AC123">
        <v>5.2350000000000001E-3</v>
      </c>
      <c r="AD123">
        <v>5.2560000000000003E-3</v>
      </c>
      <c r="AE123">
        <v>3.7269999999999998E-3</v>
      </c>
      <c r="AF123">
        <v>3.728E-3</v>
      </c>
      <c r="AG123" s="31">
        <v>-1.2999999999999999E-2</v>
      </c>
    </row>
    <row r="124" spans="1:33" x14ac:dyDescent="0.25">
      <c r="A124" t="s">
        <v>95</v>
      </c>
      <c r="B124" t="s">
        <v>345</v>
      </c>
      <c r="C124" t="s">
        <v>346</v>
      </c>
      <c r="D124" t="s">
        <v>73</v>
      </c>
      <c r="F124">
        <v>1.3506149999999999</v>
      </c>
      <c r="G124">
        <v>1.3712759999999999</v>
      </c>
      <c r="H124">
        <v>1.4061490000000001</v>
      </c>
      <c r="I124">
        <v>1.422099</v>
      </c>
      <c r="J124">
        <v>1.431799</v>
      </c>
      <c r="K124">
        <v>1.4457409999999999</v>
      </c>
      <c r="L124">
        <v>1.4740690000000001</v>
      </c>
      <c r="M124">
        <v>1.5199780000000001</v>
      </c>
      <c r="N124">
        <v>1.6095520000000001</v>
      </c>
      <c r="O124">
        <v>1.696515</v>
      </c>
      <c r="P124">
        <v>1.7811630000000001</v>
      </c>
      <c r="Q124">
        <v>1.8593249999999999</v>
      </c>
      <c r="R124">
        <v>1.9293149999999999</v>
      </c>
      <c r="S124">
        <v>1.9908399999999999</v>
      </c>
      <c r="T124">
        <v>2.049528</v>
      </c>
      <c r="U124">
        <v>2.1068750000000001</v>
      </c>
      <c r="V124">
        <v>2.1633089999999999</v>
      </c>
      <c r="W124">
        <v>2.2160850000000001</v>
      </c>
      <c r="X124">
        <v>2.2641610000000001</v>
      </c>
      <c r="Y124">
        <v>2.308843</v>
      </c>
      <c r="Z124">
        <v>2.3517420000000002</v>
      </c>
      <c r="AA124">
        <v>2.3887649999999998</v>
      </c>
      <c r="AB124">
        <v>2.4219949999999999</v>
      </c>
      <c r="AC124">
        <v>2.4510909999999999</v>
      </c>
      <c r="AD124">
        <v>2.4799190000000002</v>
      </c>
      <c r="AE124">
        <v>2.4975299999999998</v>
      </c>
      <c r="AF124">
        <v>2.520988</v>
      </c>
      <c r="AG124" s="31">
        <v>2.4E-2</v>
      </c>
    </row>
    <row r="125" spans="1:33" x14ac:dyDescent="0.25">
      <c r="A125" s="1" t="s">
        <v>347</v>
      </c>
    </row>
    <row r="126" spans="1:33" x14ac:dyDescent="0.25">
      <c r="A126" t="s">
        <v>243</v>
      </c>
      <c r="B126" t="s">
        <v>348</v>
      </c>
      <c r="C126" t="s">
        <v>349</v>
      </c>
      <c r="D126" t="s">
        <v>73</v>
      </c>
      <c r="F126">
        <v>4.2096410000000004</v>
      </c>
      <c r="G126">
        <v>4.3111629999999996</v>
      </c>
      <c r="H126">
        <v>4.308465</v>
      </c>
      <c r="I126">
        <v>4.314057</v>
      </c>
      <c r="J126">
        <v>4.3211659999999998</v>
      </c>
      <c r="K126">
        <v>4.3261159999999999</v>
      </c>
      <c r="L126">
        <v>4.3287339999999999</v>
      </c>
      <c r="M126">
        <v>4.3287789999999999</v>
      </c>
      <c r="N126">
        <v>4.3288169999999999</v>
      </c>
      <c r="O126">
        <v>4.3287089999999999</v>
      </c>
      <c r="P126">
        <v>4.3238570000000003</v>
      </c>
      <c r="Q126">
        <v>4.319674</v>
      </c>
      <c r="R126">
        <v>4.3178520000000002</v>
      </c>
      <c r="S126">
        <v>4.3137350000000003</v>
      </c>
      <c r="T126">
        <v>4.3446490000000004</v>
      </c>
      <c r="U126">
        <v>4.4146879999999999</v>
      </c>
      <c r="V126">
        <v>4.4915560000000001</v>
      </c>
      <c r="W126">
        <v>4.5537510000000001</v>
      </c>
      <c r="X126">
        <v>4.6185210000000003</v>
      </c>
      <c r="Y126">
        <v>4.6648829999999997</v>
      </c>
      <c r="Z126">
        <v>4.6391999999999998</v>
      </c>
      <c r="AA126">
        <v>4.6024589999999996</v>
      </c>
      <c r="AB126">
        <v>4.643802</v>
      </c>
      <c r="AC126">
        <v>4.719849</v>
      </c>
      <c r="AD126">
        <v>4.7760850000000001</v>
      </c>
      <c r="AE126">
        <v>4.7521430000000002</v>
      </c>
      <c r="AF126">
        <v>4.7268679999999996</v>
      </c>
      <c r="AG126" s="31">
        <v>4.0000000000000001E-3</v>
      </c>
    </row>
    <row r="127" spans="1:33" x14ac:dyDescent="0.25">
      <c r="A127" t="s">
        <v>101</v>
      </c>
      <c r="B127" t="s">
        <v>350</v>
      </c>
      <c r="C127" t="s">
        <v>351</v>
      </c>
      <c r="D127" t="s">
        <v>73</v>
      </c>
      <c r="F127">
        <v>16.513548</v>
      </c>
      <c r="G127">
        <v>16.489156999999999</v>
      </c>
      <c r="H127">
        <v>16.473248999999999</v>
      </c>
      <c r="I127">
        <v>16.364160999999999</v>
      </c>
      <c r="J127">
        <v>16.130832999999999</v>
      </c>
      <c r="K127">
        <v>15.836448000000001</v>
      </c>
      <c r="L127">
        <v>15.462358999999999</v>
      </c>
      <c r="M127">
        <v>15.086967</v>
      </c>
      <c r="N127">
        <v>14.635192999999999</v>
      </c>
      <c r="O127">
        <v>14.174006</v>
      </c>
      <c r="P127">
        <v>13.730399</v>
      </c>
      <c r="Q127">
        <v>13.285722</v>
      </c>
      <c r="R127">
        <v>12.821792</v>
      </c>
      <c r="S127">
        <v>12.365026</v>
      </c>
      <c r="T127">
        <v>11.944914000000001</v>
      </c>
      <c r="U127">
        <v>11.546367</v>
      </c>
      <c r="V127">
        <v>11.193057</v>
      </c>
      <c r="W127">
        <v>10.870225</v>
      </c>
      <c r="X127">
        <v>10.552911999999999</v>
      </c>
      <c r="Y127">
        <v>10.300356000000001</v>
      </c>
      <c r="Z127">
        <v>10.049175999999999</v>
      </c>
      <c r="AA127">
        <v>9.8499569999999999</v>
      </c>
      <c r="AB127">
        <v>9.6650930000000006</v>
      </c>
      <c r="AC127">
        <v>9.5220990000000008</v>
      </c>
      <c r="AD127">
        <v>9.3479120000000009</v>
      </c>
      <c r="AE127">
        <v>9.2362929999999999</v>
      </c>
      <c r="AF127">
        <v>9.1515050000000002</v>
      </c>
      <c r="AG127" s="31">
        <v>-2.1999999999999999E-2</v>
      </c>
    </row>
    <row r="128" spans="1:33" x14ac:dyDescent="0.25">
      <c r="A128" t="s">
        <v>193</v>
      </c>
      <c r="B128" t="s">
        <v>352</v>
      </c>
      <c r="C128" t="s">
        <v>353</v>
      </c>
      <c r="D128" t="s">
        <v>73</v>
      </c>
      <c r="F128">
        <v>3.7429999999999998E-3</v>
      </c>
      <c r="G128">
        <v>3.4680000000000002E-3</v>
      </c>
      <c r="H128">
        <v>3.0929999999999998E-3</v>
      </c>
      <c r="I128">
        <v>2.8969999999999998E-3</v>
      </c>
      <c r="J128">
        <v>2.8110000000000001E-3</v>
      </c>
      <c r="K128">
        <v>2.9139999999999999E-3</v>
      </c>
      <c r="L128">
        <v>2.7620000000000001E-3</v>
      </c>
      <c r="M128">
        <v>2.552E-3</v>
      </c>
      <c r="N128">
        <v>2.3749999999999999E-3</v>
      </c>
      <c r="O128">
        <v>2.2269999999999998E-3</v>
      </c>
      <c r="P128">
        <v>2.1090000000000002E-3</v>
      </c>
      <c r="Q128">
        <v>1.9840000000000001E-3</v>
      </c>
      <c r="R128">
        <v>1.859E-3</v>
      </c>
      <c r="S128">
        <v>1.7639999999999999E-3</v>
      </c>
      <c r="T128">
        <v>1.6659999999999999E-3</v>
      </c>
      <c r="U128">
        <v>1.591E-3</v>
      </c>
      <c r="V128">
        <v>1.555E-3</v>
      </c>
      <c r="W128">
        <v>1.5219999999999999E-3</v>
      </c>
      <c r="X128">
        <v>1.495E-3</v>
      </c>
      <c r="Y128">
        <v>1.48E-3</v>
      </c>
      <c r="Z128">
        <v>1.5020000000000001E-3</v>
      </c>
      <c r="AA128">
        <v>1.4630000000000001E-3</v>
      </c>
      <c r="AB128">
        <v>1.459E-3</v>
      </c>
      <c r="AC128">
        <v>1.4920000000000001E-3</v>
      </c>
      <c r="AD128">
        <v>1.488E-3</v>
      </c>
      <c r="AE128">
        <v>1.488E-3</v>
      </c>
      <c r="AF128">
        <v>1.48E-3</v>
      </c>
      <c r="AG128" s="31">
        <v>-3.5000000000000003E-2</v>
      </c>
    </row>
    <row r="129" spans="1:33" x14ac:dyDescent="0.25">
      <c r="A129" t="s">
        <v>196</v>
      </c>
      <c r="B129" t="s">
        <v>354</v>
      </c>
      <c r="C129" t="s">
        <v>355</v>
      </c>
      <c r="D129" t="s">
        <v>73</v>
      </c>
      <c r="F129">
        <v>3.5202260000000001</v>
      </c>
      <c r="G129">
        <v>3.5730430000000002</v>
      </c>
      <c r="H129">
        <v>3.5801639999999999</v>
      </c>
      <c r="I129">
        <v>3.5942850000000002</v>
      </c>
      <c r="J129">
        <v>3.6221040000000002</v>
      </c>
      <c r="K129">
        <v>3.6564160000000001</v>
      </c>
      <c r="L129">
        <v>3.6863510000000002</v>
      </c>
      <c r="M129">
        <v>3.7068750000000001</v>
      </c>
      <c r="N129">
        <v>3.7311939999999999</v>
      </c>
      <c r="O129">
        <v>3.7550829999999999</v>
      </c>
      <c r="P129">
        <v>3.7791610000000002</v>
      </c>
      <c r="Q129">
        <v>3.812392</v>
      </c>
      <c r="R129">
        <v>3.8444950000000002</v>
      </c>
      <c r="S129">
        <v>3.880754</v>
      </c>
      <c r="T129">
        <v>3.9192770000000001</v>
      </c>
      <c r="U129">
        <v>3.9593790000000002</v>
      </c>
      <c r="V129">
        <v>4.0022989999999998</v>
      </c>
      <c r="W129">
        <v>4.040978</v>
      </c>
      <c r="X129">
        <v>4.0819979999999996</v>
      </c>
      <c r="Y129">
        <v>4.120088</v>
      </c>
      <c r="Z129">
        <v>4.1585749999999999</v>
      </c>
      <c r="AA129">
        <v>4.1959350000000004</v>
      </c>
      <c r="AB129">
        <v>4.2343650000000004</v>
      </c>
      <c r="AC129">
        <v>4.2727930000000001</v>
      </c>
      <c r="AD129">
        <v>4.3107620000000004</v>
      </c>
      <c r="AE129">
        <v>4.3497570000000003</v>
      </c>
      <c r="AF129">
        <v>4.3883989999999997</v>
      </c>
      <c r="AG129" s="31">
        <v>8.9999999999999993E-3</v>
      </c>
    </row>
    <row r="130" spans="1:33" x14ac:dyDescent="0.25">
      <c r="A130" t="s">
        <v>104</v>
      </c>
      <c r="B130" t="s">
        <v>356</v>
      </c>
      <c r="C130" t="s">
        <v>357</v>
      </c>
      <c r="D130" t="s">
        <v>73</v>
      </c>
      <c r="F130">
        <v>3.189E-3</v>
      </c>
      <c r="G130">
        <v>2.751E-3</v>
      </c>
      <c r="H130">
        <v>4.1710000000000002E-3</v>
      </c>
      <c r="I130">
        <v>4.1879999999999999E-3</v>
      </c>
      <c r="J130">
        <v>4.0480000000000004E-3</v>
      </c>
      <c r="K130">
        <v>3.5850000000000001E-3</v>
      </c>
      <c r="L130">
        <v>3.1930000000000001E-3</v>
      </c>
      <c r="M130">
        <v>3.1210000000000001E-3</v>
      </c>
      <c r="N130">
        <v>3.153E-3</v>
      </c>
      <c r="O130">
        <v>2.9780000000000002E-3</v>
      </c>
      <c r="P130">
        <v>2.9060000000000002E-3</v>
      </c>
      <c r="Q130">
        <v>2.794E-3</v>
      </c>
      <c r="R130">
        <v>2.761E-3</v>
      </c>
      <c r="S130">
        <v>2.624E-3</v>
      </c>
      <c r="T130">
        <v>2.5179999999999998E-3</v>
      </c>
      <c r="U130">
        <v>2.4650000000000002E-3</v>
      </c>
      <c r="V130">
        <v>2.3630000000000001E-3</v>
      </c>
      <c r="W130">
        <v>2.2300000000000002E-3</v>
      </c>
      <c r="X130">
        <v>2.1129999999999999E-3</v>
      </c>
      <c r="Y130">
        <v>1.9759999999999999E-3</v>
      </c>
      <c r="Z130">
        <v>1.776E-3</v>
      </c>
      <c r="AA130">
        <v>1.7949999999999999E-3</v>
      </c>
      <c r="AB130">
        <v>1.761E-3</v>
      </c>
      <c r="AC130">
        <v>1.75E-3</v>
      </c>
      <c r="AD130">
        <v>1.758E-3</v>
      </c>
      <c r="AE130">
        <v>1.737E-3</v>
      </c>
      <c r="AF130">
        <v>1.6980000000000001E-3</v>
      </c>
      <c r="AG130" s="31">
        <v>-2.4E-2</v>
      </c>
    </row>
    <row r="131" spans="1:33" x14ac:dyDescent="0.25">
      <c r="A131" t="s">
        <v>74</v>
      </c>
      <c r="B131" t="s">
        <v>358</v>
      </c>
      <c r="C131" t="s">
        <v>359</v>
      </c>
      <c r="D131" t="s">
        <v>73</v>
      </c>
      <c r="F131">
        <v>8.6900759999999995</v>
      </c>
      <c r="G131">
        <v>8.9959989999999994</v>
      </c>
      <c r="H131">
        <v>8.9364589999999993</v>
      </c>
      <c r="I131">
        <v>8.8300090000000004</v>
      </c>
      <c r="J131">
        <v>8.7647539999999999</v>
      </c>
      <c r="K131">
        <v>8.6916679999999999</v>
      </c>
      <c r="L131">
        <v>8.5832610000000003</v>
      </c>
      <c r="M131">
        <v>8.4484790000000007</v>
      </c>
      <c r="N131">
        <v>8.2380279999999999</v>
      </c>
      <c r="O131">
        <v>8.0472909999999995</v>
      </c>
      <c r="P131">
        <v>7.8820379999999997</v>
      </c>
      <c r="Q131">
        <v>7.727474</v>
      </c>
      <c r="R131">
        <v>7.5929479999999998</v>
      </c>
      <c r="S131">
        <v>7.4690599999999998</v>
      </c>
      <c r="T131">
        <v>7.3576100000000002</v>
      </c>
      <c r="U131">
        <v>7.2472320000000003</v>
      </c>
      <c r="V131">
        <v>7.1599950000000003</v>
      </c>
      <c r="W131">
        <v>7.0703079999999998</v>
      </c>
      <c r="X131">
        <v>6.9962099999999996</v>
      </c>
      <c r="Y131">
        <v>6.9283539999999997</v>
      </c>
      <c r="Z131">
        <v>6.86808</v>
      </c>
      <c r="AA131">
        <v>6.8242979999999998</v>
      </c>
      <c r="AB131">
        <v>6.7959310000000004</v>
      </c>
      <c r="AC131">
        <v>6.776376</v>
      </c>
      <c r="AD131">
        <v>6.7568520000000003</v>
      </c>
      <c r="AE131">
        <v>6.7486069999999998</v>
      </c>
      <c r="AF131">
        <v>6.7373409999999998</v>
      </c>
      <c r="AG131" s="31">
        <v>-0.01</v>
      </c>
    </row>
    <row r="132" spans="1:33" x14ac:dyDescent="0.25">
      <c r="A132" t="s">
        <v>109</v>
      </c>
      <c r="B132" t="s">
        <v>360</v>
      </c>
      <c r="C132" t="s">
        <v>361</v>
      </c>
      <c r="D132" t="s">
        <v>73</v>
      </c>
      <c r="F132">
        <v>0.63949699999999998</v>
      </c>
      <c r="G132">
        <v>0.60100799999999999</v>
      </c>
      <c r="H132">
        <v>0.59629100000000002</v>
      </c>
      <c r="I132">
        <v>0.60359399999999996</v>
      </c>
      <c r="J132">
        <v>0.60670900000000005</v>
      </c>
      <c r="K132">
        <v>0.61331199999999997</v>
      </c>
      <c r="L132">
        <v>0.62010699999999996</v>
      </c>
      <c r="M132">
        <v>0.62569600000000003</v>
      </c>
      <c r="N132">
        <v>0.63052200000000003</v>
      </c>
      <c r="O132">
        <v>0.63439400000000001</v>
      </c>
      <c r="P132">
        <v>0.64091600000000004</v>
      </c>
      <c r="Q132">
        <v>0.64661000000000002</v>
      </c>
      <c r="R132">
        <v>0.65031600000000001</v>
      </c>
      <c r="S132">
        <v>0.65545200000000003</v>
      </c>
      <c r="T132">
        <v>0.65858000000000005</v>
      </c>
      <c r="U132">
        <v>0.66319499999999998</v>
      </c>
      <c r="V132">
        <v>0.66718299999999997</v>
      </c>
      <c r="W132">
        <v>0.66835699999999998</v>
      </c>
      <c r="X132">
        <v>0.66958899999999999</v>
      </c>
      <c r="Y132">
        <v>0.67035400000000001</v>
      </c>
      <c r="Z132">
        <v>0.67444800000000005</v>
      </c>
      <c r="AA132">
        <v>0.67448399999999997</v>
      </c>
      <c r="AB132">
        <v>0.67759100000000005</v>
      </c>
      <c r="AC132">
        <v>0.68256899999999998</v>
      </c>
      <c r="AD132">
        <v>0.68670600000000004</v>
      </c>
      <c r="AE132">
        <v>0.69029399999999996</v>
      </c>
      <c r="AF132">
        <v>0.69211</v>
      </c>
      <c r="AG132" s="31">
        <v>3.0000000000000001E-3</v>
      </c>
    </row>
    <row r="133" spans="1:33" x14ac:dyDescent="0.25">
      <c r="A133" t="s">
        <v>140</v>
      </c>
      <c r="B133" t="s">
        <v>362</v>
      </c>
      <c r="C133" t="s">
        <v>363</v>
      </c>
      <c r="D133" t="s">
        <v>73</v>
      </c>
      <c r="F133">
        <v>0.39052500000000001</v>
      </c>
      <c r="G133">
        <v>0.35499999999999998</v>
      </c>
      <c r="H133">
        <v>0.55000000000000004</v>
      </c>
      <c r="I133">
        <v>0.55000000000000004</v>
      </c>
      <c r="J133">
        <v>0.55000000000000004</v>
      </c>
      <c r="K133">
        <v>0.55000000000000004</v>
      </c>
      <c r="L133">
        <v>0.55000000000000004</v>
      </c>
      <c r="M133">
        <v>0.55000000000000004</v>
      </c>
      <c r="N133">
        <v>0.55000000000000004</v>
      </c>
      <c r="O133">
        <v>0.55000000000000004</v>
      </c>
      <c r="P133">
        <v>0.55000000000000004</v>
      </c>
      <c r="Q133">
        <v>0.55000000000000004</v>
      </c>
      <c r="R133">
        <v>0.55000000000000004</v>
      </c>
      <c r="S133">
        <v>0.55000000000000004</v>
      </c>
      <c r="T133">
        <v>0.55000000000000004</v>
      </c>
      <c r="U133">
        <v>0.55000000000000004</v>
      </c>
      <c r="V133">
        <v>0.55000000000000004</v>
      </c>
      <c r="W133">
        <v>0.55000000000000004</v>
      </c>
      <c r="X133">
        <v>0.55000000000000004</v>
      </c>
      <c r="Y133">
        <v>0.55000000000000004</v>
      </c>
      <c r="Z133">
        <v>0.69557999999999998</v>
      </c>
      <c r="AA133">
        <v>0.84116000000000002</v>
      </c>
      <c r="AB133">
        <v>0.84116000000000002</v>
      </c>
      <c r="AC133">
        <v>0.84116000000000002</v>
      </c>
      <c r="AD133">
        <v>0.84116000000000002</v>
      </c>
      <c r="AE133">
        <v>0.96409500000000004</v>
      </c>
      <c r="AF133">
        <v>1.087029</v>
      </c>
      <c r="AG133" s="31">
        <v>0.04</v>
      </c>
    </row>
    <row r="134" spans="1:33" x14ac:dyDescent="0.25">
      <c r="A134" t="s">
        <v>143</v>
      </c>
      <c r="B134" t="s">
        <v>364</v>
      </c>
      <c r="C134" t="s">
        <v>365</v>
      </c>
      <c r="D134" t="s">
        <v>73</v>
      </c>
      <c r="F134">
        <v>3.2295769999999999</v>
      </c>
      <c r="G134">
        <v>3.2699889999999998</v>
      </c>
      <c r="H134">
        <v>3.2308780000000001</v>
      </c>
      <c r="I134">
        <v>3.2593999999999999</v>
      </c>
      <c r="J134">
        <v>3.3054290000000002</v>
      </c>
      <c r="K134">
        <v>3.297212</v>
      </c>
      <c r="L134">
        <v>3.3317030000000001</v>
      </c>
      <c r="M134">
        <v>3.3492299999999999</v>
      </c>
      <c r="N134">
        <v>3.348611</v>
      </c>
      <c r="O134">
        <v>3.3352200000000001</v>
      </c>
      <c r="P134">
        <v>3.3481969999999999</v>
      </c>
      <c r="Q134">
        <v>3.3464689999999999</v>
      </c>
      <c r="R134">
        <v>3.3605480000000001</v>
      </c>
      <c r="S134">
        <v>3.365189</v>
      </c>
      <c r="T134">
        <v>3.3656350000000002</v>
      </c>
      <c r="U134">
        <v>3.376118</v>
      </c>
      <c r="V134">
        <v>3.3936289999999998</v>
      </c>
      <c r="W134">
        <v>3.4016700000000002</v>
      </c>
      <c r="X134">
        <v>3.3904709999999998</v>
      </c>
      <c r="Y134">
        <v>3.4068040000000002</v>
      </c>
      <c r="Z134">
        <v>3.4069630000000002</v>
      </c>
      <c r="AA134">
        <v>3.4061319999999999</v>
      </c>
      <c r="AB134">
        <v>3.4185539999999999</v>
      </c>
      <c r="AC134">
        <v>3.437011</v>
      </c>
      <c r="AD134">
        <v>3.4370910000000001</v>
      </c>
      <c r="AE134">
        <v>3.4337620000000002</v>
      </c>
      <c r="AF134">
        <v>3.4202460000000001</v>
      </c>
      <c r="AG134" s="31">
        <v>2E-3</v>
      </c>
    </row>
    <row r="135" spans="1:33" x14ac:dyDescent="0.25">
      <c r="A135" t="s">
        <v>77</v>
      </c>
      <c r="B135" t="s">
        <v>366</v>
      </c>
      <c r="C135" t="s">
        <v>367</v>
      </c>
      <c r="D135" t="s">
        <v>73</v>
      </c>
      <c r="F135">
        <v>37.196278</v>
      </c>
      <c r="G135">
        <v>37.598109999999998</v>
      </c>
      <c r="H135">
        <v>37.679671999999997</v>
      </c>
      <c r="I135">
        <v>37.519691000000002</v>
      </c>
      <c r="J135">
        <v>37.305038000000003</v>
      </c>
      <c r="K135">
        <v>36.974753999999997</v>
      </c>
      <c r="L135">
        <v>36.565703999999997</v>
      </c>
      <c r="M135">
        <v>36.099148</v>
      </c>
      <c r="N135">
        <v>35.465519</v>
      </c>
      <c r="O135">
        <v>34.827679000000003</v>
      </c>
      <c r="P135">
        <v>34.257472999999997</v>
      </c>
      <c r="Q135">
        <v>33.691135000000003</v>
      </c>
      <c r="R135">
        <v>33.140709000000001</v>
      </c>
      <c r="S135">
        <v>32.601837000000003</v>
      </c>
      <c r="T135">
        <v>32.143185000000003</v>
      </c>
      <c r="U135">
        <v>31.759443000000001</v>
      </c>
      <c r="V135">
        <v>31.460080999999999</v>
      </c>
      <c r="W135">
        <v>31.157518</v>
      </c>
      <c r="X135">
        <v>30.861810999999999</v>
      </c>
      <c r="Y135">
        <v>30.642814999999999</v>
      </c>
      <c r="Z135">
        <v>30.493798999999999</v>
      </c>
      <c r="AA135">
        <v>30.396218999999999</v>
      </c>
      <c r="AB135">
        <v>30.278258999999998</v>
      </c>
      <c r="AC135">
        <v>30.253605</v>
      </c>
      <c r="AD135">
        <v>30.158325000000001</v>
      </c>
      <c r="AE135">
        <v>30.176684999999999</v>
      </c>
      <c r="AF135">
        <v>30.205193999999999</v>
      </c>
      <c r="AG135" s="31">
        <v>-8.0000000000000002E-3</v>
      </c>
    </row>
    <row r="136" spans="1:33" x14ac:dyDescent="0.25">
      <c r="A136" t="s">
        <v>80</v>
      </c>
      <c r="B136" t="s">
        <v>368</v>
      </c>
      <c r="C136" t="s">
        <v>369</v>
      </c>
      <c r="D136" t="s">
        <v>73</v>
      </c>
      <c r="F136">
        <v>30.911318000000001</v>
      </c>
      <c r="G136">
        <v>30.629759</v>
      </c>
      <c r="H136">
        <v>29.875637000000001</v>
      </c>
      <c r="I136">
        <v>30.408024000000001</v>
      </c>
      <c r="J136">
        <v>30.386569999999999</v>
      </c>
      <c r="K136">
        <v>30.508258999999999</v>
      </c>
      <c r="L136">
        <v>30.716688000000001</v>
      </c>
      <c r="M136">
        <v>30.614611</v>
      </c>
      <c r="N136">
        <v>32.166652999999997</v>
      </c>
      <c r="O136">
        <v>31.722216</v>
      </c>
      <c r="P136">
        <v>31.263349999999999</v>
      </c>
      <c r="Q136">
        <v>30.700384</v>
      </c>
      <c r="R136">
        <v>30.259644000000002</v>
      </c>
      <c r="S136">
        <v>29.481086999999999</v>
      </c>
      <c r="T136">
        <v>29.255732999999999</v>
      </c>
      <c r="U136">
        <v>28.790115</v>
      </c>
      <c r="V136">
        <v>28.858677</v>
      </c>
      <c r="W136">
        <v>29.232137999999999</v>
      </c>
      <c r="X136">
        <v>29.564892</v>
      </c>
      <c r="Y136">
        <v>29.804586</v>
      </c>
      <c r="Z136">
        <v>30.042324000000001</v>
      </c>
      <c r="AA136">
        <v>30.212347000000001</v>
      </c>
      <c r="AB136">
        <v>30.465980999999999</v>
      </c>
      <c r="AC136">
        <v>30.679227999999998</v>
      </c>
      <c r="AD136">
        <v>30.887250999999999</v>
      </c>
      <c r="AE136">
        <v>31.130369000000002</v>
      </c>
      <c r="AF136">
        <v>31.172642</v>
      </c>
      <c r="AG136" s="31">
        <v>0</v>
      </c>
    </row>
    <row r="137" spans="1:33" x14ac:dyDescent="0.25">
      <c r="A137" t="s">
        <v>150</v>
      </c>
      <c r="B137" t="s">
        <v>370</v>
      </c>
      <c r="C137" t="s">
        <v>371</v>
      </c>
      <c r="D137" t="s">
        <v>73</v>
      </c>
      <c r="F137">
        <v>2.0452949999999999</v>
      </c>
      <c r="G137">
        <v>2.0521980000000002</v>
      </c>
      <c r="H137">
        <v>2.1515580000000001</v>
      </c>
      <c r="I137">
        <v>2.1604230000000002</v>
      </c>
      <c r="J137">
        <v>2.2060050000000002</v>
      </c>
      <c r="K137">
        <v>2.226782</v>
      </c>
      <c r="L137">
        <v>2.2380469999999999</v>
      </c>
      <c r="M137">
        <v>2.2325900000000001</v>
      </c>
      <c r="N137">
        <v>2.285561</v>
      </c>
      <c r="O137">
        <v>2.2989380000000001</v>
      </c>
      <c r="P137">
        <v>2.3135829999999999</v>
      </c>
      <c r="Q137">
        <v>2.3050079999999999</v>
      </c>
      <c r="R137">
        <v>2.2963170000000002</v>
      </c>
      <c r="S137">
        <v>2.271652</v>
      </c>
      <c r="T137">
        <v>2.265647</v>
      </c>
      <c r="U137">
        <v>2.2465199999999999</v>
      </c>
      <c r="V137">
        <v>2.2501500000000001</v>
      </c>
      <c r="W137">
        <v>2.2605300000000002</v>
      </c>
      <c r="X137">
        <v>2.271182</v>
      </c>
      <c r="Y137">
        <v>2.275658</v>
      </c>
      <c r="Z137">
        <v>2.278661</v>
      </c>
      <c r="AA137">
        <v>2.28227</v>
      </c>
      <c r="AB137">
        <v>2.2915199999999998</v>
      </c>
      <c r="AC137">
        <v>2.3010579999999998</v>
      </c>
      <c r="AD137">
        <v>2.3056939999999999</v>
      </c>
      <c r="AE137">
        <v>2.3112720000000002</v>
      </c>
      <c r="AF137">
        <v>2.318181</v>
      </c>
      <c r="AG137" s="31">
        <v>5.0000000000000001E-3</v>
      </c>
    </row>
    <row r="138" spans="1:33" x14ac:dyDescent="0.25">
      <c r="A138" t="s">
        <v>210</v>
      </c>
      <c r="B138" t="s">
        <v>372</v>
      </c>
      <c r="C138" t="s">
        <v>373</v>
      </c>
      <c r="D138" t="s">
        <v>73</v>
      </c>
      <c r="F138">
        <v>0.36798999999999998</v>
      </c>
      <c r="G138">
        <v>0.42041099999999998</v>
      </c>
      <c r="H138">
        <v>0.44769300000000001</v>
      </c>
      <c r="I138">
        <v>0.44849299999999998</v>
      </c>
      <c r="J138">
        <v>0.53499699999999994</v>
      </c>
      <c r="K138">
        <v>0.59558800000000001</v>
      </c>
      <c r="L138">
        <v>0.65857699999999997</v>
      </c>
      <c r="M138">
        <v>0.67561300000000002</v>
      </c>
      <c r="N138">
        <v>0.693994</v>
      </c>
      <c r="O138">
        <v>0.709179</v>
      </c>
      <c r="P138">
        <v>0.72592299999999998</v>
      </c>
      <c r="Q138">
        <v>0.73431500000000005</v>
      </c>
      <c r="R138">
        <v>0.74434400000000001</v>
      </c>
      <c r="S138">
        <v>0.75113700000000005</v>
      </c>
      <c r="T138">
        <v>0.75113700000000005</v>
      </c>
      <c r="U138">
        <v>0.75113700000000005</v>
      </c>
      <c r="V138">
        <v>0.75273500000000004</v>
      </c>
      <c r="W138">
        <v>0.75113700000000005</v>
      </c>
      <c r="X138">
        <v>0.75105299999999997</v>
      </c>
      <c r="Y138">
        <v>0.74779600000000002</v>
      </c>
      <c r="Z138">
        <v>0.74588699999999997</v>
      </c>
      <c r="AA138">
        <v>0.74406099999999997</v>
      </c>
      <c r="AB138">
        <v>0.74129400000000001</v>
      </c>
      <c r="AC138">
        <v>0.74168199999999995</v>
      </c>
      <c r="AD138">
        <v>0.74083299999999996</v>
      </c>
      <c r="AE138">
        <v>0.73885100000000004</v>
      </c>
      <c r="AF138">
        <v>0.74192599999999997</v>
      </c>
      <c r="AG138" s="31">
        <v>2.7E-2</v>
      </c>
    </row>
    <row r="139" spans="1:33" x14ac:dyDescent="0.25">
      <c r="A139" t="s">
        <v>207</v>
      </c>
      <c r="B139" t="s">
        <v>374</v>
      </c>
      <c r="C139" t="s">
        <v>375</v>
      </c>
      <c r="D139" t="s">
        <v>73</v>
      </c>
      <c r="F139">
        <v>0.92418800000000001</v>
      </c>
      <c r="G139">
        <v>0.87045600000000001</v>
      </c>
      <c r="H139">
        <v>0.86442300000000005</v>
      </c>
      <c r="I139">
        <v>0.83605799999999997</v>
      </c>
      <c r="J139">
        <v>0.79698000000000002</v>
      </c>
      <c r="K139">
        <v>0.76596500000000001</v>
      </c>
      <c r="L139">
        <v>0.72879099999999997</v>
      </c>
      <c r="M139">
        <v>0.71577000000000002</v>
      </c>
      <c r="N139">
        <v>0.72421400000000002</v>
      </c>
      <c r="O139">
        <v>0.71766300000000005</v>
      </c>
      <c r="P139">
        <v>0.71669499999999997</v>
      </c>
      <c r="Q139">
        <v>0.71806800000000004</v>
      </c>
      <c r="R139">
        <v>0.71989700000000001</v>
      </c>
      <c r="S139">
        <v>0.71830799999999995</v>
      </c>
      <c r="T139">
        <v>0.71970400000000001</v>
      </c>
      <c r="U139">
        <v>0.72253800000000001</v>
      </c>
      <c r="V139">
        <v>0.73092699999999999</v>
      </c>
      <c r="W139">
        <v>0.74004400000000004</v>
      </c>
      <c r="X139">
        <v>0.751189</v>
      </c>
      <c r="Y139">
        <v>0.76455899999999999</v>
      </c>
      <c r="Z139">
        <v>0.78026099999999998</v>
      </c>
      <c r="AA139">
        <v>0.79553499999999999</v>
      </c>
      <c r="AB139">
        <v>0.80706800000000001</v>
      </c>
      <c r="AC139">
        <v>0.81946600000000003</v>
      </c>
      <c r="AD139">
        <v>0.83334399999999997</v>
      </c>
      <c r="AE139">
        <v>0.84864700000000004</v>
      </c>
      <c r="AF139">
        <v>0.86641699999999999</v>
      </c>
      <c r="AG139" s="31">
        <v>-2E-3</v>
      </c>
    </row>
    <row r="140" spans="1:33" x14ac:dyDescent="0.25">
      <c r="A140" t="s">
        <v>153</v>
      </c>
      <c r="B140" t="s">
        <v>376</v>
      </c>
      <c r="C140" t="s">
        <v>377</v>
      </c>
      <c r="D140" t="s">
        <v>73</v>
      </c>
      <c r="F140">
        <v>34.248790999999997</v>
      </c>
      <c r="G140">
        <v>33.972824000000003</v>
      </c>
      <c r="H140">
        <v>33.339309999999998</v>
      </c>
      <c r="I140">
        <v>33.853000999999999</v>
      </c>
      <c r="J140">
        <v>33.924557</v>
      </c>
      <c r="K140">
        <v>34.096595999999998</v>
      </c>
      <c r="L140">
        <v>34.342101999999997</v>
      </c>
      <c r="M140">
        <v>34.238582999999998</v>
      </c>
      <c r="N140">
        <v>35.870418999999998</v>
      </c>
      <c r="O140">
        <v>35.447997999999998</v>
      </c>
      <c r="P140">
        <v>35.019550000000002</v>
      </c>
      <c r="Q140">
        <v>34.457774999999998</v>
      </c>
      <c r="R140">
        <v>34.020203000000002</v>
      </c>
      <c r="S140">
        <v>33.222183000000001</v>
      </c>
      <c r="T140">
        <v>32.992221999999998</v>
      </c>
      <c r="U140">
        <v>32.510311000000002</v>
      </c>
      <c r="V140">
        <v>32.592491000000003</v>
      </c>
      <c r="W140">
        <v>32.983848999999999</v>
      </c>
      <c r="X140">
        <v>33.338318000000001</v>
      </c>
      <c r="Y140">
        <v>33.592598000000002</v>
      </c>
      <c r="Z140">
        <v>33.847133999999997</v>
      </c>
      <c r="AA140">
        <v>34.034213999999999</v>
      </c>
      <c r="AB140">
        <v>34.305861999999998</v>
      </c>
      <c r="AC140">
        <v>34.541431000000003</v>
      </c>
      <c r="AD140">
        <v>34.767119999999998</v>
      </c>
      <c r="AE140">
        <v>35.029139999999998</v>
      </c>
      <c r="AF140">
        <v>35.099167000000001</v>
      </c>
      <c r="AG140" s="31">
        <v>1E-3</v>
      </c>
    </row>
    <row r="141" spans="1:33" x14ac:dyDescent="0.25">
      <c r="A141" t="s">
        <v>156</v>
      </c>
      <c r="B141" t="s">
        <v>378</v>
      </c>
      <c r="C141" t="s">
        <v>379</v>
      </c>
      <c r="D141" t="s">
        <v>73</v>
      </c>
      <c r="F141">
        <v>0.43991799999999998</v>
      </c>
      <c r="G141">
        <v>0.43567299999999998</v>
      </c>
      <c r="H141">
        <v>0.43846099999999999</v>
      </c>
      <c r="I141">
        <v>0.42828899999999998</v>
      </c>
      <c r="J141">
        <v>0.411773</v>
      </c>
      <c r="K141">
        <v>0.39733600000000002</v>
      </c>
      <c r="L141">
        <v>0.38921699999999998</v>
      </c>
      <c r="M141">
        <v>0.38336100000000001</v>
      </c>
      <c r="N141">
        <v>0.37771900000000003</v>
      </c>
      <c r="O141">
        <v>0.365618</v>
      </c>
      <c r="P141">
        <v>0.35786000000000001</v>
      </c>
      <c r="Q141">
        <v>0.34966399999999997</v>
      </c>
      <c r="R141">
        <v>0.34114299999999997</v>
      </c>
      <c r="S141">
        <v>0.33612799999999998</v>
      </c>
      <c r="T141">
        <v>0.32967800000000003</v>
      </c>
      <c r="U141">
        <v>0.32287199999999999</v>
      </c>
      <c r="V141">
        <v>0.318494</v>
      </c>
      <c r="W141">
        <v>0.31237700000000002</v>
      </c>
      <c r="X141">
        <v>0.305367</v>
      </c>
      <c r="Y141">
        <v>0.30014999999999997</v>
      </c>
      <c r="Z141">
        <v>0.29406100000000002</v>
      </c>
      <c r="AA141">
        <v>0.28689700000000001</v>
      </c>
      <c r="AB141">
        <v>0.27923700000000001</v>
      </c>
      <c r="AC141">
        <v>0.27291900000000002</v>
      </c>
      <c r="AD141">
        <v>0.26561099999999999</v>
      </c>
      <c r="AE141">
        <v>0.25784299999999999</v>
      </c>
      <c r="AF141">
        <v>0.249977</v>
      </c>
      <c r="AG141" s="31">
        <v>-2.1999999999999999E-2</v>
      </c>
    </row>
    <row r="142" spans="1:33" x14ac:dyDescent="0.25">
      <c r="A142" t="s">
        <v>276</v>
      </c>
      <c r="B142" t="s">
        <v>380</v>
      </c>
      <c r="C142" t="s">
        <v>381</v>
      </c>
      <c r="D142" t="s">
        <v>73</v>
      </c>
      <c r="F142">
        <v>7.1302640000000004</v>
      </c>
      <c r="G142">
        <v>7.1292679999999997</v>
      </c>
      <c r="H142">
        <v>6.1971569999999998</v>
      </c>
      <c r="I142">
        <v>5.0922890000000001</v>
      </c>
      <c r="J142">
        <v>4.9176520000000004</v>
      </c>
      <c r="K142">
        <v>4.6808019999999999</v>
      </c>
      <c r="L142">
        <v>3.9202509999999999</v>
      </c>
      <c r="M142">
        <v>3.6429520000000002</v>
      </c>
      <c r="N142">
        <v>1.169789</v>
      </c>
      <c r="O142">
        <v>1.1747240000000001</v>
      </c>
      <c r="P142">
        <v>1.152515</v>
      </c>
      <c r="Q142">
        <v>1.1077669999999999</v>
      </c>
      <c r="R142">
        <v>1.077088</v>
      </c>
      <c r="S142">
        <v>1.0277080000000001</v>
      </c>
      <c r="T142">
        <v>0.96993399999999996</v>
      </c>
      <c r="U142">
        <v>0.59601800000000005</v>
      </c>
      <c r="V142">
        <v>0.59274300000000002</v>
      </c>
      <c r="W142">
        <v>0.58948299999999998</v>
      </c>
      <c r="X142">
        <v>0.58584400000000003</v>
      </c>
      <c r="Y142">
        <v>0.58202299999999996</v>
      </c>
      <c r="Z142">
        <v>0.57344200000000001</v>
      </c>
      <c r="AA142">
        <v>0.55091800000000002</v>
      </c>
      <c r="AB142">
        <v>0.40179599999999999</v>
      </c>
      <c r="AC142">
        <v>0.39807300000000001</v>
      </c>
      <c r="AD142">
        <v>0.39449099999999998</v>
      </c>
      <c r="AE142">
        <v>0.38807999999999998</v>
      </c>
      <c r="AF142">
        <v>0.38388699999999998</v>
      </c>
      <c r="AG142" s="31">
        <v>-0.106</v>
      </c>
    </row>
    <row r="143" spans="1:33" x14ac:dyDescent="0.25">
      <c r="A143" t="s">
        <v>162</v>
      </c>
      <c r="B143" t="s">
        <v>382</v>
      </c>
      <c r="C143" t="s">
        <v>383</v>
      </c>
      <c r="D143" t="s">
        <v>73</v>
      </c>
      <c r="F143">
        <v>-3.8963999999999999E-2</v>
      </c>
      <c r="G143">
        <v>-2.3890999999999999E-2</v>
      </c>
      <c r="H143">
        <v>-2.3021E-2</v>
      </c>
      <c r="I143">
        <v>-2.3144999999999999E-2</v>
      </c>
      <c r="J143">
        <v>-2.2817E-2</v>
      </c>
      <c r="K143">
        <v>-2.2089999999999999E-2</v>
      </c>
      <c r="L143">
        <v>-2.1711000000000001E-2</v>
      </c>
      <c r="M143">
        <v>-2.1406000000000001E-2</v>
      </c>
      <c r="N143">
        <v>-2.1104999999999999E-2</v>
      </c>
      <c r="O143">
        <v>-2.0562E-2</v>
      </c>
      <c r="P143">
        <v>-2.0174999999999998E-2</v>
      </c>
      <c r="Q143">
        <v>-1.9771E-2</v>
      </c>
      <c r="R143">
        <v>-1.9342999999999999E-2</v>
      </c>
      <c r="S143">
        <v>-1.8997E-2</v>
      </c>
      <c r="T143">
        <v>-1.8634999999999999E-2</v>
      </c>
      <c r="U143">
        <v>-1.8258E-2</v>
      </c>
      <c r="V143">
        <v>-1.7729999999999999E-2</v>
      </c>
      <c r="W143">
        <v>-1.7425E-2</v>
      </c>
      <c r="X143">
        <v>-1.7121999999999998E-2</v>
      </c>
      <c r="Y143">
        <v>-1.6646000000000001E-2</v>
      </c>
      <c r="Z143">
        <v>-1.6327999999999999E-2</v>
      </c>
      <c r="AA143">
        <v>-1.6050999999999999E-2</v>
      </c>
      <c r="AB143">
        <v>-1.5833E-2</v>
      </c>
      <c r="AC143">
        <v>-1.5453E-2</v>
      </c>
      <c r="AD143">
        <v>-1.5294E-2</v>
      </c>
      <c r="AE143">
        <v>-1.5107000000000001E-2</v>
      </c>
      <c r="AF143">
        <v>-1.4683E-2</v>
      </c>
      <c r="AG143" s="31">
        <v>-3.6999999999999998E-2</v>
      </c>
    </row>
    <row r="144" spans="1:33" x14ac:dyDescent="0.25">
      <c r="A144" t="s">
        <v>165</v>
      </c>
      <c r="B144" t="s">
        <v>384</v>
      </c>
      <c r="C144" t="s">
        <v>385</v>
      </c>
      <c r="D144" t="s">
        <v>73</v>
      </c>
      <c r="F144">
        <v>7.5312190000000001</v>
      </c>
      <c r="G144">
        <v>7.5410500000000003</v>
      </c>
      <c r="H144">
        <v>6.6125970000000001</v>
      </c>
      <c r="I144">
        <v>5.497433</v>
      </c>
      <c r="J144">
        <v>5.3066079999999998</v>
      </c>
      <c r="K144">
        <v>5.0560479999999997</v>
      </c>
      <c r="L144">
        <v>4.287757</v>
      </c>
      <c r="M144">
        <v>4.0049080000000004</v>
      </c>
      <c r="N144">
        <v>1.526403</v>
      </c>
      <c r="O144">
        <v>1.5197799999999999</v>
      </c>
      <c r="P144">
        <v>1.4902</v>
      </c>
      <c r="Q144">
        <v>1.437659</v>
      </c>
      <c r="R144">
        <v>1.3988879999999999</v>
      </c>
      <c r="S144">
        <v>1.3448389999999999</v>
      </c>
      <c r="T144">
        <v>1.280977</v>
      </c>
      <c r="U144">
        <v>0.90063199999999999</v>
      </c>
      <c r="V144">
        <v>0.89350700000000005</v>
      </c>
      <c r="W144">
        <v>0.88443400000000005</v>
      </c>
      <c r="X144">
        <v>0.874089</v>
      </c>
      <c r="Y144">
        <v>0.86552700000000005</v>
      </c>
      <c r="Z144">
        <v>0.85117600000000004</v>
      </c>
      <c r="AA144">
        <v>0.82176499999999997</v>
      </c>
      <c r="AB144">
        <v>0.66520000000000001</v>
      </c>
      <c r="AC144">
        <v>0.65553899999999998</v>
      </c>
      <c r="AD144">
        <v>0.64480800000000005</v>
      </c>
      <c r="AE144">
        <v>0.63081600000000004</v>
      </c>
      <c r="AF144">
        <v>0.61918200000000001</v>
      </c>
      <c r="AG144" s="31">
        <v>-9.1999999999999998E-2</v>
      </c>
    </row>
    <row r="145" spans="1:33" s="34" customFormat="1" x14ac:dyDescent="0.25">
      <c r="A145" s="34" t="s">
        <v>312</v>
      </c>
      <c r="B145" s="34" t="s">
        <v>386</v>
      </c>
      <c r="C145" s="34" t="s">
        <v>387</v>
      </c>
      <c r="D145" s="34" t="s">
        <v>73</v>
      </c>
      <c r="F145" s="34">
        <v>8.1225660000000008</v>
      </c>
      <c r="G145" s="34">
        <v>8.281053</v>
      </c>
      <c r="H145" s="34">
        <v>8.3596509999999995</v>
      </c>
      <c r="I145" s="34">
        <v>8.3406389999999995</v>
      </c>
      <c r="J145" s="34">
        <v>8.3405020000000007</v>
      </c>
      <c r="K145" s="34">
        <v>8.3403890000000001</v>
      </c>
      <c r="L145" s="34">
        <v>8.2471390000000007</v>
      </c>
      <c r="M145" s="34">
        <v>8.1603460000000005</v>
      </c>
      <c r="N145" s="34">
        <v>8.1603019999999997</v>
      </c>
      <c r="O145" s="34">
        <v>8.1604609999999997</v>
      </c>
      <c r="P145" s="34">
        <v>8.1604609999999997</v>
      </c>
      <c r="Q145" s="34">
        <v>8.1391779999999994</v>
      </c>
      <c r="R145" s="34">
        <v>8.087199</v>
      </c>
      <c r="S145" s="34">
        <v>8.1279859999999999</v>
      </c>
      <c r="T145" s="34">
        <v>8.1249500000000001</v>
      </c>
      <c r="U145" s="34">
        <v>8.1106999999999996</v>
      </c>
      <c r="V145" s="34">
        <v>8.1093729999999997</v>
      </c>
      <c r="W145" s="34">
        <v>8.1100390000000004</v>
      </c>
      <c r="X145" s="34">
        <v>8.1103830000000006</v>
      </c>
      <c r="Y145" s="34">
        <v>8.1107829999999996</v>
      </c>
      <c r="Z145" s="34">
        <v>8.1087369999999996</v>
      </c>
      <c r="AA145" s="34">
        <v>8.1102089999999993</v>
      </c>
      <c r="AB145" s="34">
        <v>8.1065240000000003</v>
      </c>
      <c r="AC145" s="34">
        <v>8.1099440000000005</v>
      </c>
      <c r="AD145" s="34">
        <v>8.109</v>
      </c>
      <c r="AE145" s="34">
        <v>8.1071609999999996</v>
      </c>
      <c r="AF145" s="34">
        <v>8.1079439999999998</v>
      </c>
      <c r="AG145" s="35">
        <v>0</v>
      </c>
    </row>
    <row r="146" spans="1:33" x14ac:dyDescent="0.25">
      <c r="A146" t="s">
        <v>168</v>
      </c>
      <c r="B146" t="s">
        <v>388</v>
      </c>
      <c r="C146" t="s">
        <v>389</v>
      </c>
      <c r="D146" t="s">
        <v>73</v>
      </c>
      <c r="F146">
        <v>0.89433099999999999</v>
      </c>
      <c r="G146">
        <v>0.91656700000000002</v>
      </c>
      <c r="H146">
        <v>0.914157</v>
      </c>
      <c r="I146">
        <v>0.91446300000000003</v>
      </c>
      <c r="J146">
        <v>0.91318200000000005</v>
      </c>
      <c r="K146">
        <v>0.90827199999999997</v>
      </c>
      <c r="L146">
        <v>0.903837</v>
      </c>
      <c r="M146">
        <v>0.89296799999999998</v>
      </c>
      <c r="N146">
        <v>0.88368899999999995</v>
      </c>
      <c r="O146">
        <v>0.86835099999999998</v>
      </c>
      <c r="P146">
        <v>0.85361900000000002</v>
      </c>
      <c r="Q146">
        <v>0.83833000000000002</v>
      </c>
      <c r="R146">
        <v>0.828071</v>
      </c>
      <c r="S146">
        <v>0.81101100000000004</v>
      </c>
      <c r="T146">
        <v>0.79574999999999996</v>
      </c>
      <c r="U146">
        <v>0.78434899999999996</v>
      </c>
      <c r="V146">
        <v>0.78216600000000003</v>
      </c>
      <c r="W146">
        <v>0.77179699999999996</v>
      </c>
      <c r="X146">
        <v>0.76169600000000004</v>
      </c>
      <c r="Y146">
        <v>0.75520600000000004</v>
      </c>
      <c r="Z146">
        <v>0.75332500000000002</v>
      </c>
      <c r="AA146">
        <v>0.75422</v>
      </c>
      <c r="AB146">
        <v>0.75177300000000002</v>
      </c>
      <c r="AC146">
        <v>0.75181500000000001</v>
      </c>
      <c r="AD146">
        <v>0.75012000000000001</v>
      </c>
      <c r="AE146">
        <v>0.75201099999999999</v>
      </c>
      <c r="AF146">
        <v>0.75567499999999999</v>
      </c>
      <c r="AG146" s="31">
        <v>-6.0000000000000001E-3</v>
      </c>
    </row>
    <row r="147" spans="1:33" x14ac:dyDescent="0.25">
      <c r="A147" t="s">
        <v>83</v>
      </c>
      <c r="B147" t="s">
        <v>390</v>
      </c>
      <c r="C147" t="s">
        <v>391</v>
      </c>
      <c r="D147" t="s">
        <v>73</v>
      </c>
      <c r="F147">
        <v>5.3292440000000001</v>
      </c>
      <c r="G147">
        <v>5.7500780000000002</v>
      </c>
      <c r="H147">
        <v>6.3266460000000002</v>
      </c>
      <c r="I147">
        <v>6.6437429999999997</v>
      </c>
      <c r="J147">
        <v>6.8002830000000003</v>
      </c>
      <c r="K147">
        <v>7.0454369999999997</v>
      </c>
      <c r="L147">
        <v>7.4139710000000001</v>
      </c>
      <c r="M147">
        <v>7.8131079999999997</v>
      </c>
      <c r="N147">
        <v>8.2575649999999996</v>
      </c>
      <c r="O147">
        <v>8.7089610000000004</v>
      </c>
      <c r="P147">
        <v>9.2600979999999993</v>
      </c>
      <c r="Q147">
        <v>9.9146750000000008</v>
      </c>
      <c r="R147">
        <v>10.542711000000001</v>
      </c>
      <c r="S147">
        <v>11.278561</v>
      </c>
      <c r="T147">
        <v>11.772664000000001</v>
      </c>
      <c r="U147">
        <v>12.469317999999999</v>
      </c>
      <c r="V147">
        <v>12.802213999999999</v>
      </c>
      <c r="W147">
        <v>12.950101</v>
      </c>
      <c r="X147">
        <v>13.123313</v>
      </c>
      <c r="Y147">
        <v>13.330359</v>
      </c>
      <c r="Z147">
        <v>13.524322</v>
      </c>
      <c r="AA147">
        <v>13.708387999999999</v>
      </c>
      <c r="AB147">
        <v>13.939086</v>
      </c>
      <c r="AC147">
        <v>14.12636</v>
      </c>
      <c r="AD147">
        <v>14.318026</v>
      </c>
      <c r="AE147">
        <v>14.498431999999999</v>
      </c>
      <c r="AF147">
        <v>14.747343000000001</v>
      </c>
      <c r="AG147" s="31">
        <v>0.04</v>
      </c>
    </row>
    <row r="148" spans="1:33" x14ac:dyDescent="0.25">
      <c r="A148" t="s">
        <v>320</v>
      </c>
      <c r="B148" t="s">
        <v>392</v>
      </c>
      <c r="C148" t="s">
        <v>393</v>
      </c>
      <c r="D148" t="s">
        <v>73</v>
      </c>
      <c r="F148">
        <v>8.7989999999999999E-2</v>
      </c>
      <c r="G148">
        <v>8.7989999999999999E-2</v>
      </c>
      <c r="H148">
        <v>8.7989999999999999E-2</v>
      </c>
      <c r="I148">
        <v>8.7989999999999999E-2</v>
      </c>
      <c r="J148">
        <v>8.7989999999999999E-2</v>
      </c>
      <c r="K148">
        <v>8.7989999999999999E-2</v>
      </c>
      <c r="L148">
        <v>8.7989999999999999E-2</v>
      </c>
      <c r="M148">
        <v>8.7989999999999999E-2</v>
      </c>
      <c r="N148">
        <v>8.7989999999999999E-2</v>
      </c>
      <c r="O148">
        <v>8.7989999999999999E-2</v>
      </c>
      <c r="P148">
        <v>8.7989999999999999E-2</v>
      </c>
      <c r="Q148">
        <v>8.7989999999999999E-2</v>
      </c>
      <c r="R148">
        <v>8.7989999999999999E-2</v>
      </c>
      <c r="S148">
        <v>8.7989999999999999E-2</v>
      </c>
      <c r="T148">
        <v>8.7989999999999999E-2</v>
      </c>
      <c r="U148">
        <v>8.7989999999999999E-2</v>
      </c>
      <c r="V148">
        <v>8.7989999999999999E-2</v>
      </c>
      <c r="W148">
        <v>8.7989999999999999E-2</v>
      </c>
      <c r="X148">
        <v>8.7989999999999999E-2</v>
      </c>
      <c r="Y148">
        <v>8.7989999999999999E-2</v>
      </c>
      <c r="Z148">
        <v>8.7989999999999999E-2</v>
      </c>
      <c r="AA148">
        <v>8.7989999999999999E-2</v>
      </c>
      <c r="AB148">
        <v>8.7989999999999999E-2</v>
      </c>
      <c r="AC148">
        <v>8.7989999999999999E-2</v>
      </c>
      <c r="AD148">
        <v>8.7989999999999999E-2</v>
      </c>
      <c r="AE148">
        <v>8.7989999999999999E-2</v>
      </c>
      <c r="AF148">
        <v>8.7989999999999999E-2</v>
      </c>
      <c r="AG148" s="31">
        <v>0</v>
      </c>
    </row>
    <row r="149" spans="1:33" x14ac:dyDescent="0.25">
      <c r="A149" t="s">
        <v>323</v>
      </c>
      <c r="B149" t="s">
        <v>394</v>
      </c>
      <c r="C149" t="s">
        <v>395</v>
      </c>
      <c r="D149" t="s">
        <v>73</v>
      </c>
      <c r="F149">
        <v>0.100341</v>
      </c>
      <c r="G149">
        <v>0.118393</v>
      </c>
      <c r="H149">
        <v>0.142458</v>
      </c>
      <c r="I149">
        <v>0.202903</v>
      </c>
      <c r="J149">
        <v>0.24338399999999999</v>
      </c>
      <c r="K149">
        <v>0.26112200000000002</v>
      </c>
      <c r="L149">
        <v>0.28683500000000001</v>
      </c>
      <c r="M149">
        <v>0.29337000000000002</v>
      </c>
      <c r="N149">
        <v>0.29980800000000002</v>
      </c>
      <c r="O149">
        <v>0.308062</v>
      </c>
      <c r="P149">
        <v>0.30971300000000002</v>
      </c>
      <c r="Q149">
        <v>0.31395499999999998</v>
      </c>
      <c r="R149">
        <v>0.30632599999999999</v>
      </c>
      <c r="S149">
        <v>0.302757</v>
      </c>
      <c r="T149">
        <v>0.301151</v>
      </c>
      <c r="U149">
        <v>0.29325000000000001</v>
      </c>
      <c r="V149">
        <v>0.29788199999999998</v>
      </c>
      <c r="W149">
        <v>0.29930400000000001</v>
      </c>
      <c r="X149">
        <v>0.29688999999999999</v>
      </c>
      <c r="Y149">
        <v>0.27687</v>
      </c>
      <c r="Z149">
        <v>0.27546500000000002</v>
      </c>
      <c r="AA149">
        <v>0.27317000000000002</v>
      </c>
      <c r="AB149">
        <v>0.25714999999999999</v>
      </c>
      <c r="AC149">
        <v>0.246115</v>
      </c>
      <c r="AD149">
        <v>0.23954600000000001</v>
      </c>
      <c r="AE149">
        <v>0.22953499999999999</v>
      </c>
      <c r="AF149">
        <v>0.22034999999999999</v>
      </c>
      <c r="AG149" s="31">
        <v>3.1E-2</v>
      </c>
    </row>
    <row r="150" spans="1:33" x14ac:dyDescent="0.25">
      <c r="A150" t="s">
        <v>338</v>
      </c>
      <c r="B150" t="s">
        <v>394</v>
      </c>
      <c r="C150" t="s">
        <v>396</v>
      </c>
      <c r="D150" t="s">
        <v>73</v>
      </c>
      <c r="F150">
        <v>0.28129799999999999</v>
      </c>
      <c r="G150">
        <v>0.28379199999999999</v>
      </c>
      <c r="H150">
        <v>0.28559899999999999</v>
      </c>
      <c r="I150">
        <v>0.28582299999999999</v>
      </c>
      <c r="J150">
        <v>0.286192</v>
      </c>
      <c r="K150">
        <v>0.28640399999999999</v>
      </c>
      <c r="L150">
        <v>0.28644399999999998</v>
      </c>
      <c r="M150">
        <v>0.28641100000000003</v>
      </c>
      <c r="N150">
        <v>0.28726299999999999</v>
      </c>
      <c r="O150">
        <v>0.28826000000000002</v>
      </c>
      <c r="P150">
        <v>0.29222999999999999</v>
      </c>
      <c r="Q150">
        <v>0.29441699999999998</v>
      </c>
      <c r="R150">
        <v>0.29534899999999997</v>
      </c>
      <c r="S150">
        <v>0.29821500000000001</v>
      </c>
      <c r="T150">
        <v>0.30154399999999998</v>
      </c>
      <c r="U150">
        <v>0.30737500000000001</v>
      </c>
      <c r="V150">
        <v>0.31435200000000002</v>
      </c>
      <c r="W150">
        <v>0.319438</v>
      </c>
      <c r="X150">
        <v>0.325521</v>
      </c>
      <c r="Y150">
        <v>0.328208</v>
      </c>
      <c r="Z150">
        <v>0.32749699999999998</v>
      </c>
      <c r="AA150">
        <v>0.32506600000000002</v>
      </c>
      <c r="AB150">
        <v>0.32816499999999998</v>
      </c>
      <c r="AC150">
        <v>0.33494800000000002</v>
      </c>
      <c r="AD150">
        <v>0.33964899999999998</v>
      </c>
      <c r="AE150">
        <v>0.34065200000000001</v>
      </c>
      <c r="AF150">
        <v>0.34046399999999999</v>
      </c>
      <c r="AG150" s="31">
        <v>7.0000000000000001E-3</v>
      </c>
    </row>
    <row r="151" spans="1:33" x14ac:dyDescent="0.25">
      <c r="A151" t="s">
        <v>95</v>
      </c>
      <c r="B151" t="s">
        <v>397</v>
      </c>
      <c r="C151" t="s">
        <v>398</v>
      </c>
      <c r="D151" t="s">
        <v>73</v>
      </c>
      <c r="F151">
        <v>93.792062000000001</v>
      </c>
      <c r="G151">
        <v>94.549862000000005</v>
      </c>
      <c r="H151">
        <v>93.748074000000003</v>
      </c>
      <c r="I151">
        <v>93.345695000000006</v>
      </c>
      <c r="J151">
        <v>93.207744000000005</v>
      </c>
      <c r="K151">
        <v>93.057018999999997</v>
      </c>
      <c r="L151">
        <v>92.421780999999996</v>
      </c>
      <c r="M151">
        <v>91.876836999999995</v>
      </c>
      <c r="N151">
        <v>90.83896</v>
      </c>
      <c r="O151">
        <v>90.217546999999996</v>
      </c>
      <c r="P151">
        <v>89.731344000000007</v>
      </c>
      <c r="Q151">
        <v>89.175112999999996</v>
      </c>
      <c r="R151">
        <v>88.707442999999998</v>
      </c>
      <c r="S151">
        <v>88.075383000000002</v>
      </c>
      <c r="T151">
        <v>87.800443000000001</v>
      </c>
      <c r="U151">
        <v>87.223377999999997</v>
      </c>
      <c r="V151">
        <v>87.340064999999996</v>
      </c>
      <c r="W151">
        <v>87.564471999999995</v>
      </c>
      <c r="X151">
        <v>87.780012999999997</v>
      </c>
      <c r="Y151">
        <v>87.990351000000004</v>
      </c>
      <c r="Z151">
        <v>88.269443999999993</v>
      </c>
      <c r="AA151">
        <v>88.511240000000001</v>
      </c>
      <c r="AB151">
        <v>88.720006999999995</v>
      </c>
      <c r="AC151">
        <v>89.107753000000002</v>
      </c>
      <c r="AD151">
        <v>89.414584000000005</v>
      </c>
      <c r="AE151">
        <v>89.852422000000004</v>
      </c>
      <c r="AF151">
        <v>90.183306000000002</v>
      </c>
      <c r="AG151" s="31">
        <v>-2E-3</v>
      </c>
    </row>
    <row r="152" spans="1:33" x14ac:dyDescent="0.25">
      <c r="A152" s="1" t="s">
        <v>399</v>
      </c>
    </row>
    <row r="153" spans="1:33" x14ac:dyDescent="0.25">
      <c r="A153" t="s">
        <v>400</v>
      </c>
      <c r="B153" t="s">
        <v>401</v>
      </c>
      <c r="C153" t="s">
        <v>402</v>
      </c>
      <c r="D153" t="s">
        <v>73</v>
      </c>
      <c r="F153">
        <v>74.396165999999994</v>
      </c>
      <c r="G153">
        <v>75.633016999999995</v>
      </c>
      <c r="H153">
        <v>75.816835999999995</v>
      </c>
      <c r="I153">
        <v>75.859414000000001</v>
      </c>
      <c r="J153">
        <v>75.91131</v>
      </c>
      <c r="K153">
        <v>75.838549</v>
      </c>
      <c r="L153">
        <v>75.670862</v>
      </c>
      <c r="M153">
        <v>75.431008000000006</v>
      </c>
      <c r="N153">
        <v>75.152647000000002</v>
      </c>
      <c r="O153">
        <v>74.740581000000006</v>
      </c>
      <c r="P153">
        <v>74.473737</v>
      </c>
      <c r="Q153">
        <v>74.229052999999993</v>
      </c>
      <c r="R153">
        <v>74.052531999999999</v>
      </c>
      <c r="S153">
        <v>73.866893000000005</v>
      </c>
      <c r="T153">
        <v>73.767640999999998</v>
      </c>
      <c r="U153">
        <v>73.755516999999998</v>
      </c>
      <c r="V153">
        <v>73.862459000000001</v>
      </c>
      <c r="W153">
        <v>73.886084999999994</v>
      </c>
      <c r="X153">
        <v>73.911794999999998</v>
      </c>
      <c r="Y153">
        <v>74.007313999999994</v>
      </c>
      <c r="Z153">
        <v>74.161824999999993</v>
      </c>
      <c r="AA153">
        <v>74.368748999999994</v>
      </c>
      <c r="AB153">
        <v>74.550758999999999</v>
      </c>
      <c r="AC153">
        <v>74.868138000000002</v>
      </c>
      <c r="AD153">
        <v>75.075986999999998</v>
      </c>
      <c r="AE153">
        <v>75.396585000000002</v>
      </c>
      <c r="AF153">
        <v>75.714538000000005</v>
      </c>
      <c r="AG153" s="31">
        <v>1E-3</v>
      </c>
    </row>
    <row r="154" spans="1:33" x14ac:dyDescent="0.25">
      <c r="A154" t="s">
        <v>403</v>
      </c>
      <c r="B154" t="s">
        <v>404</v>
      </c>
      <c r="C154" t="s">
        <v>405</v>
      </c>
      <c r="D154" t="s">
        <v>73</v>
      </c>
      <c r="F154">
        <v>93.792062000000001</v>
      </c>
      <c r="G154">
        <v>94.549862000000005</v>
      </c>
      <c r="H154">
        <v>93.748074000000003</v>
      </c>
      <c r="I154">
        <v>93.345695000000006</v>
      </c>
      <c r="J154">
        <v>93.207744000000005</v>
      </c>
      <c r="K154">
        <v>93.057018999999997</v>
      </c>
      <c r="L154">
        <v>92.421780999999996</v>
      </c>
      <c r="M154">
        <v>91.876836999999995</v>
      </c>
      <c r="N154">
        <v>90.83896</v>
      </c>
      <c r="O154">
        <v>90.217546999999996</v>
      </c>
      <c r="P154">
        <v>89.731344000000007</v>
      </c>
      <c r="Q154">
        <v>89.175112999999996</v>
      </c>
      <c r="R154">
        <v>88.707442999999998</v>
      </c>
      <c r="S154">
        <v>88.075383000000002</v>
      </c>
      <c r="T154">
        <v>87.800443000000001</v>
      </c>
      <c r="U154">
        <v>87.223377999999997</v>
      </c>
      <c r="V154">
        <v>87.340064999999996</v>
      </c>
      <c r="W154">
        <v>87.564471999999995</v>
      </c>
      <c r="X154">
        <v>87.780012999999997</v>
      </c>
      <c r="Y154">
        <v>87.990351000000004</v>
      </c>
      <c r="Z154">
        <v>88.269443999999993</v>
      </c>
      <c r="AA154">
        <v>88.511240000000001</v>
      </c>
      <c r="AB154">
        <v>88.720006999999995</v>
      </c>
      <c r="AC154">
        <v>89.107753000000002</v>
      </c>
      <c r="AD154">
        <v>89.414584000000005</v>
      </c>
      <c r="AE154">
        <v>89.852422000000004</v>
      </c>
      <c r="AF154">
        <v>90.183306000000002</v>
      </c>
      <c r="AG154" s="31">
        <v>-2E-3</v>
      </c>
    </row>
    <row r="155" spans="1:33" x14ac:dyDescent="0.25">
      <c r="A155" t="s">
        <v>406</v>
      </c>
      <c r="B155" t="s">
        <v>407</v>
      </c>
      <c r="C155" t="s">
        <v>408</v>
      </c>
      <c r="D155" t="s">
        <v>73</v>
      </c>
      <c r="F155">
        <v>1.202958</v>
      </c>
      <c r="G155">
        <v>1.2081599999999999</v>
      </c>
      <c r="H155">
        <v>1.2327920000000001</v>
      </c>
      <c r="I155">
        <v>1.233204</v>
      </c>
      <c r="J155">
        <v>1.224221</v>
      </c>
      <c r="K155">
        <v>1.2104429999999999</v>
      </c>
      <c r="L155">
        <v>1.1901649999999999</v>
      </c>
      <c r="M155">
        <v>1.169349</v>
      </c>
      <c r="N155">
        <v>1.1422349999999999</v>
      </c>
      <c r="O155">
        <v>1.113947</v>
      </c>
      <c r="P155">
        <v>1.0865720000000001</v>
      </c>
      <c r="Q155">
        <v>1.058643</v>
      </c>
      <c r="R155">
        <v>1.027658</v>
      </c>
      <c r="S155">
        <v>0.99681799999999998</v>
      </c>
      <c r="T155">
        <v>0.96831900000000004</v>
      </c>
      <c r="U155">
        <v>0.94116500000000003</v>
      </c>
      <c r="V155">
        <v>0.91737100000000005</v>
      </c>
      <c r="W155">
        <v>0.89531799999999995</v>
      </c>
      <c r="X155">
        <v>0.87351900000000005</v>
      </c>
      <c r="Y155">
        <v>0.85682000000000003</v>
      </c>
      <c r="Z155">
        <v>0.84001499999999996</v>
      </c>
      <c r="AA155">
        <v>0.82732899999999998</v>
      </c>
      <c r="AB155">
        <v>0.81568399999999996</v>
      </c>
      <c r="AC155">
        <v>0.80747400000000003</v>
      </c>
      <c r="AD155">
        <v>0.79653600000000002</v>
      </c>
      <c r="AE155">
        <v>0.790798</v>
      </c>
      <c r="AF155">
        <v>0.78724000000000005</v>
      </c>
      <c r="AG155" s="31">
        <v>-1.6E-2</v>
      </c>
    </row>
    <row r="156" spans="1:33" x14ac:dyDescent="0.25">
      <c r="A156" t="s">
        <v>409</v>
      </c>
      <c r="B156" t="s">
        <v>410</v>
      </c>
      <c r="C156" t="s">
        <v>411</v>
      </c>
      <c r="D156" t="s">
        <v>412</v>
      </c>
      <c r="F156">
        <v>342.00198399999999</v>
      </c>
      <c r="G156">
        <v>344.85076900000001</v>
      </c>
      <c r="H156">
        <v>346.96423299999998</v>
      </c>
      <c r="I156">
        <v>348.437408</v>
      </c>
      <c r="J156">
        <v>349.87805200000003</v>
      </c>
      <c r="K156">
        <v>351.28118899999998</v>
      </c>
      <c r="L156">
        <v>352.64178500000003</v>
      </c>
      <c r="M156">
        <v>353.95739700000001</v>
      </c>
      <c r="N156">
        <v>355.23046900000003</v>
      </c>
      <c r="O156">
        <v>356.458527</v>
      </c>
      <c r="P156">
        <v>357.63406400000002</v>
      </c>
      <c r="Q156">
        <v>358.73593099999999</v>
      </c>
      <c r="R156">
        <v>359.77282700000001</v>
      </c>
      <c r="S156">
        <v>360.75125100000002</v>
      </c>
      <c r="T156">
        <v>361.67263800000001</v>
      </c>
      <c r="U156">
        <v>362.53564499999999</v>
      </c>
      <c r="V156">
        <v>363.34353599999997</v>
      </c>
      <c r="W156">
        <v>364.09573399999999</v>
      </c>
      <c r="X156">
        <v>364.79132099999998</v>
      </c>
      <c r="Y156">
        <v>365.436127</v>
      </c>
      <c r="Z156">
        <v>366.03445399999998</v>
      </c>
      <c r="AA156">
        <v>366.59066799999999</v>
      </c>
      <c r="AB156">
        <v>367.10647599999999</v>
      </c>
      <c r="AC156">
        <v>367.58792099999999</v>
      </c>
      <c r="AD156">
        <v>368.03945900000002</v>
      </c>
      <c r="AE156">
        <v>368.46582000000001</v>
      </c>
      <c r="AF156">
        <v>368.87057499999997</v>
      </c>
      <c r="AG156" s="31">
        <v>3.0000000000000001E-3</v>
      </c>
    </row>
    <row r="157" spans="1:33" x14ac:dyDescent="0.25">
      <c r="A157" t="s">
        <v>413</v>
      </c>
      <c r="B157" t="s">
        <v>414</v>
      </c>
      <c r="C157" t="s">
        <v>415</v>
      </c>
      <c r="D157" t="s">
        <v>416</v>
      </c>
      <c r="F157">
        <v>21699.671875</v>
      </c>
      <c r="G157">
        <v>22171.929688</v>
      </c>
      <c r="H157">
        <v>22685.953125</v>
      </c>
      <c r="I157">
        <v>23162.595702999999</v>
      </c>
      <c r="J157">
        <v>23590.015625</v>
      </c>
      <c r="K157">
        <v>24042.869140999999</v>
      </c>
      <c r="L157">
        <v>24479.318359000001</v>
      </c>
      <c r="M157">
        <v>24877.939452999999</v>
      </c>
      <c r="N157">
        <v>25299.824218999998</v>
      </c>
      <c r="O157">
        <v>25731.902343999998</v>
      </c>
      <c r="P157">
        <v>26166.296875</v>
      </c>
      <c r="Q157">
        <v>26621.835938</v>
      </c>
      <c r="R157">
        <v>27077.875</v>
      </c>
      <c r="S157">
        <v>27546.341797000001</v>
      </c>
      <c r="T157">
        <v>28018.710938</v>
      </c>
      <c r="U157">
        <v>28503.035156000002</v>
      </c>
      <c r="V157">
        <v>29003.939452999999</v>
      </c>
      <c r="W157">
        <v>29486.919922000001</v>
      </c>
      <c r="X157">
        <v>29991.914062</v>
      </c>
      <c r="Y157">
        <v>30494.671875</v>
      </c>
      <c r="Z157">
        <v>30998.292968999998</v>
      </c>
      <c r="AA157">
        <v>31501.849609000001</v>
      </c>
      <c r="AB157">
        <v>32021.367188</v>
      </c>
      <c r="AC157">
        <v>32546.509765999999</v>
      </c>
      <c r="AD157">
        <v>33074.625</v>
      </c>
      <c r="AE157">
        <v>33617.65625</v>
      </c>
      <c r="AF157">
        <v>34162.722655999998</v>
      </c>
      <c r="AG157" s="31">
        <v>1.7999999999999999E-2</v>
      </c>
    </row>
    <row r="158" spans="1:33" x14ac:dyDescent="0.25">
      <c r="A158" t="s">
        <v>417</v>
      </c>
    </row>
    <row r="159" spans="1:33" x14ac:dyDescent="0.25">
      <c r="A159" t="s">
        <v>418</v>
      </c>
      <c r="B159" t="s">
        <v>419</v>
      </c>
      <c r="C159" t="s">
        <v>420</v>
      </c>
      <c r="D159" t="s">
        <v>421</v>
      </c>
      <c r="F159">
        <v>4773.2880859999996</v>
      </c>
      <c r="G159">
        <v>4786.6748049999997</v>
      </c>
      <c r="H159">
        <v>4654.7255859999996</v>
      </c>
      <c r="I159">
        <v>4559.2817379999997</v>
      </c>
      <c r="J159">
        <v>4539.9116210000002</v>
      </c>
      <c r="K159">
        <v>4499.9331050000001</v>
      </c>
      <c r="L159">
        <v>4406.7084960000002</v>
      </c>
      <c r="M159">
        <v>4338.0952150000003</v>
      </c>
      <c r="N159">
        <v>4123.1372069999998</v>
      </c>
      <c r="O159">
        <v>4050.2229000000002</v>
      </c>
      <c r="P159">
        <v>3978.5405270000001</v>
      </c>
      <c r="Q159">
        <v>3896.3400879999999</v>
      </c>
      <c r="R159">
        <v>3825.867432</v>
      </c>
      <c r="S159">
        <v>3736.3405760000001</v>
      </c>
      <c r="T159">
        <v>3682.3857419999999</v>
      </c>
      <c r="U159">
        <v>3587.5180660000001</v>
      </c>
      <c r="V159">
        <v>3564.8959960000002</v>
      </c>
      <c r="W159">
        <v>3559.025635</v>
      </c>
      <c r="X159">
        <v>3552.818115</v>
      </c>
      <c r="Y159">
        <v>3549.1208499999998</v>
      </c>
      <c r="Z159">
        <v>3547.3759770000001</v>
      </c>
      <c r="AA159">
        <v>3546.0114749999998</v>
      </c>
      <c r="AB159">
        <v>3549.1652829999998</v>
      </c>
      <c r="AC159">
        <v>3557.210693</v>
      </c>
      <c r="AD159">
        <v>3559.408203</v>
      </c>
      <c r="AE159">
        <v>3575.618164</v>
      </c>
      <c r="AF159">
        <v>3576.7666020000001</v>
      </c>
      <c r="AG159" s="31">
        <v>-1.0999999999999999E-2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21"/>
  <sheetViews>
    <sheetView topLeftCell="A13" workbookViewId="0">
      <selection activeCell="A41" sqref="A41:XFD41"/>
    </sheetView>
  </sheetViews>
  <sheetFormatPr defaultRowHeight="15" x14ac:dyDescent="0.25"/>
  <cols>
    <col min="1" max="1" width="25.140625" customWidth="1"/>
    <col min="2" max="2" width="24.85546875" customWidth="1"/>
  </cols>
  <sheetData>
    <row r="1" spans="1:33" x14ac:dyDescent="0.25">
      <c r="A1" t="s">
        <v>422</v>
      </c>
    </row>
    <row r="2" spans="1:33" x14ac:dyDescent="0.25">
      <c r="A2" t="s">
        <v>423</v>
      </c>
    </row>
    <row r="3" spans="1:33" x14ac:dyDescent="0.25">
      <c r="A3" t="s">
        <v>424</v>
      </c>
    </row>
    <row r="4" spans="1:33" x14ac:dyDescent="0.25">
      <c r="A4" t="s">
        <v>64</v>
      </c>
    </row>
    <row r="5" spans="1:33" x14ac:dyDescent="0.25">
      <c r="B5" t="s">
        <v>65</v>
      </c>
      <c r="C5" t="s">
        <v>66</v>
      </c>
      <c r="D5" t="s">
        <v>67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68</v>
      </c>
    </row>
    <row r="6" spans="1:33" x14ac:dyDescent="0.25">
      <c r="A6" t="s">
        <v>69</v>
      </c>
    </row>
    <row r="7" spans="1:33" x14ac:dyDescent="0.25">
      <c r="A7" t="s">
        <v>70</v>
      </c>
      <c r="B7" t="s">
        <v>425</v>
      </c>
      <c r="C7" t="s">
        <v>426</v>
      </c>
      <c r="D7" t="s">
        <v>427</v>
      </c>
      <c r="F7">
        <v>26.593980999999999</v>
      </c>
      <c r="G7">
        <v>25.690693</v>
      </c>
      <c r="H7">
        <v>25.882023</v>
      </c>
      <c r="I7">
        <v>25.734010999999999</v>
      </c>
      <c r="J7">
        <v>25.761880999999999</v>
      </c>
      <c r="K7">
        <v>25.984186000000001</v>
      </c>
      <c r="L7">
        <v>26.494527999999999</v>
      </c>
      <c r="M7">
        <v>27.035074000000002</v>
      </c>
      <c r="N7">
        <v>27.848438000000002</v>
      </c>
      <c r="O7">
        <v>28.895928999999999</v>
      </c>
      <c r="P7">
        <v>29.836832000000001</v>
      </c>
      <c r="Q7">
        <v>30.497536</v>
      </c>
      <c r="R7">
        <v>30.975726999999999</v>
      </c>
      <c r="S7">
        <v>31.295522999999999</v>
      </c>
      <c r="T7">
        <v>31.443632000000001</v>
      </c>
      <c r="U7">
        <v>31.521712999999998</v>
      </c>
      <c r="V7">
        <v>31.634782999999999</v>
      </c>
      <c r="W7">
        <v>31.863678</v>
      </c>
      <c r="X7">
        <v>32.095478</v>
      </c>
      <c r="Y7">
        <v>32.443432000000001</v>
      </c>
      <c r="Z7">
        <v>32.908676</v>
      </c>
      <c r="AA7">
        <v>33.216011000000002</v>
      </c>
      <c r="AB7">
        <v>33.459887999999999</v>
      </c>
      <c r="AC7">
        <v>33.587330000000001</v>
      </c>
      <c r="AD7">
        <v>33.707253000000001</v>
      </c>
      <c r="AE7">
        <v>33.953311999999997</v>
      </c>
      <c r="AF7">
        <v>34.455376000000001</v>
      </c>
      <c r="AG7" s="31">
        <v>0.01</v>
      </c>
    </row>
    <row r="8" spans="1:33" x14ac:dyDescent="0.25">
      <c r="A8" t="s">
        <v>74</v>
      </c>
      <c r="B8" t="s">
        <v>428</v>
      </c>
      <c r="C8" t="s">
        <v>429</v>
      </c>
      <c r="D8" t="s">
        <v>427</v>
      </c>
      <c r="F8">
        <v>26.158379</v>
      </c>
      <c r="G8">
        <v>24.617764000000001</v>
      </c>
      <c r="H8">
        <v>24.643763</v>
      </c>
      <c r="I8">
        <v>25.310112</v>
      </c>
      <c r="J8">
        <v>26.179770000000001</v>
      </c>
      <c r="K8">
        <v>27.100401000000002</v>
      </c>
      <c r="L8">
        <v>28.068832</v>
      </c>
      <c r="M8">
        <v>28.117249999999999</v>
      </c>
      <c r="N8">
        <v>28.032599999999999</v>
      </c>
      <c r="O8">
        <v>28.357315</v>
      </c>
      <c r="P8">
        <v>28.466999000000001</v>
      </c>
      <c r="Q8">
        <v>28.689667</v>
      </c>
      <c r="R8">
        <v>28.809559</v>
      </c>
      <c r="S8">
        <v>29.071898000000001</v>
      </c>
      <c r="T8">
        <v>29.171333000000001</v>
      </c>
      <c r="U8">
        <v>29.291198999999999</v>
      </c>
      <c r="V8">
        <v>29.469152000000001</v>
      </c>
      <c r="W8">
        <v>29.758438000000002</v>
      </c>
      <c r="X8">
        <v>29.994083</v>
      </c>
      <c r="Y8">
        <v>30.294477000000001</v>
      </c>
      <c r="Z8">
        <v>30.955036</v>
      </c>
      <c r="AA8">
        <v>30.868721000000001</v>
      </c>
      <c r="AB8">
        <v>30.956972</v>
      </c>
      <c r="AC8">
        <v>30.914090999999999</v>
      </c>
      <c r="AD8">
        <v>30.902479</v>
      </c>
      <c r="AE8">
        <v>30.934729000000001</v>
      </c>
      <c r="AF8">
        <v>31.279491</v>
      </c>
      <c r="AG8" s="31">
        <v>7.0000000000000001E-3</v>
      </c>
    </row>
    <row r="9" spans="1:33" x14ac:dyDescent="0.25">
      <c r="A9" t="s">
        <v>80</v>
      </c>
      <c r="B9" t="s">
        <v>430</v>
      </c>
      <c r="C9" t="s">
        <v>431</v>
      </c>
      <c r="D9" t="s">
        <v>427</v>
      </c>
      <c r="F9">
        <v>13.932205</v>
      </c>
      <c r="G9">
        <v>12.694278000000001</v>
      </c>
      <c r="H9">
        <v>12.476946</v>
      </c>
      <c r="I9">
        <v>12.071300000000001</v>
      </c>
      <c r="J9">
        <v>11.825521999999999</v>
      </c>
      <c r="K9">
        <v>11.708606</v>
      </c>
      <c r="L9">
        <v>11.628035000000001</v>
      </c>
      <c r="M9">
        <v>11.829364999999999</v>
      </c>
      <c r="N9">
        <v>12.259671000000001</v>
      </c>
      <c r="O9">
        <v>12.641685000000001</v>
      </c>
      <c r="P9">
        <v>12.901600999999999</v>
      </c>
      <c r="Q9">
        <v>13.046376</v>
      </c>
      <c r="R9">
        <v>13.061166</v>
      </c>
      <c r="S9">
        <v>13.048336000000001</v>
      </c>
      <c r="T9">
        <v>13.026576</v>
      </c>
      <c r="U9">
        <v>12.968636999999999</v>
      </c>
      <c r="V9">
        <v>13.000325999999999</v>
      </c>
      <c r="W9">
        <v>13.125381000000001</v>
      </c>
      <c r="X9">
        <v>13.234643</v>
      </c>
      <c r="Y9">
        <v>13.327177000000001</v>
      </c>
      <c r="Z9">
        <v>13.385166</v>
      </c>
      <c r="AA9">
        <v>13.471465999999999</v>
      </c>
      <c r="AB9">
        <v>13.568365</v>
      </c>
      <c r="AC9">
        <v>13.612545000000001</v>
      </c>
      <c r="AD9">
        <v>13.641063000000001</v>
      </c>
      <c r="AE9">
        <v>13.722773</v>
      </c>
      <c r="AF9">
        <v>13.794634</v>
      </c>
      <c r="AG9" s="31">
        <v>0</v>
      </c>
    </row>
    <row r="10" spans="1:33" x14ac:dyDescent="0.25">
      <c r="A10" t="s">
        <v>432</v>
      </c>
      <c r="B10" t="s">
        <v>433</v>
      </c>
      <c r="C10" t="s">
        <v>434</v>
      </c>
      <c r="D10" t="s">
        <v>427</v>
      </c>
      <c r="F10">
        <v>45.553139000000002</v>
      </c>
      <c r="G10">
        <v>45.024025000000002</v>
      </c>
      <c r="H10">
        <v>42.541679000000002</v>
      </c>
      <c r="I10">
        <v>40.459820000000001</v>
      </c>
      <c r="J10">
        <v>40.182792999999997</v>
      </c>
      <c r="K10">
        <v>40.569781999999996</v>
      </c>
      <c r="L10">
        <v>41.046374999999998</v>
      </c>
      <c r="M10">
        <v>41.716887999999997</v>
      </c>
      <c r="N10">
        <v>42.268425000000001</v>
      </c>
      <c r="O10">
        <v>43.117485000000002</v>
      </c>
      <c r="P10">
        <v>43.465755000000001</v>
      </c>
      <c r="Q10">
        <v>43.342433999999997</v>
      </c>
      <c r="R10">
        <v>43.037925999999999</v>
      </c>
      <c r="S10">
        <v>42.730640000000001</v>
      </c>
      <c r="T10">
        <v>42.891632000000001</v>
      </c>
      <c r="U10">
        <v>42.628982999999998</v>
      </c>
      <c r="V10">
        <v>42.525494000000002</v>
      </c>
      <c r="W10">
        <v>42.545127999999998</v>
      </c>
      <c r="X10">
        <v>42.731727999999997</v>
      </c>
      <c r="Y10">
        <v>42.921191999999998</v>
      </c>
      <c r="Z10">
        <v>43.168861</v>
      </c>
      <c r="AA10">
        <v>43.377872000000004</v>
      </c>
      <c r="AB10">
        <v>43.621025000000003</v>
      </c>
      <c r="AC10">
        <v>43.794060000000002</v>
      </c>
      <c r="AD10">
        <v>44.126114000000001</v>
      </c>
      <c r="AE10">
        <v>44.423274999999997</v>
      </c>
      <c r="AF10">
        <v>44.787258000000001</v>
      </c>
      <c r="AG10" s="31">
        <v>-1E-3</v>
      </c>
    </row>
    <row r="11" spans="1:33" x14ac:dyDescent="0.25">
      <c r="A11" t="s">
        <v>98</v>
      </c>
    </row>
    <row r="12" spans="1:33" x14ac:dyDescent="0.25">
      <c r="A12" t="s">
        <v>70</v>
      </c>
      <c r="B12" t="s">
        <v>435</v>
      </c>
      <c r="C12" t="s">
        <v>436</v>
      </c>
      <c r="D12" t="s">
        <v>427</v>
      </c>
      <c r="F12">
        <v>19.0868</v>
      </c>
      <c r="G12">
        <v>19.071598000000002</v>
      </c>
      <c r="H12">
        <v>19.969245999999998</v>
      </c>
      <c r="I12">
        <v>19.804914</v>
      </c>
      <c r="J12">
        <v>19.920180999999999</v>
      </c>
      <c r="K12">
        <v>20.219919000000001</v>
      </c>
      <c r="L12">
        <v>20.798325999999999</v>
      </c>
      <c r="M12">
        <v>21.250934999999998</v>
      </c>
      <c r="N12">
        <v>22.027007999999999</v>
      </c>
      <c r="O12">
        <v>22.973884999999999</v>
      </c>
      <c r="P12">
        <v>23.620799999999999</v>
      </c>
      <c r="Q12">
        <v>23.910170000000001</v>
      </c>
      <c r="R12">
        <v>24.102671000000001</v>
      </c>
      <c r="S12">
        <v>24.204554000000002</v>
      </c>
      <c r="T12">
        <v>24.180492000000001</v>
      </c>
      <c r="U12">
        <v>24.168512</v>
      </c>
      <c r="V12">
        <v>24.257711</v>
      </c>
      <c r="W12">
        <v>24.494382999999999</v>
      </c>
      <c r="X12">
        <v>24.6768</v>
      </c>
      <c r="Y12">
        <v>25.001261</v>
      </c>
      <c r="Z12">
        <v>25.422536999999998</v>
      </c>
      <c r="AA12">
        <v>25.562656</v>
      </c>
      <c r="AB12">
        <v>25.683005999999999</v>
      </c>
      <c r="AC12">
        <v>25.692684</v>
      </c>
      <c r="AD12">
        <v>25.758125</v>
      </c>
      <c r="AE12">
        <v>26.007099</v>
      </c>
      <c r="AF12">
        <v>26.538201999999998</v>
      </c>
      <c r="AG12" s="31">
        <v>1.2999999999999999E-2</v>
      </c>
    </row>
    <row r="13" spans="1:33" x14ac:dyDescent="0.25">
      <c r="A13" t="s">
        <v>74</v>
      </c>
      <c r="B13" t="s">
        <v>437</v>
      </c>
      <c r="C13" t="s">
        <v>438</v>
      </c>
      <c r="D13" t="s">
        <v>427</v>
      </c>
      <c r="F13">
        <v>26.207932</v>
      </c>
      <c r="G13">
        <v>24.707526999999999</v>
      </c>
      <c r="H13">
        <v>23.565269000000001</v>
      </c>
      <c r="I13">
        <v>23.058793999999999</v>
      </c>
      <c r="J13">
        <v>22.754670999999998</v>
      </c>
      <c r="K13">
        <v>22.501290999999998</v>
      </c>
      <c r="L13">
        <v>22.297827000000002</v>
      </c>
      <c r="M13">
        <v>22.340889000000001</v>
      </c>
      <c r="N13">
        <v>22.216308999999999</v>
      </c>
      <c r="O13">
        <v>22.527172</v>
      </c>
      <c r="P13">
        <v>22.633039</v>
      </c>
      <c r="Q13">
        <v>22.837949999999999</v>
      </c>
      <c r="R13">
        <v>22.942882999999998</v>
      </c>
      <c r="S13">
        <v>23.194223000000001</v>
      </c>
      <c r="T13">
        <v>23.297205000000002</v>
      </c>
      <c r="U13">
        <v>23.403836999999999</v>
      </c>
      <c r="V13">
        <v>23.570314</v>
      </c>
      <c r="W13">
        <v>23.852497</v>
      </c>
      <c r="X13">
        <v>24.078635999999999</v>
      </c>
      <c r="Y13">
        <v>24.381926</v>
      </c>
      <c r="Z13">
        <v>25.030125000000002</v>
      </c>
      <c r="AA13">
        <v>24.942905</v>
      </c>
      <c r="AB13">
        <v>25.028815999999999</v>
      </c>
      <c r="AC13">
        <v>24.984297000000002</v>
      </c>
      <c r="AD13">
        <v>24.964209</v>
      </c>
      <c r="AE13">
        <v>25.003876000000002</v>
      </c>
      <c r="AF13">
        <v>25.345199999999998</v>
      </c>
      <c r="AG13" s="31">
        <v>-1E-3</v>
      </c>
    </row>
    <row r="14" spans="1:33" x14ac:dyDescent="0.25">
      <c r="A14" t="s">
        <v>109</v>
      </c>
      <c r="B14" t="s">
        <v>439</v>
      </c>
      <c r="C14" t="s">
        <v>440</v>
      </c>
      <c r="D14" t="s">
        <v>427</v>
      </c>
      <c r="F14">
        <v>6.7460779999999998</v>
      </c>
      <c r="G14">
        <v>7.471698</v>
      </c>
      <c r="H14">
        <v>7.8411929999999996</v>
      </c>
      <c r="I14">
        <v>8.8315970000000004</v>
      </c>
      <c r="J14">
        <v>9.9149080000000005</v>
      </c>
      <c r="K14">
        <v>11.015342</v>
      </c>
      <c r="L14">
        <v>12.183045</v>
      </c>
      <c r="M14">
        <v>12.244161999999999</v>
      </c>
      <c r="N14">
        <v>12.208693999999999</v>
      </c>
      <c r="O14">
        <v>12.446173999999999</v>
      </c>
      <c r="P14">
        <v>12.544676000000001</v>
      </c>
      <c r="Q14">
        <v>12.678741</v>
      </c>
      <c r="R14">
        <v>12.753716000000001</v>
      </c>
      <c r="S14">
        <v>12.872249999999999</v>
      </c>
      <c r="T14">
        <v>12.979047</v>
      </c>
      <c r="U14">
        <v>12.997785</v>
      </c>
      <c r="V14">
        <v>13.118733000000001</v>
      </c>
      <c r="W14">
        <v>13.235469</v>
      </c>
      <c r="X14">
        <v>13.365701</v>
      </c>
      <c r="Y14">
        <v>13.416109000000001</v>
      </c>
      <c r="Z14">
        <v>13.347303999999999</v>
      </c>
      <c r="AA14">
        <v>13.387928</v>
      </c>
      <c r="AB14">
        <v>13.678938</v>
      </c>
      <c r="AC14">
        <v>13.632569</v>
      </c>
      <c r="AD14">
        <v>13.671234999999999</v>
      </c>
      <c r="AE14">
        <v>13.775191</v>
      </c>
      <c r="AF14">
        <v>14.322314</v>
      </c>
      <c r="AG14" s="31">
        <v>2.9000000000000001E-2</v>
      </c>
    </row>
    <row r="15" spans="1:33" x14ac:dyDescent="0.25">
      <c r="A15" t="s">
        <v>80</v>
      </c>
      <c r="B15" t="s">
        <v>441</v>
      </c>
      <c r="C15" t="s">
        <v>442</v>
      </c>
      <c r="D15" t="s">
        <v>427</v>
      </c>
      <c r="F15">
        <v>9.5558580000000006</v>
      </c>
      <c r="G15">
        <v>8.4736279999999997</v>
      </c>
      <c r="H15">
        <v>8.5713720000000002</v>
      </c>
      <c r="I15">
        <v>8.5130540000000003</v>
      </c>
      <c r="J15">
        <v>8.5931060000000006</v>
      </c>
      <c r="K15">
        <v>8.7674660000000006</v>
      </c>
      <c r="L15">
        <v>8.9761989999999994</v>
      </c>
      <c r="M15">
        <v>9.1212839999999993</v>
      </c>
      <c r="N15">
        <v>9.4725029999999997</v>
      </c>
      <c r="O15">
        <v>9.7878329999999991</v>
      </c>
      <c r="P15">
        <v>9.9884749999999993</v>
      </c>
      <c r="Q15">
        <v>10.085086</v>
      </c>
      <c r="R15">
        <v>10.067373</v>
      </c>
      <c r="S15">
        <v>10.026683</v>
      </c>
      <c r="T15">
        <v>9.9779049999999998</v>
      </c>
      <c r="U15">
        <v>9.894558</v>
      </c>
      <c r="V15">
        <v>9.8948060000000009</v>
      </c>
      <c r="W15">
        <v>9.9813390000000002</v>
      </c>
      <c r="X15">
        <v>10.052937</v>
      </c>
      <c r="Y15">
        <v>10.111660000000001</v>
      </c>
      <c r="Z15">
        <v>10.137435999999999</v>
      </c>
      <c r="AA15">
        <v>10.191541000000001</v>
      </c>
      <c r="AB15">
        <v>10.258538</v>
      </c>
      <c r="AC15">
        <v>10.274831000000001</v>
      </c>
      <c r="AD15">
        <v>10.279621000000001</v>
      </c>
      <c r="AE15">
        <v>10.336456</v>
      </c>
      <c r="AF15">
        <v>10.384078000000001</v>
      </c>
      <c r="AG15" s="31">
        <v>3.0000000000000001E-3</v>
      </c>
    </row>
    <row r="16" spans="1:33" x14ac:dyDescent="0.25">
      <c r="A16" t="s">
        <v>432</v>
      </c>
      <c r="B16" t="s">
        <v>443</v>
      </c>
      <c r="C16" t="s">
        <v>444</v>
      </c>
      <c r="D16" t="s">
        <v>427</v>
      </c>
      <c r="F16">
        <v>38.551605000000002</v>
      </c>
      <c r="G16">
        <v>37.602798</v>
      </c>
      <c r="H16">
        <v>35.105431000000003</v>
      </c>
      <c r="I16">
        <v>33.124507999999999</v>
      </c>
      <c r="J16">
        <v>32.965439000000003</v>
      </c>
      <c r="K16">
        <v>33.320239999999998</v>
      </c>
      <c r="L16">
        <v>33.809680999999998</v>
      </c>
      <c r="M16">
        <v>34.413387</v>
      </c>
      <c r="N16">
        <v>34.929172999999999</v>
      </c>
      <c r="O16">
        <v>35.701324</v>
      </c>
      <c r="P16">
        <v>35.979613999999998</v>
      </c>
      <c r="Q16">
        <v>35.811675999999999</v>
      </c>
      <c r="R16">
        <v>35.482807000000001</v>
      </c>
      <c r="S16">
        <v>35.191898000000002</v>
      </c>
      <c r="T16">
        <v>35.411738999999997</v>
      </c>
      <c r="U16">
        <v>35.115093000000002</v>
      </c>
      <c r="V16">
        <v>34.986004000000001</v>
      </c>
      <c r="W16">
        <v>34.992550000000001</v>
      </c>
      <c r="X16">
        <v>35.154460999999998</v>
      </c>
      <c r="Y16">
        <v>35.305714000000002</v>
      </c>
      <c r="Z16">
        <v>35.501835</v>
      </c>
      <c r="AA16">
        <v>35.646769999999997</v>
      </c>
      <c r="AB16">
        <v>35.797629999999998</v>
      </c>
      <c r="AC16">
        <v>35.841282</v>
      </c>
      <c r="AD16">
        <v>36.080368</v>
      </c>
      <c r="AE16">
        <v>36.286304000000001</v>
      </c>
      <c r="AF16">
        <v>36.524943999999998</v>
      </c>
      <c r="AG16" s="31">
        <v>-2E-3</v>
      </c>
    </row>
    <row r="17" spans="1:33" x14ac:dyDescent="0.25">
      <c r="A17" t="s">
        <v>130</v>
      </c>
    </row>
    <row r="18" spans="1:33" x14ac:dyDescent="0.25">
      <c r="A18" t="s">
        <v>70</v>
      </c>
      <c r="B18" t="s">
        <v>445</v>
      </c>
      <c r="C18" t="s">
        <v>446</v>
      </c>
      <c r="D18" t="s">
        <v>427</v>
      </c>
      <c r="F18">
        <v>12.660259999999999</v>
      </c>
      <c r="G18">
        <v>12.605674</v>
      </c>
      <c r="H18">
        <v>13.465074</v>
      </c>
      <c r="I18">
        <v>13.314802</v>
      </c>
      <c r="J18">
        <v>13.427592000000001</v>
      </c>
      <c r="K18">
        <v>13.722619999999999</v>
      </c>
      <c r="L18">
        <v>14.298681999999999</v>
      </c>
      <c r="M18">
        <v>14.759734999999999</v>
      </c>
      <c r="N18">
        <v>15.554036</v>
      </c>
      <c r="O18">
        <v>16.543209000000001</v>
      </c>
      <c r="P18">
        <v>17.23724</v>
      </c>
      <c r="Q18">
        <v>17.555821999999999</v>
      </c>
      <c r="R18">
        <v>17.767212000000001</v>
      </c>
      <c r="S18">
        <v>17.880009000000001</v>
      </c>
      <c r="T18">
        <v>17.856604000000001</v>
      </c>
      <c r="U18">
        <v>17.844083999999999</v>
      </c>
      <c r="V18">
        <v>17.93939</v>
      </c>
      <c r="W18">
        <v>18.194379999999999</v>
      </c>
      <c r="X18">
        <v>18.394273999999999</v>
      </c>
      <c r="Y18">
        <v>18.748418999999998</v>
      </c>
      <c r="Z18">
        <v>19.212319999999998</v>
      </c>
      <c r="AA18">
        <v>19.372681</v>
      </c>
      <c r="AB18">
        <v>19.508192000000001</v>
      </c>
      <c r="AC18">
        <v>19.52129</v>
      </c>
      <c r="AD18">
        <v>19.593958000000001</v>
      </c>
      <c r="AE18">
        <v>19.869527999999999</v>
      </c>
      <c r="AF18">
        <v>20.462762999999999</v>
      </c>
      <c r="AG18" s="31">
        <v>1.9E-2</v>
      </c>
    </row>
    <row r="19" spans="1:33" x14ac:dyDescent="0.25">
      <c r="A19" t="s">
        <v>74</v>
      </c>
      <c r="B19" t="s">
        <v>447</v>
      </c>
      <c r="C19" t="s">
        <v>448</v>
      </c>
      <c r="D19" t="s">
        <v>427</v>
      </c>
      <c r="F19">
        <v>26.091763</v>
      </c>
      <c r="G19">
        <v>24.600625999999998</v>
      </c>
      <c r="H19">
        <v>23.425851999999999</v>
      </c>
      <c r="I19">
        <v>22.889410000000002</v>
      </c>
      <c r="J19">
        <v>22.557371</v>
      </c>
      <c r="K19">
        <v>22.274754999999999</v>
      </c>
      <c r="L19">
        <v>22.032902</v>
      </c>
      <c r="M19">
        <v>22.079993999999999</v>
      </c>
      <c r="N19">
        <v>21.943752</v>
      </c>
      <c r="O19">
        <v>22.273958</v>
      </c>
      <c r="P19">
        <v>22.39349</v>
      </c>
      <c r="Q19">
        <v>22.623446999999999</v>
      </c>
      <c r="R19">
        <v>22.746523</v>
      </c>
      <c r="S19">
        <v>23.008989</v>
      </c>
      <c r="T19">
        <v>23.10652</v>
      </c>
      <c r="U19">
        <v>23.218240999999999</v>
      </c>
      <c r="V19">
        <v>23.399350999999999</v>
      </c>
      <c r="W19">
        <v>23.679425999999999</v>
      </c>
      <c r="X19">
        <v>23.916767</v>
      </c>
      <c r="Y19">
        <v>24.223963000000001</v>
      </c>
      <c r="Z19">
        <v>24.880013999999999</v>
      </c>
      <c r="AA19">
        <v>24.792428999999998</v>
      </c>
      <c r="AB19">
        <v>24.880751</v>
      </c>
      <c r="AC19">
        <v>24.838329000000002</v>
      </c>
      <c r="AD19">
        <v>24.823360000000001</v>
      </c>
      <c r="AE19">
        <v>24.858402000000002</v>
      </c>
      <c r="AF19">
        <v>25.202453999999999</v>
      </c>
      <c r="AG19" s="31">
        <v>-1E-3</v>
      </c>
    </row>
    <row r="20" spans="1:33" x14ac:dyDescent="0.25">
      <c r="A20" t="s">
        <v>109</v>
      </c>
      <c r="B20" t="s">
        <v>449</v>
      </c>
      <c r="C20" t="s">
        <v>450</v>
      </c>
      <c r="D20" t="s">
        <v>427</v>
      </c>
      <c r="F20">
        <v>7.8346600000000004</v>
      </c>
      <c r="G20">
        <v>8.8480939999999997</v>
      </c>
      <c r="H20">
        <v>9.4351610000000008</v>
      </c>
      <c r="I20">
        <v>10.629246</v>
      </c>
      <c r="J20">
        <v>11.88067</v>
      </c>
      <c r="K20">
        <v>13.214781</v>
      </c>
      <c r="L20">
        <v>14.622335</v>
      </c>
      <c r="M20">
        <v>14.725853000000001</v>
      </c>
      <c r="N20">
        <v>14.700524</v>
      </c>
      <c r="O20">
        <v>14.992571999999999</v>
      </c>
      <c r="P20">
        <v>15.113937999999999</v>
      </c>
      <c r="Q20">
        <v>15.285793</v>
      </c>
      <c r="R20">
        <v>15.383565000000001</v>
      </c>
      <c r="S20">
        <v>15.518867</v>
      </c>
      <c r="T20">
        <v>15.634306</v>
      </c>
      <c r="U20">
        <v>15.663942</v>
      </c>
      <c r="V20">
        <v>15.779114999999999</v>
      </c>
      <c r="W20">
        <v>15.889836000000001</v>
      </c>
      <c r="X20">
        <v>16.038827999999999</v>
      </c>
      <c r="Y20">
        <v>16.101130999999999</v>
      </c>
      <c r="Z20">
        <v>16.053885999999999</v>
      </c>
      <c r="AA20">
        <v>16.051017999999999</v>
      </c>
      <c r="AB20">
        <v>16.34535</v>
      </c>
      <c r="AC20">
        <v>16.306047</v>
      </c>
      <c r="AD20">
        <v>16.344069000000001</v>
      </c>
      <c r="AE20">
        <v>16.451635</v>
      </c>
      <c r="AF20">
        <v>16.998318000000001</v>
      </c>
      <c r="AG20" s="31">
        <v>0.03</v>
      </c>
    </row>
    <row r="21" spans="1:33" x14ac:dyDescent="0.25">
      <c r="A21" t="s">
        <v>80</v>
      </c>
      <c r="B21" t="s">
        <v>451</v>
      </c>
      <c r="C21" t="s">
        <v>452</v>
      </c>
      <c r="D21" t="s">
        <v>427</v>
      </c>
      <c r="F21">
        <v>3.3370700000000002</v>
      </c>
      <c r="G21">
        <v>4.010599</v>
      </c>
      <c r="H21">
        <v>3.9114849999999999</v>
      </c>
      <c r="I21">
        <v>3.7915209999999999</v>
      </c>
      <c r="J21">
        <v>3.8696120000000001</v>
      </c>
      <c r="K21">
        <v>4.0202489999999997</v>
      </c>
      <c r="L21">
        <v>4.230658</v>
      </c>
      <c r="M21">
        <v>4.3900930000000002</v>
      </c>
      <c r="N21">
        <v>4.8307549999999999</v>
      </c>
      <c r="O21">
        <v>5.1790880000000001</v>
      </c>
      <c r="P21">
        <v>5.4123419999999998</v>
      </c>
      <c r="Q21">
        <v>5.4940540000000002</v>
      </c>
      <c r="R21">
        <v>5.4814119999999997</v>
      </c>
      <c r="S21">
        <v>5.4307980000000002</v>
      </c>
      <c r="T21">
        <v>5.3706849999999999</v>
      </c>
      <c r="U21">
        <v>5.2902529999999999</v>
      </c>
      <c r="V21">
        <v>5.3106720000000003</v>
      </c>
      <c r="W21">
        <v>5.4036390000000001</v>
      </c>
      <c r="X21">
        <v>5.4864750000000004</v>
      </c>
      <c r="Y21">
        <v>5.5612409999999999</v>
      </c>
      <c r="Z21">
        <v>5.6156769999999998</v>
      </c>
      <c r="AA21">
        <v>5.6656319999999996</v>
      </c>
      <c r="AB21">
        <v>5.71713</v>
      </c>
      <c r="AC21">
        <v>5.7226499999999998</v>
      </c>
      <c r="AD21">
        <v>5.7369000000000003</v>
      </c>
      <c r="AE21">
        <v>5.7977049999999997</v>
      </c>
      <c r="AF21">
        <v>5.8629350000000002</v>
      </c>
      <c r="AG21" s="31">
        <v>2.1999999999999999E-2</v>
      </c>
    </row>
    <row r="22" spans="1:33" x14ac:dyDescent="0.25">
      <c r="A22" t="s">
        <v>156</v>
      </c>
      <c r="B22" t="s">
        <v>453</v>
      </c>
      <c r="C22" t="s">
        <v>454</v>
      </c>
      <c r="D22" t="s">
        <v>427</v>
      </c>
      <c r="F22">
        <v>7.7677550000000002</v>
      </c>
      <c r="G22">
        <v>7.639748</v>
      </c>
      <c r="H22">
        <v>7.5851480000000002</v>
      </c>
      <c r="I22">
        <v>7.555212</v>
      </c>
      <c r="J22">
        <v>7.520931</v>
      </c>
      <c r="K22">
        <v>7.5128259999999996</v>
      </c>
      <c r="L22">
        <v>7.5104439999999997</v>
      </c>
      <c r="M22">
        <v>7.515949</v>
      </c>
      <c r="N22">
        <v>7.5375909999999999</v>
      </c>
      <c r="O22">
        <v>7.5371670000000002</v>
      </c>
      <c r="P22">
        <v>7.4998899999999997</v>
      </c>
      <c r="Q22">
        <v>7.5180889999999998</v>
      </c>
      <c r="R22">
        <v>7.5179669999999996</v>
      </c>
      <c r="S22">
        <v>7.5155570000000003</v>
      </c>
      <c r="T22">
        <v>7.5172699999999999</v>
      </c>
      <c r="U22">
        <v>7.498265</v>
      </c>
      <c r="V22">
        <v>7.4962220000000004</v>
      </c>
      <c r="W22">
        <v>7.4669150000000002</v>
      </c>
      <c r="X22">
        <v>7.4610409999999998</v>
      </c>
      <c r="Y22">
        <v>7.4532319999999999</v>
      </c>
      <c r="Z22">
        <v>7.4581030000000004</v>
      </c>
      <c r="AA22">
        <v>7.4715109999999996</v>
      </c>
      <c r="AB22">
        <v>7.4675250000000002</v>
      </c>
      <c r="AC22">
        <v>7.46251</v>
      </c>
      <c r="AD22">
        <v>7.461265</v>
      </c>
      <c r="AE22">
        <v>7.4693670000000001</v>
      </c>
      <c r="AF22">
        <v>7.4669429999999997</v>
      </c>
      <c r="AG22" s="31">
        <v>-2E-3</v>
      </c>
    </row>
    <row r="23" spans="1:33" x14ac:dyDescent="0.25">
      <c r="A23" t="s">
        <v>159</v>
      </c>
      <c r="B23" t="s">
        <v>455</v>
      </c>
      <c r="C23" t="s">
        <v>456</v>
      </c>
      <c r="D23" t="s">
        <v>427</v>
      </c>
      <c r="F23">
        <v>3.572155</v>
      </c>
      <c r="G23">
        <v>3.6240990000000002</v>
      </c>
      <c r="H23">
        <v>3.6188060000000002</v>
      </c>
      <c r="I23">
        <v>3.6017679999999999</v>
      </c>
      <c r="J23">
        <v>3.5713360000000001</v>
      </c>
      <c r="K23">
        <v>3.5591499999999998</v>
      </c>
      <c r="L23">
        <v>3.5335369999999999</v>
      </c>
      <c r="M23">
        <v>3.4978509999999998</v>
      </c>
      <c r="N23">
        <v>3.4641419999999998</v>
      </c>
      <c r="O23">
        <v>3.459587</v>
      </c>
      <c r="P23">
        <v>3.441433</v>
      </c>
      <c r="Q23">
        <v>3.4154490000000002</v>
      </c>
      <c r="R23">
        <v>3.4216380000000002</v>
      </c>
      <c r="S23">
        <v>3.4235449999999998</v>
      </c>
      <c r="T23">
        <v>3.4324210000000002</v>
      </c>
      <c r="U23">
        <v>3.4286089999999998</v>
      </c>
      <c r="V23">
        <v>3.4309129999999999</v>
      </c>
      <c r="W23">
        <v>3.425192</v>
      </c>
      <c r="X23">
        <v>3.4188909999999999</v>
      </c>
      <c r="Y23">
        <v>3.422088</v>
      </c>
      <c r="Z23">
        <v>3.4260630000000001</v>
      </c>
      <c r="AA23">
        <v>3.4342359999999998</v>
      </c>
      <c r="AB23">
        <v>3.444175</v>
      </c>
      <c r="AC23">
        <v>3.4487489999999998</v>
      </c>
      <c r="AD23">
        <v>3.4481359999999999</v>
      </c>
      <c r="AE23">
        <v>3.4493469999999999</v>
      </c>
      <c r="AF23">
        <v>3.4545159999999999</v>
      </c>
      <c r="AG23" s="31">
        <v>-1E-3</v>
      </c>
    </row>
    <row r="24" spans="1:33" x14ac:dyDescent="0.25">
      <c r="A24" t="s">
        <v>173</v>
      </c>
      <c r="B24" t="s">
        <v>457</v>
      </c>
      <c r="C24" t="s">
        <v>458</v>
      </c>
      <c r="D24" t="s">
        <v>427</v>
      </c>
      <c r="F24">
        <v>9.5338750000000001</v>
      </c>
      <c r="G24">
        <v>10.619709</v>
      </c>
      <c r="H24">
        <v>10.514131000000001</v>
      </c>
      <c r="I24">
        <v>10.426125000000001</v>
      </c>
      <c r="J24">
        <v>10.557919999999999</v>
      </c>
      <c r="K24">
        <v>10.787679000000001</v>
      </c>
      <c r="L24">
        <v>11.065716</v>
      </c>
      <c r="M24">
        <v>11.319675999999999</v>
      </c>
      <c r="N24">
        <v>11.639939999999999</v>
      </c>
      <c r="O24">
        <v>12.155972</v>
      </c>
      <c r="P24">
        <v>12.524699</v>
      </c>
      <c r="Q24">
        <v>12.666781</v>
      </c>
      <c r="R24">
        <v>12.616203000000001</v>
      </c>
      <c r="S24">
        <v>12.533028</v>
      </c>
      <c r="T24">
        <v>12.742198999999999</v>
      </c>
      <c r="U24">
        <v>12.812290000000001</v>
      </c>
      <c r="V24">
        <v>12.800770999999999</v>
      </c>
      <c r="W24">
        <v>12.675635</v>
      </c>
      <c r="X24">
        <v>12.587033</v>
      </c>
      <c r="Y24">
        <v>12.651852999999999</v>
      </c>
      <c r="Z24">
        <v>12.824852</v>
      </c>
      <c r="AA24">
        <v>12.7927</v>
      </c>
      <c r="AB24">
        <v>12.813029</v>
      </c>
      <c r="AC24">
        <v>12.789707999999999</v>
      </c>
      <c r="AD24">
        <v>12.823941</v>
      </c>
      <c r="AE24">
        <v>12.685263000000001</v>
      </c>
      <c r="AF24">
        <v>12.783066</v>
      </c>
      <c r="AG24" s="31">
        <v>1.0999999999999999E-2</v>
      </c>
    </row>
    <row r="25" spans="1:33" x14ac:dyDescent="0.25">
      <c r="A25" t="s">
        <v>432</v>
      </c>
      <c r="B25" t="s">
        <v>459</v>
      </c>
      <c r="C25" t="s">
        <v>460</v>
      </c>
      <c r="D25" t="s">
        <v>427</v>
      </c>
      <c r="F25">
        <v>26.507746000000001</v>
      </c>
      <c r="G25">
        <v>25.922053999999999</v>
      </c>
      <c r="H25">
        <v>23.537738999999998</v>
      </c>
      <c r="I25">
        <v>22.156486999999998</v>
      </c>
      <c r="J25">
        <v>22.004315999999999</v>
      </c>
      <c r="K25">
        <v>22.322678</v>
      </c>
      <c r="L25">
        <v>22.749051999999999</v>
      </c>
      <c r="M25">
        <v>23.346399000000002</v>
      </c>
      <c r="N25">
        <v>23.998974</v>
      </c>
      <c r="O25">
        <v>24.751463000000001</v>
      </c>
      <c r="P25">
        <v>24.95269</v>
      </c>
      <c r="Q25">
        <v>24.768763</v>
      </c>
      <c r="R25">
        <v>24.452559999999998</v>
      </c>
      <c r="S25">
        <v>24.243956000000001</v>
      </c>
      <c r="T25">
        <v>24.341449999999998</v>
      </c>
      <c r="U25">
        <v>24.228069000000001</v>
      </c>
      <c r="V25">
        <v>24.145441000000002</v>
      </c>
      <c r="W25">
        <v>24.157952999999999</v>
      </c>
      <c r="X25">
        <v>24.287434000000001</v>
      </c>
      <c r="Y25">
        <v>24.39603</v>
      </c>
      <c r="Z25">
        <v>24.534168000000001</v>
      </c>
      <c r="AA25">
        <v>24.641456999999999</v>
      </c>
      <c r="AB25">
        <v>24.755725999999999</v>
      </c>
      <c r="AC25">
        <v>24.854348999999999</v>
      </c>
      <c r="AD25">
        <v>25.022724</v>
      </c>
      <c r="AE25">
        <v>25.199515999999999</v>
      </c>
      <c r="AF25">
        <v>25.411121000000001</v>
      </c>
      <c r="AG25" s="31">
        <v>-2E-3</v>
      </c>
    </row>
    <row r="26" spans="1:33" x14ac:dyDescent="0.25">
      <c r="A26" t="s">
        <v>188</v>
      </c>
    </row>
    <row r="27" spans="1:33" x14ac:dyDescent="0.25">
      <c r="A27" t="s">
        <v>70</v>
      </c>
      <c r="B27" t="s">
        <v>461</v>
      </c>
      <c r="C27" t="s">
        <v>462</v>
      </c>
      <c r="D27" t="s">
        <v>427</v>
      </c>
      <c r="F27">
        <v>17.589244999999998</v>
      </c>
      <c r="G27">
        <v>17.749908000000001</v>
      </c>
      <c r="H27">
        <v>18.586613</v>
      </c>
      <c r="I27">
        <v>18.389212000000001</v>
      </c>
      <c r="J27">
        <v>18.496126</v>
      </c>
      <c r="K27">
        <v>18.760076999999999</v>
      </c>
      <c r="L27">
        <v>19.263100000000001</v>
      </c>
      <c r="M27">
        <v>19.634487</v>
      </c>
      <c r="N27">
        <v>20.300225999999999</v>
      </c>
      <c r="O27">
        <v>21.098251000000001</v>
      </c>
      <c r="P27">
        <v>21.613921999999999</v>
      </c>
      <c r="Q27">
        <v>21.826737999999999</v>
      </c>
      <c r="R27">
        <v>21.975828</v>
      </c>
      <c r="S27">
        <v>22.052735999999999</v>
      </c>
      <c r="T27">
        <v>22.024448</v>
      </c>
      <c r="U27">
        <v>22.014761</v>
      </c>
      <c r="V27">
        <v>22.094729999999998</v>
      </c>
      <c r="W27">
        <v>22.299959000000001</v>
      </c>
      <c r="X27">
        <v>22.448139000000001</v>
      </c>
      <c r="Y27">
        <v>22.723597000000002</v>
      </c>
      <c r="Z27">
        <v>23.076363000000001</v>
      </c>
      <c r="AA27">
        <v>23.174244000000002</v>
      </c>
      <c r="AB27">
        <v>23.269659000000001</v>
      </c>
      <c r="AC27">
        <v>23.270405</v>
      </c>
      <c r="AD27">
        <v>23.326803000000002</v>
      </c>
      <c r="AE27">
        <v>23.542394999999999</v>
      </c>
      <c r="AF27">
        <v>23.995331</v>
      </c>
      <c r="AG27" s="31">
        <v>1.2E-2</v>
      </c>
    </row>
    <row r="28" spans="1:33" x14ac:dyDescent="0.25">
      <c r="A28" t="s">
        <v>463</v>
      </c>
      <c r="B28" t="s">
        <v>464</v>
      </c>
      <c r="C28" t="s">
        <v>465</v>
      </c>
      <c r="D28" t="s">
        <v>427</v>
      </c>
      <c r="F28">
        <v>28.823729</v>
      </c>
      <c r="G28">
        <v>28.93619</v>
      </c>
      <c r="H28">
        <v>30.221819</v>
      </c>
      <c r="I28">
        <v>29.874351999999998</v>
      </c>
      <c r="J28">
        <v>29.356659000000001</v>
      </c>
      <c r="K28">
        <v>28.412942999999999</v>
      </c>
      <c r="L28">
        <v>28.414833000000002</v>
      </c>
      <c r="M28">
        <v>28.528874999999999</v>
      </c>
      <c r="N28">
        <v>28.297775000000001</v>
      </c>
      <c r="O28">
        <v>28.022879</v>
      </c>
      <c r="P28">
        <v>27.970562000000001</v>
      </c>
      <c r="Q28">
        <v>27.737435999999999</v>
      </c>
      <c r="R28">
        <v>27.879840999999999</v>
      </c>
      <c r="S28">
        <v>27.706806</v>
      </c>
      <c r="T28">
        <v>27.335273999999998</v>
      </c>
      <c r="U28">
        <v>27.221582000000001</v>
      </c>
      <c r="V28">
        <v>26.936087000000001</v>
      </c>
      <c r="W28">
        <v>26.624407000000001</v>
      </c>
      <c r="X28">
        <v>26.243463999999999</v>
      </c>
      <c r="Y28">
        <v>26.249161000000001</v>
      </c>
      <c r="Z28">
        <v>24.929925999999998</v>
      </c>
      <c r="AA28">
        <v>24.592495</v>
      </c>
      <c r="AB28">
        <v>24.796230000000001</v>
      </c>
      <c r="AC28">
        <v>24.925063999999999</v>
      </c>
      <c r="AD28">
        <v>24.988291</v>
      </c>
      <c r="AE28">
        <v>25.141323</v>
      </c>
      <c r="AF28">
        <v>25.433138</v>
      </c>
      <c r="AG28" s="31">
        <v>-5.0000000000000001E-3</v>
      </c>
    </row>
    <row r="29" spans="1:33" x14ac:dyDescent="0.25">
      <c r="A29" t="s">
        <v>101</v>
      </c>
      <c r="B29" t="s">
        <v>466</v>
      </c>
      <c r="C29" t="s">
        <v>467</v>
      </c>
      <c r="D29" t="s">
        <v>427</v>
      </c>
      <c r="F29">
        <v>28.679842000000001</v>
      </c>
      <c r="G29">
        <v>27.094545</v>
      </c>
      <c r="H29">
        <v>25.485423999999998</v>
      </c>
      <c r="I29">
        <v>24.986968999999998</v>
      </c>
      <c r="J29">
        <v>24.719850999999998</v>
      </c>
      <c r="K29">
        <v>24.436866999999999</v>
      </c>
      <c r="L29">
        <v>24.474363</v>
      </c>
      <c r="M29">
        <v>24.481470000000002</v>
      </c>
      <c r="N29">
        <v>24.300166999999998</v>
      </c>
      <c r="O29">
        <v>24.154731999999999</v>
      </c>
      <c r="P29">
        <v>24.097950000000001</v>
      </c>
      <c r="Q29">
        <v>23.894082999999998</v>
      </c>
      <c r="R29">
        <v>24.019566000000001</v>
      </c>
      <c r="S29">
        <v>23.870735</v>
      </c>
      <c r="T29">
        <v>23.556276</v>
      </c>
      <c r="U29">
        <v>23.430713999999998</v>
      </c>
      <c r="V29">
        <v>23.173237</v>
      </c>
      <c r="W29">
        <v>22.909203999999999</v>
      </c>
      <c r="X29">
        <v>22.576329999999999</v>
      </c>
      <c r="Y29">
        <v>22.596951000000001</v>
      </c>
      <c r="Z29">
        <v>21.468903000000001</v>
      </c>
      <c r="AA29">
        <v>21.182210999999999</v>
      </c>
      <c r="AB29">
        <v>21.356646999999999</v>
      </c>
      <c r="AC29">
        <v>21.464962</v>
      </c>
      <c r="AD29">
        <v>21.509295000000002</v>
      </c>
      <c r="AE29">
        <v>21.631233000000002</v>
      </c>
      <c r="AF29">
        <v>21.869665000000001</v>
      </c>
      <c r="AG29" s="31">
        <v>-0.01</v>
      </c>
    </row>
    <row r="30" spans="1:33" x14ac:dyDescent="0.25">
      <c r="A30" t="s">
        <v>196</v>
      </c>
      <c r="B30" t="s">
        <v>468</v>
      </c>
      <c r="C30" t="s">
        <v>469</v>
      </c>
      <c r="D30" t="s">
        <v>427</v>
      </c>
      <c r="F30">
        <v>17.638923999999999</v>
      </c>
      <c r="G30">
        <v>16.395</v>
      </c>
      <c r="H30">
        <v>16.197346</v>
      </c>
      <c r="I30">
        <v>16.576864</v>
      </c>
      <c r="J30">
        <v>17.167725000000001</v>
      </c>
      <c r="K30">
        <v>17.774681000000001</v>
      </c>
      <c r="L30">
        <v>18.432444</v>
      </c>
      <c r="M30">
        <v>18.550699000000002</v>
      </c>
      <c r="N30">
        <v>18.432102</v>
      </c>
      <c r="O30">
        <v>18.750156</v>
      </c>
      <c r="P30">
        <v>18.878136000000001</v>
      </c>
      <c r="Q30">
        <v>19.088031999999998</v>
      </c>
      <c r="R30">
        <v>19.162302</v>
      </c>
      <c r="S30">
        <v>19.413188999999999</v>
      </c>
      <c r="T30">
        <v>19.636925000000002</v>
      </c>
      <c r="U30">
        <v>19.743241999999999</v>
      </c>
      <c r="V30">
        <v>19.910463</v>
      </c>
      <c r="W30">
        <v>20.238554000000001</v>
      </c>
      <c r="X30">
        <v>20.505775</v>
      </c>
      <c r="Y30">
        <v>20.876812000000001</v>
      </c>
      <c r="Z30">
        <v>21.614871999999998</v>
      </c>
      <c r="AA30">
        <v>21.580615999999999</v>
      </c>
      <c r="AB30">
        <v>21.698483</v>
      </c>
      <c r="AC30">
        <v>21.705061000000001</v>
      </c>
      <c r="AD30">
        <v>21.706541000000001</v>
      </c>
      <c r="AE30">
        <v>21.788584</v>
      </c>
      <c r="AF30">
        <v>22.195864</v>
      </c>
      <c r="AG30" s="31">
        <v>8.9999999999999993E-3</v>
      </c>
    </row>
    <row r="31" spans="1:33" x14ac:dyDescent="0.25">
      <c r="A31" t="s">
        <v>470</v>
      </c>
      <c r="B31" t="s">
        <v>471</v>
      </c>
      <c r="C31" t="s">
        <v>472</v>
      </c>
      <c r="D31" t="s">
        <v>427</v>
      </c>
      <c r="F31">
        <v>27.283649</v>
      </c>
      <c r="G31">
        <v>25.591213</v>
      </c>
      <c r="H31">
        <v>25.016569</v>
      </c>
      <c r="I31">
        <v>25.029736</v>
      </c>
      <c r="J31">
        <v>25.250086</v>
      </c>
      <c r="K31">
        <v>25.481936999999999</v>
      </c>
      <c r="L31">
        <v>25.837043999999999</v>
      </c>
      <c r="M31">
        <v>25.879503</v>
      </c>
      <c r="N31">
        <v>25.733622</v>
      </c>
      <c r="O31">
        <v>26.102191999999999</v>
      </c>
      <c r="P31">
        <v>26.219612000000001</v>
      </c>
      <c r="Q31">
        <v>26.457941000000002</v>
      </c>
      <c r="R31">
        <v>26.618041999999999</v>
      </c>
      <c r="S31">
        <v>26.882929000000001</v>
      </c>
      <c r="T31">
        <v>26.978114999999999</v>
      </c>
      <c r="U31">
        <v>27.113095999999999</v>
      </c>
      <c r="V31">
        <v>27.266804</v>
      </c>
      <c r="W31">
        <v>27.578503000000001</v>
      </c>
      <c r="X31">
        <v>27.813025</v>
      </c>
      <c r="Y31">
        <v>28.145802</v>
      </c>
      <c r="Z31">
        <v>28.854143000000001</v>
      </c>
      <c r="AA31">
        <v>28.858868000000001</v>
      </c>
      <c r="AB31">
        <v>28.825182000000002</v>
      </c>
      <c r="AC31">
        <v>28.706500999999999</v>
      </c>
      <c r="AD31">
        <v>28.759976999999999</v>
      </c>
      <c r="AE31">
        <v>28.705210000000001</v>
      </c>
      <c r="AF31">
        <v>29.126086999999998</v>
      </c>
      <c r="AG31" s="31">
        <v>3.0000000000000001E-3</v>
      </c>
    </row>
    <row r="32" spans="1:33" x14ac:dyDescent="0.25">
      <c r="A32" t="s">
        <v>109</v>
      </c>
      <c r="B32" t="s">
        <v>473</v>
      </c>
      <c r="C32" t="s">
        <v>474</v>
      </c>
      <c r="D32" t="s">
        <v>427</v>
      </c>
      <c r="F32">
        <v>13.401297</v>
      </c>
      <c r="G32">
        <v>11.843807</v>
      </c>
      <c r="H32">
        <v>12.665238</v>
      </c>
      <c r="I32">
        <v>12.576532</v>
      </c>
      <c r="J32">
        <v>12.510175</v>
      </c>
      <c r="K32">
        <v>12.503057</v>
      </c>
      <c r="L32">
        <v>12.525302</v>
      </c>
      <c r="M32">
        <v>12.597066999999999</v>
      </c>
      <c r="N32">
        <v>12.550599</v>
      </c>
      <c r="O32">
        <v>12.745926000000001</v>
      </c>
      <c r="P32">
        <v>12.831242</v>
      </c>
      <c r="Q32">
        <v>12.954171000000001</v>
      </c>
      <c r="R32">
        <v>13.008114000000001</v>
      </c>
      <c r="S32">
        <v>13.096881</v>
      </c>
      <c r="T32">
        <v>13.191089</v>
      </c>
      <c r="U32">
        <v>13.218472</v>
      </c>
      <c r="V32">
        <v>13.301097</v>
      </c>
      <c r="W32">
        <v>13.406687</v>
      </c>
      <c r="X32">
        <v>13.509968000000001</v>
      </c>
      <c r="Y32">
        <v>13.614932</v>
      </c>
      <c r="Z32">
        <v>13.650314</v>
      </c>
      <c r="AA32">
        <v>13.473039</v>
      </c>
      <c r="AB32">
        <v>13.708124</v>
      </c>
      <c r="AC32">
        <v>13.688977</v>
      </c>
      <c r="AD32">
        <v>13.7072</v>
      </c>
      <c r="AE32">
        <v>13.794828000000001</v>
      </c>
      <c r="AF32">
        <v>14.231298000000001</v>
      </c>
      <c r="AG32" s="31">
        <v>2E-3</v>
      </c>
    </row>
    <row r="33" spans="1:33" x14ac:dyDescent="0.25">
      <c r="A33" t="s">
        <v>80</v>
      </c>
      <c r="B33" t="s">
        <v>475</v>
      </c>
      <c r="C33" t="s">
        <v>476</v>
      </c>
      <c r="D33" t="s">
        <v>427</v>
      </c>
      <c r="F33">
        <v>14.514303</v>
      </c>
      <c r="G33">
        <v>15.045484</v>
      </c>
      <c r="H33">
        <v>14.977668</v>
      </c>
      <c r="I33">
        <v>14.858115</v>
      </c>
      <c r="J33">
        <v>14.908598</v>
      </c>
      <c r="K33">
        <v>15.040533</v>
      </c>
      <c r="L33">
        <v>15.186420999999999</v>
      </c>
      <c r="M33">
        <v>15.299401</v>
      </c>
      <c r="N33">
        <v>15.666859000000001</v>
      </c>
      <c r="O33">
        <v>15.903211000000001</v>
      </c>
      <c r="P33">
        <v>16.017697999999999</v>
      </c>
      <c r="Q33">
        <v>16.016141999999999</v>
      </c>
      <c r="R33">
        <v>15.907859</v>
      </c>
      <c r="S33">
        <v>15.77169</v>
      </c>
      <c r="T33">
        <v>15.650945</v>
      </c>
      <c r="U33">
        <v>15.475759999999999</v>
      </c>
      <c r="V33">
        <v>15.403385</v>
      </c>
      <c r="W33">
        <v>15.417638999999999</v>
      </c>
      <c r="X33">
        <v>15.41606</v>
      </c>
      <c r="Y33">
        <v>15.414666</v>
      </c>
      <c r="Z33">
        <v>15.384684999999999</v>
      </c>
      <c r="AA33">
        <v>15.361653</v>
      </c>
      <c r="AB33">
        <v>15.353804</v>
      </c>
      <c r="AC33">
        <v>15.281762000000001</v>
      </c>
      <c r="AD33">
        <v>15.215750999999999</v>
      </c>
      <c r="AE33">
        <v>15.207031000000001</v>
      </c>
      <c r="AF33">
        <v>15.19101</v>
      </c>
      <c r="AG33" s="31">
        <v>2E-3</v>
      </c>
    </row>
    <row r="34" spans="1:33" x14ac:dyDescent="0.25">
      <c r="A34" t="s">
        <v>173</v>
      </c>
      <c r="B34" t="s">
        <v>477</v>
      </c>
      <c r="C34" t="s">
        <v>478</v>
      </c>
      <c r="D34" t="s">
        <v>427</v>
      </c>
      <c r="F34">
        <v>60.468231000000003</v>
      </c>
      <c r="G34">
        <v>60.745255</v>
      </c>
      <c r="H34">
        <v>60.549759000000002</v>
      </c>
      <c r="I34">
        <v>60.444369999999999</v>
      </c>
      <c r="J34">
        <v>60.531708000000002</v>
      </c>
      <c r="K34">
        <v>60.737735999999998</v>
      </c>
      <c r="L34">
        <v>60.991833</v>
      </c>
      <c r="M34">
        <v>61.818278999999997</v>
      </c>
      <c r="N34">
        <v>62.045990000000003</v>
      </c>
      <c r="O34">
        <v>62.676136</v>
      </c>
      <c r="P34">
        <v>63.049197999999997</v>
      </c>
      <c r="Q34">
        <v>63.198535999999997</v>
      </c>
      <c r="R34">
        <v>63.044494999999998</v>
      </c>
      <c r="S34">
        <v>62.949413</v>
      </c>
      <c r="T34">
        <v>63.204425999999998</v>
      </c>
      <c r="U34">
        <v>63.335479999999997</v>
      </c>
      <c r="V34">
        <v>63.306995000000001</v>
      </c>
      <c r="W34">
        <v>63.132828000000003</v>
      </c>
      <c r="X34">
        <v>62.969875000000002</v>
      </c>
      <c r="Y34">
        <v>63.022812000000002</v>
      </c>
      <c r="Z34">
        <v>63.251350000000002</v>
      </c>
      <c r="AA34">
        <v>63.215389000000002</v>
      </c>
      <c r="AB34">
        <v>63.382430999999997</v>
      </c>
      <c r="AC34">
        <v>63.355697999999997</v>
      </c>
      <c r="AD34">
        <v>63.409069000000002</v>
      </c>
      <c r="AE34">
        <v>63.016551999999997</v>
      </c>
      <c r="AF34">
        <v>63.101322000000003</v>
      </c>
      <c r="AG34" s="31">
        <v>2E-3</v>
      </c>
    </row>
    <row r="35" spans="1:33" x14ac:dyDescent="0.25">
      <c r="A35" t="s">
        <v>432</v>
      </c>
      <c r="B35" t="s">
        <v>479</v>
      </c>
      <c r="C35" t="s">
        <v>480</v>
      </c>
      <c r="D35" t="s">
        <v>427</v>
      </c>
      <c r="F35">
        <v>42.609589</v>
      </c>
      <c r="G35">
        <v>42.266669999999998</v>
      </c>
      <c r="H35">
        <v>39.670399000000003</v>
      </c>
      <c r="I35">
        <v>36.717177999999997</v>
      </c>
      <c r="J35">
        <v>36.535248000000003</v>
      </c>
      <c r="K35">
        <v>36.814959999999999</v>
      </c>
      <c r="L35">
        <v>37.285933999999997</v>
      </c>
      <c r="M35">
        <v>38.057724</v>
      </c>
      <c r="N35">
        <v>38.703879999999998</v>
      </c>
      <c r="O35">
        <v>39.740459000000001</v>
      </c>
      <c r="P35">
        <v>40.098030000000001</v>
      </c>
      <c r="Q35">
        <v>40.153744000000003</v>
      </c>
      <c r="R35">
        <v>40.057586999999998</v>
      </c>
      <c r="S35">
        <v>39.782898000000003</v>
      </c>
      <c r="T35">
        <v>40.155929999999998</v>
      </c>
      <c r="U35">
        <v>39.589663999999999</v>
      </c>
      <c r="V35">
        <v>39.300086999999998</v>
      </c>
      <c r="W35">
        <v>39.269657000000002</v>
      </c>
      <c r="X35">
        <v>39.614471000000002</v>
      </c>
      <c r="Y35">
        <v>39.822304000000003</v>
      </c>
      <c r="Z35">
        <v>40.184520999999997</v>
      </c>
      <c r="AA35">
        <v>40.372889999999998</v>
      </c>
      <c r="AB35">
        <v>40.537703999999998</v>
      </c>
      <c r="AC35">
        <v>40.491599999999998</v>
      </c>
      <c r="AD35">
        <v>41.027617999999997</v>
      </c>
      <c r="AE35">
        <v>41.285617999999999</v>
      </c>
      <c r="AF35">
        <v>41.592472000000001</v>
      </c>
      <c r="AG35" s="31">
        <v>-1E-3</v>
      </c>
    </row>
    <row r="36" spans="1:33" x14ac:dyDescent="0.25">
      <c r="A36" t="s">
        <v>300</v>
      </c>
    </row>
    <row r="37" spans="1:33" x14ac:dyDescent="0.25">
      <c r="A37" t="s">
        <v>74</v>
      </c>
      <c r="B37" t="s">
        <v>481</v>
      </c>
      <c r="C37" t="s">
        <v>482</v>
      </c>
      <c r="D37" t="s">
        <v>427</v>
      </c>
      <c r="F37">
        <v>26.137505000000001</v>
      </c>
      <c r="G37">
        <v>24.653458000000001</v>
      </c>
      <c r="H37">
        <v>23.463963</v>
      </c>
      <c r="I37">
        <v>22.977613000000002</v>
      </c>
      <c r="J37">
        <v>22.593882000000001</v>
      </c>
      <c r="K37">
        <v>22.342915000000001</v>
      </c>
      <c r="L37">
        <v>22.213256999999999</v>
      </c>
      <c r="M37">
        <v>22.156206000000001</v>
      </c>
      <c r="N37">
        <v>22.726322</v>
      </c>
      <c r="O37">
        <v>23.003592000000001</v>
      </c>
      <c r="P37">
        <v>23.077461</v>
      </c>
      <c r="Q37">
        <v>23.249807000000001</v>
      </c>
      <c r="R37">
        <v>23.280719999999999</v>
      </c>
      <c r="S37">
        <v>23.521409999999999</v>
      </c>
      <c r="T37">
        <v>23.668085000000001</v>
      </c>
      <c r="U37">
        <v>23.751266000000001</v>
      </c>
      <c r="V37">
        <v>23.886725999999999</v>
      </c>
      <c r="W37">
        <v>24.176956000000001</v>
      </c>
      <c r="X37">
        <v>24.404095000000002</v>
      </c>
      <c r="Y37">
        <v>24.709990999999999</v>
      </c>
      <c r="Z37">
        <v>25.257483000000001</v>
      </c>
      <c r="AA37">
        <v>25.158950999999998</v>
      </c>
      <c r="AB37">
        <v>25.341908</v>
      </c>
      <c r="AC37">
        <v>25.316825999999999</v>
      </c>
      <c r="AD37">
        <v>25.294249000000001</v>
      </c>
      <c r="AE37">
        <v>25.372868</v>
      </c>
      <c r="AF37">
        <v>25.729799</v>
      </c>
      <c r="AG37" s="31">
        <v>-1E-3</v>
      </c>
    </row>
    <row r="38" spans="1:33" x14ac:dyDescent="0.25">
      <c r="A38" t="s">
        <v>109</v>
      </c>
      <c r="B38" t="s">
        <v>483</v>
      </c>
      <c r="C38" t="s">
        <v>484</v>
      </c>
      <c r="D38" t="s">
        <v>427</v>
      </c>
      <c r="F38">
        <v>17.394409</v>
      </c>
      <c r="G38">
        <v>13.672506</v>
      </c>
      <c r="H38">
        <v>13.615168000000001</v>
      </c>
      <c r="I38">
        <v>14.296899</v>
      </c>
      <c r="J38">
        <v>15.031580999999999</v>
      </c>
      <c r="K38">
        <v>15.753064999999999</v>
      </c>
      <c r="L38">
        <v>16.474405000000001</v>
      </c>
      <c r="M38">
        <v>16.627272000000001</v>
      </c>
      <c r="N38">
        <v>16.536289</v>
      </c>
      <c r="O38">
        <v>16.771885000000001</v>
      </c>
      <c r="P38">
        <v>16.909727</v>
      </c>
      <c r="Q38">
        <v>17.088612000000001</v>
      </c>
      <c r="R38">
        <v>17.157686000000002</v>
      </c>
      <c r="S38">
        <v>17.269447</v>
      </c>
      <c r="T38">
        <v>17.398417999999999</v>
      </c>
      <c r="U38">
        <v>17.408293</v>
      </c>
      <c r="V38">
        <v>17.490879</v>
      </c>
      <c r="W38">
        <v>17.551632000000001</v>
      </c>
      <c r="X38">
        <v>17.536397999999998</v>
      </c>
      <c r="Y38">
        <v>17.589537</v>
      </c>
      <c r="Z38">
        <v>17.510019</v>
      </c>
      <c r="AA38">
        <v>16.884665999999999</v>
      </c>
      <c r="AB38">
        <v>17.201757000000001</v>
      </c>
      <c r="AC38">
        <v>17.213936</v>
      </c>
      <c r="AD38">
        <v>17.253026999999999</v>
      </c>
      <c r="AE38">
        <v>17.380193999999999</v>
      </c>
      <c r="AF38">
        <v>17.916069</v>
      </c>
      <c r="AG38" s="31">
        <v>1E-3</v>
      </c>
    </row>
    <row r="39" spans="1:33" x14ac:dyDescent="0.25">
      <c r="A39" t="s">
        <v>80</v>
      </c>
      <c r="B39" t="s">
        <v>485</v>
      </c>
      <c r="C39" t="s">
        <v>486</v>
      </c>
      <c r="D39" t="s">
        <v>427</v>
      </c>
      <c r="F39">
        <v>2.7193990000000001</v>
      </c>
      <c r="G39">
        <v>3.1315059999999999</v>
      </c>
      <c r="H39">
        <v>3.0684640000000001</v>
      </c>
      <c r="I39">
        <v>2.9966029999999999</v>
      </c>
      <c r="J39">
        <v>3.1260400000000002</v>
      </c>
      <c r="K39">
        <v>3.327426</v>
      </c>
      <c r="L39">
        <v>3.6037560000000002</v>
      </c>
      <c r="M39">
        <v>3.695694</v>
      </c>
      <c r="N39">
        <v>4.1973380000000002</v>
      </c>
      <c r="O39">
        <v>4.5079750000000001</v>
      </c>
      <c r="P39">
        <v>4.7178760000000004</v>
      </c>
      <c r="Q39">
        <v>4.7893610000000004</v>
      </c>
      <c r="R39">
        <v>4.7844800000000003</v>
      </c>
      <c r="S39">
        <v>4.7496289999999997</v>
      </c>
      <c r="T39">
        <v>4.7156019999999996</v>
      </c>
      <c r="U39">
        <v>4.6599690000000002</v>
      </c>
      <c r="V39">
        <v>4.690855</v>
      </c>
      <c r="W39">
        <v>4.7695309999999997</v>
      </c>
      <c r="X39">
        <v>4.8422320000000001</v>
      </c>
      <c r="Y39">
        <v>4.9293820000000004</v>
      </c>
      <c r="Z39">
        <v>5.0147890000000004</v>
      </c>
      <c r="AA39">
        <v>5.0595720000000002</v>
      </c>
      <c r="AB39">
        <v>5.1165130000000003</v>
      </c>
      <c r="AC39">
        <v>5.124822</v>
      </c>
      <c r="AD39">
        <v>5.147723</v>
      </c>
      <c r="AE39">
        <v>5.2176600000000004</v>
      </c>
      <c r="AF39">
        <v>5.2976159999999997</v>
      </c>
      <c r="AG39" s="31">
        <v>2.5999999999999999E-2</v>
      </c>
    </row>
    <row r="40" spans="1:33" x14ac:dyDescent="0.25">
      <c r="A40" t="s">
        <v>309</v>
      </c>
      <c r="B40" t="s">
        <v>487</v>
      </c>
      <c r="C40" t="s">
        <v>488</v>
      </c>
      <c r="D40" t="s">
        <v>427</v>
      </c>
      <c r="F40">
        <v>2.4893969999999999</v>
      </c>
      <c r="G40">
        <v>2.4274149999999999</v>
      </c>
      <c r="H40">
        <v>2.375483</v>
      </c>
      <c r="I40">
        <v>2.326139</v>
      </c>
      <c r="J40">
        <v>2.2264949999999999</v>
      </c>
      <c r="K40">
        <v>2.2267220000000001</v>
      </c>
      <c r="L40">
        <v>2.2478660000000001</v>
      </c>
      <c r="M40">
        <v>2.217924</v>
      </c>
      <c r="N40">
        <v>2.1491030000000002</v>
      </c>
      <c r="O40">
        <v>2.1529609999999999</v>
      </c>
      <c r="P40">
        <v>2.1390929999999999</v>
      </c>
      <c r="Q40">
        <v>2.125588</v>
      </c>
      <c r="R40">
        <v>2.125613</v>
      </c>
      <c r="S40">
        <v>2.15652</v>
      </c>
      <c r="T40">
        <v>2.152304</v>
      </c>
      <c r="U40">
        <v>2.213794</v>
      </c>
      <c r="V40">
        <v>2.2108289999999999</v>
      </c>
      <c r="W40">
        <v>2.2080869999999999</v>
      </c>
      <c r="X40">
        <v>2.206623</v>
      </c>
      <c r="Y40">
        <v>2.2074280000000002</v>
      </c>
      <c r="Z40">
        <v>2.207163</v>
      </c>
      <c r="AA40">
        <v>2.1960950000000001</v>
      </c>
      <c r="AB40">
        <v>1.8879729999999999</v>
      </c>
      <c r="AC40">
        <v>2.1783440000000001</v>
      </c>
      <c r="AD40">
        <v>2.178153</v>
      </c>
      <c r="AE40">
        <v>2.1954959999999999</v>
      </c>
      <c r="AF40">
        <v>2.1921119999999998</v>
      </c>
      <c r="AG40" s="31">
        <v>-5.0000000000000001E-3</v>
      </c>
    </row>
    <row r="41" spans="1:33" s="34" customFormat="1" x14ac:dyDescent="0.25">
      <c r="A41" s="34" t="s">
        <v>489</v>
      </c>
      <c r="B41" s="34" t="s">
        <v>490</v>
      </c>
      <c r="C41" s="34" t="s">
        <v>491</v>
      </c>
      <c r="D41" s="34" t="s">
        <v>427</v>
      </c>
      <c r="F41" s="34">
        <v>0.753328</v>
      </c>
      <c r="G41" s="34">
        <v>0.75326199999999999</v>
      </c>
      <c r="H41" s="34">
        <v>0.75318600000000002</v>
      </c>
      <c r="I41" s="34">
        <v>0.75312100000000004</v>
      </c>
      <c r="J41" s="34">
        <v>0.75305599999999995</v>
      </c>
      <c r="K41" s="34">
        <v>0.75297999999999998</v>
      </c>
      <c r="L41" s="34">
        <v>0.752915</v>
      </c>
      <c r="M41" s="34">
        <v>0.75283800000000001</v>
      </c>
      <c r="N41" s="34">
        <v>0.75277300000000003</v>
      </c>
      <c r="O41" s="34">
        <v>0.75270800000000004</v>
      </c>
      <c r="P41" s="34">
        <v>0.75263199999999997</v>
      </c>
      <c r="Q41" s="34">
        <v>0.75256699999999999</v>
      </c>
      <c r="R41" s="34">
        <v>0.75249100000000002</v>
      </c>
      <c r="S41" s="34">
        <v>0.75242500000000001</v>
      </c>
      <c r="T41" s="34">
        <v>0.75236000000000003</v>
      </c>
      <c r="U41" s="34">
        <v>0.75228399999999995</v>
      </c>
      <c r="V41" s="34">
        <v>0.75221899999999997</v>
      </c>
      <c r="W41" s="34">
        <v>0.75215399999999999</v>
      </c>
      <c r="X41" s="34">
        <v>0.75207800000000002</v>
      </c>
      <c r="Y41" s="34">
        <v>0.75201200000000001</v>
      </c>
      <c r="Z41" s="34">
        <v>0.75193600000000005</v>
      </c>
      <c r="AA41" s="34">
        <v>0.75187099999999996</v>
      </c>
      <c r="AB41" s="34">
        <v>0.75180599999999997</v>
      </c>
      <c r="AC41" s="34">
        <v>0.75173000000000001</v>
      </c>
      <c r="AD41" s="34">
        <v>0.75166500000000003</v>
      </c>
      <c r="AE41" s="34">
        <v>0.75159900000000002</v>
      </c>
      <c r="AF41" s="34">
        <v>0.75152300000000005</v>
      </c>
      <c r="AG41" s="35">
        <v>0</v>
      </c>
    </row>
    <row r="42" spans="1:33" x14ac:dyDescent="0.25">
      <c r="A42" t="s">
        <v>173</v>
      </c>
      <c r="B42" t="s">
        <v>492</v>
      </c>
      <c r="C42" t="s">
        <v>493</v>
      </c>
      <c r="D42" t="s">
        <v>427</v>
      </c>
      <c r="F42">
        <v>9.5338750000000001</v>
      </c>
      <c r="G42">
        <v>10.619709</v>
      </c>
      <c r="H42">
        <v>10.514131000000001</v>
      </c>
      <c r="I42">
        <v>10.426125000000001</v>
      </c>
      <c r="J42">
        <v>10.557919999999999</v>
      </c>
      <c r="K42">
        <v>10.787679000000001</v>
      </c>
      <c r="L42">
        <v>11.065716</v>
      </c>
      <c r="M42">
        <v>11.319675999999999</v>
      </c>
      <c r="N42">
        <v>13.518750000000001</v>
      </c>
      <c r="O42">
        <v>13.970348</v>
      </c>
      <c r="P42">
        <v>14.314136</v>
      </c>
      <c r="Q42">
        <v>12.666781</v>
      </c>
      <c r="R42">
        <v>12.616203000000001</v>
      </c>
      <c r="S42">
        <v>12.533028</v>
      </c>
      <c r="T42">
        <v>12.742198999999999</v>
      </c>
      <c r="U42">
        <v>12.812290000000001</v>
      </c>
      <c r="V42">
        <v>12.800770999999999</v>
      </c>
      <c r="W42">
        <v>12.675635</v>
      </c>
      <c r="X42">
        <v>12.587033</v>
      </c>
      <c r="Y42">
        <v>12.651852999999999</v>
      </c>
      <c r="Z42">
        <v>12.824852</v>
      </c>
      <c r="AA42">
        <v>12.7927</v>
      </c>
      <c r="AB42">
        <v>12.813029</v>
      </c>
      <c r="AC42">
        <v>12.789707999999999</v>
      </c>
      <c r="AD42">
        <v>12.823941</v>
      </c>
      <c r="AE42">
        <v>12.685263000000001</v>
      </c>
      <c r="AF42">
        <v>12.783066</v>
      </c>
      <c r="AG42" s="31">
        <v>1.0999999999999999E-2</v>
      </c>
    </row>
    <row r="43" spans="1:33" x14ac:dyDescent="0.25">
      <c r="A43" t="s">
        <v>494</v>
      </c>
    </row>
    <row r="44" spans="1:33" x14ac:dyDescent="0.25">
      <c r="A44" t="s">
        <v>70</v>
      </c>
      <c r="B44" t="s">
        <v>495</v>
      </c>
      <c r="C44" t="s">
        <v>496</v>
      </c>
      <c r="D44" t="s">
        <v>427</v>
      </c>
      <c r="F44">
        <v>23.109310000000001</v>
      </c>
      <c r="G44">
        <v>21.964592</v>
      </c>
      <c r="H44">
        <v>22.480608</v>
      </c>
      <c r="I44">
        <v>22.283079000000001</v>
      </c>
      <c r="J44">
        <v>22.302741999999999</v>
      </c>
      <c r="K44">
        <v>22.505547</v>
      </c>
      <c r="L44">
        <v>22.995273999999998</v>
      </c>
      <c r="M44">
        <v>23.450838000000001</v>
      </c>
      <c r="N44">
        <v>24.190058000000001</v>
      </c>
      <c r="O44">
        <v>25.158035000000002</v>
      </c>
      <c r="P44">
        <v>25.926409</v>
      </c>
      <c r="Q44">
        <v>26.374306000000001</v>
      </c>
      <c r="R44">
        <v>26.676216</v>
      </c>
      <c r="S44">
        <v>26.850521000000001</v>
      </c>
      <c r="T44">
        <v>26.875446</v>
      </c>
      <c r="U44">
        <v>26.872548999999999</v>
      </c>
      <c r="V44">
        <v>26.942243999999999</v>
      </c>
      <c r="W44">
        <v>27.150986</v>
      </c>
      <c r="X44">
        <v>27.332553999999998</v>
      </c>
      <c r="Y44">
        <v>27.645765000000001</v>
      </c>
      <c r="Z44">
        <v>28.068441</v>
      </c>
      <c r="AA44">
        <v>28.264816</v>
      </c>
      <c r="AB44">
        <v>28.419423999999999</v>
      </c>
      <c r="AC44">
        <v>28.458379999999998</v>
      </c>
      <c r="AD44">
        <v>28.523824999999999</v>
      </c>
      <c r="AE44">
        <v>28.746887000000001</v>
      </c>
      <c r="AF44">
        <v>29.245407</v>
      </c>
      <c r="AG44" s="31">
        <v>8.9999999999999993E-3</v>
      </c>
    </row>
    <row r="45" spans="1:33" x14ac:dyDescent="0.25">
      <c r="A45" t="s">
        <v>463</v>
      </c>
      <c r="B45" t="s">
        <v>497</v>
      </c>
      <c r="C45" t="s">
        <v>498</v>
      </c>
      <c r="D45" t="s">
        <v>427</v>
      </c>
      <c r="F45">
        <v>28.823729</v>
      </c>
      <c r="G45">
        <v>28.93619</v>
      </c>
      <c r="H45">
        <v>30.221819</v>
      </c>
      <c r="I45">
        <v>29.874351999999998</v>
      </c>
      <c r="J45">
        <v>29.356659000000001</v>
      </c>
      <c r="K45">
        <v>28.412942999999999</v>
      </c>
      <c r="L45">
        <v>28.414833000000002</v>
      </c>
      <c r="M45">
        <v>28.528874999999999</v>
      </c>
      <c r="N45">
        <v>28.297775000000001</v>
      </c>
      <c r="O45">
        <v>28.022879</v>
      </c>
      <c r="P45">
        <v>27.970562000000001</v>
      </c>
      <c r="Q45">
        <v>27.737435999999999</v>
      </c>
      <c r="R45">
        <v>27.879840999999999</v>
      </c>
      <c r="S45">
        <v>27.706806</v>
      </c>
      <c r="T45">
        <v>27.335273999999998</v>
      </c>
      <c r="U45">
        <v>27.221582000000001</v>
      </c>
      <c r="V45">
        <v>26.936087000000001</v>
      </c>
      <c r="W45">
        <v>26.624407000000001</v>
      </c>
      <c r="X45">
        <v>26.243463999999999</v>
      </c>
      <c r="Y45">
        <v>26.249161000000001</v>
      </c>
      <c r="Z45">
        <v>24.929925999999998</v>
      </c>
      <c r="AA45">
        <v>24.592495</v>
      </c>
      <c r="AB45">
        <v>24.796230000000001</v>
      </c>
      <c r="AC45">
        <v>24.925063999999999</v>
      </c>
      <c r="AD45">
        <v>24.988291</v>
      </c>
      <c r="AE45">
        <v>25.141323</v>
      </c>
      <c r="AF45">
        <v>25.433138</v>
      </c>
      <c r="AG45" s="31">
        <v>-5.0000000000000001E-3</v>
      </c>
    </row>
    <row r="46" spans="1:33" x14ac:dyDescent="0.25">
      <c r="A46" t="s">
        <v>101</v>
      </c>
      <c r="B46" t="s">
        <v>499</v>
      </c>
      <c r="C46" t="s">
        <v>500</v>
      </c>
      <c r="D46" t="s">
        <v>427</v>
      </c>
      <c r="F46">
        <v>28.684215999999999</v>
      </c>
      <c r="G46">
        <v>27.125783999999999</v>
      </c>
      <c r="H46">
        <v>25.527933000000001</v>
      </c>
      <c r="I46">
        <v>25.03182</v>
      </c>
      <c r="J46">
        <v>24.761021</v>
      </c>
      <c r="K46">
        <v>24.469919000000001</v>
      </c>
      <c r="L46">
        <v>24.496486999999998</v>
      </c>
      <c r="M46">
        <v>24.505796</v>
      </c>
      <c r="N46">
        <v>24.326532</v>
      </c>
      <c r="O46">
        <v>24.183600999999999</v>
      </c>
      <c r="P46">
        <v>24.129673</v>
      </c>
      <c r="Q46">
        <v>23.928678999999999</v>
      </c>
      <c r="R46">
        <v>24.057279999999999</v>
      </c>
      <c r="S46">
        <v>23.911494999999999</v>
      </c>
      <c r="T46">
        <v>23.600750000000001</v>
      </c>
      <c r="U46">
        <v>23.475494000000001</v>
      </c>
      <c r="V46">
        <v>23.218733</v>
      </c>
      <c r="W46">
        <v>22.958653999999999</v>
      </c>
      <c r="X46">
        <v>22.629124000000001</v>
      </c>
      <c r="Y46">
        <v>22.653288</v>
      </c>
      <c r="Z46">
        <v>21.528265000000001</v>
      </c>
      <c r="AA46">
        <v>21.244183</v>
      </c>
      <c r="AB46">
        <v>21.421278000000001</v>
      </c>
      <c r="AC46">
        <v>21.532544999999999</v>
      </c>
      <c r="AD46">
        <v>21.580334000000001</v>
      </c>
      <c r="AE46">
        <v>21.704536000000001</v>
      </c>
      <c r="AF46">
        <v>21.945274000000001</v>
      </c>
      <c r="AG46" s="31">
        <v>-0.01</v>
      </c>
    </row>
    <row r="47" spans="1:33" x14ac:dyDescent="0.25">
      <c r="A47" t="s">
        <v>196</v>
      </c>
      <c r="B47" t="s">
        <v>501</v>
      </c>
      <c r="C47" t="s">
        <v>502</v>
      </c>
      <c r="D47" t="s">
        <v>427</v>
      </c>
      <c r="F47">
        <v>17.638923999999999</v>
      </c>
      <c r="G47">
        <v>16.395</v>
      </c>
      <c r="H47">
        <v>16.197346</v>
      </c>
      <c r="I47">
        <v>16.576864</v>
      </c>
      <c r="J47">
        <v>17.167725000000001</v>
      </c>
      <c r="K47">
        <v>17.774681000000001</v>
      </c>
      <c r="L47">
        <v>18.432444</v>
      </c>
      <c r="M47">
        <v>18.550699000000002</v>
      </c>
      <c r="N47">
        <v>18.432102</v>
      </c>
      <c r="O47">
        <v>18.750156</v>
      </c>
      <c r="P47">
        <v>18.878136000000001</v>
      </c>
      <c r="Q47">
        <v>19.088031999999998</v>
      </c>
      <c r="R47">
        <v>19.162302</v>
      </c>
      <c r="S47">
        <v>19.413188999999999</v>
      </c>
      <c r="T47">
        <v>19.636925000000002</v>
      </c>
      <c r="U47">
        <v>19.743241999999999</v>
      </c>
      <c r="V47">
        <v>19.910463</v>
      </c>
      <c r="W47">
        <v>20.238554000000001</v>
      </c>
      <c r="X47">
        <v>20.505775</v>
      </c>
      <c r="Y47">
        <v>20.876812000000001</v>
      </c>
      <c r="Z47">
        <v>21.614871999999998</v>
      </c>
      <c r="AA47">
        <v>21.580615999999999</v>
      </c>
      <c r="AB47">
        <v>21.698483</v>
      </c>
      <c r="AC47">
        <v>21.705061000000001</v>
      </c>
      <c r="AD47">
        <v>21.706541000000001</v>
      </c>
      <c r="AE47">
        <v>21.788584</v>
      </c>
      <c r="AF47">
        <v>22.195864</v>
      </c>
      <c r="AG47" s="31">
        <v>8.9999999999999993E-3</v>
      </c>
    </row>
    <row r="48" spans="1:33" x14ac:dyDescent="0.25">
      <c r="A48" t="s">
        <v>74</v>
      </c>
      <c r="B48" t="s">
        <v>503</v>
      </c>
      <c r="C48" t="s">
        <v>504</v>
      </c>
      <c r="D48" t="s">
        <v>427</v>
      </c>
      <c r="F48">
        <v>27.012423999999999</v>
      </c>
      <c r="G48">
        <v>25.364977</v>
      </c>
      <c r="H48">
        <v>24.694890999999998</v>
      </c>
      <c r="I48">
        <v>24.642531999999999</v>
      </c>
      <c r="J48">
        <v>24.802451999999999</v>
      </c>
      <c r="K48">
        <v>24.999389999999998</v>
      </c>
      <c r="L48">
        <v>25.230318</v>
      </c>
      <c r="M48">
        <v>25.263414000000001</v>
      </c>
      <c r="N48">
        <v>25.132090000000002</v>
      </c>
      <c r="O48">
        <v>25.445630999999999</v>
      </c>
      <c r="P48">
        <v>25.545442999999999</v>
      </c>
      <c r="Q48">
        <v>25.775818000000001</v>
      </c>
      <c r="R48">
        <v>25.891037000000001</v>
      </c>
      <c r="S48">
        <v>26.145451000000001</v>
      </c>
      <c r="T48">
        <v>26.220837</v>
      </c>
      <c r="U48">
        <v>26.325562000000001</v>
      </c>
      <c r="V48">
        <v>26.498985000000001</v>
      </c>
      <c r="W48">
        <v>26.760344</v>
      </c>
      <c r="X48">
        <v>26.992342000000001</v>
      </c>
      <c r="Y48">
        <v>27.287763999999999</v>
      </c>
      <c r="Z48">
        <v>27.935396000000001</v>
      </c>
      <c r="AA48">
        <v>27.836829999999999</v>
      </c>
      <c r="AB48">
        <v>27.914089000000001</v>
      </c>
      <c r="AC48">
        <v>27.861571999999999</v>
      </c>
      <c r="AD48">
        <v>27.845043</v>
      </c>
      <c r="AE48">
        <v>27.861699999999999</v>
      </c>
      <c r="AF48">
        <v>28.192115999999999</v>
      </c>
      <c r="AG48" s="31">
        <v>2E-3</v>
      </c>
    </row>
    <row r="49" spans="1:33" x14ac:dyDescent="0.25">
      <c r="A49" t="s">
        <v>109</v>
      </c>
      <c r="B49" t="s">
        <v>505</v>
      </c>
      <c r="C49" t="s">
        <v>506</v>
      </c>
      <c r="D49" t="s">
        <v>427</v>
      </c>
      <c r="F49">
        <v>13.291615</v>
      </c>
      <c r="G49">
        <v>11.757444</v>
      </c>
      <c r="H49">
        <v>12.500851000000001</v>
      </c>
      <c r="I49">
        <v>12.559112000000001</v>
      </c>
      <c r="J49">
        <v>12.629519999999999</v>
      </c>
      <c r="K49">
        <v>12.751574</v>
      </c>
      <c r="L49">
        <v>12.895061999999999</v>
      </c>
      <c r="M49">
        <v>12.967169</v>
      </c>
      <c r="N49">
        <v>12.916404</v>
      </c>
      <c r="O49">
        <v>13.117395</v>
      </c>
      <c r="P49">
        <v>13.204977</v>
      </c>
      <c r="Q49">
        <v>13.33178</v>
      </c>
      <c r="R49">
        <v>13.382641</v>
      </c>
      <c r="S49">
        <v>13.467646999999999</v>
      </c>
      <c r="T49">
        <v>13.557985</v>
      </c>
      <c r="U49">
        <v>13.576983999999999</v>
      </c>
      <c r="V49">
        <v>13.653687</v>
      </c>
      <c r="W49">
        <v>13.738189999999999</v>
      </c>
      <c r="X49">
        <v>13.818034000000001</v>
      </c>
      <c r="Y49">
        <v>13.898581999999999</v>
      </c>
      <c r="Z49">
        <v>13.903964</v>
      </c>
      <c r="AA49">
        <v>13.700245000000001</v>
      </c>
      <c r="AB49">
        <v>13.939589</v>
      </c>
      <c r="AC49">
        <v>13.918885</v>
      </c>
      <c r="AD49">
        <v>13.937277999999999</v>
      </c>
      <c r="AE49">
        <v>14.026111</v>
      </c>
      <c r="AF49">
        <v>14.469602999999999</v>
      </c>
      <c r="AG49" s="31">
        <v>3.0000000000000001E-3</v>
      </c>
    </row>
    <row r="50" spans="1:33" x14ac:dyDescent="0.25">
      <c r="A50" t="s">
        <v>80</v>
      </c>
      <c r="B50" t="s">
        <v>507</v>
      </c>
      <c r="C50" t="s">
        <v>508</v>
      </c>
      <c r="D50" t="s">
        <v>427</v>
      </c>
      <c r="F50">
        <v>5.3580649999999999</v>
      </c>
      <c r="G50">
        <v>5.60745</v>
      </c>
      <c r="H50">
        <v>5.6034750000000004</v>
      </c>
      <c r="I50">
        <v>5.4294479999999998</v>
      </c>
      <c r="J50">
        <v>5.4805999999999999</v>
      </c>
      <c r="K50">
        <v>5.6002070000000002</v>
      </c>
      <c r="L50">
        <v>5.770124</v>
      </c>
      <c r="M50">
        <v>5.9057690000000003</v>
      </c>
      <c r="N50">
        <v>6.2428869999999996</v>
      </c>
      <c r="O50">
        <v>6.5919189999999999</v>
      </c>
      <c r="P50">
        <v>6.8338570000000001</v>
      </c>
      <c r="Q50">
        <v>6.9538739999999999</v>
      </c>
      <c r="R50">
        <v>6.9757639999999999</v>
      </c>
      <c r="S50">
        <v>6.9950450000000002</v>
      </c>
      <c r="T50">
        <v>6.9700819999999997</v>
      </c>
      <c r="U50">
        <v>6.9399220000000001</v>
      </c>
      <c r="V50">
        <v>6.9587669999999999</v>
      </c>
      <c r="W50">
        <v>7.0194299999999998</v>
      </c>
      <c r="X50">
        <v>7.0727370000000001</v>
      </c>
      <c r="Y50">
        <v>7.1323239999999997</v>
      </c>
      <c r="Z50">
        <v>7.1761679999999997</v>
      </c>
      <c r="AA50">
        <v>7.2163029999999999</v>
      </c>
      <c r="AB50">
        <v>7.258737</v>
      </c>
      <c r="AC50">
        <v>7.2563849999999999</v>
      </c>
      <c r="AD50">
        <v>7.26004</v>
      </c>
      <c r="AE50">
        <v>7.3098260000000002</v>
      </c>
      <c r="AF50">
        <v>7.375858</v>
      </c>
      <c r="AG50" s="31">
        <v>1.2E-2</v>
      </c>
    </row>
    <row r="51" spans="1:33" x14ac:dyDescent="0.25">
      <c r="A51" t="s">
        <v>156</v>
      </c>
      <c r="B51" t="s">
        <v>509</v>
      </c>
      <c r="C51" t="s">
        <v>510</v>
      </c>
      <c r="D51" t="s">
        <v>427</v>
      </c>
      <c r="F51">
        <v>7.7677550000000002</v>
      </c>
      <c r="G51">
        <v>7.639748</v>
      </c>
      <c r="H51">
        <v>7.5851480000000002</v>
      </c>
      <c r="I51">
        <v>7.555212</v>
      </c>
      <c r="J51">
        <v>7.520931</v>
      </c>
      <c r="K51">
        <v>7.5128259999999996</v>
      </c>
      <c r="L51">
        <v>7.5104439999999997</v>
      </c>
      <c r="M51">
        <v>7.515949</v>
      </c>
      <c r="N51">
        <v>7.5375909999999999</v>
      </c>
      <c r="O51">
        <v>7.5371670000000002</v>
      </c>
      <c r="P51">
        <v>7.4998899999999997</v>
      </c>
      <c r="Q51">
        <v>7.5180889999999998</v>
      </c>
      <c r="R51">
        <v>7.5179669999999996</v>
      </c>
      <c r="S51">
        <v>7.5155570000000003</v>
      </c>
      <c r="T51">
        <v>7.5172699999999999</v>
      </c>
      <c r="U51">
        <v>7.498265</v>
      </c>
      <c r="V51">
        <v>7.4962220000000004</v>
      </c>
      <c r="W51">
        <v>7.4669150000000002</v>
      </c>
      <c r="X51">
        <v>7.4610409999999998</v>
      </c>
      <c r="Y51">
        <v>7.4532319999999999</v>
      </c>
      <c r="Z51">
        <v>7.4581030000000004</v>
      </c>
      <c r="AA51">
        <v>7.4715109999999996</v>
      </c>
      <c r="AB51">
        <v>7.4675250000000002</v>
      </c>
      <c r="AC51">
        <v>7.46251</v>
      </c>
      <c r="AD51">
        <v>7.461265</v>
      </c>
      <c r="AE51">
        <v>7.4693670000000001</v>
      </c>
      <c r="AF51">
        <v>7.4669429999999997</v>
      </c>
      <c r="AG51" s="31">
        <v>-2E-3</v>
      </c>
    </row>
    <row r="52" spans="1:33" x14ac:dyDescent="0.25">
      <c r="A52" t="s">
        <v>276</v>
      </c>
      <c r="B52" t="s">
        <v>511</v>
      </c>
      <c r="C52" t="s">
        <v>512</v>
      </c>
      <c r="D52" t="s">
        <v>427</v>
      </c>
      <c r="F52">
        <v>2.5446469999999999</v>
      </c>
      <c r="G52">
        <v>2.490408</v>
      </c>
      <c r="H52">
        <v>2.4526680000000001</v>
      </c>
      <c r="I52">
        <v>2.423937</v>
      </c>
      <c r="J52">
        <v>2.3348629999999999</v>
      </c>
      <c r="K52">
        <v>2.3401779999999999</v>
      </c>
      <c r="L52">
        <v>2.3796339999999998</v>
      </c>
      <c r="M52">
        <v>2.359969</v>
      </c>
      <c r="N52">
        <v>2.6081590000000001</v>
      </c>
      <c r="O52">
        <v>2.6074830000000002</v>
      </c>
      <c r="P52">
        <v>2.6001780000000001</v>
      </c>
      <c r="Q52">
        <v>2.5967669999999998</v>
      </c>
      <c r="R52">
        <v>2.605588</v>
      </c>
      <c r="S52">
        <v>2.6410499999999999</v>
      </c>
      <c r="T52">
        <v>2.662963</v>
      </c>
      <c r="U52">
        <v>2.9923799999999998</v>
      </c>
      <c r="V52">
        <v>2.989484</v>
      </c>
      <c r="W52">
        <v>2.9808520000000001</v>
      </c>
      <c r="X52">
        <v>2.9730889999999999</v>
      </c>
      <c r="Y52">
        <v>2.9714140000000002</v>
      </c>
      <c r="Z52">
        <v>2.9760249999999999</v>
      </c>
      <c r="AA52">
        <v>2.999393</v>
      </c>
      <c r="AB52">
        <v>3.2574450000000001</v>
      </c>
      <c r="AC52">
        <v>3.2937460000000001</v>
      </c>
      <c r="AD52">
        <v>3.29155</v>
      </c>
      <c r="AE52">
        <v>3.3019259999999999</v>
      </c>
      <c r="AF52">
        <v>3.304214</v>
      </c>
      <c r="AG52" s="31">
        <v>0.01</v>
      </c>
    </row>
    <row r="53" spans="1:33" x14ac:dyDescent="0.25">
      <c r="A53" t="s">
        <v>173</v>
      </c>
      <c r="B53" t="s">
        <v>513</v>
      </c>
      <c r="C53" t="s">
        <v>514</v>
      </c>
      <c r="D53" t="s">
        <v>427</v>
      </c>
      <c r="F53">
        <v>9.5735130000000002</v>
      </c>
      <c r="G53">
        <v>10.759744</v>
      </c>
      <c r="H53">
        <v>10.814753</v>
      </c>
      <c r="I53">
        <v>10.970606999999999</v>
      </c>
      <c r="J53">
        <v>11.467427000000001</v>
      </c>
      <c r="K53">
        <v>12.125462000000001</v>
      </c>
      <c r="L53">
        <v>12.869673000000001</v>
      </c>
      <c r="M53">
        <v>14.186323</v>
      </c>
      <c r="N53">
        <v>16.708950000000002</v>
      </c>
      <c r="O53">
        <v>19.089088</v>
      </c>
      <c r="P53">
        <v>20.999569000000001</v>
      </c>
      <c r="Q53">
        <v>22.460647999999999</v>
      </c>
      <c r="R53">
        <v>23.549911000000002</v>
      </c>
      <c r="S53">
        <v>24.492125999999999</v>
      </c>
      <c r="T53">
        <v>25.62182</v>
      </c>
      <c r="U53">
        <v>26.518491999999998</v>
      </c>
      <c r="V53">
        <v>27.252635999999999</v>
      </c>
      <c r="W53">
        <v>27.774516999999999</v>
      </c>
      <c r="X53">
        <v>28.247319999999998</v>
      </c>
      <c r="Y53">
        <v>28.807552000000001</v>
      </c>
      <c r="Z53">
        <v>29.432905000000002</v>
      </c>
      <c r="AA53">
        <v>29.795622000000002</v>
      </c>
      <c r="AB53">
        <v>30.212788</v>
      </c>
      <c r="AC53">
        <v>30.486049999999999</v>
      </c>
      <c r="AD53">
        <v>30.778925000000001</v>
      </c>
      <c r="AE53">
        <v>30.779464999999998</v>
      </c>
      <c r="AF53">
        <v>31.056328000000001</v>
      </c>
      <c r="AG53" s="31">
        <v>4.5999999999999999E-2</v>
      </c>
    </row>
    <row r="54" spans="1:33" x14ac:dyDescent="0.25">
      <c r="A54" t="s">
        <v>432</v>
      </c>
      <c r="B54" t="s">
        <v>515</v>
      </c>
      <c r="C54" t="s">
        <v>516</v>
      </c>
      <c r="D54" t="s">
        <v>427</v>
      </c>
      <c r="F54">
        <v>38.098598000000003</v>
      </c>
      <c r="G54">
        <v>37.333973</v>
      </c>
      <c r="H54">
        <v>34.881782999999999</v>
      </c>
      <c r="I54">
        <v>33.049328000000003</v>
      </c>
      <c r="J54">
        <v>32.874008000000003</v>
      </c>
      <c r="K54">
        <v>33.237839000000001</v>
      </c>
      <c r="L54">
        <v>33.692875000000001</v>
      </c>
      <c r="M54">
        <v>34.296565999999999</v>
      </c>
      <c r="N54">
        <v>34.825642000000002</v>
      </c>
      <c r="O54">
        <v>35.589108000000003</v>
      </c>
      <c r="P54">
        <v>35.82687</v>
      </c>
      <c r="Q54">
        <v>35.637053999999999</v>
      </c>
      <c r="R54">
        <v>35.304625999999999</v>
      </c>
      <c r="S54">
        <v>35.029667000000003</v>
      </c>
      <c r="T54">
        <v>35.204475000000002</v>
      </c>
      <c r="U54">
        <v>34.977581000000001</v>
      </c>
      <c r="V54">
        <v>34.870109999999997</v>
      </c>
      <c r="W54">
        <v>34.885917999999997</v>
      </c>
      <c r="X54">
        <v>35.053294999999999</v>
      </c>
      <c r="Y54">
        <v>35.213996999999999</v>
      </c>
      <c r="Z54">
        <v>35.421429000000003</v>
      </c>
      <c r="AA54">
        <v>35.584679000000001</v>
      </c>
      <c r="AB54">
        <v>35.760863999999998</v>
      </c>
      <c r="AC54">
        <v>35.860970000000002</v>
      </c>
      <c r="AD54">
        <v>36.115451999999998</v>
      </c>
      <c r="AE54">
        <v>36.344898000000001</v>
      </c>
      <c r="AF54">
        <v>36.619953000000002</v>
      </c>
      <c r="AG54" s="31">
        <v>-2E-3</v>
      </c>
    </row>
    <row r="55" spans="1:33" x14ac:dyDescent="0.25">
      <c r="A55" t="s">
        <v>517</v>
      </c>
    </row>
    <row r="56" spans="1:33" x14ac:dyDescent="0.25">
      <c r="A56" t="s">
        <v>518</v>
      </c>
    </row>
    <row r="57" spans="1:33" x14ac:dyDescent="0.25">
      <c r="A57" t="s">
        <v>69</v>
      </c>
      <c r="B57" t="s">
        <v>519</v>
      </c>
      <c r="C57" t="s">
        <v>520</v>
      </c>
      <c r="D57" t="s">
        <v>521</v>
      </c>
      <c r="F57">
        <v>321.87133799999998</v>
      </c>
      <c r="G57">
        <v>315.88342299999999</v>
      </c>
      <c r="H57">
        <v>305.58065800000003</v>
      </c>
      <c r="I57">
        <v>296.62158199999999</v>
      </c>
      <c r="J57">
        <v>297.20977800000003</v>
      </c>
      <c r="K57">
        <v>300.82952899999998</v>
      </c>
      <c r="L57">
        <v>304.87982199999999</v>
      </c>
      <c r="M57">
        <v>310.57488999999998</v>
      </c>
      <c r="N57">
        <v>317.27093500000001</v>
      </c>
      <c r="O57">
        <v>326.10974099999999</v>
      </c>
      <c r="P57">
        <v>331.93753099999998</v>
      </c>
      <c r="Q57">
        <v>335.42114299999997</v>
      </c>
      <c r="R57">
        <v>337.75582900000001</v>
      </c>
      <c r="S57">
        <v>340.22045900000001</v>
      </c>
      <c r="T57">
        <v>345.05157500000001</v>
      </c>
      <c r="U57">
        <v>347.16873199999998</v>
      </c>
      <c r="V57">
        <v>350.45748900000001</v>
      </c>
      <c r="W57">
        <v>354.74896200000001</v>
      </c>
      <c r="X57">
        <v>359.830963</v>
      </c>
      <c r="Y57">
        <v>364.80816700000003</v>
      </c>
      <c r="Z57">
        <v>369.941711</v>
      </c>
      <c r="AA57">
        <v>374.44732699999997</v>
      </c>
      <c r="AB57">
        <v>379.10900900000001</v>
      </c>
      <c r="AC57">
        <v>382.828217</v>
      </c>
      <c r="AD57">
        <v>387.42388899999997</v>
      </c>
      <c r="AE57">
        <v>392.04144300000002</v>
      </c>
      <c r="AF57">
        <v>397.16125499999998</v>
      </c>
      <c r="AG57" s="31">
        <v>8.0000000000000002E-3</v>
      </c>
    </row>
    <row r="58" spans="1:33" x14ac:dyDescent="0.25">
      <c r="A58" t="s">
        <v>98</v>
      </c>
      <c r="B58" t="s">
        <v>522</v>
      </c>
      <c r="C58" t="s">
        <v>523</v>
      </c>
      <c r="D58" t="s">
        <v>521</v>
      </c>
      <c r="F58">
        <v>241.12788399999999</v>
      </c>
      <c r="G58">
        <v>237.06463600000001</v>
      </c>
      <c r="H58">
        <v>224.326843</v>
      </c>
      <c r="I58">
        <v>216.67044100000001</v>
      </c>
      <c r="J58">
        <v>218.15339700000001</v>
      </c>
      <c r="K58">
        <v>223.83767700000001</v>
      </c>
      <c r="L58">
        <v>230.04020700000001</v>
      </c>
      <c r="M58">
        <v>237.12822</v>
      </c>
      <c r="N58">
        <v>245.249008</v>
      </c>
      <c r="O58">
        <v>254.96646100000001</v>
      </c>
      <c r="P58">
        <v>262.06677200000001</v>
      </c>
      <c r="Q58">
        <v>266.73019399999998</v>
      </c>
      <c r="R58">
        <v>270.46621699999997</v>
      </c>
      <c r="S58">
        <v>274.20632899999998</v>
      </c>
      <c r="T58">
        <v>280.46322600000002</v>
      </c>
      <c r="U58">
        <v>283.60974099999999</v>
      </c>
      <c r="V58">
        <v>287.87075800000002</v>
      </c>
      <c r="W58">
        <v>293.21572900000001</v>
      </c>
      <c r="X58">
        <v>299.31854199999998</v>
      </c>
      <c r="Y58">
        <v>305.49679600000002</v>
      </c>
      <c r="Z58">
        <v>311.30548099999999</v>
      </c>
      <c r="AA58">
        <v>317.04187000000002</v>
      </c>
      <c r="AB58">
        <v>323.19622800000002</v>
      </c>
      <c r="AC58">
        <v>328.30465700000002</v>
      </c>
      <c r="AD58">
        <v>334.83004799999998</v>
      </c>
      <c r="AE58">
        <v>341.48095699999999</v>
      </c>
      <c r="AF58">
        <v>348.67666600000001</v>
      </c>
      <c r="AG58" s="31">
        <v>1.4E-2</v>
      </c>
    </row>
    <row r="59" spans="1:33" x14ac:dyDescent="0.25">
      <c r="A59" t="s">
        <v>130</v>
      </c>
      <c r="B59" t="s">
        <v>524</v>
      </c>
      <c r="C59" t="s">
        <v>525</v>
      </c>
      <c r="D59" t="s">
        <v>521</v>
      </c>
      <c r="F59">
        <v>225.60749799999999</v>
      </c>
      <c r="G59">
        <v>228.663712</v>
      </c>
      <c r="H59">
        <v>224.17224100000001</v>
      </c>
      <c r="I59">
        <v>218.50401299999999</v>
      </c>
      <c r="J59">
        <v>219.97305299999999</v>
      </c>
      <c r="K59">
        <v>224.779404</v>
      </c>
      <c r="L59">
        <v>232.18533300000001</v>
      </c>
      <c r="M59">
        <v>239.67704800000001</v>
      </c>
      <c r="N59">
        <v>251.39009100000001</v>
      </c>
      <c r="O59">
        <v>263.95074499999998</v>
      </c>
      <c r="P59">
        <v>272.88592499999999</v>
      </c>
      <c r="Q59">
        <v>277.752747</v>
      </c>
      <c r="R59">
        <v>280.54141199999998</v>
      </c>
      <c r="S59">
        <v>282.84789999999998</v>
      </c>
      <c r="T59">
        <v>285.52365099999997</v>
      </c>
      <c r="U59">
        <v>287.85333300000002</v>
      </c>
      <c r="V59">
        <v>292.14373799999998</v>
      </c>
      <c r="W59">
        <v>297.649719</v>
      </c>
      <c r="X59">
        <v>303.51181000000003</v>
      </c>
      <c r="Y59">
        <v>308.79641700000002</v>
      </c>
      <c r="Z59">
        <v>314.98046900000003</v>
      </c>
      <c r="AA59">
        <v>319.06402600000001</v>
      </c>
      <c r="AB59">
        <v>323.77767899999998</v>
      </c>
      <c r="AC59">
        <v>327.83050500000002</v>
      </c>
      <c r="AD59">
        <v>331.76516700000002</v>
      </c>
      <c r="AE59">
        <v>337.71105999999997</v>
      </c>
      <c r="AF59">
        <v>345.76858499999997</v>
      </c>
      <c r="AG59" s="31">
        <v>1.7000000000000001E-2</v>
      </c>
    </row>
    <row r="60" spans="1:33" x14ac:dyDescent="0.25">
      <c r="A60" t="s">
        <v>188</v>
      </c>
      <c r="B60" t="s">
        <v>526</v>
      </c>
      <c r="C60" t="s">
        <v>527</v>
      </c>
      <c r="D60" t="s">
        <v>521</v>
      </c>
      <c r="F60">
        <v>714.84161400000005</v>
      </c>
      <c r="G60">
        <v>676.34643600000004</v>
      </c>
      <c r="H60">
        <v>644.13317900000004</v>
      </c>
      <c r="I60">
        <v>632.38385000000005</v>
      </c>
      <c r="J60">
        <v>624.66570999999999</v>
      </c>
      <c r="K60">
        <v>615.55078100000003</v>
      </c>
      <c r="L60">
        <v>609.02886999999998</v>
      </c>
      <c r="M60">
        <v>597.48748799999998</v>
      </c>
      <c r="N60">
        <v>577.68487500000003</v>
      </c>
      <c r="O60">
        <v>563.21026600000005</v>
      </c>
      <c r="P60">
        <v>548.96337900000003</v>
      </c>
      <c r="Q60">
        <v>534.356628</v>
      </c>
      <c r="R60">
        <v>522.66711399999997</v>
      </c>
      <c r="S60">
        <v>509.74471999999997</v>
      </c>
      <c r="T60">
        <v>495.17034899999999</v>
      </c>
      <c r="U60">
        <v>483.18902600000001</v>
      </c>
      <c r="V60">
        <v>472.336884</v>
      </c>
      <c r="W60">
        <v>463.27810699999998</v>
      </c>
      <c r="X60">
        <v>453.93814099999997</v>
      </c>
      <c r="Y60">
        <v>450.51828</v>
      </c>
      <c r="Z60">
        <v>439.83544899999998</v>
      </c>
      <c r="AA60">
        <v>431.82055700000001</v>
      </c>
      <c r="AB60">
        <v>430.39608800000002</v>
      </c>
      <c r="AC60">
        <v>428.29284699999999</v>
      </c>
      <c r="AD60">
        <v>425.13793900000002</v>
      </c>
      <c r="AE60">
        <v>424.65316799999999</v>
      </c>
      <c r="AF60">
        <v>428.82516500000003</v>
      </c>
      <c r="AG60" s="31">
        <v>-1.9E-2</v>
      </c>
    </row>
    <row r="61" spans="1:33" x14ac:dyDescent="0.25">
      <c r="A61" t="s">
        <v>528</v>
      </c>
      <c r="B61" t="s">
        <v>529</v>
      </c>
      <c r="C61" t="s">
        <v>530</v>
      </c>
      <c r="D61" t="s">
        <v>521</v>
      </c>
      <c r="F61">
        <v>1503.4482419999999</v>
      </c>
      <c r="G61">
        <v>1457.9582519999999</v>
      </c>
      <c r="H61">
        <v>1398.2128909999999</v>
      </c>
      <c r="I61">
        <v>1364.179932</v>
      </c>
      <c r="J61">
        <v>1360.001953</v>
      </c>
      <c r="K61">
        <v>1364.997437</v>
      </c>
      <c r="L61">
        <v>1376.1342770000001</v>
      </c>
      <c r="M61">
        <v>1384.8676760000001</v>
      </c>
      <c r="N61">
        <v>1391.594971</v>
      </c>
      <c r="O61">
        <v>1408.237183</v>
      </c>
      <c r="P61">
        <v>1415.8535159999999</v>
      </c>
      <c r="Q61">
        <v>1414.2607419999999</v>
      </c>
      <c r="R61">
        <v>1411.4305420000001</v>
      </c>
      <c r="S61">
        <v>1407.019409</v>
      </c>
      <c r="T61">
        <v>1406.20874</v>
      </c>
      <c r="U61">
        <v>1401.8208010000001</v>
      </c>
      <c r="V61">
        <v>1402.8088379999999</v>
      </c>
      <c r="W61">
        <v>1408.892578</v>
      </c>
      <c r="X61">
        <v>1416.599487</v>
      </c>
      <c r="Y61">
        <v>1429.619629</v>
      </c>
      <c r="Z61">
        <v>1436.0631100000001</v>
      </c>
      <c r="AA61">
        <v>1442.373779</v>
      </c>
      <c r="AB61">
        <v>1456.479004</v>
      </c>
      <c r="AC61">
        <v>1467.256226</v>
      </c>
      <c r="AD61">
        <v>1479.156982</v>
      </c>
      <c r="AE61">
        <v>1495.8865969999999</v>
      </c>
      <c r="AF61">
        <v>1520.4316409999999</v>
      </c>
      <c r="AG61" s="31">
        <v>0</v>
      </c>
    </row>
    <row r="62" spans="1:33" x14ac:dyDescent="0.25">
      <c r="A62" t="s">
        <v>531</v>
      </c>
      <c r="B62" t="s">
        <v>532</v>
      </c>
      <c r="C62" t="s">
        <v>533</v>
      </c>
      <c r="D62" t="s">
        <v>521</v>
      </c>
      <c r="F62">
        <v>0.107875</v>
      </c>
      <c r="G62">
        <v>0.100345</v>
      </c>
      <c r="H62">
        <v>9.3489000000000003E-2</v>
      </c>
      <c r="I62">
        <v>8.6554000000000006E-2</v>
      </c>
      <c r="J62">
        <v>8.2530000000000006E-2</v>
      </c>
      <c r="K62">
        <v>8.2791000000000003E-2</v>
      </c>
      <c r="L62">
        <v>7.8487000000000001E-2</v>
      </c>
      <c r="M62">
        <v>7.2792999999999997E-2</v>
      </c>
      <c r="N62">
        <v>6.7211000000000007E-2</v>
      </c>
      <c r="O62">
        <v>6.2401999999999999E-2</v>
      </c>
      <c r="P62">
        <v>5.8996E-2</v>
      </c>
      <c r="Q62">
        <v>5.5041E-2</v>
      </c>
      <c r="R62">
        <v>5.1815E-2</v>
      </c>
      <c r="S62">
        <v>4.8884999999999998E-2</v>
      </c>
      <c r="T62">
        <v>4.5543E-2</v>
      </c>
      <c r="U62">
        <v>4.3306999999999998E-2</v>
      </c>
      <c r="V62">
        <v>4.1883999999999998E-2</v>
      </c>
      <c r="W62">
        <v>4.052E-2</v>
      </c>
      <c r="X62">
        <v>3.9222E-2</v>
      </c>
      <c r="Y62">
        <v>3.8850000000000003E-2</v>
      </c>
      <c r="Z62">
        <v>3.7435999999999997E-2</v>
      </c>
      <c r="AA62">
        <v>3.5973999999999999E-2</v>
      </c>
      <c r="AB62">
        <v>3.6186000000000003E-2</v>
      </c>
      <c r="AC62">
        <v>3.7198000000000002E-2</v>
      </c>
      <c r="AD62">
        <v>3.7176000000000001E-2</v>
      </c>
      <c r="AE62">
        <v>3.7422999999999998E-2</v>
      </c>
      <c r="AF62">
        <v>3.7652999999999999E-2</v>
      </c>
      <c r="AG62" s="31">
        <v>-0.04</v>
      </c>
    </row>
    <row r="63" spans="1:33" x14ac:dyDescent="0.25">
      <c r="A63" t="s">
        <v>534</v>
      </c>
      <c r="B63" t="s">
        <v>535</v>
      </c>
      <c r="C63" t="s">
        <v>536</v>
      </c>
      <c r="D63" t="s">
        <v>521</v>
      </c>
      <c r="F63">
        <v>1503.5561520000001</v>
      </c>
      <c r="G63">
        <v>1458.0585940000001</v>
      </c>
      <c r="H63">
        <v>1398.3063959999999</v>
      </c>
      <c r="I63">
        <v>1364.2664789999999</v>
      </c>
      <c r="J63">
        <v>1360.0844729999999</v>
      </c>
      <c r="K63">
        <v>1365.0802000000001</v>
      </c>
      <c r="L63">
        <v>1376.212769</v>
      </c>
      <c r="M63">
        <v>1384.9404300000001</v>
      </c>
      <c r="N63">
        <v>1391.662231</v>
      </c>
      <c r="O63">
        <v>1408.299561</v>
      </c>
      <c r="P63">
        <v>1415.912476</v>
      </c>
      <c r="Q63">
        <v>1414.3157960000001</v>
      </c>
      <c r="R63">
        <v>1411.4822999999999</v>
      </c>
      <c r="S63">
        <v>1407.068237</v>
      </c>
      <c r="T63">
        <v>1406.2542719999999</v>
      </c>
      <c r="U63">
        <v>1401.8641359999999</v>
      </c>
      <c r="V63">
        <v>1402.8507079999999</v>
      </c>
      <c r="W63">
        <v>1408.9331050000001</v>
      </c>
      <c r="X63">
        <v>1416.638672</v>
      </c>
      <c r="Y63">
        <v>1429.658447</v>
      </c>
      <c r="Z63">
        <v>1436.100586</v>
      </c>
      <c r="AA63">
        <v>1442.4097899999999</v>
      </c>
      <c r="AB63">
        <v>1456.5151370000001</v>
      </c>
      <c r="AC63">
        <v>1467.293457</v>
      </c>
      <c r="AD63">
        <v>1479.1942140000001</v>
      </c>
      <c r="AE63">
        <v>1495.924072</v>
      </c>
      <c r="AF63">
        <v>1520.4692379999999</v>
      </c>
      <c r="AG63" s="31">
        <v>0</v>
      </c>
    </row>
    <row r="64" spans="1:33" x14ac:dyDescent="0.25">
      <c r="A64" t="s">
        <v>537</v>
      </c>
    </row>
    <row r="65" spans="1:33" x14ac:dyDescent="0.25">
      <c r="A65" t="s">
        <v>69</v>
      </c>
    </row>
    <row r="66" spans="1:33" x14ac:dyDescent="0.25">
      <c r="A66" t="s">
        <v>70</v>
      </c>
      <c r="B66" t="s">
        <v>538</v>
      </c>
      <c r="C66" t="s">
        <v>539</v>
      </c>
      <c r="D66" t="s">
        <v>540</v>
      </c>
      <c r="F66">
        <v>26.593980999999999</v>
      </c>
      <c r="G66">
        <v>26.216951000000002</v>
      </c>
      <c r="H66">
        <v>26.858906000000001</v>
      </c>
      <c r="I66">
        <v>27.152177999999999</v>
      </c>
      <c r="J66">
        <v>27.696187999999999</v>
      </c>
      <c r="K66">
        <v>28.433745999999999</v>
      </c>
      <c r="L66">
        <v>29.537057999999998</v>
      </c>
      <c r="M66">
        <v>30.762877</v>
      </c>
      <c r="N66">
        <v>32.364795999999998</v>
      </c>
      <c r="O66">
        <v>34.319060999999998</v>
      </c>
      <c r="P66">
        <v>36.227283</v>
      </c>
      <c r="Q66">
        <v>37.835377000000001</v>
      </c>
      <c r="R66">
        <v>39.225211999999999</v>
      </c>
      <c r="S66">
        <v>40.455105000000003</v>
      </c>
      <c r="T66">
        <v>41.493400999999999</v>
      </c>
      <c r="U66">
        <v>42.453186000000002</v>
      </c>
      <c r="V66">
        <v>43.498753000000001</v>
      </c>
      <c r="W66">
        <v>44.748333000000002</v>
      </c>
      <c r="X66">
        <v>46.046326000000001</v>
      </c>
      <c r="Y66">
        <v>47.565804</v>
      </c>
      <c r="Z66">
        <v>49.313975999999997</v>
      </c>
      <c r="AA66">
        <v>50.883285999999998</v>
      </c>
      <c r="AB66">
        <v>52.401012000000001</v>
      </c>
      <c r="AC66">
        <v>53.792717000000003</v>
      </c>
      <c r="AD66">
        <v>55.213656999999998</v>
      </c>
      <c r="AE66">
        <v>56.888171999999997</v>
      </c>
      <c r="AF66">
        <v>59.055259999999997</v>
      </c>
      <c r="AG66" s="31">
        <v>3.1E-2</v>
      </c>
    </row>
    <row r="67" spans="1:33" x14ac:dyDescent="0.25">
      <c r="A67" t="s">
        <v>74</v>
      </c>
      <c r="B67" t="s">
        <v>541</v>
      </c>
      <c r="C67" t="s">
        <v>542</v>
      </c>
      <c r="D67" t="s">
        <v>540</v>
      </c>
      <c r="F67">
        <v>26.158379</v>
      </c>
      <c r="G67">
        <v>25.122043999999999</v>
      </c>
      <c r="H67">
        <v>25.573910000000001</v>
      </c>
      <c r="I67">
        <v>26.704920000000001</v>
      </c>
      <c r="J67">
        <v>28.145451999999999</v>
      </c>
      <c r="K67">
        <v>29.655187999999999</v>
      </c>
      <c r="L67">
        <v>31.292148999999998</v>
      </c>
      <c r="M67">
        <v>31.994268000000002</v>
      </c>
      <c r="N67">
        <v>32.578826999999997</v>
      </c>
      <c r="O67">
        <v>33.679363000000002</v>
      </c>
      <c r="P67">
        <v>34.564059999999998</v>
      </c>
      <c r="Q67">
        <v>35.592525000000002</v>
      </c>
      <c r="R67">
        <v>36.482146999999998</v>
      </c>
      <c r="S67">
        <v>37.580669</v>
      </c>
      <c r="T67">
        <v>38.49485</v>
      </c>
      <c r="U67">
        <v>39.449145999999999</v>
      </c>
      <c r="V67">
        <v>40.520947</v>
      </c>
      <c r="W67">
        <v>41.791801</v>
      </c>
      <c r="X67">
        <v>43.031525000000002</v>
      </c>
      <c r="Y67">
        <v>44.415188000000001</v>
      </c>
      <c r="Z67">
        <v>46.386429</v>
      </c>
      <c r="AA67">
        <v>47.287495</v>
      </c>
      <c r="AB67">
        <v>48.481236000000003</v>
      </c>
      <c r="AC67">
        <v>49.511318000000003</v>
      </c>
      <c r="AD67">
        <v>50.619338999999997</v>
      </c>
      <c r="AE67">
        <v>51.830589000000003</v>
      </c>
      <c r="AF67">
        <v>53.611908</v>
      </c>
      <c r="AG67" s="31">
        <v>2.8000000000000001E-2</v>
      </c>
    </row>
    <row r="68" spans="1:33" x14ac:dyDescent="0.25">
      <c r="A68" t="s">
        <v>80</v>
      </c>
      <c r="B68" t="s">
        <v>543</v>
      </c>
      <c r="C68" t="s">
        <v>544</v>
      </c>
      <c r="D68" t="s">
        <v>540</v>
      </c>
      <c r="F68">
        <v>13.932205</v>
      </c>
      <c r="G68">
        <v>12.954311000000001</v>
      </c>
      <c r="H68">
        <v>12.947870999999999</v>
      </c>
      <c r="I68">
        <v>12.736533</v>
      </c>
      <c r="J68">
        <v>12.713431</v>
      </c>
      <c r="K68">
        <v>12.812389</v>
      </c>
      <c r="L68">
        <v>12.963352</v>
      </c>
      <c r="M68">
        <v>13.460487000000001</v>
      </c>
      <c r="N68">
        <v>14.2479</v>
      </c>
      <c r="O68">
        <v>15.014253</v>
      </c>
      <c r="P68">
        <v>15.664865000000001</v>
      </c>
      <c r="Q68">
        <v>16.185392</v>
      </c>
      <c r="R68">
        <v>16.539626999999999</v>
      </c>
      <c r="S68">
        <v>16.867327</v>
      </c>
      <c r="T68">
        <v>17.190028999999999</v>
      </c>
      <c r="U68">
        <v>17.466055000000001</v>
      </c>
      <c r="V68">
        <v>17.875830000000001</v>
      </c>
      <c r="W68">
        <v>18.432865</v>
      </c>
      <c r="X68">
        <v>18.987307000000001</v>
      </c>
      <c r="Y68">
        <v>19.539175</v>
      </c>
      <c r="Z68">
        <v>20.057804000000001</v>
      </c>
      <c r="AA68">
        <v>20.636807999999998</v>
      </c>
      <c r="AB68">
        <v>21.249206999999998</v>
      </c>
      <c r="AC68">
        <v>21.801548</v>
      </c>
      <c r="AD68">
        <v>22.344536000000002</v>
      </c>
      <c r="AE68">
        <v>22.992262</v>
      </c>
      <c r="AF68">
        <v>23.643501000000001</v>
      </c>
      <c r="AG68" s="31">
        <v>2.1000000000000001E-2</v>
      </c>
    </row>
    <row r="69" spans="1:33" x14ac:dyDescent="0.25">
      <c r="A69" t="s">
        <v>432</v>
      </c>
      <c r="B69" t="s">
        <v>545</v>
      </c>
      <c r="C69" t="s">
        <v>546</v>
      </c>
      <c r="D69" t="s">
        <v>540</v>
      </c>
      <c r="F69">
        <v>45.553139000000002</v>
      </c>
      <c r="G69">
        <v>45.946316000000003</v>
      </c>
      <c r="H69">
        <v>44.147362000000001</v>
      </c>
      <c r="I69">
        <v>42.689509999999999</v>
      </c>
      <c r="J69">
        <v>43.199879000000003</v>
      </c>
      <c r="K69">
        <v>44.394343999999997</v>
      </c>
      <c r="L69">
        <v>45.759982999999998</v>
      </c>
      <c r="M69">
        <v>47.469127999999998</v>
      </c>
      <c r="N69">
        <v>49.123362999999998</v>
      </c>
      <c r="O69">
        <v>51.209690000000002</v>
      </c>
      <c r="P69">
        <v>52.775246000000003</v>
      </c>
      <c r="Q69">
        <v>53.770809</v>
      </c>
      <c r="R69">
        <v>54.499828000000001</v>
      </c>
      <c r="S69">
        <v>55.237060999999997</v>
      </c>
      <c r="T69">
        <v>56.600323000000003</v>
      </c>
      <c r="U69">
        <v>57.412365000000001</v>
      </c>
      <c r="V69">
        <v>58.473801000000002</v>
      </c>
      <c r="W69">
        <v>59.749023000000001</v>
      </c>
      <c r="X69">
        <v>61.305804999999999</v>
      </c>
      <c r="Y69">
        <v>62.927402000000001</v>
      </c>
      <c r="Z69">
        <v>64.688964999999996</v>
      </c>
      <c r="AA69">
        <v>66.450142</v>
      </c>
      <c r="AB69">
        <v>68.314209000000005</v>
      </c>
      <c r="AC69">
        <v>70.139587000000006</v>
      </c>
      <c r="AD69">
        <v>72.280113</v>
      </c>
      <c r="AE69">
        <v>74.430412000000004</v>
      </c>
      <c r="AF69">
        <v>76.763724999999994</v>
      </c>
      <c r="AG69" s="31">
        <v>0.02</v>
      </c>
    </row>
    <row r="70" spans="1:33" x14ac:dyDescent="0.25">
      <c r="A70" t="s">
        <v>98</v>
      </c>
    </row>
    <row r="71" spans="1:33" x14ac:dyDescent="0.25">
      <c r="A71" t="s">
        <v>70</v>
      </c>
      <c r="B71" t="s">
        <v>547</v>
      </c>
      <c r="C71" t="s">
        <v>548</v>
      </c>
      <c r="D71" t="s">
        <v>540</v>
      </c>
      <c r="F71">
        <v>19.0868</v>
      </c>
      <c r="G71">
        <v>19.462267000000001</v>
      </c>
      <c r="H71">
        <v>20.722957999999998</v>
      </c>
      <c r="I71">
        <v>20.896338</v>
      </c>
      <c r="J71">
        <v>21.415870999999999</v>
      </c>
      <c r="K71">
        <v>22.126076000000001</v>
      </c>
      <c r="L71">
        <v>23.186727999999999</v>
      </c>
      <c r="M71">
        <v>24.181175</v>
      </c>
      <c r="N71">
        <v>25.599267999999999</v>
      </c>
      <c r="O71">
        <v>27.285578000000001</v>
      </c>
      <c r="P71">
        <v>28.679901000000001</v>
      </c>
      <c r="Q71">
        <v>29.663060999999999</v>
      </c>
      <c r="R71">
        <v>30.521715</v>
      </c>
      <c r="S71">
        <v>31.288751999999999</v>
      </c>
      <c r="T71">
        <v>31.908874999999998</v>
      </c>
      <c r="U71">
        <v>32.549953000000002</v>
      </c>
      <c r="V71">
        <v>33.355063999999999</v>
      </c>
      <c r="W71">
        <v>34.399127999999997</v>
      </c>
      <c r="X71">
        <v>35.402991999999998</v>
      </c>
      <c r="Y71">
        <v>36.654724000000002</v>
      </c>
      <c r="Z71">
        <v>38.095920999999997</v>
      </c>
      <c r="AA71">
        <v>39.159187000000003</v>
      </c>
      <c r="AB71">
        <v>40.221760000000003</v>
      </c>
      <c r="AC71">
        <v>41.148829999999997</v>
      </c>
      <c r="AD71">
        <v>42.192711000000003</v>
      </c>
      <c r="AE71">
        <v>43.574435999999999</v>
      </c>
      <c r="AF71">
        <v>45.485512</v>
      </c>
      <c r="AG71" s="31">
        <v>3.4000000000000002E-2</v>
      </c>
    </row>
    <row r="72" spans="1:33" x14ac:dyDescent="0.25">
      <c r="A72" t="s">
        <v>74</v>
      </c>
      <c r="B72" t="s">
        <v>549</v>
      </c>
      <c r="C72" t="s">
        <v>550</v>
      </c>
      <c r="D72" t="s">
        <v>540</v>
      </c>
      <c r="F72">
        <v>26.207932</v>
      </c>
      <c r="G72">
        <v>25.213643999999999</v>
      </c>
      <c r="H72">
        <v>24.454709999999999</v>
      </c>
      <c r="I72">
        <v>24.329535</v>
      </c>
      <c r="J72">
        <v>24.463183999999998</v>
      </c>
      <c r="K72">
        <v>24.622513000000001</v>
      </c>
      <c r="L72">
        <v>24.858422999999998</v>
      </c>
      <c r="M72">
        <v>25.421419</v>
      </c>
      <c r="N72">
        <v>25.819268999999998</v>
      </c>
      <c r="O72">
        <v>26.755030000000001</v>
      </c>
      <c r="P72">
        <v>27.480581000000001</v>
      </c>
      <c r="Q72">
        <v>28.332861000000001</v>
      </c>
      <c r="R72">
        <v>29.053051</v>
      </c>
      <c r="S72">
        <v>29.982716</v>
      </c>
      <c r="T72">
        <v>30.743276999999999</v>
      </c>
      <c r="U72">
        <v>31.520094</v>
      </c>
      <c r="V72">
        <v>32.409874000000002</v>
      </c>
      <c r="W72">
        <v>33.497684</v>
      </c>
      <c r="X72">
        <v>34.544826999999998</v>
      </c>
      <c r="Y72">
        <v>35.746707999999998</v>
      </c>
      <c r="Z72">
        <v>37.507888999999999</v>
      </c>
      <c r="AA72">
        <v>38.209797000000002</v>
      </c>
      <c r="AB72">
        <v>39.197243</v>
      </c>
      <c r="AC72">
        <v>40.014290000000003</v>
      </c>
      <c r="AD72">
        <v>40.892246</v>
      </c>
      <c r="AE72">
        <v>41.893551000000002</v>
      </c>
      <c r="AF72">
        <v>43.440745999999997</v>
      </c>
      <c r="AG72" s="31">
        <v>0.02</v>
      </c>
    </row>
    <row r="73" spans="1:33" x14ac:dyDescent="0.25">
      <c r="A73" t="s">
        <v>109</v>
      </c>
      <c r="B73" t="s">
        <v>551</v>
      </c>
      <c r="C73" t="s">
        <v>552</v>
      </c>
      <c r="D73" t="s">
        <v>540</v>
      </c>
      <c r="F73">
        <v>6.7460779999999998</v>
      </c>
      <c r="G73">
        <v>7.6247509999999998</v>
      </c>
      <c r="H73">
        <v>8.1371490000000009</v>
      </c>
      <c r="I73">
        <v>9.3182950000000009</v>
      </c>
      <c r="J73">
        <v>10.659361000000001</v>
      </c>
      <c r="K73">
        <v>12.053770999999999</v>
      </c>
      <c r="L73">
        <v>13.582098999999999</v>
      </c>
      <c r="M73">
        <v>13.93248</v>
      </c>
      <c r="N73">
        <v>14.188656</v>
      </c>
      <c r="O73">
        <v>14.782047</v>
      </c>
      <c r="P73">
        <v>15.231493</v>
      </c>
      <c r="Q73">
        <v>15.7293</v>
      </c>
      <c r="R73">
        <v>16.150296999999998</v>
      </c>
      <c r="S73">
        <v>16.639703999999998</v>
      </c>
      <c r="T73">
        <v>17.127310000000001</v>
      </c>
      <c r="U73">
        <v>17.505310000000001</v>
      </c>
      <c r="V73">
        <v>18.038643</v>
      </c>
      <c r="W73">
        <v>18.587471000000001</v>
      </c>
      <c r="X73">
        <v>19.175329000000001</v>
      </c>
      <c r="Y73">
        <v>19.669559</v>
      </c>
      <c r="Z73">
        <v>20.001068</v>
      </c>
      <c r="AA73">
        <v>20.508837</v>
      </c>
      <c r="AB73">
        <v>21.422373</v>
      </c>
      <c r="AC73">
        <v>21.833618000000001</v>
      </c>
      <c r="AD73">
        <v>22.393961000000001</v>
      </c>
      <c r="AE73">
        <v>23.080089999999998</v>
      </c>
      <c r="AF73">
        <v>24.547923999999998</v>
      </c>
      <c r="AG73" s="31">
        <v>5.0999999999999997E-2</v>
      </c>
    </row>
    <row r="74" spans="1:33" x14ac:dyDescent="0.25">
      <c r="A74" t="s">
        <v>80</v>
      </c>
      <c r="B74" t="s">
        <v>553</v>
      </c>
      <c r="C74" t="s">
        <v>554</v>
      </c>
      <c r="D74" t="s">
        <v>540</v>
      </c>
      <c r="F74">
        <v>9.5558580000000006</v>
      </c>
      <c r="G74">
        <v>8.6472049999999996</v>
      </c>
      <c r="H74">
        <v>8.8948870000000007</v>
      </c>
      <c r="I74">
        <v>8.9821980000000003</v>
      </c>
      <c r="J74">
        <v>9.2383120000000005</v>
      </c>
      <c r="K74">
        <v>9.593985</v>
      </c>
      <c r="L74">
        <v>10.006990999999999</v>
      </c>
      <c r="M74">
        <v>10.378997</v>
      </c>
      <c r="N74">
        <v>11.008718</v>
      </c>
      <c r="O74">
        <v>11.624795000000001</v>
      </c>
      <c r="P74">
        <v>12.127806</v>
      </c>
      <c r="Q74">
        <v>12.511601000000001</v>
      </c>
      <c r="R74">
        <v>12.748526</v>
      </c>
      <c r="S74">
        <v>12.961295</v>
      </c>
      <c r="T74">
        <v>13.166964999999999</v>
      </c>
      <c r="U74">
        <v>13.32591</v>
      </c>
      <c r="V74">
        <v>13.605648</v>
      </c>
      <c r="W74">
        <v>14.017473000000001</v>
      </c>
      <c r="X74">
        <v>14.422617000000001</v>
      </c>
      <c r="Y74">
        <v>14.824856</v>
      </c>
      <c r="Z74">
        <v>15.191046999999999</v>
      </c>
      <c r="AA74">
        <v>15.612323</v>
      </c>
      <c r="AB74">
        <v>16.065739000000001</v>
      </c>
      <c r="AC74">
        <v>16.455938</v>
      </c>
      <c r="AD74">
        <v>16.838379</v>
      </c>
      <c r="AE74">
        <v>17.318549999999998</v>
      </c>
      <c r="AF74">
        <v>17.797931999999999</v>
      </c>
      <c r="AG74" s="31">
        <v>2.4E-2</v>
      </c>
    </row>
    <row r="75" spans="1:33" x14ac:dyDescent="0.25">
      <c r="A75" t="s">
        <v>432</v>
      </c>
      <c r="B75" t="s">
        <v>555</v>
      </c>
      <c r="C75" t="s">
        <v>556</v>
      </c>
      <c r="D75" t="s">
        <v>540</v>
      </c>
      <c r="F75">
        <v>38.551605000000002</v>
      </c>
      <c r="G75">
        <v>38.373066000000001</v>
      </c>
      <c r="H75">
        <v>36.430439</v>
      </c>
      <c r="I75">
        <v>34.949959</v>
      </c>
      <c r="J75">
        <v>35.440617000000003</v>
      </c>
      <c r="K75">
        <v>36.461376000000001</v>
      </c>
      <c r="L75">
        <v>37.692256999999998</v>
      </c>
      <c r="M75">
        <v>39.158566</v>
      </c>
      <c r="N75">
        <v>40.593860999999997</v>
      </c>
      <c r="O75">
        <v>42.401679999999999</v>
      </c>
      <c r="P75">
        <v>43.685726000000003</v>
      </c>
      <c r="Q75">
        <v>44.42812</v>
      </c>
      <c r="R75">
        <v>44.932620999999997</v>
      </c>
      <c r="S75">
        <v>45.491875</v>
      </c>
      <c r="T75">
        <v>46.729762999999998</v>
      </c>
      <c r="U75">
        <v>47.292721</v>
      </c>
      <c r="V75">
        <v>48.106780999999998</v>
      </c>
      <c r="W75">
        <v>49.142422000000003</v>
      </c>
      <c r="X75">
        <v>50.434947999999999</v>
      </c>
      <c r="Y75">
        <v>51.762238000000004</v>
      </c>
      <c r="Z75">
        <v>53.199848000000003</v>
      </c>
      <c r="AA75">
        <v>54.606940999999999</v>
      </c>
      <c r="AB75">
        <v>56.062114999999999</v>
      </c>
      <c r="AC75">
        <v>57.402596000000003</v>
      </c>
      <c r="AD75">
        <v>59.100903000000002</v>
      </c>
      <c r="AE75">
        <v>60.797061999999997</v>
      </c>
      <c r="AF75">
        <v>62.602421</v>
      </c>
      <c r="AG75" s="31">
        <v>1.9E-2</v>
      </c>
    </row>
    <row r="76" spans="1:33" x14ac:dyDescent="0.25">
      <c r="A76" t="s">
        <v>130</v>
      </c>
    </row>
    <row r="77" spans="1:33" x14ac:dyDescent="0.25">
      <c r="A77" t="s">
        <v>70</v>
      </c>
      <c r="B77" t="s">
        <v>557</v>
      </c>
      <c r="C77" t="s">
        <v>558</v>
      </c>
      <c r="D77" t="s">
        <v>540</v>
      </c>
      <c r="F77">
        <v>12.660259999999999</v>
      </c>
      <c r="G77">
        <v>12.863892999999999</v>
      </c>
      <c r="H77">
        <v>13.973295</v>
      </c>
      <c r="I77">
        <v>14.048564000000001</v>
      </c>
      <c r="J77">
        <v>14.435790000000001</v>
      </c>
      <c r="K77">
        <v>15.016266999999999</v>
      </c>
      <c r="L77">
        <v>15.940687</v>
      </c>
      <c r="M77">
        <v>16.794920000000001</v>
      </c>
      <c r="N77">
        <v>18.076533999999999</v>
      </c>
      <c r="O77">
        <v>19.648005999999999</v>
      </c>
      <c r="P77">
        <v>20.929110000000001</v>
      </c>
      <c r="Q77">
        <v>21.779828999999999</v>
      </c>
      <c r="R77">
        <v>22.498992999999999</v>
      </c>
      <c r="S77">
        <v>23.113136000000001</v>
      </c>
      <c r="T77">
        <v>23.563790999999998</v>
      </c>
      <c r="U77">
        <v>24.032267000000001</v>
      </c>
      <c r="V77">
        <v>24.667186999999998</v>
      </c>
      <c r="W77">
        <v>25.551607000000001</v>
      </c>
      <c r="X77">
        <v>26.389659999999999</v>
      </c>
      <c r="Y77">
        <v>27.487337</v>
      </c>
      <c r="Z77">
        <v>28.789852</v>
      </c>
      <c r="AA77">
        <v>29.676821</v>
      </c>
      <c r="AB77">
        <v>30.551476999999998</v>
      </c>
      <c r="AC77">
        <v>31.264862000000001</v>
      </c>
      <c r="AD77">
        <v>32.095585</v>
      </c>
      <c r="AE77">
        <v>33.291041999999997</v>
      </c>
      <c r="AF77">
        <v>35.072429999999997</v>
      </c>
      <c r="AG77" s="31">
        <v>0.04</v>
      </c>
    </row>
    <row r="78" spans="1:33" x14ac:dyDescent="0.25">
      <c r="A78" t="s">
        <v>74</v>
      </c>
      <c r="B78" t="s">
        <v>559</v>
      </c>
      <c r="C78" t="s">
        <v>560</v>
      </c>
      <c r="D78" t="s">
        <v>540</v>
      </c>
      <c r="F78">
        <v>26.091763</v>
      </c>
      <c r="G78">
        <v>25.104552999999999</v>
      </c>
      <c r="H78">
        <v>24.310030000000001</v>
      </c>
      <c r="I78">
        <v>24.150815999999999</v>
      </c>
      <c r="J78">
        <v>24.251072000000001</v>
      </c>
      <c r="K78">
        <v>24.374624000000001</v>
      </c>
      <c r="L78">
        <v>24.563075999999999</v>
      </c>
      <c r="M78">
        <v>25.124552000000001</v>
      </c>
      <c r="N78">
        <v>25.502511999999999</v>
      </c>
      <c r="O78">
        <v>26.454291999999999</v>
      </c>
      <c r="P78">
        <v>27.189726</v>
      </c>
      <c r="Q78">
        <v>28.066748</v>
      </c>
      <c r="R78">
        <v>28.804397999999999</v>
      </c>
      <c r="S78">
        <v>29.743266999999999</v>
      </c>
      <c r="T78">
        <v>30.491645999999999</v>
      </c>
      <c r="U78">
        <v>31.270137999999999</v>
      </c>
      <c r="V78">
        <v>32.174793000000001</v>
      </c>
      <c r="W78">
        <v>33.254626999999999</v>
      </c>
      <c r="X78">
        <v>34.312598999999999</v>
      </c>
      <c r="Y78">
        <v>35.515113999999997</v>
      </c>
      <c r="Z78">
        <v>37.282944000000001</v>
      </c>
      <c r="AA78">
        <v>37.979281999999998</v>
      </c>
      <c r="AB78">
        <v>38.965358999999999</v>
      </c>
      <c r="AC78">
        <v>39.780513999999997</v>
      </c>
      <c r="AD78">
        <v>40.661529999999999</v>
      </c>
      <c r="AE78">
        <v>41.649814999999997</v>
      </c>
      <c r="AF78">
        <v>43.196086999999999</v>
      </c>
      <c r="AG78" s="31">
        <v>0.02</v>
      </c>
    </row>
    <row r="79" spans="1:33" x14ac:dyDescent="0.25">
      <c r="A79" t="s">
        <v>109</v>
      </c>
      <c r="B79" t="s">
        <v>561</v>
      </c>
      <c r="C79" t="s">
        <v>562</v>
      </c>
      <c r="D79" t="s">
        <v>540</v>
      </c>
      <c r="F79">
        <v>7.8346600000000004</v>
      </c>
      <c r="G79">
        <v>9.0293419999999998</v>
      </c>
      <c r="H79">
        <v>9.7912789999999994</v>
      </c>
      <c r="I79">
        <v>11.215009999999999</v>
      </c>
      <c r="J79">
        <v>12.772719</v>
      </c>
      <c r="K79">
        <v>14.460553000000001</v>
      </c>
      <c r="L79">
        <v>16.301507999999998</v>
      </c>
      <c r="M79">
        <v>16.756364999999999</v>
      </c>
      <c r="N79">
        <v>17.084602</v>
      </c>
      <c r="O79">
        <v>17.806349000000001</v>
      </c>
      <c r="P79">
        <v>18.351042</v>
      </c>
      <c r="Q79">
        <v>18.963621</v>
      </c>
      <c r="R79">
        <v>19.480530000000002</v>
      </c>
      <c r="S79">
        <v>20.060932000000001</v>
      </c>
      <c r="T79">
        <v>20.631222000000001</v>
      </c>
      <c r="U79">
        <v>21.096069</v>
      </c>
      <c r="V79">
        <v>21.696745</v>
      </c>
      <c r="W79">
        <v>22.315178</v>
      </c>
      <c r="X79">
        <v>23.010377999999999</v>
      </c>
      <c r="Y79">
        <v>23.606112</v>
      </c>
      <c r="Z79">
        <v>24.056906000000001</v>
      </c>
      <c r="AA79">
        <v>24.588398000000002</v>
      </c>
      <c r="AB79">
        <v>25.598199999999999</v>
      </c>
      <c r="AC79">
        <v>26.115402</v>
      </c>
      <c r="AD79">
        <v>26.772155999999999</v>
      </c>
      <c r="AE79">
        <v>27.564425</v>
      </c>
      <c r="AF79">
        <v>29.134497</v>
      </c>
      <c r="AG79" s="31">
        <v>5.1999999999999998E-2</v>
      </c>
    </row>
    <row r="80" spans="1:33" x14ac:dyDescent="0.25">
      <c r="A80" t="s">
        <v>80</v>
      </c>
      <c r="B80" t="s">
        <v>563</v>
      </c>
      <c r="C80" t="s">
        <v>564</v>
      </c>
      <c r="D80" t="s">
        <v>540</v>
      </c>
      <c r="F80">
        <v>3.3370700000000002</v>
      </c>
      <c r="G80">
        <v>4.0927530000000001</v>
      </c>
      <c r="H80">
        <v>4.0591189999999999</v>
      </c>
      <c r="I80">
        <v>4.0004660000000003</v>
      </c>
      <c r="J80">
        <v>4.160158</v>
      </c>
      <c r="K80">
        <v>4.3992430000000002</v>
      </c>
      <c r="L80">
        <v>4.7164910000000004</v>
      </c>
      <c r="M80">
        <v>4.9954320000000001</v>
      </c>
      <c r="N80">
        <v>5.6141889999999997</v>
      </c>
      <c r="O80">
        <v>6.1510889999999998</v>
      </c>
      <c r="P80">
        <v>6.5715570000000003</v>
      </c>
      <c r="Q80">
        <v>6.8159470000000004</v>
      </c>
      <c r="R80">
        <v>6.9412269999999996</v>
      </c>
      <c r="S80">
        <v>7.0202850000000003</v>
      </c>
      <c r="T80">
        <v>7.0872219999999997</v>
      </c>
      <c r="U80">
        <v>7.1248690000000003</v>
      </c>
      <c r="V80">
        <v>7.3023290000000003</v>
      </c>
      <c r="W80">
        <v>7.5886990000000001</v>
      </c>
      <c r="X80">
        <v>7.871264</v>
      </c>
      <c r="Y80">
        <v>8.1534180000000003</v>
      </c>
      <c r="Z80">
        <v>8.4151480000000003</v>
      </c>
      <c r="AA80">
        <v>8.6791280000000004</v>
      </c>
      <c r="AB80">
        <v>8.9535090000000004</v>
      </c>
      <c r="AC80">
        <v>9.1652679999999993</v>
      </c>
      <c r="AD80">
        <v>9.3972429999999996</v>
      </c>
      <c r="AE80">
        <v>9.7139530000000001</v>
      </c>
      <c r="AF80">
        <v>10.048857</v>
      </c>
      <c r="AG80" s="31">
        <v>4.2999999999999997E-2</v>
      </c>
    </row>
    <row r="81" spans="1:33" x14ac:dyDescent="0.25">
      <c r="A81" t="s">
        <v>156</v>
      </c>
      <c r="B81" t="s">
        <v>565</v>
      </c>
      <c r="C81" t="s">
        <v>566</v>
      </c>
      <c r="D81" t="s">
        <v>540</v>
      </c>
      <c r="F81">
        <v>7.7677550000000002</v>
      </c>
      <c r="G81">
        <v>7.7962429999999996</v>
      </c>
      <c r="H81">
        <v>7.8714389999999996</v>
      </c>
      <c r="I81">
        <v>7.9715699999999998</v>
      </c>
      <c r="J81">
        <v>8.0856320000000004</v>
      </c>
      <c r="K81">
        <v>8.2210680000000007</v>
      </c>
      <c r="L81">
        <v>8.3729139999999997</v>
      </c>
      <c r="M81">
        <v>8.5523050000000005</v>
      </c>
      <c r="N81">
        <v>8.7600099999999994</v>
      </c>
      <c r="O81">
        <v>8.9517279999999992</v>
      </c>
      <c r="P81">
        <v>9.1062159999999999</v>
      </c>
      <c r="Q81">
        <v>9.3269749999999991</v>
      </c>
      <c r="R81">
        <v>9.5201589999999996</v>
      </c>
      <c r="S81">
        <v>9.7152130000000003</v>
      </c>
      <c r="T81">
        <v>9.9198819999999994</v>
      </c>
      <c r="U81">
        <v>10.098601</v>
      </c>
      <c r="V81">
        <v>10.307525</v>
      </c>
      <c r="W81">
        <v>10.486297</v>
      </c>
      <c r="X81">
        <v>10.70411</v>
      </c>
      <c r="Y81">
        <v>10.927295000000001</v>
      </c>
      <c r="Z81">
        <v>11.176041</v>
      </c>
      <c r="AA81">
        <v>11.445536000000001</v>
      </c>
      <c r="AB81">
        <v>11.694777</v>
      </c>
      <c r="AC81">
        <v>11.951790000000001</v>
      </c>
      <c r="AD81">
        <v>12.221812</v>
      </c>
      <c r="AE81">
        <v>12.514791000000001</v>
      </c>
      <c r="AF81">
        <v>12.798068000000001</v>
      </c>
      <c r="AG81" s="31">
        <v>1.9E-2</v>
      </c>
    </row>
    <row r="82" spans="1:33" x14ac:dyDescent="0.25">
      <c r="A82" t="s">
        <v>159</v>
      </c>
      <c r="B82" t="s">
        <v>567</v>
      </c>
      <c r="C82" t="s">
        <v>568</v>
      </c>
      <c r="D82" t="s">
        <v>540</v>
      </c>
      <c r="F82">
        <v>3.572155</v>
      </c>
      <c r="G82">
        <v>3.6983359999999998</v>
      </c>
      <c r="H82">
        <v>3.7553930000000002</v>
      </c>
      <c r="I82">
        <v>3.8002570000000002</v>
      </c>
      <c r="J82">
        <v>3.8394870000000001</v>
      </c>
      <c r="K82">
        <v>3.8946749999999999</v>
      </c>
      <c r="L82">
        <v>3.9393150000000001</v>
      </c>
      <c r="M82">
        <v>3.9801609999999998</v>
      </c>
      <c r="N82">
        <v>4.025944</v>
      </c>
      <c r="O82">
        <v>4.1088760000000004</v>
      </c>
      <c r="P82">
        <v>4.1785189999999997</v>
      </c>
      <c r="Q82">
        <v>4.2372209999999999</v>
      </c>
      <c r="R82">
        <v>4.332891</v>
      </c>
      <c r="S82">
        <v>4.4255490000000002</v>
      </c>
      <c r="T82">
        <v>4.5294639999999999</v>
      </c>
      <c r="U82">
        <v>4.6176219999999999</v>
      </c>
      <c r="V82">
        <v>4.717606</v>
      </c>
      <c r="W82">
        <v>4.8102299999999998</v>
      </c>
      <c r="X82">
        <v>4.9049699999999996</v>
      </c>
      <c r="Y82">
        <v>5.0171749999999999</v>
      </c>
      <c r="Z82">
        <v>5.1339889999999997</v>
      </c>
      <c r="AA82">
        <v>5.260872</v>
      </c>
      <c r="AB82">
        <v>5.3938689999999996</v>
      </c>
      <c r="AC82">
        <v>5.5234389999999998</v>
      </c>
      <c r="AD82">
        <v>5.6481669999999999</v>
      </c>
      <c r="AE82">
        <v>5.7793190000000001</v>
      </c>
      <c r="AF82">
        <v>5.9209149999999999</v>
      </c>
      <c r="AG82" s="31">
        <v>0.02</v>
      </c>
    </row>
    <row r="83" spans="1:33" x14ac:dyDescent="0.25">
      <c r="A83" t="s">
        <v>173</v>
      </c>
      <c r="B83" t="s">
        <v>569</v>
      </c>
      <c r="C83" t="s">
        <v>570</v>
      </c>
      <c r="D83" t="s">
        <v>540</v>
      </c>
      <c r="F83">
        <v>9.5338750000000001</v>
      </c>
      <c r="G83">
        <v>10.837247</v>
      </c>
      <c r="H83">
        <v>10.910973</v>
      </c>
      <c r="I83">
        <v>11.000693999999999</v>
      </c>
      <c r="J83">
        <v>11.350652999999999</v>
      </c>
      <c r="K83">
        <v>11.804646</v>
      </c>
      <c r="L83">
        <v>12.336460000000001</v>
      </c>
      <c r="M83">
        <v>12.880520000000001</v>
      </c>
      <c r="N83">
        <v>13.527663</v>
      </c>
      <c r="O83">
        <v>14.437381999999999</v>
      </c>
      <c r="P83">
        <v>15.207238</v>
      </c>
      <c r="Q83">
        <v>15.714464</v>
      </c>
      <c r="R83">
        <v>15.976162</v>
      </c>
      <c r="S83">
        <v>16.201198999999999</v>
      </c>
      <c r="T83">
        <v>16.814762000000002</v>
      </c>
      <c r="U83">
        <v>17.255486999999999</v>
      </c>
      <c r="V83">
        <v>17.601434999999999</v>
      </c>
      <c r="W83">
        <v>17.801258000000001</v>
      </c>
      <c r="X83">
        <v>18.058201</v>
      </c>
      <c r="Y83">
        <v>18.54907</v>
      </c>
      <c r="Z83">
        <v>19.218167999999999</v>
      </c>
      <c r="AA83">
        <v>19.597013</v>
      </c>
      <c r="AB83">
        <v>20.066286000000002</v>
      </c>
      <c r="AC83">
        <v>20.483709000000001</v>
      </c>
      <c r="AD83">
        <v>21.006063000000001</v>
      </c>
      <c r="AE83">
        <v>21.253933</v>
      </c>
      <c r="AF83">
        <v>21.909707999999998</v>
      </c>
      <c r="AG83" s="31">
        <v>3.3000000000000002E-2</v>
      </c>
    </row>
    <row r="84" spans="1:33" x14ac:dyDescent="0.25">
      <c r="A84" t="s">
        <v>432</v>
      </c>
      <c r="B84" t="s">
        <v>571</v>
      </c>
      <c r="C84" t="s">
        <v>572</v>
      </c>
      <c r="D84" t="s">
        <v>540</v>
      </c>
      <c r="F84">
        <v>26.507746000000001</v>
      </c>
      <c r="G84">
        <v>26.453053000000001</v>
      </c>
      <c r="H84">
        <v>24.42614</v>
      </c>
      <c r="I84">
        <v>23.377502</v>
      </c>
      <c r="J84">
        <v>23.656490000000002</v>
      </c>
      <c r="K84">
        <v>24.427060999999998</v>
      </c>
      <c r="L84">
        <v>25.361464999999999</v>
      </c>
      <c r="M84">
        <v>26.565577999999999</v>
      </c>
      <c r="N84">
        <v>27.891041000000001</v>
      </c>
      <c r="O84">
        <v>29.39677</v>
      </c>
      <c r="P84">
        <v>30.297053999999999</v>
      </c>
      <c r="Q84">
        <v>30.728235000000002</v>
      </c>
      <c r="R84">
        <v>30.964787999999999</v>
      </c>
      <c r="S84">
        <v>31.339683999999998</v>
      </c>
      <c r="T84">
        <v>32.121273000000002</v>
      </c>
      <c r="U84">
        <v>32.630164999999998</v>
      </c>
      <c r="V84">
        <v>33.200687000000002</v>
      </c>
      <c r="W84">
        <v>33.926659000000001</v>
      </c>
      <c r="X84">
        <v>34.844383000000001</v>
      </c>
      <c r="Y84">
        <v>35.767386999999999</v>
      </c>
      <c r="Z84">
        <v>36.764690000000002</v>
      </c>
      <c r="AA84">
        <v>37.748009000000003</v>
      </c>
      <c r="AB84">
        <v>38.769558000000004</v>
      </c>
      <c r="AC84">
        <v>39.806170999999999</v>
      </c>
      <c r="AD84">
        <v>40.988098000000001</v>
      </c>
      <c r="AE84">
        <v>42.221344000000002</v>
      </c>
      <c r="AF84">
        <v>43.553733999999999</v>
      </c>
      <c r="AG84" s="31">
        <v>1.9E-2</v>
      </c>
    </row>
    <row r="85" spans="1:33" x14ac:dyDescent="0.25">
      <c r="A85" t="s">
        <v>188</v>
      </c>
    </row>
    <row r="86" spans="1:33" x14ac:dyDescent="0.25">
      <c r="A86" t="s">
        <v>70</v>
      </c>
      <c r="B86" t="s">
        <v>573</v>
      </c>
      <c r="C86" t="s">
        <v>574</v>
      </c>
      <c r="D86" t="s">
        <v>540</v>
      </c>
      <c r="F86">
        <v>17.589244999999998</v>
      </c>
      <c r="G86">
        <v>18.113503999999999</v>
      </c>
      <c r="H86">
        <v>19.288139000000001</v>
      </c>
      <c r="I86">
        <v>19.402616999999999</v>
      </c>
      <c r="J86">
        <v>19.884892000000001</v>
      </c>
      <c r="K86">
        <v>20.528611999999999</v>
      </c>
      <c r="L86">
        <v>21.475200999999998</v>
      </c>
      <c r="M86">
        <v>22.341840999999999</v>
      </c>
      <c r="N86">
        <v>23.592442999999999</v>
      </c>
      <c r="O86">
        <v>25.057929999999999</v>
      </c>
      <c r="P86">
        <v>26.243190999999999</v>
      </c>
      <c r="Q86">
        <v>27.078346</v>
      </c>
      <c r="R86">
        <v>27.828451000000001</v>
      </c>
      <c r="S86">
        <v>28.507137</v>
      </c>
      <c r="T86">
        <v>29.06373</v>
      </c>
      <c r="U86">
        <v>29.6493</v>
      </c>
      <c r="V86">
        <v>30.380901000000001</v>
      </c>
      <c r="W86">
        <v>31.317350000000001</v>
      </c>
      <c r="X86">
        <v>32.205607999999998</v>
      </c>
      <c r="Y86">
        <v>33.315407</v>
      </c>
      <c r="Z86">
        <v>34.580157999999997</v>
      </c>
      <c r="AA86">
        <v>35.500400999999997</v>
      </c>
      <c r="AB86">
        <v>36.442253000000001</v>
      </c>
      <c r="AC86">
        <v>37.269359999999999</v>
      </c>
      <c r="AD86">
        <v>38.210121000000001</v>
      </c>
      <c r="AE86">
        <v>39.444865999999998</v>
      </c>
      <c r="AF86">
        <v>41.127124999999999</v>
      </c>
      <c r="AG86" s="31">
        <v>3.3000000000000002E-2</v>
      </c>
    </row>
    <row r="87" spans="1:33" x14ac:dyDescent="0.25">
      <c r="A87" t="s">
        <v>463</v>
      </c>
      <c r="B87" t="s">
        <v>575</v>
      </c>
      <c r="C87" t="s">
        <v>576</v>
      </c>
      <c r="D87" t="s">
        <v>540</v>
      </c>
      <c r="F87">
        <v>28.823729</v>
      </c>
      <c r="G87">
        <v>29.528929000000002</v>
      </c>
      <c r="H87">
        <v>31.362501000000002</v>
      </c>
      <c r="I87">
        <v>31.520689000000001</v>
      </c>
      <c r="J87">
        <v>31.560877000000001</v>
      </c>
      <c r="K87">
        <v>31.091464999999999</v>
      </c>
      <c r="L87">
        <v>31.677883000000001</v>
      </c>
      <c r="M87">
        <v>32.462654000000001</v>
      </c>
      <c r="N87">
        <v>32.887005000000002</v>
      </c>
      <c r="O87">
        <v>33.282158000000003</v>
      </c>
      <c r="P87">
        <v>33.961295999999997</v>
      </c>
      <c r="Q87">
        <v>34.411186000000001</v>
      </c>
      <c r="R87">
        <v>35.304825000000001</v>
      </c>
      <c r="S87">
        <v>35.816043999999998</v>
      </c>
      <c r="T87">
        <v>36.071959999999997</v>
      </c>
      <c r="U87">
        <v>36.661803999999997</v>
      </c>
      <c r="V87">
        <v>37.037909999999997</v>
      </c>
      <c r="W87">
        <v>37.390469000000003</v>
      </c>
      <c r="X87">
        <v>37.650630999999997</v>
      </c>
      <c r="Y87">
        <v>38.484287000000002</v>
      </c>
      <c r="Z87">
        <v>37.357737999999998</v>
      </c>
      <c r="AA87">
        <v>37.673003999999999</v>
      </c>
      <c r="AB87">
        <v>38.832993000000002</v>
      </c>
      <c r="AC87">
        <v>39.919426000000001</v>
      </c>
      <c r="AD87">
        <v>40.931694</v>
      </c>
      <c r="AE87">
        <v>42.123843999999998</v>
      </c>
      <c r="AF87">
        <v>43.591473000000001</v>
      </c>
      <c r="AG87" s="31">
        <v>1.6E-2</v>
      </c>
    </row>
    <row r="88" spans="1:33" x14ac:dyDescent="0.25">
      <c r="A88" t="s">
        <v>101</v>
      </c>
      <c r="B88" t="s">
        <v>577</v>
      </c>
      <c r="C88" t="s">
        <v>578</v>
      </c>
      <c r="D88" t="s">
        <v>540</v>
      </c>
      <c r="F88">
        <v>28.679842000000001</v>
      </c>
      <c r="G88">
        <v>27.649559</v>
      </c>
      <c r="H88">
        <v>26.447337999999998</v>
      </c>
      <c r="I88">
        <v>26.363968</v>
      </c>
      <c r="J88">
        <v>26.575915999999999</v>
      </c>
      <c r="K88">
        <v>26.740559000000001</v>
      </c>
      <c r="L88">
        <v>27.284904000000001</v>
      </c>
      <c r="M88">
        <v>27.857161000000001</v>
      </c>
      <c r="N88">
        <v>28.241078999999999</v>
      </c>
      <c r="O88">
        <v>28.688046</v>
      </c>
      <c r="P88">
        <v>29.259246999999998</v>
      </c>
      <c r="Q88">
        <v>29.643103</v>
      </c>
      <c r="R88">
        <v>30.416477</v>
      </c>
      <c r="S88">
        <v>30.857229</v>
      </c>
      <c r="T88">
        <v>31.085149999999999</v>
      </c>
      <c r="U88">
        <v>31.556293</v>
      </c>
      <c r="V88">
        <v>31.863880000000002</v>
      </c>
      <c r="W88">
        <v>32.172955000000002</v>
      </c>
      <c r="X88">
        <v>32.389519</v>
      </c>
      <c r="Y88">
        <v>33.129725999999998</v>
      </c>
      <c r="Z88">
        <v>32.171363999999997</v>
      </c>
      <c r="AA88">
        <v>32.448825999999997</v>
      </c>
      <c r="AB88">
        <v>33.446316000000003</v>
      </c>
      <c r="AC88">
        <v>34.377803999999998</v>
      </c>
      <c r="AD88">
        <v>35.232975000000003</v>
      </c>
      <c r="AE88">
        <v>36.242747999999999</v>
      </c>
      <c r="AF88">
        <v>37.483806999999999</v>
      </c>
      <c r="AG88" s="31">
        <v>0.01</v>
      </c>
    </row>
    <row r="89" spans="1:33" x14ac:dyDescent="0.25">
      <c r="A89" t="s">
        <v>196</v>
      </c>
      <c r="B89" t="s">
        <v>579</v>
      </c>
      <c r="C89" t="s">
        <v>580</v>
      </c>
      <c r="D89" t="s">
        <v>540</v>
      </c>
      <c r="F89">
        <v>17.638923999999999</v>
      </c>
      <c r="G89">
        <v>16.730843</v>
      </c>
      <c r="H89">
        <v>16.808693000000002</v>
      </c>
      <c r="I89">
        <v>17.490393000000001</v>
      </c>
      <c r="J89">
        <v>18.456747</v>
      </c>
      <c r="K89">
        <v>19.450320999999999</v>
      </c>
      <c r="L89">
        <v>20.549154000000001</v>
      </c>
      <c r="M89">
        <v>21.108609999999999</v>
      </c>
      <c r="N89">
        <v>21.421351999999999</v>
      </c>
      <c r="O89">
        <v>22.26915</v>
      </c>
      <c r="P89">
        <v>22.921453</v>
      </c>
      <c r="Q89">
        <v>23.680696000000001</v>
      </c>
      <c r="R89">
        <v>24.265625</v>
      </c>
      <c r="S89">
        <v>25.095047000000001</v>
      </c>
      <c r="T89">
        <v>25.913125999999998</v>
      </c>
      <c r="U89">
        <v>26.590033999999999</v>
      </c>
      <c r="V89">
        <v>27.377469999999999</v>
      </c>
      <c r="W89">
        <v>28.422378999999999</v>
      </c>
      <c r="X89">
        <v>29.418960999999999</v>
      </c>
      <c r="Y89">
        <v>30.607809</v>
      </c>
      <c r="Z89">
        <v>32.390098999999999</v>
      </c>
      <c r="AA89">
        <v>33.059134999999998</v>
      </c>
      <c r="AB89">
        <v>33.981655000000003</v>
      </c>
      <c r="AC89">
        <v>34.762340999999999</v>
      </c>
      <c r="AD89">
        <v>35.556072</v>
      </c>
      <c r="AE89">
        <v>36.506385999999999</v>
      </c>
      <c r="AF89">
        <v>38.042904</v>
      </c>
      <c r="AG89" s="31">
        <v>0.03</v>
      </c>
    </row>
    <row r="90" spans="1:33" x14ac:dyDescent="0.25">
      <c r="A90" t="s">
        <v>470</v>
      </c>
      <c r="B90" t="s">
        <v>581</v>
      </c>
      <c r="C90" t="s">
        <v>582</v>
      </c>
      <c r="D90" t="s">
        <v>540</v>
      </c>
      <c r="F90">
        <v>27.283649</v>
      </c>
      <c r="G90">
        <v>26.115432999999999</v>
      </c>
      <c r="H90">
        <v>25.960787</v>
      </c>
      <c r="I90">
        <v>26.409092000000001</v>
      </c>
      <c r="J90">
        <v>27.145966000000001</v>
      </c>
      <c r="K90">
        <v>27.884150000000002</v>
      </c>
      <c r="L90">
        <v>28.804071</v>
      </c>
      <c r="M90">
        <v>29.447966000000001</v>
      </c>
      <c r="N90">
        <v>29.907007</v>
      </c>
      <c r="O90">
        <v>31.000999</v>
      </c>
      <c r="P90">
        <v>31.835326999999999</v>
      </c>
      <c r="Q90">
        <v>32.823836999999997</v>
      </c>
      <c r="R90">
        <v>33.706982000000004</v>
      </c>
      <c r="S90">
        <v>34.75103</v>
      </c>
      <c r="T90">
        <v>35.600650999999999</v>
      </c>
      <c r="U90">
        <v>36.515694000000003</v>
      </c>
      <c r="V90">
        <v>37.492652999999997</v>
      </c>
      <c r="W90">
        <v>38.730370000000001</v>
      </c>
      <c r="X90">
        <v>39.902431</v>
      </c>
      <c r="Y90">
        <v>41.264983999999998</v>
      </c>
      <c r="Z90">
        <v>43.238216000000001</v>
      </c>
      <c r="AA90">
        <v>44.208621999999998</v>
      </c>
      <c r="AB90">
        <v>45.142673000000002</v>
      </c>
      <c r="AC90">
        <v>45.975689000000003</v>
      </c>
      <c r="AD90">
        <v>47.109848</v>
      </c>
      <c r="AE90">
        <v>48.095073999999997</v>
      </c>
      <c r="AF90">
        <v>49.921055000000003</v>
      </c>
      <c r="AG90" s="31">
        <v>2.4E-2</v>
      </c>
    </row>
    <row r="91" spans="1:33" x14ac:dyDescent="0.25">
      <c r="A91" t="s">
        <v>109</v>
      </c>
      <c r="B91" t="s">
        <v>583</v>
      </c>
      <c r="C91" t="s">
        <v>584</v>
      </c>
      <c r="D91" t="s">
        <v>540</v>
      </c>
      <c r="F91">
        <v>13.401297</v>
      </c>
      <c r="G91">
        <v>12.08642</v>
      </c>
      <c r="H91">
        <v>13.143271</v>
      </c>
      <c r="I91">
        <v>13.269609000000001</v>
      </c>
      <c r="J91">
        <v>13.449490000000001</v>
      </c>
      <c r="K91">
        <v>13.681735</v>
      </c>
      <c r="L91">
        <v>13.963659</v>
      </c>
      <c r="M91">
        <v>14.334046000000001</v>
      </c>
      <c r="N91">
        <v>14.58601</v>
      </c>
      <c r="O91">
        <v>15.138056000000001</v>
      </c>
      <c r="P91">
        <v>15.579435999999999</v>
      </c>
      <c r="Q91">
        <v>16.071000999999999</v>
      </c>
      <c r="R91">
        <v>16.472446000000001</v>
      </c>
      <c r="S91">
        <v>16.93008</v>
      </c>
      <c r="T91">
        <v>17.407122000000001</v>
      </c>
      <c r="U91">
        <v>17.802527999999999</v>
      </c>
      <c r="V91">
        <v>18.289397999999998</v>
      </c>
      <c r="W91">
        <v>18.827922999999998</v>
      </c>
      <c r="X91">
        <v>19.382304999999999</v>
      </c>
      <c r="Y91">
        <v>19.961055999999999</v>
      </c>
      <c r="Z91">
        <v>20.45513</v>
      </c>
      <c r="AA91">
        <v>20.639216999999999</v>
      </c>
      <c r="AB91">
        <v>21.468081999999999</v>
      </c>
      <c r="AC91">
        <v>21.923960000000001</v>
      </c>
      <c r="AD91">
        <v>22.452873</v>
      </c>
      <c r="AE91">
        <v>23.112991000000001</v>
      </c>
      <c r="AF91">
        <v>24.391928</v>
      </c>
      <c r="AG91" s="31">
        <v>2.3E-2</v>
      </c>
    </row>
    <row r="92" spans="1:33" x14ac:dyDescent="0.25">
      <c r="A92" t="s">
        <v>80</v>
      </c>
      <c r="B92" t="s">
        <v>585</v>
      </c>
      <c r="C92" t="s">
        <v>586</v>
      </c>
      <c r="D92" t="s">
        <v>540</v>
      </c>
      <c r="F92">
        <v>14.514303</v>
      </c>
      <c r="G92">
        <v>15.353681</v>
      </c>
      <c r="H92">
        <v>15.54298</v>
      </c>
      <c r="I92">
        <v>15.676928</v>
      </c>
      <c r="J92">
        <v>16.027996000000002</v>
      </c>
      <c r="K92">
        <v>16.458421999999999</v>
      </c>
      <c r="L92">
        <v>16.930371999999998</v>
      </c>
      <c r="M92">
        <v>17.408998</v>
      </c>
      <c r="N92">
        <v>18.207653000000001</v>
      </c>
      <c r="O92">
        <v>18.887893999999999</v>
      </c>
      <c r="P92">
        <v>19.448367999999999</v>
      </c>
      <c r="Q92">
        <v>19.869696000000001</v>
      </c>
      <c r="R92">
        <v>20.144455000000001</v>
      </c>
      <c r="S92">
        <v>20.387754000000001</v>
      </c>
      <c r="T92">
        <v>20.653176999999999</v>
      </c>
      <c r="U92">
        <v>20.842625000000002</v>
      </c>
      <c r="V92">
        <v>21.180105000000001</v>
      </c>
      <c r="W92">
        <v>21.65204</v>
      </c>
      <c r="X92">
        <v>22.116914999999999</v>
      </c>
      <c r="Y92">
        <v>22.599672000000002</v>
      </c>
      <c r="Z92">
        <v>23.054102</v>
      </c>
      <c r="AA92">
        <v>23.532368000000002</v>
      </c>
      <c r="AB92">
        <v>24.045355000000001</v>
      </c>
      <c r="AC92">
        <v>24.474930000000001</v>
      </c>
      <c r="AD92">
        <v>24.923931</v>
      </c>
      <c r="AE92">
        <v>25.479113000000002</v>
      </c>
      <c r="AF92">
        <v>26.036836999999998</v>
      </c>
      <c r="AG92" s="31">
        <v>2.3E-2</v>
      </c>
    </row>
    <row r="93" spans="1:33" x14ac:dyDescent="0.25">
      <c r="A93" t="s">
        <v>432</v>
      </c>
      <c r="B93" t="s">
        <v>587</v>
      </c>
      <c r="C93" t="s">
        <v>588</v>
      </c>
      <c r="D93" t="s">
        <v>540</v>
      </c>
      <c r="F93">
        <v>42.609589</v>
      </c>
      <c r="G93">
        <v>43.132472999999997</v>
      </c>
      <c r="H93">
        <v>41.167706000000003</v>
      </c>
      <c r="I93">
        <v>38.740616000000003</v>
      </c>
      <c r="J93">
        <v>39.278464999999997</v>
      </c>
      <c r="K93">
        <v>40.285549000000003</v>
      </c>
      <c r="L93">
        <v>41.567706999999999</v>
      </c>
      <c r="M93">
        <v>43.305411999999997</v>
      </c>
      <c r="N93">
        <v>44.980736</v>
      </c>
      <c r="O93">
        <v>47.198867999999997</v>
      </c>
      <c r="P93">
        <v>48.686225999999998</v>
      </c>
      <c r="Q93">
        <v>49.814906999999998</v>
      </c>
      <c r="R93">
        <v>50.725760999999999</v>
      </c>
      <c r="S93">
        <v>51.426571000000003</v>
      </c>
      <c r="T93">
        <v>52.990257</v>
      </c>
      <c r="U93">
        <v>53.319035</v>
      </c>
      <c r="V93">
        <v>54.038769000000002</v>
      </c>
      <c r="W93">
        <v>55.149054999999997</v>
      </c>
      <c r="X93">
        <v>56.833579999999998</v>
      </c>
      <c r="Y93">
        <v>58.384079</v>
      </c>
      <c r="Z93">
        <v>60.216900000000003</v>
      </c>
      <c r="AA93">
        <v>61.84684</v>
      </c>
      <c r="AB93">
        <v>63.485474000000004</v>
      </c>
      <c r="AC93">
        <v>64.850441000000004</v>
      </c>
      <c r="AD93">
        <v>67.204673999999997</v>
      </c>
      <c r="AE93">
        <v>69.173325000000006</v>
      </c>
      <c r="AF93">
        <v>71.287987000000001</v>
      </c>
      <c r="AG93" s="31">
        <v>0.02</v>
      </c>
    </row>
    <row r="94" spans="1:33" x14ac:dyDescent="0.25">
      <c r="A94" t="s">
        <v>300</v>
      </c>
    </row>
    <row r="95" spans="1:33" x14ac:dyDescent="0.25">
      <c r="A95" t="s">
        <v>74</v>
      </c>
      <c r="B95" t="s">
        <v>589</v>
      </c>
      <c r="C95" t="s">
        <v>590</v>
      </c>
      <c r="D95" t="s">
        <v>540</v>
      </c>
      <c r="F95">
        <v>26.137505000000001</v>
      </c>
      <c r="G95">
        <v>25.158467999999999</v>
      </c>
      <c r="H95">
        <v>24.349578999999999</v>
      </c>
      <c r="I95">
        <v>24.243880999999998</v>
      </c>
      <c r="J95">
        <v>24.290323000000001</v>
      </c>
      <c r="K95">
        <v>24.449207000000001</v>
      </c>
      <c r="L95">
        <v>24.764140999999999</v>
      </c>
      <c r="M95">
        <v>25.211271</v>
      </c>
      <c r="N95">
        <v>26.411995000000001</v>
      </c>
      <c r="O95">
        <v>27.32086</v>
      </c>
      <c r="P95">
        <v>28.020191000000001</v>
      </c>
      <c r="Q95">
        <v>28.843813000000001</v>
      </c>
      <c r="R95">
        <v>29.480864</v>
      </c>
      <c r="S95">
        <v>30.405664000000002</v>
      </c>
      <c r="T95">
        <v>31.232695</v>
      </c>
      <c r="U95">
        <v>31.988009999999999</v>
      </c>
      <c r="V95">
        <v>32.844948000000002</v>
      </c>
      <c r="W95">
        <v>33.953346000000003</v>
      </c>
      <c r="X95">
        <v>35.011749000000002</v>
      </c>
      <c r="Y95">
        <v>36.227688000000001</v>
      </c>
      <c r="Z95">
        <v>37.848587000000002</v>
      </c>
      <c r="AA95">
        <v>38.540751999999998</v>
      </c>
      <c r="AB95">
        <v>39.687569000000003</v>
      </c>
      <c r="AC95">
        <v>40.546863999999999</v>
      </c>
      <c r="AD95">
        <v>41.432865</v>
      </c>
      <c r="AE95">
        <v>42.511791000000002</v>
      </c>
      <c r="AF95">
        <v>44.099936999999997</v>
      </c>
      <c r="AG95" s="31">
        <v>0.02</v>
      </c>
    </row>
    <row r="96" spans="1:33" x14ac:dyDescent="0.25">
      <c r="A96" t="s">
        <v>109</v>
      </c>
      <c r="B96" t="s">
        <v>591</v>
      </c>
      <c r="C96" t="s">
        <v>592</v>
      </c>
      <c r="D96" t="s">
        <v>540</v>
      </c>
      <c r="F96">
        <v>17.394409</v>
      </c>
      <c r="G96">
        <v>13.952579</v>
      </c>
      <c r="H96">
        <v>14.129054</v>
      </c>
      <c r="I96">
        <v>15.084783</v>
      </c>
      <c r="J96">
        <v>16.160212999999999</v>
      </c>
      <c r="K96">
        <v>17.238125</v>
      </c>
      <c r="L96">
        <v>18.366261999999999</v>
      </c>
      <c r="M96">
        <v>18.919965999999999</v>
      </c>
      <c r="N96">
        <v>19.218084000000001</v>
      </c>
      <c r="O96">
        <v>19.919599999999999</v>
      </c>
      <c r="P96">
        <v>20.531452000000002</v>
      </c>
      <c r="Q96">
        <v>21.200205</v>
      </c>
      <c r="R96">
        <v>21.727136999999999</v>
      </c>
      <c r="S96">
        <v>22.323874</v>
      </c>
      <c r="T96">
        <v>22.959166</v>
      </c>
      <c r="U96">
        <v>23.445345</v>
      </c>
      <c r="V96">
        <v>24.050470000000001</v>
      </c>
      <c r="W96">
        <v>24.648952000000001</v>
      </c>
      <c r="X96">
        <v>25.158894</v>
      </c>
      <c r="Y96">
        <v>25.788281999999999</v>
      </c>
      <c r="Z96">
        <v>26.238935000000001</v>
      </c>
      <c r="AA96">
        <v>25.865458</v>
      </c>
      <c r="AB96">
        <v>26.939405000000001</v>
      </c>
      <c r="AC96">
        <v>27.569455999999999</v>
      </c>
      <c r="AD96">
        <v>28.261061000000002</v>
      </c>
      <c r="AE96">
        <v>29.120207000000001</v>
      </c>
      <c r="AF96">
        <v>30.707488999999999</v>
      </c>
      <c r="AG96" s="31">
        <v>2.1999999999999999E-2</v>
      </c>
    </row>
    <row r="97" spans="1:33" x14ac:dyDescent="0.25">
      <c r="A97" t="s">
        <v>80</v>
      </c>
      <c r="B97" t="s">
        <v>593</v>
      </c>
      <c r="C97" t="s">
        <v>594</v>
      </c>
      <c r="D97" t="s">
        <v>540</v>
      </c>
      <c r="F97">
        <v>2.7193990000000001</v>
      </c>
      <c r="G97">
        <v>3.1956519999999999</v>
      </c>
      <c r="H97">
        <v>3.1842790000000001</v>
      </c>
      <c r="I97">
        <v>3.1617419999999998</v>
      </c>
      <c r="J97">
        <v>3.3607559999999999</v>
      </c>
      <c r="K97">
        <v>3.6411060000000002</v>
      </c>
      <c r="L97">
        <v>4.0175979999999996</v>
      </c>
      <c r="M97">
        <v>4.2052849999999999</v>
      </c>
      <c r="N97">
        <v>4.8780469999999996</v>
      </c>
      <c r="O97">
        <v>5.3540229999999998</v>
      </c>
      <c r="P97">
        <v>5.728351</v>
      </c>
      <c r="Q97">
        <v>5.9417020000000003</v>
      </c>
      <c r="R97">
        <v>6.0586869999999999</v>
      </c>
      <c r="S97">
        <v>6.1397510000000004</v>
      </c>
      <c r="T97">
        <v>6.2227670000000002</v>
      </c>
      <c r="U97">
        <v>6.276008</v>
      </c>
      <c r="V97">
        <v>6.4500630000000001</v>
      </c>
      <c r="W97">
        <v>6.6981770000000003</v>
      </c>
      <c r="X97">
        <v>6.9469900000000004</v>
      </c>
      <c r="Y97">
        <v>7.2270409999999998</v>
      </c>
      <c r="Z97">
        <v>7.51471</v>
      </c>
      <c r="AA97">
        <v>7.7507099999999998</v>
      </c>
      <c r="AB97">
        <v>8.012893</v>
      </c>
      <c r="AC97">
        <v>8.2078000000000007</v>
      </c>
      <c r="AD97">
        <v>8.43215</v>
      </c>
      <c r="AE97">
        <v>8.7420980000000004</v>
      </c>
      <c r="AF97">
        <v>9.0799199999999995</v>
      </c>
      <c r="AG97" s="31">
        <v>4.7E-2</v>
      </c>
    </row>
    <row r="98" spans="1:33" x14ac:dyDescent="0.25">
      <c r="A98" t="s">
        <v>309</v>
      </c>
      <c r="B98" t="s">
        <v>595</v>
      </c>
      <c r="C98" t="s">
        <v>596</v>
      </c>
      <c r="D98" t="s">
        <v>540</v>
      </c>
      <c r="F98">
        <v>2.4893969999999999</v>
      </c>
      <c r="G98">
        <v>2.4771390000000002</v>
      </c>
      <c r="H98">
        <v>2.4651429999999999</v>
      </c>
      <c r="I98">
        <v>2.4543300000000001</v>
      </c>
      <c r="J98">
        <v>2.393669</v>
      </c>
      <c r="K98">
        <v>2.4366370000000002</v>
      </c>
      <c r="L98">
        <v>2.5060020000000001</v>
      </c>
      <c r="M98">
        <v>2.5237479999999999</v>
      </c>
      <c r="N98">
        <v>2.497636</v>
      </c>
      <c r="O98">
        <v>2.5570249999999999</v>
      </c>
      <c r="P98">
        <v>2.5972430000000002</v>
      </c>
      <c r="Q98">
        <v>2.6370130000000001</v>
      </c>
      <c r="R98">
        <v>2.6917089999999999</v>
      </c>
      <c r="S98">
        <v>2.7876910000000001</v>
      </c>
      <c r="T98">
        <v>2.8402069999999999</v>
      </c>
      <c r="U98">
        <v>2.981519</v>
      </c>
      <c r="V98">
        <v>3.039955</v>
      </c>
      <c r="W98">
        <v>3.1009669999999998</v>
      </c>
      <c r="X98">
        <v>3.1657690000000001</v>
      </c>
      <c r="Y98">
        <v>3.2363430000000002</v>
      </c>
      <c r="Z98">
        <v>3.307455</v>
      </c>
      <c r="AA98">
        <v>3.3641760000000001</v>
      </c>
      <c r="AB98">
        <v>2.956725</v>
      </c>
      <c r="AC98">
        <v>3.488788</v>
      </c>
      <c r="AD98">
        <v>3.5678909999999999</v>
      </c>
      <c r="AE98">
        <v>3.6785139999999998</v>
      </c>
      <c r="AF98">
        <v>3.7572009999999998</v>
      </c>
      <c r="AG98" s="31">
        <v>1.6E-2</v>
      </c>
    </row>
    <row r="99" spans="1:33" x14ac:dyDescent="0.25">
      <c r="A99" t="s">
        <v>489</v>
      </c>
      <c r="B99" t="s">
        <v>597</v>
      </c>
      <c r="C99" t="s">
        <v>598</v>
      </c>
      <c r="D99" t="s">
        <v>540</v>
      </c>
      <c r="F99">
        <v>0.753328</v>
      </c>
      <c r="G99">
        <v>0.76869200000000004</v>
      </c>
      <c r="H99">
        <v>0.78161400000000003</v>
      </c>
      <c r="I99">
        <v>0.79462500000000003</v>
      </c>
      <c r="J99">
        <v>0.80959800000000004</v>
      </c>
      <c r="K99">
        <v>0.82396400000000003</v>
      </c>
      <c r="L99">
        <v>0.83937600000000001</v>
      </c>
      <c r="M99">
        <v>0.85664600000000002</v>
      </c>
      <c r="N99">
        <v>0.87485500000000005</v>
      </c>
      <c r="O99">
        <v>0.89397499999999996</v>
      </c>
      <c r="P99">
        <v>0.91383099999999995</v>
      </c>
      <c r="Q99">
        <v>0.93363700000000005</v>
      </c>
      <c r="R99">
        <v>0.95289500000000005</v>
      </c>
      <c r="S99">
        <v>0.97264600000000001</v>
      </c>
      <c r="T99">
        <v>0.99282400000000004</v>
      </c>
      <c r="U99">
        <v>1.0131699999999999</v>
      </c>
      <c r="V99">
        <v>1.0343230000000001</v>
      </c>
      <c r="W99">
        <v>1.0563009999999999</v>
      </c>
      <c r="X99">
        <v>1.078981</v>
      </c>
      <c r="Y99">
        <v>1.1025370000000001</v>
      </c>
      <c r="Z99">
        <v>1.126784</v>
      </c>
      <c r="AA99">
        <v>1.1517839999999999</v>
      </c>
      <c r="AB99">
        <v>1.177392</v>
      </c>
      <c r="AC99">
        <v>1.203954</v>
      </c>
      <c r="AD99">
        <v>1.2312529999999999</v>
      </c>
      <c r="AE99">
        <v>1.2592920000000001</v>
      </c>
      <c r="AF99">
        <v>1.288084</v>
      </c>
      <c r="AG99" s="31">
        <v>2.1000000000000001E-2</v>
      </c>
    </row>
    <row r="100" spans="1:33" x14ac:dyDescent="0.25">
      <c r="A100" t="s">
        <v>173</v>
      </c>
      <c r="B100" t="s">
        <v>597</v>
      </c>
      <c r="C100" t="s">
        <v>599</v>
      </c>
      <c r="D100" t="s">
        <v>540</v>
      </c>
      <c r="F100">
        <v>9.5338750000000001</v>
      </c>
      <c r="G100">
        <v>10.837247</v>
      </c>
      <c r="H100">
        <v>10.910973</v>
      </c>
      <c r="I100">
        <v>11.000693999999999</v>
      </c>
      <c r="J100">
        <v>11.350652999999999</v>
      </c>
      <c r="K100">
        <v>11.804646</v>
      </c>
      <c r="L100">
        <v>12.336460000000001</v>
      </c>
      <c r="M100">
        <v>12.880520000000001</v>
      </c>
      <c r="N100">
        <v>15.711171999999999</v>
      </c>
      <c r="O100">
        <v>16.592278</v>
      </c>
      <c r="P100">
        <v>17.379936000000001</v>
      </c>
      <c r="Q100">
        <v>15.714464</v>
      </c>
      <c r="R100">
        <v>15.976162</v>
      </c>
      <c r="S100">
        <v>16.201198999999999</v>
      </c>
      <c r="T100">
        <v>16.814762000000002</v>
      </c>
      <c r="U100">
        <v>17.255486999999999</v>
      </c>
      <c r="V100">
        <v>17.601434999999999</v>
      </c>
      <c r="W100">
        <v>17.801258000000001</v>
      </c>
      <c r="X100">
        <v>18.058201</v>
      </c>
      <c r="Y100">
        <v>18.54907</v>
      </c>
      <c r="Z100">
        <v>19.218167999999999</v>
      </c>
      <c r="AA100">
        <v>19.597013</v>
      </c>
      <c r="AB100">
        <v>20.066286000000002</v>
      </c>
      <c r="AC100">
        <v>20.483709000000001</v>
      </c>
      <c r="AD100">
        <v>21.006063000000001</v>
      </c>
      <c r="AE100">
        <v>21.253933</v>
      </c>
      <c r="AF100">
        <v>21.909707999999998</v>
      </c>
      <c r="AG100" s="31">
        <v>3.3000000000000002E-2</v>
      </c>
    </row>
    <row r="101" spans="1:33" x14ac:dyDescent="0.25">
      <c r="A101" t="s">
        <v>494</v>
      </c>
    </row>
    <row r="102" spans="1:33" x14ac:dyDescent="0.25">
      <c r="A102" t="s">
        <v>70</v>
      </c>
      <c r="B102" t="s">
        <v>600</v>
      </c>
      <c r="C102" t="s">
        <v>601</v>
      </c>
      <c r="D102" t="s">
        <v>540</v>
      </c>
      <c r="F102">
        <v>23.109310000000001</v>
      </c>
      <c r="G102">
        <v>22.414522000000002</v>
      </c>
      <c r="H102">
        <v>23.329108999999999</v>
      </c>
      <c r="I102">
        <v>23.51107</v>
      </c>
      <c r="J102">
        <v>23.977323999999999</v>
      </c>
      <c r="K102">
        <v>24.627171000000001</v>
      </c>
      <c r="L102">
        <v>25.635961999999999</v>
      </c>
      <c r="M102">
        <v>26.684418000000001</v>
      </c>
      <c r="N102">
        <v>28.113111</v>
      </c>
      <c r="O102">
        <v>29.879646000000001</v>
      </c>
      <c r="P102">
        <v>31.479326</v>
      </c>
      <c r="Q102">
        <v>32.720078000000001</v>
      </c>
      <c r="R102">
        <v>33.780650999999999</v>
      </c>
      <c r="S102">
        <v>34.709141000000002</v>
      </c>
      <c r="T102">
        <v>35.465167999999998</v>
      </c>
      <c r="U102">
        <v>36.191727</v>
      </c>
      <c r="V102">
        <v>37.046371000000001</v>
      </c>
      <c r="W102">
        <v>38.129978000000001</v>
      </c>
      <c r="X102">
        <v>39.213115999999999</v>
      </c>
      <c r="Y102">
        <v>40.531872</v>
      </c>
      <c r="Z102">
        <v>42.060836999999999</v>
      </c>
      <c r="AA102">
        <v>43.298594999999999</v>
      </c>
      <c r="AB102">
        <v>44.507221000000001</v>
      </c>
      <c r="AC102">
        <v>45.578304000000003</v>
      </c>
      <c r="AD102">
        <v>46.723022</v>
      </c>
      <c r="AE102">
        <v>48.164901999999998</v>
      </c>
      <c r="AF102">
        <v>50.125560999999998</v>
      </c>
      <c r="AG102" s="31">
        <v>0.03</v>
      </c>
    </row>
    <row r="103" spans="1:33" x14ac:dyDescent="0.25">
      <c r="A103" t="s">
        <v>463</v>
      </c>
      <c r="B103" t="s">
        <v>602</v>
      </c>
      <c r="C103" t="s">
        <v>603</v>
      </c>
      <c r="D103" t="s">
        <v>540</v>
      </c>
      <c r="F103">
        <v>28.823729</v>
      </c>
      <c r="G103">
        <v>29.528929000000002</v>
      </c>
      <c r="H103">
        <v>31.362501000000002</v>
      </c>
      <c r="I103">
        <v>31.520689000000001</v>
      </c>
      <c r="J103">
        <v>31.560877000000001</v>
      </c>
      <c r="K103">
        <v>31.091464999999999</v>
      </c>
      <c r="L103">
        <v>31.677883000000001</v>
      </c>
      <c r="M103">
        <v>32.462654000000001</v>
      </c>
      <c r="N103">
        <v>32.887005000000002</v>
      </c>
      <c r="O103">
        <v>33.282158000000003</v>
      </c>
      <c r="P103">
        <v>33.961295999999997</v>
      </c>
      <c r="Q103">
        <v>34.411186000000001</v>
      </c>
      <c r="R103">
        <v>35.304825000000001</v>
      </c>
      <c r="S103">
        <v>35.816043999999998</v>
      </c>
      <c r="T103">
        <v>36.071959999999997</v>
      </c>
      <c r="U103">
        <v>36.661803999999997</v>
      </c>
      <c r="V103">
        <v>37.037909999999997</v>
      </c>
      <c r="W103">
        <v>37.390469000000003</v>
      </c>
      <c r="X103">
        <v>37.650630999999997</v>
      </c>
      <c r="Y103">
        <v>38.484287000000002</v>
      </c>
      <c r="Z103">
        <v>37.357737999999998</v>
      </c>
      <c r="AA103">
        <v>37.673003999999999</v>
      </c>
      <c r="AB103">
        <v>38.832993000000002</v>
      </c>
      <c r="AC103">
        <v>39.919426000000001</v>
      </c>
      <c r="AD103">
        <v>40.931694</v>
      </c>
      <c r="AE103">
        <v>42.123843999999998</v>
      </c>
      <c r="AF103">
        <v>43.591473000000001</v>
      </c>
      <c r="AG103" s="31">
        <v>1.6E-2</v>
      </c>
    </row>
    <row r="104" spans="1:33" x14ac:dyDescent="0.25">
      <c r="A104" t="s">
        <v>101</v>
      </c>
      <c r="B104" t="s">
        <v>604</v>
      </c>
      <c r="C104" t="s">
        <v>605</v>
      </c>
      <c r="D104" t="s">
        <v>540</v>
      </c>
      <c r="F104">
        <v>28.684215999999999</v>
      </c>
      <c r="G104">
        <v>27.681436999999999</v>
      </c>
      <c r="H104">
        <v>26.491451000000001</v>
      </c>
      <c r="I104">
        <v>26.411290999999999</v>
      </c>
      <c r="J104">
        <v>26.620177999999999</v>
      </c>
      <c r="K104">
        <v>26.776727999999999</v>
      </c>
      <c r="L104">
        <v>27.309567999999999</v>
      </c>
      <c r="M104">
        <v>27.884841999999999</v>
      </c>
      <c r="N104">
        <v>28.271720999999999</v>
      </c>
      <c r="O104">
        <v>28.722332000000002</v>
      </c>
      <c r="P104">
        <v>29.297765999999999</v>
      </c>
      <c r="Q104">
        <v>29.686022000000001</v>
      </c>
      <c r="R104">
        <v>30.464237000000001</v>
      </c>
      <c r="S104">
        <v>30.909918000000001</v>
      </c>
      <c r="T104">
        <v>31.143837000000001</v>
      </c>
      <c r="U104">
        <v>31.616603999999999</v>
      </c>
      <c r="V104">
        <v>31.926437</v>
      </c>
      <c r="W104">
        <v>32.242401000000001</v>
      </c>
      <c r="X104">
        <v>32.465260000000001</v>
      </c>
      <c r="Y104">
        <v>33.212322</v>
      </c>
      <c r="Z104">
        <v>32.260314999999999</v>
      </c>
      <c r="AA104">
        <v>32.543757999999997</v>
      </c>
      <c r="AB104">
        <v>33.547530999999999</v>
      </c>
      <c r="AC104">
        <v>34.486041999999998</v>
      </c>
      <c r="AD104">
        <v>35.349339000000001</v>
      </c>
      <c r="AE104">
        <v>36.365566000000001</v>
      </c>
      <c r="AF104">
        <v>37.613399999999999</v>
      </c>
      <c r="AG104" s="31">
        <v>0.01</v>
      </c>
    </row>
    <row r="105" spans="1:33" x14ac:dyDescent="0.25">
      <c r="A105" t="s">
        <v>196</v>
      </c>
      <c r="B105" t="s">
        <v>606</v>
      </c>
      <c r="C105" t="s">
        <v>607</v>
      </c>
      <c r="D105" t="s">
        <v>540</v>
      </c>
      <c r="F105">
        <v>17.638923999999999</v>
      </c>
      <c r="G105">
        <v>16.730843</v>
      </c>
      <c r="H105">
        <v>16.808693000000002</v>
      </c>
      <c r="I105">
        <v>17.490393000000001</v>
      </c>
      <c r="J105">
        <v>18.456747</v>
      </c>
      <c r="K105">
        <v>19.450320999999999</v>
      </c>
      <c r="L105">
        <v>20.549154000000001</v>
      </c>
      <c r="M105">
        <v>21.108609999999999</v>
      </c>
      <c r="N105">
        <v>21.421351999999999</v>
      </c>
      <c r="O105">
        <v>22.26915</v>
      </c>
      <c r="P105">
        <v>22.921453</v>
      </c>
      <c r="Q105">
        <v>23.680696000000001</v>
      </c>
      <c r="R105">
        <v>24.265625</v>
      </c>
      <c r="S105">
        <v>25.095047000000001</v>
      </c>
      <c r="T105">
        <v>25.913125999999998</v>
      </c>
      <c r="U105">
        <v>26.590033999999999</v>
      </c>
      <c r="V105">
        <v>27.377469999999999</v>
      </c>
      <c r="W105">
        <v>28.422378999999999</v>
      </c>
      <c r="X105">
        <v>29.418960999999999</v>
      </c>
      <c r="Y105">
        <v>30.607809</v>
      </c>
      <c r="Z105">
        <v>32.390098999999999</v>
      </c>
      <c r="AA105">
        <v>33.059134999999998</v>
      </c>
      <c r="AB105">
        <v>33.981655000000003</v>
      </c>
      <c r="AC105">
        <v>34.762340999999999</v>
      </c>
      <c r="AD105">
        <v>35.556072</v>
      </c>
      <c r="AE105">
        <v>36.506385999999999</v>
      </c>
      <c r="AF105">
        <v>38.042904</v>
      </c>
      <c r="AG105" s="31">
        <v>0.03</v>
      </c>
    </row>
    <row r="106" spans="1:33" x14ac:dyDescent="0.25">
      <c r="A106" t="s">
        <v>74</v>
      </c>
      <c r="B106" t="s">
        <v>608</v>
      </c>
      <c r="C106" t="s">
        <v>609</v>
      </c>
      <c r="D106" t="s">
        <v>540</v>
      </c>
      <c r="F106">
        <v>27.012423999999999</v>
      </c>
      <c r="G106">
        <v>25.884561999999999</v>
      </c>
      <c r="H106">
        <v>25.626965999999999</v>
      </c>
      <c r="I106">
        <v>26.000551000000002</v>
      </c>
      <c r="J106">
        <v>26.664721</v>
      </c>
      <c r="K106">
        <v>27.356112</v>
      </c>
      <c r="L106">
        <v>28.127669999999998</v>
      </c>
      <c r="M106">
        <v>28.746926999999999</v>
      </c>
      <c r="N106">
        <v>29.207920000000001</v>
      </c>
      <c r="O106">
        <v>30.221215999999998</v>
      </c>
      <c r="P106">
        <v>31.016763999999998</v>
      </c>
      <c r="Q106">
        <v>31.977592000000001</v>
      </c>
      <c r="R106">
        <v>32.786361999999997</v>
      </c>
      <c r="S106">
        <v>33.797710000000002</v>
      </c>
      <c r="T106">
        <v>34.601337000000001</v>
      </c>
      <c r="U106">
        <v>35.455050999999997</v>
      </c>
      <c r="V106">
        <v>36.436881999999997</v>
      </c>
      <c r="W106">
        <v>37.581370999999997</v>
      </c>
      <c r="X106">
        <v>38.725025000000002</v>
      </c>
      <c r="Y106">
        <v>40.006999999999998</v>
      </c>
      <c r="Z106">
        <v>41.861465000000003</v>
      </c>
      <c r="AA106">
        <v>42.642971000000003</v>
      </c>
      <c r="AB106">
        <v>43.715823999999998</v>
      </c>
      <c r="AC106">
        <v>44.622470999999997</v>
      </c>
      <c r="AD106">
        <v>45.611153000000002</v>
      </c>
      <c r="AE106">
        <v>46.681786000000002</v>
      </c>
      <c r="AF106">
        <v>48.320259</v>
      </c>
      <c r="AG106" s="31">
        <v>2.3E-2</v>
      </c>
    </row>
    <row r="107" spans="1:33" x14ac:dyDescent="0.25">
      <c r="A107" t="s">
        <v>109</v>
      </c>
      <c r="B107" t="s">
        <v>610</v>
      </c>
      <c r="C107" t="s">
        <v>611</v>
      </c>
      <c r="D107" t="s">
        <v>540</v>
      </c>
      <c r="F107">
        <v>13.291615</v>
      </c>
      <c r="G107">
        <v>11.998288000000001</v>
      </c>
      <c r="H107">
        <v>12.972678999999999</v>
      </c>
      <c r="I107">
        <v>13.251227999999999</v>
      </c>
      <c r="J107">
        <v>13.577795999999999</v>
      </c>
      <c r="K107">
        <v>13.953678999999999</v>
      </c>
      <c r="L107">
        <v>14.375882000000001</v>
      </c>
      <c r="M107">
        <v>14.755181</v>
      </c>
      <c r="N107">
        <v>15.011139</v>
      </c>
      <c r="O107">
        <v>15.579243</v>
      </c>
      <c r="P107">
        <v>16.033218000000002</v>
      </c>
      <c r="Q107">
        <v>16.539465</v>
      </c>
      <c r="R107">
        <v>16.946718000000001</v>
      </c>
      <c r="S107">
        <v>17.409361000000001</v>
      </c>
      <c r="T107">
        <v>17.891283000000001</v>
      </c>
      <c r="U107">
        <v>18.285371999999999</v>
      </c>
      <c r="V107">
        <v>18.77422</v>
      </c>
      <c r="W107">
        <v>19.293474</v>
      </c>
      <c r="X107">
        <v>19.824280000000002</v>
      </c>
      <c r="Y107">
        <v>20.376919000000001</v>
      </c>
      <c r="Z107">
        <v>20.835225999999999</v>
      </c>
      <c r="AA107">
        <v>20.987272000000001</v>
      </c>
      <c r="AB107">
        <v>21.830573999999999</v>
      </c>
      <c r="AC107">
        <v>22.292175</v>
      </c>
      <c r="AD107">
        <v>22.829747999999999</v>
      </c>
      <c r="AE107">
        <v>23.500502000000001</v>
      </c>
      <c r="AF107">
        <v>24.800373</v>
      </c>
      <c r="AG107" s="31">
        <v>2.4E-2</v>
      </c>
    </row>
    <row r="108" spans="1:33" x14ac:dyDescent="0.25">
      <c r="A108" t="s">
        <v>80</v>
      </c>
      <c r="B108" t="s">
        <v>612</v>
      </c>
      <c r="C108" t="s">
        <v>613</v>
      </c>
      <c r="D108" t="s">
        <v>540</v>
      </c>
      <c r="F108">
        <v>5.3580649999999999</v>
      </c>
      <c r="G108">
        <v>5.722315</v>
      </c>
      <c r="H108">
        <v>5.8149699999999998</v>
      </c>
      <c r="I108">
        <v>5.7286580000000002</v>
      </c>
      <c r="J108">
        <v>5.8921060000000001</v>
      </c>
      <c r="K108">
        <v>6.128145</v>
      </c>
      <c r="L108">
        <v>6.4327430000000003</v>
      </c>
      <c r="M108">
        <v>6.7201009999999997</v>
      </c>
      <c r="N108">
        <v>7.2553349999999996</v>
      </c>
      <c r="O108">
        <v>7.8290769999999998</v>
      </c>
      <c r="P108">
        <v>8.2975309999999993</v>
      </c>
      <c r="Q108">
        <v>8.6270070000000008</v>
      </c>
      <c r="R108">
        <v>8.8335550000000005</v>
      </c>
      <c r="S108">
        <v>9.0423559999999998</v>
      </c>
      <c r="T108">
        <v>9.1978050000000007</v>
      </c>
      <c r="U108">
        <v>9.3466299999999993</v>
      </c>
      <c r="V108">
        <v>9.5685079999999996</v>
      </c>
      <c r="W108">
        <v>9.8578620000000008</v>
      </c>
      <c r="X108">
        <v>10.147022</v>
      </c>
      <c r="Y108">
        <v>10.456808000000001</v>
      </c>
      <c r="Z108">
        <v>10.753558</v>
      </c>
      <c r="AA108">
        <v>11.054584999999999</v>
      </c>
      <c r="AB108">
        <v>11.367796</v>
      </c>
      <c r="AC108">
        <v>11.621665</v>
      </c>
      <c r="AD108">
        <v>11.892199</v>
      </c>
      <c r="AE108">
        <v>12.247484</v>
      </c>
      <c r="AF108">
        <v>12.641952</v>
      </c>
      <c r="AG108" s="31">
        <v>3.4000000000000002E-2</v>
      </c>
    </row>
    <row r="109" spans="1:33" x14ac:dyDescent="0.25">
      <c r="A109" t="s">
        <v>156</v>
      </c>
      <c r="B109" t="s">
        <v>614</v>
      </c>
      <c r="C109" t="s">
        <v>615</v>
      </c>
      <c r="D109" t="s">
        <v>540</v>
      </c>
      <c r="F109">
        <v>7.7677550000000002</v>
      </c>
      <c r="G109">
        <v>7.7962429999999996</v>
      </c>
      <c r="H109">
        <v>7.8714389999999996</v>
      </c>
      <c r="I109">
        <v>7.9715699999999998</v>
      </c>
      <c r="J109">
        <v>8.0856320000000004</v>
      </c>
      <c r="K109">
        <v>8.2210680000000007</v>
      </c>
      <c r="L109">
        <v>8.3729139999999997</v>
      </c>
      <c r="M109">
        <v>8.5523050000000005</v>
      </c>
      <c r="N109">
        <v>8.7600099999999994</v>
      </c>
      <c r="O109">
        <v>8.9517279999999992</v>
      </c>
      <c r="P109">
        <v>9.1062159999999999</v>
      </c>
      <c r="Q109">
        <v>9.3269749999999991</v>
      </c>
      <c r="R109">
        <v>9.5201589999999996</v>
      </c>
      <c r="S109">
        <v>9.7152130000000003</v>
      </c>
      <c r="T109">
        <v>9.9198819999999994</v>
      </c>
      <c r="U109">
        <v>10.098601</v>
      </c>
      <c r="V109">
        <v>10.307525</v>
      </c>
      <c r="W109">
        <v>10.486297</v>
      </c>
      <c r="X109">
        <v>10.70411</v>
      </c>
      <c r="Y109">
        <v>10.927295000000001</v>
      </c>
      <c r="Z109">
        <v>11.176041</v>
      </c>
      <c r="AA109">
        <v>11.445536000000001</v>
      </c>
      <c r="AB109">
        <v>11.694777</v>
      </c>
      <c r="AC109">
        <v>11.951790000000001</v>
      </c>
      <c r="AD109">
        <v>12.221812</v>
      </c>
      <c r="AE109">
        <v>12.514791000000001</v>
      </c>
      <c r="AF109">
        <v>12.798068000000001</v>
      </c>
      <c r="AG109" s="31">
        <v>1.9E-2</v>
      </c>
    </row>
    <row r="110" spans="1:33" x14ac:dyDescent="0.25">
      <c r="A110" t="s">
        <v>276</v>
      </c>
      <c r="B110" t="s">
        <v>616</v>
      </c>
      <c r="C110" t="s">
        <v>617</v>
      </c>
      <c r="D110" t="s">
        <v>540</v>
      </c>
      <c r="F110">
        <v>2.5446469999999999</v>
      </c>
      <c r="G110">
        <v>2.5414219999999998</v>
      </c>
      <c r="H110">
        <v>2.5452400000000002</v>
      </c>
      <c r="I110">
        <v>2.5575169999999998</v>
      </c>
      <c r="J110">
        <v>2.5101749999999998</v>
      </c>
      <c r="K110">
        <v>2.5607890000000002</v>
      </c>
      <c r="L110">
        <v>2.6529020000000001</v>
      </c>
      <c r="M110">
        <v>2.6853799999999999</v>
      </c>
      <c r="N110">
        <v>3.0311409999999999</v>
      </c>
      <c r="O110">
        <v>3.096851</v>
      </c>
      <c r="P110">
        <v>3.1570849999999999</v>
      </c>
      <c r="Q110">
        <v>3.2215600000000002</v>
      </c>
      <c r="R110">
        <v>3.2995100000000002</v>
      </c>
      <c r="S110">
        <v>3.414034</v>
      </c>
      <c r="T110">
        <v>3.5140790000000002</v>
      </c>
      <c r="U110">
        <v>4.0301130000000001</v>
      </c>
      <c r="V110">
        <v>4.1106280000000002</v>
      </c>
      <c r="W110">
        <v>4.1862130000000004</v>
      </c>
      <c r="X110">
        <v>4.2653930000000004</v>
      </c>
      <c r="Y110">
        <v>4.3564350000000003</v>
      </c>
      <c r="Z110">
        <v>4.4596030000000004</v>
      </c>
      <c r="AA110">
        <v>4.5947420000000001</v>
      </c>
      <c r="AB110">
        <v>5.1014340000000002</v>
      </c>
      <c r="AC110">
        <v>5.2751900000000003</v>
      </c>
      <c r="AD110">
        <v>5.3916740000000001</v>
      </c>
      <c r="AE110">
        <v>5.5323190000000002</v>
      </c>
      <c r="AF110">
        <v>5.6633009999999997</v>
      </c>
      <c r="AG110" s="31">
        <v>3.1E-2</v>
      </c>
    </row>
    <row r="111" spans="1:33" x14ac:dyDescent="0.25">
      <c r="A111" t="s">
        <v>173</v>
      </c>
      <c r="B111" t="s">
        <v>616</v>
      </c>
      <c r="C111" t="s">
        <v>618</v>
      </c>
      <c r="D111" t="s">
        <v>540</v>
      </c>
      <c r="F111">
        <v>9.5735130000000002</v>
      </c>
      <c r="G111">
        <v>10.98015</v>
      </c>
      <c r="H111">
        <v>11.222939999999999</v>
      </c>
      <c r="I111">
        <v>11.575183000000001</v>
      </c>
      <c r="J111">
        <v>12.328448</v>
      </c>
      <c r="K111">
        <v>13.268542999999999</v>
      </c>
      <c r="L111">
        <v>14.347576</v>
      </c>
      <c r="M111">
        <v>16.142441000000002</v>
      </c>
      <c r="N111">
        <v>19.418747</v>
      </c>
      <c r="O111">
        <v>22.671690000000002</v>
      </c>
      <c r="P111">
        <v>25.497254999999999</v>
      </c>
      <c r="Q111">
        <v>27.864777</v>
      </c>
      <c r="R111">
        <v>29.821745</v>
      </c>
      <c r="S111">
        <v>31.660488000000001</v>
      </c>
      <c r="T111">
        <v>33.810867000000002</v>
      </c>
      <c r="U111">
        <v>35.714889999999997</v>
      </c>
      <c r="V111">
        <v>37.473171000000001</v>
      </c>
      <c r="W111">
        <v>39.005645999999999</v>
      </c>
      <c r="X111">
        <v>40.525500999999998</v>
      </c>
      <c r="Y111">
        <v>42.235183999999997</v>
      </c>
      <c r="Z111">
        <v>44.105499000000002</v>
      </c>
      <c r="AA111">
        <v>45.643622999999998</v>
      </c>
      <c r="AB111">
        <v>47.315781000000001</v>
      </c>
      <c r="AC111">
        <v>48.825775</v>
      </c>
      <c r="AD111">
        <v>50.416953999999997</v>
      </c>
      <c r="AE111">
        <v>51.570450000000001</v>
      </c>
      <c r="AF111">
        <v>53.229416000000001</v>
      </c>
      <c r="AG111" s="31">
        <v>6.8000000000000005E-2</v>
      </c>
    </row>
    <row r="112" spans="1:33" x14ac:dyDescent="0.25">
      <c r="A112" t="s">
        <v>432</v>
      </c>
      <c r="B112" t="s">
        <v>619</v>
      </c>
      <c r="C112" t="s">
        <v>620</v>
      </c>
      <c r="D112" t="s">
        <v>540</v>
      </c>
      <c r="F112">
        <v>38.098598000000003</v>
      </c>
      <c r="G112">
        <v>38.098736000000002</v>
      </c>
      <c r="H112">
        <v>36.198349</v>
      </c>
      <c r="I112">
        <v>34.870635999999998</v>
      </c>
      <c r="J112">
        <v>35.342323</v>
      </c>
      <c r="K112">
        <v>36.371208000000003</v>
      </c>
      <c r="L112">
        <v>37.562035000000002</v>
      </c>
      <c r="M112">
        <v>39.025638999999998</v>
      </c>
      <c r="N112">
        <v>40.473537</v>
      </c>
      <c r="O112">
        <v>42.268402000000002</v>
      </c>
      <c r="P112">
        <v>43.500267000000001</v>
      </c>
      <c r="Q112">
        <v>44.211486999999998</v>
      </c>
      <c r="R112">
        <v>44.706985000000003</v>
      </c>
      <c r="S112">
        <v>45.282162</v>
      </c>
      <c r="T112">
        <v>46.456257000000001</v>
      </c>
      <c r="U112">
        <v>47.107520999999998</v>
      </c>
      <c r="V112">
        <v>47.947422000000003</v>
      </c>
      <c r="W112">
        <v>48.992668000000002</v>
      </c>
      <c r="X112">
        <v>50.289810000000003</v>
      </c>
      <c r="Y112">
        <v>51.627769000000001</v>
      </c>
      <c r="Z112">
        <v>53.079360999999999</v>
      </c>
      <c r="AA112">
        <v>54.511825999999999</v>
      </c>
      <c r="AB112">
        <v>56.004536000000002</v>
      </c>
      <c r="AC112">
        <v>57.434128000000001</v>
      </c>
      <c r="AD112">
        <v>59.158371000000002</v>
      </c>
      <c r="AE112">
        <v>60.895232999999998</v>
      </c>
      <c r="AF112">
        <v>62.765265999999997</v>
      </c>
      <c r="AG112" s="31">
        <v>1.9E-2</v>
      </c>
    </row>
    <row r="113" spans="1:33" x14ac:dyDescent="0.25">
      <c r="A113" t="s">
        <v>517</v>
      </c>
    </row>
    <row r="114" spans="1:33" x14ac:dyDescent="0.25">
      <c r="A114" t="s">
        <v>621</v>
      </c>
    </row>
    <row r="115" spans="1:33" x14ac:dyDescent="0.25">
      <c r="A115" t="s">
        <v>69</v>
      </c>
      <c r="B115" t="s">
        <v>622</v>
      </c>
      <c r="C115" t="s">
        <v>623</v>
      </c>
      <c r="D115" t="s">
        <v>624</v>
      </c>
      <c r="F115">
        <v>321.871307</v>
      </c>
      <c r="G115">
        <v>322.35409499999997</v>
      </c>
      <c r="H115">
        <v>317.11441000000002</v>
      </c>
      <c r="I115">
        <v>312.96801799999997</v>
      </c>
      <c r="J115">
        <v>319.52551299999999</v>
      </c>
      <c r="K115">
        <v>329.18908699999997</v>
      </c>
      <c r="L115">
        <v>339.891052</v>
      </c>
      <c r="M115">
        <v>353.39932299999998</v>
      </c>
      <c r="N115">
        <v>368.72479199999998</v>
      </c>
      <c r="O115">
        <v>387.31341600000002</v>
      </c>
      <c r="P115">
        <v>403.03189099999997</v>
      </c>
      <c r="Q115">
        <v>416.12493899999998</v>
      </c>
      <c r="R115">
        <v>427.70727499999998</v>
      </c>
      <c r="S115">
        <v>439.79626500000001</v>
      </c>
      <c r="T115">
        <v>455.33425899999997</v>
      </c>
      <c r="U115">
        <v>467.56399499999998</v>
      </c>
      <c r="V115">
        <v>481.88931300000002</v>
      </c>
      <c r="W115">
        <v>498.19812000000002</v>
      </c>
      <c r="X115">
        <v>516.23767099999998</v>
      </c>
      <c r="Y115">
        <v>534.85070800000005</v>
      </c>
      <c r="Z115">
        <v>554.361267</v>
      </c>
      <c r="AA115">
        <v>573.61224400000003</v>
      </c>
      <c r="AB115">
        <v>593.71679700000004</v>
      </c>
      <c r="AC115">
        <v>613.12908900000002</v>
      </c>
      <c r="AD115">
        <v>634.613831</v>
      </c>
      <c r="AE115">
        <v>656.858521</v>
      </c>
      <c r="AF115">
        <v>680.71991000000003</v>
      </c>
      <c r="AG115" s="31">
        <v>2.9000000000000001E-2</v>
      </c>
    </row>
    <row r="116" spans="1:33" x14ac:dyDescent="0.25">
      <c r="A116" t="s">
        <v>98</v>
      </c>
      <c r="B116" t="s">
        <v>625</v>
      </c>
      <c r="C116" t="s">
        <v>626</v>
      </c>
      <c r="D116" t="s">
        <v>624</v>
      </c>
      <c r="F116">
        <v>241.12788399999999</v>
      </c>
      <c r="G116">
        <v>241.92074600000001</v>
      </c>
      <c r="H116">
        <v>232.79376199999999</v>
      </c>
      <c r="I116">
        <v>228.61087000000001</v>
      </c>
      <c r="J116">
        <v>234.53324900000001</v>
      </c>
      <c r="K116">
        <v>244.93911700000001</v>
      </c>
      <c r="L116">
        <v>256.45712300000002</v>
      </c>
      <c r="M116">
        <v>269.82525600000002</v>
      </c>
      <c r="N116">
        <v>285.022583</v>
      </c>
      <c r="O116">
        <v>302.81805400000002</v>
      </c>
      <c r="P116">
        <v>318.19619799999998</v>
      </c>
      <c r="Q116">
        <v>330.90664700000002</v>
      </c>
      <c r="R116">
        <v>342.49700899999999</v>
      </c>
      <c r="S116">
        <v>354.46112099999999</v>
      </c>
      <c r="T116">
        <v>370.10269199999999</v>
      </c>
      <c r="U116">
        <v>381.963257</v>
      </c>
      <c r="V116">
        <v>395.83071899999999</v>
      </c>
      <c r="W116">
        <v>411.78280599999999</v>
      </c>
      <c r="X116">
        <v>429.42245500000001</v>
      </c>
      <c r="Y116">
        <v>447.89343300000002</v>
      </c>
      <c r="Z116">
        <v>466.49432400000001</v>
      </c>
      <c r="AA116">
        <v>485.67340100000001</v>
      </c>
      <c r="AB116">
        <v>506.15258799999998</v>
      </c>
      <c r="AC116">
        <v>525.80535899999995</v>
      </c>
      <c r="AD116">
        <v>548.46331799999996</v>
      </c>
      <c r="AE116">
        <v>572.14532499999996</v>
      </c>
      <c r="AF116">
        <v>597.61908000000005</v>
      </c>
      <c r="AG116" s="31">
        <v>3.5999999999999997E-2</v>
      </c>
    </row>
    <row r="117" spans="1:33" x14ac:dyDescent="0.25">
      <c r="A117" t="s">
        <v>130</v>
      </c>
      <c r="B117" t="s">
        <v>627</v>
      </c>
      <c r="C117" t="s">
        <v>628</v>
      </c>
      <c r="D117" t="s">
        <v>624</v>
      </c>
      <c r="F117">
        <v>225.60749799999999</v>
      </c>
      <c r="G117">
        <v>233.347748</v>
      </c>
      <c r="H117">
        <v>232.63331600000001</v>
      </c>
      <c r="I117">
        <v>230.54548600000001</v>
      </c>
      <c r="J117">
        <v>236.489532</v>
      </c>
      <c r="K117">
        <v>245.96961999999999</v>
      </c>
      <c r="L117">
        <v>258.84860200000003</v>
      </c>
      <c r="M117">
        <v>272.72555499999999</v>
      </c>
      <c r="N117">
        <v>292.15960699999999</v>
      </c>
      <c r="O117">
        <v>313.488495</v>
      </c>
      <c r="P117">
        <v>331.33261099999999</v>
      </c>
      <c r="Q117">
        <v>344.58126800000002</v>
      </c>
      <c r="R117">
        <v>355.25546300000002</v>
      </c>
      <c r="S117">
        <v>365.63192700000002</v>
      </c>
      <c r="T117">
        <v>376.78051799999997</v>
      </c>
      <c r="U117">
        <v>387.67849699999999</v>
      </c>
      <c r="V117">
        <v>401.70617700000003</v>
      </c>
      <c r="W117">
        <v>418.00976600000001</v>
      </c>
      <c r="X117">
        <v>435.43841600000002</v>
      </c>
      <c r="Y117">
        <v>452.73104899999998</v>
      </c>
      <c r="Z117">
        <v>472.00134300000002</v>
      </c>
      <c r="AA117">
        <v>488.77108800000002</v>
      </c>
      <c r="AB117">
        <v>507.06323200000003</v>
      </c>
      <c r="AC117">
        <v>525.046021</v>
      </c>
      <c r="AD117">
        <v>543.44293200000004</v>
      </c>
      <c r="AE117">
        <v>565.82891800000004</v>
      </c>
      <c r="AF117">
        <v>592.63476600000001</v>
      </c>
      <c r="AG117" s="31">
        <v>3.7999999999999999E-2</v>
      </c>
    </row>
    <row r="118" spans="1:33" x14ac:dyDescent="0.25">
      <c r="A118" t="s">
        <v>188</v>
      </c>
      <c r="B118" t="s">
        <v>629</v>
      </c>
      <c r="C118" t="s">
        <v>630</v>
      </c>
      <c r="D118" t="s">
        <v>624</v>
      </c>
      <c r="F118">
        <v>714.84161400000005</v>
      </c>
      <c r="G118">
        <v>690.20098900000005</v>
      </c>
      <c r="H118">
        <v>668.44512899999995</v>
      </c>
      <c r="I118">
        <v>667.23376499999995</v>
      </c>
      <c r="J118">
        <v>671.56817599999999</v>
      </c>
      <c r="K118">
        <v>673.57946800000002</v>
      </c>
      <c r="L118">
        <v>678.96734600000002</v>
      </c>
      <c r="M118">
        <v>679.87359600000002</v>
      </c>
      <c r="N118">
        <v>671.37170400000002</v>
      </c>
      <c r="O118">
        <v>668.91247599999997</v>
      </c>
      <c r="P118">
        <v>666.54028300000004</v>
      </c>
      <c r="Q118">
        <v>662.92517099999998</v>
      </c>
      <c r="R118">
        <v>661.86431900000002</v>
      </c>
      <c r="S118">
        <v>658.93695100000002</v>
      </c>
      <c r="T118">
        <v>653.432861</v>
      </c>
      <c r="U118">
        <v>650.75500499999998</v>
      </c>
      <c r="V118">
        <v>649.47705099999996</v>
      </c>
      <c r="W118">
        <v>650.612976</v>
      </c>
      <c r="X118">
        <v>651.25012200000003</v>
      </c>
      <c r="Y118">
        <v>660.51159700000005</v>
      </c>
      <c r="Z118">
        <v>659.09771699999999</v>
      </c>
      <c r="AA118">
        <v>661.50170900000001</v>
      </c>
      <c r="AB118">
        <v>674.03668200000004</v>
      </c>
      <c r="AC118">
        <v>685.94421399999999</v>
      </c>
      <c r="AD118">
        <v>696.39080799999999</v>
      </c>
      <c r="AE118">
        <v>711.49890100000005</v>
      </c>
      <c r="AF118">
        <v>734.990723</v>
      </c>
      <c r="AG118" s="31">
        <v>1E-3</v>
      </c>
    </row>
    <row r="119" spans="1:33" x14ac:dyDescent="0.25">
      <c r="A119" t="s">
        <v>528</v>
      </c>
      <c r="B119" t="s">
        <v>631</v>
      </c>
      <c r="C119" t="s">
        <v>632</v>
      </c>
      <c r="D119" t="s">
        <v>624</v>
      </c>
      <c r="F119">
        <v>1503.4482419999999</v>
      </c>
      <c r="G119">
        <v>1487.8236079999999</v>
      </c>
      <c r="H119">
        <v>1450.986572</v>
      </c>
      <c r="I119">
        <v>1439.358154</v>
      </c>
      <c r="J119">
        <v>1462.1164550000001</v>
      </c>
      <c r="K119">
        <v>1493.6773679999999</v>
      </c>
      <c r="L119">
        <v>1534.164307</v>
      </c>
      <c r="M119">
        <v>1575.8238530000001</v>
      </c>
      <c r="N119">
        <v>1617.2788089999999</v>
      </c>
      <c r="O119">
        <v>1672.5323490000001</v>
      </c>
      <c r="P119">
        <v>1719.1008300000001</v>
      </c>
      <c r="Q119">
        <v>1754.538086</v>
      </c>
      <c r="R119">
        <v>1787.323975</v>
      </c>
      <c r="S119">
        <v>1818.826294</v>
      </c>
      <c r="T119">
        <v>1855.650269</v>
      </c>
      <c r="U119">
        <v>1887.960693</v>
      </c>
      <c r="V119">
        <v>1928.903198</v>
      </c>
      <c r="W119">
        <v>1978.603638</v>
      </c>
      <c r="X119">
        <v>2032.3486330000001</v>
      </c>
      <c r="Y119">
        <v>2095.9868160000001</v>
      </c>
      <c r="Z119">
        <v>2151.9545899999998</v>
      </c>
      <c r="AA119">
        <v>2209.5583499999998</v>
      </c>
      <c r="AB119">
        <v>2280.9692380000001</v>
      </c>
      <c r="AC119">
        <v>2349.9248050000001</v>
      </c>
      <c r="AD119">
        <v>2422.9108890000002</v>
      </c>
      <c r="AE119">
        <v>2506.3317870000001</v>
      </c>
      <c r="AF119">
        <v>2605.9645999999998</v>
      </c>
      <c r="AG119" s="31">
        <v>2.1000000000000001E-2</v>
      </c>
    </row>
    <row r="120" spans="1:33" x14ac:dyDescent="0.25">
      <c r="A120" t="s">
        <v>531</v>
      </c>
      <c r="B120" t="s">
        <v>633</v>
      </c>
      <c r="C120" t="s">
        <v>634</v>
      </c>
      <c r="D120" t="s">
        <v>624</v>
      </c>
      <c r="F120">
        <v>0.107875</v>
      </c>
      <c r="G120">
        <v>0.10240100000000001</v>
      </c>
      <c r="H120">
        <v>9.7017999999999993E-2</v>
      </c>
      <c r="I120">
        <v>9.1324000000000002E-2</v>
      </c>
      <c r="J120">
        <v>8.8725999999999999E-2</v>
      </c>
      <c r="K120">
        <v>9.0595999999999996E-2</v>
      </c>
      <c r="L120">
        <v>8.7499999999999994E-2</v>
      </c>
      <c r="M120">
        <v>8.2830000000000001E-2</v>
      </c>
      <c r="N120">
        <v>7.8111E-2</v>
      </c>
      <c r="O120">
        <v>7.4113999999999999E-2</v>
      </c>
      <c r="P120">
        <v>7.1632000000000001E-2</v>
      </c>
      <c r="Q120">
        <v>6.8283999999999997E-2</v>
      </c>
      <c r="R120">
        <v>6.5614000000000006E-2</v>
      </c>
      <c r="S120">
        <v>6.3192999999999999E-2</v>
      </c>
      <c r="T120">
        <v>6.0099E-2</v>
      </c>
      <c r="U120">
        <v>5.8325000000000002E-2</v>
      </c>
      <c r="V120">
        <v>5.7591999999999997E-2</v>
      </c>
      <c r="W120">
        <v>5.6904000000000003E-2</v>
      </c>
      <c r="X120">
        <v>5.6271000000000002E-2</v>
      </c>
      <c r="Y120">
        <v>5.6958000000000002E-2</v>
      </c>
      <c r="Z120">
        <v>5.6099000000000003E-2</v>
      </c>
      <c r="AA120">
        <v>5.5107999999999997E-2</v>
      </c>
      <c r="AB120">
        <v>5.6670999999999999E-2</v>
      </c>
      <c r="AC120">
        <v>5.9575999999999997E-2</v>
      </c>
      <c r="AD120">
        <v>6.0895999999999999E-2</v>
      </c>
      <c r="AE120">
        <v>6.2701000000000007E-2</v>
      </c>
      <c r="AF120">
        <v>6.4535999999999996E-2</v>
      </c>
      <c r="AG120" s="31">
        <v>-0.02</v>
      </c>
    </row>
    <row r="121" spans="1:33" x14ac:dyDescent="0.25">
      <c r="A121" t="s">
        <v>534</v>
      </c>
      <c r="B121" t="s">
        <v>635</v>
      </c>
      <c r="C121" t="s">
        <v>636</v>
      </c>
      <c r="D121" t="s">
        <v>624</v>
      </c>
      <c r="F121">
        <v>1503.5561520000001</v>
      </c>
      <c r="G121">
        <v>1487.926025</v>
      </c>
      <c r="H121">
        <v>1451.08374</v>
      </c>
      <c r="I121">
        <v>1439.4494629999999</v>
      </c>
      <c r="J121">
        <v>1462.205078</v>
      </c>
      <c r="K121">
        <v>1493.7679439999999</v>
      </c>
      <c r="L121">
        <v>1534.251831</v>
      </c>
      <c r="M121">
        <v>1575.906616</v>
      </c>
      <c r="N121">
        <v>1617.3569339999999</v>
      </c>
      <c r="O121">
        <v>1672.6064449999999</v>
      </c>
      <c r="P121">
        <v>1719.172607</v>
      </c>
      <c r="Q121">
        <v>1754.606323</v>
      </c>
      <c r="R121">
        <v>1787.3895259999999</v>
      </c>
      <c r="S121">
        <v>1818.8892820000001</v>
      </c>
      <c r="T121">
        <v>1855.710327</v>
      </c>
      <c r="U121">
        <v>1888.0191649999999</v>
      </c>
      <c r="V121">
        <v>1928.960693</v>
      </c>
      <c r="W121">
        <v>1978.6605219999999</v>
      </c>
      <c r="X121">
        <v>2032.4049070000001</v>
      </c>
      <c r="Y121">
        <v>2096.0437010000001</v>
      </c>
      <c r="Z121">
        <v>2152.0109859999998</v>
      </c>
      <c r="AA121">
        <v>2209.6135250000002</v>
      </c>
      <c r="AB121">
        <v>2281.0258789999998</v>
      </c>
      <c r="AC121">
        <v>2349.984375</v>
      </c>
      <c r="AD121">
        <v>2422.9716800000001</v>
      </c>
      <c r="AE121">
        <v>2506.3942870000001</v>
      </c>
      <c r="AF121">
        <v>2606.0288089999999</v>
      </c>
      <c r="AG121" s="31">
        <v>2.1000000000000001E-2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70"/>
  <sheetViews>
    <sheetView workbookViewId="0"/>
  </sheetViews>
  <sheetFormatPr defaultRowHeight="15" x14ac:dyDescent="0.25"/>
  <cols>
    <col min="1" max="1" width="25.42578125" customWidth="1"/>
    <col min="2" max="2" width="30.28515625" customWidth="1"/>
  </cols>
  <sheetData>
    <row r="1" spans="1:35" x14ac:dyDescent="0.25">
      <c r="A1" t="s">
        <v>637</v>
      </c>
    </row>
    <row r="2" spans="1:35" x14ac:dyDescent="0.25">
      <c r="A2" t="s">
        <v>638</v>
      </c>
    </row>
    <row r="3" spans="1:35" x14ac:dyDescent="0.25">
      <c r="A3" t="s">
        <v>639</v>
      </c>
    </row>
    <row r="4" spans="1:35" x14ac:dyDescent="0.25">
      <c r="A4" t="s">
        <v>64</v>
      </c>
    </row>
    <row r="5" spans="1:35" x14ac:dyDescent="0.25">
      <c r="B5" t="s">
        <v>65</v>
      </c>
      <c r="C5" t="s">
        <v>66</v>
      </c>
      <c r="D5" t="s">
        <v>67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68</v>
      </c>
    </row>
    <row r="6" spans="1:35" x14ac:dyDescent="0.25">
      <c r="A6" t="s">
        <v>640</v>
      </c>
    </row>
    <row r="7" spans="1:35" x14ac:dyDescent="0.25">
      <c r="A7" t="s">
        <v>641</v>
      </c>
    </row>
    <row r="8" spans="1:35" x14ac:dyDescent="0.25">
      <c r="A8" t="s">
        <v>642</v>
      </c>
      <c r="B8" t="s">
        <v>643</v>
      </c>
      <c r="C8" t="s">
        <v>644</v>
      </c>
      <c r="D8" t="s">
        <v>416</v>
      </c>
      <c r="F8">
        <v>5974.9638670000004</v>
      </c>
      <c r="G8">
        <v>6102.1035160000001</v>
      </c>
      <c r="H8">
        <v>6220.3818359999996</v>
      </c>
      <c r="I8">
        <v>6297.6889650000003</v>
      </c>
      <c r="J8">
        <v>6359.107422</v>
      </c>
      <c r="K8">
        <v>6419.7265619999998</v>
      </c>
      <c r="L8">
        <v>6479.2929690000001</v>
      </c>
      <c r="M8">
        <v>6523.9873049999997</v>
      </c>
      <c r="N8">
        <v>6577.8891599999997</v>
      </c>
      <c r="O8">
        <v>6614.6308589999999</v>
      </c>
      <c r="P8">
        <v>6684.3378910000001</v>
      </c>
      <c r="Q8">
        <v>6740.0898440000001</v>
      </c>
      <c r="R8">
        <v>6793.6845700000003</v>
      </c>
      <c r="S8">
        <v>6856.6503910000001</v>
      </c>
      <c r="T8">
        <v>6918.3002930000002</v>
      </c>
      <c r="U8">
        <v>6987.3959960000002</v>
      </c>
      <c r="V8">
        <v>7063.0190430000002</v>
      </c>
      <c r="W8">
        <v>7128.4628910000001</v>
      </c>
      <c r="X8">
        <v>7196.8642579999996</v>
      </c>
      <c r="Y8">
        <v>7256.6079099999997</v>
      </c>
      <c r="Z8">
        <v>7322.8701170000004</v>
      </c>
      <c r="AA8">
        <v>7384.3310549999997</v>
      </c>
      <c r="AB8">
        <v>7454.5502930000002</v>
      </c>
      <c r="AC8">
        <v>7535.2563479999999</v>
      </c>
      <c r="AD8">
        <v>7606.2373049999997</v>
      </c>
      <c r="AE8">
        <v>7681.5273440000001</v>
      </c>
      <c r="AF8">
        <v>7743.6044920000004</v>
      </c>
      <c r="AG8" s="31">
        <v>0.01</v>
      </c>
    </row>
    <row r="9" spans="1:35" x14ac:dyDescent="0.25">
      <c r="A9" t="s">
        <v>645</v>
      </c>
      <c r="B9" t="s">
        <v>646</v>
      </c>
      <c r="C9" t="s">
        <v>647</v>
      </c>
      <c r="D9" t="s">
        <v>648</v>
      </c>
      <c r="E9" t="s">
        <v>649</v>
      </c>
      <c r="F9" t="s">
        <v>416</v>
      </c>
      <c r="H9">
        <v>2718.2504880000001</v>
      </c>
      <c r="I9">
        <v>2777.9179690000001</v>
      </c>
      <c r="J9">
        <v>2803.5085450000001</v>
      </c>
      <c r="K9">
        <v>2839.2778320000002</v>
      </c>
      <c r="L9">
        <v>2891.1875</v>
      </c>
      <c r="M9">
        <v>2948.4794919999999</v>
      </c>
      <c r="N9">
        <v>2992.1098630000001</v>
      </c>
      <c r="O9">
        <v>3020.3398440000001</v>
      </c>
      <c r="P9">
        <v>3053.4860840000001</v>
      </c>
      <c r="Q9">
        <v>3066.1999510000001</v>
      </c>
      <c r="R9">
        <v>3074.7314449999999</v>
      </c>
      <c r="S9">
        <v>3093.0898440000001</v>
      </c>
      <c r="T9">
        <v>3117.248047</v>
      </c>
      <c r="U9">
        <v>3128.8452149999998</v>
      </c>
      <c r="V9">
        <v>3144.9645999999998</v>
      </c>
      <c r="W9">
        <v>3159.154297</v>
      </c>
      <c r="X9">
        <v>3177.1713869999999</v>
      </c>
      <c r="Y9">
        <v>3191.8076169999999</v>
      </c>
      <c r="Z9">
        <v>3212.5195309999999</v>
      </c>
      <c r="AA9">
        <v>3226.1708979999999</v>
      </c>
      <c r="AB9">
        <v>3241.9814449999999</v>
      </c>
      <c r="AC9">
        <v>3269.1503910000001</v>
      </c>
      <c r="AD9">
        <v>3302.4121089999999</v>
      </c>
      <c r="AE9">
        <v>3332.982422</v>
      </c>
      <c r="AF9">
        <v>3363.429443</v>
      </c>
      <c r="AG9">
        <v>3398.2006839999999</v>
      </c>
      <c r="AH9">
        <v>3430.1721189999998</v>
      </c>
      <c r="AI9" s="31">
        <v>8.9999999999999993E-3</v>
      </c>
    </row>
    <row r="10" spans="1:35" x14ac:dyDescent="0.25">
      <c r="A10" t="s">
        <v>95</v>
      </c>
      <c r="B10" t="s">
        <v>650</v>
      </c>
      <c r="C10" t="s">
        <v>651</v>
      </c>
      <c r="D10" t="s">
        <v>416</v>
      </c>
      <c r="F10">
        <v>8693.2148440000001</v>
      </c>
      <c r="G10">
        <v>8880.0214840000008</v>
      </c>
      <c r="H10">
        <v>9023.890625</v>
      </c>
      <c r="I10">
        <v>9136.9667969999991</v>
      </c>
      <c r="J10">
        <v>9250.2949219999991</v>
      </c>
      <c r="K10">
        <v>9368.2060550000006</v>
      </c>
      <c r="L10">
        <v>9471.4023440000001</v>
      </c>
      <c r="M10">
        <v>9544.3271480000003</v>
      </c>
      <c r="N10">
        <v>9631.375</v>
      </c>
      <c r="O10">
        <v>9680.8310550000006</v>
      </c>
      <c r="P10">
        <v>9759.0693360000005</v>
      </c>
      <c r="Q10">
        <v>9833.1796880000002</v>
      </c>
      <c r="R10">
        <v>9910.9326170000004</v>
      </c>
      <c r="S10">
        <v>9985.4960940000001</v>
      </c>
      <c r="T10">
        <v>10063.264648</v>
      </c>
      <c r="U10">
        <v>10146.550781</v>
      </c>
      <c r="V10">
        <v>10240.190430000001</v>
      </c>
      <c r="W10">
        <v>10320.270508</v>
      </c>
      <c r="X10">
        <v>10409.383789</v>
      </c>
      <c r="Y10">
        <v>10482.779296999999</v>
      </c>
      <c r="Z10">
        <v>10564.851562</v>
      </c>
      <c r="AA10">
        <v>10653.481444999999</v>
      </c>
      <c r="AB10">
        <v>10756.962890999999</v>
      </c>
      <c r="AC10">
        <v>10868.238281</v>
      </c>
      <c r="AD10">
        <v>10969.666992</v>
      </c>
      <c r="AE10">
        <v>11079.728515999999</v>
      </c>
      <c r="AF10">
        <v>11173.776367</v>
      </c>
      <c r="AG10" s="31">
        <v>0.01</v>
      </c>
    </row>
    <row r="11" spans="1:35" x14ac:dyDescent="0.25">
      <c r="A11" t="s">
        <v>652</v>
      </c>
    </row>
    <row r="12" spans="1:35" x14ac:dyDescent="0.25">
      <c r="A12" t="s">
        <v>653</v>
      </c>
    </row>
    <row r="13" spans="1:35" x14ac:dyDescent="0.25">
      <c r="A13" t="s">
        <v>70</v>
      </c>
      <c r="B13" t="s">
        <v>654</v>
      </c>
      <c r="C13" t="s">
        <v>655</v>
      </c>
      <c r="D13" t="s">
        <v>427</v>
      </c>
      <c r="F13">
        <v>12.660259999999999</v>
      </c>
      <c r="G13">
        <v>12.605674</v>
      </c>
      <c r="H13">
        <v>13.465074</v>
      </c>
      <c r="I13">
        <v>13.314802</v>
      </c>
      <c r="J13">
        <v>13.427592000000001</v>
      </c>
      <c r="K13">
        <v>13.722619999999999</v>
      </c>
      <c r="L13">
        <v>14.298681999999999</v>
      </c>
      <c r="M13">
        <v>14.759734999999999</v>
      </c>
      <c r="N13">
        <v>15.554036</v>
      </c>
      <c r="O13">
        <v>16.543209000000001</v>
      </c>
      <c r="P13">
        <v>17.23724</v>
      </c>
      <c r="Q13">
        <v>17.555821999999999</v>
      </c>
      <c r="R13">
        <v>17.767212000000001</v>
      </c>
      <c r="S13">
        <v>17.880009000000001</v>
      </c>
      <c r="T13">
        <v>17.856604000000001</v>
      </c>
      <c r="U13">
        <v>17.844083999999999</v>
      </c>
      <c r="V13">
        <v>17.93939</v>
      </c>
      <c r="W13">
        <v>18.194379999999999</v>
      </c>
      <c r="X13">
        <v>18.394273999999999</v>
      </c>
      <c r="Y13">
        <v>18.748418999999998</v>
      </c>
      <c r="Z13">
        <v>19.212319999999998</v>
      </c>
      <c r="AA13">
        <v>19.372681</v>
      </c>
      <c r="AB13">
        <v>19.508192000000001</v>
      </c>
      <c r="AC13">
        <v>19.52129</v>
      </c>
      <c r="AD13">
        <v>19.593958000000001</v>
      </c>
      <c r="AE13">
        <v>19.869527999999999</v>
      </c>
      <c r="AF13">
        <v>20.462762999999999</v>
      </c>
      <c r="AG13" s="31">
        <v>1.9E-2</v>
      </c>
    </row>
    <row r="14" spans="1:35" x14ac:dyDescent="0.25">
      <c r="A14" t="s">
        <v>101</v>
      </c>
      <c r="B14" t="s">
        <v>656</v>
      </c>
      <c r="C14" t="s">
        <v>657</v>
      </c>
      <c r="D14" t="s">
        <v>427</v>
      </c>
      <c r="F14">
        <v>28.673463999999999</v>
      </c>
      <c r="G14">
        <v>27.674664</v>
      </c>
      <c r="H14">
        <v>26.287763999999999</v>
      </c>
      <c r="I14">
        <v>25.797014000000001</v>
      </c>
      <c r="J14">
        <v>25.399086</v>
      </c>
      <c r="K14">
        <v>24.899000000000001</v>
      </c>
      <c r="L14">
        <v>24.675621</v>
      </c>
      <c r="M14">
        <v>24.706845999999999</v>
      </c>
      <c r="N14">
        <v>24.538457999999999</v>
      </c>
      <c r="O14">
        <v>24.413212000000001</v>
      </c>
      <c r="P14">
        <v>24.381813000000001</v>
      </c>
      <c r="Q14">
        <v>24.200911999999999</v>
      </c>
      <c r="R14">
        <v>24.348745000000001</v>
      </c>
      <c r="S14">
        <v>24.217527</v>
      </c>
      <c r="T14">
        <v>23.927593000000002</v>
      </c>
      <c r="U14">
        <v>23.785702000000001</v>
      </c>
      <c r="V14">
        <v>23.517384</v>
      </c>
      <c r="W14">
        <v>23.278687999999999</v>
      </c>
      <c r="X14">
        <v>22.960826999999998</v>
      </c>
      <c r="Y14">
        <v>23.000323999999999</v>
      </c>
      <c r="Z14">
        <v>21.883543</v>
      </c>
      <c r="AA14">
        <v>21.605103</v>
      </c>
      <c r="AB14">
        <v>21.787703</v>
      </c>
      <c r="AC14">
        <v>21.908484999999999</v>
      </c>
      <c r="AD14">
        <v>21.966629000000001</v>
      </c>
      <c r="AE14">
        <v>22.094860000000001</v>
      </c>
      <c r="AF14">
        <v>22.340118</v>
      </c>
      <c r="AG14" s="31">
        <v>-0.01</v>
      </c>
    </row>
    <row r="15" spans="1:35" x14ac:dyDescent="0.25">
      <c r="A15" t="s">
        <v>74</v>
      </c>
      <c r="B15" t="s">
        <v>658</v>
      </c>
      <c r="C15" t="s">
        <v>659</v>
      </c>
      <c r="D15" t="s">
        <v>427</v>
      </c>
      <c r="F15">
        <v>26.091763</v>
      </c>
      <c r="G15">
        <v>24.600625999999998</v>
      </c>
      <c r="H15">
        <v>23.425851999999999</v>
      </c>
      <c r="I15">
        <v>22.889410000000002</v>
      </c>
      <c r="J15">
        <v>22.557371</v>
      </c>
      <c r="K15">
        <v>22.274754999999999</v>
      </c>
      <c r="L15">
        <v>22.032902</v>
      </c>
      <c r="M15">
        <v>22.079993999999999</v>
      </c>
      <c r="N15">
        <v>21.943752</v>
      </c>
      <c r="O15">
        <v>22.273958</v>
      </c>
      <c r="P15">
        <v>22.39349</v>
      </c>
      <c r="Q15">
        <v>22.623446999999999</v>
      </c>
      <c r="R15">
        <v>22.746523</v>
      </c>
      <c r="S15">
        <v>23.008989</v>
      </c>
      <c r="T15">
        <v>23.10652</v>
      </c>
      <c r="U15">
        <v>23.218240999999999</v>
      </c>
      <c r="V15">
        <v>23.399350999999999</v>
      </c>
      <c r="W15">
        <v>23.679425999999999</v>
      </c>
      <c r="X15">
        <v>23.916767</v>
      </c>
      <c r="Y15">
        <v>24.223963000000001</v>
      </c>
      <c r="Z15">
        <v>24.880013999999999</v>
      </c>
      <c r="AA15">
        <v>24.792428999999998</v>
      </c>
      <c r="AB15">
        <v>24.880751</v>
      </c>
      <c r="AC15">
        <v>24.838329000000002</v>
      </c>
      <c r="AD15">
        <v>24.823360000000001</v>
      </c>
      <c r="AE15">
        <v>24.858402000000002</v>
      </c>
      <c r="AF15">
        <v>25.202453999999999</v>
      </c>
      <c r="AG15" s="31">
        <v>-1E-3</v>
      </c>
    </row>
    <row r="16" spans="1:35" x14ac:dyDescent="0.25">
      <c r="A16" t="s">
        <v>109</v>
      </c>
      <c r="B16" t="s">
        <v>660</v>
      </c>
      <c r="C16" t="s">
        <v>661</v>
      </c>
      <c r="D16" t="s">
        <v>427</v>
      </c>
      <c r="F16">
        <v>7.8346600000000004</v>
      </c>
      <c r="G16">
        <v>8.8480939999999997</v>
      </c>
      <c r="H16">
        <v>9.4351610000000008</v>
      </c>
      <c r="I16">
        <v>10.629246</v>
      </c>
      <c r="J16">
        <v>11.88067</v>
      </c>
      <c r="K16">
        <v>13.214781</v>
      </c>
      <c r="L16">
        <v>14.622335</v>
      </c>
      <c r="M16">
        <v>14.725853000000001</v>
      </c>
      <c r="N16">
        <v>14.700524</v>
      </c>
      <c r="O16">
        <v>14.992571999999999</v>
      </c>
      <c r="P16">
        <v>15.113937999999999</v>
      </c>
      <c r="Q16">
        <v>15.285793</v>
      </c>
      <c r="R16">
        <v>15.383565000000001</v>
      </c>
      <c r="S16">
        <v>15.518867</v>
      </c>
      <c r="T16">
        <v>15.634306</v>
      </c>
      <c r="U16">
        <v>15.663942</v>
      </c>
      <c r="V16">
        <v>15.779114999999999</v>
      </c>
      <c r="W16">
        <v>15.889836000000001</v>
      </c>
      <c r="X16">
        <v>16.038827999999999</v>
      </c>
      <c r="Y16">
        <v>16.101130999999999</v>
      </c>
      <c r="Z16">
        <v>16.053885999999999</v>
      </c>
      <c r="AA16">
        <v>16.051017999999999</v>
      </c>
      <c r="AB16">
        <v>16.34535</v>
      </c>
      <c r="AC16">
        <v>16.306047</v>
      </c>
      <c r="AD16">
        <v>16.344069000000001</v>
      </c>
      <c r="AE16">
        <v>16.451635</v>
      </c>
      <c r="AF16">
        <v>16.998318000000001</v>
      </c>
      <c r="AG16" s="31">
        <v>0.03</v>
      </c>
    </row>
    <row r="17" spans="1:33" x14ac:dyDescent="0.25">
      <c r="A17" t="s">
        <v>662</v>
      </c>
      <c r="B17" t="s">
        <v>663</v>
      </c>
      <c r="C17" t="s">
        <v>664</v>
      </c>
      <c r="D17" t="s">
        <v>427</v>
      </c>
      <c r="F17">
        <v>7.5359959999999999</v>
      </c>
      <c r="G17">
        <v>8.8070609999999991</v>
      </c>
      <c r="H17">
        <v>8.5717140000000001</v>
      </c>
      <c r="I17">
        <v>8.7589269999999999</v>
      </c>
      <c r="J17">
        <v>8.9828620000000008</v>
      </c>
      <c r="K17">
        <v>9.2723289999999992</v>
      </c>
      <c r="L17">
        <v>9.5977879999999995</v>
      </c>
      <c r="M17">
        <v>9.6268689999999992</v>
      </c>
      <c r="N17">
        <v>9.5764990000000001</v>
      </c>
      <c r="O17">
        <v>9.7363370000000007</v>
      </c>
      <c r="P17">
        <v>9.8032240000000002</v>
      </c>
      <c r="Q17">
        <v>9.8896820000000005</v>
      </c>
      <c r="R17">
        <v>9.9446600000000007</v>
      </c>
      <c r="S17">
        <v>10.012337</v>
      </c>
      <c r="T17">
        <v>10.073389000000001</v>
      </c>
      <c r="U17">
        <v>10.068778999999999</v>
      </c>
      <c r="V17">
        <v>10.152576</v>
      </c>
      <c r="W17">
        <v>10.247764</v>
      </c>
      <c r="X17">
        <v>10.325734000000001</v>
      </c>
      <c r="Y17">
        <v>10.296822000000001</v>
      </c>
      <c r="Z17">
        <v>10.155124000000001</v>
      </c>
      <c r="AA17">
        <v>10.215075000000001</v>
      </c>
      <c r="AB17">
        <v>10.342485</v>
      </c>
      <c r="AC17">
        <v>10.290125</v>
      </c>
      <c r="AD17">
        <v>10.252983</v>
      </c>
      <c r="AE17">
        <v>10.417109999999999</v>
      </c>
      <c r="AF17">
        <v>10.703161</v>
      </c>
      <c r="AG17" s="31">
        <v>1.4E-2</v>
      </c>
    </row>
    <row r="18" spans="1:33" x14ac:dyDescent="0.25">
      <c r="A18" t="s">
        <v>80</v>
      </c>
      <c r="B18" t="s">
        <v>665</v>
      </c>
      <c r="C18" t="s">
        <v>666</v>
      </c>
      <c r="D18" t="s">
        <v>427</v>
      </c>
      <c r="F18">
        <v>3.3609200000000001</v>
      </c>
      <c r="G18">
        <v>4.0390810000000004</v>
      </c>
      <c r="H18">
        <v>3.9473780000000001</v>
      </c>
      <c r="I18">
        <v>3.823099</v>
      </c>
      <c r="J18">
        <v>3.9018090000000001</v>
      </c>
      <c r="K18">
        <v>4.0505149999999999</v>
      </c>
      <c r="L18">
        <v>4.2673540000000001</v>
      </c>
      <c r="M18">
        <v>4.4321520000000003</v>
      </c>
      <c r="N18">
        <v>4.8759790000000001</v>
      </c>
      <c r="O18">
        <v>5.2250379999999996</v>
      </c>
      <c r="P18">
        <v>5.4560370000000002</v>
      </c>
      <c r="Q18">
        <v>5.5373739999999998</v>
      </c>
      <c r="R18">
        <v>5.5226220000000001</v>
      </c>
      <c r="S18">
        <v>5.4712230000000002</v>
      </c>
      <c r="T18">
        <v>5.4052819999999997</v>
      </c>
      <c r="U18">
        <v>5.3278970000000001</v>
      </c>
      <c r="V18">
        <v>5.3508990000000001</v>
      </c>
      <c r="W18">
        <v>5.4476680000000002</v>
      </c>
      <c r="X18">
        <v>5.5361399999999996</v>
      </c>
      <c r="Y18">
        <v>5.6070390000000003</v>
      </c>
      <c r="Z18">
        <v>5.6614170000000001</v>
      </c>
      <c r="AA18">
        <v>5.7215780000000001</v>
      </c>
      <c r="AB18">
        <v>5.7717349999999996</v>
      </c>
      <c r="AC18">
        <v>5.777755</v>
      </c>
      <c r="AD18">
        <v>5.7936399999999999</v>
      </c>
      <c r="AE18">
        <v>5.8558459999999997</v>
      </c>
      <c r="AF18">
        <v>5.9275669999999998</v>
      </c>
      <c r="AG18" s="31">
        <v>2.1999999999999999E-2</v>
      </c>
    </row>
    <row r="19" spans="1:33" x14ac:dyDescent="0.25">
      <c r="A19" t="s">
        <v>173</v>
      </c>
      <c r="B19" t="s">
        <v>667</v>
      </c>
      <c r="C19" t="s">
        <v>668</v>
      </c>
      <c r="D19" t="s">
        <v>427</v>
      </c>
      <c r="F19">
        <v>9.5338750000000001</v>
      </c>
      <c r="G19">
        <v>10.619709</v>
      </c>
      <c r="H19">
        <v>10.514131000000001</v>
      </c>
      <c r="I19">
        <v>10.426125000000001</v>
      </c>
      <c r="J19">
        <v>10.557919999999999</v>
      </c>
      <c r="K19">
        <v>10.787679000000001</v>
      </c>
      <c r="L19">
        <v>11.065716</v>
      </c>
      <c r="M19">
        <v>11.319675999999999</v>
      </c>
      <c r="N19">
        <v>11.639939999999999</v>
      </c>
      <c r="O19">
        <v>12.155972</v>
      </c>
      <c r="P19">
        <v>12.524699</v>
      </c>
      <c r="Q19">
        <v>12.666781</v>
      </c>
      <c r="R19">
        <v>12.616203000000001</v>
      </c>
      <c r="S19">
        <v>12.533028</v>
      </c>
      <c r="T19">
        <v>12.742198999999999</v>
      </c>
      <c r="U19">
        <v>12.812290000000001</v>
      </c>
      <c r="V19">
        <v>12.800770999999999</v>
      </c>
      <c r="W19">
        <v>12.675635</v>
      </c>
      <c r="X19">
        <v>12.587033</v>
      </c>
      <c r="Y19">
        <v>12.651852999999999</v>
      </c>
      <c r="Z19">
        <v>12.824852</v>
      </c>
      <c r="AA19">
        <v>12.7927</v>
      </c>
      <c r="AB19">
        <v>12.813029</v>
      </c>
      <c r="AC19">
        <v>12.789707999999999</v>
      </c>
      <c r="AD19">
        <v>12.823941</v>
      </c>
      <c r="AE19">
        <v>12.685263000000001</v>
      </c>
      <c r="AF19">
        <v>12.783066</v>
      </c>
      <c r="AG19" s="31">
        <v>1.0999999999999999E-2</v>
      </c>
    </row>
    <row r="20" spans="1:33" x14ac:dyDescent="0.25">
      <c r="A20" t="s">
        <v>156</v>
      </c>
      <c r="B20" t="s">
        <v>669</v>
      </c>
      <c r="C20" t="s">
        <v>670</v>
      </c>
      <c r="D20" t="s">
        <v>427</v>
      </c>
      <c r="F20">
        <v>7.7677550000000002</v>
      </c>
      <c r="G20">
        <v>7.639748</v>
      </c>
      <c r="H20">
        <v>7.5851480000000002</v>
      </c>
      <c r="I20">
        <v>7.555212</v>
      </c>
      <c r="J20">
        <v>7.520931</v>
      </c>
      <c r="K20">
        <v>7.5128259999999996</v>
      </c>
      <c r="L20">
        <v>7.5104439999999997</v>
      </c>
      <c r="M20">
        <v>7.515949</v>
      </c>
      <c r="N20">
        <v>7.5375909999999999</v>
      </c>
      <c r="O20">
        <v>7.5371670000000002</v>
      </c>
      <c r="P20">
        <v>7.4998899999999997</v>
      </c>
      <c r="Q20">
        <v>7.5180889999999998</v>
      </c>
      <c r="R20">
        <v>7.5179669999999996</v>
      </c>
      <c r="S20">
        <v>7.5155570000000003</v>
      </c>
      <c r="T20">
        <v>7.5172699999999999</v>
      </c>
      <c r="U20">
        <v>7.498265</v>
      </c>
      <c r="V20">
        <v>7.4962220000000004</v>
      </c>
      <c r="W20">
        <v>7.4669150000000002</v>
      </c>
      <c r="X20">
        <v>7.4610409999999998</v>
      </c>
      <c r="Y20">
        <v>7.4532319999999999</v>
      </c>
      <c r="Z20">
        <v>7.4581030000000004</v>
      </c>
      <c r="AA20">
        <v>7.4715109999999996</v>
      </c>
      <c r="AB20">
        <v>7.4675250000000002</v>
      </c>
      <c r="AC20">
        <v>7.46251</v>
      </c>
      <c r="AD20">
        <v>7.461265</v>
      </c>
      <c r="AE20">
        <v>7.4693670000000001</v>
      </c>
      <c r="AF20">
        <v>7.4669429999999997</v>
      </c>
      <c r="AG20" s="31">
        <v>-2E-3</v>
      </c>
    </row>
    <row r="21" spans="1:33" x14ac:dyDescent="0.25">
      <c r="A21" t="s">
        <v>309</v>
      </c>
      <c r="B21" t="s">
        <v>671</v>
      </c>
      <c r="C21" t="s">
        <v>672</v>
      </c>
      <c r="D21" t="s">
        <v>427</v>
      </c>
      <c r="F21">
        <v>3.572155</v>
      </c>
      <c r="G21">
        <v>3.6240990000000002</v>
      </c>
      <c r="H21">
        <v>3.6188060000000002</v>
      </c>
      <c r="I21">
        <v>3.6017679999999999</v>
      </c>
      <c r="J21">
        <v>3.5713360000000001</v>
      </c>
      <c r="K21">
        <v>3.5591499999999998</v>
      </c>
      <c r="L21">
        <v>3.5335369999999999</v>
      </c>
      <c r="M21">
        <v>3.4978509999999998</v>
      </c>
      <c r="N21">
        <v>3.4641419999999998</v>
      </c>
      <c r="O21">
        <v>3.459587</v>
      </c>
      <c r="P21">
        <v>3.441433</v>
      </c>
      <c r="Q21">
        <v>3.4154490000000002</v>
      </c>
      <c r="R21">
        <v>3.4216380000000002</v>
      </c>
      <c r="S21">
        <v>3.4235449999999998</v>
      </c>
      <c r="T21">
        <v>3.4324210000000002</v>
      </c>
      <c r="U21">
        <v>3.4286089999999998</v>
      </c>
      <c r="V21">
        <v>3.4309129999999999</v>
      </c>
      <c r="W21">
        <v>3.425192</v>
      </c>
      <c r="X21">
        <v>3.4188909999999999</v>
      </c>
      <c r="Y21">
        <v>3.422088</v>
      </c>
      <c r="Z21">
        <v>3.4260630000000001</v>
      </c>
      <c r="AA21">
        <v>3.4342359999999998</v>
      </c>
      <c r="AB21">
        <v>3.444175</v>
      </c>
      <c r="AC21">
        <v>3.4487489999999998</v>
      </c>
      <c r="AD21">
        <v>3.4481359999999999</v>
      </c>
      <c r="AE21">
        <v>3.4493469999999999</v>
      </c>
      <c r="AF21">
        <v>3.4545159999999999</v>
      </c>
      <c r="AG21" s="31">
        <v>-1E-3</v>
      </c>
    </row>
    <row r="22" spans="1:33" x14ac:dyDescent="0.25">
      <c r="A22" t="s">
        <v>432</v>
      </c>
      <c r="B22" t="s">
        <v>673</v>
      </c>
      <c r="C22" t="s">
        <v>674</v>
      </c>
      <c r="D22" t="s">
        <v>427</v>
      </c>
      <c r="F22">
        <v>26.507746000000001</v>
      </c>
      <c r="G22">
        <v>25.922053999999999</v>
      </c>
      <c r="H22">
        <v>23.537738999999998</v>
      </c>
      <c r="I22">
        <v>22.156486999999998</v>
      </c>
      <c r="J22">
        <v>22.004315999999999</v>
      </c>
      <c r="K22">
        <v>22.322678</v>
      </c>
      <c r="L22">
        <v>22.749051999999999</v>
      </c>
      <c r="M22">
        <v>23.346399000000002</v>
      </c>
      <c r="N22">
        <v>23.998974</v>
      </c>
      <c r="O22">
        <v>24.751463000000001</v>
      </c>
      <c r="P22">
        <v>24.95269</v>
      </c>
      <c r="Q22">
        <v>24.768763</v>
      </c>
      <c r="R22">
        <v>24.452559999999998</v>
      </c>
      <c r="S22">
        <v>24.243956000000001</v>
      </c>
      <c r="T22">
        <v>24.341449999999998</v>
      </c>
      <c r="U22">
        <v>24.228069000000001</v>
      </c>
      <c r="V22">
        <v>24.145441000000002</v>
      </c>
      <c r="W22">
        <v>24.157952999999999</v>
      </c>
      <c r="X22">
        <v>24.287434000000001</v>
      </c>
      <c r="Y22">
        <v>24.39603</v>
      </c>
      <c r="Z22">
        <v>24.534168000000001</v>
      </c>
      <c r="AA22">
        <v>24.641456999999999</v>
      </c>
      <c r="AB22">
        <v>24.755725999999999</v>
      </c>
      <c r="AC22">
        <v>24.854348999999999</v>
      </c>
      <c r="AD22">
        <v>25.022724</v>
      </c>
      <c r="AE22">
        <v>25.199515999999999</v>
      </c>
      <c r="AF22">
        <v>25.411121000000001</v>
      </c>
      <c r="AG22" s="31">
        <v>-2E-3</v>
      </c>
    </row>
    <row r="23" spans="1:33" x14ac:dyDescent="0.25">
      <c r="A23" t="s">
        <v>675</v>
      </c>
    </row>
    <row r="24" spans="1:33" x14ac:dyDescent="0.25">
      <c r="A24" t="s">
        <v>70</v>
      </c>
      <c r="B24" t="s">
        <v>676</v>
      </c>
      <c r="C24" t="s">
        <v>677</v>
      </c>
      <c r="D24" t="s">
        <v>540</v>
      </c>
      <c r="F24">
        <v>12.660259999999999</v>
      </c>
      <c r="G24">
        <v>12.863892999999999</v>
      </c>
      <c r="H24">
        <v>13.973295</v>
      </c>
      <c r="I24">
        <v>14.048564000000001</v>
      </c>
      <c r="J24">
        <v>14.435790000000001</v>
      </c>
      <c r="K24">
        <v>15.016266999999999</v>
      </c>
      <c r="L24">
        <v>15.940687</v>
      </c>
      <c r="M24">
        <v>16.794920000000001</v>
      </c>
      <c r="N24">
        <v>18.076533999999999</v>
      </c>
      <c r="O24">
        <v>19.648005999999999</v>
      </c>
      <c r="P24">
        <v>20.929110000000001</v>
      </c>
      <c r="Q24">
        <v>21.779828999999999</v>
      </c>
      <c r="R24">
        <v>22.498992999999999</v>
      </c>
      <c r="S24">
        <v>23.113136000000001</v>
      </c>
      <c r="T24">
        <v>23.563790999999998</v>
      </c>
      <c r="U24">
        <v>24.032267000000001</v>
      </c>
      <c r="V24">
        <v>24.667186999999998</v>
      </c>
      <c r="W24">
        <v>25.551607000000001</v>
      </c>
      <c r="X24">
        <v>26.389659999999999</v>
      </c>
      <c r="Y24">
        <v>27.487337</v>
      </c>
      <c r="Z24">
        <v>28.789852</v>
      </c>
      <c r="AA24">
        <v>29.676821</v>
      </c>
      <c r="AB24">
        <v>30.551476999999998</v>
      </c>
      <c r="AC24">
        <v>31.264862000000001</v>
      </c>
      <c r="AD24">
        <v>32.095585</v>
      </c>
      <c r="AE24">
        <v>33.291041999999997</v>
      </c>
      <c r="AF24">
        <v>35.072429999999997</v>
      </c>
      <c r="AG24" s="31">
        <v>0.04</v>
      </c>
    </row>
    <row r="25" spans="1:33" x14ac:dyDescent="0.25">
      <c r="A25" t="s">
        <v>101</v>
      </c>
      <c r="B25" t="s">
        <v>678</v>
      </c>
      <c r="C25" t="s">
        <v>679</v>
      </c>
      <c r="D25" t="s">
        <v>540</v>
      </c>
      <c r="F25">
        <v>28.673463999999999</v>
      </c>
      <c r="G25">
        <v>28.241561999999998</v>
      </c>
      <c r="H25">
        <v>27.279961</v>
      </c>
      <c r="I25">
        <v>27.218654999999998</v>
      </c>
      <c r="J25">
        <v>27.306153999999999</v>
      </c>
      <c r="K25">
        <v>27.246258000000001</v>
      </c>
      <c r="L25">
        <v>27.509274000000001</v>
      </c>
      <c r="M25">
        <v>28.113613000000001</v>
      </c>
      <c r="N25">
        <v>28.518017</v>
      </c>
      <c r="O25">
        <v>28.995035000000001</v>
      </c>
      <c r="P25">
        <v>29.603909000000002</v>
      </c>
      <c r="Q25">
        <v>30.023755999999999</v>
      </c>
      <c r="R25">
        <v>30.833324000000001</v>
      </c>
      <c r="S25">
        <v>31.305520999999999</v>
      </c>
      <c r="T25">
        <v>31.575144000000002</v>
      </c>
      <c r="U25">
        <v>32.034388999999997</v>
      </c>
      <c r="V25">
        <v>32.337093000000003</v>
      </c>
      <c r="W25">
        <v>32.691845000000001</v>
      </c>
      <c r="X25">
        <v>32.941139</v>
      </c>
      <c r="Y25">
        <v>33.721119000000002</v>
      </c>
      <c r="Z25">
        <v>32.792706000000003</v>
      </c>
      <c r="AA25">
        <v>33.096645000000002</v>
      </c>
      <c r="AB25">
        <v>34.121383999999999</v>
      </c>
      <c r="AC25">
        <v>35.088141999999998</v>
      </c>
      <c r="AD25">
        <v>35.982104999999997</v>
      </c>
      <c r="AE25">
        <v>37.019550000000002</v>
      </c>
      <c r="AF25">
        <v>38.290149999999997</v>
      </c>
      <c r="AG25" s="31">
        <v>1.0999999999999999E-2</v>
      </c>
    </row>
    <row r="26" spans="1:33" x14ac:dyDescent="0.25">
      <c r="A26" t="s">
        <v>74</v>
      </c>
      <c r="B26" t="s">
        <v>680</v>
      </c>
      <c r="C26" t="s">
        <v>681</v>
      </c>
      <c r="D26" t="s">
        <v>540</v>
      </c>
      <c r="F26">
        <v>26.091763</v>
      </c>
      <c r="G26">
        <v>25.104552999999999</v>
      </c>
      <c r="H26">
        <v>24.310030000000001</v>
      </c>
      <c r="I26">
        <v>24.150815999999999</v>
      </c>
      <c r="J26">
        <v>24.251072000000001</v>
      </c>
      <c r="K26">
        <v>24.374624000000001</v>
      </c>
      <c r="L26">
        <v>24.563075999999999</v>
      </c>
      <c r="M26">
        <v>25.124552000000001</v>
      </c>
      <c r="N26">
        <v>25.502511999999999</v>
      </c>
      <c r="O26">
        <v>26.454291999999999</v>
      </c>
      <c r="P26">
        <v>27.189726</v>
      </c>
      <c r="Q26">
        <v>28.066748</v>
      </c>
      <c r="R26">
        <v>28.804397999999999</v>
      </c>
      <c r="S26">
        <v>29.743266999999999</v>
      </c>
      <c r="T26">
        <v>30.491645999999999</v>
      </c>
      <c r="U26">
        <v>31.270137999999999</v>
      </c>
      <c r="V26">
        <v>32.174793000000001</v>
      </c>
      <c r="W26">
        <v>33.254626999999999</v>
      </c>
      <c r="X26">
        <v>34.312598999999999</v>
      </c>
      <c r="Y26">
        <v>35.515113999999997</v>
      </c>
      <c r="Z26">
        <v>37.282944000000001</v>
      </c>
      <c r="AA26">
        <v>37.979281999999998</v>
      </c>
      <c r="AB26">
        <v>38.965358999999999</v>
      </c>
      <c r="AC26">
        <v>39.780513999999997</v>
      </c>
      <c r="AD26">
        <v>40.661529999999999</v>
      </c>
      <c r="AE26">
        <v>41.649814999999997</v>
      </c>
      <c r="AF26">
        <v>43.196086999999999</v>
      </c>
      <c r="AG26" s="31">
        <v>0.02</v>
      </c>
    </row>
    <row r="27" spans="1:33" x14ac:dyDescent="0.25">
      <c r="A27" t="s">
        <v>109</v>
      </c>
      <c r="B27" t="s">
        <v>682</v>
      </c>
      <c r="C27" t="s">
        <v>683</v>
      </c>
      <c r="D27" t="s">
        <v>540</v>
      </c>
      <c r="F27">
        <v>7.8346600000000004</v>
      </c>
      <c r="G27">
        <v>9.0293419999999998</v>
      </c>
      <c r="H27">
        <v>9.7912789999999994</v>
      </c>
      <c r="I27">
        <v>11.215009999999999</v>
      </c>
      <c r="J27">
        <v>12.772719</v>
      </c>
      <c r="K27">
        <v>14.460553000000001</v>
      </c>
      <c r="L27">
        <v>16.301507999999998</v>
      </c>
      <c r="M27">
        <v>16.756364999999999</v>
      </c>
      <c r="N27">
        <v>17.084602</v>
      </c>
      <c r="O27">
        <v>17.806349000000001</v>
      </c>
      <c r="P27">
        <v>18.351042</v>
      </c>
      <c r="Q27">
        <v>18.963621</v>
      </c>
      <c r="R27">
        <v>19.480530000000002</v>
      </c>
      <c r="S27">
        <v>20.060932000000001</v>
      </c>
      <c r="T27">
        <v>20.631222000000001</v>
      </c>
      <c r="U27">
        <v>21.096069</v>
      </c>
      <c r="V27">
        <v>21.696745</v>
      </c>
      <c r="W27">
        <v>22.315178</v>
      </c>
      <c r="X27">
        <v>23.010377999999999</v>
      </c>
      <c r="Y27">
        <v>23.606112</v>
      </c>
      <c r="Z27">
        <v>24.056906000000001</v>
      </c>
      <c r="AA27">
        <v>24.588398000000002</v>
      </c>
      <c r="AB27">
        <v>25.598199999999999</v>
      </c>
      <c r="AC27">
        <v>26.115402</v>
      </c>
      <c r="AD27">
        <v>26.772155999999999</v>
      </c>
      <c r="AE27">
        <v>27.564425</v>
      </c>
      <c r="AF27">
        <v>29.134497</v>
      </c>
      <c r="AG27" s="31">
        <v>5.1999999999999998E-2</v>
      </c>
    </row>
    <row r="28" spans="1:33" x14ac:dyDescent="0.25">
      <c r="A28" t="s">
        <v>662</v>
      </c>
      <c r="B28" t="s">
        <v>684</v>
      </c>
      <c r="C28" t="s">
        <v>685</v>
      </c>
      <c r="D28" t="s">
        <v>540</v>
      </c>
      <c r="F28">
        <v>7.5359959999999999</v>
      </c>
      <c r="G28">
        <v>8.9874679999999998</v>
      </c>
      <c r="H28">
        <v>8.8952430000000007</v>
      </c>
      <c r="I28">
        <v>9.2416210000000003</v>
      </c>
      <c r="J28">
        <v>9.6573309999999992</v>
      </c>
      <c r="K28">
        <v>10.146442</v>
      </c>
      <c r="L28">
        <v>10.699961</v>
      </c>
      <c r="M28">
        <v>10.954295</v>
      </c>
      <c r="N28">
        <v>11.129580000000001</v>
      </c>
      <c r="O28">
        <v>11.563634</v>
      </c>
      <c r="P28">
        <v>11.902877999999999</v>
      </c>
      <c r="Q28">
        <v>12.269182000000001</v>
      </c>
      <c r="R28">
        <v>12.593131</v>
      </c>
      <c r="S28">
        <v>12.942750999999999</v>
      </c>
      <c r="T28">
        <v>13.292968</v>
      </c>
      <c r="U28">
        <v>13.560549999999999</v>
      </c>
      <c r="V28">
        <v>13.960089999999999</v>
      </c>
      <c r="W28">
        <v>14.391631</v>
      </c>
      <c r="X28">
        <v>14.813991</v>
      </c>
      <c r="Y28">
        <v>15.096323999999999</v>
      </c>
      <c r="Z28">
        <v>15.217553000000001</v>
      </c>
      <c r="AA28">
        <v>15.648374</v>
      </c>
      <c r="AB28">
        <v>16.197206000000001</v>
      </c>
      <c r="AC28">
        <v>16.480433999999999</v>
      </c>
      <c r="AD28">
        <v>16.794744000000001</v>
      </c>
      <c r="AE28">
        <v>17.453683999999999</v>
      </c>
      <c r="AF28">
        <v>18.344828</v>
      </c>
      <c r="AG28" s="31">
        <v>3.5000000000000003E-2</v>
      </c>
    </row>
    <row r="29" spans="1:33" x14ac:dyDescent="0.25">
      <c r="A29" t="s">
        <v>80</v>
      </c>
      <c r="B29" t="s">
        <v>686</v>
      </c>
      <c r="C29" t="s">
        <v>687</v>
      </c>
      <c r="D29" t="s">
        <v>540</v>
      </c>
      <c r="F29">
        <v>3.3609200000000001</v>
      </c>
      <c r="G29">
        <v>4.1218190000000003</v>
      </c>
      <c r="H29">
        <v>4.0963669999999999</v>
      </c>
      <c r="I29">
        <v>4.033785</v>
      </c>
      <c r="J29">
        <v>4.1947729999999996</v>
      </c>
      <c r="K29">
        <v>4.4323620000000004</v>
      </c>
      <c r="L29">
        <v>4.7573999999999996</v>
      </c>
      <c r="M29">
        <v>5.043291</v>
      </c>
      <c r="N29">
        <v>5.6667480000000001</v>
      </c>
      <c r="O29">
        <v>6.2056630000000004</v>
      </c>
      <c r="P29">
        <v>6.6246099999999997</v>
      </c>
      <c r="Q29">
        <v>6.8696900000000003</v>
      </c>
      <c r="R29">
        <v>6.993411</v>
      </c>
      <c r="S29">
        <v>7.0725420000000003</v>
      </c>
      <c r="T29">
        <v>7.1328769999999997</v>
      </c>
      <c r="U29">
        <v>7.175567</v>
      </c>
      <c r="V29">
        <v>7.3576420000000002</v>
      </c>
      <c r="W29">
        <v>7.6505299999999998</v>
      </c>
      <c r="X29">
        <v>7.9425179999999997</v>
      </c>
      <c r="Y29">
        <v>8.2205650000000006</v>
      </c>
      <c r="Z29">
        <v>8.4836880000000008</v>
      </c>
      <c r="AA29">
        <v>8.7648299999999999</v>
      </c>
      <c r="AB29">
        <v>9.0390250000000005</v>
      </c>
      <c r="AC29">
        <v>9.2535229999999995</v>
      </c>
      <c r="AD29">
        <v>9.4901839999999993</v>
      </c>
      <c r="AE29">
        <v>9.8113679999999999</v>
      </c>
      <c r="AF29">
        <v>10.159634</v>
      </c>
      <c r="AG29" s="31">
        <v>4.2999999999999997E-2</v>
      </c>
    </row>
    <row r="30" spans="1:33" x14ac:dyDescent="0.25">
      <c r="A30" t="s">
        <v>173</v>
      </c>
      <c r="B30" t="s">
        <v>688</v>
      </c>
      <c r="C30" t="s">
        <v>689</v>
      </c>
      <c r="D30" t="s">
        <v>540</v>
      </c>
      <c r="F30">
        <v>9.5338750000000001</v>
      </c>
      <c r="G30">
        <v>10.837247</v>
      </c>
      <c r="H30">
        <v>10.910973</v>
      </c>
      <c r="I30">
        <v>11.000693999999999</v>
      </c>
      <c r="J30">
        <v>11.350652999999999</v>
      </c>
      <c r="K30">
        <v>11.804646</v>
      </c>
      <c r="L30">
        <v>12.336460000000001</v>
      </c>
      <c r="M30">
        <v>12.880520000000001</v>
      </c>
      <c r="N30">
        <v>13.527663</v>
      </c>
      <c r="O30">
        <v>14.437381999999999</v>
      </c>
      <c r="P30">
        <v>15.207238</v>
      </c>
      <c r="Q30">
        <v>15.714464</v>
      </c>
      <c r="R30">
        <v>15.976162</v>
      </c>
      <c r="S30">
        <v>16.201198999999999</v>
      </c>
      <c r="T30">
        <v>16.814762000000002</v>
      </c>
      <c r="U30">
        <v>17.255486999999999</v>
      </c>
      <c r="V30">
        <v>17.601434999999999</v>
      </c>
      <c r="W30">
        <v>17.801258000000001</v>
      </c>
      <c r="X30">
        <v>18.058201</v>
      </c>
      <c r="Y30">
        <v>18.54907</v>
      </c>
      <c r="Z30">
        <v>19.218167999999999</v>
      </c>
      <c r="AA30">
        <v>19.597013</v>
      </c>
      <c r="AB30">
        <v>20.066286000000002</v>
      </c>
      <c r="AC30">
        <v>20.483709000000001</v>
      </c>
      <c r="AD30">
        <v>21.006063000000001</v>
      </c>
      <c r="AE30">
        <v>21.253933</v>
      </c>
      <c r="AF30">
        <v>21.909707999999998</v>
      </c>
      <c r="AG30" s="31">
        <v>3.3000000000000002E-2</v>
      </c>
    </row>
    <row r="31" spans="1:33" x14ac:dyDescent="0.25">
      <c r="A31" t="s">
        <v>156</v>
      </c>
      <c r="B31" t="s">
        <v>690</v>
      </c>
      <c r="C31" t="s">
        <v>691</v>
      </c>
      <c r="D31" t="s">
        <v>540</v>
      </c>
      <c r="F31">
        <v>7.7677550000000002</v>
      </c>
      <c r="G31">
        <v>7.7962429999999996</v>
      </c>
      <c r="H31">
        <v>7.8714389999999996</v>
      </c>
      <c r="I31">
        <v>7.9715699999999998</v>
      </c>
      <c r="J31">
        <v>8.0856320000000004</v>
      </c>
      <c r="K31">
        <v>8.2210680000000007</v>
      </c>
      <c r="L31">
        <v>8.3729139999999997</v>
      </c>
      <c r="M31">
        <v>8.5523050000000005</v>
      </c>
      <c r="N31">
        <v>8.7600099999999994</v>
      </c>
      <c r="O31">
        <v>8.9517279999999992</v>
      </c>
      <c r="P31">
        <v>9.1062159999999999</v>
      </c>
      <c r="Q31">
        <v>9.3269749999999991</v>
      </c>
      <c r="R31">
        <v>9.5201589999999996</v>
      </c>
      <c r="S31">
        <v>9.7152130000000003</v>
      </c>
      <c r="T31">
        <v>9.9198819999999994</v>
      </c>
      <c r="U31">
        <v>10.098601</v>
      </c>
      <c r="V31">
        <v>10.307525</v>
      </c>
      <c r="W31">
        <v>10.486297</v>
      </c>
      <c r="X31">
        <v>10.70411</v>
      </c>
      <c r="Y31">
        <v>10.927295000000001</v>
      </c>
      <c r="Z31">
        <v>11.176041</v>
      </c>
      <c r="AA31">
        <v>11.445536000000001</v>
      </c>
      <c r="AB31">
        <v>11.694777</v>
      </c>
      <c r="AC31">
        <v>11.951790000000001</v>
      </c>
      <c r="AD31">
        <v>12.221812</v>
      </c>
      <c r="AE31">
        <v>12.514791000000001</v>
      </c>
      <c r="AF31">
        <v>12.798068000000001</v>
      </c>
      <c r="AG31" s="31">
        <v>1.9E-2</v>
      </c>
    </row>
    <row r="32" spans="1:33" x14ac:dyDescent="0.25">
      <c r="A32" t="s">
        <v>309</v>
      </c>
      <c r="B32" t="s">
        <v>692</v>
      </c>
      <c r="C32" t="s">
        <v>693</v>
      </c>
      <c r="D32" t="s">
        <v>540</v>
      </c>
      <c r="F32">
        <v>3.572155</v>
      </c>
      <c r="G32">
        <v>3.6983359999999998</v>
      </c>
      <c r="H32">
        <v>3.7553930000000002</v>
      </c>
      <c r="I32">
        <v>3.8002570000000002</v>
      </c>
      <c r="J32">
        <v>3.8394870000000001</v>
      </c>
      <c r="K32">
        <v>3.8946749999999999</v>
      </c>
      <c r="L32">
        <v>3.9393150000000001</v>
      </c>
      <c r="M32">
        <v>3.9801609999999998</v>
      </c>
      <c r="N32">
        <v>4.025944</v>
      </c>
      <c r="O32">
        <v>4.1088760000000004</v>
      </c>
      <c r="P32">
        <v>4.1785189999999997</v>
      </c>
      <c r="Q32">
        <v>4.2372209999999999</v>
      </c>
      <c r="R32">
        <v>4.332891</v>
      </c>
      <c r="S32">
        <v>4.4255490000000002</v>
      </c>
      <c r="T32">
        <v>4.5294639999999999</v>
      </c>
      <c r="U32">
        <v>4.6176219999999999</v>
      </c>
      <c r="V32">
        <v>4.717606</v>
      </c>
      <c r="W32">
        <v>4.8102299999999998</v>
      </c>
      <c r="X32">
        <v>4.9049699999999996</v>
      </c>
      <c r="Y32">
        <v>5.0171749999999999</v>
      </c>
      <c r="Z32">
        <v>5.1339889999999997</v>
      </c>
      <c r="AA32">
        <v>5.260872</v>
      </c>
      <c r="AB32">
        <v>5.3938689999999996</v>
      </c>
      <c r="AC32">
        <v>5.5234389999999998</v>
      </c>
      <c r="AD32">
        <v>5.6481669999999999</v>
      </c>
      <c r="AE32">
        <v>5.7793190000000001</v>
      </c>
      <c r="AF32">
        <v>5.9209149999999999</v>
      </c>
      <c r="AG32" s="31">
        <v>0.02</v>
      </c>
    </row>
    <row r="33" spans="1:33" x14ac:dyDescent="0.25">
      <c r="A33" t="s">
        <v>432</v>
      </c>
      <c r="B33" t="s">
        <v>694</v>
      </c>
      <c r="C33" t="s">
        <v>695</v>
      </c>
      <c r="D33" t="s">
        <v>540</v>
      </c>
      <c r="F33">
        <v>26.507746000000001</v>
      </c>
      <c r="G33">
        <v>26.453053000000001</v>
      </c>
      <c r="H33">
        <v>24.42614</v>
      </c>
      <c r="I33">
        <v>23.377502</v>
      </c>
      <c r="J33">
        <v>23.656490000000002</v>
      </c>
      <c r="K33">
        <v>24.427060999999998</v>
      </c>
      <c r="L33">
        <v>25.361464999999999</v>
      </c>
      <c r="M33">
        <v>26.565577999999999</v>
      </c>
      <c r="N33">
        <v>27.891041000000001</v>
      </c>
      <c r="O33">
        <v>29.39677</v>
      </c>
      <c r="P33">
        <v>30.297053999999999</v>
      </c>
      <c r="Q33">
        <v>30.728235000000002</v>
      </c>
      <c r="R33">
        <v>30.964787999999999</v>
      </c>
      <c r="S33">
        <v>31.339683999999998</v>
      </c>
      <c r="T33">
        <v>32.121273000000002</v>
      </c>
      <c r="U33">
        <v>32.630164999999998</v>
      </c>
      <c r="V33">
        <v>33.200687000000002</v>
      </c>
      <c r="W33">
        <v>33.926659000000001</v>
      </c>
      <c r="X33">
        <v>34.844383000000001</v>
      </c>
      <c r="Y33">
        <v>35.767386999999999</v>
      </c>
      <c r="Z33">
        <v>36.764690000000002</v>
      </c>
      <c r="AA33">
        <v>37.748009000000003</v>
      </c>
      <c r="AB33">
        <v>38.769558000000004</v>
      </c>
      <c r="AC33">
        <v>39.806170999999999</v>
      </c>
      <c r="AD33">
        <v>40.988098000000001</v>
      </c>
      <c r="AE33">
        <v>42.221344000000002</v>
      </c>
      <c r="AF33">
        <v>43.553733999999999</v>
      </c>
      <c r="AG33" s="31">
        <v>1.9E-2</v>
      </c>
    </row>
    <row r="34" spans="1:33" x14ac:dyDescent="0.25">
      <c r="A34" t="s">
        <v>696</v>
      </c>
    </row>
    <row r="35" spans="1:33" x14ac:dyDescent="0.25">
      <c r="A35" s="1" t="s">
        <v>697</v>
      </c>
    </row>
    <row r="36" spans="1:33" x14ac:dyDescent="0.25">
      <c r="A36" t="s">
        <v>698</v>
      </c>
      <c r="B36" t="s">
        <v>699</v>
      </c>
      <c r="C36" t="s">
        <v>700</v>
      </c>
      <c r="D36" t="s">
        <v>73</v>
      </c>
      <c r="F36">
        <v>5.7544999999999999E-2</v>
      </c>
      <c r="G36">
        <v>0.11550000000000001</v>
      </c>
      <c r="H36">
        <v>0.11648799999999999</v>
      </c>
      <c r="I36">
        <v>0.117768</v>
      </c>
      <c r="J36">
        <v>0.118981</v>
      </c>
      <c r="K36">
        <v>0.120806</v>
      </c>
      <c r="L36">
        <v>0.122225</v>
      </c>
      <c r="M36">
        <v>0.123407</v>
      </c>
      <c r="N36">
        <v>0.12576599999999999</v>
      </c>
      <c r="O36">
        <v>0.12634600000000001</v>
      </c>
      <c r="P36">
        <v>0.12718399999999999</v>
      </c>
      <c r="Q36">
        <v>0.128271</v>
      </c>
      <c r="R36">
        <v>0.12964100000000001</v>
      </c>
      <c r="S36">
        <v>0.13115599999999999</v>
      </c>
      <c r="T36">
        <v>0.132603</v>
      </c>
      <c r="U36">
        <v>0.133936</v>
      </c>
      <c r="V36">
        <v>0.13502900000000001</v>
      </c>
      <c r="W36">
        <v>0.13565099999999999</v>
      </c>
      <c r="X36">
        <v>0.136466</v>
      </c>
      <c r="Y36">
        <v>0.13722999999999999</v>
      </c>
      <c r="Z36">
        <v>0.13802600000000001</v>
      </c>
      <c r="AA36">
        <v>0.139073</v>
      </c>
      <c r="AB36">
        <v>0.14020299999999999</v>
      </c>
      <c r="AC36">
        <v>0.14139599999999999</v>
      </c>
      <c r="AD36">
        <v>0.14255699999999999</v>
      </c>
      <c r="AE36">
        <v>0.14382400000000001</v>
      </c>
      <c r="AF36">
        <v>0.14493400000000001</v>
      </c>
      <c r="AG36" s="31">
        <v>3.5999999999999997E-2</v>
      </c>
    </row>
    <row r="37" spans="1:33" x14ac:dyDescent="0.25">
      <c r="A37" t="s">
        <v>701</v>
      </c>
      <c r="B37" t="s">
        <v>702</v>
      </c>
      <c r="C37" t="s">
        <v>703</v>
      </c>
      <c r="D37" t="s">
        <v>73</v>
      </c>
      <c r="F37">
        <v>3.4849999999999999</v>
      </c>
      <c r="G37">
        <v>3.4898020000000001</v>
      </c>
      <c r="H37">
        <v>3.4917799999999999</v>
      </c>
      <c r="I37">
        <v>3.4954890000000001</v>
      </c>
      <c r="J37">
        <v>3.5009109999999999</v>
      </c>
      <c r="K37">
        <v>3.5051619999999999</v>
      </c>
      <c r="L37">
        <v>3.5082270000000002</v>
      </c>
      <c r="M37">
        <v>3.5091830000000002</v>
      </c>
      <c r="N37">
        <v>3.5090370000000002</v>
      </c>
      <c r="O37">
        <v>3.5099960000000001</v>
      </c>
      <c r="P37">
        <v>3.5059239999999998</v>
      </c>
      <c r="Q37">
        <v>3.5014319999999999</v>
      </c>
      <c r="R37">
        <v>3.498329</v>
      </c>
      <c r="S37">
        <v>3.4922010000000001</v>
      </c>
      <c r="T37">
        <v>3.5208210000000002</v>
      </c>
      <c r="U37">
        <v>3.5883470000000002</v>
      </c>
      <c r="V37">
        <v>3.6626639999999999</v>
      </c>
      <c r="W37">
        <v>3.7226979999999998</v>
      </c>
      <c r="X37">
        <v>3.785018</v>
      </c>
      <c r="Y37">
        <v>3.8289749999999998</v>
      </c>
      <c r="Z37">
        <v>3.8006630000000001</v>
      </c>
      <c r="AA37">
        <v>3.7608220000000001</v>
      </c>
      <c r="AB37">
        <v>3.798597</v>
      </c>
      <c r="AC37">
        <v>3.8708109999999998</v>
      </c>
      <c r="AD37">
        <v>3.9231229999999999</v>
      </c>
      <c r="AE37">
        <v>3.8951889999999998</v>
      </c>
      <c r="AF37">
        <v>3.8663419999999999</v>
      </c>
      <c r="AG37" s="31">
        <v>4.0000000000000001E-3</v>
      </c>
    </row>
    <row r="38" spans="1:33" x14ac:dyDescent="0.25">
      <c r="A38" t="s">
        <v>704</v>
      </c>
      <c r="B38" t="s">
        <v>705</v>
      </c>
      <c r="C38" t="s">
        <v>706</v>
      </c>
      <c r="D38" t="s">
        <v>73</v>
      </c>
      <c r="F38">
        <v>2.2997999999999998</v>
      </c>
      <c r="G38">
        <v>2.2889020000000002</v>
      </c>
      <c r="H38">
        <v>2.2836910000000001</v>
      </c>
      <c r="I38">
        <v>2.2855110000000001</v>
      </c>
      <c r="J38">
        <v>2.28945</v>
      </c>
      <c r="K38">
        <v>2.2901539999999998</v>
      </c>
      <c r="L38">
        <v>2.2872430000000001</v>
      </c>
      <c r="M38">
        <v>2.2849599999999999</v>
      </c>
      <c r="N38">
        <v>2.311105</v>
      </c>
      <c r="O38">
        <v>2.340163</v>
      </c>
      <c r="P38">
        <v>2.466583</v>
      </c>
      <c r="Q38">
        <v>2.539263</v>
      </c>
      <c r="R38">
        <v>2.5718200000000002</v>
      </c>
      <c r="S38">
        <v>2.6674090000000001</v>
      </c>
      <c r="T38">
        <v>2.7301690000000001</v>
      </c>
      <c r="U38">
        <v>2.816665</v>
      </c>
      <c r="V38">
        <v>2.9288829999999999</v>
      </c>
      <c r="W38">
        <v>3.002764</v>
      </c>
      <c r="X38">
        <v>3.1039620000000001</v>
      </c>
      <c r="Y38">
        <v>3.1264919999999998</v>
      </c>
      <c r="Z38">
        <v>3.0802700000000001</v>
      </c>
      <c r="AA38">
        <v>2.9972159999999999</v>
      </c>
      <c r="AB38">
        <v>3.040648</v>
      </c>
      <c r="AC38">
        <v>3.1497999999999999</v>
      </c>
      <c r="AD38">
        <v>3.2223839999999999</v>
      </c>
      <c r="AE38">
        <v>3.237635</v>
      </c>
      <c r="AF38">
        <v>3.2178249999999999</v>
      </c>
      <c r="AG38" s="31">
        <v>1.2999999999999999E-2</v>
      </c>
    </row>
    <row r="39" spans="1:33" x14ac:dyDescent="0.25">
      <c r="A39" t="s">
        <v>70</v>
      </c>
      <c r="B39" t="s">
        <v>707</v>
      </c>
      <c r="C39" t="s">
        <v>708</v>
      </c>
      <c r="D39" t="s">
        <v>73</v>
      </c>
      <c r="F39">
        <v>0.3216</v>
      </c>
      <c r="G39">
        <v>0.39290000000000003</v>
      </c>
      <c r="H39">
        <v>0.38677099999999998</v>
      </c>
      <c r="I39">
        <v>0.38770100000000002</v>
      </c>
      <c r="J39">
        <v>0.388432</v>
      </c>
      <c r="K39">
        <v>0.390179</v>
      </c>
      <c r="L39">
        <v>0.39312200000000003</v>
      </c>
      <c r="M39">
        <v>0.39471699999999998</v>
      </c>
      <c r="N39">
        <v>0.38176900000000002</v>
      </c>
      <c r="O39">
        <v>0.36793100000000001</v>
      </c>
      <c r="P39">
        <v>0.30366700000000002</v>
      </c>
      <c r="Q39">
        <v>0.26566099999999998</v>
      </c>
      <c r="R39">
        <v>0.24809899999999999</v>
      </c>
      <c r="S39">
        <v>0.19800599999999999</v>
      </c>
      <c r="T39">
        <v>0.18119299999999999</v>
      </c>
      <c r="U39">
        <v>0.17185</v>
      </c>
      <c r="V39">
        <v>0.15318499999999999</v>
      </c>
      <c r="W39">
        <v>0.146365</v>
      </c>
      <c r="X39">
        <v>0.127219</v>
      </c>
      <c r="Y39">
        <v>0.137771</v>
      </c>
      <c r="Z39">
        <v>0.146592</v>
      </c>
      <c r="AA39">
        <v>0.16787299999999999</v>
      </c>
      <c r="AB39">
        <v>0.16508700000000001</v>
      </c>
      <c r="AC39">
        <v>0.146896</v>
      </c>
      <c r="AD39">
        <v>0.13691200000000001</v>
      </c>
      <c r="AE39">
        <v>0.115645</v>
      </c>
      <c r="AF39">
        <v>0.111194</v>
      </c>
      <c r="AG39" s="31">
        <v>-0.04</v>
      </c>
    </row>
    <row r="40" spans="1:33" x14ac:dyDescent="0.25">
      <c r="A40" t="s">
        <v>709</v>
      </c>
      <c r="B40" t="s">
        <v>710</v>
      </c>
      <c r="C40" t="s">
        <v>711</v>
      </c>
      <c r="D40" t="s">
        <v>73</v>
      </c>
      <c r="F40">
        <v>0.38569999999999999</v>
      </c>
      <c r="G40">
        <v>0.40310000000000001</v>
      </c>
      <c r="H40">
        <v>0.422732</v>
      </c>
      <c r="I40">
        <v>0.422732</v>
      </c>
      <c r="J40">
        <v>0.422732</v>
      </c>
      <c r="K40">
        <v>0.422732</v>
      </c>
      <c r="L40">
        <v>0.422732</v>
      </c>
      <c r="M40">
        <v>0.422732</v>
      </c>
      <c r="N40">
        <v>0.422732</v>
      </c>
      <c r="O40">
        <v>0.422732</v>
      </c>
      <c r="P40">
        <v>0.422732</v>
      </c>
      <c r="Q40">
        <v>0.422732</v>
      </c>
      <c r="R40">
        <v>0.422732</v>
      </c>
      <c r="S40">
        <v>0.422732</v>
      </c>
      <c r="T40">
        <v>0.422732</v>
      </c>
      <c r="U40">
        <v>0.422732</v>
      </c>
      <c r="V40">
        <v>0.422732</v>
      </c>
      <c r="W40">
        <v>0.422732</v>
      </c>
      <c r="X40">
        <v>0.422732</v>
      </c>
      <c r="Y40">
        <v>0.422732</v>
      </c>
      <c r="Z40">
        <v>0.422732</v>
      </c>
      <c r="AA40">
        <v>0.422732</v>
      </c>
      <c r="AB40">
        <v>0.422732</v>
      </c>
      <c r="AC40">
        <v>0.422732</v>
      </c>
      <c r="AD40">
        <v>0.422732</v>
      </c>
      <c r="AE40">
        <v>0.422732</v>
      </c>
      <c r="AF40">
        <v>0.422732</v>
      </c>
      <c r="AG40" s="31">
        <v>4.0000000000000001E-3</v>
      </c>
    </row>
    <row r="41" spans="1:33" x14ac:dyDescent="0.25">
      <c r="A41" t="s">
        <v>712</v>
      </c>
      <c r="B41" t="s">
        <v>713</v>
      </c>
      <c r="C41" t="s">
        <v>714</v>
      </c>
      <c r="D41" t="s">
        <v>73</v>
      </c>
      <c r="F41">
        <v>0.47789999999999999</v>
      </c>
      <c r="G41">
        <v>0.40489999999999998</v>
      </c>
      <c r="H41">
        <v>0.39858500000000002</v>
      </c>
      <c r="I41">
        <v>0.39954400000000001</v>
      </c>
      <c r="J41">
        <v>0.40029700000000001</v>
      </c>
      <c r="K41">
        <v>0.40209699999999998</v>
      </c>
      <c r="L41">
        <v>0.40512999999999999</v>
      </c>
      <c r="M41">
        <v>0.40677400000000002</v>
      </c>
      <c r="N41">
        <v>0.39343</v>
      </c>
      <c r="O41">
        <v>0.37916899999999998</v>
      </c>
      <c r="P41">
        <v>0.312942</v>
      </c>
      <c r="Q41">
        <v>0.27377499999999999</v>
      </c>
      <c r="R41">
        <v>0.25567699999999999</v>
      </c>
      <c r="S41">
        <v>0.20405300000000001</v>
      </c>
      <c r="T41">
        <v>0.186727</v>
      </c>
      <c r="U41">
        <v>0.17709900000000001</v>
      </c>
      <c r="V41">
        <v>0.157864</v>
      </c>
      <c r="W41">
        <v>0.150836</v>
      </c>
      <c r="X41">
        <v>0.131105</v>
      </c>
      <c r="Y41">
        <v>0.14198</v>
      </c>
      <c r="Z41">
        <v>0.15107000000000001</v>
      </c>
      <c r="AA41">
        <v>0.17300099999999999</v>
      </c>
      <c r="AB41">
        <v>0.17013</v>
      </c>
      <c r="AC41">
        <v>0.15138299999999999</v>
      </c>
      <c r="AD41">
        <v>0.141094</v>
      </c>
      <c r="AE41">
        <v>0.11917700000000001</v>
      </c>
      <c r="AF41">
        <v>0.114591</v>
      </c>
      <c r="AG41" s="31">
        <v>-5.2999999999999999E-2</v>
      </c>
    </row>
    <row r="42" spans="1:33" x14ac:dyDescent="0.25">
      <c r="A42" t="s">
        <v>715</v>
      </c>
      <c r="B42" t="s">
        <v>716</v>
      </c>
      <c r="C42" t="s">
        <v>717</v>
      </c>
      <c r="D42" t="s">
        <v>73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 t="s">
        <v>319</v>
      </c>
    </row>
    <row r="43" spans="1:33" x14ac:dyDescent="0.25">
      <c r="A43" t="s">
        <v>101</v>
      </c>
      <c r="B43" t="s">
        <v>718</v>
      </c>
      <c r="C43" t="s">
        <v>719</v>
      </c>
      <c r="D43" t="s">
        <v>73</v>
      </c>
      <c r="F43">
        <v>0.28129100000000001</v>
      </c>
      <c r="G43">
        <v>0.28524699999999997</v>
      </c>
      <c r="H43">
        <v>0.288387</v>
      </c>
      <c r="I43">
        <v>0.29223900000000003</v>
      </c>
      <c r="J43">
        <v>0.29710900000000001</v>
      </c>
      <c r="K43">
        <v>0.30265799999999998</v>
      </c>
      <c r="L43">
        <v>0.30711500000000003</v>
      </c>
      <c r="M43">
        <v>0.31040400000000001</v>
      </c>
      <c r="N43">
        <v>0.313444</v>
      </c>
      <c r="O43">
        <v>0.31531999999999999</v>
      </c>
      <c r="P43">
        <v>0.31691900000000001</v>
      </c>
      <c r="Q43">
        <v>0.319351</v>
      </c>
      <c r="R43">
        <v>0.32223499999999999</v>
      </c>
      <c r="S43">
        <v>0.32399</v>
      </c>
      <c r="T43">
        <v>0.32590000000000002</v>
      </c>
      <c r="U43">
        <v>0.32769100000000001</v>
      </c>
      <c r="V43">
        <v>0.32958599999999999</v>
      </c>
      <c r="W43">
        <v>0.33104</v>
      </c>
      <c r="X43">
        <v>0.33304600000000001</v>
      </c>
      <c r="Y43">
        <v>0.33460600000000001</v>
      </c>
      <c r="Z43">
        <v>0.336343</v>
      </c>
      <c r="AA43">
        <v>0.33907900000000002</v>
      </c>
      <c r="AB43">
        <v>0.342198</v>
      </c>
      <c r="AC43">
        <v>0.34522700000000001</v>
      </c>
      <c r="AD43">
        <v>0.34826400000000002</v>
      </c>
      <c r="AE43">
        <v>0.35161100000000001</v>
      </c>
      <c r="AF43">
        <v>0.35470000000000002</v>
      </c>
      <c r="AG43" s="31">
        <v>8.9999999999999993E-3</v>
      </c>
    </row>
    <row r="44" spans="1:33" x14ac:dyDescent="0.25">
      <c r="A44" t="s">
        <v>74</v>
      </c>
      <c r="B44" t="s">
        <v>720</v>
      </c>
      <c r="C44" t="s">
        <v>721</v>
      </c>
      <c r="D44" t="s">
        <v>73</v>
      </c>
      <c r="F44">
        <v>1.138439</v>
      </c>
      <c r="G44">
        <v>1.150196</v>
      </c>
      <c r="H44">
        <v>1.1634389999999999</v>
      </c>
      <c r="I44">
        <v>1.1770879999999999</v>
      </c>
      <c r="J44">
        <v>1.1952050000000001</v>
      </c>
      <c r="K44">
        <v>1.2161040000000001</v>
      </c>
      <c r="L44">
        <v>1.2327399999999999</v>
      </c>
      <c r="M44">
        <v>1.246904</v>
      </c>
      <c r="N44">
        <v>1.260956</v>
      </c>
      <c r="O44">
        <v>1.2692889999999999</v>
      </c>
      <c r="P44">
        <v>1.2779590000000001</v>
      </c>
      <c r="Q44">
        <v>1.288505</v>
      </c>
      <c r="R44">
        <v>1.2995129999999999</v>
      </c>
      <c r="S44">
        <v>1.3081959999999999</v>
      </c>
      <c r="T44">
        <v>1.317186</v>
      </c>
      <c r="U44">
        <v>1.324638</v>
      </c>
      <c r="V44">
        <v>1.3324290000000001</v>
      </c>
      <c r="W44">
        <v>1.3377509999999999</v>
      </c>
      <c r="X44">
        <v>1.3440970000000001</v>
      </c>
      <c r="Y44">
        <v>1.349923</v>
      </c>
      <c r="Z44">
        <v>1.3560989999999999</v>
      </c>
      <c r="AA44">
        <v>1.3644849999999999</v>
      </c>
      <c r="AB44">
        <v>1.374968</v>
      </c>
      <c r="AC44">
        <v>1.385294</v>
      </c>
      <c r="AD44">
        <v>1.394428</v>
      </c>
      <c r="AE44">
        <v>1.4056869999999999</v>
      </c>
      <c r="AF44">
        <v>1.4157500000000001</v>
      </c>
      <c r="AG44" s="31">
        <v>8.0000000000000002E-3</v>
      </c>
    </row>
    <row r="45" spans="1:33" x14ac:dyDescent="0.25">
      <c r="A45" t="s">
        <v>109</v>
      </c>
      <c r="B45" t="s">
        <v>722</v>
      </c>
      <c r="C45" t="s">
        <v>723</v>
      </c>
      <c r="D45" t="s">
        <v>73</v>
      </c>
      <c r="F45">
        <v>4.0885999999999999E-2</v>
      </c>
      <c r="G45">
        <v>4.1692E-2</v>
      </c>
      <c r="H45">
        <v>4.1255E-2</v>
      </c>
      <c r="I45">
        <v>4.0060999999999999E-2</v>
      </c>
      <c r="J45">
        <v>3.8841000000000001E-2</v>
      </c>
      <c r="K45">
        <v>3.7551000000000001E-2</v>
      </c>
      <c r="L45">
        <v>3.6368999999999999E-2</v>
      </c>
      <c r="M45">
        <v>3.5532000000000001E-2</v>
      </c>
      <c r="N45">
        <v>3.5131999999999997E-2</v>
      </c>
      <c r="O45">
        <v>3.4660000000000003E-2</v>
      </c>
      <c r="P45">
        <v>3.4278999999999997E-2</v>
      </c>
      <c r="Q45">
        <v>3.3785999999999997E-2</v>
      </c>
      <c r="R45">
        <v>3.3265000000000003E-2</v>
      </c>
      <c r="S45">
        <v>3.2701000000000001E-2</v>
      </c>
      <c r="T45">
        <v>3.2197999999999997E-2</v>
      </c>
      <c r="U45">
        <v>3.1759000000000003E-2</v>
      </c>
      <c r="V45">
        <v>3.1438000000000001E-2</v>
      </c>
      <c r="W45">
        <v>3.1171999999999998E-2</v>
      </c>
      <c r="X45">
        <v>3.0896E-2</v>
      </c>
      <c r="Y45">
        <v>3.0629E-2</v>
      </c>
      <c r="Z45">
        <v>3.0439999999999998E-2</v>
      </c>
      <c r="AA45">
        <v>3.024E-2</v>
      </c>
      <c r="AB45">
        <v>2.9949E-2</v>
      </c>
      <c r="AC45">
        <v>2.9728000000000001E-2</v>
      </c>
      <c r="AD45">
        <v>2.9472999999999999E-2</v>
      </c>
      <c r="AE45">
        <v>2.9252E-2</v>
      </c>
      <c r="AF45">
        <v>2.8857000000000001E-2</v>
      </c>
      <c r="AG45" s="31">
        <v>-1.2999999999999999E-2</v>
      </c>
    </row>
    <row r="46" spans="1:33" x14ac:dyDescent="0.25">
      <c r="A46" t="s">
        <v>140</v>
      </c>
      <c r="B46" t="s">
        <v>724</v>
      </c>
      <c r="C46" t="s">
        <v>725</v>
      </c>
      <c r="D46" t="s">
        <v>73</v>
      </c>
      <c r="F46">
        <v>0.39052500000000001</v>
      </c>
      <c r="G46">
        <v>0.35499999999999998</v>
      </c>
      <c r="H46">
        <v>0.55000000000000004</v>
      </c>
      <c r="I46">
        <v>0.55000000000000004</v>
      </c>
      <c r="J46">
        <v>0.55000000000000004</v>
      </c>
      <c r="K46">
        <v>0.55000000000000004</v>
      </c>
      <c r="L46">
        <v>0.55000000000000004</v>
      </c>
      <c r="M46">
        <v>0.55000000000000004</v>
      </c>
      <c r="N46">
        <v>0.55000000000000004</v>
      </c>
      <c r="O46">
        <v>0.55000000000000004</v>
      </c>
      <c r="P46">
        <v>0.55000000000000004</v>
      </c>
      <c r="Q46">
        <v>0.55000000000000004</v>
      </c>
      <c r="R46">
        <v>0.55000000000000004</v>
      </c>
      <c r="S46">
        <v>0.55000000000000004</v>
      </c>
      <c r="T46">
        <v>0.55000000000000004</v>
      </c>
      <c r="U46">
        <v>0.55000000000000004</v>
      </c>
      <c r="V46">
        <v>0.55000000000000004</v>
      </c>
      <c r="W46">
        <v>0.55000000000000004</v>
      </c>
      <c r="X46">
        <v>0.55000000000000004</v>
      </c>
      <c r="Y46">
        <v>0.55000000000000004</v>
      </c>
      <c r="Z46">
        <v>0.69557999999999998</v>
      </c>
      <c r="AA46">
        <v>0.84116000000000002</v>
      </c>
      <c r="AB46">
        <v>0.84116000000000002</v>
      </c>
      <c r="AC46">
        <v>0.84116000000000002</v>
      </c>
      <c r="AD46">
        <v>0.84116000000000002</v>
      </c>
      <c r="AE46">
        <v>0.96409500000000004</v>
      </c>
      <c r="AF46">
        <v>1.087029</v>
      </c>
      <c r="AG46" s="31">
        <v>0.04</v>
      </c>
    </row>
    <row r="47" spans="1:33" x14ac:dyDescent="0.25">
      <c r="A47" t="s">
        <v>726</v>
      </c>
      <c r="B47" t="s">
        <v>727</v>
      </c>
      <c r="C47" t="s">
        <v>728</v>
      </c>
      <c r="D47" t="s">
        <v>73</v>
      </c>
      <c r="F47">
        <v>3.8646E-2</v>
      </c>
      <c r="G47">
        <v>3.5999999999999997E-2</v>
      </c>
      <c r="H47">
        <v>3.2849000000000003E-2</v>
      </c>
      <c r="I47">
        <v>2.9930999999999999E-2</v>
      </c>
      <c r="J47">
        <v>2.7424E-2</v>
      </c>
      <c r="K47">
        <v>2.5180000000000001E-2</v>
      </c>
      <c r="L47">
        <v>2.3056E-2</v>
      </c>
      <c r="M47">
        <v>2.1245E-2</v>
      </c>
      <c r="N47">
        <v>1.9762999999999999E-2</v>
      </c>
      <c r="O47">
        <v>1.8298999999999999E-2</v>
      </c>
      <c r="P47">
        <v>1.6906000000000001E-2</v>
      </c>
      <c r="Q47">
        <v>1.5415999999999999E-2</v>
      </c>
      <c r="R47">
        <v>1.3953E-2</v>
      </c>
      <c r="S47">
        <v>1.2475999999999999E-2</v>
      </c>
      <c r="T47">
        <v>1.0969E-2</v>
      </c>
      <c r="U47">
        <v>1.1109000000000001E-2</v>
      </c>
      <c r="V47">
        <v>1.1299999999999999E-2</v>
      </c>
      <c r="W47">
        <v>1.1535999999999999E-2</v>
      </c>
      <c r="X47">
        <v>1.1762999999999999E-2</v>
      </c>
      <c r="Y47">
        <v>1.1997000000000001E-2</v>
      </c>
      <c r="Z47">
        <v>1.2281E-2</v>
      </c>
      <c r="AA47">
        <v>1.2526000000000001E-2</v>
      </c>
      <c r="AB47">
        <v>1.2661E-2</v>
      </c>
      <c r="AC47">
        <v>1.2855999999999999E-2</v>
      </c>
      <c r="AD47">
        <v>1.3039E-2</v>
      </c>
      <c r="AE47">
        <v>1.3233999999999999E-2</v>
      </c>
      <c r="AF47">
        <v>1.3270000000000001E-2</v>
      </c>
      <c r="AG47" s="31">
        <v>-0.04</v>
      </c>
    </row>
    <row r="48" spans="1:33" x14ac:dyDescent="0.25">
      <c r="A48" t="s">
        <v>662</v>
      </c>
      <c r="B48" t="s">
        <v>729</v>
      </c>
      <c r="C48" t="s">
        <v>730</v>
      </c>
      <c r="D48" t="s">
        <v>73</v>
      </c>
      <c r="F48">
        <v>0.87783800000000001</v>
      </c>
      <c r="G48">
        <v>0.87826199999999999</v>
      </c>
      <c r="H48">
        <v>0.88615699999999997</v>
      </c>
      <c r="I48">
        <v>0.90322400000000003</v>
      </c>
      <c r="J48">
        <v>0.90542800000000001</v>
      </c>
      <c r="K48">
        <v>0.91149599999999997</v>
      </c>
      <c r="L48">
        <v>0.91859800000000003</v>
      </c>
      <c r="M48">
        <v>0.92440699999999998</v>
      </c>
      <c r="N48">
        <v>0.92100099999999996</v>
      </c>
      <c r="O48">
        <v>0.92284100000000002</v>
      </c>
      <c r="P48">
        <v>0.92425199999999996</v>
      </c>
      <c r="Q48">
        <v>0.92808400000000002</v>
      </c>
      <c r="R48">
        <v>0.93199399999999999</v>
      </c>
      <c r="S48">
        <v>0.93456700000000004</v>
      </c>
      <c r="T48">
        <v>0.93731699999999996</v>
      </c>
      <c r="U48">
        <v>0.940415</v>
      </c>
      <c r="V48">
        <v>0.94347099999999995</v>
      </c>
      <c r="W48">
        <v>0.94533500000000004</v>
      </c>
      <c r="X48">
        <v>0.94588700000000003</v>
      </c>
      <c r="Y48">
        <v>0.94766099999999998</v>
      </c>
      <c r="Z48">
        <v>0.94848500000000002</v>
      </c>
      <c r="AA48">
        <v>0.95064300000000002</v>
      </c>
      <c r="AB48">
        <v>0.954573</v>
      </c>
      <c r="AC48">
        <v>0.95531100000000002</v>
      </c>
      <c r="AD48">
        <v>0.95571600000000001</v>
      </c>
      <c r="AE48">
        <v>0.95625099999999996</v>
      </c>
      <c r="AF48">
        <v>0.95570999999999995</v>
      </c>
      <c r="AG48" s="31">
        <v>3.0000000000000001E-3</v>
      </c>
    </row>
    <row r="49" spans="1:33" x14ac:dyDescent="0.25">
      <c r="A49" t="s">
        <v>731</v>
      </c>
      <c r="B49" t="s">
        <v>732</v>
      </c>
      <c r="C49" t="s">
        <v>733</v>
      </c>
      <c r="D49" t="s">
        <v>73</v>
      </c>
      <c r="F49">
        <v>0.30937799999999999</v>
      </c>
      <c r="G49">
        <v>0.328623</v>
      </c>
      <c r="H49">
        <v>0.34263700000000002</v>
      </c>
      <c r="I49">
        <v>0.35703800000000002</v>
      </c>
      <c r="J49">
        <v>0.37045600000000001</v>
      </c>
      <c r="K49">
        <v>0.38307400000000003</v>
      </c>
      <c r="L49">
        <v>0.39623799999999998</v>
      </c>
      <c r="M49">
        <v>0.40911900000000001</v>
      </c>
      <c r="N49">
        <v>0.42080699999999999</v>
      </c>
      <c r="O49">
        <v>0.43004999999999999</v>
      </c>
      <c r="P49">
        <v>0.43930900000000001</v>
      </c>
      <c r="Q49">
        <v>0.44683800000000001</v>
      </c>
      <c r="R49">
        <v>0.45195800000000003</v>
      </c>
      <c r="S49">
        <v>0.45628299999999999</v>
      </c>
      <c r="T49">
        <v>0.46082699999999999</v>
      </c>
      <c r="U49">
        <v>0.465389</v>
      </c>
      <c r="V49">
        <v>0.47023799999999999</v>
      </c>
      <c r="W49">
        <v>0.47435899999999998</v>
      </c>
      <c r="X49">
        <v>0.47848200000000002</v>
      </c>
      <c r="Y49">
        <v>0.481599</v>
      </c>
      <c r="Z49">
        <v>0.48491600000000001</v>
      </c>
      <c r="AA49">
        <v>0.48815799999999998</v>
      </c>
      <c r="AB49">
        <v>0.491589</v>
      </c>
      <c r="AC49">
        <v>0.49629299999999998</v>
      </c>
      <c r="AD49">
        <v>0.50039</v>
      </c>
      <c r="AE49">
        <v>0.50402599999999997</v>
      </c>
      <c r="AF49">
        <v>0.50691299999999995</v>
      </c>
      <c r="AG49" s="31">
        <v>1.9E-2</v>
      </c>
    </row>
    <row r="50" spans="1:33" x14ac:dyDescent="0.25">
      <c r="A50" t="s">
        <v>77</v>
      </c>
      <c r="B50" t="s">
        <v>734</v>
      </c>
      <c r="C50" t="s">
        <v>735</v>
      </c>
      <c r="D50" t="s">
        <v>73</v>
      </c>
      <c r="F50">
        <v>6.6195490000000001</v>
      </c>
      <c r="G50">
        <v>6.6803229999999996</v>
      </c>
      <c r="H50">
        <v>6.912992</v>
      </c>
      <c r="I50">
        <v>6.9628379999999996</v>
      </c>
      <c r="J50">
        <v>7.0043559999999996</v>
      </c>
      <c r="K50">
        <v>7.0520310000000004</v>
      </c>
      <c r="L50">
        <v>7.09457</v>
      </c>
      <c r="M50">
        <v>7.1302029999999998</v>
      </c>
      <c r="N50">
        <v>7.1559080000000002</v>
      </c>
      <c r="O50">
        <v>7.1768000000000001</v>
      </c>
      <c r="P50">
        <v>7.1927310000000002</v>
      </c>
      <c r="Q50">
        <v>7.211684</v>
      </c>
      <c r="R50">
        <v>7.2308890000000003</v>
      </c>
      <c r="S50">
        <v>7.2415700000000003</v>
      </c>
      <c r="T50">
        <v>7.2878220000000002</v>
      </c>
      <c r="U50">
        <v>7.3732839999999999</v>
      </c>
      <c r="V50">
        <v>7.4661549999999997</v>
      </c>
      <c r="W50">
        <v>7.5395430000000001</v>
      </c>
      <c r="X50">
        <v>7.6156560000000004</v>
      </c>
      <c r="Y50">
        <v>7.6726210000000004</v>
      </c>
      <c r="Z50">
        <v>7.802835</v>
      </c>
      <c r="AA50">
        <v>7.9261860000000004</v>
      </c>
      <c r="AB50">
        <v>7.9858979999999997</v>
      </c>
      <c r="AC50">
        <v>8.0780750000000001</v>
      </c>
      <c r="AD50">
        <v>8.1481499999999993</v>
      </c>
      <c r="AE50">
        <v>8.2631689999999995</v>
      </c>
      <c r="AF50">
        <v>8.373507</v>
      </c>
      <c r="AG50" s="31">
        <v>8.9999999999999993E-3</v>
      </c>
    </row>
    <row r="51" spans="1:33" x14ac:dyDescent="0.25">
      <c r="A51" t="s">
        <v>736</v>
      </c>
      <c r="B51" t="s">
        <v>737</v>
      </c>
      <c r="C51" t="s">
        <v>738</v>
      </c>
      <c r="D51" t="s">
        <v>73</v>
      </c>
      <c r="F51">
        <v>6.2130140000000003</v>
      </c>
      <c r="G51">
        <v>6.2894889999999997</v>
      </c>
      <c r="H51">
        <v>6.3327429999999998</v>
      </c>
      <c r="I51">
        <v>6.3448209999999996</v>
      </c>
      <c r="J51">
        <v>6.3749099999999999</v>
      </c>
      <c r="K51">
        <v>6.3921549999999998</v>
      </c>
      <c r="L51">
        <v>6.4264799999999997</v>
      </c>
      <c r="M51">
        <v>6.4589939999999997</v>
      </c>
      <c r="N51">
        <v>6.4651230000000002</v>
      </c>
      <c r="O51">
        <v>6.4350610000000001</v>
      </c>
      <c r="P51">
        <v>6.4193239999999996</v>
      </c>
      <c r="Q51">
        <v>6.4032650000000002</v>
      </c>
      <c r="R51">
        <v>6.3917000000000002</v>
      </c>
      <c r="S51">
        <v>6.3996740000000001</v>
      </c>
      <c r="T51">
        <v>6.4259060000000003</v>
      </c>
      <c r="U51">
        <v>6.4603869999999999</v>
      </c>
      <c r="V51">
        <v>6.4954179999999999</v>
      </c>
      <c r="W51">
        <v>6.5152049999999999</v>
      </c>
      <c r="X51">
        <v>6.535622</v>
      </c>
      <c r="Y51">
        <v>6.5542920000000002</v>
      </c>
      <c r="Z51">
        <v>6.5791940000000002</v>
      </c>
      <c r="AA51">
        <v>6.5982329999999996</v>
      </c>
      <c r="AB51">
        <v>6.6192950000000002</v>
      </c>
      <c r="AC51">
        <v>6.6561789999999998</v>
      </c>
      <c r="AD51">
        <v>6.6857949999999997</v>
      </c>
      <c r="AE51">
        <v>6.7061710000000003</v>
      </c>
      <c r="AF51">
        <v>6.72133</v>
      </c>
      <c r="AG51" s="31">
        <v>3.0000000000000001E-3</v>
      </c>
    </row>
    <row r="52" spans="1:33" x14ac:dyDescent="0.25">
      <c r="A52" t="s">
        <v>739</v>
      </c>
      <c r="B52" t="s">
        <v>740</v>
      </c>
      <c r="C52" t="s">
        <v>741</v>
      </c>
      <c r="D52" t="s">
        <v>73</v>
      </c>
      <c r="F52">
        <v>0.26629999999999998</v>
      </c>
      <c r="G52">
        <v>0.30199999999999999</v>
      </c>
      <c r="H52">
        <v>0.282443</v>
      </c>
      <c r="I52">
        <v>0.27451300000000001</v>
      </c>
      <c r="J52">
        <v>0.26696700000000001</v>
      </c>
      <c r="K52">
        <v>0.26499499999999998</v>
      </c>
      <c r="L52">
        <v>0.26283099999999998</v>
      </c>
      <c r="M52">
        <v>0.267202</v>
      </c>
      <c r="N52">
        <v>0.28918899999999997</v>
      </c>
      <c r="O52">
        <v>0.28761399999999998</v>
      </c>
      <c r="P52">
        <v>0.29199000000000003</v>
      </c>
      <c r="Q52">
        <v>0.297377</v>
      </c>
      <c r="R52">
        <v>0.30154500000000001</v>
      </c>
      <c r="S52">
        <v>0.31213000000000002</v>
      </c>
      <c r="T52">
        <v>0.32354899999999998</v>
      </c>
      <c r="U52">
        <v>0.33495900000000001</v>
      </c>
      <c r="V52">
        <v>0.34500999999999998</v>
      </c>
      <c r="W52">
        <v>0.35090100000000002</v>
      </c>
      <c r="X52">
        <v>0.356068</v>
      </c>
      <c r="Y52">
        <v>0.36199900000000002</v>
      </c>
      <c r="Z52">
        <v>0.36849599999999999</v>
      </c>
      <c r="AA52">
        <v>0.37464599999999998</v>
      </c>
      <c r="AB52">
        <v>0.37867899999999999</v>
      </c>
      <c r="AC52">
        <v>0.38489600000000002</v>
      </c>
      <c r="AD52">
        <v>0.389878</v>
      </c>
      <c r="AE52">
        <v>0.39277600000000001</v>
      </c>
      <c r="AF52">
        <v>0.39716000000000001</v>
      </c>
      <c r="AG52" s="31">
        <v>1.4999999999999999E-2</v>
      </c>
    </row>
    <row r="53" spans="1:33" x14ac:dyDescent="0.25">
      <c r="A53" t="s">
        <v>150</v>
      </c>
      <c r="B53" t="s">
        <v>742</v>
      </c>
      <c r="C53" t="s">
        <v>743</v>
      </c>
      <c r="D53" t="s">
        <v>73</v>
      </c>
      <c r="F53">
        <v>2.0452949999999999</v>
      </c>
      <c r="G53">
        <v>2.0521980000000002</v>
      </c>
      <c r="H53">
        <v>2.1515580000000001</v>
      </c>
      <c r="I53">
        <v>2.1604230000000002</v>
      </c>
      <c r="J53">
        <v>2.2060050000000002</v>
      </c>
      <c r="K53">
        <v>2.226782</v>
      </c>
      <c r="L53">
        <v>2.2380469999999999</v>
      </c>
      <c r="M53">
        <v>2.2325900000000001</v>
      </c>
      <c r="N53">
        <v>2.285561</v>
      </c>
      <c r="O53">
        <v>2.2989380000000001</v>
      </c>
      <c r="P53">
        <v>2.3135829999999999</v>
      </c>
      <c r="Q53">
        <v>2.3050079999999999</v>
      </c>
      <c r="R53">
        <v>2.2963170000000002</v>
      </c>
      <c r="S53">
        <v>2.271652</v>
      </c>
      <c r="T53">
        <v>2.265647</v>
      </c>
      <c r="U53">
        <v>2.2465199999999999</v>
      </c>
      <c r="V53">
        <v>2.2501500000000001</v>
      </c>
      <c r="W53">
        <v>2.2605300000000002</v>
      </c>
      <c r="X53">
        <v>2.271182</v>
      </c>
      <c r="Y53">
        <v>2.275658</v>
      </c>
      <c r="Z53">
        <v>2.278661</v>
      </c>
      <c r="AA53">
        <v>2.28227</v>
      </c>
      <c r="AB53">
        <v>2.2915199999999998</v>
      </c>
      <c r="AC53">
        <v>2.3010579999999998</v>
      </c>
      <c r="AD53">
        <v>2.3056939999999999</v>
      </c>
      <c r="AE53">
        <v>2.3112720000000002</v>
      </c>
      <c r="AF53">
        <v>2.318181</v>
      </c>
      <c r="AG53" s="31">
        <v>5.0000000000000001E-3</v>
      </c>
    </row>
    <row r="54" spans="1:33" x14ac:dyDescent="0.25">
      <c r="A54" t="s">
        <v>153</v>
      </c>
      <c r="B54" t="s">
        <v>744</v>
      </c>
      <c r="C54" t="s">
        <v>745</v>
      </c>
      <c r="D54" t="s">
        <v>73</v>
      </c>
      <c r="F54">
        <v>8.5246099999999991</v>
      </c>
      <c r="G54">
        <v>8.6436869999999999</v>
      </c>
      <c r="H54">
        <v>8.7667450000000002</v>
      </c>
      <c r="I54">
        <v>8.779757</v>
      </c>
      <c r="J54">
        <v>8.8478809999999992</v>
      </c>
      <c r="K54">
        <v>8.8839319999999997</v>
      </c>
      <c r="L54">
        <v>8.9273579999999999</v>
      </c>
      <c r="M54">
        <v>8.9587859999999999</v>
      </c>
      <c r="N54">
        <v>9.039873</v>
      </c>
      <c r="O54">
        <v>9.0216119999999993</v>
      </c>
      <c r="P54">
        <v>9.0248980000000003</v>
      </c>
      <c r="Q54">
        <v>9.0056499999999993</v>
      </c>
      <c r="R54">
        <v>8.9895619999999994</v>
      </c>
      <c r="S54">
        <v>8.9834569999999996</v>
      </c>
      <c r="T54">
        <v>9.0151009999999996</v>
      </c>
      <c r="U54">
        <v>9.0418660000000006</v>
      </c>
      <c r="V54">
        <v>9.0905780000000007</v>
      </c>
      <c r="W54">
        <v>9.1266370000000006</v>
      </c>
      <c r="X54">
        <v>9.1628710000000009</v>
      </c>
      <c r="Y54">
        <v>9.1919500000000003</v>
      </c>
      <c r="Z54">
        <v>9.2263509999999993</v>
      </c>
      <c r="AA54">
        <v>9.2551480000000002</v>
      </c>
      <c r="AB54">
        <v>9.2894939999999995</v>
      </c>
      <c r="AC54">
        <v>9.3421330000000005</v>
      </c>
      <c r="AD54">
        <v>9.3813669999999991</v>
      </c>
      <c r="AE54">
        <v>9.4102189999999997</v>
      </c>
      <c r="AF54">
        <v>9.4366699999999994</v>
      </c>
      <c r="AG54" s="31">
        <v>4.0000000000000001E-3</v>
      </c>
    </row>
    <row r="55" spans="1:33" x14ac:dyDescent="0.25">
      <c r="A55" t="s">
        <v>746</v>
      </c>
      <c r="B55" t="s">
        <v>747</v>
      </c>
      <c r="C55" t="s">
        <v>748</v>
      </c>
      <c r="D55" t="s">
        <v>73</v>
      </c>
      <c r="F55">
        <v>0.527613</v>
      </c>
      <c r="G55">
        <v>0.54196</v>
      </c>
      <c r="H55">
        <v>0.56144700000000003</v>
      </c>
      <c r="I55">
        <v>0.56658600000000003</v>
      </c>
      <c r="J55">
        <v>0.56712899999999999</v>
      </c>
      <c r="K55">
        <v>0.57060100000000002</v>
      </c>
      <c r="L55">
        <v>0.577905</v>
      </c>
      <c r="M55">
        <v>0.58546200000000004</v>
      </c>
      <c r="N55">
        <v>0.59339299999999995</v>
      </c>
      <c r="O55">
        <v>0.598383</v>
      </c>
      <c r="P55">
        <v>0.60795100000000002</v>
      </c>
      <c r="Q55">
        <v>0.61538499999999996</v>
      </c>
      <c r="R55">
        <v>0.622811</v>
      </c>
      <c r="S55">
        <v>0.63063400000000003</v>
      </c>
      <c r="T55">
        <v>0.63795100000000005</v>
      </c>
      <c r="U55">
        <v>0.64519099999999996</v>
      </c>
      <c r="V55">
        <v>0.65215999999999996</v>
      </c>
      <c r="W55">
        <v>0.65823500000000001</v>
      </c>
      <c r="X55">
        <v>0.66439599999999999</v>
      </c>
      <c r="Y55">
        <v>0.67038500000000001</v>
      </c>
      <c r="Z55">
        <v>0.67723800000000001</v>
      </c>
      <c r="AA55">
        <v>0.68227300000000002</v>
      </c>
      <c r="AB55">
        <v>0.68746700000000005</v>
      </c>
      <c r="AC55">
        <v>0.69303700000000001</v>
      </c>
      <c r="AD55">
        <v>0.69781400000000005</v>
      </c>
      <c r="AE55">
        <v>0.70190399999999997</v>
      </c>
      <c r="AF55">
        <v>0.70586800000000005</v>
      </c>
      <c r="AG55" s="31">
        <v>1.0999999999999999E-2</v>
      </c>
    </row>
    <row r="56" spans="1:33" x14ac:dyDescent="0.25">
      <c r="A56" t="s">
        <v>749</v>
      </c>
      <c r="B56" t="s">
        <v>750</v>
      </c>
      <c r="C56" t="s">
        <v>751</v>
      </c>
      <c r="D56" t="s">
        <v>73</v>
      </c>
      <c r="F56">
        <v>0.40095399999999998</v>
      </c>
      <c r="G56">
        <v>0.41178199999999998</v>
      </c>
      <c r="H56">
        <v>0.41543999999999998</v>
      </c>
      <c r="I56">
        <v>0.405144</v>
      </c>
      <c r="J56">
        <v>0.38895600000000002</v>
      </c>
      <c r="K56">
        <v>0.37524600000000002</v>
      </c>
      <c r="L56">
        <v>0.36750500000000003</v>
      </c>
      <c r="M56">
        <v>0.36195500000000003</v>
      </c>
      <c r="N56">
        <v>0.35661399999999999</v>
      </c>
      <c r="O56">
        <v>0.34505599999999997</v>
      </c>
      <c r="P56">
        <v>0.33768500000000001</v>
      </c>
      <c r="Q56">
        <v>0.32989299999999999</v>
      </c>
      <c r="R56">
        <v>0.32179999999999997</v>
      </c>
      <c r="S56">
        <v>0.317131</v>
      </c>
      <c r="T56">
        <v>0.31104300000000001</v>
      </c>
      <c r="U56">
        <v>0.304614</v>
      </c>
      <c r="V56">
        <v>0.30076399999999998</v>
      </c>
      <c r="W56">
        <v>0.29495100000000002</v>
      </c>
      <c r="X56">
        <v>0.288246</v>
      </c>
      <c r="Y56">
        <v>0.283503</v>
      </c>
      <c r="Z56">
        <v>0.27773300000000001</v>
      </c>
      <c r="AA56">
        <v>0.27084599999999998</v>
      </c>
      <c r="AB56">
        <v>0.26340400000000003</v>
      </c>
      <c r="AC56">
        <v>0.25746599999999997</v>
      </c>
      <c r="AD56">
        <v>0.25031700000000001</v>
      </c>
      <c r="AE56">
        <v>0.24273600000000001</v>
      </c>
      <c r="AF56">
        <v>0.235295</v>
      </c>
      <c r="AG56" s="31">
        <v>-0.02</v>
      </c>
    </row>
    <row r="57" spans="1:33" x14ac:dyDescent="0.25">
      <c r="A57" t="s">
        <v>159</v>
      </c>
      <c r="B57" t="s">
        <v>752</v>
      </c>
      <c r="C57" t="s">
        <v>753</v>
      </c>
      <c r="D57" t="s">
        <v>73</v>
      </c>
      <c r="F57">
        <v>0.22200800000000001</v>
      </c>
      <c r="G57">
        <v>0.23433499999999999</v>
      </c>
      <c r="H57">
        <v>0.241483</v>
      </c>
      <c r="I57">
        <v>0.247088</v>
      </c>
      <c r="J57">
        <v>0.25256299999999998</v>
      </c>
      <c r="K57">
        <v>0.25486500000000001</v>
      </c>
      <c r="L57">
        <v>0.25775700000000001</v>
      </c>
      <c r="M57">
        <v>0.25991900000000001</v>
      </c>
      <c r="N57">
        <v>0.26369500000000001</v>
      </c>
      <c r="O57">
        <v>0.26393299999999997</v>
      </c>
      <c r="P57">
        <v>0.26266200000000001</v>
      </c>
      <c r="Q57">
        <v>0.25883899999999999</v>
      </c>
      <c r="R57">
        <v>0.25305</v>
      </c>
      <c r="S57">
        <v>0.24718000000000001</v>
      </c>
      <c r="T57">
        <v>0.24132400000000001</v>
      </c>
      <c r="U57">
        <v>0.23622599999999999</v>
      </c>
      <c r="V57">
        <v>0.232213</v>
      </c>
      <c r="W57">
        <v>0.228627</v>
      </c>
      <c r="X57">
        <v>0.22464999999999999</v>
      </c>
      <c r="Y57">
        <v>0.220441</v>
      </c>
      <c r="Z57">
        <v>0.216143</v>
      </c>
      <c r="AA57">
        <v>0.211953</v>
      </c>
      <c r="AB57">
        <v>0.20804900000000001</v>
      </c>
      <c r="AC57">
        <v>0.204265</v>
      </c>
      <c r="AD57">
        <v>0.20063800000000001</v>
      </c>
      <c r="AE57">
        <v>0.19728899999999999</v>
      </c>
      <c r="AF57">
        <v>0.19321099999999999</v>
      </c>
      <c r="AG57" s="31">
        <v>-5.0000000000000001E-3</v>
      </c>
    </row>
    <row r="58" spans="1:33" x14ac:dyDescent="0.25">
      <c r="A58" t="s">
        <v>165</v>
      </c>
      <c r="B58" t="s">
        <v>754</v>
      </c>
      <c r="C58" t="s">
        <v>755</v>
      </c>
      <c r="D58" t="s">
        <v>73</v>
      </c>
      <c r="F58">
        <v>0.62296200000000002</v>
      </c>
      <c r="G58">
        <v>0.64611799999999997</v>
      </c>
      <c r="H58">
        <v>0.65692300000000003</v>
      </c>
      <c r="I58">
        <v>0.65223200000000003</v>
      </c>
      <c r="J58">
        <v>0.64151999999999998</v>
      </c>
      <c r="K58">
        <v>0.63011099999999998</v>
      </c>
      <c r="L58">
        <v>0.62526199999999998</v>
      </c>
      <c r="M58">
        <v>0.62187400000000004</v>
      </c>
      <c r="N58">
        <v>0.62030799999999997</v>
      </c>
      <c r="O58">
        <v>0.608989</v>
      </c>
      <c r="P58">
        <v>0.60034699999999996</v>
      </c>
      <c r="Q58">
        <v>0.58873200000000003</v>
      </c>
      <c r="R58">
        <v>0.57484999999999997</v>
      </c>
      <c r="S58">
        <v>0.56431200000000004</v>
      </c>
      <c r="T58">
        <v>0.55236700000000005</v>
      </c>
      <c r="U58">
        <v>0.54084100000000002</v>
      </c>
      <c r="V58">
        <v>0.53297700000000003</v>
      </c>
      <c r="W58">
        <v>0.52357900000000002</v>
      </c>
      <c r="X58">
        <v>0.51289600000000002</v>
      </c>
      <c r="Y58">
        <v>0.50394499999999998</v>
      </c>
      <c r="Z58">
        <v>0.49387599999999998</v>
      </c>
      <c r="AA58">
        <v>0.48280000000000001</v>
      </c>
      <c r="AB58">
        <v>0.47145300000000001</v>
      </c>
      <c r="AC58">
        <v>0.461731</v>
      </c>
      <c r="AD58">
        <v>0.45095499999999999</v>
      </c>
      <c r="AE58">
        <v>0.440025</v>
      </c>
      <c r="AF58">
        <v>0.428506</v>
      </c>
      <c r="AG58" s="31">
        <v>-1.4E-2</v>
      </c>
    </row>
    <row r="59" spans="1:33" x14ac:dyDescent="0.25">
      <c r="A59" t="s">
        <v>756</v>
      </c>
      <c r="B59" t="s">
        <v>757</v>
      </c>
      <c r="C59" t="s">
        <v>758</v>
      </c>
      <c r="D59" t="s">
        <v>73</v>
      </c>
      <c r="F59">
        <v>1.404115</v>
      </c>
      <c r="G59">
        <v>1.4243939999999999</v>
      </c>
      <c r="H59">
        <v>1.4469479999999999</v>
      </c>
      <c r="I59">
        <v>1.44554</v>
      </c>
      <c r="J59">
        <v>1.4523870000000001</v>
      </c>
      <c r="K59">
        <v>1.474432</v>
      </c>
      <c r="L59">
        <v>1.4950939999999999</v>
      </c>
      <c r="M59">
        <v>1.518669</v>
      </c>
      <c r="N59">
        <v>1.536608</v>
      </c>
      <c r="O59">
        <v>1.543585</v>
      </c>
      <c r="P59">
        <v>1.5628169999999999</v>
      </c>
      <c r="Q59">
        <v>1.582662</v>
      </c>
      <c r="R59">
        <v>1.614209</v>
      </c>
      <c r="S59">
        <v>1.637877</v>
      </c>
      <c r="T59">
        <v>1.654558</v>
      </c>
      <c r="U59">
        <v>1.6763110000000001</v>
      </c>
      <c r="V59">
        <v>1.692145</v>
      </c>
      <c r="W59">
        <v>1.690858</v>
      </c>
      <c r="X59">
        <v>1.695535</v>
      </c>
      <c r="Y59">
        <v>1.6912590000000001</v>
      </c>
      <c r="Z59">
        <v>1.6968289999999999</v>
      </c>
      <c r="AA59">
        <v>1.7099299999999999</v>
      </c>
      <c r="AB59">
        <v>1.7276590000000001</v>
      </c>
      <c r="AC59">
        <v>1.750516</v>
      </c>
      <c r="AD59">
        <v>1.771954</v>
      </c>
      <c r="AE59">
        <v>1.794454</v>
      </c>
      <c r="AF59">
        <v>1.8138540000000001</v>
      </c>
      <c r="AG59" s="31">
        <v>0.01</v>
      </c>
    </row>
    <row r="60" spans="1:33" x14ac:dyDescent="0.25">
      <c r="A60" t="s">
        <v>289</v>
      </c>
      <c r="B60" t="s">
        <v>759</v>
      </c>
      <c r="C60" t="s">
        <v>760</v>
      </c>
      <c r="D60" t="s">
        <v>73</v>
      </c>
      <c r="F60">
        <v>3.32003</v>
      </c>
      <c r="G60">
        <v>3.3668529999999999</v>
      </c>
      <c r="H60">
        <v>3.4057050000000002</v>
      </c>
      <c r="I60">
        <v>3.4297420000000001</v>
      </c>
      <c r="J60">
        <v>3.4483649999999999</v>
      </c>
      <c r="K60">
        <v>3.4783499999999998</v>
      </c>
      <c r="L60">
        <v>3.5275430000000001</v>
      </c>
      <c r="M60">
        <v>3.5862720000000001</v>
      </c>
      <c r="N60">
        <v>3.671618</v>
      </c>
      <c r="O60">
        <v>3.7582089999999999</v>
      </c>
      <c r="P60">
        <v>3.8731140000000002</v>
      </c>
      <c r="Q60">
        <v>3.9874860000000001</v>
      </c>
      <c r="R60">
        <v>4.085528</v>
      </c>
      <c r="S60">
        <v>4.1679789999999999</v>
      </c>
      <c r="T60">
        <v>4.23292</v>
      </c>
      <c r="U60">
        <v>4.2931340000000002</v>
      </c>
      <c r="V60">
        <v>4.3640889999999999</v>
      </c>
      <c r="W60">
        <v>4.4285199999999998</v>
      </c>
      <c r="X60">
        <v>4.4870169999999998</v>
      </c>
      <c r="Y60">
        <v>4.5358409999999996</v>
      </c>
      <c r="Z60">
        <v>4.5831939999999998</v>
      </c>
      <c r="AA60">
        <v>4.6293889999999998</v>
      </c>
      <c r="AB60">
        <v>4.677041</v>
      </c>
      <c r="AC60">
        <v>4.7292180000000004</v>
      </c>
      <c r="AD60">
        <v>4.7723380000000004</v>
      </c>
      <c r="AE60">
        <v>4.8193679999999999</v>
      </c>
      <c r="AF60">
        <v>4.8613689999999998</v>
      </c>
      <c r="AG60" s="31">
        <v>1.4999999999999999E-2</v>
      </c>
    </row>
    <row r="61" spans="1:33" x14ac:dyDescent="0.25">
      <c r="A61" t="s">
        <v>89</v>
      </c>
      <c r="B61" t="s">
        <v>761</v>
      </c>
      <c r="C61" t="s">
        <v>762</v>
      </c>
      <c r="D61" t="s">
        <v>73</v>
      </c>
      <c r="F61">
        <v>21.018877</v>
      </c>
      <c r="G61">
        <v>21.303335000000001</v>
      </c>
      <c r="H61">
        <v>21.750758999999999</v>
      </c>
      <c r="I61">
        <v>21.836694999999999</v>
      </c>
      <c r="J61">
        <v>21.961637</v>
      </c>
      <c r="K61">
        <v>22.089458</v>
      </c>
      <c r="L61">
        <v>22.247727999999999</v>
      </c>
      <c r="M61">
        <v>22.401266</v>
      </c>
      <c r="N61">
        <v>22.617708</v>
      </c>
      <c r="O61">
        <v>22.707578999999999</v>
      </c>
      <c r="P61">
        <v>22.861856</v>
      </c>
      <c r="Q61">
        <v>22.991598</v>
      </c>
      <c r="R61">
        <v>23.117851000000002</v>
      </c>
      <c r="S61">
        <v>23.225828</v>
      </c>
      <c r="T61">
        <v>23.38072</v>
      </c>
      <c r="U61">
        <v>23.570627000000002</v>
      </c>
      <c r="V61">
        <v>23.798103000000001</v>
      </c>
      <c r="W61">
        <v>23.967371</v>
      </c>
      <c r="X61">
        <v>24.138372</v>
      </c>
      <c r="Y61">
        <v>24.266000999999999</v>
      </c>
      <c r="Z61">
        <v>24.480324</v>
      </c>
      <c r="AA61">
        <v>24.685724</v>
      </c>
      <c r="AB61">
        <v>24.839009999999998</v>
      </c>
      <c r="AC61">
        <v>25.05471</v>
      </c>
      <c r="AD61">
        <v>25.222577999999999</v>
      </c>
      <c r="AE61">
        <v>25.42914</v>
      </c>
      <c r="AF61">
        <v>25.619772000000001</v>
      </c>
      <c r="AG61" s="31">
        <v>8.0000000000000002E-3</v>
      </c>
    </row>
    <row r="62" spans="1:33" x14ac:dyDescent="0.25">
      <c r="A62" t="s">
        <v>92</v>
      </c>
      <c r="B62" t="s">
        <v>763</v>
      </c>
      <c r="C62" t="s">
        <v>764</v>
      </c>
      <c r="D62" t="s">
        <v>73</v>
      </c>
      <c r="F62">
        <v>4.7189019999999999</v>
      </c>
      <c r="G62">
        <v>4.6402270000000003</v>
      </c>
      <c r="H62">
        <v>4.414301</v>
      </c>
      <c r="I62">
        <v>4.2756379999999998</v>
      </c>
      <c r="J62">
        <v>4.2034969999999996</v>
      </c>
      <c r="K62">
        <v>4.1655509999999998</v>
      </c>
      <c r="L62">
        <v>4.0546980000000001</v>
      </c>
      <c r="M62">
        <v>3.9903900000000001</v>
      </c>
      <c r="N62">
        <v>3.8210630000000001</v>
      </c>
      <c r="O62">
        <v>3.7839</v>
      </c>
      <c r="P62">
        <v>3.7585809999999999</v>
      </c>
      <c r="Q62">
        <v>3.6997019999999998</v>
      </c>
      <c r="R62">
        <v>3.629308</v>
      </c>
      <c r="S62">
        <v>3.5091329999999998</v>
      </c>
      <c r="T62">
        <v>3.4510960000000002</v>
      </c>
      <c r="U62">
        <v>3.2906620000000002</v>
      </c>
      <c r="V62">
        <v>3.284907</v>
      </c>
      <c r="W62">
        <v>3.3259089999999998</v>
      </c>
      <c r="X62">
        <v>3.3627500000000001</v>
      </c>
      <c r="Y62">
        <v>3.3757280000000001</v>
      </c>
      <c r="Z62">
        <v>3.3930820000000002</v>
      </c>
      <c r="AA62">
        <v>3.389186</v>
      </c>
      <c r="AB62">
        <v>3.3854669999999998</v>
      </c>
      <c r="AC62">
        <v>3.3965040000000002</v>
      </c>
      <c r="AD62">
        <v>3.4102480000000002</v>
      </c>
      <c r="AE62">
        <v>3.4333119999999999</v>
      </c>
      <c r="AF62">
        <v>3.4262329999999999</v>
      </c>
      <c r="AG62" s="31">
        <v>-1.2E-2</v>
      </c>
    </row>
    <row r="63" spans="1:33" x14ac:dyDescent="0.25">
      <c r="A63" t="s">
        <v>183</v>
      </c>
      <c r="B63" t="s">
        <v>765</v>
      </c>
      <c r="C63" t="s">
        <v>766</v>
      </c>
      <c r="D63" t="s">
        <v>73</v>
      </c>
      <c r="F63">
        <v>0.15129500000000001</v>
      </c>
      <c r="G63">
        <v>0.15520500000000001</v>
      </c>
      <c r="H63">
        <v>0.163025</v>
      </c>
      <c r="I63">
        <v>0.16552</v>
      </c>
      <c r="J63">
        <v>0.16509299999999999</v>
      </c>
      <c r="K63">
        <v>0.166543</v>
      </c>
      <c r="L63">
        <v>0.168963</v>
      </c>
      <c r="M63">
        <v>0.17276</v>
      </c>
      <c r="N63">
        <v>0.17716299999999999</v>
      </c>
      <c r="O63">
        <v>0.183083</v>
      </c>
      <c r="P63">
        <v>0.18890999999999999</v>
      </c>
      <c r="Q63">
        <v>0.194412</v>
      </c>
      <c r="R63">
        <v>0.197989</v>
      </c>
      <c r="S63">
        <v>0.19947899999999999</v>
      </c>
      <c r="T63">
        <v>0.20116100000000001</v>
      </c>
      <c r="U63">
        <v>0.20319599999999999</v>
      </c>
      <c r="V63">
        <v>0.20532600000000001</v>
      </c>
      <c r="W63">
        <v>0.20758299999999999</v>
      </c>
      <c r="X63">
        <v>0.209259</v>
      </c>
      <c r="Y63">
        <v>0.211261</v>
      </c>
      <c r="Z63">
        <v>0.21355299999999999</v>
      </c>
      <c r="AA63">
        <v>0.215116</v>
      </c>
      <c r="AB63">
        <v>0.21615400000000001</v>
      </c>
      <c r="AC63">
        <v>0.216639</v>
      </c>
      <c r="AD63">
        <v>0.21814900000000001</v>
      </c>
      <c r="AE63">
        <v>0.21710499999999999</v>
      </c>
      <c r="AF63">
        <v>0.21870200000000001</v>
      </c>
      <c r="AG63" s="31">
        <v>1.4E-2</v>
      </c>
    </row>
    <row r="64" spans="1:33" x14ac:dyDescent="0.25">
      <c r="A64" t="s">
        <v>95</v>
      </c>
      <c r="B64" t="s">
        <v>767</v>
      </c>
      <c r="C64" t="s">
        <v>768</v>
      </c>
      <c r="D64" t="s">
        <v>73</v>
      </c>
      <c r="F64">
        <v>25.889074000000001</v>
      </c>
      <c r="G64">
        <v>26.098766000000001</v>
      </c>
      <c r="H64">
        <v>26.328085000000002</v>
      </c>
      <c r="I64">
        <v>26.277850999999998</v>
      </c>
      <c r="J64">
        <v>26.330227000000001</v>
      </c>
      <c r="K64">
        <v>26.421551000000001</v>
      </c>
      <c r="L64">
        <v>26.471388000000001</v>
      </c>
      <c r="M64">
        <v>26.564415</v>
      </c>
      <c r="N64">
        <v>26.615933999999999</v>
      </c>
      <c r="O64">
        <v>26.674561000000001</v>
      </c>
      <c r="P64">
        <v>26.809346999999999</v>
      </c>
      <c r="Q64">
        <v>26.885712000000002</v>
      </c>
      <c r="R64">
        <v>26.945146999999999</v>
      </c>
      <c r="S64">
        <v>26.934441</v>
      </c>
      <c r="T64">
        <v>27.032976000000001</v>
      </c>
      <c r="U64">
        <v>27.064485999999999</v>
      </c>
      <c r="V64">
        <v>27.288336000000001</v>
      </c>
      <c r="W64">
        <v>27.500862000000001</v>
      </c>
      <c r="X64">
        <v>27.710381999999999</v>
      </c>
      <c r="Y64">
        <v>27.852989000000001</v>
      </c>
      <c r="Z64">
        <v>28.086957999999999</v>
      </c>
      <c r="AA64">
        <v>28.290026000000001</v>
      </c>
      <c r="AB64">
        <v>28.440632000000001</v>
      </c>
      <c r="AC64">
        <v>28.667852</v>
      </c>
      <c r="AD64">
        <v>28.850974999999998</v>
      </c>
      <c r="AE64">
        <v>29.079557000000001</v>
      </c>
      <c r="AF64">
        <v>29.264707999999999</v>
      </c>
      <c r="AG64" s="31">
        <v>5.0000000000000001E-3</v>
      </c>
    </row>
    <row r="65" spans="1:33" x14ac:dyDescent="0.25">
      <c r="A65" s="1" t="s">
        <v>769</v>
      </c>
    </row>
    <row r="66" spans="1:33" x14ac:dyDescent="0.25">
      <c r="A66" t="s">
        <v>698</v>
      </c>
      <c r="B66" t="s">
        <v>770</v>
      </c>
      <c r="C66" t="s">
        <v>771</v>
      </c>
      <c r="D66" t="s">
        <v>73</v>
      </c>
      <c r="F66">
        <v>6.7889999999999999E-3</v>
      </c>
      <c r="G66">
        <v>6.7889999999999999E-3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 s="31">
        <v>-1</v>
      </c>
    </row>
    <row r="67" spans="1:33" x14ac:dyDescent="0.25">
      <c r="A67" t="s">
        <v>74</v>
      </c>
      <c r="B67" t="s">
        <v>772</v>
      </c>
      <c r="C67" t="s">
        <v>773</v>
      </c>
      <c r="D67" t="s">
        <v>73</v>
      </c>
      <c r="F67">
        <v>1.5740000000000001E-3</v>
      </c>
      <c r="G67">
        <v>1.5740000000000001E-3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 s="31">
        <v>-1</v>
      </c>
    </row>
    <row r="68" spans="1:33" x14ac:dyDescent="0.25">
      <c r="A68" t="s">
        <v>109</v>
      </c>
      <c r="B68" t="s">
        <v>774</v>
      </c>
      <c r="C68" t="s">
        <v>775</v>
      </c>
      <c r="D68" t="s">
        <v>73</v>
      </c>
      <c r="F68">
        <v>2.8800000000000001E-4</v>
      </c>
      <c r="G68">
        <v>2.8800000000000001E-4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 s="31">
        <v>-1</v>
      </c>
    </row>
    <row r="69" spans="1:33" x14ac:dyDescent="0.25">
      <c r="A69" t="s">
        <v>726</v>
      </c>
      <c r="B69" t="s">
        <v>776</v>
      </c>
      <c r="C69" t="s">
        <v>777</v>
      </c>
      <c r="D69" t="s">
        <v>73</v>
      </c>
      <c r="F69">
        <v>0.45100000000000001</v>
      </c>
      <c r="G69">
        <v>0.47399999999999998</v>
      </c>
      <c r="H69">
        <v>0.48449500000000001</v>
      </c>
      <c r="I69">
        <v>0.48704799999999998</v>
      </c>
      <c r="J69">
        <v>0.48873</v>
      </c>
      <c r="K69">
        <v>0.488317</v>
      </c>
      <c r="L69">
        <v>0.48851899999999998</v>
      </c>
      <c r="M69">
        <v>0.486516</v>
      </c>
      <c r="N69">
        <v>0.47837800000000003</v>
      </c>
      <c r="O69">
        <v>0.47772900000000001</v>
      </c>
      <c r="P69">
        <v>0.47647600000000001</v>
      </c>
      <c r="Q69">
        <v>0.47135500000000002</v>
      </c>
      <c r="R69">
        <v>0.47185300000000002</v>
      </c>
      <c r="S69">
        <v>0.47006900000000001</v>
      </c>
      <c r="T69">
        <v>0.46249200000000001</v>
      </c>
      <c r="U69">
        <v>0.46041500000000002</v>
      </c>
      <c r="V69">
        <v>0.46384799999999998</v>
      </c>
      <c r="W69">
        <v>0.457426</v>
      </c>
      <c r="X69">
        <v>0.44913199999999998</v>
      </c>
      <c r="Y69">
        <v>0.45547100000000001</v>
      </c>
      <c r="Z69">
        <v>0.45388200000000001</v>
      </c>
      <c r="AA69">
        <v>0.45197100000000001</v>
      </c>
      <c r="AB69">
        <v>0.45158599999999999</v>
      </c>
      <c r="AC69">
        <v>0.45561600000000002</v>
      </c>
      <c r="AD69">
        <v>0.45684599999999997</v>
      </c>
      <c r="AE69">
        <v>0.45152300000000001</v>
      </c>
      <c r="AF69">
        <v>0.44954100000000002</v>
      </c>
      <c r="AG69" s="31">
        <v>0</v>
      </c>
    </row>
    <row r="70" spans="1:33" x14ac:dyDescent="0.25">
      <c r="A70" t="s">
        <v>778</v>
      </c>
      <c r="B70" t="s">
        <v>779</v>
      </c>
      <c r="C70" t="s">
        <v>780</v>
      </c>
      <c r="D70" t="s">
        <v>73</v>
      </c>
      <c r="F70">
        <v>1.3910260000000001</v>
      </c>
      <c r="G70">
        <v>1.3910260000000001</v>
      </c>
      <c r="H70">
        <v>1.3210029999999999</v>
      </c>
      <c r="I70">
        <v>1.31785</v>
      </c>
      <c r="J70">
        <v>1.348322</v>
      </c>
      <c r="K70">
        <v>1.323102</v>
      </c>
      <c r="L70">
        <v>1.3399760000000001</v>
      </c>
      <c r="M70">
        <v>1.3434219999999999</v>
      </c>
      <c r="N70">
        <v>1.3441449999999999</v>
      </c>
      <c r="O70">
        <v>1.3212520000000001</v>
      </c>
      <c r="P70">
        <v>1.3225739999999999</v>
      </c>
      <c r="Q70">
        <v>1.309428</v>
      </c>
      <c r="R70">
        <v>1.321005</v>
      </c>
      <c r="S70">
        <v>1.3220529999999999</v>
      </c>
      <c r="T70">
        <v>1.322975</v>
      </c>
      <c r="U70">
        <v>1.3274459999999999</v>
      </c>
      <c r="V70">
        <v>1.3321149999999999</v>
      </c>
      <c r="W70">
        <v>1.3346229999999999</v>
      </c>
      <c r="X70">
        <v>1.318845</v>
      </c>
      <c r="Y70">
        <v>1.3339380000000001</v>
      </c>
      <c r="Z70">
        <v>1.3302320000000001</v>
      </c>
      <c r="AA70">
        <v>1.329636</v>
      </c>
      <c r="AB70">
        <v>1.3349310000000001</v>
      </c>
      <c r="AC70">
        <v>1.344992</v>
      </c>
      <c r="AD70">
        <v>1.3399700000000001</v>
      </c>
      <c r="AE70">
        <v>1.3375790000000001</v>
      </c>
      <c r="AF70">
        <v>1.324381</v>
      </c>
      <c r="AG70" s="31">
        <v>-2E-3</v>
      </c>
    </row>
    <row r="71" spans="1:33" x14ac:dyDescent="0.25">
      <c r="A71" t="s">
        <v>731</v>
      </c>
      <c r="B71" t="s">
        <v>781</v>
      </c>
      <c r="C71" t="s">
        <v>782</v>
      </c>
      <c r="D71" t="s">
        <v>73</v>
      </c>
      <c r="F71">
        <v>6.1130000000000004E-3</v>
      </c>
      <c r="G71">
        <v>6.1130000000000004E-3</v>
      </c>
      <c r="H71">
        <v>7.1000000000000004E-3</v>
      </c>
      <c r="I71">
        <v>7.1960000000000001E-3</v>
      </c>
      <c r="J71">
        <v>7.7289999999999998E-3</v>
      </c>
      <c r="K71">
        <v>8.5800000000000008E-3</v>
      </c>
      <c r="L71">
        <v>7.7889999999999999E-3</v>
      </c>
      <c r="M71">
        <v>7.0720000000000002E-3</v>
      </c>
      <c r="N71">
        <v>7.1869999999999998E-3</v>
      </c>
      <c r="O71">
        <v>7.7640000000000001E-3</v>
      </c>
      <c r="P71">
        <v>1.1374E-2</v>
      </c>
      <c r="Q71">
        <v>1.8034000000000001E-2</v>
      </c>
      <c r="R71">
        <v>1.2482E-2</v>
      </c>
      <c r="S71">
        <v>1.2439E-2</v>
      </c>
      <c r="T71">
        <v>1.3728000000000001E-2</v>
      </c>
      <c r="U71">
        <v>1.3953E-2</v>
      </c>
      <c r="V71">
        <v>1.5202E-2</v>
      </c>
      <c r="W71">
        <v>2.0933E-2</v>
      </c>
      <c r="X71">
        <v>2.8912E-2</v>
      </c>
      <c r="Y71">
        <v>1.8711999999999999E-2</v>
      </c>
      <c r="Z71">
        <v>1.9775000000000001E-2</v>
      </c>
      <c r="AA71">
        <v>1.584E-2</v>
      </c>
      <c r="AB71">
        <v>1.5887999999999999E-2</v>
      </c>
      <c r="AC71">
        <v>1.468E-2</v>
      </c>
      <c r="AD71">
        <v>1.3945000000000001E-2</v>
      </c>
      <c r="AE71">
        <v>1.4054000000000001E-2</v>
      </c>
      <c r="AF71">
        <v>1.3450999999999999E-2</v>
      </c>
      <c r="AG71" s="31">
        <v>3.1E-2</v>
      </c>
    </row>
    <row r="72" spans="1:33" x14ac:dyDescent="0.25">
      <c r="A72" t="s">
        <v>77</v>
      </c>
      <c r="B72" t="s">
        <v>783</v>
      </c>
      <c r="C72" t="s">
        <v>784</v>
      </c>
      <c r="D72" t="s">
        <v>73</v>
      </c>
      <c r="F72">
        <v>1.8567899999999999</v>
      </c>
      <c r="G72">
        <v>1.8797900000000001</v>
      </c>
      <c r="H72">
        <v>1.8125979999999999</v>
      </c>
      <c r="I72">
        <v>1.8120940000000001</v>
      </c>
      <c r="J72">
        <v>1.844781</v>
      </c>
      <c r="K72">
        <v>1.819998</v>
      </c>
      <c r="L72">
        <v>1.836284</v>
      </c>
      <c r="M72">
        <v>1.83701</v>
      </c>
      <c r="N72">
        <v>1.8297099999999999</v>
      </c>
      <c r="O72">
        <v>1.8067439999999999</v>
      </c>
      <c r="P72">
        <v>1.810424</v>
      </c>
      <c r="Q72">
        <v>1.798818</v>
      </c>
      <c r="R72">
        <v>1.8053399999999999</v>
      </c>
      <c r="S72">
        <v>1.804562</v>
      </c>
      <c r="T72">
        <v>1.799196</v>
      </c>
      <c r="U72">
        <v>1.8018130000000001</v>
      </c>
      <c r="V72">
        <v>1.811164</v>
      </c>
      <c r="W72">
        <v>1.812983</v>
      </c>
      <c r="X72">
        <v>1.796888</v>
      </c>
      <c r="Y72">
        <v>1.8081210000000001</v>
      </c>
      <c r="Z72">
        <v>1.8038890000000001</v>
      </c>
      <c r="AA72">
        <v>1.797447</v>
      </c>
      <c r="AB72">
        <v>1.802406</v>
      </c>
      <c r="AC72">
        <v>1.815288</v>
      </c>
      <c r="AD72">
        <v>1.810762</v>
      </c>
      <c r="AE72">
        <v>1.803156</v>
      </c>
      <c r="AF72">
        <v>1.7873730000000001</v>
      </c>
      <c r="AG72" s="31">
        <v>-1E-3</v>
      </c>
    </row>
    <row r="73" spans="1:33" x14ac:dyDescent="0.25">
      <c r="A73" t="s">
        <v>736</v>
      </c>
      <c r="B73" t="s">
        <v>785</v>
      </c>
      <c r="C73" t="s">
        <v>786</v>
      </c>
      <c r="D73" t="s">
        <v>73</v>
      </c>
      <c r="F73">
        <v>1.323966</v>
      </c>
      <c r="G73">
        <v>1.323966</v>
      </c>
      <c r="H73">
        <v>1.070948</v>
      </c>
      <c r="I73">
        <v>1.06938</v>
      </c>
      <c r="J73">
        <v>1.0503340000000001</v>
      </c>
      <c r="K73">
        <v>1.054281</v>
      </c>
      <c r="L73">
        <v>1.0368820000000001</v>
      </c>
      <c r="M73">
        <v>1.0354190000000001</v>
      </c>
      <c r="N73">
        <v>1.0172760000000001</v>
      </c>
      <c r="O73">
        <v>1.017196</v>
      </c>
      <c r="P73">
        <v>0.99468100000000004</v>
      </c>
      <c r="Q73">
        <v>0.97751999999999994</v>
      </c>
      <c r="R73">
        <v>0.97246900000000003</v>
      </c>
      <c r="S73">
        <v>0.95507699999999995</v>
      </c>
      <c r="T73">
        <v>0.94942700000000002</v>
      </c>
      <c r="U73">
        <v>0.946635</v>
      </c>
      <c r="V73">
        <v>0.94473300000000004</v>
      </c>
      <c r="W73">
        <v>0.93201800000000001</v>
      </c>
      <c r="X73">
        <v>0.92334000000000005</v>
      </c>
      <c r="Y73">
        <v>0.93607799999999997</v>
      </c>
      <c r="Z73">
        <v>0.92487299999999995</v>
      </c>
      <c r="AA73">
        <v>0.92169699999999999</v>
      </c>
      <c r="AB73">
        <v>0.92237499999999994</v>
      </c>
      <c r="AC73">
        <v>0.93124600000000002</v>
      </c>
      <c r="AD73">
        <v>0.93452400000000002</v>
      </c>
      <c r="AE73">
        <v>0.94206199999999995</v>
      </c>
      <c r="AF73">
        <v>0.94391199999999997</v>
      </c>
      <c r="AG73" s="31">
        <v>-1.2999999999999999E-2</v>
      </c>
    </row>
    <row r="74" spans="1:33" x14ac:dyDescent="0.25">
      <c r="A74" t="s">
        <v>746</v>
      </c>
      <c r="B74" t="s">
        <v>787</v>
      </c>
      <c r="C74" t="s">
        <v>788</v>
      </c>
      <c r="D74" t="s">
        <v>73</v>
      </c>
      <c r="F74">
        <v>0.51700000000000002</v>
      </c>
      <c r="G74">
        <v>0.51700000000000002</v>
      </c>
      <c r="H74">
        <v>0.51700000000000002</v>
      </c>
      <c r="I74">
        <v>0.51700000000000002</v>
      </c>
      <c r="J74">
        <v>0.51700000000000002</v>
      </c>
      <c r="K74">
        <v>0.513853</v>
      </c>
      <c r="L74">
        <v>0.51700000000000002</v>
      </c>
      <c r="M74">
        <v>0.51700000000000002</v>
      </c>
      <c r="N74">
        <v>0.51700000000000002</v>
      </c>
      <c r="O74">
        <v>0.51700000000000002</v>
      </c>
      <c r="P74">
        <v>0.51700000000000002</v>
      </c>
      <c r="Q74">
        <v>0.51700000000000002</v>
      </c>
      <c r="R74">
        <v>0.51700000000000002</v>
      </c>
      <c r="S74">
        <v>0.51700000000000002</v>
      </c>
      <c r="T74">
        <v>0.51700000000000002</v>
      </c>
      <c r="U74">
        <v>0.51700000000000002</v>
      </c>
      <c r="V74">
        <v>0.51700000000000002</v>
      </c>
      <c r="W74">
        <v>0.51700000000000002</v>
      </c>
      <c r="X74">
        <v>0.51700000000000002</v>
      </c>
      <c r="Y74">
        <v>0.51700000000000002</v>
      </c>
      <c r="Z74">
        <v>0.51700000000000002</v>
      </c>
      <c r="AA74">
        <v>0.51700000000000002</v>
      </c>
      <c r="AB74">
        <v>0.51700000000000002</v>
      </c>
      <c r="AC74">
        <v>0.51700000000000002</v>
      </c>
      <c r="AD74">
        <v>0.51700000000000002</v>
      </c>
      <c r="AE74">
        <v>0.51700000000000002</v>
      </c>
      <c r="AF74">
        <v>0.51700000000000002</v>
      </c>
      <c r="AG74" s="31">
        <v>0</v>
      </c>
    </row>
    <row r="75" spans="1:33" x14ac:dyDescent="0.25">
      <c r="A75" t="s">
        <v>309</v>
      </c>
      <c r="B75" t="s">
        <v>789</v>
      </c>
      <c r="C75" t="s">
        <v>790</v>
      </c>
      <c r="D75" t="s">
        <v>73</v>
      </c>
      <c r="F75">
        <v>0.124711</v>
      </c>
      <c r="G75">
        <v>0.124711</v>
      </c>
      <c r="H75">
        <v>0.124711</v>
      </c>
      <c r="I75">
        <v>0.124711</v>
      </c>
      <c r="J75">
        <v>0.124711</v>
      </c>
      <c r="K75">
        <v>0.124711</v>
      </c>
      <c r="L75">
        <v>0.124711</v>
      </c>
      <c r="M75">
        <v>0.124711</v>
      </c>
      <c r="N75">
        <v>0.124711</v>
      </c>
      <c r="O75">
        <v>0.124711</v>
      </c>
      <c r="P75">
        <v>0.124711</v>
      </c>
      <c r="Q75">
        <v>0.124711</v>
      </c>
      <c r="R75">
        <v>0.124711</v>
      </c>
      <c r="S75">
        <v>0.124711</v>
      </c>
      <c r="T75">
        <v>0.124711</v>
      </c>
      <c r="U75">
        <v>0.124711</v>
      </c>
      <c r="V75">
        <v>0.124711</v>
      </c>
      <c r="W75">
        <v>0.124711</v>
      </c>
      <c r="X75">
        <v>0.124711</v>
      </c>
      <c r="Y75">
        <v>0.124711</v>
      </c>
      <c r="Z75">
        <v>0.124711</v>
      </c>
      <c r="AA75">
        <v>0.124711</v>
      </c>
      <c r="AB75">
        <v>0.124711</v>
      </c>
      <c r="AC75">
        <v>0.124711</v>
      </c>
      <c r="AD75">
        <v>0.124711</v>
      </c>
      <c r="AE75">
        <v>0.124711</v>
      </c>
      <c r="AF75">
        <v>0.124711</v>
      </c>
      <c r="AG75" s="31">
        <v>0</v>
      </c>
    </row>
    <row r="76" spans="1:33" x14ac:dyDescent="0.25">
      <c r="A76" t="s">
        <v>168</v>
      </c>
      <c r="B76" t="s">
        <v>791</v>
      </c>
      <c r="C76" t="s">
        <v>792</v>
      </c>
      <c r="D76" t="s">
        <v>73</v>
      </c>
      <c r="F76">
        <v>0.89433099999999999</v>
      </c>
      <c r="G76">
        <v>0.91656800000000005</v>
      </c>
      <c r="H76">
        <v>0.91415800000000003</v>
      </c>
      <c r="I76">
        <v>0.91446300000000003</v>
      </c>
      <c r="J76">
        <v>0.91318200000000005</v>
      </c>
      <c r="K76">
        <v>0.90827199999999997</v>
      </c>
      <c r="L76">
        <v>0.903837</v>
      </c>
      <c r="M76">
        <v>0.89296799999999998</v>
      </c>
      <c r="N76">
        <v>0.88368899999999995</v>
      </c>
      <c r="O76">
        <v>0.86835099999999998</v>
      </c>
      <c r="P76">
        <v>0.85361900000000002</v>
      </c>
      <c r="Q76">
        <v>0.83833000000000002</v>
      </c>
      <c r="R76">
        <v>0.828071</v>
      </c>
      <c r="S76">
        <v>0.81101100000000004</v>
      </c>
      <c r="T76">
        <v>0.79574999999999996</v>
      </c>
      <c r="U76">
        <v>0.78434899999999996</v>
      </c>
      <c r="V76">
        <v>0.78216600000000003</v>
      </c>
      <c r="W76">
        <v>0.77179699999999996</v>
      </c>
      <c r="X76">
        <v>0.76169600000000004</v>
      </c>
      <c r="Y76">
        <v>0.75520600000000004</v>
      </c>
      <c r="Z76">
        <v>0.75332500000000002</v>
      </c>
      <c r="AA76">
        <v>0.75422</v>
      </c>
      <c r="AB76">
        <v>0.75177300000000002</v>
      </c>
      <c r="AC76">
        <v>0.75181600000000004</v>
      </c>
      <c r="AD76">
        <v>0.75012000000000001</v>
      </c>
      <c r="AE76">
        <v>0.75201099999999999</v>
      </c>
      <c r="AF76">
        <v>0.75567499999999999</v>
      </c>
      <c r="AG76" s="31">
        <v>-6.0000000000000001E-3</v>
      </c>
    </row>
    <row r="77" spans="1:33" x14ac:dyDescent="0.25">
      <c r="A77" t="s">
        <v>289</v>
      </c>
      <c r="B77" t="s">
        <v>793</v>
      </c>
      <c r="C77" t="s">
        <v>794</v>
      </c>
      <c r="D77" t="s">
        <v>73</v>
      </c>
      <c r="F77">
        <v>0.17851600000000001</v>
      </c>
      <c r="G77">
        <v>0.17851600000000001</v>
      </c>
      <c r="H77">
        <v>0.17615400000000001</v>
      </c>
      <c r="I77">
        <v>0.17611199999999999</v>
      </c>
      <c r="J77">
        <v>0.17610700000000001</v>
      </c>
      <c r="K77">
        <v>0.17511399999999999</v>
      </c>
      <c r="L77">
        <v>0.17482700000000001</v>
      </c>
      <c r="M77">
        <v>0.17377000000000001</v>
      </c>
      <c r="N77">
        <v>0.17194599999999999</v>
      </c>
      <c r="O77">
        <v>0.17042199999999999</v>
      </c>
      <c r="P77">
        <v>0.168709</v>
      </c>
      <c r="Q77">
        <v>0.165856</v>
      </c>
      <c r="R77">
        <v>0.16552700000000001</v>
      </c>
      <c r="S77">
        <v>0.16306599999999999</v>
      </c>
      <c r="T77">
        <v>0.160524</v>
      </c>
      <c r="U77">
        <v>0.16059200000000001</v>
      </c>
      <c r="V77">
        <v>0.16006300000000001</v>
      </c>
      <c r="W77">
        <v>0.15809000000000001</v>
      </c>
      <c r="X77">
        <v>0.156531</v>
      </c>
      <c r="Y77">
        <v>0.158886</v>
      </c>
      <c r="Z77">
        <v>0.15668299999999999</v>
      </c>
      <c r="AA77">
        <v>0.15581200000000001</v>
      </c>
      <c r="AB77">
        <v>0.15565799999999999</v>
      </c>
      <c r="AC77">
        <v>0.15729000000000001</v>
      </c>
      <c r="AD77">
        <v>0.15731400000000001</v>
      </c>
      <c r="AE77">
        <v>0.15673000000000001</v>
      </c>
      <c r="AF77">
        <v>0.156028</v>
      </c>
      <c r="AG77" s="31">
        <v>-5.0000000000000001E-3</v>
      </c>
    </row>
    <row r="78" spans="1:33" x14ac:dyDescent="0.25">
      <c r="A78" t="s">
        <v>89</v>
      </c>
      <c r="B78" t="s">
        <v>795</v>
      </c>
      <c r="C78" t="s">
        <v>796</v>
      </c>
      <c r="D78" t="s">
        <v>73</v>
      </c>
      <c r="F78">
        <v>4.8953139999999999</v>
      </c>
      <c r="G78">
        <v>4.9405510000000001</v>
      </c>
      <c r="H78">
        <v>4.6155679999999997</v>
      </c>
      <c r="I78">
        <v>4.6137600000000001</v>
      </c>
      <c r="J78">
        <v>4.6261150000000004</v>
      </c>
      <c r="K78">
        <v>4.5962290000000001</v>
      </c>
      <c r="L78">
        <v>4.5935410000000001</v>
      </c>
      <c r="M78">
        <v>4.5808790000000004</v>
      </c>
      <c r="N78">
        <v>4.5443319999999998</v>
      </c>
      <c r="O78">
        <v>4.5044240000000002</v>
      </c>
      <c r="P78">
        <v>4.4691429999999999</v>
      </c>
      <c r="Q78">
        <v>4.4222340000000004</v>
      </c>
      <c r="R78">
        <v>4.4131179999999999</v>
      </c>
      <c r="S78">
        <v>4.3754270000000002</v>
      </c>
      <c r="T78">
        <v>4.3466079999999998</v>
      </c>
      <c r="U78">
        <v>4.3351009999999999</v>
      </c>
      <c r="V78">
        <v>4.3398370000000002</v>
      </c>
      <c r="W78">
        <v>4.3165990000000001</v>
      </c>
      <c r="X78">
        <v>4.2801669999999996</v>
      </c>
      <c r="Y78">
        <v>4.300001</v>
      </c>
      <c r="Z78">
        <v>4.2804820000000001</v>
      </c>
      <c r="AA78">
        <v>4.2708870000000001</v>
      </c>
      <c r="AB78">
        <v>4.2739229999999999</v>
      </c>
      <c r="AC78">
        <v>4.2973509999999999</v>
      </c>
      <c r="AD78">
        <v>4.2944310000000003</v>
      </c>
      <c r="AE78">
        <v>4.2956700000000003</v>
      </c>
      <c r="AF78">
        <v>4.2847</v>
      </c>
      <c r="AG78" s="31">
        <v>-5.0000000000000001E-3</v>
      </c>
    </row>
    <row r="79" spans="1:33" x14ac:dyDescent="0.25">
      <c r="A79" t="s">
        <v>92</v>
      </c>
      <c r="B79" t="s">
        <v>797</v>
      </c>
      <c r="C79" t="s">
        <v>798</v>
      </c>
      <c r="D79" t="s">
        <v>73</v>
      </c>
      <c r="F79">
        <v>0.25373299999999999</v>
      </c>
      <c r="G79">
        <v>0.246032</v>
      </c>
      <c r="H79">
        <v>0.228322</v>
      </c>
      <c r="I79">
        <v>0.21954799999999999</v>
      </c>
      <c r="J79">
        <v>0.214672</v>
      </c>
      <c r="K79">
        <v>0.20971100000000001</v>
      </c>
      <c r="L79">
        <v>0.20095399999999999</v>
      </c>
      <c r="M79">
        <v>0.193351</v>
      </c>
      <c r="N79">
        <v>0.17894499999999999</v>
      </c>
      <c r="O79">
        <v>0.17158699999999999</v>
      </c>
      <c r="P79">
        <v>0.16372</v>
      </c>
      <c r="Q79">
        <v>0.153886</v>
      </c>
      <c r="R79">
        <v>0.14704300000000001</v>
      </c>
      <c r="S79">
        <v>0.13729</v>
      </c>
      <c r="T79">
        <v>0.13087499999999999</v>
      </c>
      <c r="U79">
        <v>0.12309299999999999</v>
      </c>
      <c r="V79">
        <v>0.120481</v>
      </c>
      <c r="W79">
        <v>0.118729</v>
      </c>
      <c r="X79">
        <v>0.117311</v>
      </c>
      <c r="Y79">
        <v>0.11824800000000001</v>
      </c>
      <c r="Z79">
        <v>0.115997</v>
      </c>
      <c r="AA79">
        <v>0.11407</v>
      </c>
      <c r="AB79">
        <v>0.112673</v>
      </c>
      <c r="AC79">
        <v>0.112965</v>
      </c>
      <c r="AD79">
        <v>0.112414</v>
      </c>
      <c r="AE79">
        <v>0.111654</v>
      </c>
      <c r="AF79">
        <v>0.109967</v>
      </c>
      <c r="AG79" s="31">
        <v>-3.2000000000000001E-2</v>
      </c>
    </row>
    <row r="80" spans="1:33" x14ac:dyDescent="0.25">
      <c r="A80" t="s">
        <v>183</v>
      </c>
      <c r="B80" t="s">
        <v>799</v>
      </c>
      <c r="C80" t="s">
        <v>800</v>
      </c>
      <c r="D80" t="s">
        <v>73</v>
      </c>
      <c r="F80">
        <v>0.14825099999999999</v>
      </c>
      <c r="G80">
        <v>0.14805599999999999</v>
      </c>
      <c r="H80">
        <v>0.150119</v>
      </c>
      <c r="I80">
        <v>0.151034</v>
      </c>
      <c r="J80">
        <v>0.15049999999999999</v>
      </c>
      <c r="K80">
        <v>0.14998</v>
      </c>
      <c r="L80">
        <v>0.15115600000000001</v>
      </c>
      <c r="M80">
        <v>0.152557</v>
      </c>
      <c r="N80">
        <v>0.15435499999999999</v>
      </c>
      <c r="O80">
        <v>0.15818199999999999</v>
      </c>
      <c r="P80">
        <v>0.16064800000000001</v>
      </c>
      <c r="Q80">
        <v>0.16333</v>
      </c>
      <c r="R80">
        <v>0.164352</v>
      </c>
      <c r="S80">
        <v>0.16353500000000001</v>
      </c>
      <c r="T80">
        <v>0.163022</v>
      </c>
      <c r="U80">
        <v>0.162823</v>
      </c>
      <c r="V80">
        <v>0.162772</v>
      </c>
      <c r="W80">
        <v>0.16304299999999999</v>
      </c>
      <c r="X80">
        <v>0.16283500000000001</v>
      </c>
      <c r="Y80">
        <v>0.16292400000000001</v>
      </c>
      <c r="Z80">
        <v>0.163025</v>
      </c>
      <c r="AA80">
        <v>0.16300700000000001</v>
      </c>
      <c r="AB80">
        <v>0.16255500000000001</v>
      </c>
      <c r="AC80">
        <v>0.161611</v>
      </c>
      <c r="AD80">
        <v>0.16162399999999999</v>
      </c>
      <c r="AE80">
        <v>0.159913</v>
      </c>
      <c r="AF80">
        <v>0.16018399999999999</v>
      </c>
      <c r="AG80" s="31">
        <v>3.0000000000000001E-3</v>
      </c>
    </row>
    <row r="81" spans="1:33" x14ac:dyDescent="0.25">
      <c r="A81" t="s">
        <v>95</v>
      </c>
      <c r="B81" t="s">
        <v>801</v>
      </c>
      <c r="C81" t="s">
        <v>802</v>
      </c>
      <c r="D81" t="s">
        <v>73</v>
      </c>
      <c r="F81">
        <v>5.2972979999999996</v>
      </c>
      <c r="G81">
        <v>5.3346390000000001</v>
      </c>
      <c r="H81">
        <v>4.9940090000000001</v>
      </c>
      <c r="I81">
        <v>4.984343</v>
      </c>
      <c r="J81">
        <v>4.9912869999999998</v>
      </c>
      <c r="K81">
        <v>4.9559199999999999</v>
      </c>
      <c r="L81">
        <v>4.9456499999999997</v>
      </c>
      <c r="M81">
        <v>4.9267880000000002</v>
      </c>
      <c r="N81">
        <v>4.8776320000000002</v>
      </c>
      <c r="O81">
        <v>4.8341940000000001</v>
      </c>
      <c r="P81">
        <v>4.7935109999999996</v>
      </c>
      <c r="Q81">
        <v>4.7394499999999997</v>
      </c>
      <c r="R81">
        <v>4.724513</v>
      </c>
      <c r="S81">
        <v>4.6762509999999997</v>
      </c>
      <c r="T81">
        <v>4.6405050000000001</v>
      </c>
      <c r="U81">
        <v>4.6210180000000003</v>
      </c>
      <c r="V81">
        <v>4.6230900000000004</v>
      </c>
      <c r="W81">
        <v>4.5983700000000001</v>
      </c>
      <c r="X81">
        <v>4.5603129999999998</v>
      </c>
      <c r="Y81">
        <v>4.5811729999999997</v>
      </c>
      <c r="Z81">
        <v>4.5595039999999996</v>
      </c>
      <c r="AA81">
        <v>4.5479630000000002</v>
      </c>
      <c r="AB81">
        <v>4.5491510000000002</v>
      </c>
      <c r="AC81">
        <v>4.5719269999999996</v>
      </c>
      <c r="AD81">
        <v>4.5684690000000003</v>
      </c>
      <c r="AE81">
        <v>4.5672370000000004</v>
      </c>
      <c r="AF81">
        <v>4.5548500000000001</v>
      </c>
      <c r="AG81" s="31">
        <v>-6.0000000000000001E-3</v>
      </c>
    </row>
    <row r="82" spans="1:33" x14ac:dyDescent="0.25">
      <c r="A82" s="1" t="s">
        <v>803</v>
      </c>
    </row>
    <row r="83" spans="1:33" x14ac:dyDescent="0.25">
      <c r="A83" t="s">
        <v>736</v>
      </c>
      <c r="B83" t="s">
        <v>804</v>
      </c>
      <c r="C83" t="s">
        <v>805</v>
      </c>
      <c r="D83" t="s">
        <v>73</v>
      </c>
      <c r="F83">
        <v>0.15540000000000001</v>
      </c>
      <c r="G83">
        <v>0.15806899999999999</v>
      </c>
      <c r="H83">
        <v>0.16268099999999999</v>
      </c>
      <c r="I83">
        <v>0.16497800000000001</v>
      </c>
      <c r="J83">
        <v>0.16633800000000001</v>
      </c>
      <c r="K83">
        <v>0.16833000000000001</v>
      </c>
      <c r="L83">
        <v>0.17245199999999999</v>
      </c>
      <c r="M83">
        <v>0.179122</v>
      </c>
      <c r="N83">
        <v>0.19189600000000001</v>
      </c>
      <c r="O83">
        <v>0.20411099999999999</v>
      </c>
      <c r="P83">
        <v>0.215582</v>
      </c>
      <c r="Q83">
        <v>0.22636000000000001</v>
      </c>
      <c r="R83">
        <v>0.23649600000000001</v>
      </c>
      <c r="S83">
        <v>0.24534500000000001</v>
      </c>
      <c r="T83">
        <v>0.25365500000000002</v>
      </c>
      <c r="U83">
        <v>0.26126700000000003</v>
      </c>
      <c r="V83">
        <v>0.268511</v>
      </c>
      <c r="W83">
        <v>0.275478</v>
      </c>
      <c r="X83">
        <v>0.28166200000000002</v>
      </c>
      <c r="Y83">
        <v>0.28784199999999999</v>
      </c>
      <c r="Z83">
        <v>0.29434100000000002</v>
      </c>
      <c r="AA83">
        <v>0.300284</v>
      </c>
      <c r="AB83">
        <v>0.30483199999999999</v>
      </c>
      <c r="AC83">
        <v>0.30825900000000001</v>
      </c>
      <c r="AD83">
        <v>0.31178099999999997</v>
      </c>
      <c r="AE83">
        <v>0.31467099999999998</v>
      </c>
      <c r="AF83">
        <v>0.31812600000000002</v>
      </c>
      <c r="AG83" s="31">
        <v>2.8000000000000001E-2</v>
      </c>
    </row>
    <row r="84" spans="1:33" x14ac:dyDescent="0.25">
      <c r="A84" t="s">
        <v>739</v>
      </c>
      <c r="B84" t="s">
        <v>806</v>
      </c>
      <c r="C84" t="s">
        <v>807</v>
      </c>
      <c r="D84" t="s">
        <v>73</v>
      </c>
      <c r="F84">
        <v>0.90508299999999997</v>
      </c>
      <c r="G84">
        <v>0.92063300000000003</v>
      </c>
      <c r="H84">
        <v>0.94729399999999997</v>
      </c>
      <c r="I84">
        <v>0.96065</v>
      </c>
      <c r="J84">
        <v>0.96856299999999995</v>
      </c>
      <c r="K84">
        <v>0.98014199999999996</v>
      </c>
      <c r="L84">
        <v>1.0041249999999999</v>
      </c>
      <c r="M84">
        <v>1.0429390000000001</v>
      </c>
      <c r="N84">
        <v>1.1171549999999999</v>
      </c>
      <c r="O84">
        <v>1.1879789999999999</v>
      </c>
      <c r="P84">
        <v>1.2544789999999999</v>
      </c>
      <c r="Q84">
        <v>1.316905</v>
      </c>
      <c r="R84">
        <v>1.375955</v>
      </c>
      <c r="S84">
        <v>1.42774</v>
      </c>
      <c r="T84">
        <v>1.4763649999999999</v>
      </c>
      <c r="U84">
        <v>1.520743</v>
      </c>
      <c r="V84">
        <v>1.5629599999999999</v>
      </c>
      <c r="W84">
        <v>1.603553</v>
      </c>
      <c r="X84">
        <v>1.6396470000000001</v>
      </c>
      <c r="Y84">
        <v>1.675705</v>
      </c>
      <c r="Z84">
        <v>1.7137169999999999</v>
      </c>
      <c r="AA84">
        <v>1.748545</v>
      </c>
      <c r="AB84">
        <v>1.775204</v>
      </c>
      <c r="AC84">
        <v>1.795358</v>
      </c>
      <c r="AD84">
        <v>1.815876</v>
      </c>
      <c r="AE84">
        <v>1.833248</v>
      </c>
      <c r="AF84">
        <v>1.85338</v>
      </c>
      <c r="AG84" s="31">
        <v>2.8000000000000001E-2</v>
      </c>
    </row>
    <row r="85" spans="1:33" x14ac:dyDescent="0.25">
      <c r="A85" t="s">
        <v>153</v>
      </c>
      <c r="B85" t="s">
        <v>808</v>
      </c>
      <c r="C85" t="s">
        <v>809</v>
      </c>
      <c r="D85" t="s">
        <v>73</v>
      </c>
      <c r="F85">
        <v>1.0604819999999999</v>
      </c>
      <c r="G85">
        <v>1.078702</v>
      </c>
      <c r="H85">
        <v>1.1099749999999999</v>
      </c>
      <c r="I85">
        <v>1.1256269999999999</v>
      </c>
      <c r="J85">
        <v>1.1349020000000001</v>
      </c>
      <c r="K85">
        <v>1.148471</v>
      </c>
      <c r="L85">
        <v>1.176577</v>
      </c>
      <c r="M85">
        <v>1.2220610000000001</v>
      </c>
      <c r="N85">
        <v>1.309051</v>
      </c>
      <c r="O85">
        <v>1.39209</v>
      </c>
      <c r="P85">
        <v>1.4700610000000001</v>
      </c>
      <c r="Q85">
        <v>1.543266</v>
      </c>
      <c r="R85">
        <v>1.6124499999999999</v>
      </c>
      <c r="S85">
        <v>1.673084</v>
      </c>
      <c r="T85">
        <v>1.7300199999999999</v>
      </c>
      <c r="U85">
        <v>1.7820100000000001</v>
      </c>
      <c r="V85">
        <v>1.8314710000000001</v>
      </c>
      <c r="W85">
        <v>1.8790309999999999</v>
      </c>
      <c r="X85">
        <v>1.9213089999999999</v>
      </c>
      <c r="Y85">
        <v>1.9635480000000001</v>
      </c>
      <c r="Z85">
        <v>2.0080580000000001</v>
      </c>
      <c r="AA85">
        <v>2.0488300000000002</v>
      </c>
      <c r="AB85">
        <v>2.0800369999999999</v>
      </c>
      <c r="AC85">
        <v>2.1036169999999998</v>
      </c>
      <c r="AD85">
        <v>2.1276570000000001</v>
      </c>
      <c r="AE85">
        <v>2.1479189999999999</v>
      </c>
      <c r="AF85">
        <v>2.1715059999999999</v>
      </c>
      <c r="AG85" s="31">
        <v>2.8000000000000001E-2</v>
      </c>
    </row>
    <row r="86" spans="1:33" x14ac:dyDescent="0.25">
      <c r="A86" t="s">
        <v>289</v>
      </c>
      <c r="B86" t="s">
        <v>810</v>
      </c>
      <c r="C86" t="s">
        <v>811</v>
      </c>
      <c r="D86" t="s">
        <v>73</v>
      </c>
      <c r="F86">
        <v>3.6489999999999999E-3</v>
      </c>
      <c r="G86">
        <v>3.6930000000000001E-3</v>
      </c>
      <c r="H86">
        <v>4.6059999999999999E-3</v>
      </c>
      <c r="I86">
        <v>4.7400000000000003E-3</v>
      </c>
      <c r="J86">
        <v>4.8240000000000002E-3</v>
      </c>
      <c r="K86">
        <v>4.9449999999999997E-3</v>
      </c>
      <c r="L86">
        <v>5.1399999999999996E-3</v>
      </c>
      <c r="M86">
        <v>5.4460000000000003E-3</v>
      </c>
      <c r="N86">
        <v>6.4869999999999997E-3</v>
      </c>
      <c r="O86">
        <v>8.0549999999999997E-3</v>
      </c>
      <c r="P86">
        <v>9.5779999999999997E-3</v>
      </c>
      <c r="Q86">
        <v>1.1226E-2</v>
      </c>
      <c r="R86">
        <v>1.1394E-2</v>
      </c>
      <c r="S86">
        <v>1.0609E-2</v>
      </c>
      <c r="T86">
        <v>9.8960000000000003E-3</v>
      </c>
      <c r="U86">
        <v>9.9010000000000001E-3</v>
      </c>
      <c r="V86">
        <v>9.9760000000000005E-3</v>
      </c>
      <c r="W86">
        <v>1.0061E-2</v>
      </c>
      <c r="X86">
        <v>9.9069999999999991E-3</v>
      </c>
      <c r="Y86">
        <v>9.7959999999999992E-3</v>
      </c>
      <c r="Z86">
        <v>9.3010000000000002E-3</v>
      </c>
      <c r="AA86">
        <v>8.5839999999999996E-3</v>
      </c>
      <c r="AB86">
        <v>8.0009999999999994E-3</v>
      </c>
      <c r="AC86">
        <v>7.2890000000000003E-3</v>
      </c>
      <c r="AD86">
        <v>7.3559999999999997E-3</v>
      </c>
      <c r="AE86">
        <v>5.2319999999999997E-3</v>
      </c>
      <c r="AF86">
        <v>5.2900000000000004E-3</v>
      </c>
      <c r="AG86" s="31">
        <v>1.4E-2</v>
      </c>
    </row>
    <row r="87" spans="1:33" x14ac:dyDescent="0.25">
      <c r="A87" t="s">
        <v>89</v>
      </c>
      <c r="B87" t="s">
        <v>812</v>
      </c>
      <c r="C87" t="s">
        <v>813</v>
      </c>
      <c r="D87" t="s">
        <v>73</v>
      </c>
      <c r="F87">
        <v>1.0641309999999999</v>
      </c>
      <c r="G87">
        <v>1.082395</v>
      </c>
      <c r="H87">
        <v>1.114581</v>
      </c>
      <c r="I87">
        <v>1.130368</v>
      </c>
      <c r="J87">
        <v>1.139726</v>
      </c>
      <c r="K87">
        <v>1.153416</v>
      </c>
      <c r="L87">
        <v>1.1817169999999999</v>
      </c>
      <c r="M87">
        <v>1.2275069999999999</v>
      </c>
      <c r="N87">
        <v>1.3155380000000001</v>
      </c>
      <c r="O87">
        <v>1.400145</v>
      </c>
      <c r="P87">
        <v>1.4796389999999999</v>
      </c>
      <c r="Q87">
        <v>1.554492</v>
      </c>
      <c r="R87">
        <v>1.623845</v>
      </c>
      <c r="S87">
        <v>1.6836930000000001</v>
      </c>
      <c r="T87">
        <v>1.739916</v>
      </c>
      <c r="U87">
        <v>1.791911</v>
      </c>
      <c r="V87">
        <v>1.8414470000000001</v>
      </c>
      <c r="W87">
        <v>1.889092</v>
      </c>
      <c r="X87">
        <v>1.931216</v>
      </c>
      <c r="Y87">
        <v>1.973344</v>
      </c>
      <c r="Z87">
        <v>2.0173589999999999</v>
      </c>
      <c r="AA87">
        <v>2.0574140000000001</v>
      </c>
      <c r="AB87">
        <v>2.0880380000000001</v>
      </c>
      <c r="AC87">
        <v>2.1109070000000001</v>
      </c>
      <c r="AD87">
        <v>2.1350129999999998</v>
      </c>
      <c r="AE87">
        <v>2.1531509999999998</v>
      </c>
      <c r="AF87">
        <v>2.176796</v>
      </c>
      <c r="AG87" s="31">
        <v>2.8000000000000001E-2</v>
      </c>
    </row>
    <row r="88" spans="1:33" x14ac:dyDescent="0.25">
      <c r="A88" t="s">
        <v>92</v>
      </c>
      <c r="B88" t="s">
        <v>814</v>
      </c>
      <c r="C88" t="s">
        <v>815</v>
      </c>
      <c r="D88" t="s">
        <v>73</v>
      </c>
      <c r="F88">
        <v>5.1859999999999996E-3</v>
      </c>
      <c r="G88">
        <v>5.0899999999999999E-3</v>
      </c>
      <c r="H88">
        <v>5.9699999999999996E-3</v>
      </c>
      <c r="I88">
        <v>5.9090000000000002E-3</v>
      </c>
      <c r="J88">
        <v>5.8809999999999999E-3</v>
      </c>
      <c r="K88">
        <v>5.9220000000000002E-3</v>
      </c>
      <c r="L88">
        <v>5.9080000000000001E-3</v>
      </c>
      <c r="M88">
        <v>6.0600000000000003E-3</v>
      </c>
      <c r="N88">
        <v>6.7510000000000001E-3</v>
      </c>
      <c r="O88">
        <v>8.1099999999999992E-3</v>
      </c>
      <c r="P88">
        <v>9.2940000000000002E-3</v>
      </c>
      <c r="Q88">
        <v>1.0416E-2</v>
      </c>
      <c r="R88">
        <v>1.0122000000000001E-2</v>
      </c>
      <c r="S88">
        <v>8.9320000000000007E-3</v>
      </c>
      <c r="T88">
        <v>8.0689999999999998E-3</v>
      </c>
      <c r="U88">
        <v>7.5890000000000003E-3</v>
      </c>
      <c r="V88">
        <v>7.509E-3</v>
      </c>
      <c r="W88">
        <v>7.5560000000000002E-3</v>
      </c>
      <c r="X88">
        <v>7.424E-3</v>
      </c>
      <c r="Y88">
        <v>7.2909999999999997E-3</v>
      </c>
      <c r="Z88">
        <v>6.8859999999999998E-3</v>
      </c>
      <c r="AA88">
        <v>6.2849999999999998E-3</v>
      </c>
      <c r="AB88">
        <v>5.7920000000000003E-3</v>
      </c>
      <c r="AC88">
        <v>5.2350000000000001E-3</v>
      </c>
      <c r="AD88">
        <v>5.2560000000000003E-3</v>
      </c>
      <c r="AE88">
        <v>3.7269999999999998E-3</v>
      </c>
      <c r="AF88">
        <v>3.728E-3</v>
      </c>
      <c r="AG88" s="31">
        <v>-1.2999999999999999E-2</v>
      </c>
    </row>
    <row r="89" spans="1:33" x14ac:dyDescent="0.25">
      <c r="A89" t="s">
        <v>95</v>
      </c>
      <c r="B89" t="s">
        <v>816</v>
      </c>
      <c r="C89" t="s">
        <v>817</v>
      </c>
      <c r="D89" t="s">
        <v>73</v>
      </c>
      <c r="F89">
        <v>1.0693170000000001</v>
      </c>
      <c r="G89">
        <v>1.0874839999999999</v>
      </c>
      <c r="H89">
        <v>1.1205510000000001</v>
      </c>
      <c r="I89">
        <v>1.136277</v>
      </c>
      <c r="J89">
        <v>1.145607</v>
      </c>
      <c r="K89">
        <v>1.159338</v>
      </c>
      <c r="L89">
        <v>1.1876249999999999</v>
      </c>
      <c r="M89">
        <v>1.2335670000000001</v>
      </c>
      <c r="N89">
        <v>1.3222879999999999</v>
      </c>
      <c r="O89">
        <v>1.408255</v>
      </c>
      <c r="P89">
        <v>1.4889330000000001</v>
      </c>
      <c r="Q89">
        <v>1.564908</v>
      </c>
      <c r="R89">
        <v>1.6339669999999999</v>
      </c>
      <c r="S89">
        <v>1.692625</v>
      </c>
      <c r="T89">
        <v>1.7479849999999999</v>
      </c>
      <c r="U89">
        <v>1.799499</v>
      </c>
      <c r="V89">
        <v>1.848956</v>
      </c>
      <c r="W89">
        <v>1.8966479999999999</v>
      </c>
      <c r="X89">
        <v>1.9386399999999999</v>
      </c>
      <c r="Y89">
        <v>1.9806349999999999</v>
      </c>
      <c r="Z89">
        <v>2.0242450000000001</v>
      </c>
      <c r="AA89">
        <v>2.0636990000000002</v>
      </c>
      <c r="AB89">
        <v>2.0938289999999999</v>
      </c>
      <c r="AC89">
        <v>2.116142</v>
      </c>
      <c r="AD89">
        <v>2.1402700000000001</v>
      </c>
      <c r="AE89">
        <v>2.1568779999999999</v>
      </c>
      <c r="AF89">
        <v>2.1805240000000001</v>
      </c>
      <c r="AG89" s="31">
        <v>2.8000000000000001E-2</v>
      </c>
    </row>
    <row r="90" spans="1:33" x14ac:dyDescent="0.25">
      <c r="A90" s="1" t="s">
        <v>818</v>
      </c>
    </row>
    <row r="91" spans="1:33" x14ac:dyDescent="0.25">
      <c r="A91" t="s">
        <v>698</v>
      </c>
      <c r="B91" t="s">
        <v>819</v>
      </c>
      <c r="C91" t="s">
        <v>820</v>
      </c>
      <c r="D91" t="s">
        <v>73</v>
      </c>
      <c r="F91">
        <v>6.4334000000000002E-2</v>
      </c>
      <c r="G91">
        <v>0.12228899999999999</v>
      </c>
      <c r="H91">
        <v>0.11648799999999999</v>
      </c>
      <c r="I91">
        <v>0.117768</v>
      </c>
      <c r="J91">
        <v>0.118981</v>
      </c>
      <c r="K91">
        <v>0.120806</v>
      </c>
      <c r="L91">
        <v>0.122225</v>
      </c>
      <c r="M91">
        <v>0.123407</v>
      </c>
      <c r="N91">
        <v>0.12576599999999999</v>
      </c>
      <c r="O91">
        <v>0.12634600000000001</v>
      </c>
      <c r="P91">
        <v>0.12718399999999999</v>
      </c>
      <c r="Q91">
        <v>0.128271</v>
      </c>
      <c r="R91">
        <v>0.12964100000000001</v>
      </c>
      <c r="S91">
        <v>0.13115599999999999</v>
      </c>
      <c r="T91">
        <v>0.132603</v>
      </c>
      <c r="U91">
        <v>0.133936</v>
      </c>
      <c r="V91">
        <v>0.13502900000000001</v>
      </c>
      <c r="W91">
        <v>0.13565099999999999</v>
      </c>
      <c r="X91">
        <v>0.136466</v>
      </c>
      <c r="Y91">
        <v>0.13722999999999999</v>
      </c>
      <c r="Z91">
        <v>0.13802600000000001</v>
      </c>
      <c r="AA91">
        <v>0.139073</v>
      </c>
      <c r="AB91">
        <v>0.14020299999999999</v>
      </c>
      <c r="AC91">
        <v>0.14139599999999999</v>
      </c>
      <c r="AD91">
        <v>0.14255699999999999</v>
      </c>
      <c r="AE91">
        <v>0.14382400000000001</v>
      </c>
      <c r="AF91">
        <v>0.14493400000000001</v>
      </c>
      <c r="AG91" s="31">
        <v>3.2000000000000001E-2</v>
      </c>
    </row>
    <row r="92" spans="1:33" x14ac:dyDescent="0.25">
      <c r="A92" t="s">
        <v>701</v>
      </c>
      <c r="B92" t="s">
        <v>821</v>
      </c>
      <c r="C92" t="s">
        <v>822</v>
      </c>
      <c r="D92" t="s">
        <v>73</v>
      </c>
      <c r="F92">
        <v>3.4849999999999999</v>
      </c>
      <c r="G92">
        <v>3.4898020000000001</v>
      </c>
      <c r="H92">
        <v>3.4917799999999999</v>
      </c>
      <c r="I92">
        <v>3.4954890000000001</v>
      </c>
      <c r="J92">
        <v>3.5009109999999999</v>
      </c>
      <c r="K92">
        <v>3.5051619999999999</v>
      </c>
      <c r="L92">
        <v>3.5082270000000002</v>
      </c>
      <c r="M92">
        <v>3.5091830000000002</v>
      </c>
      <c r="N92">
        <v>3.5090370000000002</v>
      </c>
      <c r="O92">
        <v>3.5099960000000001</v>
      </c>
      <c r="P92">
        <v>3.5059239999999998</v>
      </c>
      <c r="Q92">
        <v>3.5014319999999999</v>
      </c>
      <c r="R92">
        <v>3.498329</v>
      </c>
      <c r="S92">
        <v>3.4922010000000001</v>
      </c>
      <c r="T92">
        <v>3.5208210000000002</v>
      </c>
      <c r="U92">
        <v>3.5883470000000002</v>
      </c>
      <c r="V92">
        <v>3.6626639999999999</v>
      </c>
      <c r="W92">
        <v>3.7226979999999998</v>
      </c>
      <c r="X92">
        <v>3.785018</v>
      </c>
      <c r="Y92">
        <v>3.8289749999999998</v>
      </c>
      <c r="Z92">
        <v>3.8006630000000001</v>
      </c>
      <c r="AA92">
        <v>3.7608220000000001</v>
      </c>
      <c r="AB92">
        <v>3.798597</v>
      </c>
      <c r="AC92">
        <v>3.8708109999999998</v>
      </c>
      <c r="AD92">
        <v>3.9231229999999999</v>
      </c>
      <c r="AE92">
        <v>3.8951889999999998</v>
      </c>
      <c r="AF92">
        <v>3.8663419999999999</v>
      </c>
      <c r="AG92" s="31">
        <v>4.0000000000000001E-3</v>
      </c>
    </row>
    <row r="93" spans="1:33" x14ac:dyDescent="0.25">
      <c r="A93" t="s">
        <v>101</v>
      </c>
      <c r="B93" t="s">
        <v>823</v>
      </c>
      <c r="C93" t="s">
        <v>824</v>
      </c>
      <c r="D93" t="s">
        <v>73</v>
      </c>
      <c r="F93">
        <v>0.28129100000000001</v>
      </c>
      <c r="G93">
        <v>0.28524699999999997</v>
      </c>
      <c r="H93">
        <v>0.288387</v>
      </c>
      <c r="I93">
        <v>0.29223900000000003</v>
      </c>
      <c r="J93">
        <v>0.29710900000000001</v>
      </c>
      <c r="K93">
        <v>0.30265799999999998</v>
      </c>
      <c r="L93">
        <v>0.30711500000000003</v>
      </c>
      <c r="M93">
        <v>0.31040400000000001</v>
      </c>
      <c r="N93">
        <v>0.313444</v>
      </c>
      <c r="O93">
        <v>0.31531999999999999</v>
      </c>
      <c r="P93">
        <v>0.31691900000000001</v>
      </c>
      <c r="Q93">
        <v>0.319351</v>
      </c>
      <c r="R93">
        <v>0.32223499999999999</v>
      </c>
      <c r="S93">
        <v>0.32399</v>
      </c>
      <c r="T93">
        <v>0.32590000000000002</v>
      </c>
      <c r="U93">
        <v>0.32769100000000001</v>
      </c>
      <c r="V93">
        <v>0.32958599999999999</v>
      </c>
      <c r="W93">
        <v>0.33104</v>
      </c>
      <c r="X93">
        <v>0.33304600000000001</v>
      </c>
      <c r="Y93">
        <v>0.33460600000000001</v>
      </c>
      <c r="Z93">
        <v>0.336343</v>
      </c>
      <c r="AA93">
        <v>0.33907900000000002</v>
      </c>
      <c r="AB93">
        <v>0.342198</v>
      </c>
      <c r="AC93">
        <v>0.34522700000000001</v>
      </c>
      <c r="AD93">
        <v>0.34826400000000002</v>
      </c>
      <c r="AE93">
        <v>0.35161100000000001</v>
      </c>
      <c r="AF93">
        <v>0.35470000000000002</v>
      </c>
      <c r="AG93" s="31">
        <v>8.9999999999999993E-3</v>
      </c>
    </row>
    <row r="94" spans="1:33" x14ac:dyDescent="0.25">
      <c r="A94" t="s">
        <v>74</v>
      </c>
      <c r="B94" t="s">
        <v>825</v>
      </c>
      <c r="C94" t="s">
        <v>826</v>
      </c>
      <c r="D94" t="s">
        <v>73</v>
      </c>
      <c r="F94">
        <v>1.1400129999999999</v>
      </c>
      <c r="G94">
        <v>1.15177</v>
      </c>
      <c r="H94">
        <v>1.1634389999999999</v>
      </c>
      <c r="I94">
        <v>1.1770879999999999</v>
      </c>
      <c r="J94">
        <v>1.1952050000000001</v>
      </c>
      <c r="K94">
        <v>1.2161040000000001</v>
      </c>
      <c r="L94">
        <v>1.2327399999999999</v>
      </c>
      <c r="M94">
        <v>1.246904</v>
      </c>
      <c r="N94">
        <v>1.260956</v>
      </c>
      <c r="O94">
        <v>1.2692889999999999</v>
      </c>
      <c r="P94">
        <v>1.2779590000000001</v>
      </c>
      <c r="Q94">
        <v>1.288505</v>
      </c>
      <c r="R94">
        <v>1.2995129999999999</v>
      </c>
      <c r="S94">
        <v>1.3081959999999999</v>
      </c>
      <c r="T94">
        <v>1.317186</v>
      </c>
      <c r="U94">
        <v>1.324638</v>
      </c>
      <c r="V94">
        <v>1.3324290000000001</v>
      </c>
      <c r="W94">
        <v>1.3377509999999999</v>
      </c>
      <c r="X94">
        <v>1.3440970000000001</v>
      </c>
      <c r="Y94">
        <v>1.349923</v>
      </c>
      <c r="Z94">
        <v>1.3560989999999999</v>
      </c>
      <c r="AA94">
        <v>1.3644849999999999</v>
      </c>
      <c r="AB94">
        <v>1.374968</v>
      </c>
      <c r="AC94">
        <v>1.385294</v>
      </c>
      <c r="AD94">
        <v>1.394428</v>
      </c>
      <c r="AE94">
        <v>1.4056869999999999</v>
      </c>
      <c r="AF94">
        <v>1.4157500000000001</v>
      </c>
      <c r="AG94" s="31">
        <v>8.0000000000000002E-3</v>
      </c>
    </row>
    <row r="95" spans="1:33" x14ac:dyDescent="0.25">
      <c r="A95" t="s">
        <v>109</v>
      </c>
      <c r="B95" t="s">
        <v>827</v>
      </c>
      <c r="C95" t="s">
        <v>828</v>
      </c>
      <c r="D95" t="s">
        <v>73</v>
      </c>
      <c r="F95">
        <v>4.1174000000000002E-2</v>
      </c>
      <c r="G95">
        <v>4.1980000000000003E-2</v>
      </c>
      <c r="H95">
        <v>4.1255E-2</v>
      </c>
      <c r="I95">
        <v>4.0060999999999999E-2</v>
      </c>
      <c r="J95">
        <v>3.8841000000000001E-2</v>
      </c>
      <c r="K95">
        <v>3.7551000000000001E-2</v>
      </c>
      <c r="L95">
        <v>3.6368999999999999E-2</v>
      </c>
      <c r="M95">
        <v>3.5532000000000001E-2</v>
      </c>
      <c r="N95">
        <v>3.5131999999999997E-2</v>
      </c>
      <c r="O95">
        <v>3.4660000000000003E-2</v>
      </c>
      <c r="P95">
        <v>3.4278999999999997E-2</v>
      </c>
      <c r="Q95">
        <v>3.3785999999999997E-2</v>
      </c>
      <c r="R95">
        <v>3.3265000000000003E-2</v>
      </c>
      <c r="S95">
        <v>3.2701000000000001E-2</v>
      </c>
      <c r="T95">
        <v>3.2197999999999997E-2</v>
      </c>
      <c r="U95">
        <v>3.1759000000000003E-2</v>
      </c>
      <c r="V95">
        <v>3.1438000000000001E-2</v>
      </c>
      <c r="W95">
        <v>3.1171999999999998E-2</v>
      </c>
      <c r="X95">
        <v>3.0896E-2</v>
      </c>
      <c r="Y95">
        <v>3.0629E-2</v>
      </c>
      <c r="Z95">
        <v>3.0439999999999998E-2</v>
      </c>
      <c r="AA95">
        <v>3.024E-2</v>
      </c>
      <c r="AB95">
        <v>2.9949E-2</v>
      </c>
      <c r="AC95">
        <v>2.9728000000000001E-2</v>
      </c>
      <c r="AD95">
        <v>2.9472999999999999E-2</v>
      </c>
      <c r="AE95">
        <v>2.9252E-2</v>
      </c>
      <c r="AF95">
        <v>2.8857000000000001E-2</v>
      </c>
      <c r="AG95" s="31">
        <v>-1.4E-2</v>
      </c>
    </row>
    <row r="96" spans="1:33" x14ac:dyDescent="0.25">
      <c r="A96" t="s">
        <v>140</v>
      </c>
      <c r="B96" t="s">
        <v>829</v>
      </c>
      <c r="C96" t="s">
        <v>830</v>
      </c>
      <c r="D96" t="s">
        <v>73</v>
      </c>
      <c r="F96">
        <v>0.39052500000000001</v>
      </c>
      <c r="G96">
        <v>0.35499999999999998</v>
      </c>
      <c r="H96">
        <v>0.55000000000000004</v>
      </c>
      <c r="I96">
        <v>0.55000000000000004</v>
      </c>
      <c r="J96">
        <v>0.55000000000000004</v>
      </c>
      <c r="K96">
        <v>0.55000000000000004</v>
      </c>
      <c r="L96">
        <v>0.55000000000000004</v>
      </c>
      <c r="M96">
        <v>0.55000000000000004</v>
      </c>
      <c r="N96">
        <v>0.55000000000000004</v>
      </c>
      <c r="O96">
        <v>0.55000000000000004</v>
      </c>
      <c r="P96">
        <v>0.55000000000000004</v>
      </c>
      <c r="Q96">
        <v>0.55000000000000004</v>
      </c>
      <c r="R96">
        <v>0.55000000000000004</v>
      </c>
      <c r="S96">
        <v>0.55000000000000004</v>
      </c>
      <c r="T96">
        <v>0.55000000000000004</v>
      </c>
      <c r="U96">
        <v>0.55000000000000004</v>
      </c>
      <c r="V96">
        <v>0.55000000000000004</v>
      </c>
      <c r="W96">
        <v>0.55000000000000004</v>
      </c>
      <c r="X96">
        <v>0.55000000000000004</v>
      </c>
      <c r="Y96">
        <v>0.55000000000000004</v>
      </c>
      <c r="Z96">
        <v>0.69557999999999998</v>
      </c>
      <c r="AA96">
        <v>0.84116000000000002</v>
      </c>
      <c r="AB96">
        <v>0.84116000000000002</v>
      </c>
      <c r="AC96">
        <v>0.84116000000000002</v>
      </c>
      <c r="AD96">
        <v>0.84116000000000002</v>
      </c>
      <c r="AE96">
        <v>0.96409500000000004</v>
      </c>
      <c r="AF96">
        <v>1.087029</v>
      </c>
      <c r="AG96" s="31">
        <v>0.04</v>
      </c>
    </row>
    <row r="97" spans="1:33" x14ac:dyDescent="0.25">
      <c r="A97" t="s">
        <v>726</v>
      </c>
      <c r="B97" t="s">
        <v>831</v>
      </c>
      <c r="C97" t="s">
        <v>832</v>
      </c>
      <c r="D97" t="s">
        <v>73</v>
      </c>
      <c r="F97">
        <v>0.48964600000000003</v>
      </c>
      <c r="G97">
        <v>0.51</v>
      </c>
      <c r="H97">
        <v>0.517343</v>
      </c>
      <c r="I97">
        <v>0.51697800000000005</v>
      </c>
      <c r="J97">
        <v>0.51615500000000003</v>
      </c>
      <c r="K97">
        <v>0.51349699999999998</v>
      </c>
      <c r="L97">
        <v>0.511575</v>
      </c>
      <c r="M97">
        <v>0.50776100000000002</v>
      </c>
      <c r="N97">
        <v>0.498141</v>
      </c>
      <c r="O97">
        <v>0.496027</v>
      </c>
      <c r="P97">
        <v>0.49338199999999999</v>
      </c>
      <c r="Q97">
        <v>0.48677100000000001</v>
      </c>
      <c r="R97">
        <v>0.48580699999999999</v>
      </c>
      <c r="S97">
        <v>0.48254599999999997</v>
      </c>
      <c r="T97">
        <v>0.47346199999999999</v>
      </c>
      <c r="U97">
        <v>0.471524</v>
      </c>
      <c r="V97">
        <v>0.47514800000000001</v>
      </c>
      <c r="W97">
        <v>0.46896199999999999</v>
      </c>
      <c r="X97">
        <v>0.460895</v>
      </c>
      <c r="Y97">
        <v>0.46746799999999999</v>
      </c>
      <c r="Z97">
        <v>0.46616200000000002</v>
      </c>
      <c r="AA97">
        <v>0.46449699999999999</v>
      </c>
      <c r="AB97">
        <v>0.46424700000000002</v>
      </c>
      <c r="AC97">
        <v>0.468472</v>
      </c>
      <c r="AD97">
        <v>0.469885</v>
      </c>
      <c r="AE97">
        <v>0.46475699999999998</v>
      </c>
      <c r="AF97">
        <v>0.462812</v>
      </c>
      <c r="AG97" s="31">
        <v>-2E-3</v>
      </c>
    </row>
    <row r="98" spans="1:33" x14ac:dyDescent="0.25">
      <c r="A98" t="s">
        <v>662</v>
      </c>
      <c r="B98" t="s">
        <v>833</v>
      </c>
      <c r="C98" t="s">
        <v>834</v>
      </c>
      <c r="D98" t="s">
        <v>73</v>
      </c>
      <c r="F98">
        <v>0.87783800000000001</v>
      </c>
      <c r="G98">
        <v>0.87826199999999999</v>
      </c>
      <c r="H98">
        <v>0.88615699999999997</v>
      </c>
      <c r="I98">
        <v>0.90322400000000003</v>
      </c>
      <c r="J98">
        <v>0.90542800000000001</v>
      </c>
      <c r="K98">
        <v>0.91149599999999997</v>
      </c>
      <c r="L98">
        <v>0.91859800000000003</v>
      </c>
      <c r="M98">
        <v>0.92440699999999998</v>
      </c>
      <c r="N98">
        <v>0.92100099999999996</v>
      </c>
      <c r="O98">
        <v>0.92284100000000002</v>
      </c>
      <c r="P98">
        <v>0.92425199999999996</v>
      </c>
      <c r="Q98">
        <v>0.92808400000000002</v>
      </c>
      <c r="R98">
        <v>0.93199399999999999</v>
      </c>
      <c r="S98">
        <v>0.93456700000000004</v>
      </c>
      <c r="T98">
        <v>0.93731699999999996</v>
      </c>
      <c r="U98">
        <v>0.940415</v>
      </c>
      <c r="V98">
        <v>0.94347099999999995</v>
      </c>
      <c r="W98">
        <v>0.94533500000000004</v>
      </c>
      <c r="X98">
        <v>0.94588700000000003</v>
      </c>
      <c r="Y98">
        <v>0.94766099999999998</v>
      </c>
      <c r="Z98">
        <v>0.94848500000000002</v>
      </c>
      <c r="AA98">
        <v>0.95064300000000002</v>
      </c>
      <c r="AB98">
        <v>0.954573</v>
      </c>
      <c r="AC98">
        <v>0.95531100000000002</v>
      </c>
      <c r="AD98">
        <v>0.95571600000000001</v>
      </c>
      <c r="AE98">
        <v>0.95625099999999996</v>
      </c>
      <c r="AF98">
        <v>0.95570999999999995</v>
      </c>
      <c r="AG98" s="31">
        <v>3.0000000000000001E-3</v>
      </c>
    </row>
    <row r="99" spans="1:33" x14ac:dyDescent="0.25">
      <c r="A99" t="s">
        <v>778</v>
      </c>
      <c r="B99" t="s">
        <v>835</v>
      </c>
      <c r="C99" t="s">
        <v>836</v>
      </c>
      <c r="D99" t="s">
        <v>73</v>
      </c>
      <c r="F99">
        <v>1.3910260000000001</v>
      </c>
      <c r="G99">
        <v>1.3910260000000001</v>
      </c>
      <c r="H99">
        <v>1.3210029999999999</v>
      </c>
      <c r="I99">
        <v>1.31785</v>
      </c>
      <c r="J99">
        <v>1.348322</v>
      </c>
      <c r="K99">
        <v>1.323102</v>
      </c>
      <c r="L99">
        <v>1.3399760000000001</v>
      </c>
      <c r="M99">
        <v>1.3434219999999999</v>
      </c>
      <c r="N99">
        <v>1.3441449999999999</v>
      </c>
      <c r="O99">
        <v>1.3212520000000001</v>
      </c>
      <c r="P99">
        <v>1.3225739999999999</v>
      </c>
      <c r="Q99">
        <v>1.309428</v>
      </c>
      <c r="R99">
        <v>1.321005</v>
      </c>
      <c r="S99">
        <v>1.3220529999999999</v>
      </c>
      <c r="T99">
        <v>1.322975</v>
      </c>
      <c r="U99">
        <v>1.3274459999999999</v>
      </c>
      <c r="V99">
        <v>1.3321149999999999</v>
      </c>
      <c r="W99">
        <v>1.3346229999999999</v>
      </c>
      <c r="X99">
        <v>1.318845</v>
      </c>
      <c r="Y99">
        <v>1.3339380000000001</v>
      </c>
      <c r="Z99">
        <v>1.3302320000000001</v>
      </c>
      <c r="AA99">
        <v>1.329636</v>
      </c>
      <c r="AB99">
        <v>1.3349310000000001</v>
      </c>
      <c r="AC99">
        <v>1.344992</v>
      </c>
      <c r="AD99">
        <v>1.3399700000000001</v>
      </c>
      <c r="AE99">
        <v>1.3375790000000001</v>
      </c>
      <c r="AF99">
        <v>1.324381</v>
      </c>
      <c r="AG99" s="31">
        <v>-2E-3</v>
      </c>
    </row>
    <row r="100" spans="1:33" x14ac:dyDescent="0.25">
      <c r="A100" t="s">
        <v>731</v>
      </c>
      <c r="B100" t="s">
        <v>837</v>
      </c>
      <c r="C100" t="s">
        <v>838</v>
      </c>
      <c r="D100" t="s">
        <v>73</v>
      </c>
      <c r="F100">
        <v>0.31549100000000002</v>
      </c>
      <c r="G100">
        <v>0.33473599999999998</v>
      </c>
      <c r="H100">
        <v>0.34973700000000002</v>
      </c>
      <c r="I100">
        <v>0.364234</v>
      </c>
      <c r="J100">
        <v>0.37818400000000002</v>
      </c>
      <c r="K100">
        <v>0.391654</v>
      </c>
      <c r="L100">
        <v>0.40402700000000003</v>
      </c>
      <c r="M100">
        <v>0.41619099999999998</v>
      </c>
      <c r="N100">
        <v>0.42799500000000001</v>
      </c>
      <c r="O100">
        <v>0.43781399999999998</v>
      </c>
      <c r="P100">
        <v>0.45068399999999997</v>
      </c>
      <c r="Q100">
        <v>0.46487200000000001</v>
      </c>
      <c r="R100">
        <v>0.46444000000000002</v>
      </c>
      <c r="S100">
        <v>0.46872200000000003</v>
      </c>
      <c r="T100">
        <v>0.47455599999999998</v>
      </c>
      <c r="U100">
        <v>0.47934100000000002</v>
      </c>
      <c r="V100">
        <v>0.48543900000000001</v>
      </c>
      <c r="W100">
        <v>0.49529200000000001</v>
      </c>
      <c r="X100">
        <v>0.50739400000000001</v>
      </c>
      <c r="Y100">
        <v>0.50031099999999995</v>
      </c>
      <c r="Z100">
        <v>0.504691</v>
      </c>
      <c r="AA100">
        <v>0.50399799999999995</v>
      </c>
      <c r="AB100">
        <v>0.50747699999999996</v>
      </c>
      <c r="AC100">
        <v>0.51097300000000001</v>
      </c>
      <c r="AD100">
        <v>0.51433499999999999</v>
      </c>
      <c r="AE100">
        <v>0.51807999999999998</v>
      </c>
      <c r="AF100">
        <v>0.52036400000000005</v>
      </c>
      <c r="AG100" s="31">
        <v>1.9E-2</v>
      </c>
    </row>
    <row r="101" spans="1:33" x14ac:dyDescent="0.25">
      <c r="A101" t="s">
        <v>77</v>
      </c>
      <c r="B101" t="s">
        <v>839</v>
      </c>
      <c r="C101" t="s">
        <v>840</v>
      </c>
      <c r="D101" t="s">
        <v>73</v>
      </c>
      <c r="F101">
        <v>8.4763389999999994</v>
      </c>
      <c r="G101">
        <v>8.5601140000000004</v>
      </c>
      <c r="H101">
        <v>8.7255900000000004</v>
      </c>
      <c r="I101">
        <v>8.7749330000000008</v>
      </c>
      <c r="J101">
        <v>8.8491359999999997</v>
      </c>
      <c r="K101">
        <v>8.8720289999999995</v>
      </c>
      <c r="L101">
        <v>8.9308530000000008</v>
      </c>
      <c r="M101">
        <v>8.9672129999999992</v>
      </c>
      <c r="N101">
        <v>8.9856180000000005</v>
      </c>
      <c r="O101">
        <v>8.9835440000000002</v>
      </c>
      <c r="P101">
        <v>9.0031560000000006</v>
      </c>
      <c r="Q101">
        <v>9.0105020000000007</v>
      </c>
      <c r="R101">
        <v>9.0362290000000005</v>
      </c>
      <c r="S101">
        <v>9.0461320000000001</v>
      </c>
      <c r="T101">
        <v>9.0870169999999995</v>
      </c>
      <c r="U101">
        <v>9.1750980000000002</v>
      </c>
      <c r="V101">
        <v>9.2773190000000003</v>
      </c>
      <c r="W101">
        <v>9.3525240000000007</v>
      </c>
      <c r="X101">
        <v>9.4125449999999997</v>
      </c>
      <c r="Y101">
        <v>9.4807419999999993</v>
      </c>
      <c r="Z101">
        <v>9.6067239999999998</v>
      </c>
      <c r="AA101">
        <v>9.7236329999999995</v>
      </c>
      <c r="AB101">
        <v>9.7883030000000009</v>
      </c>
      <c r="AC101">
        <v>9.8933649999999993</v>
      </c>
      <c r="AD101">
        <v>9.9589119999999998</v>
      </c>
      <c r="AE101">
        <v>10.066326</v>
      </c>
      <c r="AF101">
        <v>10.160880000000001</v>
      </c>
      <c r="AG101" s="31">
        <v>7.0000000000000001E-3</v>
      </c>
    </row>
    <row r="102" spans="1:33" x14ac:dyDescent="0.25">
      <c r="A102" t="s">
        <v>736</v>
      </c>
      <c r="B102" t="s">
        <v>841</v>
      </c>
      <c r="C102" t="s">
        <v>842</v>
      </c>
      <c r="D102" t="s">
        <v>73</v>
      </c>
      <c r="F102">
        <v>7.5369799999999998</v>
      </c>
      <c r="G102">
        <v>7.6134539999999999</v>
      </c>
      <c r="H102">
        <v>7.4036910000000002</v>
      </c>
      <c r="I102">
        <v>7.4142029999999997</v>
      </c>
      <c r="J102">
        <v>7.4252440000000002</v>
      </c>
      <c r="K102">
        <v>7.4464350000000001</v>
      </c>
      <c r="L102">
        <v>7.4633609999999999</v>
      </c>
      <c r="M102">
        <v>7.4944129999999998</v>
      </c>
      <c r="N102">
        <v>7.4824000000000002</v>
      </c>
      <c r="O102">
        <v>7.4522560000000002</v>
      </c>
      <c r="P102">
        <v>7.4140059999999997</v>
      </c>
      <c r="Q102">
        <v>7.3807840000000002</v>
      </c>
      <c r="R102">
        <v>7.3641699999999997</v>
      </c>
      <c r="S102">
        <v>7.3547510000000003</v>
      </c>
      <c r="T102">
        <v>7.3753320000000002</v>
      </c>
      <c r="U102">
        <v>7.4070229999999997</v>
      </c>
      <c r="V102">
        <v>7.4401510000000002</v>
      </c>
      <c r="W102">
        <v>7.4472240000000003</v>
      </c>
      <c r="X102">
        <v>7.4589629999999998</v>
      </c>
      <c r="Y102">
        <v>7.4903700000000004</v>
      </c>
      <c r="Z102">
        <v>7.504067</v>
      </c>
      <c r="AA102">
        <v>7.5199299999999996</v>
      </c>
      <c r="AB102">
        <v>7.5416699999999999</v>
      </c>
      <c r="AC102">
        <v>7.5874249999999996</v>
      </c>
      <c r="AD102">
        <v>7.6203200000000004</v>
      </c>
      <c r="AE102">
        <v>7.6482340000000004</v>
      </c>
      <c r="AF102">
        <v>7.6652420000000001</v>
      </c>
      <c r="AG102" s="31">
        <v>1E-3</v>
      </c>
    </row>
    <row r="103" spans="1:33" x14ac:dyDescent="0.25">
      <c r="A103" t="s">
        <v>739</v>
      </c>
      <c r="B103" t="s">
        <v>843</v>
      </c>
      <c r="C103" t="s">
        <v>844</v>
      </c>
      <c r="D103" t="s">
        <v>73</v>
      </c>
      <c r="F103">
        <v>0.26629999999999998</v>
      </c>
      <c r="G103">
        <v>0.30199999999999999</v>
      </c>
      <c r="H103">
        <v>0.282443</v>
      </c>
      <c r="I103">
        <v>0.27451300000000001</v>
      </c>
      <c r="J103">
        <v>0.26696700000000001</v>
      </c>
      <c r="K103">
        <v>0.26499499999999998</v>
      </c>
      <c r="L103">
        <v>0.26283099999999998</v>
      </c>
      <c r="M103">
        <v>0.267202</v>
      </c>
      <c r="N103">
        <v>0.28918899999999997</v>
      </c>
      <c r="O103">
        <v>0.28761399999999998</v>
      </c>
      <c r="P103">
        <v>0.29199000000000003</v>
      </c>
      <c r="Q103">
        <v>0.297377</v>
      </c>
      <c r="R103">
        <v>0.30154500000000001</v>
      </c>
      <c r="S103">
        <v>0.31213000000000002</v>
      </c>
      <c r="T103">
        <v>0.32354899999999998</v>
      </c>
      <c r="U103">
        <v>0.33495900000000001</v>
      </c>
      <c r="V103">
        <v>0.34500999999999998</v>
      </c>
      <c r="W103">
        <v>0.35090100000000002</v>
      </c>
      <c r="X103">
        <v>0.356068</v>
      </c>
      <c r="Y103">
        <v>0.36199900000000002</v>
      </c>
      <c r="Z103">
        <v>0.36849599999999999</v>
      </c>
      <c r="AA103">
        <v>0.37464599999999998</v>
      </c>
      <c r="AB103">
        <v>0.37867899999999999</v>
      </c>
      <c r="AC103">
        <v>0.38489600000000002</v>
      </c>
      <c r="AD103">
        <v>0.389878</v>
      </c>
      <c r="AE103">
        <v>0.39277600000000001</v>
      </c>
      <c r="AF103">
        <v>0.39716000000000001</v>
      </c>
      <c r="AG103" s="31">
        <v>1.4999999999999999E-2</v>
      </c>
    </row>
    <row r="104" spans="1:33" x14ac:dyDescent="0.25">
      <c r="A104" t="s">
        <v>150</v>
      </c>
      <c r="B104" t="s">
        <v>845</v>
      </c>
      <c r="C104" t="s">
        <v>846</v>
      </c>
      <c r="D104" t="s">
        <v>73</v>
      </c>
      <c r="F104">
        <v>2.0452949999999999</v>
      </c>
      <c r="G104">
        <v>2.0521980000000002</v>
      </c>
      <c r="H104">
        <v>2.1515580000000001</v>
      </c>
      <c r="I104">
        <v>2.1604230000000002</v>
      </c>
      <c r="J104">
        <v>2.2060050000000002</v>
      </c>
      <c r="K104">
        <v>2.226782</v>
      </c>
      <c r="L104">
        <v>2.2380469999999999</v>
      </c>
      <c r="M104">
        <v>2.2325900000000001</v>
      </c>
      <c r="N104">
        <v>2.285561</v>
      </c>
      <c r="O104">
        <v>2.2989380000000001</v>
      </c>
      <c r="P104">
        <v>2.3135829999999999</v>
      </c>
      <c r="Q104">
        <v>2.3050079999999999</v>
      </c>
      <c r="R104">
        <v>2.2963170000000002</v>
      </c>
      <c r="S104">
        <v>2.271652</v>
      </c>
      <c r="T104">
        <v>2.265647</v>
      </c>
      <c r="U104">
        <v>2.2465199999999999</v>
      </c>
      <c r="V104">
        <v>2.2501500000000001</v>
      </c>
      <c r="W104">
        <v>2.2605300000000002</v>
      </c>
      <c r="X104">
        <v>2.271182</v>
      </c>
      <c r="Y104">
        <v>2.275658</v>
      </c>
      <c r="Z104">
        <v>2.278661</v>
      </c>
      <c r="AA104">
        <v>2.28227</v>
      </c>
      <c r="AB104">
        <v>2.2915199999999998</v>
      </c>
      <c r="AC104">
        <v>2.3010579999999998</v>
      </c>
      <c r="AD104">
        <v>2.3056939999999999</v>
      </c>
      <c r="AE104">
        <v>2.3112720000000002</v>
      </c>
      <c r="AF104">
        <v>2.318181</v>
      </c>
      <c r="AG104" s="31">
        <v>5.0000000000000001E-3</v>
      </c>
    </row>
    <row r="105" spans="1:33" x14ac:dyDescent="0.25">
      <c r="A105" t="s">
        <v>153</v>
      </c>
      <c r="B105" t="s">
        <v>847</v>
      </c>
      <c r="C105" t="s">
        <v>848</v>
      </c>
      <c r="D105" t="s">
        <v>73</v>
      </c>
      <c r="F105">
        <v>9.8485759999999996</v>
      </c>
      <c r="G105">
        <v>9.9676519999999993</v>
      </c>
      <c r="H105">
        <v>9.8376920000000005</v>
      </c>
      <c r="I105">
        <v>9.8491389999999992</v>
      </c>
      <c r="J105">
        <v>9.8982159999999997</v>
      </c>
      <c r="K105">
        <v>9.9382129999999993</v>
      </c>
      <c r="L105">
        <v>9.9642389999999992</v>
      </c>
      <c r="M105">
        <v>9.9942049999999991</v>
      </c>
      <c r="N105">
        <v>10.05715</v>
      </c>
      <c r="O105">
        <v>10.038808</v>
      </c>
      <c r="P105">
        <v>10.019577999999999</v>
      </c>
      <c r="Q105">
        <v>9.9831679999999992</v>
      </c>
      <c r="R105">
        <v>9.9620309999999996</v>
      </c>
      <c r="S105">
        <v>9.9385340000000006</v>
      </c>
      <c r="T105">
        <v>9.9645279999999996</v>
      </c>
      <c r="U105">
        <v>9.9885029999999997</v>
      </c>
      <c r="V105">
        <v>10.035311</v>
      </c>
      <c r="W105">
        <v>10.058655999999999</v>
      </c>
      <c r="X105">
        <v>10.086212</v>
      </c>
      <c r="Y105">
        <v>10.128028</v>
      </c>
      <c r="Z105">
        <v>10.151223999999999</v>
      </c>
      <c r="AA105">
        <v>10.176847</v>
      </c>
      <c r="AB105">
        <v>10.211869</v>
      </c>
      <c r="AC105">
        <v>10.273379</v>
      </c>
      <c r="AD105">
        <v>10.315891000000001</v>
      </c>
      <c r="AE105">
        <v>10.352283</v>
      </c>
      <c r="AF105">
        <v>10.380583</v>
      </c>
      <c r="AG105" s="31">
        <v>2E-3</v>
      </c>
    </row>
    <row r="106" spans="1:33" x14ac:dyDescent="0.25">
      <c r="A106" t="s">
        <v>746</v>
      </c>
      <c r="B106" t="s">
        <v>849</v>
      </c>
      <c r="C106" t="s">
        <v>850</v>
      </c>
      <c r="D106" t="s">
        <v>73</v>
      </c>
      <c r="F106">
        <v>1.044613</v>
      </c>
      <c r="G106">
        <v>1.058959</v>
      </c>
      <c r="H106">
        <v>1.0784469999999999</v>
      </c>
      <c r="I106">
        <v>1.083585</v>
      </c>
      <c r="J106">
        <v>1.084128</v>
      </c>
      <c r="K106">
        <v>1.0844549999999999</v>
      </c>
      <c r="L106">
        <v>1.0949040000000001</v>
      </c>
      <c r="M106">
        <v>1.1024620000000001</v>
      </c>
      <c r="N106">
        <v>1.110392</v>
      </c>
      <c r="O106">
        <v>1.1153820000000001</v>
      </c>
      <c r="P106">
        <v>1.1249499999999999</v>
      </c>
      <c r="Q106">
        <v>1.132385</v>
      </c>
      <c r="R106">
        <v>1.1398109999999999</v>
      </c>
      <c r="S106">
        <v>1.147634</v>
      </c>
      <c r="T106">
        <v>1.1549510000000001</v>
      </c>
      <c r="U106">
        <v>1.1621900000000001</v>
      </c>
      <c r="V106">
        <v>1.16916</v>
      </c>
      <c r="W106">
        <v>1.1752339999999999</v>
      </c>
      <c r="X106">
        <v>1.1813959999999999</v>
      </c>
      <c r="Y106">
        <v>1.187384</v>
      </c>
      <c r="Z106">
        <v>1.194237</v>
      </c>
      <c r="AA106">
        <v>1.1992719999999999</v>
      </c>
      <c r="AB106">
        <v>1.204467</v>
      </c>
      <c r="AC106">
        <v>1.210037</v>
      </c>
      <c r="AD106">
        <v>1.2148140000000001</v>
      </c>
      <c r="AE106">
        <v>1.2189030000000001</v>
      </c>
      <c r="AF106">
        <v>1.2228680000000001</v>
      </c>
      <c r="AG106" s="31">
        <v>6.0000000000000001E-3</v>
      </c>
    </row>
    <row r="107" spans="1:33" x14ac:dyDescent="0.25">
      <c r="A107" t="s">
        <v>749</v>
      </c>
      <c r="B107" t="s">
        <v>851</v>
      </c>
      <c r="C107" t="s">
        <v>852</v>
      </c>
      <c r="D107" t="s">
        <v>73</v>
      </c>
      <c r="F107">
        <v>0.40095399999999998</v>
      </c>
      <c r="G107">
        <v>0.41178199999999998</v>
      </c>
      <c r="H107">
        <v>0.41543999999999998</v>
      </c>
      <c r="I107">
        <v>0.405144</v>
      </c>
      <c r="J107">
        <v>0.38895600000000002</v>
      </c>
      <c r="K107">
        <v>0.37524600000000002</v>
      </c>
      <c r="L107">
        <v>0.36750500000000003</v>
      </c>
      <c r="M107">
        <v>0.36195500000000003</v>
      </c>
      <c r="N107">
        <v>0.35661399999999999</v>
      </c>
      <c r="O107">
        <v>0.34505599999999997</v>
      </c>
      <c r="P107">
        <v>0.33768500000000001</v>
      </c>
      <c r="Q107">
        <v>0.32989299999999999</v>
      </c>
      <c r="R107">
        <v>0.32179999999999997</v>
      </c>
      <c r="S107">
        <v>0.317131</v>
      </c>
      <c r="T107">
        <v>0.31104300000000001</v>
      </c>
      <c r="U107">
        <v>0.304614</v>
      </c>
      <c r="V107">
        <v>0.30076399999999998</v>
      </c>
      <c r="W107">
        <v>0.29495100000000002</v>
      </c>
      <c r="X107">
        <v>0.288246</v>
      </c>
      <c r="Y107">
        <v>0.283503</v>
      </c>
      <c r="Z107">
        <v>0.27773300000000001</v>
      </c>
      <c r="AA107">
        <v>0.27084599999999998</v>
      </c>
      <c r="AB107">
        <v>0.26340400000000003</v>
      </c>
      <c r="AC107">
        <v>0.25746599999999997</v>
      </c>
      <c r="AD107">
        <v>0.25031700000000001</v>
      </c>
      <c r="AE107">
        <v>0.24273600000000001</v>
      </c>
      <c r="AF107">
        <v>0.235295</v>
      </c>
      <c r="AG107" s="31">
        <v>-0.02</v>
      </c>
    </row>
    <row r="108" spans="1:33" x14ac:dyDescent="0.25">
      <c r="A108" t="s">
        <v>309</v>
      </c>
      <c r="B108" t="s">
        <v>853</v>
      </c>
      <c r="C108" t="s">
        <v>854</v>
      </c>
      <c r="D108" t="s">
        <v>73</v>
      </c>
      <c r="F108">
        <v>0.346719</v>
      </c>
      <c r="G108">
        <v>0.35904599999999998</v>
      </c>
      <c r="H108">
        <v>0.36619400000000002</v>
      </c>
      <c r="I108">
        <v>0.37179899999999999</v>
      </c>
      <c r="J108">
        <v>0.377274</v>
      </c>
      <c r="K108">
        <v>0.37957600000000002</v>
      </c>
      <c r="L108">
        <v>0.38246799999999997</v>
      </c>
      <c r="M108">
        <v>0.38463000000000003</v>
      </c>
      <c r="N108">
        <v>0.38840599999999997</v>
      </c>
      <c r="O108">
        <v>0.38864399999999999</v>
      </c>
      <c r="P108">
        <v>0.38737300000000002</v>
      </c>
      <c r="Q108">
        <v>0.38355</v>
      </c>
      <c r="R108">
        <v>0.37776100000000001</v>
      </c>
      <c r="S108">
        <v>0.37189100000000003</v>
      </c>
      <c r="T108">
        <v>0.366035</v>
      </c>
      <c r="U108">
        <v>0.36093700000000001</v>
      </c>
      <c r="V108">
        <v>0.35692400000000002</v>
      </c>
      <c r="W108">
        <v>0.35333799999999999</v>
      </c>
      <c r="X108">
        <v>0.34936099999999998</v>
      </c>
      <c r="Y108">
        <v>0.34515200000000001</v>
      </c>
      <c r="Z108">
        <v>0.34085399999999999</v>
      </c>
      <c r="AA108">
        <v>0.33666400000000002</v>
      </c>
      <c r="AB108">
        <v>0.33276</v>
      </c>
      <c r="AC108">
        <v>0.32897599999999999</v>
      </c>
      <c r="AD108">
        <v>0.325349</v>
      </c>
      <c r="AE108">
        <v>0.32200000000000001</v>
      </c>
      <c r="AF108">
        <v>0.31792199999999998</v>
      </c>
      <c r="AG108" s="31">
        <v>-3.0000000000000001E-3</v>
      </c>
    </row>
    <row r="109" spans="1:33" x14ac:dyDescent="0.25">
      <c r="A109" t="s">
        <v>165</v>
      </c>
      <c r="B109" t="s">
        <v>855</v>
      </c>
      <c r="C109" t="s">
        <v>856</v>
      </c>
      <c r="D109" t="s">
        <v>73</v>
      </c>
      <c r="F109">
        <v>0.74767300000000003</v>
      </c>
      <c r="G109">
        <v>0.77082899999999999</v>
      </c>
      <c r="H109">
        <v>0.78163400000000005</v>
      </c>
      <c r="I109">
        <v>0.77694300000000005</v>
      </c>
      <c r="J109">
        <v>0.766231</v>
      </c>
      <c r="K109">
        <v>0.75482199999999999</v>
      </c>
      <c r="L109">
        <v>0.749973</v>
      </c>
      <c r="M109">
        <v>0.74658500000000005</v>
      </c>
      <c r="N109">
        <v>0.74501899999999999</v>
      </c>
      <c r="O109">
        <v>0.73370000000000002</v>
      </c>
      <c r="P109">
        <v>0.72505799999999998</v>
      </c>
      <c r="Q109">
        <v>0.71344300000000005</v>
      </c>
      <c r="R109">
        <v>0.69956099999999999</v>
      </c>
      <c r="S109">
        <v>0.68902200000000002</v>
      </c>
      <c r="T109">
        <v>0.67707799999999996</v>
      </c>
      <c r="U109">
        <v>0.66555200000000003</v>
      </c>
      <c r="V109">
        <v>0.65768700000000002</v>
      </c>
      <c r="W109">
        <v>0.64829000000000003</v>
      </c>
      <c r="X109">
        <v>0.63760700000000003</v>
      </c>
      <c r="Y109">
        <v>0.62865599999999999</v>
      </c>
      <c r="Z109">
        <v>0.618587</v>
      </c>
      <c r="AA109">
        <v>0.60751100000000002</v>
      </c>
      <c r="AB109">
        <v>0.59616400000000003</v>
      </c>
      <c r="AC109">
        <v>0.58644200000000002</v>
      </c>
      <c r="AD109">
        <v>0.57566600000000001</v>
      </c>
      <c r="AE109">
        <v>0.56473600000000002</v>
      </c>
      <c r="AF109">
        <v>0.55321699999999996</v>
      </c>
      <c r="AG109" s="31">
        <v>-1.2E-2</v>
      </c>
    </row>
    <row r="110" spans="1:33" x14ac:dyDescent="0.25">
      <c r="A110" t="s">
        <v>168</v>
      </c>
      <c r="B110" t="s">
        <v>857</v>
      </c>
      <c r="C110" t="s">
        <v>858</v>
      </c>
      <c r="D110" t="s">
        <v>73</v>
      </c>
      <c r="F110">
        <v>0.89433099999999999</v>
      </c>
      <c r="G110">
        <v>0.91656800000000005</v>
      </c>
      <c r="H110">
        <v>0.91415800000000003</v>
      </c>
      <c r="I110">
        <v>0.91446300000000003</v>
      </c>
      <c r="J110">
        <v>0.91318200000000005</v>
      </c>
      <c r="K110">
        <v>0.90827199999999997</v>
      </c>
      <c r="L110">
        <v>0.903837</v>
      </c>
      <c r="M110">
        <v>0.89296799999999998</v>
      </c>
      <c r="N110">
        <v>0.88368899999999995</v>
      </c>
      <c r="O110">
        <v>0.86835099999999998</v>
      </c>
      <c r="P110">
        <v>0.85361900000000002</v>
      </c>
      <c r="Q110">
        <v>0.83833000000000002</v>
      </c>
      <c r="R110">
        <v>0.828071</v>
      </c>
      <c r="S110">
        <v>0.81101100000000004</v>
      </c>
      <c r="T110">
        <v>0.79574999999999996</v>
      </c>
      <c r="U110">
        <v>0.78434899999999996</v>
      </c>
      <c r="V110">
        <v>0.78216600000000003</v>
      </c>
      <c r="W110">
        <v>0.77179699999999996</v>
      </c>
      <c r="X110">
        <v>0.76169600000000004</v>
      </c>
      <c r="Y110">
        <v>0.75520600000000004</v>
      </c>
      <c r="Z110">
        <v>0.75332500000000002</v>
      </c>
      <c r="AA110">
        <v>0.75422</v>
      </c>
      <c r="AB110">
        <v>0.75177300000000002</v>
      </c>
      <c r="AC110">
        <v>0.75181600000000004</v>
      </c>
      <c r="AD110">
        <v>0.75012000000000001</v>
      </c>
      <c r="AE110">
        <v>0.75201099999999999</v>
      </c>
      <c r="AF110">
        <v>0.75567499999999999</v>
      </c>
      <c r="AG110" s="31">
        <v>-6.0000000000000001E-3</v>
      </c>
    </row>
    <row r="111" spans="1:33" x14ac:dyDescent="0.25">
      <c r="A111" t="s">
        <v>756</v>
      </c>
      <c r="B111" t="s">
        <v>859</v>
      </c>
      <c r="C111" t="s">
        <v>860</v>
      </c>
      <c r="D111" t="s">
        <v>73</v>
      </c>
      <c r="F111">
        <v>1.404115</v>
      </c>
      <c r="G111">
        <v>1.4243939999999999</v>
      </c>
      <c r="H111">
        <v>1.4469479999999999</v>
      </c>
      <c r="I111">
        <v>1.44554</v>
      </c>
      <c r="J111">
        <v>1.4523870000000001</v>
      </c>
      <c r="K111">
        <v>1.474432</v>
      </c>
      <c r="L111">
        <v>1.4950939999999999</v>
      </c>
      <c r="M111">
        <v>1.518669</v>
      </c>
      <c r="N111">
        <v>1.536608</v>
      </c>
      <c r="O111">
        <v>1.543585</v>
      </c>
      <c r="P111">
        <v>1.5628169999999999</v>
      </c>
      <c r="Q111">
        <v>1.582662</v>
      </c>
      <c r="R111">
        <v>1.614209</v>
      </c>
      <c r="S111">
        <v>1.637877</v>
      </c>
      <c r="T111">
        <v>1.654558</v>
      </c>
      <c r="U111">
        <v>1.6763110000000001</v>
      </c>
      <c r="V111">
        <v>1.692145</v>
      </c>
      <c r="W111">
        <v>1.690858</v>
      </c>
      <c r="X111">
        <v>1.695535</v>
      </c>
      <c r="Y111">
        <v>1.6912590000000001</v>
      </c>
      <c r="Z111">
        <v>1.6968289999999999</v>
      </c>
      <c r="AA111">
        <v>1.7099299999999999</v>
      </c>
      <c r="AB111">
        <v>1.7276590000000001</v>
      </c>
      <c r="AC111">
        <v>1.750516</v>
      </c>
      <c r="AD111">
        <v>1.771954</v>
      </c>
      <c r="AE111">
        <v>1.794454</v>
      </c>
      <c r="AF111">
        <v>1.8138540000000001</v>
      </c>
      <c r="AG111" s="31">
        <v>0.01</v>
      </c>
    </row>
    <row r="112" spans="1:33" x14ac:dyDescent="0.25">
      <c r="A112" t="s">
        <v>289</v>
      </c>
      <c r="B112" t="s">
        <v>861</v>
      </c>
      <c r="C112" t="s">
        <v>862</v>
      </c>
      <c r="D112" t="s">
        <v>73</v>
      </c>
      <c r="F112">
        <v>3.4985460000000002</v>
      </c>
      <c r="G112">
        <v>3.545369</v>
      </c>
      <c r="H112">
        <v>3.5818590000000001</v>
      </c>
      <c r="I112">
        <v>3.605855</v>
      </c>
      <c r="J112">
        <v>3.6244719999999999</v>
      </c>
      <c r="K112">
        <v>3.6534650000000002</v>
      </c>
      <c r="L112">
        <v>3.7023700000000002</v>
      </c>
      <c r="M112">
        <v>3.7600419999999999</v>
      </c>
      <c r="N112">
        <v>3.8435640000000002</v>
      </c>
      <c r="O112">
        <v>3.9286310000000002</v>
      </c>
      <c r="P112">
        <v>4.0418219999999998</v>
      </c>
      <c r="Q112">
        <v>4.1533429999999996</v>
      </c>
      <c r="R112">
        <v>4.251055</v>
      </c>
      <c r="S112">
        <v>4.3310449999999996</v>
      </c>
      <c r="T112">
        <v>4.3934439999999997</v>
      </c>
      <c r="U112">
        <v>4.4537259999999996</v>
      </c>
      <c r="V112">
        <v>4.524152</v>
      </c>
      <c r="W112">
        <v>4.5866100000000003</v>
      </c>
      <c r="X112">
        <v>4.643548</v>
      </c>
      <c r="Y112">
        <v>4.6947270000000003</v>
      </c>
      <c r="Z112">
        <v>4.7398769999999999</v>
      </c>
      <c r="AA112">
        <v>4.7852009999999998</v>
      </c>
      <c r="AB112">
        <v>4.8326989999999999</v>
      </c>
      <c r="AC112">
        <v>4.8865080000000001</v>
      </c>
      <c r="AD112">
        <v>4.9296530000000001</v>
      </c>
      <c r="AE112">
        <v>4.9760980000000004</v>
      </c>
      <c r="AF112">
        <v>5.0173969999999999</v>
      </c>
      <c r="AG112" s="31">
        <v>1.4E-2</v>
      </c>
    </row>
    <row r="113" spans="1:33" x14ac:dyDescent="0.25">
      <c r="A113" t="s">
        <v>89</v>
      </c>
      <c r="B113" t="s">
        <v>863</v>
      </c>
      <c r="C113" t="s">
        <v>864</v>
      </c>
      <c r="D113" t="s">
        <v>73</v>
      </c>
      <c r="F113">
        <v>25.914194999999999</v>
      </c>
      <c r="G113">
        <v>26.243884999999999</v>
      </c>
      <c r="H113">
        <v>26.366326999999998</v>
      </c>
      <c r="I113">
        <v>26.450458000000001</v>
      </c>
      <c r="J113">
        <v>26.587752999999999</v>
      </c>
      <c r="K113">
        <v>26.685687000000001</v>
      </c>
      <c r="L113">
        <v>26.841270999999999</v>
      </c>
      <c r="M113">
        <v>26.982144000000002</v>
      </c>
      <c r="N113">
        <v>27.162037999999999</v>
      </c>
      <c r="O113">
        <v>27.212002999999999</v>
      </c>
      <c r="P113">
        <v>27.331</v>
      </c>
      <c r="Q113">
        <v>27.413830999999998</v>
      </c>
      <c r="R113">
        <v>27.530968000000001</v>
      </c>
      <c r="S113">
        <v>27.601254000000001</v>
      </c>
      <c r="T113">
        <v>27.727326000000001</v>
      </c>
      <c r="U113">
        <v>27.905729999999998</v>
      </c>
      <c r="V113">
        <v>28.137938999999999</v>
      </c>
      <c r="W113">
        <v>28.283968999999999</v>
      </c>
      <c r="X113">
        <v>28.418541000000001</v>
      </c>
      <c r="Y113">
        <v>28.566002000000001</v>
      </c>
      <c r="Z113">
        <v>28.760804</v>
      </c>
      <c r="AA113">
        <v>28.956613000000001</v>
      </c>
      <c r="AB113">
        <v>29.112933999999999</v>
      </c>
      <c r="AC113">
        <v>29.352063000000001</v>
      </c>
      <c r="AD113">
        <v>29.517008000000001</v>
      </c>
      <c r="AE113">
        <v>29.724809</v>
      </c>
      <c r="AF113">
        <v>29.904475000000001</v>
      </c>
      <c r="AG113" s="31">
        <v>6.0000000000000001E-3</v>
      </c>
    </row>
    <row r="114" spans="1:33" x14ac:dyDescent="0.25">
      <c r="A114" t="s">
        <v>92</v>
      </c>
      <c r="B114" t="s">
        <v>865</v>
      </c>
      <c r="C114" t="s">
        <v>866</v>
      </c>
      <c r="D114" t="s">
        <v>73</v>
      </c>
      <c r="F114">
        <v>4.9726340000000002</v>
      </c>
      <c r="G114">
        <v>4.88626</v>
      </c>
      <c r="H114">
        <v>4.6426239999999996</v>
      </c>
      <c r="I114">
        <v>4.4951860000000003</v>
      </c>
      <c r="J114">
        <v>4.4181689999999998</v>
      </c>
      <c r="K114">
        <v>4.3752610000000001</v>
      </c>
      <c r="L114">
        <v>4.2556520000000004</v>
      </c>
      <c r="M114">
        <v>4.1837410000000004</v>
      </c>
      <c r="N114">
        <v>4.0000080000000002</v>
      </c>
      <c r="O114">
        <v>3.9554870000000002</v>
      </c>
      <c r="P114">
        <v>3.922301</v>
      </c>
      <c r="Q114">
        <v>3.8535879999999998</v>
      </c>
      <c r="R114">
        <v>3.776351</v>
      </c>
      <c r="S114">
        <v>3.646423</v>
      </c>
      <c r="T114">
        <v>3.5819719999999999</v>
      </c>
      <c r="U114">
        <v>3.4137550000000001</v>
      </c>
      <c r="V114">
        <v>3.4053879999999999</v>
      </c>
      <c r="W114">
        <v>3.4446370000000002</v>
      </c>
      <c r="X114">
        <v>3.4800610000000001</v>
      </c>
      <c r="Y114">
        <v>3.493976</v>
      </c>
      <c r="Z114">
        <v>3.5090789999999998</v>
      </c>
      <c r="AA114">
        <v>3.5032559999999999</v>
      </c>
      <c r="AB114">
        <v>3.4981399999999998</v>
      </c>
      <c r="AC114">
        <v>3.5094690000000002</v>
      </c>
      <c r="AD114">
        <v>3.522662</v>
      </c>
      <c r="AE114">
        <v>3.5449660000000001</v>
      </c>
      <c r="AF114">
        <v>3.5362</v>
      </c>
      <c r="AG114" s="31">
        <v>-1.2999999999999999E-2</v>
      </c>
    </row>
    <row r="115" spans="1:33" x14ac:dyDescent="0.25">
      <c r="A115" t="s">
        <v>183</v>
      </c>
      <c r="B115" t="s">
        <v>867</v>
      </c>
      <c r="C115" t="s">
        <v>868</v>
      </c>
      <c r="D115" t="s">
        <v>73</v>
      </c>
      <c r="F115">
        <v>0.29954599999999998</v>
      </c>
      <c r="G115">
        <v>0.303261</v>
      </c>
      <c r="H115">
        <v>0.31314399999999998</v>
      </c>
      <c r="I115">
        <v>0.31655499999999998</v>
      </c>
      <c r="J115">
        <v>0.31559399999999999</v>
      </c>
      <c r="K115">
        <v>0.31652200000000003</v>
      </c>
      <c r="L115">
        <v>0.32011800000000001</v>
      </c>
      <c r="M115">
        <v>0.32531700000000002</v>
      </c>
      <c r="N115">
        <v>0.33151900000000001</v>
      </c>
      <c r="O115">
        <v>0.34126499999999999</v>
      </c>
      <c r="P115">
        <v>0.34955799999999998</v>
      </c>
      <c r="Q115">
        <v>0.357742</v>
      </c>
      <c r="R115">
        <v>0.36234100000000002</v>
      </c>
      <c r="S115">
        <v>0.36301299999999997</v>
      </c>
      <c r="T115">
        <v>0.36418299999999998</v>
      </c>
      <c r="U115">
        <v>0.36601899999999998</v>
      </c>
      <c r="V115">
        <v>0.36809799999999998</v>
      </c>
      <c r="W115">
        <v>0.37062600000000001</v>
      </c>
      <c r="X115">
        <v>0.37209399999999998</v>
      </c>
      <c r="Y115">
        <v>0.37418499999999999</v>
      </c>
      <c r="Z115">
        <v>0.37657800000000002</v>
      </c>
      <c r="AA115">
        <v>0.37812299999999999</v>
      </c>
      <c r="AB115">
        <v>0.37870900000000002</v>
      </c>
      <c r="AC115">
        <v>0.37824999999999998</v>
      </c>
      <c r="AD115">
        <v>0.37977300000000003</v>
      </c>
      <c r="AE115">
        <v>0.37701800000000002</v>
      </c>
      <c r="AF115">
        <v>0.378886</v>
      </c>
      <c r="AG115" s="31">
        <v>8.9999999999999993E-3</v>
      </c>
    </row>
    <row r="116" spans="1:33" x14ac:dyDescent="0.25">
      <c r="A116" t="s">
        <v>95</v>
      </c>
      <c r="B116" t="s">
        <v>869</v>
      </c>
      <c r="C116" t="s">
        <v>870</v>
      </c>
      <c r="D116" t="s">
        <v>73</v>
      </c>
      <c r="F116">
        <v>31.186375000000002</v>
      </c>
      <c r="G116">
        <v>31.433406000000002</v>
      </c>
      <c r="H116">
        <v>31.322095000000001</v>
      </c>
      <c r="I116">
        <v>31.262198000000001</v>
      </c>
      <c r="J116">
        <v>31.321515000000002</v>
      </c>
      <c r="K116">
        <v>31.377471</v>
      </c>
      <c r="L116">
        <v>31.417041000000001</v>
      </c>
      <c r="M116">
        <v>31.491202000000001</v>
      </c>
      <c r="N116">
        <v>31.493565</v>
      </c>
      <c r="O116">
        <v>31.508755000000001</v>
      </c>
      <c r="P116">
        <v>31.602858000000001</v>
      </c>
      <c r="Q116">
        <v>31.625162</v>
      </c>
      <c r="R116">
        <v>31.66966</v>
      </c>
      <c r="S116">
        <v>31.610690000000002</v>
      </c>
      <c r="T116">
        <v>31.673480000000001</v>
      </c>
      <c r="U116">
        <v>31.685504000000002</v>
      </c>
      <c r="V116">
        <v>31.911425999999999</v>
      </c>
      <c r="W116">
        <v>32.099232000000001</v>
      </c>
      <c r="X116">
        <v>32.270695000000003</v>
      </c>
      <c r="Y116">
        <v>32.434162999999998</v>
      </c>
      <c r="Z116">
        <v>32.646461000000002</v>
      </c>
      <c r="AA116">
        <v>32.837991000000002</v>
      </c>
      <c r="AB116">
        <v>32.989783000000003</v>
      </c>
      <c r="AC116">
        <v>33.239783000000003</v>
      </c>
      <c r="AD116">
        <v>33.419443999999999</v>
      </c>
      <c r="AE116">
        <v>33.646794</v>
      </c>
      <c r="AF116">
        <v>33.819560000000003</v>
      </c>
      <c r="AG116" s="31">
        <v>3.0000000000000001E-3</v>
      </c>
    </row>
    <row r="117" spans="1:33" x14ac:dyDescent="0.25">
      <c r="A117" s="1" t="s">
        <v>871</v>
      </c>
    </row>
    <row r="118" spans="1:33" x14ac:dyDescent="0.25">
      <c r="A118" t="s">
        <v>698</v>
      </c>
      <c r="B118" t="s">
        <v>872</v>
      </c>
      <c r="C118" t="s">
        <v>820</v>
      </c>
      <c r="D118" t="s">
        <v>73</v>
      </c>
      <c r="F118">
        <v>6.4334000000000002E-2</v>
      </c>
      <c r="G118">
        <v>0.12228899999999999</v>
      </c>
      <c r="H118">
        <v>0.11648799999999999</v>
      </c>
      <c r="I118">
        <v>0.117768</v>
      </c>
      <c r="J118">
        <v>0.118981</v>
      </c>
      <c r="K118">
        <v>0.120806</v>
      </c>
      <c r="L118">
        <v>0.122225</v>
      </c>
      <c r="M118">
        <v>0.123407</v>
      </c>
      <c r="N118">
        <v>0.12576599999999999</v>
      </c>
      <c r="O118">
        <v>0.12634600000000001</v>
      </c>
      <c r="P118">
        <v>0.12718399999999999</v>
      </c>
      <c r="Q118">
        <v>0.128271</v>
      </c>
      <c r="R118">
        <v>0.12964100000000001</v>
      </c>
      <c r="S118">
        <v>0.13115599999999999</v>
      </c>
      <c r="T118">
        <v>0.132603</v>
      </c>
      <c r="U118">
        <v>0.133936</v>
      </c>
      <c r="V118">
        <v>0.13502900000000001</v>
      </c>
      <c r="W118">
        <v>0.13565099999999999</v>
      </c>
      <c r="X118">
        <v>0.136466</v>
      </c>
      <c r="Y118">
        <v>0.13722999999999999</v>
      </c>
      <c r="Z118">
        <v>0.13802600000000001</v>
      </c>
      <c r="AA118">
        <v>0.139073</v>
      </c>
      <c r="AB118">
        <v>0.14020299999999999</v>
      </c>
      <c r="AC118">
        <v>0.14139599999999999</v>
      </c>
      <c r="AD118">
        <v>0.14255699999999999</v>
      </c>
      <c r="AE118">
        <v>0.14382400000000001</v>
      </c>
      <c r="AF118">
        <v>0.14493400000000001</v>
      </c>
      <c r="AG118" s="31">
        <v>3.2000000000000001E-2</v>
      </c>
    </row>
    <row r="119" spans="1:33" x14ac:dyDescent="0.25">
      <c r="A119" t="s">
        <v>701</v>
      </c>
      <c r="B119" t="s">
        <v>873</v>
      </c>
      <c r="C119" t="s">
        <v>822</v>
      </c>
      <c r="D119" t="s">
        <v>73</v>
      </c>
      <c r="F119">
        <v>3.4849999999999999</v>
      </c>
      <c r="G119">
        <v>3.4898020000000001</v>
      </c>
      <c r="H119">
        <v>3.4917799999999999</v>
      </c>
      <c r="I119">
        <v>3.4954890000000001</v>
      </c>
      <c r="J119">
        <v>3.5009109999999999</v>
      </c>
      <c r="K119">
        <v>3.5051619999999999</v>
      </c>
      <c r="L119">
        <v>3.5082270000000002</v>
      </c>
      <c r="M119">
        <v>3.5091830000000002</v>
      </c>
      <c r="N119">
        <v>3.5090370000000002</v>
      </c>
      <c r="O119">
        <v>3.5099960000000001</v>
      </c>
      <c r="P119">
        <v>3.5059239999999998</v>
      </c>
      <c r="Q119">
        <v>3.5014319999999999</v>
      </c>
      <c r="R119">
        <v>3.498329</v>
      </c>
      <c r="S119">
        <v>3.4922010000000001</v>
      </c>
      <c r="T119">
        <v>3.5208210000000002</v>
      </c>
      <c r="U119">
        <v>3.5883470000000002</v>
      </c>
      <c r="V119">
        <v>3.6626639999999999</v>
      </c>
      <c r="W119">
        <v>3.7226979999999998</v>
      </c>
      <c r="X119">
        <v>3.785018</v>
      </c>
      <c r="Y119">
        <v>3.8289749999999998</v>
      </c>
      <c r="Z119">
        <v>3.8006630000000001</v>
      </c>
      <c r="AA119">
        <v>3.7608220000000001</v>
      </c>
      <c r="AB119">
        <v>3.798597</v>
      </c>
      <c r="AC119">
        <v>3.8708109999999998</v>
      </c>
      <c r="AD119">
        <v>3.9231229999999999</v>
      </c>
      <c r="AE119">
        <v>3.8951889999999998</v>
      </c>
      <c r="AF119">
        <v>3.8663419999999999</v>
      </c>
      <c r="AG119" s="31">
        <v>4.0000000000000001E-3</v>
      </c>
    </row>
    <row r="120" spans="1:33" s="32" customFormat="1" x14ac:dyDescent="0.25">
      <c r="A120" s="32" t="s">
        <v>101</v>
      </c>
      <c r="B120" s="32" t="s">
        <v>874</v>
      </c>
      <c r="C120" s="32" t="s">
        <v>824</v>
      </c>
      <c r="D120" s="32" t="s">
        <v>73</v>
      </c>
      <c r="F120" s="32">
        <v>0.28129100000000001</v>
      </c>
      <c r="G120" s="32">
        <v>0.28524699999999997</v>
      </c>
      <c r="H120" s="32">
        <v>0.288387</v>
      </c>
      <c r="I120" s="32">
        <v>0.29223900000000003</v>
      </c>
      <c r="J120" s="32">
        <v>0.29710900000000001</v>
      </c>
      <c r="K120" s="32">
        <v>0.30265799999999998</v>
      </c>
      <c r="L120" s="32">
        <v>0.30711500000000003</v>
      </c>
      <c r="M120" s="32">
        <v>0.31040400000000001</v>
      </c>
      <c r="N120" s="32">
        <v>0.313444</v>
      </c>
      <c r="O120" s="32">
        <v>0.31531999999999999</v>
      </c>
      <c r="P120" s="32">
        <v>0.31691900000000001</v>
      </c>
      <c r="Q120" s="32">
        <v>0.319351</v>
      </c>
      <c r="R120" s="32">
        <v>0.32223499999999999</v>
      </c>
      <c r="S120" s="32">
        <v>0.32399</v>
      </c>
      <c r="T120" s="32">
        <v>0.32590000000000002</v>
      </c>
      <c r="U120" s="32">
        <v>0.32769100000000001</v>
      </c>
      <c r="V120" s="32">
        <v>0.32958599999999999</v>
      </c>
      <c r="W120" s="32">
        <v>0.33104</v>
      </c>
      <c r="X120" s="32">
        <v>0.33304600000000001</v>
      </c>
      <c r="Y120" s="32">
        <v>0.33460600000000001</v>
      </c>
      <c r="Z120" s="32">
        <v>0.336343</v>
      </c>
      <c r="AA120" s="32">
        <v>0.33907900000000002</v>
      </c>
      <c r="AB120" s="32">
        <v>0.342198</v>
      </c>
      <c r="AC120" s="32">
        <v>0.34522700000000001</v>
      </c>
      <c r="AD120" s="32">
        <v>0.34826400000000002</v>
      </c>
      <c r="AE120" s="32">
        <v>0.35161100000000001</v>
      </c>
      <c r="AF120" s="32">
        <v>0.35470000000000002</v>
      </c>
      <c r="AG120" s="33">
        <v>8.9999999999999993E-3</v>
      </c>
    </row>
    <row r="121" spans="1:33" x14ac:dyDescent="0.25">
      <c r="A121" t="s">
        <v>74</v>
      </c>
      <c r="B121" t="s">
        <v>875</v>
      </c>
      <c r="C121" t="s">
        <v>826</v>
      </c>
      <c r="D121" t="s">
        <v>73</v>
      </c>
      <c r="F121">
        <v>1.1400129999999999</v>
      </c>
      <c r="G121">
        <v>1.15177</v>
      </c>
      <c r="H121">
        <v>1.1634389999999999</v>
      </c>
      <c r="I121">
        <v>1.1770879999999999</v>
      </c>
      <c r="J121">
        <v>1.1952050000000001</v>
      </c>
      <c r="K121">
        <v>1.2161040000000001</v>
      </c>
      <c r="L121">
        <v>1.2327399999999999</v>
      </c>
      <c r="M121">
        <v>1.246904</v>
      </c>
      <c r="N121">
        <v>1.260956</v>
      </c>
      <c r="O121">
        <v>1.2692889999999999</v>
      </c>
      <c r="P121">
        <v>1.2779590000000001</v>
      </c>
      <c r="Q121">
        <v>1.288505</v>
      </c>
      <c r="R121">
        <v>1.2995129999999999</v>
      </c>
      <c r="S121">
        <v>1.3081959999999999</v>
      </c>
      <c r="T121">
        <v>1.317186</v>
      </c>
      <c r="U121">
        <v>1.324638</v>
      </c>
      <c r="V121">
        <v>1.3324290000000001</v>
      </c>
      <c r="W121">
        <v>1.3377509999999999</v>
      </c>
      <c r="X121">
        <v>1.3440970000000001</v>
      </c>
      <c r="Y121">
        <v>1.349923</v>
      </c>
      <c r="Z121">
        <v>1.3560989999999999</v>
      </c>
      <c r="AA121">
        <v>1.3644849999999999</v>
      </c>
      <c r="AB121">
        <v>1.374968</v>
      </c>
      <c r="AC121">
        <v>1.385294</v>
      </c>
      <c r="AD121">
        <v>1.394428</v>
      </c>
      <c r="AE121">
        <v>1.4056869999999999</v>
      </c>
      <c r="AF121">
        <v>1.4157500000000001</v>
      </c>
      <c r="AG121" s="31">
        <v>8.0000000000000002E-3</v>
      </c>
    </row>
    <row r="122" spans="1:33" s="32" customFormat="1" x14ac:dyDescent="0.25">
      <c r="A122" s="32" t="s">
        <v>109</v>
      </c>
      <c r="B122" s="32" t="s">
        <v>876</v>
      </c>
      <c r="C122" s="32" t="s">
        <v>828</v>
      </c>
      <c r="D122" s="32" t="s">
        <v>73</v>
      </c>
      <c r="F122" s="32">
        <v>4.1174000000000002E-2</v>
      </c>
      <c r="G122" s="32">
        <v>4.1980000000000003E-2</v>
      </c>
      <c r="H122" s="32">
        <v>4.1255E-2</v>
      </c>
      <c r="I122" s="32">
        <v>4.0060999999999999E-2</v>
      </c>
      <c r="J122" s="32">
        <v>3.8841000000000001E-2</v>
      </c>
      <c r="K122" s="32">
        <v>3.7551000000000001E-2</v>
      </c>
      <c r="L122" s="32">
        <v>3.6368999999999999E-2</v>
      </c>
      <c r="M122" s="32">
        <v>3.5532000000000001E-2</v>
      </c>
      <c r="N122" s="32">
        <v>3.5131999999999997E-2</v>
      </c>
      <c r="O122" s="32">
        <v>3.4660000000000003E-2</v>
      </c>
      <c r="P122" s="32">
        <v>3.4278999999999997E-2</v>
      </c>
      <c r="Q122" s="32">
        <v>3.3785999999999997E-2</v>
      </c>
      <c r="R122" s="32">
        <v>3.3265000000000003E-2</v>
      </c>
      <c r="S122" s="32">
        <v>3.2701000000000001E-2</v>
      </c>
      <c r="T122" s="32">
        <v>3.2197999999999997E-2</v>
      </c>
      <c r="U122" s="32">
        <v>3.1759000000000003E-2</v>
      </c>
      <c r="V122" s="32">
        <v>3.1438000000000001E-2</v>
      </c>
      <c r="W122" s="32">
        <v>3.1171999999999998E-2</v>
      </c>
      <c r="X122" s="32">
        <v>3.0896E-2</v>
      </c>
      <c r="Y122" s="32">
        <v>3.0629E-2</v>
      </c>
      <c r="Z122" s="32">
        <v>3.0439999999999998E-2</v>
      </c>
      <c r="AA122" s="32">
        <v>3.024E-2</v>
      </c>
      <c r="AB122" s="32">
        <v>2.9949E-2</v>
      </c>
      <c r="AC122" s="32">
        <v>2.9728000000000001E-2</v>
      </c>
      <c r="AD122" s="32">
        <v>2.9472999999999999E-2</v>
      </c>
      <c r="AE122" s="32">
        <v>2.9252E-2</v>
      </c>
      <c r="AF122" s="32">
        <v>2.8857000000000001E-2</v>
      </c>
      <c r="AG122" s="33">
        <v>-1.4E-2</v>
      </c>
    </row>
    <row r="123" spans="1:33" x14ac:dyDescent="0.25">
      <c r="A123" t="s">
        <v>140</v>
      </c>
      <c r="B123" t="s">
        <v>877</v>
      </c>
      <c r="C123" t="s">
        <v>830</v>
      </c>
      <c r="D123" t="s">
        <v>73</v>
      </c>
      <c r="F123">
        <v>0.39052500000000001</v>
      </c>
      <c r="G123">
        <v>0.35499999999999998</v>
      </c>
      <c r="H123">
        <v>0.55000000000000004</v>
      </c>
      <c r="I123">
        <v>0.55000000000000004</v>
      </c>
      <c r="J123">
        <v>0.55000000000000004</v>
      </c>
      <c r="K123">
        <v>0.55000000000000004</v>
      </c>
      <c r="L123">
        <v>0.55000000000000004</v>
      </c>
      <c r="M123">
        <v>0.55000000000000004</v>
      </c>
      <c r="N123">
        <v>0.55000000000000004</v>
      </c>
      <c r="O123">
        <v>0.55000000000000004</v>
      </c>
      <c r="P123">
        <v>0.55000000000000004</v>
      </c>
      <c r="Q123">
        <v>0.55000000000000004</v>
      </c>
      <c r="R123">
        <v>0.55000000000000004</v>
      </c>
      <c r="S123">
        <v>0.55000000000000004</v>
      </c>
      <c r="T123">
        <v>0.55000000000000004</v>
      </c>
      <c r="U123">
        <v>0.55000000000000004</v>
      </c>
      <c r="V123">
        <v>0.55000000000000004</v>
      </c>
      <c r="W123">
        <v>0.55000000000000004</v>
      </c>
      <c r="X123">
        <v>0.55000000000000004</v>
      </c>
      <c r="Y123">
        <v>0.55000000000000004</v>
      </c>
      <c r="Z123">
        <v>0.69557999999999998</v>
      </c>
      <c r="AA123">
        <v>0.84116000000000002</v>
      </c>
      <c r="AB123">
        <v>0.84116000000000002</v>
      </c>
      <c r="AC123">
        <v>0.84116000000000002</v>
      </c>
      <c r="AD123">
        <v>0.84116000000000002</v>
      </c>
      <c r="AE123">
        <v>0.96409500000000004</v>
      </c>
      <c r="AF123">
        <v>1.087029</v>
      </c>
      <c r="AG123" s="31">
        <v>0.04</v>
      </c>
    </row>
    <row r="124" spans="1:33" x14ac:dyDescent="0.25">
      <c r="A124" t="s">
        <v>726</v>
      </c>
      <c r="B124" t="s">
        <v>878</v>
      </c>
      <c r="C124" t="s">
        <v>832</v>
      </c>
      <c r="D124" t="s">
        <v>73</v>
      </c>
      <c r="F124">
        <v>0.48964600000000003</v>
      </c>
      <c r="G124">
        <v>0.51</v>
      </c>
      <c r="H124">
        <v>0.517343</v>
      </c>
      <c r="I124">
        <v>0.51697800000000005</v>
      </c>
      <c r="J124">
        <v>0.51615500000000003</v>
      </c>
      <c r="K124">
        <v>0.51349699999999998</v>
      </c>
      <c r="L124">
        <v>0.511575</v>
      </c>
      <c r="M124">
        <v>0.50776100000000002</v>
      </c>
      <c r="N124">
        <v>0.498141</v>
      </c>
      <c r="O124">
        <v>0.496027</v>
      </c>
      <c r="P124">
        <v>0.49338199999999999</v>
      </c>
      <c r="Q124">
        <v>0.48677100000000001</v>
      </c>
      <c r="R124">
        <v>0.48580699999999999</v>
      </c>
      <c r="S124">
        <v>0.48254599999999997</v>
      </c>
      <c r="T124">
        <v>0.47346199999999999</v>
      </c>
      <c r="U124">
        <v>0.471524</v>
      </c>
      <c r="V124">
        <v>0.47514800000000001</v>
      </c>
      <c r="W124">
        <v>0.46896199999999999</v>
      </c>
      <c r="X124">
        <v>0.460895</v>
      </c>
      <c r="Y124">
        <v>0.46746799999999999</v>
      </c>
      <c r="Z124">
        <v>0.46616200000000002</v>
      </c>
      <c r="AA124">
        <v>0.46449699999999999</v>
      </c>
      <c r="AB124">
        <v>0.46424700000000002</v>
      </c>
      <c r="AC124">
        <v>0.468472</v>
      </c>
      <c r="AD124">
        <v>0.469885</v>
      </c>
      <c r="AE124">
        <v>0.46475699999999998</v>
      </c>
      <c r="AF124">
        <v>0.462812</v>
      </c>
      <c r="AG124" s="31">
        <v>-2E-3</v>
      </c>
    </row>
    <row r="125" spans="1:33" s="32" customFormat="1" x14ac:dyDescent="0.25">
      <c r="A125" s="32" t="s">
        <v>662</v>
      </c>
      <c r="B125" s="32" t="s">
        <v>879</v>
      </c>
      <c r="C125" s="32" t="s">
        <v>834</v>
      </c>
      <c r="D125" s="32" t="s">
        <v>73</v>
      </c>
      <c r="F125" s="32">
        <v>0.87783800000000001</v>
      </c>
      <c r="G125" s="32">
        <v>0.87826199999999999</v>
      </c>
      <c r="H125" s="32">
        <v>0.88615699999999997</v>
      </c>
      <c r="I125" s="32">
        <v>0.90322400000000003</v>
      </c>
      <c r="J125" s="32">
        <v>0.90542800000000001</v>
      </c>
      <c r="K125" s="32">
        <v>0.91149599999999997</v>
      </c>
      <c r="L125" s="32">
        <v>0.91859800000000003</v>
      </c>
      <c r="M125" s="32">
        <v>0.92440699999999998</v>
      </c>
      <c r="N125" s="32">
        <v>0.92100099999999996</v>
      </c>
      <c r="O125" s="32">
        <v>0.92284100000000002</v>
      </c>
      <c r="P125" s="32">
        <v>0.92425199999999996</v>
      </c>
      <c r="Q125" s="32">
        <v>0.92808400000000002</v>
      </c>
      <c r="R125" s="32">
        <v>0.93199399999999999</v>
      </c>
      <c r="S125" s="32">
        <v>0.93456700000000004</v>
      </c>
      <c r="T125" s="32">
        <v>0.93731699999999996</v>
      </c>
      <c r="U125" s="32">
        <v>0.940415</v>
      </c>
      <c r="V125" s="32">
        <v>0.94347099999999995</v>
      </c>
      <c r="W125" s="32">
        <v>0.94533500000000004</v>
      </c>
      <c r="X125" s="32">
        <v>0.94588700000000003</v>
      </c>
      <c r="Y125" s="32">
        <v>0.94766099999999998</v>
      </c>
      <c r="Z125" s="32">
        <v>0.94848500000000002</v>
      </c>
      <c r="AA125" s="32">
        <v>0.95064300000000002</v>
      </c>
      <c r="AB125" s="32">
        <v>0.954573</v>
      </c>
      <c r="AC125" s="32">
        <v>0.95531100000000002</v>
      </c>
      <c r="AD125" s="32">
        <v>0.95571600000000001</v>
      </c>
      <c r="AE125" s="32">
        <v>0.95625099999999996</v>
      </c>
      <c r="AF125" s="32">
        <v>0.95570999999999995</v>
      </c>
      <c r="AG125" s="33">
        <v>3.0000000000000001E-3</v>
      </c>
    </row>
    <row r="126" spans="1:33" x14ac:dyDescent="0.25">
      <c r="A126" t="s">
        <v>778</v>
      </c>
      <c r="B126" t="s">
        <v>880</v>
      </c>
      <c r="C126" t="s">
        <v>836</v>
      </c>
      <c r="D126" t="s">
        <v>73</v>
      </c>
      <c r="F126">
        <v>1.3910260000000001</v>
      </c>
      <c r="G126">
        <v>1.3910260000000001</v>
      </c>
      <c r="H126">
        <v>1.3210029999999999</v>
      </c>
      <c r="I126">
        <v>1.31785</v>
      </c>
      <c r="J126">
        <v>1.348322</v>
      </c>
      <c r="K126">
        <v>1.323102</v>
      </c>
      <c r="L126">
        <v>1.3399760000000001</v>
      </c>
      <c r="M126">
        <v>1.3434219999999999</v>
      </c>
      <c r="N126">
        <v>1.3441449999999999</v>
      </c>
      <c r="O126">
        <v>1.3212520000000001</v>
      </c>
      <c r="P126">
        <v>1.3225739999999999</v>
      </c>
      <c r="Q126">
        <v>1.309428</v>
      </c>
      <c r="R126">
        <v>1.321005</v>
      </c>
      <c r="S126">
        <v>1.3220529999999999</v>
      </c>
      <c r="T126">
        <v>1.322975</v>
      </c>
      <c r="U126">
        <v>1.3274459999999999</v>
      </c>
      <c r="V126">
        <v>1.3321149999999999</v>
      </c>
      <c r="W126">
        <v>1.3346229999999999</v>
      </c>
      <c r="X126">
        <v>1.318845</v>
      </c>
      <c r="Y126">
        <v>1.3339380000000001</v>
      </c>
      <c r="Z126">
        <v>1.3302320000000001</v>
      </c>
      <c r="AA126">
        <v>1.329636</v>
      </c>
      <c r="AB126">
        <v>1.3349310000000001</v>
      </c>
      <c r="AC126">
        <v>1.344992</v>
      </c>
      <c r="AD126">
        <v>1.3399700000000001</v>
      </c>
      <c r="AE126">
        <v>1.3375790000000001</v>
      </c>
      <c r="AF126">
        <v>1.324381</v>
      </c>
      <c r="AG126" s="31">
        <v>-2E-3</v>
      </c>
    </row>
    <row r="127" spans="1:33" x14ac:dyDescent="0.25">
      <c r="A127" t="s">
        <v>731</v>
      </c>
      <c r="B127" t="s">
        <v>881</v>
      </c>
      <c r="C127" t="s">
        <v>838</v>
      </c>
      <c r="D127" t="s">
        <v>73</v>
      </c>
      <c r="F127">
        <v>0.31549100000000002</v>
      </c>
      <c r="G127">
        <v>0.33473599999999998</v>
      </c>
      <c r="H127">
        <v>0.34973700000000002</v>
      </c>
      <c r="I127">
        <v>0.364234</v>
      </c>
      <c r="J127">
        <v>0.37818400000000002</v>
      </c>
      <c r="K127">
        <v>0.391654</v>
      </c>
      <c r="L127">
        <v>0.40402700000000003</v>
      </c>
      <c r="M127">
        <v>0.41619099999999998</v>
      </c>
      <c r="N127">
        <v>0.42799500000000001</v>
      </c>
      <c r="O127">
        <v>0.43781399999999998</v>
      </c>
      <c r="P127">
        <v>0.45068399999999997</v>
      </c>
      <c r="Q127">
        <v>0.46487200000000001</v>
      </c>
      <c r="R127">
        <v>0.46444000000000002</v>
      </c>
      <c r="S127">
        <v>0.46872200000000003</v>
      </c>
      <c r="T127">
        <v>0.47455599999999998</v>
      </c>
      <c r="U127">
        <v>0.47934100000000002</v>
      </c>
      <c r="V127">
        <v>0.48543900000000001</v>
      </c>
      <c r="W127">
        <v>0.49529200000000001</v>
      </c>
      <c r="X127">
        <v>0.50739400000000001</v>
      </c>
      <c r="Y127">
        <v>0.50031099999999995</v>
      </c>
      <c r="Z127">
        <v>0.504691</v>
      </c>
      <c r="AA127">
        <v>0.50399799999999995</v>
      </c>
      <c r="AB127">
        <v>0.50747699999999996</v>
      </c>
      <c r="AC127">
        <v>0.51097300000000001</v>
      </c>
      <c r="AD127">
        <v>0.51433499999999999</v>
      </c>
      <c r="AE127">
        <v>0.51807999999999998</v>
      </c>
      <c r="AF127">
        <v>0.52036400000000005</v>
      </c>
      <c r="AG127" s="31">
        <v>1.9E-2</v>
      </c>
    </row>
    <row r="128" spans="1:33" x14ac:dyDescent="0.25">
      <c r="A128" t="s">
        <v>77</v>
      </c>
      <c r="B128" t="s">
        <v>882</v>
      </c>
      <c r="C128" t="s">
        <v>840</v>
      </c>
      <c r="D128" t="s">
        <v>73</v>
      </c>
      <c r="F128">
        <v>8.4763389999999994</v>
      </c>
      <c r="G128">
        <v>8.5601140000000004</v>
      </c>
      <c r="H128">
        <v>8.7255900000000004</v>
      </c>
      <c r="I128">
        <v>8.7749330000000008</v>
      </c>
      <c r="J128">
        <v>8.8491359999999997</v>
      </c>
      <c r="K128">
        <v>8.8720289999999995</v>
      </c>
      <c r="L128">
        <v>8.9308530000000008</v>
      </c>
      <c r="M128">
        <v>8.9672129999999992</v>
      </c>
      <c r="N128">
        <v>8.9856180000000005</v>
      </c>
      <c r="O128">
        <v>8.9835440000000002</v>
      </c>
      <c r="P128">
        <v>9.0031560000000006</v>
      </c>
      <c r="Q128">
        <v>9.0105020000000007</v>
      </c>
      <c r="R128">
        <v>9.0362290000000005</v>
      </c>
      <c r="S128">
        <v>9.0461320000000001</v>
      </c>
      <c r="T128">
        <v>9.0870169999999995</v>
      </c>
      <c r="U128">
        <v>9.1750980000000002</v>
      </c>
      <c r="V128">
        <v>9.2773190000000003</v>
      </c>
      <c r="W128">
        <v>9.3525240000000007</v>
      </c>
      <c r="X128">
        <v>9.4125449999999997</v>
      </c>
      <c r="Y128">
        <v>9.4807419999999993</v>
      </c>
      <c r="Z128">
        <v>9.6067239999999998</v>
      </c>
      <c r="AA128">
        <v>9.7236329999999995</v>
      </c>
      <c r="AB128">
        <v>9.7883030000000009</v>
      </c>
      <c r="AC128">
        <v>9.8933649999999993</v>
      </c>
      <c r="AD128">
        <v>9.9589119999999998</v>
      </c>
      <c r="AE128">
        <v>10.066326</v>
      </c>
      <c r="AF128">
        <v>10.160880000000001</v>
      </c>
      <c r="AG128" s="31">
        <v>7.0000000000000001E-3</v>
      </c>
    </row>
    <row r="129" spans="1:33" x14ac:dyDescent="0.25">
      <c r="A129" t="s">
        <v>736</v>
      </c>
      <c r="B129" t="s">
        <v>883</v>
      </c>
      <c r="C129" t="s">
        <v>842</v>
      </c>
      <c r="D129" t="s">
        <v>73</v>
      </c>
      <c r="F129">
        <v>7.69238</v>
      </c>
      <c r="G129">
        <v>7.7715240000000003</v>
      </c>
      <c r="H129">
        <v>7.5663720000000003</v>
      </c>
      <c r="I129">
        <v>7.57918</v>
      </c>
      <c r="J129">
        <v>7.5915819999999998</v>
      </c>
      <c r="K129">
        <v>7.6147650000000002</v>
      </c>
      <c r="L129">
        <v>7.6358129999999997</v>
      </c>
      <c r="M129">
        <v>7.6735350000000002</v>
      </c>
      <c r="N129">
        <v>7.674296</v>
      </c>
      <c r="O129">
        <v>7.6563660000000002</v>
      </c>
      <c r="P129">
        <v>7.629588</v>
      </c>
      <c r="Q129">
        <v>7.6071439999999999</v>
      </c>
      <c r="R129">
        <v>7.6006660000000004</v>
      </c>
      <c r="S129">
        <v>7.6000959999999997</v>
      </c>
      <c r="T129">
        <v>7.6289870000000004</v>
      </c>
      <c r="U129">
        <v>7.6682899999999998</v>
      </c>
      <c r="V129">
        <v>7.7086620000000003</v>
      </c>
      <c r="W129">
        <v>7.722702</v>
      </c>
      <c r="X129">
        <v>7.7406249999999996</v>
      </c>
      <c r="Y129">
        <v>7.778213</v>
      </c>
      <c r="Z129">
        <v>7.7984080000000002</v>
      </c>
      <c r="AA129">
        <v>7.8202150000000001</v>
      </c>
      <c r="AB129">
        <v>7.8465020000000001</v>
      </c>
      <c r="AC129">
        <v>7.8956840000000001</v>
      </c>
      <c r="AD129">
        <v>7.9321010000000003</v>
      </c>
      <c r="AE129">
        <v>7.962904</v>
      </c>
      <c r="AF129">
        <v>7.9833679999999996</v>
      </c>
      <c r="AG129" s="31">
        <v>1E-3</v>
      </c>
    </row>
    <row r="130" spans="1:33" x14ac:dyDescent="0.25">
      <c r="A130" t="s">
        <v>739</v>
      </c>
      <c r="B130" t="s">
        <v>884</v>
      </c>
      <c r="C130" t="s">
        <v>844</v>
      </c>
      <c r="D130" t="s">
        <v>73</v>
      </c>
      <c r="F130">
        <v>1.1713830000000001</v>
      </c>
      <c r="G130">
        <v>1.2226330000000001</v>
      </c>
      <c r="H130">
        <v>1.2297370000000001</v>
      </c>
      <c r="I130">
        <v>1.235163</v>
      </c>
      <c r="J130">
        <v>1.23553</v>
      </c>
      <c r="K130">
        <v>1.2451369999999999</v>
      </c>
      <c r="L130">
        <v>1.266956</v>
      </c>
      <c r="M130">
        <v>1.310141</v>
      </c>
      <c r="N130">
        <v>1.406344</v>
      </c>
      <c r="O130">
        <v>1.475592</v>
      </c>
      <c r="P130">
        <v>1.5464690000000001</v>
      </c>
      <c r="Q130">
        <v>1.614282</v>
      </c>
      <c r="R130">
        <v>1.6774990000000001</v>
      </c>
      <c r="S130">
        <v>1.73987</v>
      </c>
      <c r="T130">
        <v>1.799914</v>
      </c>
      <c r="U130">
        <v>1.855702</v>
      </c>
      <c r="V130">
        <v>1.9079699999999999</v>
      </c>
      <c r="W130">
        <v>1.9544550000000001</v>
      </c>
      <c r="X130">
        <v>1.9957149999999999</v>
      </c>
      <c r="Y130">
        <v>2.0377040000000002</v>
      </c>
      <c r="Z130">
        <v>2.0822129999999999</v>
      </c>
      <c r="AA130">
        <v>2.1231909999999998</v>
      </c>
      <c r="AB130">
        <v>2.153883</v>
      </c>
      <c r="AC130">
        <v>2.1802540000000001</v>
      </c>
      <c r="AD130">
        <v>2.2057540000000002</v>
      </c>
      <c r="AE130">
        <v>2.2260239999999998</v>
      </c>
      <c r="AF130">
        <v>2.25054</v>
      </c>
      <c r="AG130" s="31">
        <v>2.5000000000000001E-2</v>
      </c>
    </row>
    <row r="131" spans="1:33" x14ac:dyDescent="0.25">
      <c r="A131" t="s">
        <v>150</v>
      </c>
      <c r="B131" t="s">
        <v>885</v>
      </c>
      <c r="C131" t="s">
        <v>846</v>
      </c>
      <c r="D131" t="s">
        <v>73</v>
      </c>
      <c r="F131">
        <v>2.0452949999999999</v>
      </c>
      <c r="G131">
        <v>2.0521980000000002</v>
      </c>
      <c r="H131">
        <v>2.1515580000000001</v>
      </c>
      <c r="I131">
        <v>2.1604230000000002</v>
      </c>
      <c r="J131">
        <v>2.2060050000000002</v>
      </c>
      <c r="K131">
        <v>2.226782</v>
      </c>
      <c r="L131">
        <v>2.2380469999999999</v>
      </c>
      <c r="M131">
        <v>2.2325900000000001</v>
      </c>
      <c r="N131">
        <v>2.285561</v>
      </c>
      <c r="O131">
        <v>2.2989380000000001</v>
      </c>
      <c r="P131">
        <v>2.3135829999999999</v>
      </c>
      <c r="Q131">
        <v>2.3050079999999999</v>
      </c>
      <c r="R131">
        <v>2.2963170000000002</v>
      </c>
      <c r="S131">
        <v>2.271652</v>
      </c>
      <c r="T131">
        <v>2.265647</v>
      </c>
      <c r="U131">
        <v>2.2465199999999999</v>
      </c>
      <c r="V131">
        <v>2.2501500000000001</v>
      </c>
      <c r="W131">
        <v>2.2605300000000002</v>
      </c>
      <c r="X131">
        <v>2.271182</v>
      </c>
      <c r="Y131">
        <v>2.275658</v>
      </c>
      <c r="Z131">
        <v>2.278661</v>
      </c>
      <c r="AA131">
        <v>2.28227</v>
      </c>
      <c r="AB131">
        <v>2.2915199999999998</v>
      </c>
      <c r="AC131">
        <v>2.3010579999999998</v>
      </c>
      <c r="AD131">
        <v>2.3056939999999999</v>
      </c>
      <c r="AE131">
        <v>2.3112720000000002</v>
      </c>
      <c r="AF131">
        <v>2.318181</v>
      </c>
      <c r="AG131" s="31">
        <v>5.0000000000000001E-3</v>
      </c>
    </row>
    <row r="132" spans="1:33" x14ac:dyDescent="0.25">
      <c r="A132" t="s">
        <v>153</v>
      </c>
      <c r="B132" t="s">
        <v>886</v>
      </c>
      <c r="C132" t="s">
        <v>848</v>
      </c>
      <c r="D132" t="s">
        <v>73</v>
      </c>
      <c r="F132">
        <v>10.909058999999999</v>
      </c>
      <c r="G132">
        <v>11.046355</v>
      </c>
      <c r="H132">
        <v>10.947666999999999</v>
      </c>
      <c r="I132">
        <v>10.974766000000001</v>
      </c>
      <c r="J132">
        <v>11.033117000000001</v>
      </c>
      <c r="K132">
        <v>11.086684</v>
      </c>
      <c r="L132">
        <v>11.140815999999999</v>
      </c>
      <c r="M132">
        <v>11.216265999999999</v>
      </c>
      <c r="N132">
        <v>11.366199999999999</v>
      </c>
      <c r="O132">
        <v>11.430897</v>
      </c>
      <c r="P132">
        <v>11.48964</v>
      </c>
      <c r="Q132">
        <v>11.526434</v>
      </c>
      <c r="R132">
        <v>11.574482</v>
      </c>
      <c r="S132">
        <v>11.611618</v>
      </c>
      <c r="T132">
        <v>11.694547999999999</v>
      </c>
      <c r="U132">
        <v>11.770512</v>
      </c>
      <c r="V132">
        <v>11.866783</v>
      </c>
      <c r="W132">
        <v>11.937685999999999</v>
      </c>
      <c r="X132">
        <v>12.007522</v>
      </c>
      <c r="Y132">
        <v>12.091576999999999</v>
      </c>
      <c r="Z132">
        <v>12.159283</v>
      </c>
      <c r="AA132">
        <v>12.225676</v>
      </c>
      <c r="AB132">
        <v>12.291905</v>
      </c>
      <c r="AC132">
        <v>12.376996</v>
      </c>
      <c r="AD132">
        <v>12.443548</v>
      </c>
      <c r="AE132">
        <v>12.5002</v>
      </c>
      <c r="AF132">
        <v>12.55209</v>
      </c>
      <c r="AG132" s="31">
        <v>5.0000000000000001E-3</v>
      </c>
    </row>
    <row r="133" spans="1:33" x14ac:dyDescent="0.25">
      <c r="A133" t="s">
        <v>749</v>
      </c>
      <c r="B133" t="s">
        <v>887</v>
      </c>
      <c r="C133" t="s">
        <v>852</v>
      </c>
      <c r="D133" t="s">
        <v>73</v>
      </c>
      <c r="F133">
        <v>0.40095399999999998</v>
      </c>
      <c r="G133">
        <v>0.41178199999999998</v>
      </c>
      <c r="H133">
        <v>0.41543999999999998</v>
      </c>
      <c r="I133">
        <v>0.405144</v>
      </c>
      <c r="J133">
        <v>0.38895600000000002</v>
      </c>
      <c r="K133">
        <v>0.37524600000000002</v>
      </c>
      <c r="L133">
        <v>0.36750500000000003</v>
      </c>
      <c r="M133">
        <v>0.36195500000000003</v>
      </c>
      <c r="N133">
        <v>0.35661399999999999</v>
      </c>
      <c r="O133">
        <v>0.34505599999999997</v>
      </c>
      <c r="P133">
        <v>0.33768500000000001</v>
      </c>
      <c r="Q133">
        <v>0.32989299999999999</v>
      </c>
      <c r="R133">
        <v>0.32179999999999997</v>
      </c>
      <c r="S133">
        <v>0.317131</v>
      </c>
      <c r="T133">
        <v>0.31104300000000001</v>
      </c>
      <c r="U133">
        <v>0.304614</v>
      </c>
      <c r="V133">
        <v>0.30076399999999998</v>
      </c>
      <c r="W133">
        <v>0.29495100000000002</v>
      </c>
      <c r="X133">
        <v>0.288246</v>
      </c>
      <c r="Y133">
        <v>0.283503</v>
      </c>
      <c r="Z133">
        <v>0.27773300000000001</v>
      </c>
      <c r="AA133">
        <v>0.27084599999999998</v>
      </c>
      <c r="AB133">
        <v>0.26340400000000003</v>
      </c>
      <c r="AC133">
        <v>0.25746599999999997</v>
      </c>
      <c r="AD133">
        <v>0.25031700000000001</v>
      </c>
      <c r="AE133">
        <v>0.24273600000000001</v>
      </c>
      <c r="AF133">
        <v>0.235295</v>
      </c>
      <c r="AG133" s="31">
        <v>-0.02</v>
      </c>
    </row>
    <row r="134" spans="1:33" x14ac:dyDescent="0.25">
      <c r="A134" t="s">
        <v>309</v>
      </c>
      <c r="B134" t="s">
        <v>888</v>
      </c>
      <c r="C134" t="s">
        <v>854</v>
      </c>
      <c r="D134" t="s">
        <v>73</v>
      </c>
      <c r="F134">
        <v>0.346719</v>
      </c>
      <c r="G134">
        <v>0.35904599999999998</v>
      </c>
      <c r="H134">
        <v>0.36619400000000002</v>
      </c>
      <c r="I134">
        <v>0.37179899999999999</v>
      </c>
      <c r="J134">
        <v>0.377274</v>
      </c>
      <c r="K134">
        <v>0.37957600000000002</v>
      </c>
      <c r="L134">
        <v>0.38246799999999997</v>
      </c>
      <c r="M134">
        <v>0.38463000000000003</v>
      </c>
      <c r="N134">
        <v>0.38840599999999997</v>
      </c>
      <c r="O134">
        <v>0.38864399999999999</v>
      </c>
      <c r="P134">
        <v>0.38737300000000002</v>
      </c>
      <c r="Q134">
        <v>0.38355</v>
      </c>
      <c r="R134">
        <v>0.37776100000000001</v>
      </c>
      <c r="S134">
        <v>0.37189100000000003</v>
      </c>
      <c r="T134">
        <v>0.366035</v>
      </c>
      <c r="U134">
        <v>0.36093700000000001</v>
      </c>
      <c r="V134">
        <v>0.35692400000000002</v>
      </c>
      <c r="W134">
        <v>0.35333799999999999</v>
      </c>
      <c r="X134">
        <v>0.34936099999999998</v>
      </c>
      <c r="Y134">
        <v>0.34515200000000001</v>
      </c>
      <c r="Z134">
        <v>0.34085399999999999</v>
      </c>
      <c r="AA134">
        <v>0.33666400000000002</v>
      </c>
      <c r="AB134">
        <v>0.33276</v>
      </c>
      <c r="AC134">
        <v>0.32897599999999999</v>
      </c>
      <c r="AD134">
        <v>0.325349</v>
      </c>
      <c r="AE134">
        <v>0.32200000000000001</v>
      </c>
      <c r="AF134">
        <v>0.31792199999999998</v>
      </c>
      <c r="AG134" s="31">
        <v>-3.0000000000000001E-3</v>
      </c>
    </row>
    <row r="135" spans="1:33" x14ac:dyDescent="0.25">
      <c r="A135" t="s">
        <v>165</v>
      </c>
      <c r="B135" t="s">
        <v>889</v>
      </c>
      <c r="C135" t="s">
        <v>856</v>
      </c>
      <c r="D135" t="s">
        <v>73</v>
      </c>
      <c r="F135">
        <v>0.74767300000000003</v>
      </c>
      <c r="G135">
        <v>0.77082899999999999</v>
      </c>
      <c r="H135">
        <v>0.78163400000000005</v>
      </c>
      <c r="I135">
        <v>0.77694300000000005</v>
      </c>
      <c r="J135">
        <v>0.766231</v>
      </c>
      <c r="K135">
        <v>0.75482199999999999</v>
      </c>
      <c r="L135">
        <v>0.749973</v>
      </c>
      <c r="M135">
        <v>0.74658500000000005</v>
      </c>
      <c r="N135">
        <v>0.74501899999999999</v>
      </c>
      <c r="O135">
        <v>0.73370000000000002</v>
      </c>
      <c r="P135">
        <v>0.72505799999999998</v>
      </c>
      <c r="Q135">
        <v>0.71344300000000005</v>
      </c>
      <c r="R135">
        <v>0.69956099999999999</v>
      </c>
      <c r="S135">
        <v>0.68902200000000002</v>
      </c>
      <c r="T135">
        <v>0.67707799999999996</v>
      </c>
      <c r="U135">
        <v>0.66555200000000003</v>
      </c>
      <c r="V135">
        <v>0.65768700000000002</v>
      </c>
      <c r="W135">
        <v>0.64829000000000003</v>
      </c>
      <c r="X135">
        <v>0.63760700000000003</v>
      </c>
      <c r="Y135">
        <v>0.62865599999999999</v>
      </c>
      <c r="Z135">
        <v>0.618587</v>
      </c>
      <c r="AA135">
        <v>0.60751100000000002</v>
      </c>
      <c r="AB135">
        <v>0.59616400000000003</v>
      </c>
      <c r="AC135">
        <v>0.58644200000000002</v>
      </c>
      <c r="AD135">
        <v>0.57566600000000001</v>
      </c>
      <c r="AE135">
        <v>0.56473600000000002</v>
      </c>
      <c r="AF135">
        <v>0.55321699999999996</v>
      </c>
      <c r="AG135" s="31">
        <v>-1.2E-2</v>
      </c>
    </row>
    <row r="136" spans="1:33" x14ac:dyDescent="0.25">
      <c r="A136" t="s">
        <v>168</v>
      </c>
      <c r="B136" t="s">
        <v>890</v>
      </c>
      <c r="C136" t="s">
        <v>858</v>
      </c>
      <c r="D136" t="s">
        <v>73</v>
      </c>
      <c r="F136">
        <v>0.89433099999999999</v>
      </c>
      <c r="G136">
        <v>0.91656800000000005</v>
      </c>
      <c r="H136">
        <v>0.91415800000000003</v>
      </c>
      <c r="I136">
        <v>0.91446300000000003</v>
      </c>
      <c r="J136">
        <v>0.91318200000000005</v>
      </c>
      <c r="K136">
        <v>0.90827199999999997</v>
      </c>
      <c r="L136">
        <v>0.903837</v>
      </c>
      <c r="M136">
        <v>0.89296799999999998</v>
      </c>
      <c r="N136">
        <v>0.88368899999999995</v>
      </c>
      <c r="O136">
        <v>0.86835099999999998</v>
      </c>
      <c r="P136">
        <v>0.85361900000000002</v>
      </c>
      <c r="Q136">
        <v>0.83833000000000002</v>
      </c>
      <c r="R136">
        <v>0.828071</v>
      </c>
      <c r="S136">
        <v>0.81101100000000004</v>
      </c>
      <c r="T136">
        <v>0.79574999999999996</v>
      </c>
      <c r="U136">
        <v>0.78434899999999996</v>
      </c>
      <c r="V136">
        <v>0.78216600000000003</v>
      </c>
      <c r="W136">
        <v>0.77179699999999996</v>
      </c>
      <c r="X136">
        <v>0.76169600000000004</v>
      </c>
      <c r="Y136">
        <v>0.75520600000000004</v>
      </c>
      <c r="Z136">
        <v>0.75332500000000002</v>
      </c>
      <c r="AA136">
        <v>0.75422</v>
      </c>
      <c r="AB136">
        <v>0.75177300000000002</v>
      </c>
      <c r="AC136">
        <v>0.75181600000000004</v>
      </c>
      <c r="AD136">
        <v>0.75012000000000001</v>
      </c>
      <c r="AE136">
        <v>0.75201099999999999</v>
      </c>
      <c r="AF136">
        <v>0.75567499999999999</v>
      </c>
      <c r="AG136" s="31">
        <v>-6.0000000000000001E-3</v>
      </c>
    </row>
    <row r="137" spans="1:33" x14ac:dyDescent="0.25">
      <c r="A137" t="s">
        <v>756</v>
      </c>
      <c r="B137" t="s">
        <v>891</v>
      </c>
      <c r="C137" t="s">
        <v>860</v>
      </c>
      <c r="D137" t="s">
        <v>73</v>
      </c>
      <c r="F137">
        <v>1.404115</v>
      </c>
      <c r="G137">
        <v>1.4243939999999999</v>
      </c>
      <c r="H137">
        <v>1.4469479999999999</v>
      </c>
      <c r="I137">
        <v>1.44554</v>
      </c>
      <c r="J137">
        <v>1.4523870000000001</v>
      </c>
      <c r="K137">
        <v>1.474432</v>
      </c>
      <c r="L137">
        <v>1.4950939999999999</v>
      </c>
      <c r="M137">
        <v>1.518669</v>
      </c>
      <c r="N137">
        <v>1.536608</v>
      </c>
      <c r="O137">
        <v>1.543585</v>
      </c>
      <c r="P137">
        <v>1.5628169999999999</v>
      </c>
      <c r="Q137">
        <v>1.582662</v>
      </c>
      <c r="R137">
        <v>1.614209</v>
      </c>
      <c r="S137">
        <v>1.637877</v>
      </c>
      <c r="T137">
        <v>1.654558</v>
      </c>
      <c r="U137">
        <v>1.6763110000000001</v>
      </c>
      <c r="V137">
        <v>1.692145</v>
      </c>
      <c r="W137">
        <v>1.690858</v>
      </c>
      <c r="X137">
        <v>1.695535</v>
      </c>
      <c r="Y137">
        <v>1.6912590000000001</v>
      </c>
      <c r="Z137">
        <v>1.6968289999999999</v>
      </c>
      <c r="AA137">
        <v>1.7099299999999999</v>
      </c>
      <c r="AB137">
        <v>1.7276590000000001</v>
      </c>
      <c r="AC137">
        <v>1.750516</v>
      </c>
      <c r="AD137">
        <v>1.771954</v>
      </c>
      <c r="AE137">
        <v>1.794454</v>
      </c>
      <c r="AF137">
        <v>1.8138540000000001</v>
      </c>
      <c r="AG137" s="31">
        <v>0.01</v>
      </c>
    </row>
    <row r="138" spans="1:33" x14ac:dyDescent="0.25">
      <c r="A138" t="s">
        <v>289</v>
      </c>
      <c r="B138" t="s">
        <v>892</v>
      </c>
      <c r="C138" t="s">
        <v>862</v>
      </c>
      <c r="D138" t="s">
        <v>73</v>
      </c>
      <c r="F138">
        <v>3.5021949999999999</v>
      </c>
      <c r="G138">
        <v>3.5490620000000002</v>
      </c>
      <c r="H138">
        <v>3.586465</v>
      </c>
      <c r="I138">
        <v>3.610595</v>
      </c>
      <c r="J138">
        <v>3.6292970000000002</v>
      </c>
      <c r="K138">
        <v>3.6584089999999998</v>
      </c>
      <c r="L138">
        <v>3.7075100000000001</v>
      </c>
      <c r="M138">
        <v>3.7654879999999999</v>
      </c>
      <c r="N138">
        <v>3.85005</v>
      </c>
      <c r="O138">
        <v>3.936687</v>
      </c>
      <c r="P138">
        <v>4.0514000000000001</v>
      </c>
      <c r="Q138">
        <v>4.1645690000000002</v>
      </c>
      <c r="R138">
        <v>4.2624490000000002</v>
      </c>
      <c r="S138">
        <v>4.341653</v>
      </c>
      <c r="T138">
        <v>4.40334</v>
      </c>
      <c r="U138">
        <v>4.4636269999999998</v>
      </c>
      <c r="V138">
        <v>4.5341279999999999</v>
      </c>
      <c r="W138">
        <v>4.5966709999999997</v>
      </c>
      <c r="X138">
        <v>4.6534550000000001</v>
      </c>
      <c r="Y138">
        <v>4.7045240000000002</v>
      </c>
      <c r="Z138">
        <v>4.7491779999999997</v>
      </c>
      <c r="AA138">
        <v>4.7937859999999999</v>
      </c>
      <c r="AB138">
        <v>4.8407010000000001</v>
      </c>
      <c r="AC138">
        <v>4.8937970000000002</v>
      </c>
      <c r="AD138">
        <v>4.9370079999999996</v>
      </c>
      <c r="AE138">
        <v>4.9813289999999997</v>
      </c>
      <c r="AF138">
        <v>5.0226870000000003</v>
      </c>
      <c r="AG138" s="31">
        <v>1.4E-2</v>
      </c>
    </row>
    <row r="139" spans="1:33" x14ac:dyDescent="0.25">
      <c r="A139" t="s">
        <v>89</v>
      </c>
      <c r="B139" t="s">
        <v>893</v>
      </c>
      <c r="C139" t="s">
        <v>864</v>
      </c>
      <c r="D139" t="s">
        <v>73</v>
      </c>
      <c r="F139">
        <v>25.933710000000001</v>
      </c>
      <c r="G139">
        <v>26.267320999999999</v>
      </c>
      <c r="H139">
        <v>26.402462</v>
      </c>
      <c r="I139">
        <v>26.497240000000001</v>
      </c>
      <c r="J139">
        <v>26.643349000000001</v>
      </c>
      <c r="K139">
        <v>26.754648</v>
      </c>
      <c r="L139">
        <v>26.928083999999998</v>
      </c>
      <c r="M139">
        <v>27.107189999999999</v>
      </c>
      <c r="N139">
        <v>27.367184999999999</v>
      </c>
      <c r="O139">
        <v>27.496763000000001</v>
      </c>
      <c r="P139">
        <v>27.685687999999999</v>
      </c>
      <c r="Q139">
        <v>27.835940000000001</v>
      </c>
      <c r="R139">
        <v>28.015003</v>
      </c>
      <c r="S139">
        <v>28.137312999999999</v>
      </c>
      <c r="T139">
        <v>28.312293</v>
      </c>
      <c r="U139">
        <v>28.535450000000001</v>
      </c>
      <c r="V139">
        <v>28.810229</v>
      </c>
      <c r="W139">
        <v>28.997826</v>
      </c>
      <c r="X139">
        <v>29.16836</v>
      </c>
      <c r="Y139">
        <v>29.351963999999999</v>
      </c>
      <c r="Z139">
        <v>29.583926000000002</v>
      </c>
      <c r="AA139">
        <v>29.814755999999999</v>
      </c>
      <c r="AB139">
        <v>29.996507000000001</v>
      </c>
      <c r="AC139">
        <v>30.252931</v>
      </c>
      <c r="AD139">
        <v>30.437207999999998</v>
      </c>
      <c r="AE139">
        <v>30.659057000000001</v>
      </c>
      <c r="AF139">
        <v>30.858402999999999</v>
      </c>
      <c r="AG139" s="31">
        <v>7.0000000000000001E-3</v>
      </c>
    </row>
    <row r="140" spans="1:33" x14ac:dyDescent="0.25">
      <c r="A140" t="s">
        <v>894</v>
      </c>
      <c r="B140" t="s">
        <v>895</v>
      </c>
      <c r="C140" t="s">
        <v>866</v>
      </c>
      <c r="D140" t="s">
        <v>73</v>
      </c>
      <c r="F140">
        <v>4.9778209999999996</v>
      </c>
      <c r="G140">
        <v>4.8913489999999999</v>
      </c>
      <c r="H140">
        <v>4.648593</v>
      </c>
      <c r="I140">
        <v>4.5010940000000002</v>
      </c>
      <c r="J140">
        <v>4.4240490000000001</v>
      </c>
      <c r="K140">
        <v>4.381183</v>
      </c>
      <c r="L140">
        <v>4.2615600000000002</v>
      </c>
      <c r="M140">
        <v>4.1898010000000001</v>
      </c>
      <c r="N140">
        <v>4.0067579999999996</v>
      </c>
      <c r="O140">
        <v>3.963597</v>
      </c>
      <c r="P140">
        <v>3.9315950000000002</v>
      </c>
      <c r="Q140">
        <v>3.864004</v>
      </c>
      <c r="R140">
        <v>3.7864719999999998</v>
      </c>
      <c r="S140">
        <v>3.6553550000000001</v>
      </c>
      <c r="T140">
        <v>3.5900400000000001</v>
      </c>
      <c r="U140">
        <v>3.4213439999999999</v>
      </c>
      <c r="V140">
        <v>3.4128970000000001</v>
      </c>
      <c r="W140">
        <v>3.4521929999999998</v>
      </c>
      <c r="X140">
        <v>3.4874849999999999</v>
      </c>
      <c r="Y140">
        <v>3.5012669999999999</v>
      </c>
      <c r="Z140">
        <v>3.515965</v>
      </c>
      <c r="AA140">
        <v>3.509541</v>
      </c>
      <c r="AB140">
        <v>3.5039319999999998</v>
      </c>
      <c r="AC140">
        <v>3.5147040000000001</v>
      </c>
      <c r="AD140">
        <v>3.5279189999999998</v>
      </c>
      <c r="AE140">
        <v>3.5486930000000001</v>
      </c>
      <c r="AF140">
        <v>3.5399280000000002</v>
      </c>
      <c r="AG140" s="31">
        <v>-1.2999999999999999E-2</v>
      </c>
    </row>
    <row r="141" spans="1:33" x14ac:dyDescent="0.25">
      <c r="A141" t="s">
        <v>95</v>
      </c>
      <c r="B141" t="s">
        <v>896</v>
      </c>
      <c r="C141" t="s">
        <v>870</v>
      </c>
      <c r="D141" t="s">
        <v>73</v>
      </c>
      <c r="F141">
        <v>30.911531</v>
      </c>
      <c r="G141">
        <v>31.158670999999998</v>
      </c>
      <c r="H141">
        <v>31.051055000000002</v>
      </c>
      <c r="I141">
        <v>30.998334</v>
      </c>
      <c r="J141">
        <v>31.067399000000002</v>
      </c>
      <c r="K141">
        <v>31.135831</v>
      </c>
      <c r="L141">
        <v>31.189644000000001</v>
      </c>
      <c r="M141">
        <v>31.296991999999999</v>
      </c>
      <c r="N141">
        <v>31.373943000000001</v>
      </c>
      <c r="O141">
        <v>31.460360000000001</v>
      </c>
      <c r="P141">
        <v>31.617283</v>
      </c>
      <c r="Q141">
        <v>31.699943999999999</v>
      </c>
      <c r="R141">
        <v>31.801475</v>
      </c>
      <c r="S141">
        <v>31.792667999999999</v>
      </c>
      <c r="T141">
        <v>31.902332999999999</v>
      </c>
      <c r="U141">
        <v>31.956793999999999</v>
      </c>
      <c r="V141">
        <v>32.223126000000001</v>
      </c>
      <c r="W141">
        <v>32.450018</v>
      </c>
      <c r="X141">
        <v>32.655844999999999</v>
      </c>
      <c r="Y141">
        <v>32.853231000000001</v>
      </c>
      <c r="Z141">
        <v>33.099891</v>
      </c>
      <c r="AA141">
        <v>33.324295999999997</v>
      </c>
      <c r="AB141">
        <v>33.500438000000003</v>
      </c>
      <c r="AC141">
        <v>33.767636000000003</v>
      </c>
      <c r="AD141">
        <v>33.965127000000003</v>
      </c>
      <c r="AE141">
        <v>34.207749999999997</v>
      </c>
      <c r="AF141">
        <v>34.398332000000003</v>
      </c>
      <c r="AG141" s="31">
        <v>4.0000000000000001E-3</v>
      </c>
    </row>
    <row r="142" spans="1:33" x14ac:dyDescent="0.25">
      <c r="A142" s="1" t="s">
        <v>897</v>
      </c>
    </row>
    <row r="143" spans="1:33" x14ac:dyDescent="0.25">
      <c r="A143" t="s">
        <v>898</v>
      </c>
    </row>
    <row r="144" spans="1:33" x14ac:dyDescent="0.25">
      <c r="A144" t="s">
        <v>698</v>
      </c>
      <c r="B144" t="s">
        <v>899</v>
      </c>
      <c r="C144" t="s">
        <v>900</v>
      </c>
      <c r="D144" t="s">
        <v>901</v>
      </c>
      <c r="F144">
        <v>7.4009999999999996E-3</v>
      </c>
      <c r="G144">
        <v>1.3771E-2</v>
      </c>
      <c r="H144">
        <v>1.2909E-2</v>
      </c>
      <c r="I144">
        <v>1.2888999999999999E-2</v>
      </c>
      <c r="J144">
        <v>1.2862E-2</v>
      </c>
      <c r="K144">
        <v>1.2895E-2</v>
      </c>
      <c r="L144">
        <v>1.2905E-2</v>
      </c>
      <c r="M144">
        <v>1.2930000000000001E-2</v>
      </c>
      <c r="N144">
        <v>1.3058E-2</v>
      </c>
      <c r="O144">
        <v>1.3051E-2</v>
      </c>
      <c r="P144">
        <v>1.3032E-2</v>
      </c>
      <c r="Q144">
        <v>1.3044999999999999E-2</v>
      </c>
      <c r="R144">
        <v>1.3081000000000001E-2</v>
      </c>
      <c r="S144">
        <v>1.3135000000000001E-2</v>
      </c>
      <c r="T144">
        <v>1.3176999999999999E-2</v>
      </c>
      <c r="U144">
        <v>1.32E-2</v>
      </c>
      <c r="V144">
        <v>1.3186E-2</v>
      </c>
      <c r="W144">
        <v>1.3143999999999999E-2</v>
      </c>
      <c r="X144">
        <v>1.311E-2</v>
      </c>
      <c r="Y144">
        <v>1.3091E-2</v>
      </c>
      <c r="Z144">
        <v>1.3065E-2</v>
      </c>
      <c r="AA144">
        <v>1.3054E-2</v>
      </c>
      <c r="AB144">
        <v>1.3034E-2</v>
      </c>
      <c r="AC144">
        <v>1.3010000000000001E-2</v>
      </c>
      <c r="AD144">
        <v>1.2996000000000001E-2</v>
      </c>
      <c r="AE144">
        <v>1.2980999999999999E-2</v>
      </c>
      <c r="AF144">
        <v>1.2971E-2</v>
      </c>
      <c r="AG144" s="31">
        <v>2.1999999999999999E-2</v>
      </c>
    </row>
    <row r="145" spans="1:33" x14ac:dyDescent="0.25">
      <c r="A145" t="s">
        <v>701</v>
      </c>
      <c r="B145" t="s">
        <v>902</v>
      </c>
      <c r="C145" t="s">
        <v>903</v>
      </c>
      <c r="D145" t="s">
        <v>901</v>
      </c>
      <c r="F145">
        <v>0.40088699999999999</v>
      </c>
      <c r="G145">
        <v>0.39299499999999998</v>
      </c>
      <c r="H145">
        <v>0.38694800000000001</v>
      </c>
      <c r="I145">
        <v>0.38256600000000002</v>
      </c>
      <c r="J145">
        <v>0.378465</v>
      </c>
      <c r="K145">
        <v>0.37415500000000002</v>
      </c>
      <c r="L145">
        <v>0.37040200000000001</v>
      </c>
      <c r="M145">
        <v>0.367672</v>
      </c>
      <c r="N145">
        <v>0.36433399999999999</v>
      </c>
      <c r="O145">
        <v>0.36257200000000001</v>
      </c>
      <c r="P145">
        <v>0.35924800000000001</v>
      </c>
      <c r="Q145">
        <v>0.35608299999999998</v>
      </c>
      <c r="R145">
        <v>0.35297699999999999</v>
      </c>
      <c r="S145">
        <v>0.34972700000000001</v>
      </c>
      <c r="T145">
        <v>0.34986899999999999</v>
      </c>
      <c r="U145">
        <v>0.35365200000000002</v>
      </c>
      <c r="V145">
        <v>0.35767500000000002</v>
      </c>
      <c r="W145">
        <v>0.36071700000000001</v>
      </c>
      <c r="X145">
        <v>0.36361599999999999</v>
      </c>
      <c r="Y145">
        <v>0.365263</v>
      </c>
      <c r="Z145">
        <v>0.35974600000000001</v>
      </c>
      <c r="AA145">
        <v>0.35301300000000002</v>
      </c>
      <c r="AB145">
        <v>0.35312900000000003</v>
      </c>
      <c r="AC145">
        <v>0.35615799999999997</v>
      </c>
      <c r="AD145">
        <v>0.35763400000000001</v>
      </c>
      <c r="AE145">
        <v>0.35155999999999998</v>
      </c>
      <c r="AF145">
        <v>0.34601900000000002</v>
      </c>
      <c r="AG145" s="31">
        <v>-6.0000000000000001E-3</v>
      </c>
    </row>
    <row r="146" spans="1:33" x14ac:dyDescent="0.25">
      <c r="A146" t="s">
        <v>101</v>
      </c>
      <c r="B146" t="s">
        <v>904</v>
      </c>
      <c r="C146" t="s">
        <v>905</v>
      </c>
      <c r="D146" t="s">
        <v>901</v>
      </c>
      <c r="F146">
        <v>3.2357999999999998E-2</v>
      </c>
      <c r="G146">
        <v>3.2121999999999998E-2</v>
      </c>
      <c r="H146">
        <v>3.1958E-2</v>
      </c>
      <c r="I146">
        <v>3.1983999999999999E-2</v>
      </c>
      <c r="J146">
        <v>3.2119000000000002E-2</v>
      </c>
      <c r="K146">
        <v>3.2307000000000002E-2</v>
      </c>
      <c r="L146">
        <v>3.2426000000000003E-2</v>
      </c>
      <c r="M146">
        <v>3.2522000000000002E-2</v>
      </c>
      <c r="N146">
        <v>3.2543999999999997E-2</v>
      </c>
      <c r="O146">
        <v>3.2571999999999997E-2</v>
      </c>
      <c r="P146">
        <v>3.2474000000000003E-2</v>
      </c>
      <c r="Q146">
        <v>3.2476999999999999E-2</v>
      </c>
      <c r="R146">
        <v>3.2513E-2</v>
      </c>
      <c r="S146">
        <v>3.2446000000000003E-2</v>
      </c>
      <c r="T146">
        <v>3.2384999999999997E-2</v>
      </c>
      <c r="U146">
        <v>3.2295999999999998E-2</v>
      </c>
      <c r="V146">
        <v>3.2185999999999999E-2</v>
      </c>
      <c r="W146">
        <v>3.2077000000000001E-2</v>
      </c>
      <c r="X146">
        <v>3.1995000000000003E-2</v>
      </c>
      <c r="Y146">
        <v>3.1919999999999997E-2</v>
      </c>
      <c r="Z146">
        <v>3.1836000000000003E-2</v>
      </c>
      <c r="AA146">
        <v>3.1828000000000002E-2</v>
      </c>
      <c r="AB146">
        <v>3.1812E-2</v>
      </c>
      <c r="AC146">
        <v>3.1765000000000002E-2</v>
      </c>
      <c r="AD146">
        <v>3.1747999999999998E-2</v>
      </c>
      <c r="AE146">
        <v>3.1734999999999999E-2</v>
      </c>
      <c r="AF146">
        <v>3.1744000000000001E-2</v>
      </c>
      <c r="AG146" s="31">
        <v>-1E-3</v>
      </c>
    </row>
    <row r="147" spans="1:33" x14ac:dyDescent="0.25">
      <c r="A147" t="s">
        <v>74</v>
      </c>
      <c r="B147" t="s">
        <v>906</v>
      </c>
      <c r="C147" t="s">
        <v>907</v>
      </c>
      <c r="D147" t="s">
        <v>901</v>
      </c>
      <c r="F147">
        <v>0.131138</v>
      </c>
      <c r="G147">
        <v>0.12970400000000001</v>
      </c>
      <c r="H147">
        <v>0.12892899999999999</v>
      </c>
      <c r="I147">
        <v>0.128827</v>
      </c>
      <c r="J147">
        <v>0.12920699999999999</v>
      </c>
      <c r="K147">
        <v>0.12981200000000001</v>
      </c>
      <c r="L147">
        <v>0.13015399999999999</v>
      </c>
      <c r="M147">
        <v>0.13064300000000001</v>
      </c>
      <c r="N147">
        <v>0.13092200000000001</v>
      </c>
      <c r="O147">
        <v>0.13111400000000001</v>
      </c>
      <c r="P147">
        <v>0.13095100000000001</v>
      </c>
      <c r="Q147">
        <v>0.13103600000000001</v>
      </c>
      <c r="R147">
        <v>0.13111900000000001</v>
      </c>
      <c r="S147">
        <v>0.13100999999999999</v>
      </c>
      <c r="T147">
        <v>0.13089100000000001</v>
      </c>
      <c r="U147">
        <v>0.130551</v>
      </c>
      <c r="V147">
        <v>0.13011800000000001</v>
      </c>
      <c r="W147">
        <v>0.12962399999999999</v>
      </c>
      <c r="X147">
        <v>0.12912399999999999</v>
      </c>
      <c r="Y147">
        <v>0.128775</v>
      </c>
      <c r="Z147">
        <v>0.12836</v>
      </c>
      <c r="AA147">
        <v>0.128079</v>
      </c>
      <c r="AB147">
        <v>0.12782099999999999</v>
      </c>
      <c r="AC147">
        <v>0.12746299999999999</v>
      </c>
      <c r="AD147">
        <v>0.12711700000000001</v>
      </c>
      <c r="AE147">
        <v>0.12687000000000001</v>
      </c>
      <c r="AF147">
        <v>0.12670300000000001</v>
      </c>
      <c r="AG147" s="31">
        <v>-1E-3</v>
      </c>
    </row>
    <row r="148" spans="1:33" x14ac:dyDescent="0.25">
      <c r="A148" t="s">
        <v>109</v>
      </c>
      <c r="B148" t="s">
        <v>908</v>
      </c>
      <c r="C148" t="s">
        <v>909</v>
      </c>
      <c r="D148" t="s">
        <v>901</v>
      </c>
      <c r="F148">
        <v>4.7359999999999998E-3</v>
      </c>
      <c r="G148">
        <v>4.7270000000000003E-3</v>
      </c>
      <c r="H148">
        <v>4.5719999999999997E-3</v>
      </c>
      <c r="I148">
        <v>4.385E-3</v>
      </c>
      <c r="J148">
        <v>4.1989999999999996E-3</v>
      </c>
      <c r="K148">
        <v>4.0080000000000003E-3</v>
      </c>
      <c r="L148">
        <v>3.8400000000000001E-3</v>
      </c>
      <c r="M148">
        <v>3.7230000000000002E-3</v>
      </c>
      <c r="N148">
        <v>3.6480000000000002E-3</v>
      </c>
      <c r="O148">
        <v>3.5799999999999998E-3</v>
      </c>
      <c r="P148">
        <v>3.5119999999999999E-3</v>
      </c>
      <c r="Q148">
        <v>3.4359999999999998E-3</v>
      </c>
      <c r="R148">
        <v>3.356E-3</v>
      </c>
      <c r="S148">
        <v>3.2750000000000001E-3</v>
      </c>
      <c r="T148">
        <v>3.2000000000000002E-3</v>
      </c>
      <c r="U148">
        <v>3.13E-3</v>
      </c>
      <c r="V148">
        <v>3.0699999999999998E-3</v>
      </c>
      <c r="W148">
        <v>3.0200000000000001E-3</v>
      </c>
      <c r="X148">
        <v>2.9680000000000002E-3</v>
      </c>
      <c r="Y148">
        <v>2.9220000000000001E-3</v>
      </c>
      <c r="Z148">
        <v>2.8809999999999999E-3</v>
      </c>
      <c r="AA148">
        <v>2.8389999999999999E-3</v>
      </c>
      <c r="AB148">
        <v>2.784E-3</v>
      </c>
      <c r="AC148">
        <v>2.735E-3</v>
      </c>
      <c r="AD148">
        <v>2.6870000000000002E-3</v>
      </c>
      <c r="AE148">
        <v>2.64E-3</v>
      </c>
      <c r="AF148">
        <v>2.5829999999999998E-3</v>
      </c>
      <c r="AG148" s="31">
        <v>-2.3E-2</v>
      </c>
    </row>
    <row r="149" spans="1:33" x14ac:dyDescent="0.25">
      <c r="A149" t="s">
        <v>140</v>
      </c>
      <c r="B149" t="s">
        <v>910</v>
      </c>
      <c r="C149" t="s">
        <v>911</v>
      </c>
      <c r="D149" t="s">
        <v>901</v>
      </c>
      <c r="F149">
        <v>4.4922999999999998E-2</v>
      </c>
      <c r="G149">
        <v>3.9976999999999999E-2</v>
      </c>
      <c r="H149">
        <v>6.0949000000000003E-2</v>
      </c>
      <c r="I149">
        <v>6.0194999999999999E-2</v>
      </c>
      <c r="J149">
        <v>5.9457999999999997E-2</v>
      </c>
      <c r="K149">
        <v>5.8708999999999997E-2</v>
      </c>
      <c r="L149">
        <v>5.8069999999999997E-2</v>
      </c>
      <c r="M149">
        <v>5.7625999999999997E-2</v>
      </c>
      <c r="N149">
        <v>5.7105000000000003E-2</v>
      </c>
      <c r="O149">
        <v>5.6813000000000002E-2</v>
      </c>
      <c r="P149">
        <v>5.6357999999999998E-2</v>
      </c>
      <c r="Q149">
        <v>5.5932999999999997E-2</v>
      </c>
      <c r="R149">
        <v>5.5494000000000002E-2</v>
      </c>
      <c r="S149">
        <v>5.5079999999999997E-2</v>
      </c>
      <c r="T149">
        <v>5.4654000000000001E-2</v>
      </c>
      <c r="U149">
        <v>5.4205999999999997E-2</v>
      </c>
      <c r="V149">
        <v>5.3710000000000001E-2</v>
      </c>
      <c r="W149">
        <v>5.3293E-2</v>
      </c>
      <c r="X149">
        <v>5.2837000000000002E-2</v>
      </c>
      <c r="Y149">
        <v>5.2467E-2</v>
      </c>
      <c r="Z149">
        <v>6.5838999999999995E-2</v>
      </c>
      <c r="AA149">
        <v>7.8955999999999998E-2</v>
      </c>
      <c r="AB149">
        <v>7.8197000000000003E-2</v>
      </c>
      <c r="AC149">
        <v>7.7396000000000006E-2</v>
      </c>
      <c r="AD149">
        <v>7.6680999999999999E-2</v>
      </c>
      <c r="AE149">
        <v>8.7013999999999994E-2</v>
      </c>
      <c r="AF149">
        <v>9.7283999999999995E-2</v>
      </c>
      <c r="AG149" s="31">
        <v>0.03</v>
      </c>
    </row>
    <row r="150" spans="1:33" x14ac:dyDescent="0.25">
      <c r="A150" t="s">
        <v>726</v>
      </c>
      <c r="B150" t="s">
        <v>912</v>
      </c>
      <c r="C150" t="s">
        <v>913</v>
      </c>
      <c r="D150" t="s">
        <v>901</v>
      </c>
      <c r="F150">
        <v>5.6325E-2</v>
      </c>
      <c r="G150">
        <v>5.7431999999999997E-2</v>
      </c>
      <c r="H150">
        <v>5.7329999999999999E-2</v>
      </c>
      <c r="I150">
        <v>5.6580999999999999E-2</v>
      </c>
      <c r="J150">
        <v>5.5799000000000001E-2</v>
      </c>
      <c r="K150">
        <v>5.4813000000000001E-2</v>
      </c>
      <c r="L150">
        <v>5.4012999999999999E-2</v>
      </c>
      <c r="M150">
        <v>5.3199999999999997E-2</v>
      </c>
      <c r="N150">
        <v>5.1721000000000003E-2</v>
      </c>
      <c r="O150">
        <v>5.1237999999999999E-2</v>
      </c>
      <c r="P150">
        <v>5.0555999999999997E-2</v>
      </c>
      <c r="Q150">
        <v>4.9502999999999998E-2</v>
      </c>
      <c r="R150">
        <v>4.9016999999999998E-2</v>
      </c>
      <c r="S150">
        <v>4.8325E-2</v>
      </c>
      <c r="T150">
        <v>4.7049000000000001E-2</v>
      </c>
      <c r="U150">
        <v>4.6470999999999998E-2</v>
      </c>
      <c r="V150">
        <v>4.6399999999999997E-2</v>
      </c>
      <c r="W150">
        <v>4.5441000000000002E-2</v>
      </c>
      <c r="X150">
        <v>4.4276999999999997E-2</v>
      </c>
      <c r="Y150">
        <v>4.4594000000000002E-2</v>
      </c>
      <c r="Z150">
        <v>4.4123999999999997E-2</v>
      </c>
      <c r="AA150">
        <v>4.36E-2</v>
      </c>
      <c r="AB150">
        <v>4.3158000000000002E-2</v>
      </c>
      <c r="AC150">
        <v>4.3104999999999997E-2</v>
      </c>
      <c r="AD150">
        <v>4.2834999999999998E-2</v>
      </c>
      <c r="AE150">
        <v>4.1946999999999998E-2</v>
      </c>
      <c r="AF150">
        <v>4.1418999999999997E-2</v>
      </c>
      <c r="AG150" s="31">
        <v>-1.2E-2</v>
      </c>
    </row>
    <row r="151" spans="1:33" x14ac:dyDescent="0.25">
      <c r="A151" t="s">
        <v>662</v>
      </c>
      <c r="B151" t="s">
        <v>914</v>
      </c>
      <c r="C151" t="s">
        <v>915</v>
      </c>
      <c r="D151" t="s">
        <v>901</v>
      </c>
      <c r="F151">
        <v>0.10098</v>
      </c>
      <c r="G151">
        <v>9.8903000000000005E-2</v>
      </c>
      <c r="H151">
        <v>9.8200999999999997E-2</v>
      </c>
      <c r="I151">
        <v>9.8853999999999997E-2</v>
      </c>
      <c r="J151">
        <v>9.7880999999999996E-2</v>
      </c>
      <c r="K151">
        <v>9.7296999999999995E-2</v>
      </c>
      <c r="L151">
        <v>9.6987000000000004E-2</v>
      </c>
      <c r="M151">
        <v>9.6853999999999996E-2</v>
      </c>
      <c r="N151">
        <v>9.5625000000000002E-2</v>
      </c>
      <c r="O151">
        <v>9.5326999999999995E-2</v>
      </c>
      <c r="P151">
        <v>9.4707E-2</v>
      </c>
      <c r="Q151">
        <v>9.4382999999999995E-2</v>
      </c>
      <c r="R151">
        <v>9.4036999999999996E-2</v>
      </c>
      <c r="S151">
        <v>9.3591999999999995E-2</v>
      </c>
      <c r="T151">
        <v>9.3142000000000003E-2</v>
      </c>
      <c r="U151">
        <v>9.2683000000000001E-2</v>
      </c>
      <c r="V151">
        <v>9.2133999999999994E-2</v>
      </c>
      <c r="W151">
        <v>9.1600000000000001E-2</v>
      </c>
      <c r="X151">
        <v>9.0869000000000005E-2</v>
      </c>
      <c r="Y151">
        <v>9.0401999999999996E-2</v>
      </c>
      <c r="Z151">
        <v>8.9776999999999996E-2</v>
      </c>
      <c r="AA151">
        <v>8.9233000000000007E-2</v>
      </c>
      <c r="AB151">
        <v>8.8739999999999999E-2</v>
      </c>
      <c r="AC151">
        <v>8.7899000000000005E-2</v>
      </c>
      <c r="AD151">
        <v>8.7123999999999993E-2</v>
      </c>
      <c r="AE151">
        <v>8.6305999999999994E-2</v>
      </c>
      <c r="AF151">
        <v>8.5531999999999997E-2</v>
      </c>
      <c r="AG151" s="31">
        <v>-6.0000000000000001E-3</v>
      </c>
    </row>
    <row r="152" spans="1:33" x14ac:dyDescent="0.25">
      <c r="A152" t="s">
        <v>778</v>
      </c>
      <c r="B152" t="s">
        <v>916</v>
      </c>
      <c r="C152" t="s">
        <v>917</v>
      </c>
      <c r="D152" t="s">
        <v>901</v>
      </c>
      <c r="F152">
        <v>0.16001299999999999</v>
      </c>
      <c r="G152">
        <v>0.15664700000000001</v>
      </c>
      <c r="H152">
        <v>0.14638999999999999</v>
      </c>
      <c r="I152">
        <v>0.144233</v>
      </c>
      <c r="J152">
        <v>0.14576</v>
      </c>
      <c r="K152">
        <v>0.141233</v>
      </c>
      <c r="L152">
        <v>0.14147599999999999</v>
      </c>
      <c r="M152">
        <v>0.14075599999999999</v>
      </c>
      <c r="N152">
        <v>0.13955899999999999</v>
      </c>
      <c r="O152">
        <v>0.13648099999999999</v>
      </c>
      <c r="P152">
        <v>0.135523</v>
      </c>
      <c r="Q152">
        <v>0.133164</v>
      </c>
      <c r="R152">
        <v>0.13328799999999999</v>
      </c>
      <c r="S152">
        <v>0.13239699999999999</v>
      </c>
      <c r="T152">
        <v>0.131466</v>
      </c>
      <c r="U152">
        <v>0.130827</v>
      </c>
      <c r="V152">
        <v>0.13008700000000001</v>
      </c>
      <c r="W152">
        <v>0.12932099999999999</v>
      </c>
      <c r="X152">
        <v>0.12669800000000001</v>
      </c>
      <c r="Y152">
        <v>0.12725</v>
      </c>
      <c r="Z152">
        <v>0.125911</v>
      </c>
      <c r="AA152">
        <v>0.124808</v>
      </c>
      <c r="AB152">
        <v>0.124099</v>
      </c>
      <c r="AC152">
        <v>0.123754</v>
      </c>
      <c r="AD152">
        <v>0.122152</v>
      </c>
      <c r="AE152">
        <v>0.120723</v>
      </c>
      <c r="AF152">
        <v>0.11852600000000001</v>
      </c>
      <c r="AG152" s="31">
        <v>-1.0999999999999999E-2</v>
      </c>
    </row>
    <row r="153" spans="1:33" x14ac:dyDescent="0.25">
      <c r="A153" t="s">
        <v>731</v>
      </c>
      <c r="B153" t="s">
        <v>918</v>
      </c>
      <c r="C153" t="s">
        <v>919</v>
      </c>
      <c r="D153" t="s">
        <v>901</v>
      </c>
      <c r="F153">
        <v>3.6291999999999998E-2</v>
      </c>
      <c r="G153">
        <v>3.7694999999999999E-2</v>
      </c>
      <c r="H153">
        <v>3.8757E-2</v>
      </c>
      <c r="I153">
        <v>3.9863999999999997E-2</v>
      </c>
      <c r="J153">
        <v>4.0883999999999997E-2</v>
      </c>
      <c r="K153">
        <v>4.1806999999999997E-2</v>
      </c>
      <c r="L153">
        <v>4.2658000000000001E-2</v>
      </c>
      <c r="M153">
        <v>4.3605999999999999E-2</v>
      </c>
      <c r="N153">
        <v>4.4437999999999998E-2</v>
      </c>
      <c r="O153">
        <v>4.5225000000000001E-2</v>
      </c>
      <c r="P153">
        <v>4.6181E-2</v>
      </c>
      <c r="Q153">
        <v>4.7275999999999999E-2</v>
      </c>
      <c r="R153">
        <v>4.6861E-2</v>
      </c>
      <c r="S153">
        <v>4.6940000000000003E-2</v>
      </c>
      <c r="T153">
        <v>4.7156999999999998E-2</v>
      </c>
      <c r="U153">
        <v>4.7241999999999999E-2</v>
      </c>
      <c r="V153">
        <v>4.7405000000000003E-2</v>
      </c>
      <c r="W153">
        <v>4.7992E-2</v>
      </c>
      <c r="X153">
        <v>4.8744000000000003E-2</v>
      </c>
      <c r="Y153">
        <v>4.7726999999999999E-2</v>
      </c>
      <c r="Z153">
        <v>4.7771000000000001E-2</v>
      </c>
      <c r="AA153">
        <v>4.7308000000000003E-2</v>
      </c>
      <c r="AB153">
        <v>4.7176999999999997E-2</v>
      </c>
      <c r="AC153">
        <v>4.7015000000000001E-2</v>
      </c>
      <c r="AD153">
        <v>4.6886999999999998E-2</v>
      </c>
      <c r="AE153">
        <v>4.6759000000000002E-2</v>
      </c>
      <c r="AF153">
        <v>4.657E-2</v>
      </c>
      <c r="AG153" s="31">
        <v>0.01</v>
      </c>
    </row>
    <row r="154" spans="1:33" x14ac:dyDescent="0.25">
      <c r="A154" t="s">
        <v>77</v>
      </c>
      <c r="B154" t="s">
        <v>920</v>
      </c>
      <c r="C154" t="s">
        <v>921</v>
      </c>
      <c r="D154" t="s">
        <v>901</v>
      </c>
      <c r="F154">
        <v>0.97505200000000003</v>
      </c>
      <c r="G154">
        <v>0.963974</v>
      </c>
      <c r="H154">
        <v>0.966943</v>
      </c>
      <c r="I154">
        <v>0.96037700000000004</v>
      </c>
      <c r="J154">
        <v>0.95663299999999996</v>
      </c>
      <c r="K154">
        <v>0.94703599999999999</v>
      </c>
      <c r="L154">
        <v>0.94292799999999999</v>
      </c>
      <c r="M154">
        <v>0.93953299999999995</v>
      </c>
      <c r="N154">
        <v>0.93295300000000003</v>
      </c>
      <c r="O154">
        <v>0.92797200000000002</v>
      </c>
      <c r="P154">
        <v>0.92254199999999997</v>
      </c>
      <c r="Q154">
        <v>0.91633600000000004</v>
      </c>
      <c r="R154">
        <v>0.911744</v>
      </c>
      <c r="S154">
        <v>0.90592700000000004</v>
      </c>
      <c r="T154">
        <v>0.90298900000000004</v>
      </c>
      <c r="U154">
        <v>0.90425800000000001</v>
      </c>
      <c r="V154">
        <v>0.90597099999999997</v>
      </c>
      <c r="W154">
        <v>0.90622899999999995</v>
      </c>
      <c r="X154">
        <v>0.90423699999999996</v>
      </c>
      <c r="Y154">
        <v>0.90441099999999996</v>
      </c>
      <c r="Z154">
        <v>0.90930999999999995</v>
      </c>
      <c r="AA154">
        <v>0.91271899999999995</v>
      </c>
      <c r="AB154">
        <v>0.90995000000000004</v>
      </c>
      <c r="AC154">
        <v>0.91030100000000003</v>
      </c>
      <c r="AD154">
        <v>0.90785899999999997</v>
      </c>
      <c r="AE154">
        <v>0.90853499999999998</v>
      </c>
      <c r="AF154">
        <v>0.90934999999999999</v>
      </c>
      <c r="AG154" s="31">
        <v>-3.0000000000000001E-3</v>
      </c>
    </row>
    <row r="155" spans="1:33" x14ac:dyDescent="0.25">
      <c r="A155" t="s">
        <v>736</v>
      </c>
      <c r="B155" t="s">
        <v>922</v>
      </c>
      <c r="C155" t="s">
        <v>923</v>
      </c>
      <c r="D155" t="s">
        <v>901</v>
      </c>
      <c r="F155">
        <v>0.88487199999999999</v>
      </c>
      <c r="G155">
        <v>0.87516899999999997</v>
      </c>
      <c r="H155">
        <v>0.83848199999999995</v>
      </c>
      <c r="I155">
        <v>0.82950699999999999</v>
      </c>
      <c r="J155">
        <v>0.820685</v>
      </c>
      <c r="K155">
        <v>0.81283099999999997</v>
      </c>
      <c r="L155">
        <v>0.80619700000000005</v>
      </c>
      <c r="M155">
        <v>0.80398899999999995</v>
      </c>
      <c r="N155">
        <v>0.79680200000000001</v>
      </c>
      <c r="O155">
        <v>0.790879</v>
      </c>
      <c r="P155">
        <v>0.78179500000000002</v>
      </c>
      <c r="Q155">
        <v>0.77361999999999997</v>
      </c>
      <c r="R155">
        <v>0.76689700000000005</v>
      </c>
      <c r="S155">
        <v>0.76111300000000004</v>
      </c>
      <c r="T155">
        <v>0.75810299999999997</v>
      </c>
      <c r="U155">
        <v>0.75575300000000001</v>
      </c>
      <c r="V155">
        <v>0.75278500000000004</v>
      </c>
      <c r="W155">
        <v>0.74830399999999997</v>
      </c>
      <c r="X155">
        <v>0.74361999999999995</v>
      </c>
      <c r="Y155">
        <v>0.74199899999999996</v>
      </c>
      <c r="Z155">
        <v>0.73814599999999997</v>
      </c>
      <c r="AA155">
        <v>0.73405200000000004</v>
      </c>
      <c r="AB155">
        <v>0.72943500000000006</v>
      </c>
      <c r="AC155">
        <v>0.72649200000000003</v>
      </c>
      <c r="AD155">
        <v>0.72309400000000001</v>
      </c>
      <c r="AE155">
        <v>0.71869099999999997</v>
      </c>
      <c r="AF155">
        <v>0.71447400000000005</v>
      </c>
      <c r="AG155" s="31">
        <v>-8.0000000000000002E-3</v>
      </c>
    </row>
    <row r="156" spans="1:33" x14ac:dyDescent="0.25">
      <c r="A156" t="s">
        <v>924</v>
      </c>
      <c r="B156" t="s">
        <v>925</v>
      </c>
      <c r="C156" t="s">
        <v>926</v>
      </c>
      <c r="D156" t="s">
        <v>901</v>
      </c>
      <c r="F156">
        <v>0.13474700000000001</v>
      </c>
      <c r="G156">
        <v>0.137684</v>
      </c>
      <c r="H156">
        <v>0.13627600000000001</v>
      </c>
      <c r="I156">
        <v>0.135183</v>
      </c>
      <c r="J156">
        <v>0.13356699999999999</v>
      </c>
      <c r="K156">
        <v>0.132911</v>
      </c>
      <c r="L156">
        <v>0.133767</v>
      </c>
      <c r="M156">
        <v>0.137269</v>
      </c>
      <c r="N156">
        <v>0.14601700000000001</v>
      </c>
      <c r="O156">
        <v>0.152424</v>
      </c>
      <c r="P156">
        <v>0.15846499999999999</v>
      </c>
      <c r="Q156">
        <v>0.16416700000000001</v>
      </c>
      <c r="R156">
        <v>0.16925699999999999</v>
      </c>
      <c r="S156">
        <v>0.17424000000000001</v>
      </c>
      <c r="T156">
        <v>0.17885999999999999</v>
      </c>
      <c r="U156">
        <v>0.18289</v>
      </c>
      <c r="V156">
        <v>0.18632199999999999</v>
      </c>
      <c r="W156">
        <v>0.18937999999999999</v>
      </c>
      <c r="X156">
        <v>0.191723</v>
      </c>
      <c r="Y156">
        <v>0.194386</v>
      </c>
      <c r="Z156">
        <v>0.19708899999999999</v>
      </c>
      <c r="AA156">
        <v>0.199296</v>
      </c>
      <c r="AB156">
        <v>0.20023199999999999</v>
      </c>
      <c r="AC156">
        <v>0.20060800000000001</v>
      </c>
      <c r="AD156">
        <v>0.20107800000000001</v>
      </c>
      <c r="AE156">
        <v>0.20091000000000001</v>
      </c>
      <c r="AF156">
        <v>0.20141300000000001</v>
      </c>
      <c r="AG156" s="31">
        <v>1.6E-2</v>
      </c>
    </row>
    <row r="157" spans="1:33" x14ac:dyDescent="0.25">
      <c r="A157" t="s">
        <v>150</v>
      </c>
      <c r="B157" t="s">
        <v>927</v>
      </c>
      <c r="C157" t="s">
        <v>928</v>
      </c>
      <c r="D157" t="s">
        <v>901</v>
      </c>
      <c r="F157">
        <v>0.23527500000000001</v>
      </c>
      <c r="G157">
        <v>0.231103</v>
      </c>
      <c r="H157">
        <v>0.238429</v>
      </c>
      <c r="I157">
        <v>0.23644899999999999</v>
      </c>
      <c r="J157">
        <v>0.238479</v>
      </c>
      <c r="K157">
        <v>0.23769599999999999</v>
      </c>
      <c r="L157">
        <v>0.23629500000000001</v>
      </c>
      <c r="M157">
        <v>0.23391799999999999</v>
      </c>
      <c r="N157">
        <v>0.23730399999999999</v>
      </c>
      <c r="O157">
        <v>0.23747299999999999</v>
      </c>
      <c r="P157">
        <v>0.23707</v>
      </c>
      <c r="Q157">
        <v>0.23441100000000001</v>
      </c>
      <c r="R157">
        <v>0.23169500000000001</v>
      </c>
      <c r="S157">
        <v>0.227495</v>
      </c>
      <c r="T157">
        <v>0.22514000000000001</v>
      </c>
      <c r="U157">
        <v>0.22140699999999999</v>
      </c>
      <c r="V157">
        <v>0.21973699999999999</v>
      </c>
      <c r="W157">
        <v>0.21903800000000001</v>
      </c>
      <c r="X157">
        <v>0.21818599999999999</v>
      </c>
      <c r="Y157">
        <v>0.217085</v>
      </c>
      <c r="Z157">
        <v>0.21568300000000001</v>
      </c>
      <c r="AA157">
        <v>0.214228</v>
      </c>
      <c r="AB157">
        <v>0.21302699999999999</v>
      </c>
      <c r="AC157">
        <v>0.21172299999999999</v>
      </c>
      <c r="AD157">
        <v>0.21018800000000001</v>
      </c>
      <c r="AE157">
        <v>0.20860400000000001</v>
      </c>
      <c r="AF157">
        <v>0.20746600000000001</v>
      </c>
      <c r="AG157" s="31">
        <v>-5.0000000000000001E-3</v>
      </c>
    </row>
    <row r="158" spans="1:33" x14ac:dyDescent="0.25">
      <c r="A158" t="s">
        <v>153</v>
      </c>
      <c r="B158" t="s">
        <v>929</v>
      </c>
      <c r="C158" t="s">
        <v>930</v>
      </c>
      <c r="D158" t="s">
        <v>901</v>
      </c>
      <c r="F158">
        <v>1.254893</v>
      </c>
      <c r="G158">
        <v>1.2439560000000001</v>
      </c>
      <c r="H158">
        <v>1.213187</v>
      </c>
      <c r="I158">
        <v>1.201139</v>
      </c>
      <c r="J158">
        <v>1.192731</v>
      </c>
      <c r="K158">
        <v>1.1834370000000001</v>
      </c>
      <c r="L158">
        <v>1.176258</v>
      </c>
      <c r="M158">
        <v>1.175176</v>
      </c>
      <c r="N158">
        <v>1.1801219999999999</v>
      </c>
      <c r="O158">
        <v>1.180776</v>
      </c>
      <c r="P158">
        <v>1.1773290000000001</v>
      </c>
      <c r="Q158">
        <v>1.1721980000000001</v>
      </c>
      <c r="R158">
        <v>1.1678500000000001</v>
      </c>
      <c r="S158">
        <v>1.1628480000000001</v>
      </c>
      <c r="T158">
        <v>1.1621030000000001</v>
      </c>
      <c r="U158">
        <v>1.1600509999999999</v>
      </c>
      <c r="V158">
        <v>1.158844</v>
      </c>
      <c r="W158">
        <v>1.156722</v>
      </c>
      <c r="X158">
        <v>1.1535280000000001</v>
      </c>
      <c r="Y158">
        <v>1.15347</v>
      </c>
      <c r="Z158">
        <v>1.1509180000000001</v>
      </c>
      <c r="AA158">
        <v>1.1475759999999999</v>
      </c>
      <c r="AB158">
        <v>1.142693</v>
      </c>
      <c r="AC158">
        <v>1.1388229999999999</v>
      </c>
      <c r="AD158">
        <v>1.13436</v>
      </c>
      <c r="AE158">
        <v>1.1282049999999999</v>
      </c>
      <c r="AF158">
        <v>1.1233519999999999</v>
      </c>
      <c r="AG158" s="31">
        <v>-4.0000000000000001E-3</v>
      </c>
    </row>
    <row r="159" spans="1:33" x14ac:dyDescent="0.25">
      <c r="A159" t="s">
        <v>749</v>
      </c>
      <c r="B159" t="s">
        <v>931</v>
      </c>
      <c r="C159" t="s">
        <v>932</v>
      </c>
      <c r="D159" t="s">
        <v>901</v>
      </c>
      <c r="F159">
        <v>4.6122999999999997E-2</v>
      </c>
      <c r="G159">
        <v>4.6371999999999997E-2</v>
      </c>
      <c r="H159">
        <v>4.6038000000000003E-2</v>
      </c>
      <c r="I159">
        <v>4.4340999999999998E-2</v>
      </c>
      <c r="J159">
        <v>4.2048000000000002E-2</v>
      </c>
      <c r="K159">
        <v>4.0055E-2</v>
      </c>
      <c r="L159">
        <v>3.8802000000000003E-2</v>
      </c>
      <c r="M159">
        <v>3.7923999999999999E-2</v>
      </c>
      <c r="N159">
        <v>3.7026000000000003E-2</v>
      </c>
      <c r="O159">
        <v>3.5643000000000001E-2</v>
      </c>
      <c r="P159">
        <v>3.4602000000000001E-2</v>
      </c>
      <c r="Q159">
        <v>3.3549000000000002E-2</v>
      </c>
      <c r="R159">
        <v>3.2468999999999998E-2</v>
      </c>
      <c r="S159">
        <v>3.1759000000000003E-2</v>
      </c>
      <c r="T159">
        <v>3.0908999999999999E-2</v>
      </c>
      <c r="U159">
        <v>3.0020999999999999E-2</v>
      </c>
      <c r="V159">
        <v>2.9371000000000001E-2</v>
      </c>
      <c r="W159">
        <v>2.8580000000000001E-2</v>
      </c>
      <c r="X159">
        <v>2.7691E-2</v>
      </c>
      <c r="Y159">
        <v>2.7045E-2</v>
      </c>
      <c r="Z159">
        <v>2.6287999999999999E-2</v>
      </c>
      <c r="AA159">
        <v>2.5423000000000001E-2</v>
      </c>
      <c r="AB159">
        <v>2.4486999999999998E-2</v>
      </c>
      <c r="AC159">
        <v>2.3689999999999999E-2</v>
      </c>
      <c r="AD159">
        <v>2.2818999999999999E-2</v>
      </c>
      <c r="AE159">
        <v>2.1908E-2</v>
      </c>
      <c r="AF159">
        <v>2.1058E-2</v>
      </c>
      <c r="AG159" s="31">
        <v>-0.03</v>
      </c>
    </row>
    <row r="160" spans="1:33" x14ac:dyDescent="0.25">
      <c r="A160" t="s">
        <v>309</v>
      </c>
      <c r="B160" t="s">
        <v>933</v>
      </c>
      <c r="C160" t="s">
        <v>934</v>
      </c>
      <c r="D160" t="s">
        <v>901</v>
      </c>
      <c r="F160">
        <v>3.9884000000000003E-2</v>
      </c>
      <c r="G160">
        <v>4.0432999999999997E-2</v>
      </c>
      <c r="H160">
        <v>4.0579999999999998E-2</v>
      </c>
      <c r="I160">
        <v>4.0691999999999999E-2</v>
      </c>
      <c r="J160">
        <v>4.0785000000000002E-2</v>
      </c>
      <c r="K160">
        <v>4.0516999999999997E-2</v>
      </c>
      <c r="L160">
        <v>4.0381E-2</v>
      </c>
      <c r="M160">
        <v>4.0299000000000001E-2</v>
      </c>
      <c r="N160">
        <v>4.0327000000000002E-2</v>
      </c>
      <c r="O160">
        <v>4.0146000000000001E-2</v>
      </c>
      <c r="P160">
        <v>3.9694E-2</v>
      </c>
      <c r="Q160">
        <v>3.9005999999999999E-2</v>
      </c>
      <c r="R160">
        <v>3.8115999999999997E-2</v>
      </c>
      <c r="S160">
        <v>3.7242999999999998E-2</v>
      </c>
      <c r="T160">
        <v>3.6373000000000003E-2</v>
      </c>
      <c r="U160">
        <v>3.5571999999999999E-2</v>
      </c>
      <c r="V160">
        <v>3.4854999999999997E-2</v>
      </c>
      <c r="W160">
        <v>3.4236999999999997E-2</v>
      </c>
      <c r="X160">
        <v>3.3562000000000002E-2</v>
      </c>
      <c r="Y160">
        <v>3.2925999999999997E-2</v>
      </c>
      <c r="Z160">
        <v>3.2263E-2</v>
      </c>
      <c r="AA160">
        <v>3.1600999999999997E-2</v>
      </c>
      <c r="AB160">
        <v>3.0934E-2</v>
      </c>
      <c r="AC160">
        <v>3.0269999999999998E-2</v>
      </c>
      <c r="AD160">
        <v>2.9659000000000001E-2</v>
      </c>
      <c r="AE160">
        <v>2.9062000000000001E-2</v>
      </c>
      <c r="AF160">
        <v>2.8452999999999999E-2</v>
      </c>
      <c r="AG160" s="31">
        <v>-1.2999999999999999E-2</v>
      </c>
    </row>
    <row r="161" spans="1:33" x14ac:dyDescent="0.25">
      <c r="A161" t="s">
        <v>165</v>
      </c>
      <c r="B161" t="s">
        <v>935</v>
      </c>
      <c r="C161" t="s">
        <v>936</v>
      </c>
      <c r="D161" t="s">
        <v>901</v>
      </c>
      <c r="F161">
        <v>8.6007E-2</v>
      </c>
      <c r="G161">
        <v>8.6804999999999993E-2</v>
      </c>
      <c r="H161">
        <v>8.6618000000000001E-2</v>
      </c>
      <c r="I161">
        <v>8.5032999999999997E-2</v>
      </c>
      <c r="J161">
        <v>8.2833000000000004E-2</v>
      </c>
      <c r="K161">
        <v>8.0573000000000006E-2</v>
      </c>
      <c r="L161">
        <v>7.9183000000000003E-2</v>
      </c>
      <c r="M161">
        <v>7.8223000000000001E-2</v>
      </c>
      <c r="N161">
        <v>7.7353000000000005E-2</v>
      </c>
      <c r="O161">
        <v>7.5788999999999995E-2</v>
      </c>
      <c r="P161">
        <v>7.4296000000000001E-2</v>
      </c>
      <c r="Q161">
        <v>7.2554999999999994E-2</v>
      </c>
      <c r="R161">
        <v>7.0584999999999995E-2</v>
      </c>
      <c r="S161">
        <v>6.9001999999999994E-2</v>
      </c>
      <c r="T161">
        <v>6.7281999999999995E-2</v>
      </c>
      <c r="U161">
        <v>6.5594E-2</v>
      </c>
      <c r="V161">
        <v>6.4226000000000005E-2</v>
      </c>
      <c r="W161">
        <v>6.2816999999999998E-2</v>
      </c>
      <c r="X161">
        <v>6.1253000000000002E-2</v>
      </c>
      <c r="Y161">
        <v>5.9970000000000002E-2</v>
      </c>
      <c r="Z161">
        <v>5.8550999999999999E-2</v>
      </c>
      <c r="AA161">
        <v>5.7024999999999999E-2</v>
      </c>
      <c r="AB161">
        <v>5.5420999999999998E-2</v>
      </c>
      <c r="AC161">
        <v>5.3959E-2</v>
      </c>
      <c r="AD161">
        <v>5.2477999999999997E-2</v>
      </c>
      <c r="AE161">
        <v>5.0970000000000001E-2</v>
      </c>
      <c r="AF161">
        <v>4.9509999999999998E-2</v>
      </c>
      <c r="AG161" s="31">
        <v>-2.1000000000000001E-2</v>
      </c>
    </row>
    <row r="162" spans="1:33" x14ac:dyDescent="0.25">
      <c r="A162" t="s">
        <v>168</v>
      </c>
      <c r="B162" t="s">
        <v>937</v>
      </c>
      <c r="C162" t="s">
        <v>938</v>
      </c>
      <c r="D162" t="s">
        <v>901</v>
      </c>
      <c r="F162">
        <v>0.102877</v>
      </c>
      <c r="G162">
        <v>0.103217</v>
      </c>
      <c r="H162">
        <v>0.10130400000000001</v>
      </c>
      <c r="I162">
        <v>0.10008400000000001</v>
      </c>
      <c r="J162">
        <v>9.8719000000000001E-2</v>
      </c>
      <c r="K162">
        <v>9.6952999999999998E-2</v>
      </c>
      <c r="L162">
        <v>9.5427999999999999E-2</v>
      </c>
      <c r="M162">
        <v>9.3560000000000004E-2</v>
      </c>
      <c r="N162">
        <v>9.1750999999999999E-2</v>
      </c>
      <c r="O162">
        <v>8.9698E-2</v>
      </c>
      <c r="P162">
        <v>8.7469000000000005E-2</v>
      </c>
      <c r="Q162">
        <v>8.5254999999999997E-2</v>
      </c>
      <c r="R162">
        <v>8.3551E-2</v>
      </c>
      <c r="S162">
        <v>8.1219E-2</v>
      </c>
      <c r="T162">
        <v>7.9075000000000006E-2</v>
      </c>
      <c r="U162">
        <v>7.7301999999999996E-2</v>
      </c>
      <c r="V162">
        <v>7.6382000000000005E-2</v>
      </c>
      <c r="W162">
        <v>7.4785000000000004E-2</v>
      </c>
      <c r="X162">
        <v>7.3174000000000003E-2</v>
      </c>
      <c r="Y162">
        <v>7.2042999999999996E-2</v>
      </c>
      <c r="Z162">
        <v>7.1304999999999993E-2</v>
      </c>
      <c r="AA162">
        <v>7.0795999999999998E-2</v>
      </c>
      <c r="AB162">
        <v>6.9887000000000005E-2</v>
      </c>
      <c r="AC162">
        <v>6.9175E-2</v>
      </c>
      <c r="AD162">
        <v>6.8380999999999997E-2</v>
      </c>
      <c r="AE162">
        <v>6.7873000000000003E-2</v>
      </c>
      <c r="AF162">
        <v>6.7628999999999995E-2</v>
      </c>
      <c r="AG162" s="31">
        <v>-1.6E-2</v>
      </c>
    </row>
    <row r="163" spans="1:33" x14ac:dyDescent="0.25">
      <c r="A163" t="s">
        <v>756</v>
      </c>
      <c r="B163" t="s">
        <v>939</v>
      </c>
      <c r="C163" t="s">
        <v>940</v>
      </c>
      <c r="D163" t="s">
        <v>901</v>
      </c>
      <c r="F163">
        <v>0.16151799999999999</v>
      </c>
      <c r="G163">
        <v>0.16040399999999999</v>
      </c>
      <c r="H163">
        <v>0.16034599999999999</v>
      </c>
      <c r="I163">
        <v>0.15820799999999999</v>
      </c>
      <c r="J163">
        <v>0.15701000000000001</v>
      </c>
      <c r="K163">
        <v>0.157387</v>
      </c>
      <c r="L163">
        <v>0.15785399999999999</v>
      </c>
      <c r="M163">
        <v>0.15911700000000001</v>
      </c>
      <c r="N163">
        <v>0.15954199999999999</v>
      </c>
      <c r="O163">
        <v>0.15944800000000001</v>
      </c>
      <c r="P163">
        <v>0.16014</v>
      </c>
      <c r="Q163">
        <v>0.16095100000000001</v>
      </c>
      <c r="R163">
        <v>0.16287199999999999</v>
      </c>
      <c r="S163">
        <v>0.16402600000000001</v>
      </c>
      <c r="T163">
        <v>0.16441600000000001</v>
      </c>
      <c r="U163">
        <v>0.16521</v>
      </c>
      <c r="V163">
        <v>0.165245</v>
      </c>
      <c r="W163">
        <v>0.16383900000000001</v>
      </c>
      <c r="X163">
        <v>0.162885</v>
      </c>
      <c r="Y163">
        <v>0.16133700000000001</v>
      </c>
      <c r="Z163">
        <v>0.160611</v>
      </c>
      <c r="AA163">
        <v>0.16050400000000001</v>
      </c>
      <c r="AB163">
        <v>0.160608</v>
      </c>
      <c r="AC163">
        <v>0.16106699999999999</v>
      </c>
      <c r="AD163">
        <v>0.16153200000000001</v>
      </c>
      <c r="AE163">
        <v>0.16195799999999999</v>
      </c>
      <c r="AF163">
        <v>0.162331</v>
      </c>
      <c r="AG163" s="31">
        <v>0</v>
      </c>
    </row>
    <row r="164" spans="1:33" x14ac:dyDescent="0.25">
      <c r="A164" t="s">
        <v>289</v>
      </c>
      <c r="B164" t="s">
        <v>941</v>
      </c>
      <c r="C164" t="s">
        <v>942</v>
      </c>
      <c r="D164" t="s">
        <v>901</v>
      </c>
      <c r="F164">
        <v>0.40286499999999997</v>
      </c>
      <c r="G164">
        <v>0.39966800000000002</v>
      </c>
      <c r="H164">
        <v>0.39744099999999999</v>
      </c>
      <c r="I164">
        <v>0.39516299999999999</v>
      </c>
      <c r="J164">
        <v>0.39234400000000003</v>
      </c>
      <c r="K164">
        <v>0.390513</v>
      </c>
      <c r="L164">
        <v>0.39144299999999999</v>
      </c>
      <c r="M164">
        <v>0.39452599999999999</v>
      </c>
      <c r="N164">
        <v>0.39973999999999998</v>
      </c>
      <c r="O164">
        <v>0.40664800000000001</v>
      </c>
      <c r="P164">
        <v>0.41514200000000001</v>
      </c>
      <c r="Q164">
        <v>0.42352200000000001</v>
      </c>
      <c r="R164">
        <v>0.43007499999999999</v>
      </c>
      <c r="S164">
        <v>0.43479600000000002</v>
      </c>
      <c r="T164">
        <v>0.43756600000000001</v>
      </c>
      <c r="U164">
        <v>0.43991599999999997</v>
      </c>
      <c r="V164">
        <v>0.442778</v>
      </c>
      <c r="W164">
        <v>0.44540200000000002</v>
      </c>
      <c r="X164">
        <v>0.447044</v>
      </c>
      <c r="Y164">
        <v>0.44878600000000002</v>
      </c>
      <c r="Z164">
        <v>0.44952599999999998</v>
      </c>
      <c r="AA164">
        <v>0.44997399999999999</v>
      </c>
      <c r="AB164">
        <v>0.45000600000000002</v>
      </c>
      <c r="AC164">
        <v>0.45028400000000002</v>
      </c>
      <c r="AD164">
        <v>0.45006000000000002</v>
      </c>
      <c r="AE164">
        <v>0.44958900000000002</v>
      </c>
      <c r="AF164">
        <v>0.44950699999999999</v>
      </c>
      <c r="AG164" s="31">
        <v>4.0000000000000001E-3</v>
      </c>
    </row>
    <row r="165" spans="1:33" x14ac:dyDescent="0.25">
      <c r="A165" t="s">
        <v>89</v>
      </c>
      <c r="B165" t="s">
        <v>943</v>
      </c>
      <c r="C165" t="s">
        <v>944</v>
      </c>
      <c r="D165" t="s">
        <v>901</v>
      </c>
      <c r="F165">
        <v>2.9832130000000001</v>
      </c>
      <c r="G165">
        <v>2.958024</v>
      </c>
      <c r="H165">
        <v>2.92584</v>
      </c>
      <c r="I165">
        <v>2.9000029999999999</v>
      </c>
      <c r="J165">
        <v>2.8802699999999999</v>
      </c>
      <c r="K165">
        <v>2.855899</v>
      </c>
      <c r="L165">
        <v>2.8430930000000001</v>
      </c>
      <c r="M165">
        <v>2.8401360000000002</v>
      </c>
      <c r="N165">
        <v>2.8414619999999999</v>
      </c>
      <c r="O165">
        <v>2.8403309999999999</v>
      </c>
      <c r="P165">
        <v>2.836919</v>
      </c>
      <c r="Q165">
        <v>2.8308170000000001</v>
      </c>
      <c r="R165">
        <v>2.8266770000000001</v>
      </c>
      <c r="S165">
        <v>2.8178179999999999</v>
      </c>
      <c r="T165">
        <v>2.8134299999999999</v>
      </c>
      <c r="U165">
        <v>2.8123300000000002</v>
      </c>
      <c r="V165">
        <v>2.8134459999999999</v>
      </c>
      <c r="W165">
        <v>2.809793</v>
      </c>
      <c r="X165">
        <v>2.8021219999999998</v>
      </c>
      <c r="Y165">
        <v>2.800017</v>
      </c>
      <c r="Z165">
        <v>2.8002210000000001</v>
      </c>
      <c r="AA165">
        <v>2.7985929999999999</v>
      </c>
      <c r="AB165">
        <v>2.7885659999999999</v>
      </c>
      <c r="AC165">
        <v>2.7836090000000002</v>
      </c>
      <c r="AD165">
        <v>2.77467</v>
      </c>
      <c r="AE165">
        <v>2.767131</v>
      </c>
      <c r="AF165">
        <v>2.7616800000000001</v>
      </c>
      <c r="AG165" s="31">
        <v>-3.0000000000000001E-3</v>
      </c>
    </row>
    <row r="166" spans="1:33" x14ac:dyDescent="0.25">
      <c r="A166" t="s">
        <v>92</v>
      </c>
      <c r="B166" t="s">
        <v>945</v>
      </c>
      <c r="C166" t="s">
        <v>946</v>
      </c>
      <c r="D166" t="s">
        <v>901</v>
      </c>
      <c r="F166">
        <v>0.57260999999999995</v>
      </c>
      <c r="G166">
        <v>0.55082600000000004</v>
      </c>
      <c r="H166">
        <v>0.51514300000000002</v>
      </c>
      <c r="I166">
        <v>0.49262499999999998</v>
      </c>
      <c r="J166">
        <v>0.47826000000000002</v>
      </c>
      <c r="K166">
        <v>0.467665</v>
      </c>
      <c r="L166">
        <v>0.44994000000000001</v>
      </c>
      <c r="M166">
        <v>0.43898300000000001</v>
      </c>
      <c r="N166">
        <v>0.41601100000000002</v>
      </c>
      <c r="O166">
        <v>0.40942699999999999</v>
      </c>
      <c r="P166">
        <v>0.402866</v>
      </c>
      <c r="Q166">
        <v>0.39295600000000003</v>
      </c>
      <c r="R166">
        <v>0.38205</v>
      </c>
      <c r="S166">
        <v>0.366066</v>
      </c>
      <c r="T166">
        <v>0.35674699999999998</v>
      </c>
      <c r="U166">
        <v>0.33719300000000002</v>
      </c>
      <c r="V166">
        <v>0.333285</v>
      </c>
      <c r="W166">
        <v>0.33450600000000003</v>
      </c>
      <c r="X166">
        <v>0.33503300000000003</v>
      </c>
      <c r="Y166">
        <v>0.33400200000000002</v>
      </c>
      <c r="Z166">
        <v>0.33279799999999998</v>
      </c>
      <c r="AA166">
        <v>0.32942700000000003</v>
      </c>
      <c r="AB166">
        <v>0.32573600000000003</v>
      </c>
      <c r="AC166">
        <v>0.32339200000000001</v>
      </c>
      <c r="AD166">
        <v>0.32160699999999998</v>
      </c>
      <c r="AE166">
        <v>0.32028699999999999</v>
      </c>
      <c r="AF166">
        <v>0.31680700000000001</v>
      </c>
      <c r="AG166" s="31">
        <v>-2.3E-2</v>
      </c>
    </row>
    <row r="167" spans="1:33" x14ac:dyDescent="0.25">
      <c r="A167" t="s">
        <v>95</v>
      </c>
      <c r="B167" t="s">
        <v>947</v>
      </c>
      <c r="C167" t="s">
        <v>948</v>
      </c>
      <c r="D167" t="s">
        <v>901</v>
      </c>
      <c r="F167">
        <v>3.5558230000000002</v>
      </c>
      <c r="G167">
        <v>3.5088509999999999</v>
      </c>
      <c r="H167">
        <v>3.4409830000000001</v>
      </c>
      <c r="I167">
        <v>3.3926280000000002</v>
      </c>
      <c r="J167">
        <v>3.3585310000000002</v>
      </c>
      <c r="K167">
        <v>3.3235640000000002</v>
      </c>
      <c r="L167">
        <v>3.2930329999999999</v>
      </c>
      <c r="M167">
        <v>3.2791199999999998</v>
      </c>
      <c r="N167">
        <v>3.2574730000000001</v>
      </c>
      <c r="O167">
        <v>3.2497579999999999</v>
      </c>
      <c r="P167">
        <v>3.2397849999999999</v>
      </c>
      <c r="Q167">
        <v>3.223773</v>
      </c>
      <c r="R167">
        <v>3.2087270000000001</v>
      </c>
      <c r="S167">
        <v>3.1838850000000001</v>
      </c>
      <c r="T167">
        <v>3.1701769999999998</v>
      </c>
      <c r="U167">
        <v>3.1495229999999999</v>
      </c>
      <c r="V167">
        <v>3.1467309999999999</v>
      </c>
      <c r="W167">
        <v>3.1442990000000002</v>
      </c>
      <c r="X167">
        <v>3.1371540000000002</v>
      </c>
      <c r="Y167">
        <v>3.1340189999999999</v>
      </c>
      <c r="Z167">
        <v>3.1330200000000001</v>
      </c>
      <c r="AA167">
        <v>3.1280190000000001</v>
      </c>
      <c r="AB167">
        <v>3.1143019999999999</v>
      </c>
      <c r="AC167">
        <v>3.107002</v>
      </c>
      <c r="AD167">
        <v>3.0962770000000002</v>
      </c>
      <c r="AE167">
        <v>3.087418</v>
      </c>
      <c r="AF167">
        <v>3.078487</v>
      </c>
      <c r="AG167" s="31">
        <v>-6.0000000000000001E-3</v>
      </c>
    </row>
    <row r="168" spans="1:33" x14ac:dyDescent="0.25">
      <c r="A168" t="s">
        <v>949</v>
      </c>
    </row>
    <row r="169" spans="1:33" x14ac:dyDescent="0.25">
      <c r="A169" t="s">
        <v>950</v>
      </c>
      <c r="B169" t="s">
        <v>951</v>
      </c>
      <c r="C169" t="s">
        <v>952</v>
      </c>
      <c r="D169" t="s">
        <v>953</v>
      </c>
      <c r="F169">
        <v>26.691890999999998</v>
      </c>
      <c r="G169">
        <v>26.899363000000001</v>
      </c>
      <c r="H169">
        <v>27.052505</v>
      </c>
      <c r="I169">
        <v>27.032799000000001</v>
      </c>
      <c r="J169">
        <v>27.038482999999999</v>
      </c>
      <c r="K169">
        <v>27.080666999999998</v>
      </c>
      <c r="L169">
        <v>27.211960000000001</v>
      </c>
      <c r="M169">
        <v>27.313051000000002</v>
      </c>
      <c r="N169">
        <v>27.399308999999999</v>
      </c>
      <c r="O169">
        <v>27.465893000000001</v>
      </c>
      <c r="P169">
        <v>27.568838</v>
      </c>
      <c r="Q169">
        <v>27.672262</v>
      </c>
      <c r="R169">
        <v>27.781876</v>
      </c>
      <c r="S169">
        <v>27.890146000000001</v>
      </c>
      <c r="T169">
        <v>28.008721999999999</v>
      </c>
      <c r="U169">
        <v>28.150040000000001</v>
      </c>
      <c r="V169">
        <v>28.299088000000001</v>
      </c>
      <c r="W169">
        <v>28.433648999999999</v>
      </c>
      <c r="X169">
        <v>28.573360000000001</v>
      </c>
      <c r="Y169">
        <v>28.710422999999999</v>
      </c>
      <c r="Z169">
        <v>28.868607999999998</v>
      </c>
      <c r="AA169">
        <v>29.011707000000001</v>
      </c>
      <c r="AB169">
        <v>29.166070999999999</v>
      </c>
      <c r="AC169">
        <v>29.325379999999999</v>
      </c>
      <c r="AD169">
        <v>29.482299999999999</v>
      </c>
      <c r="AE169">
        <v>29.635458</v>
      </c>
      <c r="AF169">
        <v>29.793306000000001</v>
      </c>
      <c r="AG169" s="31">
        <v>4.0000000000000001E-3</v>
      </c>
    </row>
    <row r="170" spans="1:33" x14ac:dyDescent="0.25">
      <c r="A170" t="s">
        <v>954</v>
      </c>
      <c r="B170" t="s">
        <v>955</v>
      </c>
      <c r="C170" t="s">
        <v>956</v>
      </c>
      <c r="D170" t="s">
        <v>957</v>
      </c>
      <c r="F170">
        <v>146.410507</v>
      </c>
      <c r="G170">
        <v>147.51544200000001</v>
      </c>
      <c r="H170">
        <v>148.41520700000001</v>
      </c>
      <c r="I170">
        <v>148.16099500000001</v>
      </c>
      <c r="J170">
        <v>148.359238</v>
      </c>
      <c r="K170">
        <v>148.55989099999999</v>
      </c>
      <c r="L170">
        <v>149.31658899999999</v>
      </c>
      <c r="M170">
        <v>149.92701700000001</v>
      </c>
      <c r="N170">
        <v>150.42117300000001</v>
      </c>
      <c r="O170">
        <v>150.76538099999999</v>
      </c>
      <c r="P170">
        <v>151.28916899999999</v>
      </c>
      <c r="Q170">
        <v>151.81575000000001</v>
      </c>
      <c r="R170">
        <v>152.59677099999999</v>
      </c>
      <c r="S170">
        <v>153.21476699999999</v>
      </c>
      <c r="T170">
        <v>153.887497</v>
      </c>
      <c r="U170">
        <v>154.68478400000001</v>
      </c>
      <c r="V170">
        <v>155.527466</v>
      </c>
      <c r="W170">
        <v>156.28761299999999</v>
      </c>
      <c r="X170">
        <v>157.07437100000001</v>
      </c>
      <c r="Y170">
        <v>157.848434</v>
      </c>
      <c r="Z170">
        <v>158.73699999999999</v>
      </c>
      <c r="AA170">
        <v>159.54016100000001</v>
      </c>
      <c r="AB170">
        <v>160.40329</v>
      </c>
      <c r="AC170">
        <v>161.29454000000001</v>
      </c>
      <c r="AD170">
        <v>162.169556</v>
      </c>
      <c r="AE170">
        <v>163.021851</v>
      </c>
      <c r="AF170">
        <v>163.89827</v>
      </c>
      <c r="AG170" s="31">
        <v>4.0000000000000001E-3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G46"/>
  <sheetViews>
    <sheetView workbookViewId="0">
      <selection activeCell="A25" sqref="A25:XFD25"/>
    </sheetView>
  </sheetViews>
  <sheetFormatPr defaultRowHeight="15" x14ac:dyDescent="0.25"/>
  <cols>
    <col min="1" max="2" width="34" customWidth="1"/>
  </cols>
  <sheetData>
    <row r="1" spans="1:33" x14ac:dyDescent="0.25">
      <c r="A1" t="s">
        <v>958</v>
      </c>
    </row>
    <row r="2" spans="1:33" x14ac:dyDescent="0.25">
      <c r="A2" t="s">
        <v>959</v>
      </c>
    </row>
    <row r="3" spans="1:33" x14ac:dyDescent="0.25">
      <c r="A3" t="s">
        <v>960</v>
      </c>
    </row>
    <row r="4" spans="1:33" x14ac:dyDescent="0.25">
      <c r="A4" t="s">
        <v>64</v>
      </c>
    </row>
    <row r="5" spans="1:33" x14ac:dyDescent="0.25">
      <c r="B5" t="s">
        <v>65</v>
      </c>
      <c r="C5" t="s">
        <v>66</v>
      </c>
      <c r="D5" t="s">
        <v>67</v>
      </c>
      <c r="E5">
        <v>2023</v>
      </c>
      <c r="F5">
        <v>2024</v>
      </c>
      <c r="G5">
        <v>2025</v>
      </c>
      <c r="H5">
        <v>2026</v>
      </c>
      <c r="I5">
        <v>2027</v>
      </c>
      <c r="J5">
        <v>2028</v>
      </c>
      <c r="K5">
        <v>2029</v>
      </c>
      <c r="L5">
        <v>2030</v>
      </c>
      <c r="M5">
        <v>2031</v>
      </c>
      <c r="N5">
        <v>2032</v>
      </c>
      <c r="O5">
        <v>2033</v>
      </c>
      <c r="P5">
        <v>2034</v>
      </c>
      <c r="Q5">
        <v>2035</v>
      </c>
      <c r="R5">
        <v>2036</v>
      </c>
      <c r="S5">
        <v>2037</v>
      </c>
      <c r="T5">
        <v>2038</v>
      </c>
      <c r="U5">
        <v>2039</v>
      </c>
      <c r="V5">
        <v>2040</v>
      </c>
      <c r="W5">
        <v>2041</v>
      </c>
      <c r="X5">
        <v>2042</v>
      </c>
      <c r="Y5">
        <v>2043</v>
      </c>
      <c r="Z5">
        <v>2044</v>
      </c>
      <c r="AA5">
        <v>2045</v>
      </c>
      <c r="AB5">
        <v>2046</v>
      </c>
      <c r="AC5">
        <v>2047</v>
      </c>
      <c r="AD5">
        <v>2048</v>
      </c>
      <c r="AE5">
        <v>2049</v>
      </c>
      <c r="AF5">
        <v>2050</v>
      </c>
      <c r="AG5" t="s">
        <v>68</v>
      </c>
    </row>
    <row r="6" spans="1:33" x14ac:dyDescent="0.25">
      <c r="A6" t="s">
        <v>961</v>
      </c>
    </row>
    <row r="7" spans="1:33" s="34" customFormat="1" x14ac:dyDescent="0.25">
      <c r="A7" s="34" t="s">
        <v>962</v>
      </c>
      <c r="B7" s="34" t="s">
        <v>963</v>
      </c>
      <c r="C7" s="34" t="s">
        <v>964</v>
      </c>
      <c r="D7" s="34" t="s">
        <v>73</v>
      </c>
      <c r="F7" s="34">
        <v>0.35758400000000001</v>
      </c>
      <c r="G7" s="34">
        <v>0.36509399999999997</v>
      </c>
      <c r="H7" s="34">
        <v>0.35265400000000002</v>
      </c>
      <c r="I7" s="34">
        <v>0.34729500000000002</v>
      </c>
      <c r="J7" s="34">
        <v>0.34571800000000003</v>
      </c>
      <c r="K7" s="34">
        <v>0.345503</v>
      </c>
      <c r="L7" s="34">
        <v>0.34528999999999999</v>
      </c>
      <c r="M7" s="34">
        <v>0.342499</v>
      </c>
      <c r="N7" s="34">
        <v>0.33729500000000001</v>
      </c>
      <c r="O7" s="34">
        <v>0.33283800000000002</v>
      </c>
      <c r="P7" s="34">
        <v>0.32823400000000003</v>
      </c>
      <c r="Q7" s="34">
        <v>0.323965</v>
      </c>
      <c r="R7" s="34">
        <v>0.31938100000000003</v>
      </c>
      <c r="S7" s="34">
        <v>0.31522099999999997</v>
      </c>
      <c r="T7" s="34">
        <v>0.31101800000000002</v>
      </c>
      <c r="U7" s="34">
        <v>0.306564</v>
      </c>
      <c r="V7" s="34">
        <v>0.30218200000000001</v>
      </c>
      <c r="W7" s="34">
        <v>0.29809999999999998</v>
      </c>
      <c r="X7" s="34">
        <v>0.294377</v>
      </c>
      <c r="Y7" s="34">
        <v>0.29094999999999999</v>
      </c>
      <c r="Z7" s="34">
        <v>0.28853600000000001</v>
      </c>
      <c r="AA7" s="34">
        <v>0.28493499999999999</v>
      </c>
      <c r="AB7" s="34">
        <v>0.28137699999999999</v>
      </c>
      <c r="AC7" s="34">
        <v>0.27769199999999999</v>
      </c>
      <c r="AD7" s="34">
        <v>0.273872</v>
      </c>
      <c r="AE7" s="34">
        <v>0.27057199999999998</v>
      </c>
      <c r="AF7" s="34">
        <v>0.26805000000000001</v>
      </c>
      <c r="AG7" s="35">
        <v>-1.0999999999999999E-2</v>
      </c>
    </row>
    <row r="8" spans="1:33" s="34" customFormat="1" x14ac:dyDescent="0.25">
      <c r="A8" s="34" t="s">
        <v>965</v>
      </c>
      <c r="B8" s="34" t="s">
        <v>966</v>
      </c>
      <c r="C8" s="34" t="s">
        <v>967</v>
      </c>
      <c r="D8" s="34" t="s">
        <v>73</v>
      </c>
      <c r="F8" s="34">
        <v>0.15810399999999999</v>
      </c>
      <c r="G8" s="34">
        <v>0.15810399999999999</v>
      </c>
      <c r="H8" s="34">
        <v>0.15810399999999999</v>
      </c>
      <c r="I8" s="34">
        <v>0.15810399999999999</v>
      </c>
      <c r="J8" s="34">
        <v>0.15810399999999999</v>
      </c>
      <c r="K8" s="34">
        <v>0.15810399999999999</v>
      </c>
      <c r="L8" s="34">
        <v>0.15810399999999999</v>
      </c>
      <c r="M8" s="34">
        <v>0.15810399999999999</v>
      </c>
      <c r="N8" s="34">
        <v>0.15810399999999999</v>
      </c>
      <c r="O8" s="34">
        <v>0.15810399999999999</v>
      </c>
      <c r="P8" s="34">
        <v>0.15810399999999999</v>
      </c>
      <c r="Q8" s="34">
        <v>0.15810399999999999</v>
      </c>
      <c r="R8" s="34">
        <v>0.15810399999999999</v>
      </c>
      <c r="S8" s="34">
        <v>0.15810399999999999</v>
      </c>
      <c r="T8" s="34">
        <v>0.15810399999999999</v>
      </c>
      <c r="U8" s="34">
        <v>0.15810399999999999</v>
      </c>
      <c r="V8" s="34">
        <v>0.15810399999999999</v>
      </c>
      <c r="W8" s="34">
        <v>0.15810399999999999</v>
      </c>
      <c r="X8" s="34">
        <v>0.15810399999999999</v>
      </c>
      <c r="Y8" s="34">
        <v>0.15810399999999999</v>
      </c>
      <c r="Z8" s="34">
        <v>0.15810399999999999</v>
      </c>
      <c r="AA8" s="34">
        <v>0.15810399999999999</v>
      </c>
      <c r="AB8" s="34">
        <v>0.15810399999999999</v>
      </c>
      <c r="AC8" s="34">
        <v>0.15810399999999999</v>
      </c>
      <c r="AD8" s="34">
        <v>0.15810399999999999</v>
      </c>
      <c r="AE8" s="34">
        <v>0.15810399999999999</v>
      </c>
      <c r="AF8" s="34">
        <v>0.15810399999999999</v>
      </c>
      <c r="AG8" s="35">
        <v>0</v>
      </c>
    </row>
    <row r="9" spans="1:33" x14ac:dyDescent="0.25">
      <c r="A9" t="s">
        <v>130</v>
      </c>
      <c r="B9" t="s">
        <v>968</v>
      </c>
      <c r="C9" t="s">
        <v>969</v>
      </c>
      <c r="D9" t="s">
        <v>73</v>
      </c>
      <c r="F9">
        <v>2.2984460000000002</v>
      </c>
      <c r="G9">
        <v>2.3409620000000002</v>
      </c>
      <c r="H9">
        <v>2.3611059999999999</v>
      </c>
      <c r="I9">
        <v>2.3600029999999999</v>
      </c>
      <c r="J9">
        <v>2.3655689999999998</v>
      </c>
      <c r="K9">
        <v>2.3827029999999998</v>
      </c>
      <c r="L9">
        <v>2.3989319999999998</v>
      </c>
      <c r="M9">
        <v>2.4116369999999998</v>
      </c>
      <c r="N9">
        <v>2.420296</v>
      </c>
      <c r="O9">
        <v>2.4119359999999999</v>
      </c>
      <c r="P9">
        <v>2.416436</v>
      </c>
      <c r="Q9">
        <v>2.4209909999999999</v>
      </c>
      <c r="R9">
        <v>2.4422809999999999</v>
      </c>
      <c r="S9">
        <v>2.4488889999999999</v>
      </c>
      <c r="T9">
        <v>2.4503080000000002</v>
      </c>
      <c r="U9">
        <v>2.460661</v>
      </c>
      <c r="V9">
        <v>2.4743110000000001</v>
      </c>
      <c r="W9">
        <v>2.4626549999999998</v>
      </c>
      <c r="X9">
        <v>2.4572310000000002</v>
      </c>
      <c r="Y9">
        <v>2.4464649999999999</v>
      </c>
      <c r="Z9">
        <v>2.4501539999999999</v>
      </c>
      <c r="AA9">
        <v>2.4641500000000001</v>
      </c>
      <c r="AB9">
        <v>2.4794320000000001</v>
      </c>
      <c r="AC9">
        <v>2.502332</v>
      </c>
      <c r="AD9">
        <v>2.5220750000000001</v>
      </c>
      <c r="AE9">
        <v>2.546465</v>
      </c>
      <c r="AF9">
        <v>2.5695290000000002</v>
      </c>
      <c r="AG9" s="31">
        <v>4.0000000000000001E-3</v>
      </c>
    </row>
    <row r="10" spans="1:33" x14ac:dyDescent="0.25">
      <c r="A10" t="s">
        <v>970</v>
      </c>
      <c r="B10" t="s">
        <v>971</v>
      </c>
      <c r="C10" t="s">
        <v>972</v>
      </c>
      <c r="D10" t="s">
        <v>73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 t="s">
        <v>319</v>
      </c>
    </row>
    <row r="11" spans="1:33" x14ac:dyDescent="0.25">
      <c r="A11" t="s">
        <v>973</v>
      </c>
      <c r="B11" t="s">
        <v>974</v>
      </c>
      <c r="C11" t="s">
        <v>975</v>
      </c>
      <c r="D11" t="s">
        <v>73</v>
      </c>
      <c r="F11">
        <v>0.15371499999999999</v>
      </c>
      <c r="G11">
        <v>0.15761700000000001</v>
      </c>
      <c r="H11">
        <v>0.16214100000000001</v>
      </c>
      <c r="I11">
        <v>0.16675899999999999</v>
      </c>
      <c r="J11">
        <v>0.170764</v>
      </c>
      <c r="K11">
        <v>0.175069</v>
      </c>
      <c r="L11">
        <v>0.17912</v>
      </c>
      <c r="M11">
        <v>0.182615</v>
      </c>
      <c r="N11">
        <v>0.18587000000000001</v>
      </c>
      <c r="O11">
        <v>0.18876599999999999</v>
      </c>
      <c r="P11">
        <v>0.191556</v>
      </c>
      <c r="Q11">
        <v>0.19398499999999999</v>
      </c>
      <c r="R11">
        <v>0.196077</v>
      </c>
      <c r="S11">
        <v>0.197824</v>
      </c>
      <c r="T11">
        <v>0.19954</v>
      </c>
      <c r="U11">
        <v>0.201352</v>
      </c>
      <c r="V11">
        <v>0.20302899999999999</v>
      </c>
      <c r="W11">
        <v>0.20467399999999999</v>
      </c>
      <c r="X11">
        <v>0.206428</v>
      </c>
      <c r="Y11">
        <v>0.20809800000000001</v>
      </c>
      <c r="Z11">
        <v>0.20976800000000001</v>
      </c>
      <c r="AA11">
        <v>0.211422</v>
      </c>
      <c r="AB11">
        <v>0.21310899999999999</v>
      </c>
      <c r="AC11">
        <v>0.21478700000000001</v>
      </c>
      <c r="AD11">
        <v>0.216472</v>
      </c>
      <c r="AE11">
        <v>0.218222</v>
      </c>
      <c r="AF11">
        <v>0.21993499999999999</v>
      </c>
      <c r="AG11" s="31">
        <v>1.4E-2</v>
      </c>
    </row>
    <row r="12" spans="1:33" s="34" customFormat="1" x14ac:dyDescent="0.25">
      <c r="A12" s="34" t="s">
        <v>976</v>
      </c>
      <c r="B12" s="34" t="s">
        <v>977</v>
      </c>
      <c r="C12" s="34" t="s">
        <v>978</v>
      </c>
      <c r="D12" s="34" t="s">
        <v>73</v>
      </c>
      <c r="F12" s="34">
        <v>1.250399</v>
      </c>
      <c r="G12" s="34">
        <v>1.266777</v>
      </c>
      <c r="H12" s="34">
        <v>1.284807</v>
      </c>
      <c r="I12" s="34">
        <v>1.2787809999999999</v>
      </c>
      <c r="J12" s="34">
        <v>1.281623</v>
      </c>
      <c r="K12" s="34">
        <v>1.2993619999999999</v>
      </c>
      <c r="L12" s="34">
        <v>1.315974</v>
      </c>
      <c r="M12" s="34">
        <v>1.3360540000000001</v>
      </c>
      <c r="N12" s="34">
        <v>1.3507370000000001</v>
      </c>
      <c r="O12" s="34">
        <v>1.3548199999999999</v>
      </c>
      <c r="P12" s="34">
        <v>1.3712610000000001</v>
      </c>
      <c r="Q12" s="34">
        <v>1.3886769999999999</v>
      </c>
      <c r="R12" s="34">
        <v>1.4181319999999999</v>
      </c>
      <c r="S12" s="34">
        <v>1.440053</v>
      </c>
      <c r="T12" s="34">
        <v>1.4550179999999999</v>
      </c>
      <c r="U12" s="34">
        <v>1.4749589999999999</v>
      </c>
      <c r="V12" s="34">
        <v>1.489115</v>
      </c>
      <c r="W12" s="34">
        <v>1.4861839999999999</v>
      </c>
      <c r="X12" s="34">
        <v>1.489107</v>
      </c>
      <c r="Y12" s="34">
        <v>1.483161</v>
      </c>
      <c r="Z12" s="34">
        <v>1.4870620000000001</v>
      </c>
      <c r="AA12" s="34">
        <v>1.498508</v>
      </c>
      <c r="AB12" s="34">
        <v>1.5145500000000001</v>
      </c>
      <c r="AC12" s="34">
        <v>1.5357289999999999</v>
      </c>
      <c r="AD12" s="34">
        <v>1.555482</v>
      </c>
      <c r="AE12" s="34">
        <v>1.5762309999999999</v>
      </c>
      <c r="AF12" s="34">
        <v>1.5939190000000001</v>
      </c>
      <c r="AG12" s="35">
        <v>8.9999999999999993E-3</v>
      </c>
    </row>
    <row r="13" spans="1:33" x14ac:dyDescent="0.25">
      <c r="A13" t="s">
        <v>168</v>
      </c>
      <c r="B13" t="s">
        <v>979</v>
      </c>
      <c r="C13" t="s">
        <v>980</v>
      </c>
      <c r="D13" t="s">
        <v>73</v>
      </c>
      <c r="F13">
        <v>0.89433099999999999</v>
      </c>
      <c r="G13">
        <v>0.91656800000000005</v>
      </c>
      <c r="H13">
        <v>0.91415800000000003</v>
      </c>
      <c r="I13">
        <v>0.91446300000000003</v>
      </c>
      <c r="J13">
        <v>0.91318200000000005</v>
      </c>
      <c r="K13">
        <v>0.90827199999999997</v>
      </c>
      <c r="L13">
        <v>0.903837</v>
      </c>
      <c r="M13">
        <v>0.89296799999999998</v>
      </c>
      <c r="N13">
        <v>0.88368899999999995</v>
      </c>
      <c r="O13">
        <v>0.86835099999999998</v>
      </c>
      <c r="P13">
        <v>0.85361900000000002</v>
      </c>
      <c r="Q13">
        <v>0.83833000000000002</v>
      </c>
      <c r="R13">
        <v>0.828071</v>
      </c>
      <c r="S13">
        <v>0.81101100000000004</v>
      </c>
      <c r="T13">
        <v>0.79574999999999996</v>
      </c>
      <c r="U13">
        <v>0.78434899999999996</v>
      </c>
      <c r="V13">
        <v>0.78216600000000003</v>
      </c>
      <c r="W13">
        <v>0.77179699999999996</v>
      </c>
      <c r="X13">
        <v>0.76169600000000004</v>
      </c>
      <c r="Y13">
        <v>0.75520600000000004</v>
      </c>
      <c r="Z13">
        <v>0.75332500000000002</v>
      </c>
      <c r="AA13">
        <v>0.75422</v>
      </c>
      <c r="AB13">
        <v>0.75177300000000002</v>
      </c>
      <c r="AC13">
        <v>0.75181600000000004</v>
      </c>
      <c r="AD13">
        <v>0.75012000000000001</v>
      </c>
      <c r="AE13">
        <v>0.75201099999999999</v>
      </c>
      <c r="AF13">
        <v>0.75567499999999999</v>
      </c>
      <c r="AG13" s="31">
        <v>-6.0000000000000001E-3</v>
      </c>
    </row>
    <row r="14" spans="1:33" x14ac:dyDescent="0.25">
      <c r="A14" t="s">
        <v>188</v>
      </c>
      <c r="B14" t="s">
        <v>981</v>
      </c>
      <c r="C14" t="s">
        <v>982</v>
      </c>
      <c r="D14" t="s">
        <v>73</v>
      </c>
      <c r="F14">
        <v>1.779031</v>
      </c>
      <c r="G14">
        <v>1.7982020000000001</v>
      </c>
      <c r="H14">
        <v>1.840455</v>
      </c>
      <c r="I14">
        <v>1.8189569999999999</v>
      </c>
      <c r="J14">
        <v>1.6528400000000001</v>
      </c>
      <c r="K14">
        <v>1.652911</v>
      </c>
      <c r="L14">
        <v>1.6519710000000001</v>
      </c>
      <c r="M14">
        <v>1.650766</v>
      </c>
      <c r="N14">
        <v>1.6499710000000001</v>
      </c>
      <c r="O14">
        <v>1.649804</v>
      </c>
      <c r="P14">
        <v>1.6493230000000001</v>
      </c>
      <c r="Q14">
        <v>1.6480109999999999</v>
      </c>
      <c r="R14">
        <v>1.646139</v>
      </c>
      <c r="S14">
        <v>1.644258</v>
      </c>
      <c r="T14">
        <v>1.6426989999999999</v>
      </c>
      <c r="U14">
        <v>1.6410800000000001</v>
      </c>
      <c r="V14">
        <v>1.6391979999999999</v>
      </c>
      <c r="W14">
        <v>1.6377429999999999</v>
      </c>
      <c r="X14">
        <v>1.6362140000000001</v>
      </c>
      <c r="Y14">
        <v>1.6346940000000001</v>
      </c>
      <c r="Z14">
        <v>1.632965</v>
      </c>
      <c r="AA14">
        <v>1.6312489999999999</v>
      </c>
      <c r="AB14">
        <v>1.629651</v>
      </c>
      <c r="AC14">
        <v>1.6280699999999999</v>
      </c>
      <c r="AD14">
        <v>1.626433</v>
      </c>
      <c r="AE14">
        <v>1.6248579999999999</v>
      </c>
      <c r="AF14">
        <v>1.6232279999999999</v>
      </c>
      <c r="AG14" s="31">
        <v>-4.0000000000000001E-3</v>
      </c>
    </row>
    <row r="15" spans="1:33" x14ac:dyDescent="0.25">
      <c r="A15" t="s">
        <v>983</v>
      </c>
      <c r="B15" t="s">
        <v>984</v>
      </c>
      <c r="C15" t="s">
        <v>985</v>
      </c>
      <c r="D15" t="s">
        <v>73</v>
      </c>
      <c r="F15">
        <v>2.47E-3</v>
      </c>
      <c r="G15">
        <v>2.2889999999999998E-3</v>
      </c>
      <c r="H15">
        <v>2.042E-3</v>
      </c>
      <c r="I15">
        <v>1.9120000000000001E-3</v>
      </c>
      <c r="J15">
        <v>1.856E-3</v>
      </c>
      <c r="K15">
        <v>1.923E-3</v>
      </c>
      <c r="L15">
        <v>1.823E-3</v>
      </c>
      <c r="M15">
        <v>1.684E-3</v>
      </c>
      <c r="N15">
        <v>1.5679999999999999E-3</v>
      </c>
      <c r="O15">
        <v>1.47E-3</v>
      </c>
      <c r="P15">
        <v>1.392E-3</v>
      </c>
      <c r="Q15">
        <v>1.31E-3</v>
      </c>
      <c r="R15">
        <v>1.227E-3</v>
      </c>
      <c r="S15">
        <v>1.165E-3</v>
      </c>
      <c r="T15">
        <v>1.1000000000000001E-3</v>
      </c>
      <c r="U15">
        <v>1.0499999999999999E-3</v>
      </c>
      <c r="V15">
        <v>1.026E-3</v>
      </c>
      <c r="W15">
        <v>1.005E-3</v>
      </c>
      <c r="X15">
        <v>9.8700000000000003E-4</v>
      </c>
      <c r="Y15">
        <v>9.77E-4</v>
      </c>
      <c r="Z15">
        <v>9.9099999999999991E-4</v>
      </c>
      <c r="AA15">
        <v>9.6599999999999995E-4</v>
      </c>
      <c r="AB15">
        <v>9.6299999999999999E-4</v>
      </c>
      <c r="AC15">
        <v>9.8499999999999998E-4</v>
      </c>
      <c r="AD15">
        <v>9.8200000000000002E-4</v>
      </c>
      <c r="AE15">
        <v>9.8299999999999993E-4</v>
      </c>
      <c r="AF15">
        <v>9.77E-4</v>
      </c>
      <c r="AG15" s="31">
        <v>-3.5000000000000003E-2</v>
      </c>
    </row>
    <row r="16" spans="1:33" x14ac:dyDescent="0.25">
      <c r="A16" t="s">
        <v>986</v>
      </c>
      <c r="B16" t="s">
        <v>987</v>
      </c>
      <c r="C16" t="s">
        <v>988</v>
      </c>
      <c r="D16" t="s">
        <v>73</v>
      </c>
      <c r="F16">
        <v>1.159613</v>
      </c>
      <c r="G16">
        <v>1.165416</v>
      </c>
      <c r="H16">
        <v>1.1880109999999999</v>
      </c>
      <c r="I16">
        <v>1.188534</v>
      </c>
      <c r="J16">
        <v>1.1796690000000001</v>
      </c>
      <c r="K16">
        <v>1.166131</v>
      </c>
      <c r="L16">
        <v>1.146274</v>
      </c>
      <c r="M16">
        <v>1.126136</v>
      </c>
      <c r="N16">
        <v>1.099874</v>
      </c>
      <c r="O16">
        <v>1.072452</v>
      </c>
      <c r="P16">
        <v>1.045892</v>
      </c>
      <c r="Q16">
        <v>1.018797</v>
      </c>
      <c r="R16">
        <v>0.98849600000000004</v>
      </c>
      <c r="S16">
        <v>0.95854899999999998</v>
      </c>
      <c r="T16">
        <v>0.93086899999999995</v>
      </c>
      <c r="U16">
        <v>0.90447200000000005</v>
      </c>
      <c r="V16">
        <v>0.88103100000000001</v>
      </c>
      <c r="W16">
        <v>0.85953299999999999</v>
      </c>
      <c r="X16">
        <v>0.83827200000000002</v>
      </c>
      <c r="Y16">
        <v>0.82193899999999998</v>
      </c>
      <c r="Z16">
        <v>0.80532099999999995</v>
      </c>
      <c r="AA16">
        <v>0.79273199999999999</v>
      </c>
      <c r="AB16">
        <v>0.78126600000000002</v>
      </c>
      <c r="AC16">
        <v>0.77309799999999995</v>
      </c>
      <c r="AD16">
        <v>0.76230799999999999</v>
      </c>
      <c r="AE16">
        <v>0.75654500000000002</v>
      </c>
      <c r="AF16">
        <v>0.75289499999999998</v>
      </c>
      <c r="AG16" s="31">
        <v>-1.6E-2</v>
      </c>
    </row>
    <row r="17" spans="1:33" x14ac:dyDescent="0.25">
      <c r="A17" t="s">
        <v>989</v>
      </c>
      <c r="B17" t="s">
        <v>990</v>
      </c>
      <c r="C17" t="s">
        <v>991</v>
      </c>
      <c r="D17" t="s">
        <v>73</v>
      </c>
      <c r="F17">
        <v>0.237455</v>
      </c>
      <c r="G17">
        <v>0.197546</v>
      </c>
      <c r="H17">
        <v>0.20169999999999999</v>
      </c>
      <c r="I17">
        <v>0.19336800000000001</v>
      </c>
      <c r="J17">
        <v>8.1131999999999996E-2</v>
      </c>
      <c r="K17">
        <v>0.110168</v>
      </c>
      <c r="L17">
        <v>0.120147</v>
      </c>
      <c r="M17">
        <v>0.117683</v>
      </c>
      <c r="N17">
        <v>0.128085</v>
      </c>
      <c r="O17">
        <v>0.15441199999999999</v>
      </c>
      <c r="P17">
        <v>0.17335300000000001</v>
      </c>
      <c r="Q17">
        <v>0.172654</v>
      </c>
      <c r="R17">
        <v>0.16561699999999999</v>
      </c>
      <c r="S17">
        <v>0.15302299999999999</v>
      </c>
      <c r="T17">
        <v>0.148424</v>
      </c>
      <c r="U17">
        <v>0.14249700000000001</v>
      </c>
      <c r="V17">
        <v>0.13667499999999999</v>
      </c>
      <c r="W17">
        <v>0.13508400000000001</v>
      </c>
      <c r="X17">
        <v>0.132216</v>
      </c>
      <c r="Y17">
        <v>0.128964</v>
      </c>
      <c r="Z17">
        <v>0.12501000000000001</v>
      </c>
      <c r="AA17">
        <v>0.120905</v>
      </c>
      <c r="AB17">
        <v>0.116645</v>
      </c>
      <c r="AC17">
        <v>0.112229</v>
      </c>
      <c r="AD17">
        <v>0.107652</v>
      </c>
      <c r="AE17">
        <v>0.102967</v>
      </c>
      <c r="AF17">
        <v>9.8281999999999994E-2</v>
      </c>
      <c r="AG17" s="31">
        <v>-3.3000000000000002E-2</v>
      </c>
    </row>
    <row r="18" spans="1:33" x14ac:dyDescent="0.25">
      <c r="A18" t="s">
        <v>992</v>
      </c>
      <c r="B18" t="s">
        <v>993</v>
      </c>
      <c r="C18" t="s">
        <v>994</v>
      </c>
      <c r="D18" t="s">
        <v>73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t="s">
        <v>319</v>
      </c>
    </row>
    <row r="19" spans="1:33" x14ac:dyDescent="0.25">
      <c r="A19" t="s">
        <v>995</v>
      </c>
      <c r="B19" t="s">
        <v>996</v>
      </c>
      <c r="C19" t="s">
        <v>997</v>
      </c>
      <c r="D19" t="s">
        <v>73</v>
      </c>
      <c r="F19">
        <v>3.143E-3</v>
      </c>
      <c r="G19">
        <v>4.2420000000000001E-3</v>
      </c>
      <c r="H19">
        <v>4.1920000000000004E-3</v>
      </c>
      <c r="I19">
        <v>4.2469999999999999E-3</v>
      </c>
      <c r="J19">
        <v>4.2490000000000002E-3</v>
      </c>
      <c r="K19">
        <v>4.2490000000000002E-3</v>
      </c>
      <c r="L19">
        <v>4.2490000000000002E-3</v>
      </c>
      <c r="M19">
        <v>4.1920000000000004E-3</v>
      </c>
      <c r="N19">
        <v>4.1989999999999996E-3</v>
      </c>
      <c r="O19">
        <v>4.1929999999999997E-3</v>
      </c>
      <c r="P19">
        <v>4.1929999999999997E-3</v>
      </c>
      <c r="Q19">
        <v>4.1929999999999997E-3</v>
      </c>
      <c r="R19">
        <v>4.1929999999999997E-3</v>
      </c>
      <c r="S19">
        <v>4.1939999999999998E-3</v>
      </c>
      <c r="T19">
        <v>4.1939999999999998E-3</v>
      </c>
      <c r="U19">
        <v>4.1939999999999998E-3</v>
      </c>
      <c r="V19">
        <v>4.1939999999999998E-3</v>
      </c>
      <c r="W19">
        <v>4.1939999999999998E-3</v>
      </c>
      <c r="X19">
        <v>4.1939999999999998E-3</v>
      </c>
      <c r="Y19">
        <v>4.1939999999999998E-3</v>
      </c>
      <c r="Z19">
        <v>4.1949999999999999E-3</v>
      </c>
      <c r="AA19">
        <v>4.1949999999999999E-3</v>
      </c>
      <c r="AB19">
        <v>4.1949999999999999E-3</v>
      </c>
      <c r="AC19">
        <v>4.1949999999999999E-3</v>
      </c>
      <c r="AD19">
        <v>4.1949999999999999E-3</v>
      </c>
      <c r="AE19">
        <v>4.1949999999999999E-3</v>
      </c>
      <c r="AF19">
        <v>4.1949999999999999E-3</v>
      </c>
      <c r="AG19" s="31">
        <v>1.0999999999999999E-2</v>
      </c>
    </row>
    <row r="20" spans="1:33" x14ac:dyDescent="0.25">
      <c r="A20" t="s">
        <v>998</v>
      </c>
      <c r="B20" t="s">
        <v>999</v>
      </c>
      <c r="C20" t="s">
        <v>1000</v>
      </c>
      <c r="D20" t="s">
        <v>73</v>
      </c>
      <c r="F20">
        <v>0.37634899999999999</v>
      </c>
      <c r="G20">
        <v>0.42870900000000001</v>
      </c>
      <c r="H20">
        <v>0.44451099999999999</v>
      </c>
      <c r="I20">
        <v>0.43089499999999997</v>
      </c>
      <c r="J20">
        <v>0.385936</v>
      </c>
      <c r="K20">
        <v>0.37043999999999999</v>
      </c>
      <c r="L20">
        <v>0.37947799999999998</v>
      </c>
      <c r="M20">
        <v>0.40107100000000001</v>
      </c>
      <c r="N20">
        <v>0.41624499999999998</v>
      </c>
      <c r="O20">
        <v>0.41727700000000001</v>
      </c>
      <c r="P20">
        <v>0.42449199999999998</v>
      </c>
      <c r="Q20">
        <v>0.45105600000000001</v>
      </c>
      <c r="R20">
        <v>0.48660599999999998</v>
      </c>
      <c r="S20">
        <v>0.52732800000000002</v>
      </c>
      <c r="T20">
        <v>0.55811299999999997</v>
      </c>
      <c r="U20">
        <v>0.58886700000000003</v>
      </c>
      <c r="V20">
        <v>0.61627200000000004</v>
      </c>
      <c r="W20">
        <v>0.63792800000000005</v>
      </c>
      <c r="X20">
        <v>0.66054500000000005</v>
      </c>
      <c r="Y20">
        <v>0.67862100000000003</v>
      </c>
      <c r="Z20">
        <v>0.69744899999999999</v>
      </c>
      <c r="AA20">
        <v>0.71245199999999997</v>
      </c>
      <c r="AB20">
        <v>0.72658100000000003</v>
      </c>
      <c r="AC20">
        <v>0.73756299999999997</v>
      </c>
      <c r="AD20">
        <v>0.75129699999999999</v>
      </c>
      <c r="AE20">
        <v>0.76016899999999998</v>
      </c>
      <c r="AF20">
        <v>0.76687799999999995</v>
      </c>
      <c r="AG20" s="31">
        <v>2.8000000000000001E-2</v>
      </c>
    </row>
    <row r="21" spans="1:33" x14ac:dyDescent="0.25">
      <c r="A21" t="s">
        <v>300</v>
      </c>
      <c r="B21" t="s">
        <v>1001</v>
      </c>
      <c r="C21" t="s">
        <v>1002</v>
      </c>
      <c r="D21" t="s">
        <v>73</v>
      </c>
      <c r="F21">
        <v>3.4094410000000002</v>
      </c>
      <c r="G21">
        <v>3.8024849999999999</v>
      </c>
      <c r="H21">
        <v>4.3689400000000003</v>
      </c>
      <c r="I21">
        <v>4.6928029999999996</v>
      </c>
      <c r="J21">
        <v>4.8440750000000001</v>
      </c>
      <c r="K21">
        <v>5.067399</v>
      </c>
      <c r="L21">
        <v>5.4154819999999999</v>
      </c>
      <c r="M21">
        <v>5.7938359999999998</v>
      </c>
      <c r="N21">
        <v>6.2255580000000004</v>
      </c>
      <c r="O21">
        <v>6.6744339999999998</v>
      </c>
      <c r="P21">
        <v>7.2109430000000003</v>
      </c>
      <c r="Q21">
        <v>7.8499439999999998</v>
      </c>
      <c r="R21">
        <v>8.4510159999999992</v>
      </c>
      <c r="S21">
        <v>9.1673589999999994</v>
      </c>
      <c r="T21">
        <v>9.6489840000000004</v>
      </c>
      <c r="U21">
        <v>10.328339</v>
      </c>
      <c r="V21">
        <v>10.649784</v>
      </c>
      <c r="W21">
        <v>10.803039999999999</v>
      </c>
      <c r="X21">
        <v>10.975296</v>
      </c>
      <c r="Y21">
        <v>11.190046000000001</v>
      </c>
      <c r="Z21">
        <v>11.380852000000001</v>
      </c>
      <c r="AA21">
        <v>11.55542</v>
      </c>
      <c r="AB21">
        <v>11.771946</v>
      </c>
      <c r="AC21">
        <v>11.940047</v>
      </c>
      <c r="AD21">
        <v>12.114096</v>
      </c>
      <c r="AE21">
        <v>12.275302999999999</v>
      </c>
      <c r="AF21">
        <v>12.507336</v>
      </c>
      <c r="AG21" s="31">
        <v>5.0999999999999997E-2</v>
      </c>
    </row>
    <row r="22" spans="1:33" x14ac:dyDescent="0.25">
      <c r="A22" t="s">
        <v>970</v>
      </c>
      <c r="B22" t="s">
        <v>1003</v>
      </c>
      <c r="C22" t="s">
        <v>1004</v>
      </c>
      <c r="D22" t="s">
        <v>73</v>
      </c>
      <c r="F22">
        <v>0.82672800000000002</v>
      </c>
      <c r="G22">
        <v>0.89715199999999995</v>
      </c>
      <c r="H22">
        <v>0.931477</v>
      </c>
      <c r="I22">
        <v>0.96589999999999998</v>
      </c>
      <c r="J22">
        <v>0.96665199999999996</v>
      </c>
      <c r="K22">
        <v>0.96660199999999996</v>
      </c>
      <c r="L22">
        <v>0.96851200000000004</v>
      </c>
      <c r="M22">
        <v>0.96875199999999995</v>
      </c>
      <c r="N22">
        <v>0.96900299999999995</v>
      </c>
      <c r="O22">
        <v>0.96907500000000002</v>
      </c>
      <c r="P22">
        <v>0.969638</v>
      </c>
      <c r="Q22">
        <v>0.96777100000000005</v>
      </c>
      <c r="R22">
        <v>0.96438100000000004</v>
      </c>
      <c r="S22">
        <v>0.96052899999999997</v>
      </c>
      <c r="T22">
        <v>0.95894800000000002</v>
      </c>
      <c r="U22">
        <v>0.95181800000000005</v>
      </c>
      <c r="V22">
        <v>0.95054400000000006</v>
      </c>
      <c r="W22">
        <v>0.95869000000000004</v>
      </c>
      <c r="X22">
        <v>0.94952800000000004</v>
      </c>
      <c r="Y22">
        <v>0.93635599999999997</v>
      </c>
      <c r="Z22">
        <v>0.93470799999999998</v>
      </c>
      <c r="AA22">
        <v>0.93285200000000001</v>
      </c>
      <c r="AB22">
        <v>0.91908800000000002</v>
      </c>
      <c r="AC22">
        <v>0.93434499999999998</v>
      </c>
      <c r="AD22">
        <v>0.92108500000000004</v>
      </c>
      <c r="AE22">
        <v>0.93660399999999999</v>
      </c>
      <c r="AF22">
        <v>0.93507799999999996</v>
      </c>
      <c r="AG22" s="31">
        <v>5.0000000000000001E-3</v>
      </c>
    </row>
    <row r="23" spans="1:33" x14ac:dyDescent="0.25">
      <c r="A23" t="s">
        <v>1005</v>
      </c>
      <c r="B23" t="s">
        <v>1006</v>
      </c>
      <c r="C23" t="s">
        <v>1007</v>
      </c>
      <c r="D23" t="s">
        <v>73</v>
      </c>
      <c r="F23">
        <v>5.4585000000000002E-2</v>
      </c>
      <c r="G23">
        <v>5.2606E-2</v>
      </c>
      <c r="H23">
        <v>5.7383999999999998E-2</v>
      </c>
      <c r="I23">
        <v>5.9912E-2</v>
      </c>
      <c r="J23">
        <v>6.5179000000000001E-2</v>
      </c>
      <c r="K23">
        <v>7.1532999999999999E-2</v>
      </c>
      <c r="L23">
        <v>7.8267000000000003E-2</v>
      </c>
      <c r="M23">
        <v>8.5013000000000005E-2</v>
      </c>
      <c r="N23">
        <v>9.3808000000000002E-2</v>
      </c>
      <c r="O23">
        <v>0.101664</v>
      </c>
      <c r="P23">
        <v>0.109557</v>
      </c>
      <c r="Q23">
        <v>0.117412</v>
      </c>
      <c r="R23">
        <v>0.12523500000000001</v>
      </c>
      <c r="S23">
        <v>0.134185</v>
      </c>
      <c r="T23">
        <v>0.142483</v>
      </c>
      <c r="U23">
        <v>0.14910599999999999</v>
      </c>
      <c r="V23">
        <v>0.156946</v>
      </c>
      <c r="W23">
        <v>0.163073</v>
      </c>
      <c r="X23">
        <v>0.169849</v>
      </c>
      <c r="Y23">
        <v>0.175511</v>
      </c>
      <c r="Z23">
        <v>0.18178800000000001</v>
      </c>
      <c r="AA23">
        <v>0.18754599999999999</v>
      </c>
      <c r="AB23">
        <v>0.192745</v>
      </c>
      <c r="AC23">
        <v>0.196904</v>
      </c>
      <c r="AD23">
        <v>0.19969700000000001</v>
      </c>
      <c r="AE23">
        <v>0.20152100000000001</v>
      </c>
      <c r="AF23">
        <v>0.20324999999999999</v>
      </c>
      <c r="AG23" s="31">
        <v>5.1999999999999998E-2</v>
      </c>
    </row>
    <row r="24" spans="1:33" x14ac:dyDescent="0.25">
      <c r="A24" t="s">
        <v>1008</v>
      </c>
      <c r="B24" t="s">
        <v>1009</v>
      </c>
      <c r="C24" t="s">
        <v>1010</v>
      </c>
      <c r="D24" t="s">
        <v>73</v>
      </c>
      <c r="F24">
        <v>0.140012</v>
      </c>
      <c r="G24">
        <v>0.149728</v>
      </c>
      <c r="H24">
        <v>0.15862599999999999</v>
      </c>
      <c r="I24">
        <v>0.166548</v>
      </c>
      <c r="J24">
        <v>0.170602</v>
      </c>
      <c r="K24">
        <v>0.17760500000000001</v>
      </c>
      <c r="L24">
        <v>0.18093000000000001</v>
      </c>
      <c r="M24">
        <v>0.18801100000000001</v>
      </c>
      <c r="N24">
        <v>0.19648099999999999</v>
      </c>
      <c r="O24">
        <v>0.204321</v>
      </c>
      <c r="P24">
        <v>0.21057000000000001</v>
      </c>
      <c r="Q24">
        <v>0.21660799999999999</v>
      </c>
      <c r="R24">
        <v>0.22323499999999999</v>
      </c>
      <c r="S24">
        <v>0.231373</v>
      </c>
      <c r="T24">
        <v>0.240032</v>
      </c>
      <c r="U24">
        <v>0.24564900000000001</v>
      </c>
      <c r="V24">
        <v>0.25124400000000002</v>
      </c>
      <c r="W24">
        <v>0.25764799999999999</v>
      </c>
      <c r="X24">
        <v>0.26418999999999998</v>
      </c>
      <c r="Y24">
        <v>0.27070300000000003</v>
      </c>
      <c r="Z24">
        <v>0.274451</v>
      </c>
      <c r="AA24">
        <v>0.27818199999999998</v>
      </c>
      <c r="AB24">
        <v>0.281335</v>
      </c>
      <c r="AC24">
        <v>0.28444700000000001</v>
      </c>
      <c r="AD24">
        <v>0.28774699999999998</v>
      </c>
      <c r="AE24">
        <v>0.28789399999999998</v>
      </c>
      <c r="AF24">
        <v>0.28812700000000002</v>
      </c>
      <c r="AG24" s="31">
        <v>2.8000000000000001E-2</v>
      </c>
    </row>
    <row r="25" spans="1:33" s="34" customFormat="1" x14ac:dyDescent="0.25">
      <c r="A25" s="34" t="s">
        <v>976</v>
      </c>
      <c r="B25" s="34" t="s">
        <v>1011</v>
      </c>
      <c r="C25" s="34" t="s">
        <v>1012</v>
      </c>
      <c r="D25" s="34" t="s">
        <v>73</v>
      </c>
      <c r="F25" s="34">
        <v>0.167184</v>
      </c>
      <c r="G25" s="34">
        <v>0.1668</v>
      </c>
      <c r="H25" s="34">
        <v>0.16641500000000001</v>
      </c>
      <c r="I25" s="34">
        <v>0.16608100000000001</v>
      </c>
      <c r="J25" s="34">
        <v>0.155723</v>
      </c>
      <c r="K25" s="34">
        <v>0.15578800000000001</v>
      </c>
      <c r="L25" s="34">
        <v>0.15754299999999999</v>
      </c>
      <c r="M25" s="34">
        <v>0.156527</v>
      </c>
      <c r="N25" s="34">
        <v>0.16098499999999999</v>
      </c>
      <c r="O25" s="34">
        <v>0.161799</v>
      </c>
      <c r="P25" s="34">
        <v>0.16109000000000001</v>
      </c>
      <c r="Q25" s="34">
        <v>0.16111300000000001</v>
      </c>
      <c r="R25" s="34">
        <v>0.16045200000000001</v>
      </c>
      <c r="S25" s="34">
        <v>0.15835099999999999</v>
      </c>
      <c r="T25" s="34">
        <v>0.15743799999999999</v>
      </c>
      <c r="U25" s="34">
        <v>0.15879099999999999</v>
      </c>
      <c r="V25" s="34">
        <v>0.15968499999999999</v>
      </c>
      <c r="W25" s="34">
        <v>0.15998699999999999</v>
      </c>
      <c r="X25" s="34">
        <v>0.159966</v>
      </c>
      <c r="Y25" s="34">
        <v>0.159964</v>
      </c>
      <c r="Z25" s="34">
        <v>0.159915</v>
      </c>
      <c r="AA25" s="34">
        <v>0.15968499999999999</v>
      </c>
      <c r="AB25" s="34">
        <v>0.15992000000000001</v>
      </c>
      <c r="AC25" s="34">
        <v>0.160882</v>
      </c>
      <c r="AD25" s="34">
        <v>0.16169600000000001</v>
      </c>
      <c r="AE25" s="34">
        <v>0.16573599999999999</v>
      </c>
      <c r="AF25" s="34">
        <v>0.16920199999999999</v>
      </c>
      <c r="AG25" s="35">
        <v>0</v>
      </c>
    </row>
    <row r="26" spans="1:33" x14ac:dyDescent="0.25">
      <c r="A26" t="s">
        <v>1013</v>
      </c>
      <c r="B26" t="s">
        <v>1014</v>
      </c>
      <c r="C26" t="s">
        <v>1015</v>
      </c>
      <c r="D26" t="s">
        <v>73</v>
      </c>
      <c r="F26">
        <v>0.13592000000000001</v>
      </c>
      <c r="G26">
        <v>0.136125</v>
      </c>
      <c r="H26">
        <v>0.13617599999999999</v>
      </c>
      <c r="I26">
        <v>0.135907</v>
      </c>
      <c r="J26">
        <v>0.12787499999999999</v>
      </c>
      <c r="K26">
        <v>0.12843099999999999</v>
      </c>
      <c r="L26">
        <v>0.12977900000000001</v>
      </c>
      <c r="M26">
        <v>0.128913</v>
      </c>
      <c r="N26">
        <v>0.133544</v>
      </c>
      <c r="O26">
        <v>0.13424</v>
      </c>
      <c r="P26">
        <v>0.13290399999999999</v>
      </c>
      <c r="Q26">
        <v>0.13291600000000001</v>
      </c>
      <c r="R26">
        <v>0.13236999999999999</v>
      </c>
      <c r="S26">
        <v>0.130415</v>
      </c>
      <c r="T26">
        <v>0.129501</v>
      </c>
      <c r="U26">
        <v>0.13108300000000001</v>
      </c>
      <c r="V26">
        <v>0.132436</v>
      </c>
      <c r="W26">
        <v>0.13272999999999999</v>
      </c>
      <c r="X26">
        <v>0.13270499999999999</v>
      </c>
      <c r="Y26">
        <v>0.13265299999999999</v>
      </c>
      <c r="Z26">
        <v>0.1326</v>
      </c>
      <c r="AA26">
        <v>0.13239000000000001</v>
      </c>
      <c r="AB26">
        <v>0.132604</v>
      </c>
      <c r="AC26">
        <v>0.133492</v>
      </c>
      <c r="AD26">
        <v>0.13408800000000001</v>
      </c>
      <c r="AE26">
        <v>0.13485900000000001</v>
      </c>
      <c r="AF26">
        <v>0.137713</v>
      </c>
      <c r="AG26" s="31">
        <v>1E-3</v>
      </c>
    </row>
    <row r="27" spans="1:33" x14ac:dyDescent="0.25">
      <c r="A27" t="s">
        <v>1016</v>
      </c>
      <c r="B27" t="s">
        <v>1017</v>
      </c>
      <c r="C27" t="s">
        <v>1018</v>
      </c>
      <c r="D27" t="s">
        <v>73</v>
      </c>
      <c r="F27">
        <v>3.1265000000000001E-2</v>
      </c>
      <c r="G27">
        <v>3.0674E-2</v>
      </c>
      <c r="H27">
        <v>3.0238999999999999E-2</v>
      </c>
      <c r="I27">
        <v>3.0173999999999999E-2</v>
      </c>
      <c r="J27">
        <v>2.7848000000000001E-2</v>
      </c>
      <c r="K27">
        <v>2.7356999999999999E-2</v>
      </c>
      <c r="L27">
        <v>2.7764E-2</v>
      </c>
      <c r="M27">
        <v>2.7614E-2</v>
      </c>
      <c r="N27">
        <v>2.7441E-2</v>
      </c>
      <c r="O27">
        <v>2.7559E-2</v>
      </c>
      <c r="P27">
        <v>2.8187E-2</v>
      </c>
      <c r="Q27">
        <v>2.8197E-2</v>
      </c>
      <c r="R27">
        <v>2.8080999999999998E-2</v>
      </c>
      <c r="S27">
        <v>2.7935999999999999E-2</v>
      </c>
      <c r="T27">
        <v>2.7937E-2</v>
      </c>
      <c r="U27">
        <v>2.7708E-2</v>
      </c>
      <c r="V27">
        <v>2.7248999999999999E-2</v>
      </c>
      <c r="W27">
        <v>2.7258000000000001E-2</v>
      </c>
      <c r="X27">
        <v>2.7261000000000001E-2</v>
      </c>
      <c r="Y27">
        <v>2.7311999999999999E-2</v>
      </c>
      <c r="Z27">
        <v>2.7314000000000001E-2</v>
      </c>
      <c r="AA27">
        <v>2.7295E-2</v>
      </c>
      <c r="AB27">
        <v>2.7314999999999999E-2</v>
      </c>
      <c r="AC27">
        <v>2.7390000000000001E-2</v>
      </c>
      <c r="AD27">
        <v>2.7608000000000001E-2</v>
      </c>
      <c r="AE27">
        <v>3.0877000000000002E-2</v>
      </c>
      <c r="AF27">
        <v>3.1489000000000003E-2</v>
      </c>
      <c r="AG27" s="31">
        <v>0</v>
      </c>
    </row>
    <row r="28" spans="1:33" x14ac:dyDescent="0.25">
      <c r="A28" t="s">
        <v>1019</v>
      </c>
      <c r="B28" t="s">
        <v>1020</v>
      </c>
      <c r="C28" t="s">
        <v>1021</v>
      </c>
      <c r="D28" t="s">
        <v>73</v>
      </c>
      <c r="F28">
        <v>9.1750000000000009E-3</v>
      </c>
      <c r="G28">
        <v>8.6859999999999993E-3</v>
      </c>
      <c r="H28">
        <v>9.6880000000000004E-3</v>
      </c>
      <c r="I28">
        <v>9.6930000000000002E-3</v>
      </c>
      <c r="J28">
        <v>9.6570000000000007E-3</v>
      </c>
      <c r="K28">
        <v>9.6749999999999996E-3</v>
      </c>
      <c r="L28">
        <v>9.6799999999999994E-3</v>
      </c>
      <c r="M28">
        <v>9.6690000000000005E-3</v>
      </c>
      <c r="N28">
        <v>9.6629999999999997E-3</v>
      </c>
      <c r="O28">
        <v>9.6869999999999994E-3</v>
      </c>
      <c r="P28">
        <v>9.6769999999999998E-3</v>
      </c>
      <c r="Q28">
        <v>9.6970000000000008E-3</v>
      </c>
      <c r="R28">
        <v>9.6559999999999997E-3</v>
      </c>
      <c r="S28">
        <v>9.5600000000000008E-3</v>
      </c>
      <c r="T28">
        <v>9.4680000000000007E-3</v>
      </c>
      <c r="U28">
        <v>7.554E-3</v>
      </c>
      <c r="V28">
        <v>6.4450000000000002E-3</v>
      </c>
      <c r="W28">
        <v>7.5690000000000002E-3</v>
      </c>
      <c r="X28">
        <v>7.5969999999999996E-3</v>
      </c>
      <c r="Y28">
        <v>9.0749999999999997E-3</v>
      </c>
      <c r="Z28">
        <v>9.3010000000000002E-3</v>
      </c>
      <c r="AA28">
        <v>9.2399999999999999E-3</v>
      </c>
      <c r="AB28">
        <v>9.2599999999999991E-3</v>
      </c>
      <c r="AC28">
        <v>9.1970000000000003E-3</v>
      </c>
      <c r="AD28">
        <v>9.2899999999999996E-3</v>
      </c>
      <c r="AE28">
        <v>9.221E-3</v>
      </c>
      <c r="AF28">
        <v>9.2270000000000008E-3</v>
      </c>
      <c r="AG28" s="31">
        <v>0</v>
      </c>
    </row>
    <row r="29" spans="1:33" x14ac:dyDescent="0.25">
      <c r="A29" t="s">
        <v>1022</v>
      </c>
      <c r="B29" t="s">
        <v>1023</v>
      </c>
      <c r="C29" t="s">
        <v>1024</v>
      </c>
      <c r="D29" t="s">
        <v>73</v>
      </c>
      <c r="F29">
        <v>0.68770500000000001</v>
      </c>
      <c r="G29">
        <v>0.93038100000000001</v>
      </c>
      <c r="H29">
        <v>1.2473540000000001</v>
      </c>
      <c r="I29">
        <v>1.342533</v>
      </c>
      <c r="J29">
        <v>1.36697</v>
      </c>
      <c r="K29">
        <v>1.4363440000000001</v>
      </c>
      <c r="L29">
        <v>1.580732</v>
      </c>
      <c r="M29">
        <v>1.732823</v>
      </c>
      <c r="N29">
        <v>1.908199</v>
      </c>
      <c r="O29">
        <v>2.0363009999999999</v>
      </c>
      <c r="P29">
        <v>2.1702710000000001</v>
      </c>
      <c r="Q29">
        <v>2.3352539999999999</v>
      </c>
      <c r="R29">
        <v>2.394927</v>
      </c>
      <c r="S29">
        <v>2.4831120000000002</v>
      </c>
      <c r="T29">
        <v>2.5752109999999999</v>
      </c>
      <c r="U29">
        <v>2.7171690000000002</v>
      </c>
      <c r="V29">
        <v>2.7656369999999999</v>
      </c>
      <c r="W29">
        <v>2.7877450000000001</v>
      </c>
      <c r="X29">
        <v>2.8350439999999999</v>
      </c>
      <c r="Y29">
        <v>2.9506770000000002</v>
      </c>
      <c r="Z29">
        <v>3.003978</v>
      </c>
      <c r="AA29">
        <v>3.0858949999999998</v>
      </c>
      <c r="AB29">
        <v>3.1874229999999999</v>
      </c>
      <c r="AC29">
        <v>3.2758959999999999</v>
      </c>
      <c r="AD29">
        <v>3.3774730000000002</v>
      </c>
      <c r="AE29">
        <v>3.4520819999999999</v>
      </c>
      <c r="AF29">
        <v>3.5827580000000001</v>
      </c>
      <c r="AG29" s="31">
        <v>6.6000000000000003E-2</v>
      </c>
    </row>
    <row r="30" spans="1:33" x14ac:dyDescent="0.25">
      <c r="A30" t="s">
        <v>1025</v>
      </c>
      <c r="B30" t="s">
        <v>1026</v>
      </c>
      <c r="C30" t="s">
        <v>1027</v>
      </c>
      <c r="D30" t="s">
        <v>73</v>
      </c>
      <c r="F30">
        <v>1.524052</v>
      </c>
      <c r="G30">
        <v>1.5971329999999999</v>
      </c>
      <c r="H30">
        <v>1.7979970000000001</v>
      </c>
      <c r="I30">
        <v>1.982137</v>
      </c>
      <c r="J30">
        <v>2.1092919999999999</v>
      </c>
      <c r="K30">
        <v>2.2498529999999999</v>
      </c>
      <c r="L30">
        <v>2.4398179999999998</v>
      </c>
      <c r="M30">
        <v>2.6530420000000001</v>
      </c>
      <c r="N30">
        <v>2.887419</v>
      </c>
      <c r="O30">
        <v>3.191586</v>
      </c>
      <c r="P30">
        <v>3.580139</v>
      </c>
      <c r="Q30">
        <v>4.04209</v>
      </c>
      <c r="R30">
        <v>4.5731310000000001</v>
      </c>
      <c r="S30">
        <v>5.1902489999999997</v>
      </c>
      <c r="T30">
        <v>5.5654029999999999</v>
      </c>
      <c r="U30">
        <v>6.0982510000000003</v>
      </c>
      <c r="V30">
        <v>6.3592820000000003</v>
      </c>
      <c r="W30">
        <v>6.4683279999999996</v>
      </c>
      <c r="X30">
        <v>6.5891219999999997</v>
      </c>
      <c r="Y30">
        <v>6.6877599999999999</v>
      </c>
      <c r="Z30">
        <v>6.8167109999999997</v>
      </c>
      <c r="AA30">
        <v>6.9020200000000003</v>
      </c>
      <c r="AB30">
        <v>7.022176</v>
      </c>
      <c r="AC30">
        <v>7.0783759999999996</v>
      </c>
      <c r="AD30">
        <v>7.1571059999999997</v>
      </c>
      <c r="AE30">
        <v>7.222245</v>
      </c>
      <c r="AF30">
        <v>7.319693</v>
      </c>
      <c r="AG30" s="31">
        <v>6.2E-2</v>
      </c>
    </row>
    <row r="31" spans="1:33" x14ac:dyDescent="0.25">
      <c r="A31" t="s">
        <v>1028</v>
      </c>
      <c r="B31" t="s">
        <v>1029</v>
      </c>
      <c r="C31" t="s">
        <v>1030</v>
      </c>
      <c r="D31" t="s">
        <v>73</v>
      </c>
      <c r="F31">
        <v>8.0026060000000001</v>
      </c>
      <c r="G31">
        <v>8.4648479999999999</v>
      </c>
      <c r="H31">
        <v>9.0812589999999993</v>
      </c>
      <c r="I31">
        <v>9.3771620000000002</v>
      </c>
      <c r="J31">
        <v>9.3663059999999998</v>
      </c>
      <c r="K31">
        <v>9.6066199999999995</v>
      </c>
      <c r="L31">
        <v>9.9697790000000008</v>
      </c>
      <c r="M31">
        <v>10.356842</v>
      </c>
      <c r="N31">
        <v>10.791225000000001</v>
      </c>
      <c r="O31">
        <v>11.227115</v>
      </c>
      <c r="P31">
        <v>11.76304</v>
      </c>
      <c r="Q31">
        <v>12.401014999999999</v>
      </c>
      <c r="R31">
        <v>13.016921999999999</v>
      </c>
      <c r="S31">
        <v>13.733831</v>
      </c>
      <c r="T31">
        <v>14.211114</v>
      </c>
      <c r="U31">
        <v>14.894747000000001</v>
      </c>
      <c r="V31">
        <v>15.223579000000001</v>
      </c>
      <c r="W31">
        <v>15.359641999999999</v>
      </c>
      <c r="X31">
        <v>15.521223000000001</v>
      </c>
      <c r="Y31">
        <v>15.720259</v>
      </c>
      <c r="Z31">
        <v>15.910612</v>
      </c>
      <c r="AA31">
        <v>16.093858000000001</v>
      </c>
      <c r="AB31">
        <v>16.320509999999999</v>
      </c>
      <c r="AC31">
        <v>16.506245</v>
      </c>
      <c r="AD31">
        <v>16.694579999999998</v>
      </c>
      <c r="AE31">
        <v>16.875301</v>
      </c>
      <c r="AF31">
        <v>17.126246999999999</v>
      </c>
      <c r="AG31" s="31">
        <v>0.03</v>
      </c>
    </row>
    <row r="32" spans="1:33" x14ac:dyDescent="0.25">
      <c r="A32" t="s">
        <v>1031</v>
      </c>
    </row>
    <row r="33" spans="1:33" x14ac:dyDescent="0.25">
      <c r="A33" t="s">
        <v>1032</v>
      </c>
      <c r="B33" t="s">
        <v>1033</v>
      </c>
      <c r="C33" t="s">
        <v>1034</v>
      </c>
      <c r="D33" t="s">
        <v>73</v>
      </c>
      <c r="F33">
        <v>1.3197970000000001</v>
      </c>
      <c r="G33">
        <v>1.32233</v>
      </c>
      <c r="H33">
        <v>1.33887</v>
      </c>
      <c r="I33">
        <v>1.3395379999999999</v>
      </c>
      <c r="J33">
        <v>1.3393919999999999</v>
      </c>
      <c r="K33">
        <v>1.331488</v>
      </c>
      <c r="L33">
        <v>1.3242119999999999</v>
      </c>
      <c r="M33">
        <v>1.3084260000000001</v>
      </c>
      <c r="N33">
        <v>1.2947329999999999</v>
      </c>
      <c r="O33">
        <v>1.272076</v>
      </c>
      <c r="P33">
        <v>1.250427</v>
      </c>
      <c r="Q33">
        <v>1.2283649999999999</v>
      </c>
      <c r="R33">
        <v>1.2129939999999999</v>
      </c>
      <c r="S33">
        <v>1.1886129999999999</v>
      </c>
      <c r="T33">
        <v>1.166628</v>
      </c>
      <c r="U33">
        <v>1.146074</v>
      </c>
      <c r="V33">
        <v>1.139453</v>
      </c>
      <c r="W33">
        <v>1.124409</v>
      </c>
      <c r="X33">
        <v>1.109761</v>
      </c>
      <c r="Y33">
        <v>1.100222</v>
      </c>
      <c r="Z33">
        <v>1.0967530000000001</v>
      </c>
      <c r="AA33">
        <v>1.097313</v>
      </c>
      <c r="AB33">
        <v>1.093469</v>
      </c>
      <c r="AC33">
        <v>1.093145</v>
      </c>
      <c r="AD33">
        <v>1.0903529999999999</v>
      </c>
      <c r="AE33">
        <v>1.092808</v>
      </c>
      <c r="AF33">
        <v>1.0975839999999999</v>
      </c>
      <c r="AG33" s="31">
        <v>-7.0000000000000001E-3</v>
      </c>
    </row>
    <row r="34" spans="1:33" x14ac:dyDescent="0.25">
      <c r="A34" t="s">
        <v>1035</v>
      </c>
      <c r="B34" t="s">
        <v>1036</v>
      </c>
      <c r="C34" t="s">
        <v>1037</v>
      </c>
      <c r="D34" t="s">
        <v>73</v>
      </c>
      <c r="F34">
        <v>1.493E-3</v>
      </c>
      <c r="G34">
        <v>1.4790000000000001E-3</v>
      </c>
      <c r="H34">
        <v>1.4679999999999999E-3</v>
      </c>
      <c r="I34">
        <v>1.4679999999999999E-3</v>
      </c>
      <c r="J34">
        <v>1.4679999999999999E-3</v>
      </c>
      <c r="K34">
        <v>1.4679999999999999E-3</v>
      </c>
      <c r="L34">
        <v>1.4679999999999999E-3</v>
      </c>
      <c r="M34">
        <v>1.4679999999999999E-3</v>
      </c>
      <c r="N34">
        <v>1.4679999999999999E-3</v>
      </c>
      <c r="O34">
        <v>1.4679999999999999E-3</v>
      </c>
      <c r="P34">
        <v>1.4679999999999999E-3</v>
      </c>
      <c r="Q34">
        <v>1.4679999999999999E-3</v>
      </c>
      <c r="R34">
        <v>1.4679999999999999E-3</v>
      </c>
      <c r="S34">
        <v>1.4679999999999999E-3</v>
      </c>
      <c r="T34">
        <v>1.4679999999999999E-3</v>
      </c>
      <c r="U34">
        <v>1.4679999999999999E-3</v>
      </c>
      <c r="V34">
        <v>1.4679999999999999E-3</v>
      </c>
      <c r="W34">
        <v>1.4679999999999999E-3</v>
      </c>
      <c r="X34">
        <v>1.4679999999999999E-3</v>
      </c>
      <c r="Y34">
        <v>1.4679999999999999E-3</v>
      </c>
      <c r="Z34">
        <v>1.4679999999999999E-3</v>
      </c>
      <c r="AA34">
        <v>1.4679999999999999E-3</v>
      </c>
      <c r="AB34">
        <v>1.4679999999999999E-3</v>
      </c>
      <c r="AC34">
        <v>1.4679999999999999E-3</v>
      </c>
      <c r="AD34">
        <v>1.4679999999999999E-3</v>
      </c>
      <c r="AE34">
        <v>1.4679999999999999E-3</v>
      </c>
      <c r="AF34">
        <v>1.4679999999999999E-3</v>
      </c>
      <c r="AG34" s="31">
        <v>-1E-3</v>
      </c>
    </row>
    <row r="35" spans="1:33" x14ac:dyDescent="0.25">
      <c r="A35" t="s">
        <v>1038</v>
      </c>
      <c r="B35" t="s">
        <v>1039</v>
      </c>
      <c r="C35" t="s">
        <v>1040</v>
      </c>
      <c r="D35" t="s">
        <v>73</v>
      </c>
      <c r="F35">
        <v>-0.15920599999999999</v>
      </c>
      <c r="G35">
        <v>-0.15610399999999999</v>
      </c>
      <c r="H35">
        <v>-0.150285</v>
      </c>
      <c r="I35">
        <v>-0.15056</v>
      </c>
      <c r="J35">
        <v>-0.15933600000000001</v>
      </c>
      <c r="K35">
        <v>-0.16490199999999999</v>
      </c>
      <c r="L35">
        <v>-0.17758299999999999</v>
      </c>
      <c r="M35">
        <v>-0.18207300000000001</v>
      </c>
      <c r="N35">
        <v>-0.19475899999999999</v>
      </c>
      <c r="O35">
        <v>-0.19962199999999999</v>
      </c>
      <c r="P35">
        <v>-0.20461099999999999</v>
      </c>
      <c r="Q35">
        <v>-0.209726</v>
      </c>
      <c r="R35">
        <v>-0.22473899999999999</v>
      </c>
      <c r="S35">
        <v>-0.23036699999999999</v>
      </c>
      <c r="T35">
        <v>-0.236128</v>
      </c>
      <c r="U35">
        <v>-0.24202000000000001</v>
      </c>
      <c r="V35">
        <v>-0.25886399999999998</v>
      </c>
      <c r="W35">
        <v>-0.26534000000000002</v>
      </c>
      <c r="X35">
        <v>-0.27197100000000002</v>
      </c>
      <c r="Y35">
        <v>-0.27877400000000002</v>
      </c>
      <c r="Z35">
        <v>-0.29190899999999997</v>
      </c>
      <c r="AA35">
        <v>-0.30508299999999999</v>
      </c>
      <c r="AB35">
        <v>-0.31270799999999999</v>
      </c>
      <c r="AC35">
        <v>-0.32052999999999998</v>
      </c>
      <c r="AD35">
        <v>-0.32853100000000002</v>
      </c>
      <c r="AE35">
        <v>-0.33674799999999999</v>
      </c>
      <c r="AF35">
        <v>-0.34517999999999999</v>
      </c>
      <c r="AG35" s="31">
        <v>0.03</v>
      </c>
    </row>
    <row r="36" spans="1:33" x14ac:dyDescent="0.25">
      <c r="A36" t="s">
        <v>1041</v>
      </c>
      <c r="B36" t="s">
        <v>1042</v>
      </c>
      <c r="C36" t="s">
        <v>1043</v>
      </c>
      <c r="D36" t="s">
        <v>73</v>
      </c>
      <c r="F36">
        <v>1.1620839999999999</v>
      </c>
      <c r="G36">
        <v>1.167705</v>
      </c>
      <c r="H36">
        <v>1.190053</v>
      </c>
      <c r="I36">
        <v>1.1904459999999999</v>
      </c>
      <c r="J36">
        <v>1.181524</v>
      </c>
      <c r="K36">
        <v>1.1680539999999999</v>
      </c>
      <c r="L36">
        <v>1.1480980000000001</v>
      </c>
      <c r="M36">
        <v>1.12782</v>
      </c>
      <c r="N36">
        <v>1.101442</v>
      </c>
      <c r="O36">
        <v>1.073922</v>
      </c>
      <c r="P36">
        <v>1.0472840000000001</v>
      </c>
      <c r="Q36">
        <v>1.0201070000000001</v>
      </c>
      <c r="R36">
        <v>0.98972300000000002</v>
      </c>
      <c r="S36">
        <v>0.95971300000000004</v>
      </c>
      <c r="T36">
        <v>0.93196800000000002</v>
      </c>
      <c r="U36">
        <v>0.90552200000000005</v>
      </c>
      <c r="V36">
        <v>0.88205699999999998</v>
      </c>
      <c r="W36">
        <v>0.860537</v>
      </c>
      <c r="X36">
        <v>0.83925899999999998</v>
      </c>
      <c r="Y36">
        <v>0.82291599999999998</v>
      </c>
      <c r="Z36">
        <v>0.80631200000000003</v>
      </c>
      <c r="AA36">
        <v>0.79369800000000001</v>
      </c>
      <c r="AB36">
        <v>0.78222899999999995</v>
      </c>
      <c r="AC36">
        <v>0.77408299999999997</v>
      </c>
      <c r="AD36">
        <v>0.76329000000000002</v>
      </c>
      <c r="AE36">
        <v>0.75752799999999998</v>
      </c>
      <c r="AF36">
        <v>0.75387199999999999</v>
      </c>
      <c r="AG36" s="31">
        <v>-1.7000000000000001E-2</v>
      </c>
    </row>
    <row r="37" spans="1:33" x14ac:dyDescent="0.25">
      <c r="A37" t="s">
        <v>1044</v>
      </c>
    </row>
    <row r="38" spans="1:33" x14ac:dyDescent="0.25">
      <c r="A38" t="s">
        <v>1045</v>
      </c>
    </row>
    <row r="39" spans="1:33" x14ac:dyDescent="0.25">
      <c r="A39" t="s">
        <v>69</v>
      </c>
      <c r="B39" t="s">
        <v>1046</v>
      </c>
      <c r="C39" t="s">
        <v>1047</v>
      </c>
      <c r="D39" t="s">
        <v>73</v>
      </c>
      <c r="F39">
        <v>0.25070999999999999</v>
      </c>
      <c r="G39">
        <v>0.287551</v>
      </c>
      <c r="H39">
        <v>0.32513500000000001</v>
      </c>
      <c r="I39">
        <v>0.35936699999999999</v>
      </c>
      <c r="J39">
        <v>0.394318</v>
      </c>
      <c r="K39">
        <v>0.42581400000000003</v>
      </c>
      <c r="L39">
        <v>0.46023199999999997</v>
      </c>
      <c r="M39">
        <v>0.49695800000000001</v>
      </c>
      <c r="N39">
        <v>0.53347299999999997</v>
      </c>
      <c r="O39">
        <v>0.56772699999999998</v>
      </c>
      <c r="P39">
        <v>0.60225600000000001</v>
      </c>
      <c r="Q39">
        <v>0.62841100000000005</v>
      </c>
      <c r="R39">
        <v>0.65540699999999996</v>
      </c>
      <c r="S39">
        <v>0.68242899999999995</v>
      </c>
      <c r="T39">
        <v>0.71077199999999996</v>
      </c>
      <c r="U39">
        <v>0.73926999999999998</v>
      </c>
      <c r="V39">
        <v>0.76741099999999995</v>
      </c>
      <c r="W39">
        <v>0.79654499999999995</v>
      </c>
      <c r="X39">
        <v>0.82670600000000005</v>
      </c>
      <c r="Y39">
        <v>0.85719599999999996</v>
      </c>
      <c r="Z39">
        <v>0.88811300000000004</v>
      </c>
      <c r="AA39">
        <v>0.92008699999999999</v>
      </c>
      <c r="AB39">
        <v>0.952824</v>
      </c>
      <c r="AC39">
        <v>0.98614100000000005</v>
      </c>
      <c r="AD39">
        <v>1.0204139999999999</v>
      </c>
      <c r="AE39">
        <v>1.055277</v>
      </c>
      <c r="AF39">
        <v>1.0907009999999999</v>
      </c>
      <c r="AG39" s="31">
        <v>5.8000000000000003E-2</v>
      </c>
    </row>
    <row r="40" spans="1:33" x14ac:dyDescent="0.25">
      <c r="A40" t="s">
        <v>1048</v>
      </c>
      <c r="B40" t="s">
        <v>1049</v>
      </c>
      <c r="C40" t="s">
        <v>1050</v>
      </c>
      <c r="D40" t="s">
        <v>73</v>
      </c>
      <c r="F40">
        <v>3.5525000000000001E-2</v>
      </c>
      <c r="G40">
        <v>4.2154999999999998E-2</v>
      </c>
      <c r="H40">
        <v>4.9197999999999999E-2</v>
      </c>
      <c r="I40">
        <v>5.5101999999999998E-2</v>
      </c>
      <c r="J40">
        <v>6.1130999999999998E-2</v>
      </c>
      <c r="K40">
        <v>6.3326999999999994E-2</v>
      </c>
      <c r="L40">
        <v>6.6035999999999997E-2</v>
      </c>
      <c r="M40">
        <v>6.8473999999999993E-2</v>
      </c>
      <c r="N40">
        <v>7.1068999999999993E-2</v>
      </c>
      <c r="O40">
        <v>7.1028999999999995E-2</v>
      </c>
      <c r="P40">
        <v>7.1830000000000005E-2</v>
      </c>
      <c r="Q40">
        <v>7.1848999999999996E-2</v>
      </c>
      <c r="R40">
        <v>7.1915999999999994E-2</v>
      </c>
      <c r="S40">
        <v>7.1802000000000005E-2</v>
      </c>
      <c r="T40">
        <v>7.1684999999999999E-2</v>
      </c>
      <c r="U40">
        <v>7.1600999999999998E-2</v>
      </c>
      <c r="V40">
        <v>7.0626999999999995E-2</v>
      </c>
      <c r="W40">
        <v>7.0499000000000006E-2</v>
      </c>
      <c r="X40">
        <v>7.0574999999999999E-2</v>
      </c>
      <c r="Y40">
        <v>7.0643999999999998E-2</v>
      </c>
      <c r="Z40">
        <v>7.0710999999999996E-2</v>
      </c>
      <c r="AA40">
        <v>7.0803000000000005E-2</v>
      </c>
      <c r="AB40">
        <v>7.1024000000000004E-2</v>
      </c>
      <c r="AC40">
        <v>7.0883000000000002E-2</v>
      </c>
      <c r="AD40">
        <v>7.0941000000000004E-2</v>
      </c>
      <c r="AE40">
        <v>7.0837999999999998E-2</v>
      </c>
      <c r="AF40">
        <v>7.0930000000000007E-2</v>
      </c>
      <c r="AG40" s="31">
        <v>2.7E-2</v>
      </c>
    </row>
    <row r="41" spans="1:33" x14ac:dyDescent="0.25">
      <c r="A41" t="s">
        <v>1022</v>
      </c>
      <c r="B41" t="s">
        <v>1051</v>
      </c>
      <c r="C41" t="s">
        <v>1052</v>
      </c>
      <c r="D41" t="s">
        <v>73</v>
      </c>
      <c r="F41">
        <v>0.213925</v>
      </c>
      <c r="G41">
        <v>0.243256</v>
      </c>
      <c r="H41">
        <v>0.27293600000000001</v>
      </c>
      <c r="I41">
        <v>0.30086299999999999</v>
      </c>
      <c r="J41">
        <v>0.32933800000000002</v>
      </c>
      <c r="K41">
        <v>0.35815399999999997</v>
      </c>
      <c r="L41">
        <v>0.38893499999999998</v>
      </c>
      <c r="M41">
        <v>0.42200100000000001</v>
      </c>
      <c r="N41">
        <v>0.45467999999999997</v>
      </c>
      <c r="O41">
        <v>0.48855199999999999</v>
      </c>
      <c r="P41">
        <v>0.52208299999999996</v>
      </c>
      <c r="Q41">
        <v>0.54821399999999998</v>
      </c>
      <c r="R41">
        <v>0.57513899999999996</v>
      </c>
      <c r="S41">
        <v>0.602267</v>
      </c>
      <c r="T41">
        <v>0.63071900000000003</v>
      </c>
      <c r="U41">
        <v>0.65929400000000005</v>
      </c>
      <c r="V41">
        <v>0.68840000000000001</v>
      </c>
      <c r="W41">
        <v>0.71765100000000004</v>
      </c>
      <c r="X41">
        <v>0.74772400000000006</v>
      </c>
      <c r="Y41">
        <v>0.77813500000000002</v>
      </c>
      <c r="Z41">
        <v>0.80897300000000005</v>
      </c>
      <c r="AA41">
        <v>0.84084300000000001</v>
      </c>
      <c r="AB41">
        <v>0.87334699999999998</v>
      </c>
      <c r="AC41">
        <v>0.90679200000000004</v>
      </c>
      <c r="AD41">
        <v>0.94099200000000005</v>
      </c>
      <c r="AE41">
        <v>0.97594499999999995</v>
      </c>
      <c r="AF41">
        <v>1.0112620000000001</v>
      </c>
      <c r="AG41" s="31">
        <v>6.2E-2</v>
      </c>
    </row>
    <row r="42" spans="1:33" x14ac:dyDescent="0.25">
      <c r="A42" t="s">
        <v>1025</v>
      </c>
      <c r="B42" t="s">
        <v>1053</v>
      </c>
      <c r="C42" t="s">
        <v>1054</v>
      </c>
      <c r="D42" t="s">
        <v>73</v>
      </c>
      <c r="F42">
        <v>1.2600000000000001E-3</v>
      </c>
      <c r="G42">
        <v>2.14E-3</v>
      </c>
      <c r="H42">
        <v>3.0010000000000002E-3</v>
      </c>
      <c r="I42">
        <v>3.4009999999999999E-3</v>
      </c>
      <c r="J42">
        <v>3.849E-3</v>
      </c>
      <c r="K42">
        <v>4.333E-3</v>
      </c>
      <c r="L42">
        <v>5.2610000000000001E-3</v>
      </c>
      <c r="M42">
        <v>6.483E-3</v>
      </c>
      <c r="N42">
        <v>7.7250000000000001E-3</v>
      </c>
      <c r="O42">
        <v>8.1460000000000005E-3</v>
      </c>
      <c r="P42">
        <v>8.3420000000000005E-3</v>
      </c>
      <c r="Q42">
        <v>8.3470000000000003E-3</v>
      </c>
      <c r="R42">
        <v>8.3529999999999993E-3</v>
      </c>
      <c r="S42">
        <v>8.3590000000000001E-3</v>
      </c>
      <c r="T42">
        <v>8.3669999999999994E-3</v>
      </c>
      <c r="U42">
        <v>8.3750000000000005E-3</v>
      </c>
      <c r="V42">
        <v>8.3850000000000001E-3</v>
      </c>
      <c r="W42">
        <v>8.3949999999999997E-3</v>
      </c>
      <c r="X42">
        <v>8.4060000000000003E-3</v>
      </c>
      <c r="Y42">
        <v>8.4169999999999991E-3</v>
      </c>
      <c r="Z42">
        <v>8.4290000000000007E-3</v>
      </c>
      <c r="AA42">
        <v>8.4410000000000006E-3</v>
      </c>
      <c r="AB42">
        <v>8.4530000000000004E-3</v>
      </c>
      <c r="AC42">
        <v>8.4659999999999996E-3</v>
      </c>
      <c r="AD42">
        <v>8.4799999999999997E-3</v>
      </c>
      <c r="AE42">
        <v>8.4939999999999998E-3</v>
      </c>
      <c r="AF42">
        <v>8.5089999999999992E-3</v>
      </c>
      <c r="AG42" s="31">
        <v>7.5999999999999998E-2</v>
      </c>
    </row>
    <row r="43" spans="1:33" x14ac:dyDescent="0.25">
      <c r="A43" t="s">
        <v>98</v>
      </c>
      <c r="B43" t="s">
        <v>1055</v>
      </c>
      <c r="C43" t="s">
        <v>1056</v>
      </c>
      <c r="D43" t="s">
        <v>73</v>
      </c>
      <c r="F43">
        <v>0.20818700000000001</v>
      </c>
      <c r="G43">
        <v>0.22262299999999999</v>
      </c>
      <c r="H43">
        <v>0.238958</v>
      </c>
      <c r="I43">
        <v>0.24516399999999999</v>
      </c>
      <c r="J43">
        <v>0.25129499999999999</v>
      </c>
      <c r="K43">
        <v>0.26062600000000002</v>
      </c>
      <c r="L43">
        <v>0.27226099999999998</v>
      </c>
      <c r="M43">
        <v>0.28645100000000001</v>
      </c>
      <c r="N43">
        <v>0.29979099999999997</v>
      </c>
      <c r="O43">
        <v>0.31357200000000002</v>
      </c>
      <c r="P43">
        <v>0.32410099999999997</v>
      </c>
      <c r="Q43">
        <v>0.33045600000000003</v>
      </c>
      <c r="R43">
        <v>0.33585100000000001</v>
      </c>
      <c r="S43">
        <v>0.341582</v>
      </c>
      <c r="T43">
        <v>0.35016999999999998</v>
      </c>
      <c r="U43">
        <v>0.35488599999999998</v>
      </c>
      <c r="V43">
        <v>0.35919299999999998</v>
      </c>
      <c r="W43">
        <v>0.36735000000000001</v>
      </c>
      <c r="X43">
        <v>0.37542900000000001</v>
      </c>
      <c r="Y43">
        <v>0.384299</v>
      </c>
      <c r="Z43">
        <v>0.39327800000000002</v>
      </c>
      <c r="AA43">
        <v>0.40249499999999999</v>
      </c>
      <c r="AB43">
        <v>0.41093800000000003</v>
      </c>
      <c r="AC43">
        <v>0.42058000000000001</v>
      </c>
      <c r="AD43">
        <v>0.43068699999999999</v>
      </c>
      <c r="AE43">
        <v>0.44046400000000002</v>
      </c>
      <c r="AF43">
        <v>0.45111099999999998</v>
      </c>
      <c r="AG43" s="31">
        <v>0.03</v>
      </c>
    </row>
    <row r="44" spans="1:33" x14ac:dyDescent="0.25">
      <c r="A44" t="s">
        <v>1019</v>
      </c>
      <c r="B44" t="s">
        <v>1057</v>
      </c>
      <c r="C44" t="s">
        <v>1058</v>
      </c>
      <c r="D44" t="s">
        <v>73</v>
      </c>
      <c r="F44">
        <v>6.5970000000000001E-2</v>
      </c>
      <c r="G44">
        <v>6.3522999999999996E-2</v>
      </c>
      <c r="H44">
        <v>6.3383999999999996E-2</v>
      </c>
      <c r="I44">
        <v>6.2599000000000002E-2</v>
      </c>
      <c r="J44">
        <v>6.1945E-2</v>
      </c>
      <c r="K44">
        <v>6.1422999999999998E-2</v>
      </c>
      <c r="L44">
        <v>6.1378000000000002E-2</v>
      </c>
      <c r="M44">
        <v>6.0734999999999997E-2</v>
      </c>
      <c r="N44">
        <v>6.0531000000000001E-2</v>
      </c>
      <c r="O44">
        <v>5.8259999999999999E-2</v>
      </c>
      <c r="P44">
        <v>5.8207000000000002E-2</v>
      </c>
      <c r="Q44">
        <v>5.8236999999999997E-2</v>
      </c>
      <c r="R44">
        <v>5.8220000000000001E-2</v>
      </c>
      <c r="S44">
        <v>5.8090999999999997E-2</v>
      </c>
      <c r="T44">
        <v>5.7847999999999997E-2</v>
      </c>
      <c r="U44">
        <v>5.7544999999999999E-2</v>
      </c>
      <c r="V44">
        <v>5.6179E-2</v>
      </c>
      <c r="W44">
        <v>5.5989999999999998E-2</v>
      </c>
      <c r="X44">
        <v>5.5925000000000002E-2</v>
      </c>
      <c r="Y44">
        <v>5.5865999999999999E-2</v>
      </c>
      <c r="Z44">
        <v>5.5857999999999998E-2</v>
      </c>
      <c r="AA44">
        <v>5.5774999999999998E-2</v>
      </c>
      <c r="AB44">
        <v>5.5778000000000001E-2</v>
      </c>
      <c r="AC44">
        <v>5.5605000000000002E-2</v>
      </c>
      <c r="AD44">
        <v>5.5572000000000003E-2</v>
      </c>
      <c r="AE44">
        <v>5.5527E-2</v>
      </c>
      <c r="AF44">
        <v>5.5449999999999999E-2</v>
      </c>
      <c r="AG44" s="31">
        <v>-7.0000000000000001E-3</v>
      </c>
    </row>
    <row r="45" spans="1:33" x14ac:dyDescent="0.25">
      <c r="A45" t="s">
        <v>1022</v>
      </c>
      <c r="B45" t="s">
        <v>1059</v>
      </c>
      <c r="C45" t="s">
        <v>1060</v>
      </c>
      <c r="D45" t="s">
        <v>73</v>
      </c>
      <c r="F45">
        <v>0.13968800000000001</v>
      </c>
      <c r="G45">
        <v>0.15656900000000001</v>
      </c>
      <c r="H45">
        <v>0.173044</v>
      </c>
      <c r="I45">
        <v>0.180036</v>
      </c>
      <c r="J45">
        <v>0.18681900000000001</v>
      </c>
      <c r="K45">
        <v>0.19666700000000001</v>
      </c>
      <c r="L45">
        <v>0.208341</v>
      </c>
      <c r="M45">
        <v>0.223166</v>
      </c>
      <c r="N45">
        <v>0.23669999999999999</v>
      </c>
      <c r="O45">
        <v>0.25273600000000002</v>
      </c>
      <c r="P45">
        <v>0.26331300000000002</v>
      </c>
      <c r="Q45">
        <v>0.26963599999999999</v>
      </c>
      <c r="R45">
        <v>0.27504699999999999</v>
      </c>
      <c r="S45">
        <v>0.28090700000000002</v>
      </c>
      <c r="T45">
        <v>0.28973500000000002</v>
      </c>
      <c r="U45">
        <v>0.29475000000000001</v>
      </c>
      <c r="V45">
        <v>0.30042099999999999</v>
      </c>
      <c r="W45">
        <v>0.30876300000000001</v>
      </c>
      <c r="X45">
        <v>0.31690400000000002</v>
      </c>
      <c r="Y45">
        <v>0.32583099999999998</v>
      </c>
      <c r="Z45">
        <v>0.334814</v>
      </c>
      <c r="AA45">
        <v>0.34411000000000003</v>
      </c>
      <c r="AB45">
        <v>0.35254600000000003</v>
      </c>
      <c r="AC45">
        <v>0.36235699999999998</v>
      </c>
      <c r="AD45">
        <v>0.37249199999999999</v>
      </c>
      <c r="AE45">
        <v>0.38231100000000001</v>
      </c>
      <c r="AF45">
        <v>0.39302799999999999</v>
      </c>
      <c r="AG45" s="31">
        <v>4.1000000000000002E-2</v>
      </c>
    </row>
    <row r="46" spans="1:33" x14ac:dyDescent="0.25">
      <c r="A46" t="s">
        <v>1025</v>
      </c>
      <c r="B46" t="s">
        <v>1061</v>
      </c>
      <c r="C46" t="s">
        <v>1062</v>
      </c>
      <c r="D46" t="s">
        <v>73</v>
      </c>
      <c r="F46">
        <v>2.529E-3</v>
      </c>
      <c r="G46">
        <v>2.5309999999999998E-3</v>
      </c>
      <c r="H46">
        <v>2.5300000000000001E-3</v>
      </c>
      <c r="I46">
        <v>2.5300000000000001E-3</v>
      </c>
      <c r="J46">
        <v>2.5300000000000001E-3</v>
      </c>
      <c r="K46">
        <v>2.5360000000000001E-3</v>
      </c>
      <c r="L46">
        <v>2.542E-3</v>
      </c>
      <c r="M46">
        <v>2.5490000000000001E-3</v>
      </c>
      <c r="N46">
        <v>2.5600000000000002E-3</v>
      </c>
      <c r="O46">
        <v>2.5760000000000002E-3</v>
      </c>
      <c r="P46">
        <v>2.5820000000000001E-3</v>
      </c>
      <c r="Q46">
        <v>2.5829999999999998E-3</v>
      </c>
      <c r="R46">
        <v>2.5839999999999999E-3</v>
      </c>
      <c r="S46">
        <v>2.5850000000000001E-3</v>
      </c>
      <c r="T46">
        <v>2.588E-3</v>
      </c>
      <c r="U46">
        <v>2.5899999999999999E-3</v>
      </c>
      <c r="V46">
        <v>2.5929999999999998E-3</v>
      </c>
      <c r="W46">
        <v>2.5969999999999999E-3</v>
      </c>
      <c r="X46">
        <v>2.5999999999999999E-3</v>
      </c>
      <c r="Y46">
        <v>2.6020000000000001E-3</v>
      </c>
      <c r="Z46">
        <v>2.6059999999999998E-3</v>
      </c>
      <c r="AA46">
        <v>2.611E-3</v>
      </c>
      <c r="AB46">
        <v>2.614E-3</v>
      </c>
      <c r="AC46">
        <v>2.6180000000000001E-3</v>
      </c>
      <c r="AD46">
        <v>2.6220000000000002E-3</v>
      </c>
      <c r="AE46">
        <v>2.6259999999999999E-3</v>
      </c>
      <c r="AF46">
        <v>2.6319999999999998E-3</v>
      </c>
      <c r="AG46" s="31">
        <v>2E-3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59"/>
  <sheetViews>
    <sheetView topLeftCell="A133" workbookViewId="0">
      <selection activeCell="B145" sqref="B145"/>
    </sheetView>
  </sheetViews>
  <sheetFormatPr defaultRowHeight="15" x14ac:dyDescent="0.25"/>
  <sheetData>
    <row r="1" spans="1:31" x14ac:dyDescent="0.25">
      <c r="A1" t="s">
        <v>61</v>
      </c>
    </row>
    <row r="2" spans="1:31" x14ac:dyDescent="0.25">
      <c r="A2" t="s">
        <v>1063</v>
      </c>
    </row>
    <row r="3" spans="1:31" x14ac:dyDescent="0.25">
      <c r="A3" t="s">
        <v>1064</v>
      </c>
    </row>
    <row r="4" spans="1:31" x14ac:dyDescent="0.25">
      <c r="A4" t="s">
        <v>64</v>
      </c>
    </row>
    <row r="5" spans="1:31" x14ac:dyDescent="0.25">
      <c r="B5" t="s">
        <v>65</v>
      </c>
      <c r="C5" t="s">
        <v>66</v>
      </c>
      <c r="D5" t="s">
        <v>67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1065</v>
      </c>
    </row>
    <row r="6" spans="1:31" x14ac:dyDescent="0.25">
      <c r="A6" t="s">
        <v>69</v>
      </c>
    </row>
    <row r="7" spans="1:31" x14ac:dyDescent="0.25">
      <c r="A7" t="s">
        <v>70</v>
      </c>
      <c r="B7" t="s">
        <v>1066</v>
      </c>
      <c r="C7" t="s">
        <v>1067</v>
      </c>
      <c r="D7" t="s">
        <v>73</v>
      </c>
      <c r="E7">
        <v>0.52449999999999997</v>
      </c>
      <c r="F7">
        <v>0.51371999999999995</v>
      </c>
      <c r="G7">
        <v>0.49554100000000001</v>
      </c>
      <c r="H7">
        <v>0.49621100000000001</v>
      </c>
      <c r="I7">
        <v>0.493311</v>
      </c>
      <c r="J7">
        <v>0.48892799999999997</v>
      </c>
      <c r="K7">
        <v>0.48348600000000003</v>
      </c>
      <c r="L7">
        <v>0.478163</v>
      </c>
      <c r="M7">
        <v>0.47320299999999998</v>
      </c>
      <c r="N7">
        <v>0.46906199999999998</v>
      </c>
      <c r="O7">
        <v>0.46562100000000001</v>
      </c>
      <c r="P7">
        <v>0.46248299999999998</v>
      </c>
      <c r="Q7">
        <v>0.45942899999999998</v>
      </c>
      <c r="R7">
        <v>0.45647500000000002</v>
      </c>
      <c r="S7">
        <v>0.45356600000000002</v>
      </c>
      <c r="T7">
        <v>0.45089800000000002</v>
      </c>
      <c r="U7">
        <v>0.44853900000000002</v>
      </c>
      <c r="V7">
        <v>0.44673800000000002</v>
      </c>
      <c r="W7">
        <v>0.44541599999999998</v>
      </c>
      <c r="X7">
        <v>0.44447900000000001</v>
      </c>
      <c r="Y7">
        <v>0.44374599999999997</v>
      </c>
      <c r="Z7">
        <v>0.44297599999999998</v>
      </c>
      <c r="AA7">
        <v>0.44201200000000002</v>
      </c>
      <c r="AB7">
        <v>0.44099100000000002</v>
      </c>
      <c r="AC7">
        <v>0.44002000000000002</v>
      </c>
      <c r="AD7">
        <v>0.439191</v>
      </c>
      <c r="AE7" t="s">
        <v>1068</v>
      </c>
    </row>
    <row r="8" spans="1:31" x14ac:dyDescent="0.25">
      <c r="A8" t="s">
        <v>74</v>
      </c>
      <c r="B8" t="s">
        <v>1069</v>
      </c>
      <c r="C8" t="s">
        <v>1070</v>
      </c>
      <c r="D8" t="s">
        <v>73</v>
      </c>
      <c r="E8">
        <v>0.48927999999999999</v>
      </c>
      <c r="F8">
        <v>0.47136</v>
      </c>
      <c r="G8">
        <v>0.46495199999999998</v>
      </c>
      <c r="H8">
        <v>0.45650000000000002</v>
      </c>
      <c r="I8">
        <v>0.44762400000000002</v>
      </c>
      <c r="J8">
        <v>0.43974600000000003</v>
      </c>
      <c r="K8">
        <v>0.43198300000000001</v>
      </c>
      <c r="L8">
        <v>0.42481200000000002</v>
      </c>
      <c r="M8">
        <v>0.41794500000000001</v>
      </c>
      <c r="N8">
        <v>0.41185100000000002</v>
      </c>
      <c r="O8">
        <v>0.40607300000000002</v>
      </c>
      <c r="P8">
        <v>0.40047300000000002</v>
      </c>
      <c r="Q8">
        <v>0.39501900000000001</v>
      </c>
      <c r="R8">
        <v>0.38974199999999998</v>
      </c>
      <c r="S8">
        <v>0.38463999999999998</v>
      </c>
      <c r="T8">
        <v>0.37959500000000002</v>
      </c>
      <c r="U8">
        <v>0.37457200000000002</v>
      </c>
      <c r="V8">
        <v>0.36974099999999999</v>
      </c>
      <c r="W8">
        <v>0.36496899999999999</v>
      </c>
      <c r="X8">
        <v>0.36033500000000002</v>
      </c>
      <c r="Y8">
        <v>0.35574</v>
      </c>
      <c r="Z8">
        <v>0.35123799999999999</v>
      </c>
      <c r="AA8">
        <v>0.34672399999999998</v>
      </c>
      <c r="AB8">
        <v>0.34224399999999999</v>
      </c>
      <c r="AC8">
        <v>0.33780500000000002</v>
      </c>
      <c r="AD8">
        <v>0.33354699999999998</v>
      </c>
      <c r="AE8" t="s">
        <v>1071</v>
      </c>
    </row>
    <row r="9" spans="1:31" x14ac:dyDescent="0.25">
      <c r="A9" t="s">
        <v>77</v>
      </c>
      <c r="B9" t="s">
        <v>1072</v>
      </c>
      <c r="C9" t="s">
        <v>1073</v>
      </c>
      <c r="D9" t="s">
        <v>73</v>
      </c>
      <c r="E9">
        <v>1.0137799999999999</v>
      </c>
      <c r="F9">
        <v>0.98507999999999996</v>
      </c>
      <c r="G9">
        <v>0.96049200000000001</v>
      </c>
      <c r="H9">
        <v>0.95271099999999997</v>
      </c>
      <c r="I9">
        <v>0.94093499999999997</v>
      </c>
      <c r="J9">
        <v>0.928674</v>
      </c>
      <c r="K9">
        <v>0.91546899999999998</v>
      </c>
      <c r="L9">
        <v>0.90297499999999997</v>
      </c>
      <c r="M9">
        <v>0.89114800000000005</v>
      </c>
      <c r="N9">
        <v>0.88091399999999997</v>
      </c>
      <c r="O9">
        <v>0.87169399999999997</v>
      </c>
      <c r="P9">
        <v>0.86295500000000003</v>
      </c>
      <c r="Q9">
        <v>0.85444900000000001</v>
      </c>
      <c r="R9">
        <v>0.846217</v>
      </c>
      <c r="S9">
        <v>0.83820600000000001</v>
      </c>
      <c r="T9">
        <v>0.83049300000000004</v>
      </c>
      <c r="U9">
        <v>0.82311000000000001</v>
      </c>
      <c r="V9">
        <v>0.81647899999999995</v>
      </c>
      <c r="W9">
        <v>0.81038500000000002</v>
      </c>
      <c r="X9">
        <v>0.80481400000000003</v>
      </c>
      <c r="Y9">
        <v>0.79948600000000003</v>
      </c>
      <c r="Z9">
        <v>0.79421399999999998</v>
      </c>
      <c r="AA9">
        <v>0.78873599999999999</v>
      </c>
      <c r="AB9">
        <v>0.78323500000000001</v>
      </c>
      <c r="AC9">
        <v>0.77782399999999996</v>
      </c>
      <c r="AD9">
        <v>0.77273800000000004</v>
      </c>
      <c r="AE9" t="s">
        <v>1074</v>
      </c>
    </row>
    <row r="10" spans="1:31" x14ac:dyDescent="0.25">
      <c r="A10" t="s">
        <v>80</v>
      </c>
      <c r="B10" t="s">
        <v>1075</v>
      </c>
      <c r="C10" t="s">
        <v>1076</v>
      </c>
      <c r="D10" t="s">
        <v>73</v>
      </c>
      <c r="E10">
        <v>4.9260799999999998</v>
      </c>
      <c r="F10">
        <v>4.7562720000000001</v>
      </c>
      <c r="G10">
        <v>4.8871929999999999</v>
      </c>
      <c r="H10">
        <v>4.8800569999999999</v>
      </c>
      <c r="I10">
        <v>4.8419410000000003</v>
      </c>
      <c r="J10">
        <v>4.7928750000000004</v>
      </c>
      <c r="K10">
        <v>4.7416289999999996</v>
      </c>
      <c r="L10">
        <v>4.6952059999999998</v>
      </c>
      <c r="M10">
        <v>4.6477890000000004</v>
      </c>
      <c r="N10">
        <v>4.6056990000000004</v>
      </c>
      <c r="O10">
        <v>4.5665930000000001</v>
      </c>
      <c r="P10">
        <v>4.529979</v>
      </c>
      <c r="Q10">
        <v>4.4917319999999998</v>
      </c>
      <c r="R10">
        <v>4.4552800000000001</v>
      </c>
      <c r="S10">
        <v>4.4191710000000004</v>
      </c>
      <c r="T10">
        <v>4.3842610000000004</v>
      </c>
      <c r="U10">
        <v>4.349348</v>
      </c>
      <c r="V10">
        <v>4.318778</v>
      </c>
      <c r="W10">
        <v>4.2900549999999997</v>
      </c>
      <c r="X10">
        <v>4.2629460000000003</v>
      </c>
      <c r="Y10">
        <v>4.2364800000000002</v>
      </c>
      <c r="Z10">
        <v>4.2076669999999998</v>
      </c>
      <c r="AA10">
        <v>4.1765169999999996</v>
      </c>
      <c r="AB10">
        <v>4.1453889999999998</v>
      </c>
      <c r="AC10">
        <v>4.1150450000000003</v>
      </c>
      <c r="AD10">
        <v>4.0863719999999999</v>
      </c>
      <c r="AE10" t="s">
        <v>1068</v>
      </c>
    </row>
    <row r="11" spans="1:31" x14ac:dyDescent="0.25">
      <c r="A11" t="s">
        <v>83</v>
      </c>
      <c r="B11" t="s">
        <v>1077</v>
      </c>
      <c r="C11" t="s">
        <v>1078</v>
      </c>
      <c r="D11" t="s">
        <v>73</v>
      </c>
      <c r="E11">
        <v>0.37138700000000002</v>
      </c>
      <c r="F11">
        <v>0.34290100000000001</v>
      </c>
      <c r="G11">
        <v>0.33499000000000001</v>
      </c>
      <c r="H11">
        <v>0.33120500000000003</v>
      </c>
      <c r="I11">
        <v>0.32895400000000002</v>
      </c>
      <c r="J11">
        <v>0.323627</v>
      </c>
      <c r="K11">
        <v>0.31936900000000001</v>
      </c>
      <c r="L11">
        <v>0.31564300000000001</v>
      </c>
      <c r="M11">
        <v>0.31281199999999998</v>
      </c>
      <c r="N11">
        <v>0.30912600000000001</v>
      </c>
      <c r="O11">
        <v>0.30582900000000002</v>
      </c>
      <c r="P11">
        <v>0.302008</v>
      </c>
      <c r="Q11">
        <v>0.29809400000000003</v>
      </c>
      <c r="R11">
        <v>0.29419899999999999</v>
      </c>
      <c r="S11">
        <v>0.28995399999999999</v>
      </c>
      <c r="T11">
        <v>0.28553800000000001</v>
      </c>
      <c r="U11">
        <v>0.28127000000000002</v>
      </c>
      <c r="V11">
        <v>0.27737800000000001</v>
      </c>
      <c r="W11">
        <v>0.27363100000000001</v>
      </c>
      <c r="X11">
        <v>0.27007799999999998</v>
      </c>
      <c r="Y11">
        <v>0.26697399999999999</v>
      </c>
      <c r="Z11">
        <v>0.26397799999999999</v>
      </c>
      <c r="AA11">
        <v>0.26129000000000002</v>
      </c>
      <c r="AB11">
        <v>0.258824</v>
      </c>
      <c r="AC11">
        <v>0.25657600000000003</v>
      </c>
      <c r="AD11">
        <v>0.254137</v>
      </c>
      <c r="AE11" t="s">
        <v>1071</v>
      </c>
    </row>
    <row r="12" spans="1:31" x14ac:dyDescent="0.25">
      <c r="A12" t="s">
        <v>86</v>
      </c>
      <c r="B12" t="s">
        <v>1079</v>
      </c>
      <c r="C12" t="s">
        <v>1080</v>
      </c>
      <c r="D12" t="s">
        <v>73</v>
      </c>
      <c r="E12">
        <v>5.1462830000000004</v>
      </c>
      <c r="F12">
        <v>5.1659680000000003</v>
      </c>
      <c r="G12">
        <v>5.0635680000000001</v>
      </c>
      <c r="H12">
        <v>5.0974250000000003</v>
      </c>
      <c r="I12">
        <v>5.1108419999999999</v>
      </c>
      <c r="J12">
        <v>5.1011240000000004</v>
      </c>
      <c r="K12">
        <v>5.0846830000000001</v>
      </c>
      <c r="L12">
        <v>5.071815</v>
      </c>
      <c r="M12">
        <v>5.0632840000000003</v>
      </c>
      <c r="N12">
        <v>5.0616719999999997</v>
      </c>
      <c r="O12">
        <v>5.0644879999999999</v>
      </c>
      <c r="P12">
        <v>5.0715589999999997</v>
      </c>
      <c r="Q12">
        <v>5.0817079999999999</v>
      </c>
      <c r="R12">
        <v>5.0955719999999998</v>
      </c>
      <c r="S12">
        <v>5.111459</v>
      </c>
      <c r="T12">
        <v>5.1228819999999997</v>
      </c>
      <c r="U12">
        <v>5.1396449999999998</v>
      </c>
      <c r="V12">
        <v>5.1626830000000004</v>
      </c>
      <c r="W12">
        <v>5.191554</v>
      </c>
      <c r="X12">
        <v>5.2215730000000002</v>
      </c>
      <c r="Y12">
        <v>5.2492929999999998</v>
      </c>
      <c r="Z12">
        <v>5.2793130000000001</v>
      </c>
      <c r="AA12">
        <v>5.3072530000000002</v>
      </c>
      <c r="AB12">
        <v>5.3343540000000003</v>
      </c>
      <c r="AC12">
        <v>5.3640920000000003</v>
      </c>
      <c r="AD12">
        <v>5.3940520000000003</v>
      </c>
      <c r="AE12" t="s">
        <v>1081</v>
      </c>
    </row>
    <row r="13" spans="1:31" x14ac:dyDescent="0.25">
      <c r="A13" t="s">
        <v>89</v>
      </c>
      <c r="B13" t="s">
        <v>1082</v>
      </c>
      <c r="C13" t="s">
        <v>1083</v>
      </c>
      <c r="D13" t="s">
        <v>73</v>
      </c>
      <c r="E13">
        <v>11.457530999999999</v>
      </c>
      <c r="F13">
        <v>11.250220000000001</v>
      </c>
      <c r="G13">
        <v>11.246243</v>
      </c>
      <c r="H13">
        <v>11.2614</v>
      </c>
      <c r="I13">
        <v>11.222671</v>
      </c>
      <c r="J13">
        <v>11.146299000000001</v>
      </c>
      <c r="K13">
        <v>11.06115</v>
      </c>
      <c r="L13">
        <v>10.98564</v>
      </c>
      <c r="M13">
        <v>10.915031000000001</v>
      </c>
      <c r="N13">
        <v>10.85741</v>
      </c>
      <c r="O13">
        <v>10.808603</v>
      </c>
      <c r="P13">
        <v>10.766500000000001</v>
      </c>
      <c r="Q13">
        <v>10.725982</v>
      </c>
      <c r="R13">
        <v>10.691268000000001</v>
      </c>
      <c r="S13">
        <v>10.658791000000001</v>
      </c>
      <c r="T13">
        <v>10.623175</v>
      </c>
      <c r="U13">
        <v>10.593373</v>
      </c>
      <c r="V13">
        <v>10.57532</v>
      </c>
      <c r="W13">
        <v>10.565623</v>
      </c>
      <c r="X13">
        <v>10.559411000000001</v>
      </c>
      <c r="Y13">
        <v>10.552234</v>
      </c>
      <c r="Z13">
        <v>10.545171</v>
      </c>
      <c r="AA13">
        <v>10.533794</v>
      </c>
      <c r="AB13">
        <v>10.521800000000001</v>
      </c>
      <c r="AC13">
        <v>10.513536</v>
      </c>
      <c r="AD13">
        <v>10.507300000000001</v>
      </c>
      <c r="AE13" t="s">
        <v>1084</v>
      </c>
    </row>
    <row r="14" spans="1:31" x14ac:dyDescent="0.25">
      <c r="A14" t="s">
        <v>92</v>
      </c>
      <c r="B14" t="s">
        <v>1085</v>
      </c>
      <c r="C14" t="s">
        <v>1086</v>
      </c>
      <c r="D14" t="s">
        <v>73</v>
      </c>
      <c r="E14">
        <v>7.0712820000000001</v>
      </c>
      <c r="F14">
        <v>7.0300979999999997</v>
      </c>
      <c r="G14">
        <v>6.3645769999999997</v>
      </c>
      <c r="H14">
        <v>6.1318570000000001</v>
      </c>
      <c r="I14">
        <v>6.0089629999999996</v>
      </c>
      <c r="J14">
        <v>5.8906320000000001</v>
      </c>
      <c r="K14">
        <v>5.6845559999999997</v>
      </c>
      <c r="L14">
        <v>5.5595999999999997</v>
      </c>
      <c r="M14">
        <v>5.4834740000000002</v>
      </c>
      <c r="N14">
        <v>5.3745799999999999</v>
      </c>
      <c r="O14">
        <v>5.2974319999999997</v>
      </c>
      <c r="P14">
        <v>5.2234439999999998</v>
      </c>
      <c r="Q14">
        <v>5.182245</v>
      </c>
      <c r="R14">
        <v>5.1578150000000003</v>
      </c>
      <c r="S14">
        <v>5.1249000000000002</v>
      </c>
      <c r="T14">
        <v>5.0754229999999998</v>
      </c>
      <c r="U14">
        <v>5.0321319999999998</v>
      </c>
      <c r="V14">
        <v>5.0196480000000001</v>
      </c>
      <c r="W14">
        <v>5.0190570000000001</v>
      </c>
      <c r="X14">
        <v>5.0217109999999998</v>
      </c>
      <c r="Y14">
        <v>5.0227370000000002</v>
      </c>
      <c r="Z14">
        <v>5.0281260000000003</v>
      </c>
      <c r="AA14">
        <v>5.0365409999999997</v>
      </c>
      <c r="AB14">
        <v>5.0431699999999999</v>
      </c>
      <c r="AC14">
        <v>5.0338890000000003</v>
      </c>
      <c r="AD14">
        <v>5.0404340000000003</v>
      </c>
      <c r="AE14" t="s">
        <v>1087</v>
      </c>
    </row>
    <row r="15" spans="1:31" x14ac:dyDescent="0.25">
      <c r="A15" t="s">
        <v>95</v>
      </c>
      <c r="B15" t="s">
        <v>1088</v>
      </c>
      <c r="C15" t="s">
        <v>1089</v>
      </c>
      <c r="D15" t="s">
        <v>73</v>
      </c>
      <c r="E15">
        <v>18.528811999999999</v>
      </c>
      <c r="F15">
        <v>18.280318999999999</v>
      </c>
      <c r="G15">
        <v>17.610821000000001</v>
      </c>
      <c r="H15">
        <v>17.393256999999998</v>
      </c>
      <c r="I15">
        <v>17.231632000000001</v>
      </c>
      <c r="J15">
        <v>17.036930000000002</v>
      </c>
      <c r="K15">
        <v>16.745705000000001</v>
      </c>
      <c r="L15">
        <v>16.54524</v>
      </c>
      <c r="M15">
        <v>16.398506000000001</v>
      </c>
      <c r="N15">
        <v>16.231991000000001</v>
      </c>
      <c r="O15">
        <v>16.106034999999999</v>
      </c>
      <c r="P15">
        <v>15.989943999999999</v>
      </c>
      <c r="Q15">
        <v>15.908227</v>
      </c>
      <c r="R15">
        <v>15.849083</v>
      </c>
      <c r="S15">
        <v>15.783690999999999</v>
      </c>
      <c r="T15">
        <v>15.698598</v>
      </c>
      <c r="U15">
        <v>15.625505</v>
      </c>
      <c r="V15">
        <v>15.594969000000001</v>
      </c>
      <c r="W15">
        <v>15.584681</v>
      </c>
      <c r="X15">
        <v>15.581122000000001</v>
      </c>
      <c r="Y15">
        <v>15.57497</v>
      </c>
      <c r="Z15">
        <v>15.573297</v>
      </c>
      <c r="AA15">
        <v>15.570335</v>
      </c>
      <c r="AB15">
        <v>15.564970000000001</v>
      </c>
      <c r="AC15">
        <v>15.547426</v>
      </c>
      <c r="AD15">
        <v>15.547734</v>
      </c>
      <c r="AE15" t="s">
        <v>1068</v>
      </c>
    </row>
    <row r="16" spans="1:31" x14ac:dyDescent="0.25">
      <c r="A16" t="s">
        <v>98</v>
      </c>
    </row>
    <row r="17" spans="1:31" x14ac:dyDescent="0.25">
      <c r="A17" t="s">
        <v>70</v>
      </c>
      <c r="B17" t="s">
        <v>1090</v>
      </c>
      <c r="C17" t="s">
        <v>1091</v>
      </c>
      <c r="D17" t="s">
        <v>73</v>
      </c>
      <c r="E17">
        <v>0.215225</v>
      </c>
      <c r="F17">
        <v>0.21913099999999999</v>
      </c>
      <c r="G17">
        <v>0.221612</v>
      </c>
      <c r="H17">
        <v>0.22403699999999999</v>
      </c>
      <c r="I17">
        <v>0.22642399999999999</v>
      </c>
      <c r="J17">
        <v>0.22883700000000001</v>
      </c>
      <c r="K17">
        <v>0.23131399999999999</v>
      </c>
      <c r="L17">
        <v>0.23386199999999999</v>
      </c>
      <c r="M17">
        <v>0.23649600000000001</v>
      </c>
      <c r="N17">
        <v>0.23922099999999999</v>
      </c>
      <c r="O17">
        <v>0.242036</v>
      </c>
      <c r="P17">
        <v>0.24493799999999999</v>
      </c>
      <c r="Q17">
        <v>0.24790300000000001</v>
      </c>
      <c r="R17">
        <v>0.25078699999999998</v>
      </c>
      <c r="S17">
        <v>0.253585</v>
      </c>
      <c r="T17">
        <v>0.25630199999999997</v>
      </c>
      <c r="U17">
        <v>0.258878</v>
      </c>
      <c r="V17">
        <v>0.26133400000000001</v>
      </c>
      <c r="W17">
        <v>0.263708</v>
      </c>
      <c r="X17">
        <v>0.266017</v>
      </c>
      <c r="Y17">
        <v>0.26828299999999999</v>
      </c>
      <c r="Z17">
        <v>0.27051599999999998</v>
      </c>
      <c r="AA17">
        <v>0.27272000000000002</v>
      </c>
      <c r="AB17">
        <v>0.27489799999999998</v>
      </c>
      <c r="AC17">
        <v>0.27705299999999999</v>
      </c>
      <c r="AD17">
        <v>0.27918799999999999</v>
      </c>
      <c r="AE17" t="s">
        <v>1092</v>
      </c>
    </row>
    <row r="18" spans="1:31" x14ac:dyDescent="0.25">
      <c r="A18" t="s">
        <v>101</v>
      </c>
      <c r="B18" t="s">
        <v>1093</v>
      </c>
      <c r="C18" t="s">
        <v>1094</v>
      </c>
      <c r="D18" t="s">
        <v>73</v>
      </c>
      <c r="E18">
        <v>0.41431499999999999</v>
      </c>
      <c r="F18">
        <v>0.42096800000000001</v>
      </c>
      <c r="G18">
        <v>0.42648799999999998</v>
      </c>
      <c r="H18">
        <v>0.43191299999999999</v>
      </c>
      <c r="I18">
        <v>0.437276</v>
      </c>
      <c r="J18">
        <v>0.44269399999999998</v>
      </c>
      <c r="K18">
        <v>0.44823299999999999</v>
      </c>
      <c r="L18">
        <v>0.45390900000000001</v>
      </c>
      <c r="M18">
        <v>0.45974799999999999</v>
      </c>
      <c r="N18">
        <v>0.46575800000000001</v>
      </c>
      <c r="O18">
        <v>0.47194000000000003</v>
      </c>
      <c r="P18">
        <v>0.47828700000000002</v>
      </c>
      <c r="Q18">
        <v>0.48475600000000002</v>
      </c>
      <c r="R18">
        <v>0.491087</v>
      </c>
      <c r="S18">
        <v>0.49726900000000002</v>
      </c>
      <c r="T18">
        <v>0.50331300000000001</v>
      </c>
      <c r="U18">
        <v>0.509108</v>
      </c>
      <c r="V18">
        <v>0.51469100000000001</v>
      </c>
      <c r="W18">
        <v>0.52013200000000004</v>
      </c>
      <c r="X18">
        <v>0.52546099999999996</v>
      </c>
      <c r="Y18">
        <v>0.53071900000000005</v>
      </c>
      <c r="Z18">
        <v>0.53592300000000004</v>
      </c>
      <c r="AA18">
        <v>0.54107899999999998</v>
      </c>
      <c r="AB18">
        <v>0.54619600000000001</v>
      </c>
      <c r="AC18">
        <v>0.55127700000000002</v>
      </c>
      <c r="AD18">
        <v>0.55632899999999996</v>
      </c>
      <c r="AE18" t="s">
        <v>1095</v>
      </c>
    </row>
    <row r="19" spans="1:31" x14ac:dyDescent="0.25">
      <c r="A19" t="s">
        <v>104</v>
      </c>
      <c r="B19" t="s">
        <v>1096</v>
      </c>
      <c r="C19" t="s">
        <v>1097</v>
      </c>
      <c r="D19" t="s">
        <v>73</v>
      </c>
      <c r="E19">
        <v>2.5010000000000002E-3</v>
      </c>
      <c r="F19">
        <v>3.571E-3</v>
      </c>
      <c r="G19">
        <v>3.5980000000000001E-3</v>
      </c>
      <c r="H19">
        <v>3.2460000000000002E-3</v>
      </c>
      <c r="I19">
        <v>2.967E-3</v>
      </c>
      <c r="J19">
        <v>3.2759999999999998E-3</v>
      </c>
      <c r="K19">
        <v>2.843E-3</v>
      </c>
      <c r="L19">
        <v>2.643E-3</v>
      </c>
      <c r="M19">
        <v>2.2309999999999999E-3</v>
      </c>
      <c r="N19">
        <v>2.1489999999999999E-3</v>
      </c>
      <c r="O19">
        <v>1.869E-3</v>
      </c>
      <c r="P19">
        <v>1.8090000000000001E-3</v>
      </c>
      <c r="Q19">
        <v>1.6459999999999999E-3</v>
      </c>
      <c r="R19">
        <v>1.508E-3</v>
      </c>
      <c r="S19">
        <v>1.467E-3</v>
      </c>
      <c r="T19">
        <v>1.392E-3</v>
      </c>
      <c r="U19">
        <v>1.2539999999999999E-3</v>
      </c>
      <c r="V19">
        <v>1.17E-3</v>
      </c>
      <c r="W19">
        <v>1.0740000000000001E-3</v>
      </c>
      <c r="X19">
        <v>9.8299999999999993E-4</v>
      </c>
      <c r="Y19">
        <v>8.4999999999999995E-4</v>
      </c>
      <c r="Z19">
        <v>7.6599999999999997E-4</v>
      </c>
      <c r="AA19">
        <v>6.6100000000000002E-4</v>
      </c>
      <c r="AB19">
        <v>5.9699999999999998E-4</v>
      </c>
      <c r="AC19">
        <v>5.5400000000000002E-4</v>
      </c>
      <c r="AD19">
        <v>5.31E-4</v>
      </c>
      <c r="AE19" t="s">
        <v>1098</v>
      </c>
    </row>
    <row r="20" spans="1:31" x14ac:dyDescent="0.25">
      <c r="A20" t="s">
        <v>74</v>
      </c>
      <c r="B20" t="s">
        <v>1099</v>
      </c>
      <c r="C20" t="s">
        <v>1100</v>
      </c>
      <c r="D20" t="s">
        <v>73</v>
      </c>
      <c r="E20">
        <v>0.31541999999999998</v>
      </c>
      <c r="F20">
        <v>0.31898799999999999</v>
      </c>
      <c r="G20">
        <v>0.32644600000000001</v>
      </c>
      <c r="H20">
        <v>0.32749499999999998</v>
      </c>
      <c r="I20">
        <v>0.32791799999999999</v>
      </c>
      <c r="J20">
        <v>0.329482</v>
      </c>
      <c r="K20">
        <v>0.33074900000000002</v>
      </c>
      <c r="L20">
        <v>0.33031700000000003</v>
      </c>
      <c r="M20">
        <v>0.32774799999999998</v>
      </c>
      <c r="N20">
        <v>0.32524599999999998</v>
      </c>
      <c r="O20">
        <v>0.32280300000000001</v>
      </c>
      <c r="P20">
        <v>0.32086999999999999</v>
      </c>
      <c r="Q20">
        <v>0.31885599999999997</v>
      </c>
      <c r="R20">
        <v>0.31683899999999998</v>
      </c>
      <c r="S20">
        <v>0.31502400000000003</v>
      </c>
      <c r="T20">
        <v>0.31330200000000002</v>
      </c>
      <c r="U20">
        <v>0.31156</v>
      </c>
      <c r="V20">
        <v>0.30988500000000002</v>
      </c>
      <c r="W20">
        <v>0.308174</v>
      </c>
      <c r="X20">
        <v>0.30645499999999998</v>
      </c>
      <c r="Y20">
        <v>0.30463699999999999</v>
      </c>
      <c r="Z20">
        <v>0.30280200000000002</v>
      </c>
      <c r="AA20">
        <v>0.300869</v>
      </c>
      <c r="AB20">
        <v>0.29904700000000001</v>
      </c>
      <c r="AC20">
        <v>0.297122</v>
      </c>
      <c r="AD20">
        <v>0.295435</v>
      </c>
      <c r="AE20" t="s">
        <v>1084</v>
      </c>
    </row>
    <row r="21" spans="1:31" x14ac:dyDescent="0.25">
      <c r="A21" t="s">
        <v>109</v>
      </c>
      <c r="B21" t="s">
        <v>1101</v>
      </c>
      <c r="C21" t="s">
        <v>1102</v>
      </c>
      <c r="D21" t="s">
        <v>73</v>
      </c>
      <c r="E21">
        <v>3.9960000000000004E-3</v>
      </c>
      <c r="F21">
        <v>4.1269999999999996E-3</v>
      </c>
      <c r="G21">
        <v>3.166E-3</v>
      </c>
      <c r="H21">
        <v>2.8170000000000001E-3</v>
      </c>
      <c r="I21">
        <v>2.552E-3</v>
      </c>
      <c r="J21">
        <v>2.4840000000000001E-3</v>
      </c>
      <c r="K21">
        <v>2.2309999999999999E-3</v>
      </c>
      <c r="L21">
        <v>2.2430000000000002E-3</v>
      </c>
      <c r="M21">
        <v>2.2009999999999998E-3</v>
      </c>
      <c r="N21">
        <v>2.2339999999999999E-3</v>
      </c>
      <c r="O21">
        <v>2.1879999999999998E-3</v>
      </c>
      <c r="P21">
        <v>2.2060000000000001E-3</v>
      </c>
      <c r="Q21">
        <v>2.2230000000000001E-3</v>
      </c>
      <c r="R21">
        <v>2.225E-3</v>
      </c>
      <c r="S21">
        <v>2.245E-3</v>
      </c>
      <c r="T21">
        <v>2.2279999999999999E-3</v>
      </c>
      <c r="U21">
        <v>2.1810000000000002E-3</v>
      </c>
      <c r="V21">
        <v>2.1819999999999999E-3</v>
      </c>
      <c r="W21">
        <v>2.1840000000000002E-3</v>
      </c>
      <c r="X21">
        <v>2.1819999999999999E-3</v>
      </c>
      <c r="Y21">
        <v>2.1649999999999998E-3</v>
      </c>
      <c r="Z21">
        <v>2.166E-3</v>
      </c>
      <c r="AA21">
        <v>2.1480000000000002E-3</v>
      </c>
      <c r="AB21">
        <v>2.1250000000000002E-3</v>
      </c>
      <c r="AC21">
        <v>2.114E-3</v>
      </c>
      <c r="AD21">
        <v>2.166E-3</v>
      </c>
      <c r="AE21" t="s">
        <v>1103</v>
      </c>
    </row>
    <row r="22" spans="1:31" x14ac:dyDescent="0.25">
      <c r="A22" t="s">
        <v>77</v>
      </c>
      <c r="B22" t="s">
        <v>1104</v>
      </c>
      <c r="C22" t="s">
        <v>1105</v>
      </c>
      <c r="D22" t="s">
        <v>73</v>
      </c>
      <c r="E22">
        <v>0.951457</v>
      </c>
      <c r="F22">
        <v>0.96678600000000003</v>
      </c>
      <c r="G22">
        <v>0.98131000000000002</v>
      </c>
      <c r="H22">
        <v>0.98950700000000003</v>
      </c>
      <c r="I22">
        <v>0.99713700000000005</v>
      </c>
      <c r="J22">
        <v>1.0067729999999999</v>
      </c>
      <c r="K22">
        <v>1.0153700000000001</v>
      </c>
      <c r="L22">
        <v>1.022974</v>
      </c>
      <c r="M22">
        <v>1.0284230000000001</v>
      </c>
      <c r="N22">
        <v>1.034608</v>
      </c>
      <c r="O22">
        <v>1.0408360000000001</v>
      </c>
      <c r="P22">
        <v>1.0481100000000001</v>
      </c>
      <c r="Q22">
        <v>1.0553840000000001</v>
      </c>
      <c r="R22">
        <v>1.062446</v>
      </c>
      <c r="S22">
        <v>1.06959</v>
      </c>
      <c r="T22">
        <v>1.0765370000000001</v>
      </c>
      <c r="U22">
        <v>1.082981</v>
      </c>
      <c r="V22">
        <v>1.089262</v>
      </c>
      <c r="W22">
        <v>1.095272</v>
      </c>
      <c r="X22">
        <v>1.101097</v>
      </c>
      <c r="Y22">
        <v>1.106654</v>
      </c>
      <c r="Z22">
        <v>1.112174</v>
      </c>
      <c r="AA22">
        <v>1.1174770000000001</v>
      </c>
      <c r="AB22">
        <v>1.122862</v>
      </c>
      <c r="AC22">
        <v>1.1281209999999999</v>
      </c>
      <c r="AD22">
        <v>1.133648</v>
      </c>
      <c r="AE22" t="s">
        <v>1106</v>
      </c>
    </row>
    <row r="23" spans="1:31" x14ac:dyDescent="0.25">
      <c r="A23" t="s">
        <v>80</v>
      </c>
      <c r="B23" t="s">
        <v>1107</v>
      </c>
      <c r="C23" t="s">
        <v>1108</v>
      </c>
      <c r="D23" t="s">
        <v>73</v>
      </c>
      <c r="E23">
        <v>3.6398039999999998</v>
      </c>
      <c r="F23">
        <v>3.5639609999999999</v>
      </c>
      <c r="G23">
        <v>3.5715400000000002</v>
      </c>
      <c r="H23">
        <v>3.5559379999999998</v>
      </c>
      <c r="I23">
        <v>3.5192030000000001</v>
      </c>
      <c r="J23">
        <v>3.4748570000000001</v>
      </c>
      <c r="K23">
        <v>3.4334530000000001</v>
      </c>
      <c r="L23">
        <v>3.4106900000000002</v>
      </c>
      <c r="M23">
        <v>3.395886</v>
      </c>
      <c r="N23">
        <v>3.3894920000000002</v>
      </c>
      <c r="O23">
        <v>3.3831030000000002</v>
      </c>
      <c r="P23">
        <v>3.3802789999999998</v>
      </c>
      <c r="Q23">
        <v>3.376655</v>
      </c>
      <c r="R23">
        <v>3.373224</v>
      </c>
      <c r="S23">
        <v>3.3688470000000001</v>
      </c>
      <c r="T23">
        <v>3.3650509999999998</v>
      </c>
      <c r="U23">
        <v>3.362263</v>
      </c>
      <c r="V23">
        <v>3.3637030000000001</v>
      </c>
      <c r="W23">
        <v>3.3665470000000002</v>
      </c>
      <c r="X23">
        <v>3.3715039999999998</v>
      </c>
      <c r="Y23">
        <v>3.3753500000000001</v>
      </c>
      <c r="Z23">
        <v>3.3740939999999999</v>
      </c>
      <c r="AA23">
        <v>3.3695590000000002</v>
      </c>
      <c r="AB23">
        <v>3.364201</v>
      </c>
      <c r="AC23">
        <v>3.3589319999999998</v>
      </c>
      <c r="AD23">
        <v>3.3544420000000001</v>
      </c>
      <c r="AE23" t="s">
        <v>1084</v>
      </c>
    </row>
    <row r="24" spans="1:31" x14ac:dyDescent="0.25">
      <c r="A24" t="s">
        <v>116</v>
      </c>
      <c r="B24" t="s">
        <v>1109</v>
      </c>
      <c r="C24" t="s">
        <v>1110</v>
      </c>
      <c r="D24" t="s">
        <v>73</v>
      </c>
      <c r="E24">
        <v>1.2012E-2</v>
      </c>
      <c r="F24">
        <v>1.3296000000000001E-2</v>
      </c>
      <c r="G24">
        <v>1.3296000000000001E-2</v>
      </c>
      <c r="H24">
        <v>1.3296000000000001E-2</v>
      </c>
      <c r="I24">
        <v>1.3296000000000001E-2</v>
      </c>
      <c r="J24">
        <v>1.3296000000000001E-2</v>
      </c>
      <c r="K24">
        <v>1.3296000000000001E-2</v>
      </c>
      <c r="L24">
        <v>1.3296000000000001E-2</v>
      </c>
      <c r="M24">
        <v>1.3296000000000001E-2</v>
      </c>
      <c r="N24">
        <v>1.3296000000000001E-2</v>
      </c>
      <c r="O24">
        <v>1.3296000000000001E-2</v>
      </c>
      <c r="P24">
        <v>1.3296000000000001E-2</v>
      </c>
      <c r="Q24">
        <v>1.3296000000000001E-2</v>
      </c>
      <c r="R24">
        <v>1.3296000000000001E-2</v>
      </c>
      <c r="S24">
        <v>1.3296000000000001E-2</v>
      </c>
      <c r="T24">
        <v>1.3296000000000001E-2</v>
      </c>
      <c r="U24">
        <v>1.3296000000000001E-2</v>
      </c>
      <c r="V24">
        <v>1.3296000000000001E-2</v>
      </c>
      <c r="W24">
        <v>1.3296000000000001E-2</v>
      </c>
      <c r="X24">
        <v>1.3296000000000001E-2</v>
      </c>
      <c r="Y24">
        <v>1.3296000000000001E-2</v>
      </c>
      <c r="Z24">
        <v>1.3296000000000001E-2</v>
      </c>
      <c r="AA24">
        <v>1.3296000000000001E-2</v>
      </c>
      <c r="AB24">
        <v>1.3296000000000001E-2</v>
      </c>
      <c r="AC24">
        <v>1.3296000000000001E-2</v>
      </c>
      <c r="AD24">
        <v>1.3296000000000001E-2</v>
      </c>
      <c r="AE24" t="s">
        <v>1111</v>
      </c>
    </row>
    <row r="25" spans="1:31" x14ac:dyDescent="0.25">
      <c r="A25" t="s">
        <v>83</v>
      </c>
      <c r="B25" t="s">
        <v>1112</v>
      </c>
      <c r="C25" t="s">
        <v>1113</v>
      </c>
      <c r="D25" t="s">
        <v>73</v>
      </c>
      <c r="E25">
        <v>0.143682</v>
      </c>
      <c r="F25">
        <v>0.143682</v>
      </c>
      <c r="G25">
        <v>0.143682</v>
      </c>
      <c r="H25">
        <v>0.143682</v>
      </c>
      <c r="I25">
        <v>0.143682</v>
      </c>
      <c r="J25">
        <v>0.143682</v>
      </c>
      <c r="K25">
        <v>0.143682</v>
      </c>
      <c r="L25">
        <v>0.143682</v>
      </c>
      <c r="M25">
        <v>0.143682</v>
      </c>
      <c r="N25">
        <v>0.143682</v>
      </c>
      <c r="O25">
        <v>0.143682</v>
      </c>
      <c r="P25">
        <v>0.143682</v>
      </c>
      <c r="Q25">
        <v>0.143682</v>
      </c>
      <c r="R25">
        <v>0.143682</v>
      </c>
      <c r="S25">
        <v>0.143682</v>
      </c>
      <c r="T25">
        <v>0.143682</v>
      </c>
      <c r="U25">
        <v>0.143682</v>
      </c>
      <c r="V25">
        <v>0.143682</v>
      </c>
      <c r="W25">
        <v>0.143682</v>
      </c>
      <c r="X25">
        <v>0.143682</v>
      </c>
      <c r="Y25">
        <v>0.143682</v>
      </c>
      <c r="Z25">
        <v>0.143682</v>
      </c>
      <c r="AA25">
        <v>0.143682</v>
      </c>
      <c r="AB25">
        <v>0.143682</v>
      </c>
      <c r="AC25">
        <v>0.143682</v>
      </c>
      <c r="AD25">
        <v>0.143682</v>
      </c>
      <c r="AE25" t="s">
        <v>1114</v>
      </c>
    </row>
    <row r="26" spans="1:31" x14ac:dyDescent="0.25">
      <c r="A26" t="s">
        <v>121</v>
      </c>
      <c r="B26" t="s">
        <v>1115</v>
      </c>
      <c r="C26" t="s">
        <v>1116</v>
      </c>
      <c r="D26" t="s">
        <v>73</v>
      </c>
      <c r="E26">
        <v>4.9937469999999999</v>
      </c>
      <c r="F26">
        <v>5.2122890000000002</v>
      </c>
      <c r="G26">
        <v>5.2538169999999997</v>
      </c>
      <c r="H26">
        <v>5.3091679999999997</v>
      </c>
      <c r="I26">
        <v>5.3637240000000004</v>
      </c>
      <c r="J26">
        <v>5.3970770000000003</v>
      </c>
      <c r="K26">
        <v>5.4357829999999998</v>
      </c>
      <c r="L26">
        <v>5.4800719999999998</v>
      </c>
      <c r="M26">
        <v>5.5301840000000002</v>
      </c>
      <c r="N26">
        <v>5.5825389999999997</v>
      </c>
      <c r="O26">
        <v>5.6390919999999998</v>
      </c>
      <c r="P26">
        <v>5.7026019999999997</v>
      </c>
      <c r="Q26">
        <v>5.7653420000000004</v>
      </c>
      <c r="R26">
        <v>5.8293590000000002</v>
      </c>
      <c r="S26">
        <v>5.8921080000000003</v>
      </c>
      <c r="T26">
        <v>5.9531289999999997</v>
      </c>
      <c r="U26">
        <v>6.0176249999999998</v>
      </c>
      <c r="V26">
        <v>6.0799609999999999</v>
      </c>
      <c r="W26">
        <v>6.1439830000000004</v>
      </c>
      <c r="X26">
        <v>6.2057019999999996</v>
      </c>
      <c r="Y26">
        <v>6.2663149999999996</v>
      </c>
      <c r="Z26">
        <v>6.3202400000000001</v>
      </c>
      <c r="AA26">
        <v>6.3660589999999999</v>
      </c>
      <c r="AB26">
        <v>6.4065690000000002</v>
      </c>
      <c r="AC26">
        <v>6.44475</v>
      </c>
      <c r="AD26">
        <v>6.4794879999999999</v>
      </c>
      <c r="AE26" t="s">
        <v>1092</v>
      </c>
    </row>
    <row r="27" spans="1:31" x14ac:dyDescent="0.25">
      <c r="A27" t="s">
        <v>89</v>
      </c>
      <c r="B27" t="s">
        <v>1117</v>
      </c>
      <c r="C27" t="s">
        <v>1118</v>
      </c>
      <c r="D27" t="s">
        <v>73</v>
      </c>
      <c r="E27">
        <v>9.7407020000000006</v>
      </c>
      <c r="F27">
        <v>9.9000149999999998</v>
      </c>
      <c r="G27">
        <v>9.9636429999999994</v>
      </c>
      <c r="H27">
        <v>10.011592</v>
      </c>
      <c r="I27">
        <v>10.037043000000001</v>
      </c>
      <c r="J27">
        <v>10.035685000000001</v>
      </c>
      <c r="K27">
        <v>10.041582999999999</v>
      </c>
      <c r="L27">
        <v>10.070710999999999</v>
      </c>
      <c r="M27">
        <v>10.111471</v>
      </c>
      <c r="N27">
        <v>10.163615999999999</v>
      </c>
      <c r="O27">
        <v>10.22001</v>
      </c>
      <c r="P27">
        <v>10.287967999999999</v>
      </c>
      <c r="Q27">
        <v>10.35436</v>
      </c>
      <c r="R27">
        <v>10.422008</v>
      </c>
      <c r="S27">
        <v>10.487522</v>
      </c>
      <c r="T27">
        <v>10.551696</v>
      </c>
      <c r="U27">
        <v>10.619847</v>
      </c>
      <c r="V27">
        <v>10.689905</v>
      </c>
      <c r="W27">
        <v>10.762778000000001</v>
      </c>
      <c r="X27">
        <v>10.835279</v>
      </c>
      <c r="Y27">
        <v>10.905296</v>
      </c>
      <c r="Z27">
        <v>10.963486</v>
      </c>
      <c r="AA27">
        <v>11.010073999999999</v>
      </c>
      <c r="AB27">
        <v>11.050611</v>
      </c>
      <c r="AC27">
        <v>11.088779000000001</v>
      </c>
      <c r="AD27">
        <v>11.124556999999999</v>
      </c>
      <c r="AE27" t="s">
        <v>1119</v>
      </c>
    </row>
    <row r="28" spans="1:31" x14ac:dyDescent="0.25">
      <c r="A28" t="s">
        <v>92</v>
      </c>
      <c r="B28" t="s">
        <v>1120</v>
      </c>
      <c r="C28" t="s">
        <v>1121</v>
      </c>
      <c r="D28" t="s">
        <v>73</v>
      </c>
      <c r="E28">
        <v>6.8616890000000001</v>
      </c>
      <c r="F28">
        <v>7.0931329999999999</v>
      </c>
      <c r="G28">
        <v>6.6037090000000003</v>
      </c>
      <c r="H28">
        <v>6.3865679999999996</v>
      </c>
      <c r="I28">
        <v>6.3062839999999998</v>
      </c>
      <c r="J28">
        <v>6.2323880000000003</v>
      </c>
      <c r="K28">
        <v>6.0770770000000001</v>
      </c>
      <c r="L28">
        <v>6.007123</v>
      </c>
      <c r="M28">
        <v>5.9891209999999999</v>
      </c>
      <c r="N28">
        <v>5.9276460000000002</v>
      </c>
      <c r="O28">
        <v>5.898466</v>
      </c>
      <c r="P28">
        <v>5.873386</v>
      </c>
      <c r="Q28">
        <v>5.8794050000000002</v>
      </c>
      <c r="R28">
        <v>5.9005650000000003</v>
      </c>
      <c r="S28">
        <v>5.9076029999999999</v>
      </c>
      <c r="T28">
        <v>5.8979780000000002</v>
      </c>
      <c r="U28">
        <v>5.8917469999999996</v>
      </c>
      <c r="V28">
        <v>5.911511</v>
      </c>
      <c r="W28">
        <v>5.9398410000000004</v>
      </c>
      <c r="X28">
        <v>5.968172</v>
      </c>
      <c r="Y28">
        <v>5.9958640000000001</v>
      </c>
      <c r="Z28">
        <v>6.0195259999999999</v>
      </c>
      <c r="AA28">
        <v>6.0413399999999999</v>
      </c>
      <c r="AB28">
        <v>6.0568580000000001</v>
      </c>
      <c r="AC28">
        <v>6.0480239999999998</v>
      </c>
      <c r="AD28">
        <v>6.0547129999999996</v>
      </c>
      <c r="AE28" t="s">
        <v>1122</v>
      </c>
    </row>
    <row r="29" spans="1:31" x14ac:dyDescent="0.25">
      <c r="A29" t="s">
        <v>95</v>
      </c>
      <c r="B29" t="s">
        <v>1123</v>
      </c>
      <c r="C29" t="s">
        <v>1124</v>
      </c>
      <c r="D29" t="s">
        <v>73</v>
      </c>
      <c r="E29">
        <v>16.60239</v>
      </c>
      <c r="F29">
        <v>16.993148999999999</v>
      </c>
      <c r="G29">
        <v>16.567352</v>
      </c>
      <c r="H29">
        <v>16.398159</v>
      </c>
      <c r="I29">
        <v>16.343326999999999</v>
      </c>
      <c r="J29">
        <v>16.268073999999999</v>
      </c>
      <c r="K29">
        <v>16.118659999999998</v>
      </c>
      <c r="L29">
        <v>16.077835</v>
      </c>
      <c r="M29">
        <v>16.100591999999999</v>
      </c>
      <c r="N29">
        <v>16.091263000000001</v>
      </c>
      <c r="O29">
        <v>16.118476999999999</v>
      </c>
      <c r="P29">
        <v>16.161353999999999</v>
      </c>
      <c r="Q29">
        <v>16.233764999999998</v>
      </c>
      <c r="R29">
        <v>16.322572999999998</v>
      </c>
      <c r="S29">
        <v>16.395123999999999</v>
      </c>
      <c r="T29">
        <v>16.449674999999999</v>
      </c>
      <c r="U29">
        <v>16.511595</v>
      </c>
      <c r="V29">
        <v>16.601417999999999</v>
      </c>
      <c r="W29">
        <v>16.70262</v>
      </c>
      <c r="X29">
        <v>16.803452</v>
      </c>
      <c r="Y29">
        <v>16.901160999999998</v>
      </c>
      <c r="Z29">
        <v>16.983013</v>
      </c>
      <c r="AA29">
        <v>17.051414000000001</v>
      </c>
      <c r="AB29">
        <v>17.107468000000001</v>
      </c>
      <c r="AC29">
        <v>17.136803</v>
      </c>
      <c r="AD29">
        <v>17.179269999999999</v>
      </c>
      <c r="AE29" t="s">
        <v>1125</v>
      </c>
    </row>
    <row r="30" spans="1:31" x14ac:dyDescent="0.25">
      <c r="A30" t="s">
        <v>130</v>
      </c>
    </row>
    <row r="31" spans="1:31" x14ac:dyDescent="0.25">
      <c r="A31" t="s">
        <v>131</v>
      </c>
      <c r="B31" t="s">
        <v>1126</v>
      </c>
      <c r="C31" t="s">
        <v>1127</v>
      </c>
      <c r="D31" t="s">
        <v>73</v>
      </c>
      <c r="E31">
        <v>3.6621579999999998</v>
      </c>
      <c r="F31">
        <v>3.6198260000000002</v>
      </c>
      <c r="G31">
        <v>3.8149829999999998</v>
      </c>
      <c r="H31">
        <v>3.7039490000000002</v>
      </c>
      <c r="I31">
        <v>3.6282610000000002</v>
      </c>
      <c r="J31">
        <v>3.6198090000000001</v>
      </c>
      <c r="K31">
        <v>3.6502349999999999</v>
      </c>
      <c r="L31">
        <v>3.6753969999999998</v>
      </c>
      <c r="M31">
        <v>3.7105579999999998</v>
      </c>
      <c r="N31">
        <v>3.7512099999999999</v>
      </c>
      <c r="O31">
        <v>3.7984279999999999</v>
      </c>
      <c r="P31">
        <v>3.856649</v>
      </c>
      <c r="Q31">
        <v>3.9023750000000001</v>
      </c>
      <c r="R31">
        <v>3.949627</v>
      </c>
      <c r="S31">
        <v>4.0278020000000003</v>
      </c>
      <c r="T31">
        <v>4.09741</v>
      </c>
      <c r="U31">
        <v>4.1736979999999999</v>
      </c>
      <c r="V31">
        <v>4.2626580000000001</v>
      </c>
      <c r="W31">
        <v>4.3450170000000004</v>
      </c>
      <c r="X31">
        <v>4.4282779999999997</v>
      </c>
      <c r="Y31">
        <v>4.5189570000000003</v>
      </c>
      <c r="Z31">
        <v>4.6105700000000001</v>
      </c>
      <c r="AA31">
        <v>4.7114789999999998</v>
      </c>
      <c r="AB31">
        <v>4.8008430000000004</v>
      </c>
      <c r="AC31">
        <v>4.8641389999999998</v>
      </c>
      <c r="AD31">
        <v>4.951746</v>
      </c>
      <c r="AE31" t="s">
        <v>1095</v>
      </c>
    </row>
    <row r="32" spans="1:31" x14ac:dyDescent="0.25">
      <c r="A32" t="s">
        <v>101</v>
      </c>
      <c r="B32" t="s">
        <v>1128</v>
      </c>
      <c r="C32" t="s">
        <v>1129</v>
      </c>
      <c r="D32" t="s">
        <v>73</v>
      </c>
      <c r="E32">
        <v>0.27413399999999999</v>
      </c>
      <c r="F32">
        <v>0.27287699999999998</v>
      </c>
      <c r="G32">
        <v>0.27489799999999998</v>
      </c>
      <c r="H32">
        <v>0.27842299999999998</v>
      </c>
      <c r="I32">
        <v>0.28192600000000001</v>
      </c>
      <c r="J32">
        <v>0.28687800000000002</v>
      </c>
      <c r="K32">
        <v>0.29105300000000001</v>
      </c>
      <c r="L32">
        <v>0.29522399999999999</v>
      </c>
      <c r="M32">
        <v>0.298205</v>
      </c>
      <c r="N32">
        <v>0.30177999999999999</v>
      </c>
      <c r="O32">
        <v>0.30479899999999999</v>
      </c>
      <c r="P32">
        <v>0.30763299999999999</v>
      </c>
      <c r="Q32">
        <v>0.31031599999999998</v>
      </c>
      <c r="R32">
        <v>0.31283899999999998</v>
      </c>
      <c r="S32">
        <v>0.31540099999999999</v>
      </c>
      <c r="T32">
        <v>0.31799899999999998</v>
      </c>
      <c r="U32">
        <v>0.32068799999999997</v>
      </c>
      <c r="V32">
        <v>0.32321499999999997</v>
      </c>
      <c r="W32">
        <v>0.32565499999999997</v>
      </c>
      <c r="X32">
        <v>0.32794499999999999</v>
      </c>
      <c r="Y32">
        <v>0.33061299999999999</v>
      </c>
      <c r="Z32">
        <v>0.333403</v>
      </c>
      <c r="AA32">
        <v>0.336337</v>
      </c>
      <c r="AB32">
        <v>0.33894800000000003</v>
      </c>
      <c r="AC32">
        <v>0.341414</v>
      </c>
      <c r="AD32">
        <v>0.34381</v>
      </c>
      <c r="AE32" t="s">
        <v>1130</v>
      </c>
    </row>
    <row r="33" spans="1:31" x14ac:dyDescent="0.25">
      <c r="A33" t="s">
        <v>74</v>
      </c>
      <c r="B33" t="s">
        <v>1131</v>
      </c>
      <c r="C33" t="s">
        <v>1132</v>
      </c>
      <c r="D33" t="s">
        <v>73</v>
      </c>
      <c r="E33">
        <v>1.161135</v>
      </c>
      <c r="F33">
        <v>1.1614439999999999</v>
      </c>
      <c r="G33">
        <v>1.1620109999999999</v>
      </c>
      <c r="H33">
        <v>1.1685129999999999</v>
      </c>
      <c r="I33">
        <v>1.1798219999999999</v>
      </c>
      <c r="J33">
        <v>1.1966779999999999</v>
      </c>
      <c r="K33">
        <v>1.2089000000000001</v>
      </c>
      <c r="L33">
        <v>1.2281249999999999</v>
      </c>
      <c r="M33">
        <v>1.237822</v>
      </c>
      <c r="N33">
        <v>1.2493080000000001</v>
      </c>
      <c r="O33">
        <v>1.260567</v>
      </c>
      <c r="P33">
        <v>1.2706280000000001</v>
      </c>
      <c r="Q33">
        <v>1.2818350000000001</v>
      </c>
      <c r="R33">
        <v>1.2923880000000001</v>
      </c>
      <c r="S33">
        <v>1.302165</v>
      </c>
      <c r="T33">
        <v>1.31047</v>
      </c>
      <c r="U33">
        <v>1.317658</v>
      </c>
      <c r="V33">
        <v>1.325369</v>
      </c>
      <c r="W33">
        <v>1.3326370000000001</v>
      </c>
      <c r="X33">
        <v>1.3399160000000001</v>
      </c>
      <c r="Y33">
        <v>1.3495239999999999</v>
      </c>
      <c r="Z33">
        <v>1.3595330000000001</v>
      </c>
      <c r="AA33">
        <v>1.3698250000000001</v>
      </c>
      <c r="AB33">
        <v>1.3789229999999999</v>
      </c>
      <c r="AC33">
        <v>1.387899</v>
      </c>
      <c r="AD33">
        <v>1.396855</v>
      </c>
      <c r="AE33" t="s">
        <v>1106</v>
      </c>
    </row>
    <row r="34" spans="1:31" x14ac:dyDescent="0.25">
      <c r="A34" t="s">
        <v>109</v>
      </c>
      <c r="B34" t="s">
        <v>1133</v>
      </c>
      <c r="C34" t="s">
        <v>1134</v>
      </c>
      <c r="D34" t="s">
        <v>73</v>
      </c>
      <c r="E34">
        <v>4.0876000000000003E-2</v>
      </c>
      <c r="F34">
        <v>3.9529000000000002E-2</v>
      </c>
      <c r="G34">
        <v>3.5321999999999999E-2</v>
      </c>
      <c r="H34">
        <v>3.4547000000000001E-2</v>
      </c>
      <c r="I34">
        <v>3.3736000000000002E-2</v>
      </c>
      <c r="J34">
        <v>3.4748000000000001E-2</v>
      </c>
      <c r="K34">
        <v>3.39E-2</v>
      </c>
      <c r="L34">
        <v>3.4136E-2</v>
      </c>
      <c r="M34">
        <v>3.3707000000000001E-2</v>
      </c>
      <c r="N34">
        <v>3.3752999999999998E-2</v>
      </c>
      <c r="O34">
        <v>3.3499000000000001E-2</v>
      </c>
      <c r="P34">
        <v>3.3284000000000001E-2</v>
      </c>
      <c r="Q34">
        <v>3.3024999999999999E-2</v>
      </c>
      <c r="R34">
        <v>3.2672E-2</v>
      </c>
      <c r="S34">
        <v>3.2559999999999999E-2</v>
      </c>
      <c r="T34">
        <v>3.2231000000000003E-2</v>
      </c>
      <c r="U34">
        <v>3.1565999999999997E-2</v>
      </c>
      <c r="V34">
        <v>3.0664E-2</v>
      </c>
      <c r="W34">
        <v>2.9574E-2</v>
      </c>
      <c r="X34">
        <v>2.8497000000000001E-2</v>
      </c>
      <c r="Y34">
        <v>2.7718E-2</v>
      </c>
      <c r="Z34">
        <v>2.7413E-2</v>
      </c>
      <c r="AA34">
        <v>2.7217999999999999E-2</v>
      </c>
      <c r="AB34">
        <v>2.6842999999999999E-2</v>
      </c>
      <c r="AC34">
        <v>2.6571999999999998E-2</v>
      </c>
      <c r="AD34">
        <v>2.6395999999999999E-2</v>
      </c>
      <c r="AE34" t="s">
        <v>1135</v>
      </c>
    </row>
    <row r="35" spans="1:31" x14ac:dyDescent="0.25">
      <c r="A35" t="s">
        <v>140</v>
      </c>
      <c r="B35" t="s">
        <v>1136</v>
      </c>
      <c r="C35" t="s">
        <v>1137</v>
      </c>
      <c r="D35" t="s">
        <v>73</v>
      </c>
      <c r="E35">
        <v>0.41293400000000002</v>
      </c>
      <c r="F35">
        <v>0.33813799999999999</v>
      </c>
      <c r="G35">
        <v>0.34820000000000001</v>
      </c>
      <c r="H35">
        <v>0.55000000000000004</v>
      </c>
      <c r="I35">
        <v>0.55000000000000004</v>
      </c>
      <c r="J35">
        <v>0.55000000000000004</v>
      </c>
      <c r="K35">
        <v>0.55000000000000004</v>
      </c>
      <c r="L35">
        <v>0.55000000000000004</v>
      </c>
      <c r="M35">
        <v>0.55000000000000004</v>
      </c>
      <c r="N35">
        <v>0.55000000000000004</v>
      </c>
      <c r="O35">
        <v>0.55000000000000004</v>
      </c>
      <c r="P35">
        <v>0.55000000000000004</v>
      </c>
      <c r="Q35">
        <v>0.55000000000000004</v>
      </c>
      <c r="R35">
        <v>0.55000000000000004</v>
      </c>
      <c r="S35">
        <v>0.55000000000000004</v>
      </c>
      <c r="T35">
        <v>0.55000000000000004</v>
      </c>
      <c r="U35">
        <v>0.55000000000000004</v>
      </c>
      <c r="V35">
        <v>0.55000000000000004</v>
      </c>
      <c r="W35">
        <v>0.55000000000000004</v>
      </c>
      <c r="X35">
        <v>0.55000000000000004</v>
      </c>
      <c r="Y35">
        <v>0.55000000000000004</v>
      </c>
      <c r="Z35">
        <v>0.55000000000000004</v>
      </c>
      <c r="AA35">
        <v>0.55000000000000004</v>
      </c>
      <c r="AB35">
        <v>0.55000000000000004</v>
      </c>
      <c r="AC35">
        <v>0.55000000000000004</v>
      </c>
      <c r="AD35">
        <v>0.55000000000000004</v>
      </c>
      <c r="AE35" t="s">
        <v>1095</v>
      </c>
    </row>
    <row r="36" spans="1:31" x14ac:dyDescent="0.25">
      <c r="A36" t="s">
        <v>143</v>
      </c>
      <c r="B36" t="s">
        <v>1138</v>
      </c>
      <c r="C36" t="s">
        <v>1139</v>
      </c>
      <c r="D36" t="s">
        <v>73</v>
      </c>
      <c r="E36">
        <v>3.0726719999999998</v>
      </c>
      <c r="F36">
        <v>3.0838839999999998</v>
      </c>
      <c r="G36">
        <v>3.0602510000000001</v>
      </c>
      <c r="H36">
        <v>3.1596479999999998</v>
      </c>
      <c r="I36">
        <v>3.179748</v>
      </c>
      <c r="J36">
        <v>3.208421</v>
      </c>
      <c r="K36">
        <v>3.1990210000000001</v>
      </c>
      <c r="L36">
        <v>3.2272530000000001</v>
      </c>
      <c r="M36">
        <v>3.243433</v>
      </c>
      <c r="N36">
        <v>3.2591589999999999</v>
      </c>
      <c r="O36">
        <v>3.264192</v>
      </c>
      <c r="P36">
        <v>3.2744610000000001</v>
      </c>
      <c r="Q36">
        <v>3.2948270000000002</v>
      </c>
      <c r="R36">
        <v>3.3015810000000001</v>
      </c>
      <c r="S36">
        <v>3.3089710000000001</v>
      </c>
      <c r="T36">
        <v>3.3281640000000001</v>
      </c>
      <c r="U36">
        <v>3.3388170000000001</v>
      </c>
      <c r="V36">
        <v>3.3475259999999998</v>
      </c>
      <c r="W36">
        <v>3.3567010000000002</v>
      </c>
      <c r="X36">
        <v>3.3594780000000002</v>
      </c>
      <c r="Y36">
        <v>3.366012</v>
      </c>
      <c r="Z36">
        <v>3.3509039999999999</v>
      </c>
      <c r="AA36">
        <v>3.3717160000000002</v>
      </c>
      <c r="AB36">
        <v>3.3616160000000002</v>
      </c>
      <c r="AC36">
        <v>3.3715410000000001</v>
      </c>
      <c r="AD36">
        <v>3.3577530000000002</v>
      </c>
      <c r="AE36" t="s">
        <v>1111</v>
      </c>
    </row>
    <row r="37" spans="1:31" x14ac:dyDescent="0.25">
      <c r="A37" t="s">
        <v>77</v>
      </c>
      <c r="B37" t="s">
        <v>1140</v>
      </c>
      <c r="C37" t="s">
        <v>1141</v>
      </c>
      <c r="D37" t="s">
        <v>73</v>
      </c>
      <c r="E37">
        <v>8.6239080000000001</v>
      </c>
      <c r="F37">
        <v>8.5156969999999994</v>
      </c>
      <c r="G37">
        <v>8.6956659999999992</v>
      </c>
      <c r="H37">
        <v>8.8950809999999993</v>
      </c>
      <c r="I37">
        <v>8.8534930000000003</v>
      </c>
      <c r="J37">
        <v>8.8965340000000008</v>
      </c>
      <c r="K37">
        <v>8.9331099999999992</v>
      </c>
      <c r="L37">
        <v>9.0101379999999995</v>
      </c>
      <c r="M37">
        <v>9.0737249999999996</v>
      </c>
      <c r="N37">
        <v>9.1452089999999995</v>
      </c>
      <c r="O37">
        <v>9.2114840000000004</v>
      </c>
      <c r="P37">
        <v>9.2926559999999991</v>
      </c>
      <c r="Q37">
        <v>9.3723759999999992</v>
      </c>
      <c r="R37">
        <v>9.4391079999999992</v>
      </c>
      <c r="S37">
        <v>9.536899</v>
      </c>
      <c r="T37">
        <v>9.6362740000000002</v>
      </c>
      <c r="U37">
        <v>9.7324269999999995</v>
      </c>
      <c r="V37">
        <v>9.8394320000000004</v>
      </c>
      <c r="W37">
        <v>9.9395849999999992</v>
      </c>
      <c r="X37">
        <v>10.034114000000001</v>
      </c>
      <c r="Y37">
        <v>10.142825</v>
      </c>
      <c r="Z37">
        <v>10.231821999999999</v>
      </c>
      <c r="AA37">
        <v>10.366573000000001</v>
      </c>
      <c r="AB37">
        <v>10.457172999999999</v>
      </c>
      <c r="AC37">
        <v>10.541565</v>
      </c>
      <c r="AD37">
        <v>10.62656</v>
      </c>
      <c r="AE37" t="s">
        <v>1142</v>
      </c>
    </row>
    <row r="38" spans="1:31" x14ac:dyDescent="0.25">
      <c r="A38" t="s">
        <v>80</v>
      </c>
      <c r="B38" t="s">
        <v>1143</v>
      </c>
      <c r="C38" t="s">
        <v>1144</v>
      </c>
      <c r="D38" t="s">
        <v>73</v>
      </c>
      <c r="E38">
        <v>7.8903230000000004</v>
      </c>
      <c r="F38">
        <v>7.801679</v>
      </c>
      <c r="G38">
        <v>7.6910069999999999</v>
      </c>
      <c r="H38">
        <v>7.6944910000000002</v>
      </c>
      <c r="I38">
        <v>7.6860460000000002</v>
      </c>
      <c r="J38">
        <v>7.6892389999999997</v>
      </c>
      <c r="K38">
        <v>7.7310809999999996</v>
      </c>
      <c r="L38">
        <v>7.760675</v>
      </c>
      <c r="M38">
        <v>7.7641790000000004</v>
      </c>
      <c r="N38">
        <v>7.7888640000000002</v>
      </c>
      <c r="O38">
        <v>7.8136539999999997</v>
      </c>
      <c r="P38">
        <v>7.8278740000000004</v>
      </c>
      <c r="Q38">
        <v>7.8223789999999997</v>
      </c>
      <c r="R38">
        <v>7.8362509999999999</v>
      </c>
      <c r="S38">
        <v>7.8571569999999999</v>
      </c>
      <c r="T38">
        <v>7.899248</v>
      </c>
      <c r="U38">
        <v>7.9458849999999996</v>
      </c>
      <c r="V38">
        <v>8.0203930000000003</v>
      </c>
      <c r="W38">
        <v>8.0994689999999991</v>
      </c>
      <c r="X38">
        <v>8.1722780000000004</v>
      </c>
      <c r="Y38">
        <v>8.2544520000000006</v>
      </c>
      <c r="Z38">
        <v>8.3242030000000007</v>
      </c>
      <c r="AA38">
        <v>8.4099050000000002</v>
      </c>
      <c r="AB38">
        <v>8.4776410000000002</v>
      </c>
      <c r="AC38">
        <v>8.5318620000000003</v>
      </c>
      <c r="AD38">
        <v>8.6158009999999994</v>
      </c>
      <c r="AE38" t="s">
        <v>1111</v>
      </c>
    </row>
    <row r="39" spans="1:31" x14ac:dyDescent="0.25">
      <c r="A39" t="s">
        <v>150</v>
      </c>
      <c r="B39" t="s">
        <v>1145</v>
      </c>
      <c r="C39" t="s">
        <v>1146</v>
      </c>
      <c r="D39" t="s">
        <v>73</v>
      </c>
      <c r="E39">
        <v>2.1362390000000002</v>
      </c>
      <c r="F39">
        <v>2.128485</v>
      </c>
      <c r="G39">
        <v>2.1603400000000001</v>
      </c>
      <c r="H39">
        <v>2.165232</v>
      </c>
      <c r="I39">
        <v>2.162156</v>
      </c>
      <c r="J39">
        <v>2.203182</v>
      </c>
      <c r="K39">
        <v>2.2643529999999998</v>
      </c>
      <c r="L39">
        <v>2.334959</v>
      </c>
      <c r="M39">
        <v>2.3952339999999999</v>
      </c>
      <c r="N39">
        <v>2.4525809999999999</v>
      </c>
      <c r="O39">
        <v>2.473735</v>
      </c>
      <c r="P39">
        <v>2.4826640000000002</v>
      </c>
      <c r="Q39">
        <v>2.4927549999999998</v>
      </c>
      <c r="R39">
        <v>2.5068679999999999</v>
      </c>
      <c r="S39">
        <v>2.5246620000000002</v>
      </c>
      <c r="T39">
        <v>2.5674649999999999</v>
      </c>
      <c r="U39">
        <v>2.6017749999999999</v>
      </c>
      <c r="V39">
        <v>2.6305519999999998</v>
      </c>
      <c r="W39">
        <v>2.644943</v>
      </c>
      <c r="X39">
        <v>2.647805</v>
      </c>
      <c r="Y39">
        <v>2.6459549999999998</v>
      </c>
      <c r="Z39">
        <v>2.6564239999999999</v>
      </c>
      <c r="AA39">
        <v>2.673549</v>
      </c>
      <c r="AB39">
        <v>2.6894960000000001</v>
      </c>
      <c r="AC39">
        <v>2.689622</v>
      </c>
      <c r="AD39">
        <v>2.6848770000000002</v>
      </c>
      <c r="AE39" t="s">
        <v>1130</v>
      </c>
    </row>
    <row r="40" spans="1:31" x14ac:dyDescent="0.25">
      <c r="A40" t="s">
        <v>153</v>
      </c>
      <c r="B40" t="s">
        <v>1147</v>
      </c>
      <c r="C40" t="s">
        <v>1148</v>
      </c>
      <c r="D40" t="s">
        <v>73</v>
      </c>
      <c r="E40">
        <v>10.026562</v>
      </c>
      <c r="F40">
        <v>9.9301639999999995</v>
      </c>
      <c r="G40">
        <v>9.8513470000000005</v>
      </c>
      <c r="H40">
        <v>9.8597230000000007</v>
      </c>
      <c r="I40">
        <v>9.8482029999999998</v>
      </c>
      <c r="J40">
        <v>9.8924210000000006</v>
      </c>
      <c r="K40">
        <v>9.9954330000000002</v>
      </c>
      <c r="L40">
        <v>10.095635</v>
      </c>
      <c r="M40">
        <v>10.159411</v>
      </c>
      <c r="N40">
        <v>10.241446</v>
      </c>
      <c r="O40">
        <v>10.287388999999999</v>
      </c>
      <c r="P40">
        <v>10.310537999999999</v>
      </c>
      <c r="Q40">
        <v>10.315134</v>
      </c>
      <c r="R40">
        <v>10.343120000000001</v>
      </c>
      <c r="S40">
        <v>10.381819999999999</v>
      </c>
      <c r="T40">
        <v>10.466711999999999</v>
      </c>
      <c r="U40">
        <v>10.54766</v>
      </c>
      <c r="V40">
        <v>10.650945</v>
      </c>
      <c r="W40">
        <v>10.744410999999999</v>
      </c>
      <c r="X40">
        <v>10.820083</v>
      </c>
      <c r="Y40">
        <v>10.900406</v>
      </c>
      <c r="Z40">
        <v>10.980626000000001</v>
      </c>
      <c r="AA40">
        <v>11.083455000000001</v>
      </c>
      <c r="AB40">
        <v>11.167137</v>
      </c>
      <c r="AC40">
        <v>11.221484999999999</v>
      </c>
      <c r="AD40">
        <v>11.300678</v>
      </c>
      <c r="AE40" t="s">
        <v>1119</v>
      </c>
    </row>
    <row r="41" spans="1:31" x14ac:dyDescent="0.25">
      <c r="A41" t="s">
        <v>156</v>
      </c>
      <c r="B41" t="s">
        <v>1149</v>
      </c>
      <c r="C41" t="s">
        <v>1150</v>
      </c>
      <c r="D41" t="s">
        <v>73</v>
      </c>
      <c r="E41">
        <v>0.418161</v>
      </c>
      <c r="F41">
        <v>0.437662</v>
      </c>
      <c r="G41">
        <v>0.44602999999999998</v>
      </c>
      <c r="H41">
        <v>0.43068499999999998</v>
      </c>
      <c r="I41">
        <v>0.41941200000000001</v>
      </c>
      <c r="J41">
        <v>0.41326000000000002</v>
      </c>
      <c r="K41">
        <v>0.40547800000000001</v>
      </c>
      <c r="L41">
        <v>0.39990500000000001</v>
      </c>
      <c r="M41">
        <v>0.39374999999999999</v>
      </c>
      <c r="N41">
        <v>0.38364999999999999</v>
      </c>
      <c r="O41">
        <v>0.37529699999999999</v>
      </c>
      <c r="P41">
        <v>0.36475999999999997</v>
      </c>
      <c r="Q41">
        <v>0.35550599999999999</v>
      </c>
      <c r="R41">
        <v>0.34536899999999998</v>
      </c>
      <c r="S41">
        <v>0.33481</v>
      </c>
      <c r="T41">
        <v>0.326546</v>
      </c>
      <c r="U41">
        <v>0.31912099999999999</v>
      </c>
      <c r="V41">
        <v>0.311913</v>
      </c>
      <c r="W41">
        <v>0.30402499999999999</v>
      </c>
      <c r="X41">
        <v>0.29624499999999998</v>
      </c>
      <c r="Y41">
        <v>0.29039100000000001</v>
      </c>
      <c r="Z41">
        <v>0.283607</v>
      </c>
      <c r="AA41">
        <v>0.27760400000000002</v>
      </c>
      <c r="AB41">
        <v>0.27125300000000002</v>
      </c>
      <c r="AC41">
        <v>0.26358100000000001</v>
      </c>
      <c r="AD41">
        <v>0.25716800000000001</v>
      </c>
      <c r="AE41" t="s">
        <v>1151</v>
      </c>
    </row>
    <row r="42" spans="1:31" x14ac:dyDescent="0.25">
      <c r="A42" t="s">
        <v>159</v>
      </c>
      <c r="B42" t="s">
        <v>1152</v>
      </c>
      <c r="C42" t="s">
        <v>1153</v>
      </c>
      <c r="D42" t="s">
        <v>73</v>
      </c>
      <c r="E42">
        <v>0.40035700000000002</v>
      </c>
      <c r="F42">
        <v>0.368676</v>
      </c>
      <c r="G42">
        <v>0.367838</v>
      </c>
      <c r="H42">
        <v>0.36464600000000003</v>
      </c>
      <c r="I42">
        <v>0.36113299999999998</v>
      </c>
      <c r="J42">
        <v>0.35831800000000003</v>
      </c>
      <c r="K42">
        <v>0.35428100000000001</v>
      </c>
      <c r="L42">
        <v>0.35566599999999998</v>
      </c>
      <c r="M42">
        <v>0.35592699999999999</v>
      </c>
      <c r="N42">
        <v>0.35481099999999999</v>
      </c>
      <c r="O42">
        <v>0.35316599999999998</v>
      </c>
      <c r="P42">
        <v>0.35029199999999999</v>
      </c>
      <c r="Q42">
        <v>0.346605</v>
      </c>
      <c r="R42">
        <v>0.34234599999999998</v>
      </c>
      <c r="S42">
        <v>0.337837</v>
      </c>
      <c r="T42">
        <v>0.33343299999999998</v>
      </c>
      <c r="U42">
        <v>0.329175</v>
      </c>
      <c r="V42">
        <v>0.32475199999999999</v>
      </c>
      <c r="W42">
        <v>0.32024000000000002</v>
      </c>
      <c r="X42">
        <v>0.315859</v>
      </c>
      <c r="Y42">
        <v>0.312079</v>
      </c>
      <c r="Z42">
        <v>0.30853999999999998</v>
      </c>
      <c r="AA42">
        <v>0.30512499999999998</v>
      </c>
      <c r="AB42">
        <v>0.30166199999999999</v>
      </c>
      <c r="AC42">
        <v>0.29805199999999998</v>
      </c>
      <c r="AD42">
        <v>0.29466100000000001</v>
      </c>
      <c r="AE42" t="s">
        <v>1154</v>
      </c>
    </row>
    <row r="43" spans="1:31" x14ac:dyDescent="0.25">
      <c r="A43" t="s">
        <v>162</v>
      </c>
      <c r="B43" t="s">
        <v>1155</v>
      </c>
      <c r="C43" t="s">
        <v>1156</v>
      </c>
      <c r="D43" t="s">
        <v>73</v>
      </c>
      <c r="E43">
        <v>-3.0896E-2</v>
      </c>
      <c r="F43">
        <v>-3.5414000000000001E-2</v>
      </c>
      <c r="G43">
        <v>-2.5403999999999999E-2</v>
      </c>
      <c r="H43">
        <v>-2.5582000000000001E-2</v>
      </c>
      <c r="I43">
        <v>-2.5190000000000001E-2</v>
      </c>
      <c r="J43">
        <v>-2.4858000000000002E-2</v>
      </c>
      <c r="K43">
        <v>-2.4549000000000001E-2</v>
      </c>
      <c r="L43">
        <v>-2.4170000000000001E-2</v>
      </c>
      <c r="M43">
        <v>-2.3817999999999999E-2</v>
      </c>
      <c r="N43">
        <v>-2.3467999999999999E-2</v>
      </c>
      <c r="O43">
        <v>-2.3053000000000001E-2</v>
      </c>
      <c r="P43">
        <v>-2.2494E-2</v>
      </c>
      <c r="Q43">
        <v>-2.1995000000000001E-2</v>
      </c>
      <c r="R43">
        <v>-2.1444000000000001E-2</v>
      </c>
      <c r="S43">
        <v>-2.0864000000000001E-2</v>
      </c>
      <c r="T43">
        <v>-2.0423E-2</v>
      </c>
      <c r="U43">
        <v>-2.0029999999999999E-2</v>
      </c>
      <c r="V43">
        <v>-1.9643999999999998E-2</v>
      </c>
      <c r="W43">
        <v>-1.9212E-2</v>
      </c>
      <c r="X43">
        <v>-1.8783000000000001E-2</v>
      </c>
      <c r="Y43">
        <v>-1.8388000000000002E-2</v>
      </c>
      <c r="Z43">
        <v>-1.8088E-2</v>
      </c>
      <c r="AA43">
        <v>-1.7673999999999999E-2</v>
      </c>
      <c r="AB43">
        <v>-1.7364999999999998E-2</v>
      </c>
      <c r="AC43">
        <v>-1.6993000000000001E-2</v>
      </c>
      <c r="AD43">
        <v>-1.6633999999999999E-2</v>
      </c>
      <c r="AE43" t="s">
        <v>1103</v>
      </c>
    </row>
    <row r="44" spans="1:31" x14ac:dyDescent="0.25">
      <c r="A44" t="s">
        <v>165</v>
      </c>
      <c r="B44" t="s">
        <v>1157</v>
      </c>
      <c r="C44" t="s">
        <v>1158</v>
      </c>
      <c r="D44" t="s">
        <v>73</v>
      </c>
      <c r="E44">
        <v>0.78762299999999996</v>
      </c>
      <c r="F44">
        <v>0.77092499999999997</v>
      </c>
      <c r="G44">
        <v>0.78846400000000005</v>
      </c>
      <c r="H44">
        <v>0.76974799999999999</v>
      </c>
      <c r="I44">
        <v>0.755355</v>
      </c>
      <c r="J44">
        <v>0.74671900000000002</v>
      </c>
      <c r="K44">
        <v>0.73521099999999995</v>
      </c>
      <c r="L44">
        <v>0.73140099999999997</v>
      </c>
      <c r="M44">
        <v>0.72585900000000003</v>
      </c>
      <c r="N44">
        <v>0.71499400000000002</v>
      </c>
      <c r="O44">
        <v>0.70540999999999998</v>
      </c>
      <c r="P44">
        <v>0.69255800000000001</v>
      </c>
      <c r="Q44">
        <v>0.68011600000000005</v>
      </c>
      <c r="R44">
        <v>0.66627099999999995</v>
      </c>
      <c r="S44">
        <v>0.651783</v>
      </c>
      <c r="T44">
        <v>0.63955700000000004</v>
      </c>
      <c r="U44">
        <v>0.62826599999999999</v>
      </c>
      <c r="V44">
        <v>0.61702100000000004</v>
      </c>
      <c r="W44">
        <v>0.60505299999999995</v>
      </c>
      <c r="X44">
        <v>0.59332099999999999</v>
      </c>
      <c r="Y44">
        <v>0.58408199999999999</v>
      </c>
      <c r="Z44">
        <v>0.57405799999999996</v>
      </c>
      <c r="AA44">
        <v>0.56505499999999997</v>
      </c>
      <c r="AB44">
        <v>0.55555100000000002</v>
      </c>
      <c r="AC44">
        <v>0.54464000000000001</v>
      </c>
      <c r="AD44">
        <v>0.53519499999999998</v>
      </c>
      <c r="AE44" t="s">
        <v>1071</v>
      </c>
    </row>
    <row r="45" spans="1:31" x14ac:dyDescent="0.25">
      <c r="A45" t="s">
        <v>168</v>
      </c>
      <c r="B45" t="s">
        <v>1159</v>
      </c>
      <c r="C45" t="s">
        <v>1160</v>
      </c>
      <c r="D45" t="s">
        <v>73</v>
      </c>
      <c r="E45">
        <v>0.90891699999999997</v>
      </c>
      <c r="F45">
        <v>0.92460600000000004</v>
      </c>
      <c r="G45">
        <v>0.93709799999999999</v>
      </c>
      <c r="H45">
        <v>0.94168600000000002</v>
      </c>
      <c r="I45">
        <v>0.93855999999999995</v>
      </c>
      <c r="J45">
        <v>0.940195</v>
      </c>
      <c r="K45">
        <v>0.93708499999999995</v>
      </c>
      <c r="L45">
        <v>0.93595899999999999</v>
      </c>
      <c r="M45">
        <v>0.93459099999999995</v>
      </c>
      <c r="N45">
        <v>0.93672299999999997</v>
      </c>
      <c r="O45">
        <v>0.93835000000000002</v>
      </c>
      <c r="P45">
        <v>0.94456799999999996</v>
      </c>
      <c r="Q45">
        <v>0.94416800000000001</v>
      </c>
      <c r="R45">
        <v>0.94495200000000001</v>
      </c>
      <c r="S45">
        <v>0.94594599999999995</v>
      </c>
      <c r="T45">
        <v>0.94855500000000004</v>
      </c>
      <c r="U45">
        <v>0.95130800000000004</v>
      </c>
      <c r="V45">
        <v>0.961144</v>
      </c>
      <c r="W45">
        <v>0.96505399999999997</v>
      </c>
      <c r="X45">
        <v>0.96772100000000005</v>
      </c>
      <c r="Y45">
        <v>0.96853400000000001</v>
      </c>
      <c r="Z45">
        <v>0.96856500000000001</v>
      </c>
      <c r="AA45">
        <v>0.97285699999999997</v>
      </c>
      <c r="AB45">
        <v>0.97891799999999995</v>
      </c>
      <c r="AC45">
        <v>0.981626</v>
      </c>
      <c r="AD45">
        <v>0.98605500000000001</v>
      </c>
      <c r="AE45" t="s">
        <v>1161</v>
      </c>
    </row>
    <row r="46" spans="1:31" x14ac:dyDescent="0.25">
      <c r="A46" t="s">
        <v>83</v>
      </c>
      <c r="B46" t="s">
        <v>1162</v>
      </c>
      <c r="C46" t="s">
        <v>1163</v>
      </c>
      <c r="D46" t="s">
        <v>73</v>
      </c>
      <c r="E46">
        <v>1.497989</v>
      </c>
      <c r="F46">
        <v>1.6071</v>
      </c>
      <c r="G46">
        <v>1.568859</v>
      </c>
      <c r="H46">
        <v>1.550627</v>
      </c>
      <c r="I46">
        <v>1.5433250000000001</v>
      </c>
      <c r="J46">
        <v>1.5140119999999999</v>
      </c>
      <c r="K46">
        <v>1.4797229999999999</v>
      </c>
      <c r="L46">
        <v>1.458091</v>
      </c>
      <c r="M46">
        <v>1.446947</v>
      </c>
      <c r="N46">
        <v>1.4486190000000001</v>
      </c>
      <c r="O46">
        <v>1.4525239999999999</v>
      </c>
      <c r="P46">
        <v>1.4630069999999999</v>
      </c>
      <c r="Q46">
        <v>1.4731620000000001</v>
      </c>
      <c r="R46">
        <v>1.495779</v>
      </c>
      <c r="S46">
        <v>1.520454</v>
      </c>
      <c r="T46">
        <v>1.541369</v>
      </c>
      <c r="U46">
        <v>1.546718</v>
      </c>
      <c r="V46">
        <v>1.55775</v>
      </c>
      <c r="W46">
        <v>1.5652539999999999</v>
      </c>
      <c r="X46">
        <v>1.5779190000000001</v>
      </c>
      <c r="Y46">
        <v>1.6022350000000001</v>
      </c>
      <c r="Z46">
        <v>1.6247739999999999</v>
      </c>
      <c r="AA46">
        <v>1.650185</v>
      </c>
      <c r="AB46">
        <v>1.673621</v>
      </c>
      <c r="AC46">
        <v>1.702137</v>
      </c>
      <c r="AD46">
        <v>1.7292259999999999</v>
      </c>
      <c r="AE46" t="s">
        <v>1164</v>
      </c>
    </row>
    <row r="47" spans="1:31" x14ac:dyDescent="0.25">
      <c r="A47" t="s">
        <v>173</v>
      </c>
      <c r="B47" t="s">
        <v>1165</v>
      </c>
      <c r="C47" t="s">
        <v>1166</v>
      </c>
      <c r="D47" t="s">
        <v>73</v>
      </c>
      <c r="E47">
        <v>1.075156</v>
      </c>
      <c r="F47">
        <v>1.0207489999999999</v>
      </c>
      <c r="G47">
        <v>1.018594</v>
      </c>
      <c r="H47">
        <v>1.01996</v>
      </c>
      <c r="I47">
        <v>1.0299689999999999</v>
      </c>
      <c r="J47">
        <v>1.027752</v>
      </c>
      <c r="K47">
        <v>1.015987</v>
      </c>
      <c r="L47">
        <v>1.0132989999999999</v>
      </c>
      <c r="M47">
        <v>1.0182310000000001</v>
      </c>
      <c r="N47">
        <v>1.0392479999999999</v>
      </c>
      <c r="O47">
        <v>1.049199</v>
      </c>
      <c r="P47">
        <v>1.0520160000000001</v>
      </c>
      <c r="Q47">
        <v>1.0708899999999999</v>
      </c>
      <c r="R47">
        <v>1.0807</v>
      </c>
      <c r="S47">
        <v>1.0887100000000001</v>
      </c>
      <c r="T47">
        <v>1.0900080000000001</v>
      </c>
      <c r="U47">
        <v>1.0967519999999999</v>
      </c>
      <c r="V47">
        <v>1.101672</v>
      </c>
      <c r="W47">
        <v>1.111893</v>
      </c>
      <c r="X47">
        <v>1.134199</v>
      </c>
      <c r="Y47">
        <v>1.1492819999999999</v>
      </c>
      <c r="Z47">
        <v>1.157262</v>
      </c>
      <c r="AA47">
        <v>1.168895</v>
      </c>
      <c r="AB47">
        <v>1.17652</v>
      </c>
      <c r="AC47">
        <v>1.1824190000000001</v>
      </c>
      <c r="AD47">
        <v>1.189262</v>
      </c>
      <c r="AE47" t="s">
        <v>1111</v>
      </c>
    </row>
    <row r="48" spans="1:31" x14ac:dyDescent="0.25">
      <c r="A48" t="s">
        <v>176</v>
      </c>
      <c r="B48" t="s">
        <v>1167</v>
      </c>
      <c r="C48" t="s">
        <v>1168</v>
      </c>
      <c r="D48" t="s">
        <v>73</v>
      </c>
      <c r="E48">
        <v>3.6134659999999998</v>
      </c>
      <c r="F48">
        <v>3.7284160000000002</v>
      </c>
      <c r="G48">
        <v>3.6929479999999999</v>
      </c>
      <c r="H48">
        <v>3.67347</v>
      </c>
      <c r="I48">
        <v>3.6531120000000001</v>
      </c>
      <c r="J48">
        <v>3.6560429999999999</v>
      </c>
      <c r="K48">
        <v>3.658544</v>
      </c>
      <c r="L48">
        <v>3.6715309999999999</v>
      </c>
      <c r="M48">
        <v>3.697406</v>
      </c>
      <c r="N48">
        <v>3.7282929999999999</v>
      </c>
      <c r="O48">
        <v>3.770464</v>
      </c>
      <c r="P48">
        <v>3.8197320000000001</v>
      </c>
      <c r="Q48">
        <v>3.8805269999999998</v>
      </c>
      <c r="R48">
        <v>3.9379759999999999</v>
      </c>
      <c r="S48">
        <v>3.9918619999999998</v>
      </c>
      <c r="T48">
        <v>4.0405709999999999</v>
      </c>
      <c r="U48">
        <v>4.0819710000000002</v>
      </c>
      <c r="V48">
        <v>4.114147</v>
      </c>
      <c r="W48">
        <v>4.1351170000000002</v>
      </c>
      <c r="X48">
        <v>4.1547559999999999</v>
      </c>
      <c r="Y48">
        <v>4.1887020000000001</v>
      </c>
      <c r="Z48">
        <v>4.2233619999999998</v>
      </c>
      <c r="AA48">
        <v>4.2603179999999998</v>
      </c>
      <c r="AB48">
        <v>4.2963769999999997</v>
      </c>
      <c r="AC48">
        <v>4.3269279999999997</v>
      </c>
      <c r="AD48">
        <v>4.3563549999999998</v>
      </c>
      <c r="AE48" t="s">
        <v>1142</v>
      </c>
    </row>
    <row r="49" spans="1:31" x14ac:dyDescent="0.25">
      <c r="A49" t="s">
        <v>89</v>
      </c>
      <c r="B49" t="s">
        <v>1169</v>
      </c>
      <c r="C49" t="s">
        <v>1170</v>
      </c>
      <c r="D49" t="s">
        <v>73</v>
      </c>
      <c r="E49">
        <v>26.533619999999999</v>
      </c>
      <c r="F49">
        <v>26.497658999999999</v>
      </c>
      <c r="G49">
        <v>26.552975</v>
      </c>
      <c r="H49">
        <v>26.710294000000001</v>
      </c>
      <c r="I49">
        <v>26.622015000000001</v>
      </c>
      <c r="J49">
        <v>26.673677000000001</v>
      </c>
      <c r="K49">
        <v>26.755094</v>
      </c>
      <c r="L49">
        <v>26.916056000000001</v>
      </c>
      <c r="M49">
        <v>27.056169000000001</v>
      </c>
      <c r="N49">
        <v>27.254529999999999</v>
      </c>
      <c r="O49">
        <v>27.414819000000001</v>
      </c>
      <c r="P49">
        <v>27.575078999999999</v>
      </c>
      <c r="Q49">
        <v>27.736376</v>
      </c>
      <c r="R49">
        <v>27.907905</v>
      </c>
      <c r="S49">
        <v>28.117471999999999</v>
      </c>
      <c r="T49">
        <v>28.363045</v>
      </c>
      <c r="U49">
        <v>28.585101000000002</v>
      </c>
      <c r="V49">
        <v>28.842110000000002</v>
      </c>
      <c r="W49">
        <v>29.066367</v>
      </c>
      <c r="X49">
        <v>29.282112999999999</v>
      </c>
      <c r="Y49">
        <v>29.536066999999999</v>
      </c>
      <c r="Z49">
        <v>29.760470000000002</v>
      </c>
      <c r="AA49">
        <v>30.067336999999998</v>
      </c>
      <c r="AB49">
        <v>30.305294</v>
      </c>
      <c r="AC49">
        <v>30.500798</v>
      </c>
      <c r="AD49">
        <v>30.723331000000002</v>
      </c>
      <c r="AE49" t="s">
        <v>1164</v>
      </c>
    </row>
    <row r="50" spans="1:31" x14ac:dyDescent="0.25">
      <c r="A50" t="s">
        <v>92</v>
      </c>
      <c r="B50" t="s">
        <v>1171</v>
      </c>
      <c r="C50" t="s">
        <v>1172</v>
      </c>
      <c r="D50" t="s">
        <v>73</v>
      </c>
      <c r="E50">
        <v>4.9651050000000003</v>
      </c>
      <c r="F50">
        <v>5.0738079999999997</v>
      </c>
      <c r="G50">
        <v>4.6417970000000004</v>
      </c>
      <c r="H50">
        <v>4.4189350000000003</v>
      </c>
      <c r="I50">
        <v>4.2950679999999997</v>
      </c>
      <c r="J50">
        <v>4.2218929999999997</v>
      </c>
      <c r="K50">
        <v>4.090166</v>
      </c>
      <c r="L50">
        <v>4.0246430000000002</v>
      </c>
      <c r="M50">
        <v>4.0042450000000001</v>
      </c>
      <c r="N50">
        <v>3.9587729999999999</v>
      </c>
      <c r="O50">
        <v>3.943889</v>
      </c>
      <c r="P50">
        <v>3.9341270000000002</v>
      </c>
      <c r="Q50">
        <v>3.9573</v>
      </c>
      <c r="R50">
        <v>3.9860790000000001</v>
      </c>
      <c r="S50">
        <v>4.0023590000000002</v>
      </c>
      <c r="T50">
        <v>4.0031379999999999</v>
      </c>
      <c r="U50">
        <v>3.9965830000000002</v>
      </c>
      <c r="V50">
        <v>4.0001620000000004</v>
      </c>
      <c r="W50">
        <v>3.997722</v>
      </c>
      <c r="X50">
        <v>3.9957280000000002</v>
      </c>
      <c r="Y50">
        <v>4.0079190000000002</v>
      </c>
      <c r="Z50">
        <v>4.0224169999999999</v>
      </c>
      <c r="AA50">
        <v>4.0430089999999996</v>
      </c>
      <c r="AB50">
        <v>4.0618530000000002</v>
      </c>
      <c r="AC50">
        <v>4.0605710000000004</v>
      </c>
      <c r="AD50">
        <v>4.0707659999999999</v>
      </c>
      <c r="AE50" t="s">
        <v>1173</v>
      </c>
    </row>
    <row r="51" spans="1:31" x14ac:dyDescent="0.25">
      <c r="A51" t="s">
        <v>183</v>
      </c>
      <c r="B51" t="s">
        <v>1174</v>
      </c>
      <c r="C51" t="s">
        <v>1175</v>
      </c>
      <c r="D51" t="s">
        <v>73</v>
      </c>
      <c r="E51">
        <v>0.25473299999999999</v>
      </c>
      <c r="F51">
        <v>0.240508</v>
      </c>
      <c r="G51">
        <v>0.238347</v>
      </c>
      <c r="H51">
        <v>0.23827799999999999</v>
      </c>
      <c r="I51">
        <v>0.24568999999999999</v>
      </c>
      <c r="J51">
        <v>0.24485999999999999</v>
      </c>
      <c r="K51">
        <v>0.24033499999999999</v>
      </c>
      <c r="L51">
        <v>0.239145</v>
      </c>
      <c r="M51">
        <v>0.239901</v>
      </c>
      <c r="N51">
        <v>0.24574099999999999</v>
      </c>
      <c r="O51">
        <v>0.247527</v>
      </c>
      <c r="P51">
        <v>0.246917</v>
      </c>
      <c r="Q51">
        <v>0.24760099999999999</v>
      </c>
      <c r="R51">
        <v>0.247617</v>
      </c>
      <c r="S51">
        <v>0.249115</v>
      </c>
      <c r="T51">
        <v>0.24865899999999999</v>
      </c>
      <c r="U51">
        <v>0.24679999999999999</v>
      </c>
      <c r="V51">
        <v>0.247111</v>
      </c>
      <c r="W51">
        <v>0.24912699999999999</v>
      </c>
      <c r="X51">
        <v>0.25513000000000002</v>
      </c>
      <c r="Y51">
        <v>0.25880700000000001</v>
      </c>
      <c r="Z51">
        <v>0.26006499999999999</v>
      </c>
      <c r="AA51">
        <v>0.26233699999999999</v>
      </c>
      <c r="AB51">
        <v>0.263519</v>
      </c>
      <c r="AC51">
        <v>0.26449699999999998</v>
      </c>
      <c r="AD51">
        <v>0.26547599999999999</v>
      </c>
      <c r="AE51" t="s">
        <v>1081</v>
      </c>
    </row>
    <row r="52" spans="1:31" x14ac:dyDescent="0.25">
      <c r="A52" t="s">
        <v>95</v>
      </c>
      <c r="B52" t="s">
        <v>1176</v>
      </c>
      <c r="C52" t="s">
        <v>1177</v>
      </c>
      <c r="D52" t="s">
        <v>73</v>
      </c>
      <c r="E52">
        <v>31.753457999999998</v>
      </c>
      <c r="F52">
        <v>31.811975</v>
      </c>
      <c r="G52">
        <v>31.433118</v>
      </c>
      <c r="H52">
        <v>31.367507</v>
      </c>
      <c r="I52">
        <v>31.162773000000001</v>
      </c>
      <c r="J52">
        <v>31.140429999999999</v>
      </c>
      <c r="K52">
        <v>31.085595000000001</v>
      </c>
      <c r="L52">
        <v>31.179845</v>
      </c>
      <c r="M52">
        <v>31.300315999999999</v>
      </c>
      <c r="N52">
        <v>31.459043999999999</v>
      </c>
      <c r="O52">
        <v>31.606235000000002</v>
      </c>
      <c r="P52">
        <v>31.756122999999999</v>
      </c>
      <c r="Q52">
        <v>31.941275999999998</v>
      </c>
      <c r="R52">
        <v>32.141599999999997</v>
      </c>
      <c r="S52">
        <v>32.368946000000001</v>
      </c>
      <c r="T52">
        <v>32.614842000000003</v>
      </c>
      <c r="U52">
        <v>32.828484000000003</v>
      </c>
      <c r="V52">
        <v>33.089382000000001</v>
      </c>
      <c r="W52">
        <v>33.313215999999997</v>
      </c>
      <c r="X52">
        <v>33.532971000000003</v>
      </c>
      <c r="Y52">
        <v>33.802793000000001</v>
      </c>
      <c r="Z52">
        <v>34.042952</v>
      </c>
      <c r="AA52">
        <v>34.372683000000002</v>
      </c>
      <c r="AB52">
        <v>34.630665999999998</v>
      </c>
      <c r="AC52">
        <v>34.825865999999998</v>
      </c>
      <c r="AD52">
        <v>35.059573</v>
      </c>
      <c r="AE52" t="s">
        <v>1111</v>
      </c>
    </row>
    <row r="53" spans="1:31" x14ac:dyDescent="0.25">
      <c r="A53" t="s">
        <v>188</v>
      </c>
    </row>
    <row r="54" spans="1:31" x14ac:dyDescent="0.25">
      <c r="A54" t="s">
        <v>70</v>
      </c>
      <c r="B54" t="s">
        <v>1178</v>
      </c>
      <c r="C54" t="s">
        <v>1179</v>
      </c>
      <c r="D54" t="s">
        <v>73</v>
      </c>
      <c r="E54">
        <v>1.0834E-2</v>
      </c>
      <c r="F54">
        <v>1.0579E-2</v>
      </c>
      <c r="G54">
        <v>1.0311000000000001E-2</v>
      </c>
      <c r="H54">
        <v>1.0076E-2</v>
      </c>
      <c r="I54">
        <v>9.8490000000000001E-3</v>
      </c>
      <c r="J54">
        <v>9.6419999999999995E-3</v>
      </c>
      <c r="K54">
        <v>9.4269999999999996E-3</v>
      </c>
      <c r="L54">
        <v>9.2250000000000006E-3</v>
      </c>
      <c r="M54">
        <v>9.0480000000000005E-3</v>
      </c>
      <c r="N54">
        <v>8.8730000000000007E-3</v>
      </c>
      <c r="O54">
        <v>8.7130000000000003E-3</v>
      </c>
      <c r="P54">
        <v>8.567E-3</v>
      </c>
      <c r="Q54">
        <v>8.4320000000000003E-3</v>
      </c>
      <c r="R54">
        <v>8.3009999999999994E-3</v>
      </c>
      <c r="S54">
        <v>8.1840000000000003E-3</v>
      </c>
      <c r="T54">
        <v>8.0759999999999998E-3</v>
      </c>
      <c r="U54">
        <v>7.9629999999999996E-3</v>
      </c>
      <c r="V54">
        <v>7.8530000000000006E-3</v>
      </c>
      <c r="W54">
        <v>7.7409999999999996E-3</v>
      </c>
      <c r="X54">
        <v>7.6319999999999999E-3</v>
      </c>
      <c r="Y54">
        <v>7.5259999999999997E-3</v>
      </c>
      <c r="Z54">
        <v>7.4200000000000004E-3</v>
      </c>
      <c r="AA54">
        <v>7.319E-3</v>
      </c>
      <c r="AB54">
        <v>7.2100000000000003E-3</v>
      </c>
      <c r="AC54">
        <v>7.0980000000000001E-3</v>
      </c>
      <c r="AD54">
        <v>6.9870000000000002E-3</v>
      </c>
      <c r="AE54" t="s">
        <v>1135</v>
      </c>
    </row>
    <row r="55" spans="1:31" x14ac:dyDescent="0.25">
      <c r="A55" t="s">
        <v>101</v>
      </c>
      <c r="B55" t="s">
        <v>1180</v>
      </c>
      <c r="C55" t="s">
        <v>1181</v>
      </c>
      <c r="D55" t="s">
        <v>73</v>
      </c>
      <c r="E55">
        <v>15.952119</v>
      </c>
      <c r="F55">
        <v>15.816210999999999</v>
      </c>
      <c r="G55">
        <v>15.670795</v>
      </c>
      <c r="H55">
        <v>15.465605999999999</v>
      </c>
      <c r="I55">
        <v>15.225313</v>
      </c>
      <c r="J55">
        <v>14.975726</v>
      </c>
      <c r="K55">
        <v>14.736685</v>
      </c>
      <c r="L55">
        <v>14.535959999999999</v>
      </c>
      <c r="M55">
        <v>14.326003</v>
      </c>
      <c r="N55">
        <v>14.190125</v>
      </c>
      <c r="O55">
        <v>14.043919000000001</v>
      </c>
      <c r="P55">
        <v>13.868751</v>
      </c>
      <c r="Q55">
        <v>13.694697</v>
      </c>
      <c r="R55">
        <v>13.547844</v>
      </c>
      <c r="S55">
        <v>13.405708000000001</v>
      </c>
      <c r="T55">
        <v>13.291874</v>
      </c>
      <c r="U55">
        <v>13.186517</v>
      </c>
      <c r="V55">
        <v>13.058501</v>
      </c>
      <c r="W55">
        <v>12.968844000000001</v>
      </c>
      <c r="X55">
        <v>12.866261</v>
      </c>
      <c r="Y55">
        <v>12.776154999999999</v>
      </c>
      <c r="Z55">
        <v>12.674412999999999</v>
      </c>
      <c r="AA55">
        <v>12.588914000000001</v>
      </c>
      <c r="AB55">
        <v>12.471676</v>
      </c>
      <c r="AC55">
        <v>12.352423</v>
      </c>
      <c r="AD55">
        <v>12.263251</v>
      </c>
      <c r="AE55" t="s">
        <v>1182</v>
      </c>
    </row>
    <row r="56" spans="1:31" x14ac:dyDescent="0.25">
      <c r="A56" t="s">
        <v>193</v>
      </c>
      <c r="B56" t="s">
        <v>1183</v>
      </c>
      <c r="C56" t="s">
        <v>1184</v>
      </c>
      <c r="D56" t="s">
        <v>73</v>
      </c>
      <c r="E56">
        <v>3.9571000000000002E-2</v>
      </c>
      <c r="F56">
        <v>3.1597E-2</v>
      </c>
      <c r="G56">
        <v>2.9975000000000002E-2</v>
      </c>
      <c r="H56">
        <v>2.8060999999999999E-2</v>
      </c>
      <c r="I56">
        <v>2.5794000000000001E-2</v>
      </c>
      <c r="J56">
        <v>2.6779000000000001E-2</v>
      </c>
      <c r="K56">
        <v>2.2984999999999998E-2</v>
      </c>
      <c r="L56">
        <v>2.1014000000000001E-2</v>
      </c>
      <c r="M56">
        <v>1.9146E-2</v>
      </c>
      <c r="N56">
        <v>1.7756000000000001E-2</v>
      </c>
      <c r="O56">
        <v>1.5966000000000001E-2</v>
      </c>
      <c r="P56">
        <v>1.4460000000000001E-2</v>
      </c>
      <c r="Q56">
        <v>1.2975E-2</v>
      </c>
      <c r="R56">
        <v>1.1776999999999999E-2</v>
      </c>
      <c r="S56">
        <v>1.0739E-2</v>
      </c>
      <c r="T56">
        <v>9.9340000000000001E-3</v>
      </c>
      <c r="U56">
        <v>9.025E-3</v>
      </c>
      <c r="V56">
        <v>8.4950000000000008E-3</v>
      </c>
      <c r="W56">
        <v>7.9769999999999997E-3</v>
      </c>
      <c r="X56">
        <v>7.6210000000000002E-3</v>
      </c>
      <c r="Y56">
        <v>6.8999999999999999E-3</v>
      </c>
      <c r="Z56">
        <v>6.6400000000000001E-3</v>
      </c>
      <c r="AA56">
        <v>6.5799999999999999E-3</v>
      </c>
      <c r="AB56">
        <v>6.7739999999999996E-3</v>
      </c>
      <c r="AC56">
        <v>6.2760000000000003E-3</v>
      </c>
      <c r="AD56">
        <v>5.9779999999999998E-3</v>
      </c>
      <c r="AE56" t="s">
        <v>1185</v>
      </c>
    </row>
    <row r="57" spans="1:31" x14ac:dyDescent="0.25">
      <c r="A57" t="s">
        <v>196</v>
      </c>
      <c r="B57" t="s">
        <v>1186</v>
      </c>
      <c r="C57" t="s">
        <v>1187</v>
      </c>
      <c r="D57" t="s">
        <v>73</v>
      </c>
      <c r="E57">
        <v>3.559663</v>
      </c>
      <c r="F57">
        <v>3.6146509999999998</v>
      </c>
      <c r="G57">
        <v>3.641734</v>
      </c>
      <c r="H57">
        <v>3.6392419999999999</v>
      </c>
      <c r="I57">
        <v>3.6530390000000001</v>
      </c>
      <c r="J57">
        <v>3.6776089999999999</v>
      </c>
      <c r="K57">
        <v>3.7002350000000002</v>
      </c>
      <c r="L57">
        <v>3.7327279999999998</v>
      </c>
      <c r="M57">
        <v>3.7677779999999998</v>
      </c>
      <c r="N57">
        <v>3.810222</v>
      </c>
      <c r="O57">
        <v>3.861075</v>
      </c>
      <c r="P57">
        <v>3.8970790000000002</v>
      </c>
      <c r="Q57">
        <v>3.9365329999999998</v>
      </c>
      <c r="R57">
        <v>3.974361</v>
      </c>
      <c r="S57">
        <v>4.0107699999999999</v>
      </c>
      <c r="T57">
        <v>4.0476150000000004</v>
      </c>
      <c r="U57">
        <v>4.0799450000000004</v>
      </c>
      <c r="V57">
        <v>4.11531</v>
      </c>
      <c r="W57">
        <v>4.1520229999999998</v>
      </c>
      <c r="X57">
        <v>4.1876680000000004</v>
      </c>
      <c r="Y57">
        <v>4.2231930000000002</v>
      </c>
      <c r="Z57">
        <v>4.2548830000000004</v>
      </c>
      <c r="AA57">
        <v>4.2816729999999996</v>
      </c>
      <c r="AB57">
        <v>4.3082599999999998</v>
      </c>
      <c r="AC57">
        <v>4.3305160000000003</v>
      </c>
      <c r="AD57">
        <v>4.3544980000000004</v>
      </c>
      <c r="AE57" t="s">
        <v>1142</v>
      </c>
    </row>
    <row r="58" spans="1:31" x14ac:dyDescent="0.25">
      <c r="A58" t="s">
        <v>74</v>
      </c>
      <c r="B58" t="s">
        <v>1188</v>
      </c>
      <c r="C58" t="s">
        <v>1189</v>
      </c>
      <c r="D58" t="s">
        <v>73</v>
      </c>
      <c r="E58">
        <v>6.6023699999999996</v>
      </c>
      <c r="F58">
        <v>6.5816569999999999</v>
      </c>
      <c r="G58">
        <v>6.5794689999999996</v>
      </c>
      <c r="H58">
        <v>6.5405329999999999</v>
      </c>
      <c r="I58">
        <v>6.5124789999999999</v>
      </c>
      <c r="J58">
        <v>6.5038869999999998</v>
      </c>
      <c r="K58">
        <v>6.4656419999999999</v>
      </c>
      <c r="L58">
        <v>6.4317130000000002</v>
      </c>
      <c r="M58">
        <v>6.3863789999999998</v>
      </c>
      <c r="N58">
        <v>6.3491660000000003</v>
      </c>
      <c r="O58">
        <v>6.3200479999999999</v>
      </c>
      <c r="P58">
        <v>6.2892910000000004</v>
      </c>
      <c r="Q58">
        <v>6.2616940000000003</v>
      </c>
      <c r="R58">
        <v>6.2336720000000003</v>
      </c>
      <c r="S58">
        <v>6.2077049999999998</v>
      </c>
      <c r="T58">
        <v>6.1868470000000002</v>
      </c>
      <c r="U58">
        <v>6.1638700000000002</v>
      </c>
      <c r="V58">
        <v>6.139411</v>
      </c>
      <c r="W58">
        <v>6.1136020000000002</v>
      </c>
      <c r="X58">
        <v>6.0914320000000002</v>
      </c>
      <c r="Y58">
        <v>6.0779259999999997</v>
      </c>
      <c r="Z58">
        <v>6.0688890000000004</v>
      </c>
      <c r="AA58">
        <v>6.063625</v>
      </c>
      <c r="AB58">
        <v>6.0486040000000001</v>
      </c>
      <c r="AC58">
        <v>6.0312840000000003</v>
      </c>
      <c r="AD58">
        <v>6.0127759999999997</v>
      </c>
      <c r="AE58" t="s">
        <v>1190</v>
      </c>
    </row>
    <row r="59" spans="1:31" x14ac:dyDescent="0.25">
      <c r="A59" t="s">
        <v>109</v>
      </c>
      <c r="B59" t="s">
        <v>1191</v>
      </c>
      <c r="C59" t="s">
        <v>1192</v>
      </c>
      <c r="D59" t="s">
        <v>73</v>
      </c>
      <c r="E59">
        <v>0.55328500000000003</v>
      </c>
      <c r="F59">
        <v>0.53505999999999998</v>
      </c>
      <c r="G59">
        <v>0.54944700000000002</v>
      </c>
      <c r="H59">
        <v>0.57097699999999996</v>
      </c>
      <c r="I59">
        <v>0.57615400000000005</v>
      </c>
      <c r="J59">
        <v>0.58214500000000002</v>
      </c>
      <c r="K59">
        <v>0.58448800000000001</v>
      </c>
      <c r="L59">
        <v>0.59203499999999998</v>
      </c>
      <c r="M59">
        <v>0.60127900000000001</v>
      </c>
      <c r="N59">
        <v>0.61073999999999995</v>
      </c>
      <c r="O59">
        <v>0.61885400000000002</v>
      </c>
      <c r="P59">
        <v>0.62673199999999996</v>
      </c>
      <c r="Q59">
        <v>0.63252699999999995</v>
      </c>
      <c r="R59">
        <v>0.63837999999999995</v>
      </c>
      <c r="S59">
        <v>0.64349400000000001</v>
      </c>
      <c r="T59">
        <v>0.64766900000000005</v>
      </c>
      <c r="U59">
        <v>0.651536</v>
      </c>
      <c r="V59">
        <v>0.65849100000000005</v>
      </c>
      <c r="W59">
        <v>0.66569</v>
      </c>
      <c r="X59">
        <v>0.67242900000000005</v>
      </c>
      <c r="Y59">
        <v>0.67974400000000001</v>
      </c>
      <c r="Z59">
        <v>0.68650800000000001</v>
      </c>
      <c r="AA59">
        <v>0.69276800000000005</v>
      </c>
      <c r="AB59">
        <v>0.69881700000000002</v>
      </c>
      <c r="AC59">
        <v>0.70526999999999995</v>
      </c>
      <c r="AD59">
        <v>0.71221299999999998</v>
      </c>
      <c r="AE59" t="s">
        <v>1092</v>
      </c>
    </row>
    <row r="60" spans="1:31" x14ac:dyDescent="0.25">
      <c r="A60" t="s">
        <v>143</v>
      </c>
      <c r="B60" t="s">
        <v>1193</v>
      </c>
      <c r="C60" t="s">
        <v>1194</v>
      </c>
      <c r="D60" t="s">
        <v>73</v>
      </c>
      <c r="E60">
        <v>0.11163099999999999</v>
      </c>
      <c r="F60">
        <v>0.111692</v>
      </c>
      <c r="G60">
        <v>0.111819</v>
      </c>
      <c r="H60">
        <v>0.111999</v>
      </c>
      <c r="I60">
        <v>0.11221</v>
      </c>
      <c r="J60">
        <v>0.1125</v>
      </c>
      <c r="K60">
        <v>0.112759</v>
      </c>
      <c r="L60">
        <v>0.113014</v>
      </c>
      <c r="M60">
        <v>0.11323999999999999</v>
      </c>
      <c r="N60">
        <v>0.11347</v>
      </c>
      <c r="O60">
        <v>0.113689</v>
      </c>
      <c r="P60">
        <v>0.11386599999999999</v>
      </c>
      <c r="Q60">
        <v>0.114039</v>
      </c>
      <c r="R60">
        <v>0.114207</v>
      </c>
      <c r="S60">
        <v>0.114367</v>
      </c>
      <c r="T60">
        <v>0.114523</v>
      </c>
      <c r="U60">
        <v>0.114658</v>
      </c>
      <c r="V60">
        <v>0.114773</v>
      </c>
      <c r="W60">
        <v>0.114866</v>
      </c>
      <c r="X60">
        <v>0.114952</v>
      </c>
      <c r="Y60">
        <v>0.11505600000000001</v>
      </c>
      <c r="Z60">
        <v>0.115158</v>
      </c>
      <c r="AA60">
        <v>0.11526400000000001</v>
      </c>
      <c r="AB60">
        <v>0.115343</v>
      </c>
      <c r="AC60">
        <v>0.115416</v>
      </c>
      <c r="AD60">
        <v>0.115464</v>
      </c>
      <c r="AE60" t="s">
        <v>1125</v>
      </c>
    </row>
    <row r="61" spans="1:31" x14ac:dyDescent="0.25">
      <c r="A61" t="s">
        <v>77</v>
      </c>
      <c r="B61" t="s">
        <v>1195</v>
      </c>
      <c r="C61" t="s">
        <v>1196</v>
      </c>
      <c r="D61" t="s">
        <v>73</v>
      </c>
      <c r="E61">
        <v>26.789899999999999</v>
      </c>
      <c r="F61">
        <v>26.669854999999998</v>
      </c>
      <c r="G61">
        <v>26.563573999999999</v>
      </c>
      <c r="H61">
        <v>26.338432000000001</v>
      </c>
      <c r="I61">
        <v>26.089041000000002</v>
      </c>
      <c r="J61">
        <v>25.861509000000002</v>
      </c>
      <c r="K61">
        <v>25.609235999999999</v>
      </c>
      <c r="L61">
        <v>25.414674999999999</v>
      </c>
      <c r="M61">
        <v>25.203728000000002</v>
      </c>
      <c r="N61">
        <v>25.082594</v>
      </c>
      <c r="O61">
        <v>24.966297000000001</v>
      </c>
      <c r="P61">
        <v>24.804285</v>
      </c>
      <c r="Q61">
        <v>24.647921</v>
      </c>
      <c r="R61">
        <v>24.516766000000001</v>
      </c>
      <c r="S61">
        <v>24.390228</v>
      </c>
      <c r="T61">
        <v>24.296602</v>
      </c>
      <c r="U61">
        <v>24.204488999999999</v>
      </c>
      <c r="V61">
        <v>24.094342999999999</v>
      </c>
      <c r="W61">
        <v>24.022763999999999</v>
      </c>
      <c r="X61">
        <v>23.940372</v>
      </c>
      <c r="Y61">
        <v>23.879601999999998</v>
      </c>
      <c r="Z61">
        <v>23.807269999999999</v>
      </c>
      <c r="AA61">
        <v>23.749561</v>
      </c>
      <c r="AB61">
        <v>23.649909999999998</v>
      </c>
      <c r="AC61">
        <v>23.542006000000001</v>
      </c>
      <c r="AD61">
        <v>23.465187</v>
      </c>
      <c r="AE61" t="s">
        <v>1122</v>
      </c>
    </row>
    <row r="62" spans="1:31" x14ac:dyDescent="0.25">
      <c r="A62" t="s">
        <v>207</v>
      </c>
      <c r="B62" t="s">
        <v>1197</v>
      </c>
      <c r="C62" t="s">
        <v>1198</v>
      </c>
      <c r="D62" t="s">
        <v>73</v>
      </c>
      <c r="E62">
        <v>0.73460199999999998</v>
      </c>
      <c r="F62">
        <v>0.68125599999999997</v>
      </c>
      <c r="G62">
        <v>0.68428699999999998</v>
      </c>
      <c r="H62">
        <v>0.67398999999999998</v>
      </c>
      <c r="I62">
        <v>0.68341700000000005</v>
      </c>
      <c r="J62">
        <v>0.71255500000000005</v>
      </c>
      <c r="K62">
        <v>0.732711</v>
      </c>
      <c r="L62">
        <v>0.74484399999999995</v>
      </c>
      <c r="M62">
        <v>0.74981500000000001</v>
      </c>
      <c r="N62">
        <v>0.75792099999999996</v>
      </c>
      <c r="O62">
        <v>0.77047100000000002</v>
      </c>
      <c r="P62">
        <v>0.79358899999999999</v>
      </c>
      <c r="Q62">
        <v>0.82120899999999997</v>
      </c>
      <c r="R62">
        <v>0.845468</v>
      </c>
      <c r="S62">
        <v>0.87215399999999998</v>
      </c>
      <c r="T62">
        <v>0.89066100000000004</v>
      </c>
      <c r="U62">
        <v>0.90670799999999996</v>
      </c>
      <c r="V62">
        <v>0.92474500000000004</v>
      </c>
      <c r="W62">
        <v>0.94375699999999996</v>
      </c>
      <c r="X62">
        <v>0.95782100000000003</v>
      </c>
      <c r="Y62">
        <v>0.96594800000000003</v>
      </c>
      <c r="Z62">
        <v>0.97511300000000001</v>
      </c>
      <c r="AA62">
        <v>0.98419199999999996</v>
      </c>
      <c r="AB62">
        <v>0.99280000000000002</v>
      </c>
      <c r="AC62">
        <v>0.99604700000000002</v>
      </c>
      <c r="AD62">
        <v>1.0015480000000001</v>
      </c>
      <c r="AE62" t="s">
        <v>1095</v>
      </c>
    </row>
    <row r="63" spans="1:31" x14ac:dyDescent="0.25">
      <c r="A63" t="s">
        <v>210</v>
      </c>
      <c r="B63" t="s">
        <v>1199</v>
      </c>
      <c r="C63" t="s">
        <v>1200</v>
      </c>
      <c r="D63" t="s">
        <v>73</v>
      </c>
      <c r="E63">
        <v>0.59070999999999996</v>
      </c>
      <c r="F63">
        <v>0.58992100000000003</v>
      </c>
      <c r="G63">
        <v>0.67366300000000001</v>
      </c>
      <c r="H63">
        <v>0.72236</v>
      </c>
      <c r="I63">
        <v>0.77013200000000004</v>
      </c>
      <c r="J63">
        <v>0.91109700000000005</v>
      </c>
      <c r="K63">
        <v>0.97536999999999996</v>
      </c>
      <c r="L63">
        <v>1.036748</v>
      </c>
      <c r="M63">
        <v>1.0828169999999999</v>
      </c>
      <c r="N63">
        <v>1.1590130000000001</v>
      </c>
      <c r="O63">
        <v>1.2125790000000001</v>
      </c>
      <c r="P63">
        <v>1.254067</v>
      </c>
      <c r="Q63">
        <v>1.275981</v>
      </c>
      <c r="R63">
        <v>1.2974060000000001</v>
      </c>
      <c r="S63">
        <v>1.3195190000000001</v>
      </c>
      <c r="T63">
        <v>1.3404</v>
      </c>
      <c r="U63">
        <v>1.3632839999999999</v>
      </c>
      <c r="V63">
        <v>1.38506</v>
      </c>
      <c r="W63">
        <v>1.406836</v>
      </c>
      <c r="X63">
        <v>1.4313629999999999</v>
      </c>
      <c r="Y63">
        <v>1.450388</v>
      </c>
      <c r="Z63">
        <v>1.472164</v>
      </c>
      <c r="AA63">
        <v>1.49394</v>
      </c>
      <c r="AB63">
        <v>1.5075780000000001</v>
      </c>
      <c r="AC63">
        <v>1.5048280000000001</v>
      </c>
      <c r="AD63">
        <v>1.5048280000000001</v>
      </c>
      <c r="AE63" t="s">
        <v>1201</v>
      </c>
    </row>
    <row r="64" spans="1:31" x14ac:dyDescent="0.25">
      <c r="A64" t="s">
        <v>213</v>
      </c>
      <c r="B64" t="s">
        <v>1202</v>
      </c>
      <c r="C64" t="s">
        <v>1203</v>
      </c>
      <c r="D64" t="s">
        <v>73</v>
      </c>
      <c r="E64">
        <v>8.7022000000000002E-2</v>
      </c>
      <c r="F64">
        <v>9.0491000000000002E-2</v>
      </c>
      <c r="G64">
        <v>9.2753000000000002E-2</v>
      </c>
      <c r="H64">
        <v>9.4260999999999998E-2</v>
      </c>
      <c r="I64">
        <v>9.6067E-2</v>
      </c>
      <c r="J64">
        <v>9.7447000000000006E-2</v>
      </c>
      <c r="K64">
        <v>9.8788000000000001E-2</v>
      </c>
      <c r="L64">
        <v>0.100023</v>
      </c>
      <c r="M64">
        <v>0.10119</v>
      </c>
      <c r="N64">
        <v>0.102386</v>
      </c>
      <c r="O64">
        <v>0.10376000000000001</v>
      </c>
      <c r="P64">
        <v>0.105181</v>
      </c>
      <c r="Q64">
        <v>0.106978</v>
      </c>
      <c r="R64">
        <v>0.109014</v>
      </c>
      <c r="S64">
        <v>0.111247</v>
      </c>
      <c r="T64">
        <v>0.114164</v>
      </c>
      <c r="U64">
        <v>0.117464</v>
      </c>
      <c r="V64">
        <v>0.121207</v>
      </c>
      <c r="W64">
        <v>0.12540799999999999</v>
      </c>
      <c r="X64">
        <v>0.130361</v>
      </c>
      <c r="Y64">
        <v>0.13725200000000001</v>
      </c>
      <c r="Z64">
        <v>0.14494599999999999</v>
      </c>
      <c r="AA64">
        <v>0.15461900000000001</v>
      </c>
      <c r="AB64">
        <v>0.16503499999999999</v>
      </c>
      <c r="AC64">
        <v>0.17693200000000001</v>
      </c>
      <c r="AD64">
        <v>0.190801</v>
      </c>
      <c r="AE64" t="s">
        <v>1204</v>
      </c>
    </row>
    <row r="65" spans="1:31" x14ac:dyDescent="0.25">
      <c r="A65" t="s">
        <v>173</v>
      </c>
      <c r="B65" t="s">
        <v>1205</v>
      </c>
      <c r="C65" t="s">
        <v>1206</v>
      </c>
      <c r="D65" t="s">
        <v>73</v>
      </c>
      <c r="E65">
        <v>4.1599999999999997E-4</v>
      </c>
      <c r="F65">
        <v>4.0000000000000002E-4</v>
      </c>
      <c r="G65">
        <v>3.8200000000000002E-4</v>
      </c>
      <c r="H65">
        <v>3.6299999999999999E-4</v>
      </c>
      <c r="I65">
        <v>3.4400000000000001E-4</v>
      </c>
      <c r="J65">
        <v>3.2400000000000001E-4</v>
      </c>
      <c r="K65">
        <v>3.0499999999999999E-4</v>
      </c>
      <c r="L65">
        <v>2.8400000000000002E-4</v>
      </c>
      <c r="M65">
        <v>2.6400000000000002E-4</v>
      </c>
      <c r="N65">
        <v>2.4399999999999999E-4</v>
      </c>
      <c r="O65">
        <v>2.24E-4</v>
      </c>
      <c r="P65">
        <v>2.05E-4</v>
      </c>
      <c r="Q65">
        <v>1.8599999999999999E-4</v>
      </c>
      <c r="R65">
        <v>1.6799999999999999E-4</v>
      </c>
      <c r="S65">
        <v>1.5100000000000001E-4</v>
      </c>
      <c r="T65">
        <v>1.35E-4</v>
      </c>
      <c r="U65">
        <v>1.1900000000000001E-4</v>
      </c>
      <c r="V65">
        <v>1.07E-4</v>
      </c>
      <c r="W65">
        <v>9.6000000000000002E-5</v>
      </c>
      <c r="X65">
        <v>8.7999999999999998E-5</v>
      </c>
      <c r="Y65">
        <v>7.8999999999999996E-5</v>
      </c>
      <c r="Z65">
        <v>7.2999999999999999E-5</v>
      </c>
      <c r="AA65">
        <v>6.7999999999999999E-5</v>
      </c>
      <c r="AB65">
        <v>6.3E-5</v>
      </c>
      <c r="AC65">
        <v>6.0000000000000002E-5</v>
      </c>
      <c r="AD65">
        <v>5.7000000000000003E-5</v>
      </c>
      <c r="AE65" t="s">
        <v>1207</v>
      </c>
    </row>
    <row r="66" spans="1:31" x14ac:dyDescent="0.25">
      <c r="A66" t="s">
        <v>218</v>
      </c>
      <c r="B66" t="s">
        <v>1208</v>
      </c>
      <c r="C66" t="s">
        <v>1209</v>
      </c>
      <c r="D66" t="s">
        <v>73</v>
      </c>
      <c r="E66">
        <v>0.126334</v>
      </c>
      <c r="F66">
        <v>0.15818399999999999</v>
      </c>
      <c r="G66">
        <v>0.19828299999999999</v>
      </c>
      <c r="H66">
        <v>0.24279700000000001</v>
      </c>
      <c r="I66">
        <v>0.28683599999999998</v>
      </c>
      <c r="J66">
        <v>0.32832699999999998</v>
      </c>
      <c r="K66">
        <v>0.36483100000000002</v>
      </c>
      <c r="L66">
        <v>0.398366</v>
      </c>
      <c r="M66">
        <v>0.43175999999999998</v>
      </c>
      <c r="N66">
        <v>0.46576600000000001</v>
      </c>
      <c r="O66">
        <v>0.50054600000000005</v>
      </c>
      <c r="P66">
        <v>0.53551899999999997</v>
      </c>
      <c r="Q66">
        <v>0.57081899999999997</v>
      </c>
      <c r="R66">
        <v>0.606016</v>
      </c>
      <c r="S66">
        <v>0.64045600000000003</v>
      </c>
      <c r="T66">
        <v>0.67476000000000003</v>
      </c>
      <c r="U66">
        <v>0.70837600000000001</v>
      </c>
      <c r="V66">
        <v>0.74210500000000001</v>
      </c>
      <c r="W66">
        <v>0.77594300000000005</v>
      </c>
      <c r="X66">
        <v>0.81049000000000004</v>
      </c>
      <c r="Y66">
        <v>0.84573900000000002</v>
      </c>
      <c r="Z66">
        <v>0.88067300000000004</v>
      </c>
      <c r="AA66">
        <v>0.91515400000000002</v>
      </c>
      <c r="AB66">
        <v>0.94957199999999997</v>
      </c>
      <c r="AC66">
        <v>0.98360000000000003</v>
      </c>
      <c r="AD66">
        <v>1.0173700000000001</v>
      </c>
      <c r="AE66" t="s">
        <v>1210</v>
      </c>
    </row>
    <row r="67" spans="1:31" x14ac:dyDescent="0.25">
      <c r="A67" t="s">
        <v>221</v>
      </c>
      <c r="B67" t="s">
        <v>1211</v>
      </c>
      <c r="C67" t="s">
        <v>1212</v>
      </c>
      <c r="D67" t="s">
        <v>73</v>
      </c>
      <c r="E67">
        <v>7.0135000000000003E-2</v>
      </c>
      <c r="F67">
        <v>9.1486999999999999E-2</v>
      </c>
      <c r="G67">
        <v>0.119301</v>
      </c>
      <c r="H67">
        <v>0.15019099999999999</v>
      </c>
      <c r="I67">
        <v>0.18050099999999999</v>
      </c>
      <c r="J67">
        <v>0.20873</v>
      </c>
      <c r="K67">
        <v>0.23311999999999999</v>
      </c>
      <c r="L67">
        <v>0.25518800000000003</v>
      </c>
      <c r="M67">
        <v>0.27699499999999999</v>
      </c>
      <c r="N67">
        <v>0.29923699999999998</v>
      </c>
      <c r="O67">
        <v>0.321766</v>
      </c>
      <c r="P67">
        <v>0.34432200000000002</v>
      </c>
      <c r="Q67">
        <v>0.36690099999999998</v>
      </c>
      <c r="R67">
        <v>0.389322</v>
      </c>
      <c r="S67">
        <v>0.41114099999999998</v>
      </c>
      <c r="T67">
        <v>0.43246899999999999</v>
      </c>
      <c r="U67">
        <v>0.45277400000000001</v>
      </c>
      <c r="V67">
        <v>0.47238799999999997</v>
      </c>
      <c r="W67">
        <v>0.49130400000000002</v>
      </c>
      <c r="X67">
        <v>0.50966900000000004</v>
      </c>
      <c r="Y67">
        <v>0.52751300000000001</v>
      </c>
      <c r="Z67">
        <v>0.54464500000000005</v>
      </c>
      <c r="AA67">
        <v>0.56095399999999995</v>
      </c>
      <c r="AB67">
        <v>0.57689299999999999</v>
      </c>
      <c r="AC67">
        <v>0.59221100000000004</v>
      </c>
      <c r="AD67">
        <v>0.60719400000000001</v>
      </c>
      <c r="AE67" t="s">
        <v>1213</v>
      </c>
    </row>
    <row r="68" spans="1:31" x14ac:dyDescent="0.25">
      <c r="A68" t="s">
        <v>224</v>
      </c>
      <c r="B68" t="s">
        <v>1214</v>
      </c>
      <c r="C68" t="s">
        <v>1215</v>
      </c>
      <c r="D68" t="s">
        <v>73</v>
      </c>
      <c r="E68">
        <v>3.1625E-2</v>
      </c>
      <c r="F68">
        <v>4.1348999999999997E-2</v>
      </c>
      <c r="G68">
        <v>5.3095000000000003E-2</v>
      </c>
      <c r="H68">
        <v>6.6243999999999997E-2</v>
      </c>
      <c r="I68">
        <v>7.9602999999999993E-2</v>
      </c>
      <c r="J68">
        <v>9.2543E-2</v>
      </c>
      <c r="K68">
        <v>0.10441599999999999</v>
      </c>
      <c r="L68">
        <v>0.115643</v>
      </c>
      <c r="M68">
        <v>0.126972</v>
      </c>
      <c r="N68">
        <v>0.13850199999999999</v>
      </c>
      <c r="O68">
        <v>0.150392</v>
      </c>
      <c r="P68">
        <v>0.16246099999999999</v>
      </c>
      <c r="Q68">
        <v>0.17480399999999999</v>
      </c>
      <c r="R68">
        <v>0.18723899999999999</v>
      </c>
      <c r="S68">
        <v>0.19958999999999999</v>
      </c>
      <c r="T68">
        <v>0.212288</v>
      </c>
      <c r="U68">
        <v>0.22536400000000001</v>
      </c>
      <c r="V68">
        <v>0.23924300000000001</v>
      </c>
      <c r="W68">
        <v>0.253973</v>
      </c>
      <c r="X68">
        <v>0.26994400000000002</v>
      </c>
      <c r="Y68">
        <v>0.28712100000000002</v>
      </c>
      <c r="Z68">
        <v>0.30473800000000001</v>
      </c>
      <c r="AA68">
        <v>0.32270399999999999</v>
      </c>
      <c r="AB68">
        <v>0.34103499999999998</v>
      </c>
      <c r="AC68">
        <v>0.35960799999999998</v>
      </c>
      <c r="AD68">
        <v>0.37826300000000002</v>
      </c>
      <c r="AE68" t="s">
        <v>1216</v>
      </c>
    </row>
    <row r="69" spans="1:31" x14ac:dyDescent="0.25">
      <c r="A69" t="s">
        <v>227</v>
      </c>
      <c r="B69" t="s">
        <v>1217</v>
      </c>
      <c r="C69" t="s">
        <v>1218</v>
      </c>
      <c r="D69" t="s">
        <v>73</v>
      </c>
      <c r="E69">
        <v>2.4573999999999999E-2</v>
      </c>
      <c r="F69">
        <v>2.5347999999999999E-2</v>
      </c>
      <c r="G69">
        <v>2.5887E-2</v>
      </c>
      <c r="H69">
        <v>2.6362E-2</v>
      </c>
      <c r="I69">
        <v>2.6733E-2</v>
      </c>
      <c r="J69">
        <v>2.7054000000000002E-2</v>
      </c>
      <c r="K69">
        <v>2.7295E-2</v>
      </c>
      <c r="L69">
        <v>2.7535E-2</v>
      </c>
      <c r="M69">
        <v>2.7792000000000001E-2</v>
      </c>
      <c r="N69">
        <v>2.8027E-2</v>
      </c>
      <c r="O69">
        <v>2.8389000000000001E-2</v>
      </c>
      <c r="P69">
        <v>2.8736000000000001E-2</v>
      </c>
      <c r="Q69">
        <v>2.9114000000000001E-2</v>
      </c>
      <c r="R69">
        <v>2.9454999999999999E-2</v>
      </c>
      <c r="S69">
        <v>2.9725999999999999E-2</v>
      </c>
      <c r="T69">
        <v>3.0002999999999998E-2</v>
      </c>
      <c r="U69">
        <v>3.0238999999999999E-2</v>
      </c>
      <c r="V69">
        <v>3.0474000000000001E-2</v>
      </c>
      <c r="W69">
        <v>3.0665999999999999E-2</v>
      </c>
      <c r="X69">
        <v>3.0877000000000002E-2</v>
      </c>
      <c r="Y69">
        <v>3.1105000000000001E-2</v>
      </c>
      <c r="Z69">
        <v>3.1289999999999998E-2</v>
      </c>
      <c r="AA69">
        <v>3.1496000000000003E-2</v>
      </c>
      <c r="AB69">
        <v>3.1642999999999998E-2</v>
      </c>
      <c r="AC69">
        <v>3.1780999999999997E-2</v>
      </c>
      <c r="AD69">
        <v>3.1912999999999997E-2</v>
      </c>
      <c r="AE69" t="s">
        <v>1219</v>
      </c>
    </row>
    <row r="70" spans="1:31" x14ac:dyDescent="0.25">
      <c r="A70" t="s">
        <v>89</v>
      </c>
      <c r="B70" t="s">
        <v>1220</v>
      </c>
      <c r="C70" t="s">
        <v>1221</v>
      </c>
      <c r="D70" t="s">
        <v>73</v>
      </c>
      <c r="E70">
        <v>28.328983000000001</v>
      </c>
      <c r="F70">
        <v>28.190107000000001</v>
      </c>
      <c r="G70">
        <v>28.21294</v>
      </c>
      <c r="H70">
        <v>28.072205</v>
      </c>
      <c r="I70">
        <v>27.925837000000001</v>
      </c>
      <c r="J70">
        <v>27.911259000000001</v>
      </c>
      <c r="K70">
        <v>27.78124</v>
      </c>
      <c r="L70">
        <v>27.694941</v>
      </c>
      <c r="M70">
        <v>27.569573999999999</v>
      </c>
      <c r="N70">
        <v>27.567924000000001</v>
      </c>
      <c r="O70">
        <v>27.553878999999998</v>
      </c>
      <c r="P70">
        <v>27.492846</v>
      </c>
      <c r="Q70">
        <v>27.423093999999999</v>
      </c>
      <c r="R70">
        <v>27.374839999999999</v>
      </c>
      <c r="S70">
        <v>27.333755</v>
      </c>
      <c r="T70">
        <v>27.316723</v>
      </c>
      <c r="U70">
        <v>27.300439999999998</v>
      </c>
      <c r="V70">
        <v>27.267567</v>
      </c>
      <c r="W70">
        <v>27.274806999999999</v>
      </c>
      <c r="X70">
        <v>27.270493999999999</v>
      </c>
      <c r="Y70">
        <v>27.279008999999999</v>
      </c>
      <c r="Z70">
        <v>27.280239000000002</v>
      </c>
      <c r="AA70">
        <v>27.297536999999998</v>
      </c>
      <c r="AB70">
        <v>27.264956999999999</v>
      </c>
      <c r="AC70">
        <v>27.203474</v>
      </c>
      <c r="AD70">
        <v>27.179790000000001</v>
      </c>
      <c r="AE70" t="s">
        <v>1222</v>
      </c>
    </row>
    <row r="71" spans="1:31" x14ac:dyDescent="0.25">
      <c r="A71" t="s">
        <v>92</v>
      </c>
      <c r="B71" t="s">
        <v>1223</v>
      </c>
      <c r="C71" t="s">
        <v>1224</v>
      </c>
      <c r="D71" t="s">
        <v>73</v>
      </c>
      <c r="E71">
        <v>0.17358999999999999</v>
      </c>
      <c r="F71">
        <v>0.21526400000000001</v>
      </c>
      <c r="G71">
        <v>0.24922900000000001</v>
      </c>
      <c r="H71">
        <v>0.29206900000000002</v>
      </c>
      <c r="I71">
        <v>0.33724100000000001</v>
      </c>
      <c r="J71">
        <v>0.37914300000000001</v>
      </c>
      <c r="K71">
        <v>0.40787200000000001</v>
      </c>
      <c r="L71">
        <v>0.43668000000000001</v>
      </c>
      <c r="M71">
        <v>0.46759000000000001</v>
      </c>
      <c r="N71">
        <v>0.49455900000000003</v>
      </c>
      <c r="O71">
        <v>0.52356899999999995</v>
      </c>
      <c r="P71">
        <v>0.55155699999999996</v>
      </c>
      <c r="Q71">
        <v>0.58211199999999996</v>
      </c>
      <c r="R71">
        <v>0.61341800000000002</v>
      </c>
      <c r="S71">
        <v>0.64214099999999996</v>
      </c>
      <c r="T71">
        <v>0.66850900000000002</v>
      </c>
      <c r="U71">
        <v>0.69355800000000001</v>
      </c>
      <c r="V71">
        <v>0.72154499999999999</v>
      </c>
      <c r="W71">
        <v>0.75016099999999997</v>
      </c>
      <c r="X71">
        <v>0.77946800000000005</v>
      </c>
      <c r="Y71">
        <v>0.80923800000000001</v>
      </c>
      <c r="Z71">
        <v>0.83877100000000004</v>
      </c>
      <c r="AA71">
        <v>0.86847399999999997</v>
      </c>
      <c r="AB71">
        <v>0.89773800000000004</v>
      </c>
      <c r="AC71">
        <v>0.92305199999999998</v>
      </c>
      <c r="AD71">
        <v>0.95067400000000002</v>
      </c>
      <c r="AE71" t="s">
        <v>1225</v>
      </c>
    </row>
    <row r="72" spans="1:31" x14ac:dyDescent="0.25">
      <c r="A72" t="s">
        <v>183</v>
      </c>
      <c r="B72" t="s">
        <v>1226</v>
      </c>
      <c r="C72" t="s">
        <v>1227</v>
      </c>
      <c r="D72" t="s">
        <v>73</v>
      </c>
      <c r="E72">
        <v>9.8999999999999994E-5</v>
      </c>
      <c r="F72">
        <v>9.3999999999999994E-5</v>
      </c>
      <c r="G72">
        <v>8.8999999999999995E-5</v>
      </c>
      <c r="H72">
        <v>8.5000000000000006E-5</v>
      </c>
      <c r="I72">
        <v>8.2000000000000001E-5</v>
      </c>
      <c r="J72">
        <v>7.7000000000000001E-5</v>
      </c>
      <c r="K72">
        <v>7.2000000000000002E-5</v>
      </c>
      <c r="L72">
        <v>6.7000000000000002E-5</v>
      </c>
      <c r="M72">
        <v>6.2000000000000003E-5</v>
      </c>
      <c r="N72">
        <v>5.8E-5</v>
      </c>
      <c r="O72">
        <v>5.3000000000000001E-5</v>
      </c>
      <c r="P72">
        <v>4.8000000000000001E-5</v>
      </c>
      <c r="Q72">
        <v>4.3000000000000002E-5</v>
      </c>
      <c r="R72">
        <v>3.8000000000000002E-5</v>
      </c>
      <c r="S72">
        <v>3.4E-5</v>
      </c>
      <c r="T72">
        <v>3.1000000000000001E-5</v>
      </c>
      <c r="U72">
        <v>2.6999999999999999E-5</v>
      </c>
      <c r="V72">
        <v>2.4000000000000001E-5</v>
      </c>
      <c r="W72">
        <v>2.1999999999999999E-5</v>
      </c>
      <c r="X72">
        <v>2.0000000000000002E-5</v>
      </c>
      <c r="Y72">
        <v>1.8E-5</v>
      </c>
      <c r="Z72">
        <v>1.5999999999999999E-5</v>
      </c>
      <c r="AA72">
        <v>1.5E-5</v>
      </c>
      <c r="AB72">
        <v>1.4E-5</v>
      </c>
      <c r="AC72">
        <v>1.2999999999999999E-5</v>
      </c>
      <c r="AD72">
        <v>1.2999999999999999E-5</v>
      </c>
      <c r="AE72" t="s">
        <v>1228</v>
      </c>
    </row>
    <row r="73" spans="1:31" x14ac:dyDescent="0.25">
      <c r="A73" t="s">
        <v>95</v>
      </c>
      <c r="B73" t="s">
        <v>1229</v>
      </c>
      <c r="C73" t="s">
        <v>1230</v>
      </c>
      <c r="D73" t="s">
        <v>73</v>
      </c>
      <c r="E73">
        <v>28.502672</v>
      </c>
      <c r="F73">
        <v>28.405463999999998</v>
      </c>
      <c r="G73">
        <v>28.462259</v>
      </c>
      <c r="H73">
        <v>28.364356999999998</v>
      </c>
      <c r="I73">
        <v>28.263159000000002</v>
      </c>
      <c r="J73">
        <v>28.290478</v>
      </c>
      <c r="K73">
        <v>28.189185999999999</v>
      </c>
      <c r="L73">
        <v>28.131686999999999</v>
      </c>
      <c r="M73">
        <v>28.037227999999999</v>
      </c>
      <c r="N73">
        <v>28.062539999999998</v>
      </c>
      <c r="O73">
        <v>28.077501000000002</v>
      </c>
      <c r="P73">
        <v>28.044450999999999</v>
      </c>
      <c r="Q73">
        <v>28.005248999999999</v>
      </c>
      <c r="R73">
        <v>27.988296999999999</v>
      </c>
      <c r="S73">
        <v>27.975930999999999</v>
      </c>
      <c r="T73">
        <v>27.985261999999999</v>
      </c>
      <c r="U73">
        <v>27.994024</v>
      </c>
      <c r="V73">
        <v>27.989135999999998</v>
      </c>
      <c r="W73">
        <v>28.024989999999999</v>
      </c>
      <c r="X73">
        <v>28.049982</v>
      </c>
      <c r="Y73">
        <v>28.088263999999999</v>
      </c>
      <c r="Z73">
        <v>28.119028</v>
      </c>
      <c r="AA73">
        <v>28.166027</v>
      </c>
      <c r="AB73">
        <v>28.162707999999999</v>
      </c>
      <c r="AC73">
        <v>28.126539000000001</v>
      </c>
      <c r="AD73">
        <v>28.130478</v>
      </c>
      <c r="AE73" t="s">
        <v>1231</v>
      </c>
    </row>
    <row r="74" spans="1:31" x14ac:dyDescent="0.25">
      <c r="A74" t="s">
        <v>238</v>
      </c>
    </row>
    <row r="75" spans="1:31" x14ac:dyDescent="0.25">
      <c r="A75" t="s">
        <v>95</v>
      </c>
      <c r="B75" t="s">
        <v>1232</v>
      </c>
      <c r="C75" t="s">
        <v>1233</v>
      </c>
      <c r="D75" t="s">
        <v>73</v>
      </c>
      <c r="E75">
        <v>-0.101399</v>
      </c>
      <c r="F75">
        <v>0.12701999999999999</v>
      </c>
      <c r="G75">
        <v>0.104695</v>
      </c>
      <c r="H75">
        <v>0.10269</v>
      </c>
      <c r="I75">
        <v>0.101522</v>
      </c>
      <c r="J75">
        <v>0.101295</v>
      </c>
      <c r="K75">
        <v>9.9786E-2</v>
      </c>
      <c r="L75">
        <v>9.8207000000000003E-2</v>
      </c>
      <c r="M75">
        <v>9.6267000000000005E-2</v>
      </c>
      <c r="N75">
        <v>9.3977000000000005E-2</v>
      </c>
      <c r="O75">
        <v>9.2023999999999995E-2</v>
      </c>
      <c r="P75">
        <v>9.0323000000000001E-2</v>
      </c>
      <c r="Q75">
        <v>8.8786000000000004E-2</v>
      </c>
      <c r="R75">
        <v>8.7090000000000001E-2</v>
      </c>
      <c r="S75">
        <v>8.5486999999999994E-2</v>
      </c>
      <c r="T75">
        <v>8.3846000000000004E-2</v>
      </c>
      <c r="U75">
        <v>8.2101999999999994E-2</v>
      </c>
      <c r="V75">
        <v>8.0542000000000002E-2</v>
      </c>
      <c r="W75">
        <v>7.8272999999999995E-2</v>
      </c>
      <c r="X75">
        <v>7.6692999999999997E-2</v>
      </c>
      <c r="Y75">
        <v>7.5351000000000001E-2</v>
      </c>
      <c r="Z75">
        <v>7.4421000000000001E-2</v>
      </c>
      <c r="AA75">
        <v>7.3582999999999996E-2</v>
      </c>
      <c r="AB75">
        <v>7.2678000000000006E-2</v>
      </c>
      <c r="AC75">
        <v>7.1827000000000002E-2</v>
      </c>
      <c r="AD75">
        <v>7.0790000000000006E-2</v>
      </c>
      <c r="AE75" t="s">
        <v>319</v>
      </c>
    </row>
    <row r="76" spans="1:31" x14ac:dyDescent="0.25">
      <c r="A76" t="s">
        <v>241</v>
      </c>
      <c r="B76" t="s">
        <v>1234</v>
      </c>
    </row>
    <row r="77" spans="1:31" x14ac:dyDescent="0.25">
      <c r="A77" t="s">
        <v>243</v>
      </c>
      <c r="B77" t="s">
        <v>1235</v>
      </c>
      <c r="C77" t="s">
        <v>1236</v>
      </c>
      <c r="D77" t="s">
        <v>73</v>
      </c>
      <c r="E77">
        <v>4.4127169999999998</v>
      </c>
      <c r="F77">
        <v>4.3632559999999998</v>
      </c>
      <c r="G77">
        <v>4.5424470000000001</v>
      </c>
      <c r="H77">
        <v>4.4342740000000003</v>
      </c>
      <c r="I77">
        <v>4.3578440000000001</v>
      </c>
      <c r="J77">
        <v>4.3472160000000004</v>
      </c>
      <c r="K77">
        <v>4.3744630000000004</v>
      </c>
      <c r="L77">
        <v>4.3966469999999997</v>
      </c>
      <c r="M77">
        <v>4.4293060000000004</v>
      </c>
      <c r="N77">
        <v>4.4683669999999998</v>
      </c>
      <c r="O77">
        <v>4.514799</v>
      </c>
      <c r="P77">
        <v>4.5726370000000003</v>
      </c>
      <c r="Q77">
        <v>4.6181390000000002</v>
      </c>
      <c r="R77">
        <v>4.6651899999999999</v>
      </c>
      <c r="S77">
        <v>4.7431369999999999</v>
      </c>
      <c r="T77">
        <v>4.8126870000000004</v>
      </c>
      <c r="U77">
        <v>4.8890779999999996</v>
      </c>
      <c r="V77">
        <v>4.9785830000000004</v>
      </c>
      <c r="W77">
        <v>5.0618819999999998</v>
      </c>
      <c r="X77">
        <v>5.146407</v>
      </c>
      <c r="Y77">
        <v>5.2385109999999999</v>
      </c>
      <c r="Z77">
        <v>5.3314820000000003</v>
      </c>
      <c r="AA77">
        <v>5.4335290000000001</v>
      </c>
      <c r="AB77">
        <v>5.5239419999999999</v>
      </c>
      <c r="AC77">
        <v>5.5883089999999997</v>
      </c>
      <c r="AD77">
        <v>5.6771130000000003</v>
      </c>
      <c r="AE77" t="s">
        <v>1092</v>
      </c>
    </row>
    <row r="78" spans="1:31" x14ac:dyDescent="0.25">
      <c r="A78" t="s">
        <v>101</v>
      </c>
      <c r="B78" t="s">
        <v>1237</v>
      </c>
      <c r="C78" t="s">
        <v>1238</v>
      </c>
      <c r="D78" t="s">
        <v>73</v>
      </c>
      <c r="E78">
        <v>16.463058</v>
      </c>
      <c r="F78">
        <v>16.388361</v>
      </c>
      <c r="G78">
        <v>16.245439999999999</v>
      </c>
      <c r="H78">
        <v>16.049075999999999</v>
      </c>
      <c r="I78">
        <v>15.818044</v>
      </c>
      <c r="J78">
        <v>15.579480999999999</v>
      </c>
      <c r="K78">
        <v>15.350713000000001</v>
      </c>
      <c r="L78">
        <v>15.160145</v>
      </c>
      <c r="M78">
        <v>14.95941</v>
      </c>
      <c r="N78">
        <v>14.832905</v>
      </c>
      <c r="O78">
        <v>14.69575</v>
      </c>
      <c r="P78">
        <v>14.529889000000001</v>
      </c>
      <c r="Q78">
        <v>14.365157999999999</v>
      </c>
      <c r="R78">
        <v>14.227190999999999</v>
      </c>
      <c r="S78">
        <v>14.093845</v>
      </c>
      <c r="T78">
        <v>13.988489</v>
      </c>
      <c r="U78">
        <v>13.891425999999999</v>
      </c>
      <c r="V78">
        <v>13.771573999999999</v>
      </c>
      <c r="W78">
        <v>13.689218</v>
      </c>
      <c r="X78">
        <v>13.594232999999999</v>
      </c>
      <c r="Y78">
        <v>13.511969000000001</v>
      </c>
      <c r="Z78">
        <v>13.418295000000001</v>
      </c>
      <c r="AA78">
        <v>13.340790999999999</v>
      </c>
      <c r="AB78">
        <v>13.231429</v>
      </c>
      <c r="AC78">
        <v>13.119942</v>
      </c>
      <c r="AD78">
        <v>13.038264</v>
      </c>
      <c r="AE78" t="s">
        <v>1239</v>
      </c>
    </row>
    <row r="79" spans="1:31" x14ac:dyDescent="0.25">
      <c r="A79" t="s">
        <v>193</v>
      </c>
      <c r="B79" t="s">
        <v>1240</v>
      </c>
      <c r="C79" t="s">
        <v>1241</v>
      </c>
      <c r="D79" t="s">
        <v>73</v>
      </c>
      <c r="E79">
        <v>3.9571000000000002E-2</v>
      </c>
      <c r="F79">
        <v>3.1597E-2</v>
      </c>
      <c r="G79">
        <v>2.9975000000000002E-2</v>
      </c>
      <c r="H79">
        <v>2.8060999999999999E-2</v>
      </c>
      <c r="I79">
        <v>2.5794000000000001E-2</v>
      </c>
      <c r="J79">
        <v>2.6779000000000001E-2</v>
      </c>
      <c r="K79">
        <v>2.2984999999999998E-2</v>
      </c>
      <c r="L79">
        <v>2.1014000000000001E-2</v>
      </c>
      <c r="M79">
        <v>1.9146E-2</v>
      </c>
      <c r="N79">
        <v>1.7756000000000001E-2</v>
      </c>
      <c r="O79">
        <v>1.5966000000000001E-2</v>
      </c>
      <c r="P79">
        <v>1.4460000000000001E-2</v>
      </c>
      <c r="Q79">
        <v>1.2975E-2</v>
      </c>
      <c r="R79">
        <v>1.1776999999999999E-2</v>
      </c>
      <c r="S79">
        <v>1.0739E-2</v>
      </c>
      <c r="T79">
        <v>9.9340000000000001E-3</v>
      </c>
      <c r="U79">
        <v>9.025E-3</v>
      </c>
      <c r="V79">
        <v>8.4950000000000008E-3</v>
      </c>
      <c r="W79">
        <v>7.9769999999999997E-3</v>
      </c>
      <c r="X79">
        <v>7.6210000000000002E-3</v>
      </c>
      <c r="Y79">
        <v>6.8999999999999999E-3</v>
      </c>
      <c r="Z79">
        <v>6.6400000000000001E-3</v>
      </c>
      <c r="AA79">
        <v>6.5799999999999999E-3</v>
      </c>
      <c r="AB79">
        <v>6.7739999999999996E-3</v>
      </c>
      <c r="AC79">
        <v>6.2760000000000003E-3</v>
      </c>
      <c r="AD79">
        <v>5.9779999999999998E-3</v>
      </c>
      <c r="AE79" t="s">
        <v>1185</v>
      </c>
    </row>
    <row r="80" spans="1:31" x14ac:dyDescent="0.25">
      <c r="A80" t="s">
        <v>196</v>
      </c>
      <c r="B80" t="s">
        <v>1242</v>
      </c>
      <c r="C80" t="s">
        <v>1243</v>
      </c>
      <c r="D80" t="s">
        <v>73</v>
      </c>
      <c r="E80">
        <v>3.5570930000000001</v>
      </c>
      <c r="F80">
        <v>3.6080269999999999</v>
      </c>
      <c r="G80">
        <v>3.6277689999999998</v>
      </c>
      <c r="H80">
        <v>3.6248770000000001</v>
      </c>
      <c r="I80">
        <v>3.6381960000000002</v>
      </c>
      <c r="J80">
        <v>3.6622569999999999</v>
      </c>
      <c r="K80">
        <v>3.6843370000000002</v>
      </c>
      <c r="L80">
        <v>3.7162549999999999</v>
      </c>
      <c r="M80">
        <v>3.7507220000000001</v>
      </c>
      <c r="N80">
        <v>3.7925309999999999</v>
      </c>
      <c r="O80">
        <v>3.8426870000000002</v>
      </c>
      <c r="P80">
        <v>3.8780209999999999</v>
      </c>
      <c r="Q80">
        <v>3.9167990000000001</v>
      </c>
      <c r="R80">
        <v>3.9539580000000001</v>
      </c>
      <c r="S80">
        <v>3.9896940000000001</v>
      </c>
      <c r="T80">
        <v>4.0258649999999996</v>
      </c>
      <c r="U80">
        <v>4.057531</v>
      </c>
      <c r="V80">
        <v>4.0922169999999998</v>
      </c>
      <c r="W80">
        <v>4.1282249999999996</v>
      </c>
      <c r="X80">
        <v>4.1631470000000004</v>
      </c>
      <c r="Y80">
        <v>4.1979309999999996</v>
      </c>
      <c r="Z80">
        <v>4.2289630000000002</v>
      </c>
      <c r="AA80">
        <v>4.2552199999999996</v>
      </c>
      <c r="AB80">
        <v>4.2813230000000004</v>
      </c>
      <c r="AC80">
        <v>4.303166</v>
      </c>
      <c r="AD80">
        <v>4.3267660000000001</v>
      </c>
      <c r="AE80" t="s">
        <v>1142</v>
      </c>
    </row>
    <row r="81" spans="1:31" x14ac:dyDescent="0.25">
      <c r="A81" t="s">
        <v>104</v>
      </c>
      <c r="B81" t="s">
        <v>1244</v>
      </c>
      <c r="C81" t="s">
        <v>1245</v>
      </c>
      <c r="D81" t="s">
        <v>73</v>
      </c>
      <c r="E81">
        <v>6.868E-3</v>
      </c>
      <c r="F81">
        <v>7.9380000000000006E-3</v>
      </c>
      <c r="G81">
        <v>7.9649999999999999E-3</v>
      </c>
      <c r="H81">
        <v>7.613E-3</v>
      </c>
      <c r="I81">
        <v>7.3340000000000002E-3</v>
      </c>
      <c r="J81">
        <v>7.6429999999999996E-3</v>
      </c>
      <c r="K81">
        <v>7.2100000000000003E-3</v>
      </c>
      <c r="L81">
        <v>7.0099999999999997E-3</v>
      </c>
      <c r="M81">
        <v>6.5979999999999997E-3</v>
      </c>
      <c r="N81">
        <v>6.5160000000000001E-3</v>
      </c>
      <c r="O81">
        <v>6.2360000000000002E-3</v>
      </c>
      <c r="P81">
        <v>6.1760000000000001E-3</v>
      </c>
      <c r="Q81">
        <v>6.0130000000000001E-3</v>
      </c>
      <c r="R81">
        <v>5.875E-3</v>
      </c>
      <c r="S81">
        <v>5.8339999999999998E-3</v>
      </c>
      <c r="T81">
        <v>5.7590000000000002E-3</v>
      </c>
      <c r="U81">
        <v>5.6210000000000001E-3</v>
      </c>
      <c r="V81">
        <v>5.5370000000000003E-3</v>
      </c>
      <c r="W81">
        <v>5.4409999999999997E-3</v>
      </c>
      <c r="X81">
        <v>5.3499999999999997E-3</v>
      </c>
      <c r="Y81">
        <v>5.2170000000000003E-3</v>
      </c>
      <c r="Z81">
        <v>5.1330000000000004E-3</v>
      </c>
      <c r="AA81">
        <v>5.0280000000000004E-3</v>
      </c>
      <c r="AB81">
        <v>4.9639999999999997E-3</v>
      </c>
      <c r="AC81">
        <v>4.921E-3</v>
      </c>
      <c r="AD81">
        <v>4.8979999999999996E-3</v>
      </c>
      <c r="AE81" t="s">
        <v>1087</v>
      </c>
    </row>
    <row r="82" spans="1:31" x14ac:dyDescent="0.25">
      <c r="A82" t="s">
        <v>74</v>
      </c>
      <c r="B82" t="s">
        <v>1246</v>
      </c>
      <c r="C82" t="s">
        <v>1247</v>
      </c>
      <c r="D82" t="s">
        <v>73</v>
      </c>
      <c r="E82">
        <v>8.6468819999999997</v>
      </c>
      <c r="F82">
        <v>8.7887880000000003</v>
      </c>
      <c r="G82">
        <v>8.7782789999999995</v>
      </c>
      <c r="H82">
        <v>8.7369610000000009</v>
      </c>
      <c r="I82">
        <v>8.7106779999999997</v>
      </c>
      <c r="J82">
        <v>8.712256</v>
      </c>
      <c r="K82">
        <v>8.6782179999999993</v>
      </c>
      <c r="L82">
        <v>8.6545959999999997</v>
      </c>
      <c r="M82">
        <v>8.6077619999999992</v>
      </c>
      <c r="N82">
        <v>8.5719969999999996</v>
      </c>
      <c r="O82">
        <v>8.54481</v>
      </c>
      <c r="P82">
        <v>8.5154239999999994</v>
      </c>
      <c r="Q82">
        <v>8.4905349999999995</v>
      </c>
      <c r="R82">
        <v>8.4647140000000007</v>
      </c>
      <c r="S82">
        <v>8.4406289999999995</v>
      </c>
      <c r="T82">
        <v>8.4205070000000006</v>
      </c>
      <c r="U82">
        <v>8.397062</v>
      </c>
      <c r="V82">
        <v>8.3728750000000005</v>
      </c>
      <c r="W82">
        <v>8.3468669999999996</v>
      </c>
      <c r="X82">
        <v>8.324783</v>
      </c>
      <c r="Y82">
        <v>8.3139590000000005</v>
      </c>
      <c r="Z82">
        <v>8.3082460000000005</v>
      </c>
      <c r="AA82">
        <v>8.3066180000000003</v>
      </c>
      <c r="AB82">
        <v>8.2938220000000005</v>
      </c>
      <c r="AC82">
        <v>8.2784589999999998</v>
      </c>
      <c r="AD82">
        <v>8.2622619999999998</v>
      </c>
      <c r="AE82" t="s">
        <v>1222</v>
      </c>
    </row>
    <row r="83" spans="1:31" x14ac:dyDescent="0.25">
      <c r="A83" t="s">
        <v>109</v>
      </c>
      <c r="B83" t="s">
        <v>1248</v>
      </c>
      <c r="C83" t="s">
        <v>1249</v>
      </c>
      <c r="D83" t="s">
        <v>73</v>
      </c>
      <c r="E83">
        <v>0.59815700000000005</v>
      </c>
      <c r="F83">
        <v>0.57871700000000004</v>
      </c>
      <c r="G83">
        <v>0.58793499999999999</v>
      </c>
      <c r="H83">
        <v>0.60834200000000005</v>
      </c>
      <c r="I83">
        <v>0.61244100000000001</v>
      </c>
      <c r="J83">
        <v>0.61937699999999996</v>
      </c>
      <c r="K83">
        <v>0.620618</v>
      </c>
      <c r="L83">
        <v>0.62841499999999995</v>
      </c>
      <c r="M83">
        <v>0.63718600000000003</v>
      </c>
      <c r="N83">
        <v>0.64672799999999997</v>
      </c>
      <c r="O83">
        <v>0.65454100000000004</v>
      </c>
      <c r="P83">
        <v>0.66222099999999995</v>
      </c>
      <c r="Q83">
        <v>0.66777399999999998</v>
      </c>
      <c r="R83">
        <v>0.67327700000000001</v>
      </c>
      <c r="S83">
        <v>0.67829799999999996</v>
      </c>
      <c r="T83">
        <v>0.68212700000000004</v>
      </c>
      <c r="U83">
        <v>0.68528299999999998</v>
      </c>
      <c r="V83">
        <v>0.69133800000000001</v>
      </c>
      <c r="W83">
        <v>0.69744799999999996</v>
      </c>
      <c r="X83">
        <v>0.70310799999999996</v>
      </c>
      <c r="Y83">
        <v>0.70962700000000001</v>
      </c>
      <c r="Z83">
        <v>0.71608799999999995</v>
      </c>
      <c r="AA83">
        <v>0.72213400000000005</v>
      </c>
      <c r="AB83">
        <v>0.72778500000000002</v>
      </c>
      <c r="AC83">
        <v>0.73395699999999997</v>
      </c>
      <c r="AD83">
        <v>0.74077499999999996</v>
      </c>
      <c r="AE83" t="s">
        <v>1130</v>
      </c>
    </row>
    <row r="84" spans="1:31" x14ac:dyDescent="0.25">
      <c r="A84" t="s">
        <v>140</v>
      </c>
      <c r="B84" t="s">
        <v>1250</v>
      </c>
      <c r="C84" t="s">
        <v>1251</v>
      </c>
      <c r="D84" t="s">
        <v>73</v>
      </c>
      <c r="E84">
        <v>0.41293400000000002</v>
      </c>
      <c r="F84">
        <v>0.33813799999999999</v>
      </c>
      <c r="G84">
        <v>0.34820000000000001</v>
      </c>
      <c r="H84">
        <v>0.55000000000000004</v>
      </c>
      <c r="I84">
        <v>0.55000000000000004</v>
      </c>
      <c r="J84">
        <v>0.55000000000000004</v>
      </c>
      <c r="K84">
        <v>0.55000000000000004</v>
      </c>
      <c r="L84">
        <v>0.55000000000000004</v>
      </c>
      <c r="M84">
        <v>0.55000000000000004</v>
      </c>
      <c r="N84">
        <v>0.55000000000000004</v>
      </c>
      <c r="O84">
        <v>0.55000000000000004</v>
      </c>
      <c r="P84">
        <v>0.55000000000000004</v>
      </c>
      <c r="Q84">
        <v>0.55000000000000004</v>
      </c>
      <c r="R84">
        <v>0.55000000000000004</v>
      </c>
      <c r="S84">
        <v>0.55000000000000004</v>
      </c>
      <c r="T84">
        <v>0.55000000000000004</v>
      </c>
      <c r="U84">
        <v>0.55000000000000004</v>
      </c>
      <c r="V84">
        <v>0.55000000000000004</v>
      </c>
      <c r="W84">
        <v>0.55000000000000004</v>
      </c>
      <c r="X84">
        <v>0.55000000000000004</v>
      </c>
      <c r="Y84">
        <v>0.55000000000000004</v>
      </c>
      <c r="Z84">
        <v>0.55000000000000004</v>
      </c>
      <c r="AA84">
        <v>0.55000000000000004</v>
      </c>
      <c r="AB84">
        <v>0.55000000000000004</v>
      </c>
      <c r="AC84">
        <v>0.55000000000000004</v>
      </c>
      <c r="AD84">
        <v>0.55000000000000004</v>
      </c>
      <c r="AE84" t="s">
        <v>1095</v>
      </c>
    </row>
    <row r="85" spans="1:31" x14ac:dyDescent="0.25">
      <c r="A85" t="s">
        <v>143</v>
      </c>
      <c r="B85" t="s">
        <v>1252</v>
      </c>
      <c r="C85" t="s">
        <v>1253</v>
      </c>
      <c r="D85" t="s">
        <v>73</v>
      </c>
      <c r="E85">
        <v>3.1799360000000001</v>
      </c>
      <c r="F85">
        <v>3.1912099999999999</v>
      </c>
      <c r="G85">
        <v>3.1677040000000001</v>
      </c>
      <c r="H85">
        <v>3.26728</v>
      </c>
      <c r="I85">
        <v>3.2875909999999999</v>
      </c>
      <c r="J85">
        <v>3.3165529999999999</v>
      </c>
      <c r="K85">
        <v>3.3074119999999998</v>
      </c>
      <c r="L85">
        <v>3.3359000000000001</v>
      </c>
      <c r="M85">
        <v>3.352306</v>
      </c>
      <c r="N85">
        <v>3.3682620000000001</v>
      </c>
      <c r="O85">
        <v>3.3735140000000001</v>
      </c>
      <c r="P85">
        <v>3.3839600000000001</v>
      </c>
      <c r="Q85">
        <v>3.4044989999999999</v>
      </c>
      <c r="R85">
        <v>3.4114209999999998</v>
      </c>
      <c r="S85">
        <v>3.418971</v>
      </c>
      <c r="T85">
        <v>3.43832</v>
      </c>
      <c r="U85">
        <v>3.4491079999999998</v>
      </c>
      <c r="V85">
        <v>3.457932</v>
      </c>
      <c r="W85">
        <v>3.4672000000000001</v>
      </c>
      <c r="X85">
        <v>3.4700639999999998</v>
      </c>
      <c r="Y85">
        <v>3.4767009999999998</v>
      </c>
      <c r="Z85">
        <v>3.4616950000000002</v>
      </c>
      <c r="AA85">
        <v>3.4826130000000002</v>
      </c>
      <c r="AB85">
        <v>3.4725920000000001</v>
      </c>
      <c r="AC85">
        <v>3.4825900000000001</v>
      </c>
      <c r="AD85">
        <v>3.4688500000000002</v>
      </c>
      <c r="AE85" t="s">
        <v>1161</v>
      </c>
    </row>
    <row r="86" spans="1:31" x14ac:dyDescent="0.25">
      <c r="A86" t="s">
        <v>77</v>
      </c>
      <c r="B86" t="s">
        <v>1254</v>
      </c>
      <c r="C86" t="s">
        <v>1255</v>
      </c>
      <c r="D86" t="s">
        <v>73</v>
      </c>
      <c r="E86">
        <v>37.277641000000003</v>
      </c>
      <c r="F86">
        <v>37.264434999999999</v>
      </c>
      <c r="G86">
        <v>37.30574</v>
      </c>
      <c r="H86">
        <v>37.278422999999997</v>
      </c>
      <c r="I86">
        <v>36.982128000000003</v>
      </c>
      <c r="J86">
        <v>36.794784999999997</v>
      </c>
      <c r="K86">
        <v>36.572968000000003</v>
      </c>
      <c r="L86">
        <v>36.448967000000003</v>
      </c>
      <c r="M86">
        <v>36.293292999999998</v>
      </c>
      <c r="N86">
        <v>36.237304999999999</v>
      </c>
      <c r="O86">
        <v>36.182335000000002</v>
      </c>
      <c r="P86">
        <v>36.098323999999998</v>
      </c>
      <c r="Q86">
        <v>36.018917000000002</v>
      </c>
      <c r="R86">
        <v>35.951622</v>
      </c>
      <c r="S86">
        <v>35.920409999999997</v>
      </c>
      <c r="T86">
        <v>35.923752</v>
      </c>
      <c r="U86">
        <v>35.925109999999997</v>
      </c>
      <c r="V86">
        <v>35.920054999999998</v>
      </c>
      <c r="W86">
        <v>35.946280999999999</v>
      </c>
      <c r="X86">
        <v>35.957087999999999</v>
      </c>
      <c r="Y86">
        <v>36.003914000000002</v>
      </c>
      <c r="Z86">
        <v>36.019905000000001</v>
      </c>
      <c r="AA86">
        <v>36.095931999999998</v>
      </c>
      <c r="AB86">
        <v>36.085853999999998</v>
      </c>
      <c r="AC86">
        <v>36.061340000000001</v>
      </c>
      <c r="AD86">
        <v>36.068928</v>
      </c>
      <c r="AE86" t="s">
        <v>1231</v>
      </c>
    </row>
    <row r="87" spans="1:31" x14ac:dyDescent="0.25">
      <c r="A87" t="s">
        <v>80</v>
      </c>
      <c r="B87" t="s">
        <v>1256</v>
      </c>
      <c r="C87" t="s">
        <v>1257</v>
      </c>
      <c r="D87" t="s">
        <v>73</v>
      </c>
      <c r="E87">
        <v>16.543232</v>
      </c>
      <c r="F87">
        <v>16.212402000000001</v>
      </c>
      <c r="G87">
        <v>16.242493</v>
      </c>
      <c r="H87">
        <v>16.224748999999999</v>
      </c>
      <c r="I87">
        <v>16.143256999999998</v>
      </c>
      <c r="J87">
        <v>16.054417000000001</v>
      </c>
      <c r="K87">
        <v>16.004950000000001</v>
      </c>
      <c r="L87">
        <v>15.966595</v>
      </c>
      <c r="M87">
        <v>15.909041999999999</v>
      </c>
      <c r="N87">
        <v>15.88644</v>
      </c>
      <c r="O87">
        <v>15.867111</v>
      </c>
      <c r="P87">
        <v>15.843313999999999</v>
      </c>
      <c r="Q87">
        <v>15.797744</v>
      </c>
      <c r="R87">
        <v>15.773771</v>
      </c>
      <c r="S87">
        <v>15.756421</v>
      </c>
      <c r="T87">
        <v>15.762726000000001</v>
      </c>
      <c r="U87">
        <v>15.77496</v>
      </c>
      <c r="V87">
        <v>15.824083</v>
      </c>
      <c r="W87">
        <v>15.881479000000001</v>
      </c>
      <c r="X87">
        <v>15.93709</v>
      </c>
      <c r="Y87">
        <v>16.003533999999998</v>
      </c>
      <c r="Z87">
        <v>16.050909000000001</v>
      </c>
      <c r="AA87">
        <v>16.110600999999999</v>
      </c>
      <c r="AB87">
        <v>16.152266000000001</v>
      </c>
      <c r="AC87">
        <v>16.182772</v>
      </c>
      <c r="AD87">
        <v>16.247416999999999</v>
      </c>
      <c r="AE87" t="s">
        <v>1231</v>
      </c>
    </row>
    <row r="88" spans="1:31" x14ac:dyDescent="0.25">
      <c r="A88" t="s">
        <v>150</v>
      </c>
      <c r="B88" t="s">
        <v>1258</v>
      </c>
      <c r="C88" t="s">
        <v>1259</v>
      </c>
      <c r="D88" t="s">
        <v>73</v>
      </c>
      <c r="E88">
        <v>2.1362390000000002</v>
      </c>
      <c r="F88">
        <v>2.128485</v>
      </c>
      <c r="G88">
        <v>2.1603400000000001</v>
      </c>
      <c r="H88">
        <v>2.165232</v>
      </c>
      <c r="I88">
        <v>2.162156</v>
      </c>
      <c r="J88">
        <v>2.203182</v>
      </c>
      <c r="K88">
        <v>2.2643529999999998</v>
      </c>
      <c r="L88">
        <v>2.334959</v>
      </c>
      <c r="M88">
        <v>2.3952339999999999</v>
      </c>
      <c r="N88">
        <v>2.4525809999999999</v>
      </c>
      <c r="O88">
        <v>2.473735</v>
      </c>
      <c r="P88">
        <v>2.4826640000000002</v>
      </c>
      <c r="Q88">
        <v>2.4927549999999998</v>
      </c>
      <c r="R88">
        <v>2.5068679999999999</v>
      </c>
      <c r="S88">
        <v>2.5246620000000002</v>
      </c>
      <c r="T88">
        <v>2.5674649999999999</v>
      </c>
      <c r="U88">
        <v>2.6017749999999999</v>
      </c>
      <c r="V88">
        <v>2.6305519999999998</v>
      </c>
      <c r="W88">
        <v>2.644943</v>
      </c>
      <c r="X88">
        <v>2.647805</v>
      </c>
      <c r="Y88">
        <v>2.6459549999999998</v>
      </c>
      <c r="Z88">
        <v>2.6564239999999999</v>
      </c>
      <c r="AA88">
        <v>2.673549</v>
      </c>
      <c r="AB88">
        <v>2.6894960000000001</v>
      </c>
      <c r="AC88">
        <v>2.689622</v>
      </c>
      <c r="AD88">
        <v>2.6848770000000002</v>
      </c>
      <c r="AE88" t="s">
        <v>1130</v>
      </c>
    </row>
    <row r="89" spans="1:31" x14ac:dyDescent="0.25">
      <c r="A89" t="s">
        <v>210</v>
      </c>
      <c r="B89" t="s">
        <v>1260</v>
      </c>
      <c r="C89" t="s">
        <v>1261</v>
      </c>
      <c r="D89" t="s">
        <v>73</v>
      </c>
      <c r="E89">
        <v>0.59070999999999996</v>
      </c>
      <c r="F89">
        <v>0.58992100000000003</v>
      </c>
      <c r="G89">
        <v>0.67366300000000001</v>
      </c>
      <c r="H89">
        <v>0.72236</v>
      </c>
      <c r="I89">
        <v>0.77013200000000004</v>
      </c>
      <c r="J89">
        <v>0.91109700000000005</v>
      </c>
      <c r="K89">
        <v>0.97536999999999996</v>
      </c>
      <c r="L89">
        <v>1.036748</v>
      </c>
      <c r="M89">
        <v>1.0828169999999999</v>
      </c>
      <c r="N89">
        <v>1.1590130000000001</v>
      </c>
      <c r="O89">
        <v>1.2125790000000001</v>
      </c>
      <c r="P89">
        <v>1.254067</v>
      </c>
      <c r="Q89">
        <v>1.275981</v>
      </c>
      <c r="R89">
        <v>1.2974060000000001</v>
      </c>
      <c r="S89">
        <v>1.3195190000000001</v>
      </c>
      <c r="T89">
        <v>1.3404</v>
      </c>
      <c r="U89">
        <v>1.3632839999999999</v>
      </c>
      <c r="V89">
        <v>1.38506</v>
      </c>
      <c r="W89">
        <v>1.406836</v>
      </c>
      <c r="X89">
        <v>1.4313629999999999</v>
      </c>
      <c r="Y89">
        <v>1.450388</v>
      </c>
      <c r="Z89">
        <v>1.472164</v>
      </c>
      <c r="AA89">
        <v>1.49394</v>
      </c>
      <c r="AB89">
        <v>1.5075780000000001</v>
      </c>
      <c r="AC89">
        <v>1.5048280000000001</v>
      </c>
      <c r="AD89">
        <v>1.5048280000000001</v>
      </c>
      <c r="AE89" t="s">
        <v>1201</v>
      </c>
    </row>
    <row r="90" spans="1:31" x14ac:dyDescent="0.25">
      <c r="A90" t="s">
        <v>207</v>
      </c>
      <c r="B90" t="s">
        <v>1262</v>
      </c>
      <c r="C90" t="s">
        <v>1263</v>
      </c>
      <c r="D90" t="s">
        <v>73</v>
      </c>
      <c r="E90">
        <v>0.73460199999999998</v>
      </c>
      <c r="F90">
        <v>0.68125599999999997</v>
      </c>
      <c r="G90">
        <v>0.68428699999999998</v>
      </c>
      <c r="H90">
        <v>0.67398999999999998</v>
      </c>
      <c r="I90">
        <v>0.68341700000000005</v>
      </c>
      <c r="J90">
        <v>0.71255500000000005</v>
      </c>
      <c r="K90">
        <v>0.732711</v>
      </c>
      <c r="L90">
        <v>0.74484399999999995</v>
      </c>
      <c r="M90">
        <v>0.74981500000000001</v>
      </c>
      <c r="N90">
        <v>0.75792099999999996</v>
      </c>
      <c r="O90">
        <v>0.77047100000000002</v>
      </c>
      <c r="P90">
        <v>0.79358899999999999</v>
      </c>
      <c r="Q90">
        <v>0.82120899999999997</v>
      </c>
      <c r="R90">
        <v>0.845468</v>
      </c>
      <c r="S90">
        <v>0.87215399999999998</v>
      </c>
      <c r="T90">
        <v>0.89066100000000004</v>
      </c>
      <c r="U90">
        <v>0.90670799999999996</v>
      </c>
      <c r="V90">
        <v>0.92474500000000004</v>
      </c>
      <c r="W90">
        <v>0.94375699999999996</v>
      </c>
      <c r="X90">
        <v>0.95782100000000003</v>
      </c>
      <c r="Y90">
        <v>0.96594800000000003</v>
      </c>
      <c r="Z90">
        <v>0.97511300000000001</v>
      </c>
      <c r="AA90">
        <v>0.98419199999999996</v>
      </c>
      <c r="AB90">
        <v>0.99280000000000002</v>
      </c>
      <c r="AC90">
        <v>0.99604700000000002</v>
      </c>
      <c r="AD90">
        <v>1.0015480000000001</v>
      </c>
      <c r="AE90" t="s">
        <v>1095</v>
      </c>
    </row>
    <row r="91" spans="1:31" x14ac:dyDescent="0.25">
      <c r="A91" t="s">
        <v>153</v>
      </c>
      <c r="B91" t="s">
        <v>1264</v>
      </c>
      <c r="C91" t="s">
        <v>1265</v>
      </c>
      <c r="D91" t="s">
        <v>73</v>
      </c>
      <c r="E91">
        <v>20.004781999999999</v>
      </c>
      <c r="F91">
        <v>19.612064</v>
      </c>
      <c r="G91">
        <v>19.760781999999999</v>
      </c>
      <c r="H91">
        <v>19.786331000000001</v>
      </c>
      <c r="I91">
        <v>19.758963000000001</v>
      </c>
      <c r="J91">
        <v>19.881250000000001</v>
      </c>
      <c r="K91">
        <v>19.977385000000002</v>
      </c>
      <c r="L91">
        <v>20.083144999999998</v>
      </c>
      <c r="M91">
        <v>20.136907999999998</v>
      </c>
      <c r="N91">
        <v>20.255955</v>
      </c>
      <c r="O91">
        <v>20.323896000000001</v>
      </c>
      <c r="P91">
        <v>20.373633999999999</v>
      </c>
      <c r="Q91">
        <v>20.387688000000001</v>
      </c>
      <c r="R91">
        <v>20.423514999999998</v>
      </c>
      <c r="S91">
        <v>20.472754999999999</v>
      </c>
      <c r="T91">
        <v>20.561253000000001</v>
      </c>
      <c r="U91">
        <v>20.646725</v>
      </c>
      <c r="V91">
        <v>20.764441000000001</v>
      </c>
      <c r="W91">
        <v>20.877016000000001</v>
      </c>
      <c r="X91">
        <v>20.974077000000001</v>
      </c>
      <c r="Y91">
        <v>21.065825</v>
      </c>
      <c r="Z91">
        <v>21.154610000000002</v>
      </c>
      <c r="AA91">
        <v>21.262283</v>
      </c>
      <c r="AB91">
        <v>21.342137999999998</v>
      </c>
      <c r="AC91">
        <v>21.373267999999999</v>
      </c>
      <c r="AD91">
        <v>21.438670999999999</v>
      </c>
      <c r="AE91" t="s">
        <v>1161</v>
      </c>
    </row>
    <row r="92" spans="1:31" x14ac:dyDescent="0.25">
      <c r="A92" t="s">
        <v>156</v>
      </c>
      <c r="B92" t="s">
        <v>1266</v>
      </c>
      <c r="C92" t="s">
        <v>1267</v>
      </c>
      <c r="D92" t="s">
        <v>73</v>
      </c>
      <c r="E92">
        <v>0.418161</v>
      </c>
      <c r="F92">
        <v>0.437662</v>
      </c>
      <c r="G92">
        <v>0.44602999999999998</v>
      </c>
      <c r="H92">
        <v>0.43068499999999998</v>
      </c>
      <c r="I92">
        <v>0.41941200000000001</v>
      </c>
      <c r="J92">
        <v>0.41326000000000002</v>
      </c>
      <c r="K92">
        <v>0.40547800000000001</v>
      </c>
      <c r="L92">
        <v>0.39990500000000001</v>
      </c>
      <c r="M92">
        <v>0.39374999999999999</v>
      </c>
      <c r="N92">
        <v>0.38364999999999999</v>
      </c>
      <c r="O92">
        <v>0.37529699999999999</v>
      </c>
      <c r="P92">
        <v>0.36475999999999997</v>
      </c>
      <c r="Q92">
        <v>0.35550599999999999</v>
      </c>
      <c r="R92">
        <v>0.34536899999999998</v>
      </c>
      <c r="S92">
        <v>0.33481</v>
      </c>
      <c r="T92">
        <v>0.326546</v>
      </c>
      <c r="U92">
        <v>0.31912099999999999</v>
      </c>
      <c r="V92">
        <v>0.311913</v>
      </c>
      <c r="W92">
        <v>0.30402499999999999</v>
      </c>
      <c r="X92">
        <v>0.29624499999999998</v>
      </c>
      <c r="Y92">
        <v>0.29039100000000001</v>
      </c>
      <c r="Z92">
        <v>0.283607</v>
      </c>
      <c r="AA92">
        <v>0.27760400000000002</v>
      </c>
      <c r="AB92">
        <v>0.27125300000000002</v>
      </c>
      <c r="AC92">
        <v>0.26358100000000001</v>
      </c>
      <c r="AD92">
        <v>0.25716800000000001</v>
      </c>
      <c r="AE92" t="s">
        <v>1151</v>
      </c>
    </row>
    <row r="93" spans="1:31" x14ac:dyDescent="0.25">
      <c r="A93" t="s">
        <v>276</v>
      </c>
      <c r="B93" t="s">
        <v>1268</v>
      </c>
      <c r="C93" t="s">
        <v>1269</v>
      </c>
      <c r="D93" t="s">
        <v>73</v>
      </c>
      <c r="E93">
        <v>0.41237000000000001</v>
      </c>
      <c r="F93">
        <v>0.38197199999999998</v>
      </c>
      <c r="G93">
        <v>0.381133</v>
      </c>
      <c r="H93">
        <v>0.37794100000000003</v>
      </c>
      <c r="I93">
        <v>0.37442900000000001</v>
      </c>
      <c r="J93">
        <v>0.37161300000000003</v>
      </c>
      <c r="K93">
        <v>0.36757699999999999</v>
      </c>
      <c r="L93">
        <v>0.36896099999999998</v>
      </c>
      <c r="M93">
        <v>0.36922199999999999</v>
      </c>
      <c r="N93">
        <v>0.36810700000000002</v>
      </c>
      <c r="O93">
        <v>0.36646200000000001</v>
      </c>
      <c r="P93">
        <v>0.36358800000000002</v>
      </c>
      <c r="Q93">
        <v>0.3599</v>
      </c>
      <c r="R93">
        <v>0.35564099999999998</v>
      </c>
      <c r="S93">
        <v>0.35113299999999997</v>
      </c>
      <c r="T93">
        <v>0.34672900000000001</v>
      </c>
      <c r="U93">
        <v>0.34247</v>
      </c>
      <c r="V93">
        <v>0.33804699999999999</v>
      </c>
      <c r="W93">
        <v>0.333536</v>
      </c>
      <c r="X93">
        <v>0.32915499999999998</v>
      </c>
      <c r="Y93">
        <v>0.32537500000000003</v>
      </c>
      <c r="Z93">
        <v>0.32183499999999998</v>
      </c>
      <c r="AA93">
        <v>0.31841999999999998</v>
      </c>
      <c r="AB93">
        <v>0.31495800000000002</v>
      </c>
      <c r="AC93">
        <v>0.31134699999999998</v>
      </c>
      <c r="AD93">
        <v>0.30795699999999998</v>
      </c>
      <c r="AE93" t="s">
        <v>1154</v>
      </c>
    </row>
    <row r="94" spans="1:31" x14ac:dyDescent="0.25">
      <c r="A94" t="s">
        <v>162</v>
      </c>
      <c r="B94" t="s">
        <v>1270</v>
      </c>
      <c r="C94" t="s">
        <v>1271</v>
      </c>
      <c r="D94" t="s">
        <v>73</v>
      </c>
      <c r="E94">
        <v>-3.0896E-2</v>
      </c>
      <c r="F94">
        <v>-3.5414000000000001E-2</v>
      </c>
      <c r="G94">
        <v>-2.5403999999999999E-2</v>
      </c>
      <c r="H94">
        <v>-2.5582000000000001E-2</v>
      </c>
      <c r="I94">
        <v>-2.5190000000000001E-2</v>
      </c>
      <c r="J94">
        <v>-2.4858000000000002E-2</v>
      </c>
      <c r="K94">
        <v>-2.4549000000000001E-2</v>
      </c>
      <c r="L94">
        <v>-2.4170000000000001E-2</v>
      </c>
      <c r="M94">
        <v>-2.3817999999999999E-2</v>
      </c>
      <c r="N94">
        <v>-2.3467999999999999E-2</v>
      </c>
      <c r="O94">
        <v>-2.3053000000000001E-2</v>
      </c>
      <c r="P94">
        <v>-2.2494E-2</v>
      </c>
      <c r="Q94">
        <v>-2.1995000000000001E-2</v>
      </c>
      <c r="R94">
        <v>-2.1444000000000001E-2</v>
      </c>
      <c r="S94">
        <v>-2.0864000000000001E-2</v>
      </c>
      <c r="T94">
        <v>-2.0423E-2</v>
      </c>
      <c r="U94">
        <v>-2.0029999999999999E-2</v>
      </c>
      <c r="V94">
        <v>-1.9643999999999998E-2</v>
      </c>
      <c r="W94">
        <v>-1.9212E-2</v>
      </c>
      <c r="X94">
        <v>-1.8783000000000001E-2</v>
      </c>
      <c r="Y94">
        <v>-1.8388000000000002E-2</v>
      </c>
      <c r="Z94">
        <v>-1.8088E-2</v>
      </c>
      <c r="AA94">
        <v>-1.7673999999999999E-2</v>
      </c>
      <c r="AB94">
        <v>-1.7364999999999998E-2</v>
      </c>
      <c r="AC94">
        <v>-1.6993000000000001E-2</v>
      </c>
      <c r="AD94">
        <v>-1.6633999999999999E-2</v>
      </c>
      <c r="AE94" t="s">
        <v>1103</v>
      </c>
    </row>
    <row r="95" spans="1:31" x14ac:dyDescent="0.25">
      <c r="A95" t="s">
        <v>165</v>
      </c>
      <c r="B95" t="s">
        <v>1272</v>
      </c>
      <c r="C95" t="s">
        <v>1273</v>
      </c>
      <c r="D95" t="s">
        <v>73</v>
      </c>
      <c r="E95">
        <v>0.79963499999999998</v>
      </c>
      <c r="F95">
        <v>0.78422000000000003</v>
      </c>
      <c r="G95">
        <v>0.801759</v>
      </c>
      <c r="H95">
        <v>0.78304399999999996</v>
      </c>
      <c r="I95">
        <v>0.76865000000000006</v>
      </c>
      <c r="J95">
        <v>0.760015</v>
      </c>
      <c r="K95">
        <v>0.748506</v>
      </c>
      <c r="L95">
        <v>0.74469600000000002</v>
      </c>
      <c r="M95">
        <v>0.73915399999999998</v>
      </c>
      <c r="N95">
        <v>0.72828899999999996</v>
      </c>
      <c r="O95">
        <v>0.71870599999999996</v>
      </c>
      <c r="P95">
        <v>0.70585299999999995</v>
      </c>
      <c r="Q95">
        <v>0.69341200000000003</v>
      </c>
      <c r="R95">
        <v>0.679566</v>
      </c>
      <c r="S95">
        <v>0.66507899999999998</v>
      </c>
      <c r="T95">
        <v>0.65285199999999999</v>
      </c>
      <c r="U95">
        <v>0.64156199999999997</v>
      </c>
      <c r="V95">
        <v>0.63031599999999999</v>
      </c>
      <c r="W95">
        <v>0.61834900000000004</v>
      </c>
      <c r="X95">
        <v>0.60661699999999996</v>
      </c>
      <c r="Y95">
        <v>0.59737799999999996</v>
      </c>
      <c r="Z95">
        <v>0.58735400000000004</v>
      </c>
      <c r="AA95">
        <v>0.57835099999999995</v>
      </c>
      <c r="AB95">
        <v>0.56884599999999996</v>
      </c>
      <c r="AC95">
        <v>0.55793599999999999</v>
      </c>
      <c r="AD95">
        <v>0.54849099999999995</v>
      </c>
      <c r="AE95" t="s">
        <v>1071</v>
      </c>
    </row>
    <row r="96" spans="1:31" x14ac:dyDescent="0.25">
      <c r="A96" t="s">
        <v>168</v>
      </c>
      <c r="B96" t="s">
        <v>1274</v>
      </c>
      <c r="C96" t="s">
        <v>1275</v>
      </c>
      <c r="D96" t="s">
        <v>73</v>
      </c>
      <c r="E96">
        <v>0.90891699999999997</v>
      </c>
      <c r="F96">
        <v>0.92460600000000004</v>
      </c>
      <c r="G96">
        <v>0.93709799999999999</v>
      </c>
      <c r="H96">
        <v>0.94168600000000002</v>
      </c>
      <c r="I96">
        <v>0.93855999999999995</v>
      </c>
      <c r="J96">
        <v>0.940195</v>
      </c>
      <c r="K96">
        <v>0.93708499999999995</v>
      </c>
      <c r="L96">
        <v>0.93595899999999999</v>
      </c>
      <c r="M96">
        <v>0.93459099999999995</v>
      </c>
      <c r="N96">
        <v>0.93672299999999997</v>
      </c>
      <c r="O96">
        <v>0.93835000000000002</v>
      </c>
      <c r="P96">
        <v>0.94456799999999996</v>
      </c>
      <c r="Q96">
        <v>0.94416800000000001</v>
      </c>
      <c r="R96">
        <v>0.94495200000000001</v>
      </c>
      <c r="S96">
        <v>0.94594599999999995</v>
      </c>
      <c r="T96">
        <v>0.94855500000000004</v>
      </c>
      <c r="U96">
        <v>0.95130800000000004</v>
      </c>
      <c r="V96">
        <v>0.961144</v>
      </c>
      <c r="W96">
        <v>0.96505399999999997</v>
      </c>
      <c r="X96">
        <v>0.96772100000000005</v>
      </c>
      <c r="Y96">
        <v>0.96853400000000001</v>
      </c>
      <c r="Z96">
        <v>0.96856500000000001</v>
      </c>
      <c r="AA96">
        <v>0.97285699999999997</v>
      </c>
      <c r="AB96">
        <v>0.97891799999999995</v>
      </c>
      <c r="AC96">
        <v>0.981626</v>
      </c>
      <c r="AD96">
        <v>0.98605500000000001</v>
      </c>
      <c r="AE96" t="s">
        <v>1161</v>
      </c>
    </row>
    <row r="97" spans="1:31" x14ac:dyDescent="0.25">
      <c r="A97" t="s">
        <v>83</v>
      </c>
      <c r="B97" t="s">
        <v>1276</v>
      </c>
      <c r="C97" t="s">
        <v>1277</v>
      </c>
      <c r="D97" t="s">
        <v>73</v>
      </c>
      <c r="E97">
        <v>2.013058</v>
      </c>
      <c r="F97">
        <v>2.093683</v>
      </c>
      <c r="G97">
        <v>2.0475310000000002</v>
      </c>
      <c r="H97">
        <v>2.0255139999999998</v>
      </c>
      <c r="I97">
        <v>2.0159600000000002</v>
      </c>
      <c r="J97">
        <v>1.98132</v>
      </c>
      <c r="K97">
        <v>1.942774</v>
      </c>
      <c r="L97">
        <v>1.917416</v>
      </c>
      <c r="M97">
        <v>1.9034409999999999</v>
      </c>
      <c r="N97">
        <v>1.9014260000000001</v>
      </c>
      <c r="O97">
        <v>1.9020349999999999</v>
      </c>
      <c r="P97">
        <v>1.9086959999999999</v>
      </c>
      <c r="Q97">
        <v>1.914938</v>
      </c>
      <c r="R97">
        <v>1.9336599999999999</v>
      </c>
      <c r="S97">
        <v>1.9540900000000001</v>
      </c>
      <c r="T97">
        <v>1.9705889999999999</v>
      </c>
      <c r="U97">
        <v>1.971671</v>
      </c>
      <c r="V97">
        <v>1.978809</v>
      </c>
      <c r="W97">
        <v>1.9825660000000001</v>
      </c>
      <c r="X97">
        <v>1.991679</v>
      </c>
      <c r="Y97">
        <v>2.0128910000000002</v>
      </c>
      <c r="Z97">
        <v>2.0324339999999999</v>
      </c>
      <c r="AA97">
        <v>2.0551560000000002</v>
      </c>
      <c r="AB97">
        <v>2.0761270000000001</v>
      </c>
      <c r="AC97">
        <v>2.1023939999999999</v>
      </c>
      <c r="AD97">
        <v>2.1270449999999999</v>
      </c>
      <c r="AE97" t="s">
        <v>1081</v>
      </c>
    </row>
    <row r="98" spans="1:31" x14ac:dyDescent="0.25">
      <c r="A98" t="s">
        <v>173</v>
      </c>
      <c r="B98" t="s">
        <v>1278</v>
      </c>
      <c r="C98" t="s">
        <v>1279</v>
      </c>
      <c r="D98" t="s">
        <v>73</v>
      </c>
      <c r="E98">
        <v>1.075572</v>
      </c>
      <c r="F98">
        <v>1.02115</v>
      </c>
      <c r="G98">
        <v>1.0189760000000001</v>
      </c>
      <c r="H98">
        <v>1.0203230000000001</v>
      </c>
      <c r="I98">
        <v>1.030313</v>
      </c>
      <c r="J98">
        <v>1.028076</v>
      </c>
      <c r="K98">
        <v>1.016292</v>
      </c>
      <c r="L98">
        <v>1.0135829999999999</v>
      </c>
      <c r="M98">
        <v>1.0184949999999999</v>
      </c>
      <c r="N98">
        <v>1.0394920000000001</v>
      </c>
      <c r="O98">
        <v>1.049423</v>
      </c>
      <c r="P98">
        <v>1.052222</v>
      </c>
      <c r="Q98">
        <v>1.0710759999999999</v>
      </c>
      <c r="R98">
        <v>1.0808679999999999</v>
      </c>
      <c r="S98">
        <v>1.0888599999999999</v>
      </c>
      <c r="T98">
        <v>1.0901430000000001</v>
      </c>
      <c r="U98">
        <v>1.0968709999999999</v>
      </c>
      <c r="V98">
        <v>1.1017790000000001</v>
      </c>
      <c r="W98">
        <v>1.11199</v>
      </c>
      <c r="X98">
        <v>1.134287</v>
      </c>
      <c r="Y98">
        <v>1.1493610000000001</v>
      </c>
      <c r="Z98">
        <v>1.1573340000000001</v>
      </c>
      <c r="AA98">
        <v>1.168963</v>
      </c>
      <c r="AB98">
        <v>1.1765829999999999</v>
      </c>
      <c r="AC98">
        <v>1.18248</v>
      </c>
      <c r="AD98">
        <v>1.189319</v>
      </c>
      <c r="AE98" t="s">
        <v>1111</v>
      </c>
    </row>
    <row r="99" spans="1:31" x14ac:dyDescent="0.25">
      <c r="A99" t="s">
        <v>289</v>
      </c>
      <c r="B99" t="s">
        <v>1280</v>
      </c>
      <c r="C99" t="s">
        <v>1281</v>
      </c>
      <c r="D99" t="s">
        <v>73</v>
      </c>
      <c r="E99">
        <v>13.879827000000001</v>
      </c>
      <c r="F99">
        <v>14.264858</v>
      </c>
      <c r="G99">
        <v>14.208614000000001</v>
      </c>
      <c r="H99">
        <v>14.322861</v>
      </c>
      <c r="I99">
        <v>14.414514</v>
      </c>
      <c r="J99">
        <v>14.482573</v>
      </c>
      <c r="K99">
        <v>14.543842</v>
      </c>
      <c r="L99">
        <v>14.621783000000001</v>
      </c>
      <c r="M99">
        <v>14.722633</v>
      </c>
      <c r="N99">
        <v>14.838271000000001</v>
      </c>
      <c r="O99">
        <v>14.974589999999999</v>
      </c>
      <c r="P99">
        <v>15.129410999999999</v>
      </c>
      <c r="Q99">
        <v>15.298394999999999</v>
      </c>
      <c r="R99">
        <v>15.468923999999999</v>
      </c>
      <c r="S99">
        <v>15.635885</v>
      </c>
      <c r="T99">
        <v>15.791342</v>
      </c>
      <c r="U99">
        <v>15.947616999999999</v>
      </c>
      <c r="V99">
        <v>16.098896</v>
      </c>
      <c r="W99">
        <v>16.246597000000001</v>
      </c>
      <c r="X99">
        <v>16.392520999999999</v>
      </c>
      <c r="Y99">
        <v>16.550049000000001</v>
      </c>
      <c r="Z99">
        <v>16.703588</v>
      </c>
      <c r="AA99">
        <v>16.848783000000001</v>
      </c>
      <c r="AB99">
        <v>16.986872000000002</v>
      </c>
      <c r="AC99">
        <v>17.119368000000001</v>
      </c>
      <c r="AD99">
        <v>17.247267000000001</v>
      </c>
      <c r="AE99" t="s">
        <v>1130</v>
      </c>
    </row>
    <row r="100" spans="1:31" x14ac:dyDescent="0.25">
      <c r="A100" t="s">
        <v>89</v>
      </c>
      <c r="B100" t="s">
        <v>1282</v>
      </c>
      <c r="C100" t="s">
        <v>1283</v>
      </c>
      <c r="D100" t="s">
        <v>73</v>
      </c>
      <c r="E100">
        <v>75.959435999999997</v>
      </c>
      <c r="F100">
        <v>75.965016000000006</v>
      </c>
      <c r="G100">
        <v>76.080498000000006</v>
      </c>
      <c r="H100">
        <v>76.158179000000004</v>
      </c>
      <c r="I100">
        <v>75.909086000000002</v>
      </c>
      <c r="J100">
        <v>75.868208999999993</v>
      </c>
      <c r="K100">
        <v>75.738854000000003</v>
      </c>
      <c r="L100">
        <v>75.765551000000002</v>
      </c>
      <c r="M100">
        <v>75.748515999999995</v>
      </c>
      <c r="N100">
        <v>75.937465000000003</v>
      </c>
      <c r="O100">
        <v>76.089335000000005</v>
      </c>
      <c r="P100">
        <v>76.212705999999997</v>
      </c>
      <c r="Q100">
        <v>76.328592</v>
      </c>
      <c r="R100">
        <v>76.483103999999997</v>
      </c>
      <c r="S100">
        <v>76.683024000000003</v>
      </c>
      <c r="T100">
        <v>76.938484000000003</v>
      </c>
      <c r="U100">
        <v>77.180865999999995</v>
      </c>
      <c r="V100">
        <v>77.455439999999996</v>
      </c>
      <c r="W100">
        <v>77.747850999999997</v>
      </c>
      <c r="X100">
        <v>78.023994000000002</v>
      </c>
      <c r="Y100">
        <v>78.347950999999995</v>
      </c>
      <c r="Z100">
        <v>78.623788000000005</v>
      </c>
      <c r="AA100">
        <v>78.982325000000003</v>
      </c>
      <c r="AB100">
        <v>79.215339999999998</v>
      </c>
      <c r="AC100">
        <v>79.378409000000005</v>
      </c>
      <c r="AD100">
        <v>79.605777000000003</v>
      </c>
      <c r="AE100" t="s">
        <v>1081</v>
      </c>
    </row>
    <row r="101" spans="1:31" x14ac:dyDescent="0.25">
      <c r="A101" t="s">
        <v>92</v>
      </c>
      <c r="B101" t="s">
        <v>1284</v>
      </c>
      <c r="C101" t="s">
        <v>1285</v>
      </c>
      <c r="D101" t="s">
        <v>73</v>
      </c>
      <c r="E101">
        <v>19.071667000000001</v>
      </c>
      <c r="F101">
        <v>19.412303999999999</v>
      </c>
      <c r="G101">
        <v>17.859311999999999</v>
      </c>
      <c r="H101">
        <v>17.229427000000001</v>
      </c>
      <c r="I101">
        <v>16.947555999999999</v>
      </c>
      <c r="J101">
        <v>16.724056000000001</v>
      </c>
      <c r="K101">
        <v>16.259671999999998</v>
      </c>
      <c r="L101">
        <v>16.028046</v>
      </c>
      <c r="M101">
        <v>15.944430000000001</v>
      </c>
      <c r="N101">
        <v>15.755559999999999</v>
      </c>
      <c r="O101">
        <v>15.663356</v>
      </c>
      <c r="P101">
        <v>15.582514</v>
      </c>
      <c r="Q101">
        <v>15.601062000000001</v>
      </c>
      <c r="R101">
        <v>15.657876999999999</v>
      </c>
      <c r="S101">
        <v>15.677002999999999</v>
      </c>
      <c r="T101">
        <v>15.645046000000001</v>
      </c>
      <c r="U101">
        <v>15.614019000000001</v>
      </c>
      <c r="V101">
        <v>15.652865</v>
      </c>
      <c r="W101">
        <v>15.706782</v>
      </c>
      <c r="X101">
        <v>15.765079</v>
      </c>
      <c r="Y101">
        <v>15.835756</v>
      </c>
      <c r="Z101">
        <v>15.908841000000001</v>
      </c>
      <c r="AA101">
        <v>15.989364</v>
      </c>
      <c r="AB101">
        <v>16.059619999999999</v>
      </c>
      <c r="AC101">
        <v>16.065532999999999</v>
      </c>
      <c r="AD101">
        <v>16.116589000000001</v>
      </c>
      <c r="AE101" t="s">
        <v>1068</v>
      </c>
    </row>
    <row r="102" spans="1:31" x14ac:dyDescent="0.25">
      <c r="A102" t="s">
        <v>183</v>
      </c>
      <c r="B102" t="s">
        <v>1286</v>
      </c>
      <c r="C102" t="s">
        <v>1287</v>
      </c>
      <c r="D102" t="s">
        <v>73</v>
      </c>
      <c r="E102">
        <v>0.254832</v>
      </c>
      <c r="F102">
        <v>0.24060200000000001</v>
      </c>
      <c r="G102">
        <v>0.23843600000000001</v>
      </c>
      <c r="H102">
        <v>0.23836299999999999</v>
      </c>
      <c r="I102">
        <v>0.24577199999999999</v>
      </c>
      <c r="J102">
        <v>0.24493699999999999</v>
      </c>
      <c r="K102">
        <v>0.24040700000000001</v>
      </c>
      <c r="L102">
        <v>0.23921200000000001</v>
      </c>
      <c r="M102">
        <v>0.23996300000000001</v>
      </c>
      <c r="N102">
        <v>0.24579899999999999</v>
      </c>
      <c r="O102">
        <v>0.24757999999999999</v>
      </c>
      <c r="P102">
        <v>0.24696599999999999</v>
      </c>
      <c r="Q102">
        <v>0.247644</v>
      </c>
      <c r="R102">
        <v>0.24765499999999999</v>
      </c>
      <c r="S102">
        <v>0.24914900000000001</v>
      </c>
      <c r="T102">
        <v>0.24868999999999999</v>
      </c>
      <c r="U102">
        <v>0.24682699999999999</v>
      </c>
      <c r="V102">
        <v>0.24713499999999999</v>
      </c>
      <c r="W102">
        <v>0.24914800000000001</v>
      </c>
      <c r="X102">
        <v>0.25514999999999999</v>
      </c>
      <c r="Y102">
        <v>0.25882500000000003</v>
      </c>
      <c r="Z102">
        <v>0.26008199999999998</v>
      </c>
      <c r="AA102">
        <v>0.26235199999999997</v>
      </c>
      <c r="AB102">
        <v>0.26353300000000002</v>
      </c>
      <c r="AC102">
        <v>0.264511</v>
      </c>
      <c r="AD102">
        <v>0.265488</v>
      </c>
      <c r="AE102" t="s">
        <v>1081</v>
      </c>
    </row>
    <row r="103" spans="1:31" x14ac:dyDescent="0.25">
      <c r="A103" t="s">
        <v>95</v>
      </c>
      <c r="B103" t="s">
        <v>1288</v>
      </c>
      <c r="C103" t="s">
        <v>1289</v>
      </c>
      <c r="D103" t="s">
        <v>73</v>
      </c>
      <c r="E103">
        <v>95.285933999999997</v>
      </c>
      <c r="F103">
        <v>95.617921999999993</v>
      </c>
      <c r="G103">
        <v>94.178246000000001</v>
      </c>
      <c r="H103">
        <v>93.625969999999995</v>
      </c>
      <c r="I103">
        <v>93.102412999999999</v>
      </c>
      <c r="J103">
        <v>92.837203000000002</v>
      </c>
      <c r="K103">
        <v>92.238933000000003</v>
      </c>
      <c r="L103">
        <v>92.032809</v>
      </c>
      <c r="M103">
        <v>91.932908999999995</v>
      </c>
      <c r="N103">
        <v>91.938823999999997</v>
      </c>
      <c r="O103">
        <v>92.000270999999998</v>
      </c>
      <c r="P103">
        <v>92.042186000000001</v>
      </c>
      <c r="Q103">
        <v>92.177297999999993</v>
      </c>
      <c r="R103">
        <v>92.388636000000005</v>
      </c>
      <c r="S103">
        <v>92.609177000000003</v>
      </c>
      <c r="T103">
        <v>92.832220000000007</v>
      </c>
      <c r="U103">
        <v>93.041712000000004</v>
      </c>
      <c r="V103">
        <v>93.355440999999999</v>
      </c>
      <c r="W103">
        <v>93.703781000000006</v>
      </c>
      <c r="X103">
        <v>94.044222000000005</v>
      </c>
      <c r="Y103">
        <v>94.442532</v>
      </c>
      <c r="Z103">
        <v>94.792710999999997</v>
      </c>
      <c r="AA103">
        <v>95.234041000000005</v>
      </c>
      <c r="AB103">
        <v>95.538493000000003</v>
      </c>
      <c r="AC103">
        <v>95.708451999999994</v>
      </c>
      <c r="AD103">
        <v>95.987853999999999</v>
      </c>
      <c r="AE103" t="s">
        <v>1114</v>
      </c>
    </row>
    <row r="104" spans="1:31" x14ac:dyDescent="0.25">
      <c r="A104" t="s">
        <v>300</v>
      </c>
    </row>
    <row r="105" spans="1:31" x14ac:dyDescent="0.25">
      <c r="A105" t="s">
        <v>74</v>
      </c>
      <c r="B105" t="s">
        <v>1290</v>
      </c>
      <c r="C105" t="s">
        <v>1291</v>
      </c>
      <c r="D105" t="s">
        <v>73</v>
      </c>
      <c r="E105">
        <v>7.3607000000000006E-2</v>
      </c>
      <c r="F105">
        <v>6.9321999999999995E-2</v>
      </c>
      <c r="G105">
        <v>6.2621999999999997E-2</v>
      </c>
      <c r="H105">
        <v>5.7160999999999997E-2</v>
      </c>
      <c r="I105">
        <v>5.441E-2</v>
      </c>
      <c r="J105">
        <v>5.3268000000000003E-2</v>
      </c>
      <c r="K105">
        <v>4.6351000000000003E-2</v>
      </c>
      <c r="L105">
        <v>4.4252E-2</v>
      </c>
      <c r="M105">
        <v>4.2729000000000003E-2</v>
      </c>
      <c r="N105">
        <v>4.1556999999999997E-2</v>
      </c>
      <c r="O105">
        <v>3.9856000000000003E-2</v>
      </c>
      <c r="P105">
        <v>3.9031999999999997E-2</v>
      </c>
      <c r="Q105">
        <v>3.7985999999999999E-2</v>
      </c>
      <c r="R105">
        <v>3.6325000000000003E-2</v>
      </c>
      <c r="S105">
        <v>3.5567000000000001E-2</v>
      </c>
      <c r="T105">
        <v>3.4393E-2</v>
      </c>
      <c r="U105">
        <v>3.3043999999999997E-2</v>
      </c>
      <c r="V105">
        <v>3.0995999999999999E-2</v>
      </c>
      <c r="W105">
        <v>2.9543E-2</v>
      </c>
      <c r="X105">
        <v>2.7529000000000001E-2</v>
      </c>
      <c r="Y105">
        <v>2.6179000000000001E-2</v>
      </c>
      <c r="Z105">
        <v>2.6082000000000001E-2</v>
      </c>
      <c r="AA105">
        <v>2.5357999999999999E-2</v>
      </c>
      <c r="AB105">
        <v>2.5328E-2</v>
      </c>
      <c r="AC105">
        <v>2.4867E-2</v>
      </c>
      <c r="AD105">
        <v>2.5062000000000001E-2</v>
      </c>
      <c r="AE105" t="s">
        <v>1292</v>
      </c>
    </row>
    <row r="106" spans="1:31" x14ac:dyDescent="0.25">
      <c r="A106" t="s">
        <v>109</v>
      </c>
      <c r="B106" t="s">
        <v>1293</v>
      </c>
      <c r="C106" t="s">
        <v>1294</v>
      </c>
      <c r="D106" t="s">
        <v>73</v>
      </c>
      <c r="E106">
        <v>6.4061999999999994E-2</v>
      </c>
      <c r="F106">
        <v>6.3800999999999997E-2</v>
      </c>
      <c r="G106">
        <v>6.1447000000000002E-2</v>
      </c>
      <c r="H106">
        <v>5.7519000000000001E-2</v>
      </c>
      <c r="I106">
        <v>5.6238000000000003E-2</v>
      </c>
      <c r="J106">
        <v>5.5710999999999997E-2</v>
      </c>
      <c r="K106">
        <v>5.3856000000000001E-2</v>
      </c>
      <c r="L106">
        <v>5.2137999999999997E-2</v>
      </c>
      <c r="M106">
        <v>5.0618000000000003E-2</v>
      </c>
      <c r="N106">
        <v>4.8918000000000003E-2</v>
      </c>
      <c r="O106">
        <v>4.7375E-2</v>
      </c>
      <c r="P106">
        <v>4.5978999999999999E-2</v>
      </c>
      <c r="Q106">
        <v>4.4260000000000001E-2</v>
      </c>
      <c r="R106">
        <v>4.2674999999999998E-2</v>
      </c>
      <c r="S106">
        <v>4.1057999999999997E-2</v>
      </c>
      <c r="T106">
        <v>3.9361E-2</v>
      </c>
      <c r="U106">
        <v>3.5798000000000003E-2</v>
      </c>
      <c r="V106">
        <v>3.202E-2</v>
      </c>
      <c r="W106">
        <v>2.8277E-2</v>
      </c>
      <c r="X106">
        <v>2.4462999999999999E-2</v>
      </c>
      <c r="Y106">
        <v>2.0596E-2</v>
      </c>
      <c r="Z106">
        <v>2.0458E-2</v>
      </c>
      <c r="AA106">
        <v>2.0431000000000001E-2</v>
      </c>
      <c r="AB106">
        <v>2.0438000000000001E-2</v>
      </c>
      <c r="AC106">
        <v>2.0433E-2</v>
      </c>
      <c r="AD106">
        <v>2.0424000000000001E-2</v>
      </c>
      <c r="AE106" t="s">
        <v>1295</v>
      </c>
    </row>
    <row r="107" spans="1:31" x14ac:dyDescent="0.25">
      <c r="A107" t="s">
        <v>77</v>
      </c>
      <c r="B107" t="s">
        <v>1296</v>
      </c>
      <c r="C107" t="s">
        <v>1297</v>
      </c>
      <c r="D107" t="s">
        <v>73</v>
      </c>
      <c r="E107">
        <v>0.13766900000000001</v>
      </c>
      <c r="F107">
        <v>0.13312199999999999</v>
      </c>
      <c r="G107">
        <v>0.124069</v>
      </c>
      <c r="H107">
        <v>0.11468</v>
      </c>
      <c r="I107">
        <v>0.110648</v>
      </c>
      <c r="J107">
        <v>0.10897900000000001</v>
      </c>
      <c r="K107">
        <v>0.10020800000000001</v>
      </c>
      <c r="L107">
        <v>9.6390000000000003E-2</v>
      </c>
      <c r="M107">
        <v>9.3346999999999999E-2</v>
      </c>
      <c r="N107">
        <v>9.0475E-2</v>
      </c>
      <c r="O107">
        <v>8.7231000000000003E-2</v>
      </c>
      <c r="P107">
        <v>8.5010000000000002E-2</v>
      </c>
      <c r="Q107">
        <v>8.2244999999999999E-2</v>
      </c>
      <c r="R107">
        <v>7.9000000000000001E-2</v>
      </c>
      <c r="S107">
        <v>7.6624999999999999E-2</v>
      </c>
      <c r="T107">
        <v>7.3754E-2</v>
      </c>
      <c r="U107">
        <v>6.8840999999999999E-2</v>
      </c>
      <c r="V107">
        <v>6.3016000000000003E-2</v>
      </c>
      <c r="W107">
        <v>5.7820999999999997E-2</v>
      </c>
      <c r="X107">
        <v>5.1991999999999997E-2</v>
      </c>
      <c r="Y107">
        <v>4.6774999999999997E-2</v>
      </c>
      <c r="Z107">
        <v>4.6539999999999998E-2</v>
      </c>
      <c r="AA107">
        <v>4.5788000000000002E-2</v>
      </c>
      <c r="AB107">
        <v>4.5766000000000001E-2</v>
      </c>
      <c r="AC107">
        <v>4.53E-2</v>
      </c>
      <c r="AD107">
        <v>4.5485999999999999E-2</v>
      </c>
      <c r="AE107" t="s">
        <v>1298</v>
      </c>
    </row>
    <row r="108" spans="1:31" x14ac:dyDescent="0.25">
      <c r="A108" t="s">
        <v>80</v>
      </c>
      <c r="B108" t="s">
        <v>1299</v>
      </c>
      <c r="C108" t="s">
        <v>1300</v>
      </c>
      <c r="D108" t="s">
        <v>73</v>
      </c>
      <c r="E108">
        <v>13.254009</v>
      </c>
      <c r="F108">
        <v>13.760337</v>
      </c>
      <c r="G108">
        <v>12.098905</v>
      </c>
      <c r="H108">
        <v>11.831322</v>
      </c>
      <c r="I108">
        <v>11.519590000000001</v>
      </c>
      <c r="J108">
        <v>11.194534000000001</v>
      </c>
      <c r="K108">
        <v>11.589209</v>
      </c>
      <c r="L108">
        <v>11.727729</v>
      </c>
      <c r="M108">
        <v>11.778518</v>
      </c>
      <c r="N108">
        <v>11.781666</v>
      </c>
      <c r="O108">
        <v>11.647705999999999</v>
      </c>
      <c r="P108">
        <v>11.591108</v>
      </c>
      <c r="Q108">
        <v>11.70478</v>
      </c>
      <c r="R108">
        <v>11.819704</v>
      </c>
      <c r="S108">
        <v>11.911785</v>
      </c>
      <c r="T108">
        <v>12.08897</v>
      </c>
      <c r="U108">
        <v>12.209417999999999</v>
      </c>
      <c r="V108">
        <v>12.438971</v>
      </c>
      <c r="W108">
        <v>12.751798000000001</v>
      </c>
      <c r="X108">
        <v>13.023241000000001</v>
      </c>
      <c r="Y108">
        <v>13.301496999999999</v>
      </c>
      <c r="Z108">
        <v>13.585675</v>
      </c>
      <c r="AA108">
        <v>13.776622</v>
      </c>
      <c r="AB108">
        <v>13.974996000000001</v>
      </c>
      <c r="AC108">
        <v>14.206823</v>
      </c>
      <c r="AD108">
        <v>14.350322</v>
      </c>
      <c r="AE108" t="s">
        <v>1161</v>
      </c>
    </row>
    <row r="109" spans="1:31" x14ac:dyDescent="0.25">
      <c r="A109" t="s">
        <v>309</v>
      </c>
      <c r="B109" t="s">
        <v>1301</v>
      </c>
      <c r="C109" t="s">
        <v>1302</v>
      </c>
      <c r="D109" t="s">
        <v>73</v>
      </c>
      <c r="E109">
        <v>7.5127699999999997</v>
      </c>
      <c r="F109">
        <v>7.1943140000000003</v>
      </c>
      <c r="G109">
        <v>6.6103649999999998</v>
      </c>
      <c r="H109">
        <v>5.8977050000000002</v>
      </c>
      <c r="I109">
        <v>5.7801489999999998</v>
      </c>
      <c r="J109">
        <v>5.756329</v>
      </c>
      <c r="K109">
        <v>4.8013690000000002</v>
      </c>
      <c r="L109">
        <v>4.4078039999999996</v>
      </c>
      <c r="M109">
        <v>4.2415620000000001</v>
      </c>
      <c r="N109">
        <v>3.9875470000000002</v>
      </c>
      <c r="O109">
        <v>3.9638659999999999</v>
      </c>
      <c r="P109">
        <v>3.898126</v>
      </c>
      <c r="Q109">
        <v>3.829367</v>
      </c>
      <c r="R109">
        <v>3.8267890000000002</v>
      </c>
      <c r="S109">
        <v>3.8004250000000002</v>
      </c>
      <c r="T109">
        <v>3.6347909999999999</v>
      </c>
      <c r="U109">
        <v>3.5447690000000001</v>
      </c>
      <c r="V109">
        <v>3.4670779999999999</v>
      </c>
      <c r="W109">
        <v>3.3604759999999998</v>
      </c>
      <c r="X109">
        <v>3.2813240000000001</v>
      </c>
      <c r="Y109">
        <v>3.226048</v>
      </c>
      <c r="Z109">
        <v>3.168838</v>
      </c>
      <c r="AA109">
        <v>3.191427</v>
      </c>
      <c r="AB109">
        <v>3.1947290000000002</v>
      </c>
      <c r="AC109">
        <v>3.0868760000000002</v>
      </c>
      <c r="AD109">
        <v>2.9215939999999998</v>
      </c>
      <c r="AE109" t="s">
        <v>1303</v>
      </c>
    </row>
    <row r="110" spans="1:31" x14ac:dyDescent="0.25">
      <c r="A110" t="s">
        <v>312</v>
      </c>
      <c r="B110" t="s">
        <v>1304</v>
      </c>
      <c r="C110" t="s">
        <v>1305</v>
      </c>
      <c r="D110" t="s">
        <v>73</v>
      </c>
      <c r="E110">
        <v>8.1876510000000007</v>
      </c>
      <c r="F110">
        <v>8.372738</v>
      </c>
      <c r="G110">
        <v>8.3214430000000004</v>
      </c>
      <c r="H110">
        <v>8.3573319999999995</v>
      </c>
      <c r="I110">
        <v>8.3666149999999995</v>
      </c>
      <c r="J110">
        <v>8.3737069999999996</v>
      </c>
      <c r="K110">
        <v>8.3738580000000002</v>
      </c>
      <c r="L110">
        <v>8.3738650000000003</v>
      </c>
      <c r="M110">
        <v>8.373583</v>
      </c>
      <c r="N110">
        <v>8.373583</v>
      </c>
      <c r="O110">
        <v>8.3735769999999992</v>
      </c>
      <c r="P110">
        <v>8.3735780000000002</v>
      </c>
      <c r="Q110">
        <v>8.3709880000000005</v>
      </c>
      <c r="R110">
        <v>8.3668150000000008</v>
      </c>
      <c r="S110">
        <v>8.3689250000000008</v>
      </c>
      <c r="T110">
        <v>8.3634599999999999</v>
      </c>
      <c r="U110">
        <v>8.3577130000000004</v>
      </c>
      <c r="V110">
        <v>8.3714560000000002</v>
      </c>
      <c r="W110">
        <v>8.3654580000000003</v>
      </c>
      <c r="X110">
        <v>8.3735780000000002</v>
      </c>
      <c r="Y110">
        <v>8.3735780000000002</v>
      </c>
      <c r="Z110">
        <v>8.3735780000000002</v>
      </c>
      <c r="AA110">
        <v>8.3735789999999994</v>
      </c>
      <c r="AB110">
        <v>8.3735780000000002</v>
      </c>
      <c r="AC110">
        <v>8.3735780000000002</v>
      </c>
      <c r="AD110">
        <v>8.3732939999999996</v>
      </c>
      <c r="AE110" t="s">
        <v>1125</v>
      </c>
    </row>
    <row r="111" spans="1:31" x14ac:dyDescent="0.25">
      <c r="A111" t="s">
        <v>83</v>
      </c>
      <c r="B111" t="s">
        <v>1306</v>
      </c>
      <c r="C111" t="s">
        <v>1307</v>
      </c>
      <c r="D111" t="s">
        <v>73</v>
      </c>
      <c r="E111">
        <v>3.7178689999999999</v>
      </c>
      <c r="F111">
        <v>4.0618379999999998</v>
      </c>
      <c r="G111">
        <v>4.6683320000000004</v>
      </c>
      <c r="H111">
        <v>5.0635289999999999</v>
      </c>
      <c r="I111">
        <v>5.2825160000000002</v>
      </c>
      <c r="J111">
        <v>5.4468180000000004</v>
      </c>
      <c r="K111">
        <v>5.604444</v>
      </c>
      <c r="L111">
        <v>5.702966</v>
      </c>
      <c r="M111">
        <v>5.8290319999999998</v>
      </c>
      <c r="N111">
        <v>6.0055379999999996</v>
      </c>
      <c r="O111">
        <v>6.2057219999999997</v>
      </c>
      <c r="P111">
        <v>6.4115919999999997</v>
      </c>
      <c r="Q111">
        <v>6.5583939999999998</v>
      </c>
      <c r="R111">
        <v>6.6782370000000002</v>
      </c>
      <c r="S111">
        <v>6.8023439999999997</v>
      </c>
      <c r="T111">
        <v>6.9194620000000002</v>
      </c>
      <c r="U111">
        <v>7.0199670000000003</v>
      </c>
      <c r="V111">
        <v>7.063256</v>
      </c>
      <c r="W111">
        <v>7.0810190000000004</v>
      </c>
      <c r="X111">
        <v>7.0953609999999996</v>
      </c>
      <c r="Y111">
        <v>7.107094</v>
      </c>
      <c r="Z111">
        <v>7.1224090000000002</v>
      </c>
      <c r="AA111">
        <v>7.1448809999999998</v>
      </c>
      <c r="AB111">
        <v>7.1607760000000003</v>
      </c>
      <c r="AC111">
        <v>7.1858320000000004</v>
      </c>
      <c r="AD111">
        <v>7.3960900000000001</v>
      </c>
      <c r="AE111" t="s">
        <v>1308</v>
      </c>
    </row>
    <row r="112" spans="1:31" x14ac:dyDescent="0.25">
      <c r="A112" t="s">
        <v>173</v>
      </c>
      <c r="B112" t="s">
        <v>1309</v>
      </c>
      <c r="C112" t="s">
        <v>1310</v>
      </c>
      <c r="D112" t="s">
        <v>73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4.9839999999999997E-3</v>
      </c>
      <c r="AD112">
        <v>5.5149999999999999E-3</v>
      </c>
      <c r="AE112" t="s">
        <v>319</v>
      </c>
    </row>
    <row r="113" spans="1:31" x14ac:dyDescent="0.25">
      <c r="A113" t="s">
        <v>320</v>
      </c>
      <c r="B113" t="s">
        <v>1311</v>
      </c>
      <c r="C113" t="s">
        <v>1312</v>
      </c>
      <c r="D113" t="s">
        <v>73</v>
      </c>
      <c r="E113">
        <v>6.9292000000000006E-2</v>
      </c>
      <c r="F113">
        <v>6.9292000000000006E-2</v>
      </c>
      <c r="G113">
        <v>6.9292000000000006E-2</v>
      </c>
      <c r="H113">
        <v>6.9292000000000006E-2</v>
      </c>
      <c r="I113">
        <v>6.9292000000000006E-2</v>
      </c>
      <c r="J113">
        <v>6.9292000000000006E-2</v>
      </c>
      <c r="K113">
        <v>6.9292000000000006E-2</v>
      </c>
      <c r="L113">
        <v>6.9292000000000006E-2</v>
      </c>
      <c r="M113">
        <v>6.9292000000000006E-2</v>
      </c>
      <c r="N113">
        <v>6.9292000000000006E-2</v>
      </c>
      <c r="O113">
        <v>6.9292000000000006E-2</v>
      </c>
      <c r="P113">
        <v>6.9292000000000006E-2</v>
      </c>
      <c r="Q113">
        <v>6.9292000000000006E-2</v>
      </c>
      <c r="R113">
        <v>6.9292000000000006E-2</v>
      </c>
      <c r="S113">
        <v>6.9292000000000006E-2</v>
      </c>
      <c r="T113">
        <v>6.9292000000000006E-2</v>
      </c>
      <c r="U113">
        <v>6.9292000000000006E-2</v>
      </c>
      <c r="V113">
        <v>6.9292000000000006E-2</v>
      </c>
      <c r="W113">
        <v>6.9292000000000006E-2</v>
      </c>
      <c r="X113">
        <v>6.9292000000000006E-2</v>
      </c>
      <c r="Y113">
        <v>6.9292000000000006E-2</v>
      </c>
      <c r="Z113">
        <v>6.9292000000000006E-2</v>
      </c>
      <c r="AA113">
        <v>6.9292000000000006E-2</v>
      </c>
      <c r="AB113">
        <v>6.9292000000000006E-2</v>
      </c>
      <c r="AC113">
        <v>6.9292000000000006E-2</v>
      </c>
      <c r="AD113">
        <v>6.9292000000000006E-2</v>
      </c>
      <c r="AE113" t="s">
        <v>1114</v>
      </c>
    </row>
    <row r="114" spans="1:31" x14ac:dyDescent="0.25">
      <c r="A114" t="s">
        <v>323</v>
      </c>
      <c r="B114" t="s">
        <v>1313</v>
      </c>
      <c r="C114" t="s">
        <v>1314</v>
      </c>
      <c r="D114" t="s">
        <v>73</v>
      </c>
      <c r="E114">
        <v>8.2280000000000006E-2</v>
      </c>
      <c r="F114">
        <v>0.106062</v>
      </c>
      <c r="G114">
        <v>0.19597000000000001</v>
      </c>
      <c r="H114">
        <v>0.23546600000000001</v>
      </c>
      <c r="I114">
        <v>0.25544800000000001</v>
      </c>
      <c r="J114">
        <v>0.279835</v>
      </c>
      <c r="K114">
        <v>0.28533500000000001</v>
      </c>
      <c r="L114">
        <v>0.29046699999999998</v>
      </c>
      <c r="M114">
        <v>0.30025299999999999</v>
      </c>
      <c r="N114">
        <v>0.30431599999999998</v>
      </c>
      <c r="O114">
        <v>0.30914900000000001</v>
      </c>
      <c r="P114">
        <v>0.30060100000000001</v>
      </c>
      <c r="Q114">
        <v>0.298927</v>
      </c>
      <c r="R114">
        <v>0.29755599999999999</v>
      </c>
      <c r="S114">
        <v>0.294068</v>
      </c>
      <c r="T114">
        <v>0.29716500000000001</v>
      </c>
      <c r="U114">
        <v>0.29686200000000001</v>
      </c>
      <c r="V114">
        <v>0.28390900000000002</v>
      </c>
      <c r="W114">
        <v>0.272758</v>
      </c>
      <c r="X114">
        <v>0.26816899999999999</v>
      </c>
      <c r="Y114">
        <v>0.26694400000000001</v>
      </c>
      <c r="Z114">
        <v>0.25152600000000003</v>
      </c>
      <c r="AA114">
        <v>0.242033</v>
      </c>
      <c r="AB114">
        <v>0.23283899999999999</v>
      </c>
      <c r="AC114">
        <v>0.22268299999999999</v>
      </c>
      <c r="AD114">
        <v>0.21326899999999999</v>
      </c>
      <c r="AE114" t="s">
        <v>1315</v>
      </c>
    </row>
    <row r="115" spans="1:31" x14ac:dyDescent="0.25">
      <c r="A115" t="s">
        <v>326</v>
      </c>
      <c r="B115" t="s">
        <v>1316</v>
      </c>
      <c r="C115" t="s">
        <v>1317</v>
      </c>
      <c r="D115" t="s">
        <v>73</v>
      </c>
      <c r="E115">
        <v>32.961539999999999</v>
      </c>
      <c r="F115">
        <v>33.697704000000002</v>
      </c>
      <c r="G115">
        <v>32.088379000000003</v>
      </c>
      <c r="H115">
        <v>31.569326</v>
      </c>
      <c r="I115">
        <v>31.384257999999999</v>
      </c>
      <c r="J115">
        <v>31.229492</v>
      </c>
      <c r="K115">
        <v>30.823715</v>
      </c>
      <c r="L115">
        <v>30.668510000000001</v>
      </c>
      <c r="M115">
        <v>30.685587000000002</v>
      </c>
      <c r="N115">
        <v>30.612414999999999</v>
      </c>
      <c r="O115">
        <v>30.656542000000002</v>
      </c>
      <c r="P115">
        <v>30.729305</v>
      </c>
      <c r="Q115">
        <v>30.913993999999999</v>
      </c>
      <c r="R115">
        <v>31.137394</v>
      </c>
      <c r="S115">
        <v>31.323463</v>
      </c>
      <c r="T115">
        <v>31.446891999999998</v>
      </c>
      <c r="U115">
        <v>31.566862</v>
      </c>
      <c r="V115">
        <v>31.756975000000001</v>
      </c>
      <c r="W115">
        <v>31.95862</v>
      </c>
      <c r="X115">
        <v>32.162956000000001</v>
      </c>
      <c r="Y115">
        <v>32.391227999999998</v>
      </c>
      <c r="Z115">
        <v>32.617863</v>
      </c>
      <c r="AA115">
        <v>32.843620000000001</v>
      </c>
      <c r="AB115">
        <v>33.051979000000003</v>
      </c>
      <c r="AC115">
        <v>33.190387999999999</v>
      </c>
      <c r="AD115">
        <v>33.369349999999997</v>
      </c>
      <c r="AE115" t="s">
        <v>1114</v>
      </c>
    </row>
    <row r="116" spans="1:31" x14ac:dyDescent="0.25">
      <c r="A116" t="s">
        <v>183</v>
      </c>
      <c r="B116" t="s">
        <v>1318</v>
      </c>
      <c r="C116" t="s">
        <v>1319</v>
      </c>
      <c r="D116" t="s">
        <v>73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1.9999999999999999E-6</v>
      </c>
      <c r="AD116">
        <v>1.9999999999999999E-6</v>
      </c>
      <c r="AE116" t="s">
        <v>319</v>
      </c>
    </row>
    <row r="117" spans="1:31" x14ac:dyDescent="0.25">
      <c r="A117" t="s">
        <v>95</v>
      </c>
      <c r="B117" t="s">
        <v>1320</v>
      </c>
      <c r="C117" t="s">
        <v>1321</v>
      </c>
      <c r="D117" t="s">
        <v>73</v>
      </c>
      <c r="E117">
        <v>32.961539999999999</v>
      </c>
      <c r="F117">
        <v>33.697704000000002</v>
      </c>
      <c r="G117">
        <v>32.088379000000003</v>
      </c>
      <c r="H117">
        <v>31.569326</v>
      </c>
      <c r="I117">
        <v>31.384257999999999</v>
      </c>
      <c r="J117">
        <v>31.229492</v>
      </c>
      <c r="K117">
        <v>30.823715</v>
      </c>
      <c r="L117">
        <v>30.668510000000001</v>
      </c>
      <c r="M117">
        <v>30.685587000000002</v>
      </c>
      <c r="N117">
        <v>30.612414999999999</v>
      </c>
      <c r="O117">
        <v>30.656542000000002</v>
      </c>
      <c r="P117">
        <v>30.729305</v>
      </c>
      <c r="Q117">
        <v>30.913993999999999</v>
      </c>
      <c r="R117">
        <v>31.137394</v>
      </c>
      <c r="S117">
        <v>31.323463</v>
      </c>
      <c r="T117">
        <v>31.446891999999998</v>
      </c>
      <c r="U117">
        <v>31.566862</v>
      </c>
      <c r="V117">
        <v>31.756975000000001</v>
      </c>
      <c r="W117">
        <v>31.95862</v>
      </c>
      <c r="X117">
        <v>32.162956000000001</v>
      </c>
      <c r="Y117">
        <v>32.391227999999998</v>
      </c>
      <c r="Z117">
        <v>32.617863</v>
      </c>
      <c r="AA117">
        <v>32.843620000000001</v>
      </c>
      <c r="AB117">
        <v>33.051979000000003</v>
      </c>
      <c r="AC117">
        <v>33.190392000000003</v>
      </c>
      <c r="AD117">
        <v>33.369354000000001</v>
      </c>
      <c r="AE117" t="s">
        <v>1114</v>
      </c>
    </row>
    <row r="118" spans="1:31" x14ac:dyDescent="0.25">
      <c r="A118" t="s">
        <v>333</v>
      </c>
    </row>
    <row r="119" spans="1:31" x14ac:dyDescent="0.25">
      <c r="A119" t="s">
        <v>80</v>
      </c>
      <c r="B119" t="s">
        <v>1322</v>
      </c>
      <c r="C119" t="s">
        <v>1323</v>
      </c>
      <c r="D119" t="s">
        <v>73</v>
      </c>
      <c r="E119">
        <v>1.0527029999999999</v>
      </c>
      <c r="F119">
        <v>0.97287800000000002</v>
      </c>
      <c r="G119">
        <v>0.96584899999999996</v>
      </c>
      <c r="H119">
        <v>0.97057599999999999</v>
      </c>
      <c r="I119">
        <v>0.98977300000000001</v>
      </c>
      <c r="J119">
        <v>0.98637699999999995</v>
      </c>
      <c r="K119">
        <v>0.97058599999999995</v>
      </c>
      <c r="L119">
        <v>0.96718899999999997</v>
      </c>
      <c r="M119">
        <v>0.97086799999999995</v>
      </c>
      <c r="N119">
        <v>0.99640899999999999</v>
      </c>
      <c r="O119">
        <v>1.004413</v>
      </c>
      <c r="P119">
        <v>1.0046729999999999</v>
      </c>
      <c r="Q119">
        <v>1.0249410000000001</v>
      </c>
      <c r="R119">
        <v>1.0336590000000001</v>
      </c>
      <c r="S119">
        <v>1.0401659999999999</v>
      </c>
      <c r="T119">
        <v>1.0383100000000001</v>
      </c>
      <c r="U119">
        <v>1.041728</v>
      </c>
      <c r="V119">
        <v>1.0431870000000001</v>
      </c>
      <c r="W119">
        <v>1.051639</v>
      </c>
      <c r="X119">
        <v>1.0770709999999999</v>
      </c>
      <c r="Y119">
        <v>1.0926769999999999</v>
      </c>
      <c r="Z119">
        <v>1.097955</v>
      </c>
      <c r="AA119">
        <v>1.1076649999999999</v>
      </c>
      <c r="AB119">
        <v>1.1127689999999999</v>
      </c>
      <c r="AC119">
        <v>1.1170260000000001</v>
      </c>
      <c r="AD119">
        <v>1.1212869999999999</v>
      </c>
      <c r="AE119" t="s">
        <v>1161</v>
      </c>
    </row>
    <row r="120" spans="1:31" x14ac:dyDescent="0.25">
      <c r="A120" t="s">
        <v>289</v>
      </c>
      <c r="B120" t="s">
        <v>1324</v>
      </c>
      <c r="C120" t="s">
        <v>1325</v>
      </c>
      <c r="D120" t="s">
        <v>73</v>
      </c>
      <c r="E120">
        <v>4.2319999999999997E-3</v>
      </c>
      <c r="F120">
        <v>8.7010000000000004E-3</v>
      </c>
      <c r="G120">
        <v>9.0629999999999999E-3</v>
      </c>
      <c r="H120">
        <v>7.7340000000000004E-3</v>
      </c>
      <c r="I120">
        <v>1.0198E-2</v>
      </c>
      <c r="J120">
        <v>1.061E-2</v>
      </c>
      <c r="K120">
        <v>9.5379999999999996E-3</v>
      </c>
      <c r="L120">
        <v>8.9130000000000008E-3</v>
      </c>
      <c r="M120">
        <v>8.8929999999999999E-3</v>
      </c>
      <c r="N120">
        <v>9.0139999999999994E-3</v>
      </c>
      <c r="O120">
        <v>9.0889999999999999E-3</v>
      </c>
      <c r="P120">
        <v>8.5620000000000002E-3</v>
      </c>
      <c r="Q120">
        <v>7.1970000000000003E-3</v>
      </c>
      <c r="R120">
        <v>5.2649999999999997E-3</v>
      </c>
      <c r="S120">
        <v>5.2810000000000001E-3</v>
      </c>
      <c r="T120">
        <v>5.2760000000000003E-3</v>
      </c>
      <c r="U120">
        <v>2.64E-3</v>
      </c>
      <c r="V120">
        <v>2.6440000000000001E-3</v>
      </c>
      <c r="W120">
        <v>2.666E-3</v>
      </c>
      <c r="X120">
        <v>2.7299999999999998E-3</v>
      </c>
      <c r="Y120">
        <v>2.7699999999999999E-3</v>
      </c>
      <c r="Z120">
        <v>2.7829999999999999E-3</v>
      </c>
      <c r="AA120">
        <v>2.8080000000000002E-3</v>
      </c>
      <c r="AB120">
        <v>2.82E-3</v>
      </c>
      <c r="AC120">
        <v>2.8310000000000002E-3</v>
      </c>
      <c r="AD120">
        <v>2.8419999999999999E-3</v>
      </c>
      <c r="AE120" t="s">
        <v>1326</v>
      </c>
    </row>
    <row r="121" spans="1:31" x14ac:dyDescent="0.25">
      <c r="A121" t="s">
        <v>338</v>
      </c>
      <c r="B121" t="s">
        <v>1327</v>
      </c>
      <c r="C121" t="s">
        <v>1328</v>
      </c>
      <c r="D121" t="s">
        <v>73</v>
      </c>
      <c r="E121">
        <v>0.27188499999999999</v>
      </c>
      <c r="F121">
        <v>0.27703299999999997</v>
      </c>
      <c r="G121">
        <v>0.280171</v>
      </c>
      <c r="H121">
        <v>0.278806</v>
      </c>
      <c r="I121">
        <v>0.27432099999999998</v>
      </c>
      <c r="J121">
        <v>0.27438400000000002</v>
      </c>
      <c r="K121">
        <v>0.27544999999999997</v>
      </c>
      <c r="L121">
        <v>0.27583600000000003</v>
      </c>
      <c r="M121">
        <v>0.27795999999999998</v>
      </c>
      <c r="N121">
        <v>0.279312</v>
      </c>
      <c r="O121">
        <v>0.28308299999999997</v>
      </c>
      <c r="P121">
        <v>0.28569600000000001</v>
      </c>
      <c r="Q121">
        <v>0.286439</v>
      </c>
      <c r="R121">
        <v>0.28953499999999999</v>
      </c>
      <c r="S121">
        <v>0.29254799999999997</v>
      </c>
      <c r="T121">
        <v>0.29529499999999997</v>
      </c>
      <c r="U121">
        <v>0.29938500000000001</v>
      </c>
      <c r="V121">
        <v>0.30315700000000001</v>
      </c>
      <c r="W121">
        <v>0.30692199999999997</v>
      </c>
      <c r="X121">
        <v>0.30974000000000002</v>
      </c>
      <c r="Y121">
        <v>0.312859</v>
      </c>
      <c r="Z121">
        <v>0.31680999999999998</v>
      </c>
      <c r="AA121">
        <v>0.32098599999999999</v>
      </c>
      <c r="AB121">
        <v>0.32468000000000002</v>
      </c>
      <c r="AC121">
        <v>0.32730900000000002</v>
      </c>
      <c r="AD121">
        <v>0.33086599999999999</v>
      </c>
      <c r="AE121" t="s">
        <v>1142</v>
      </c>
    </row>
    <row r="122" spans="1:31" x14ac:dyDescent="0.25">
      <c r="A122" t="s">
        <v>326</v>
      </c>
      <c r="B122" t="s">
        <v>1329</v>
      </c>
      <c r="C122" t="s">
        <v>1330</v>
      </c>
      <c r="D122" t="s">
        <v>73</v>
      </c>
      <c r="E122">
        <v>1.328821</v>
      </c>
      <c r="F122">
        <v>1.2586120000000001</v>
      </c>
      <c r="G122">
        <v>1.2550829999999999</v>
      </c>
      <c r="H122">
        <v>1.2571159999999999</v>
      </c>
      <c r="I122">
        <v>1.274292</v>
      </c>
      <c r="J122">
        <v>1.271371</v>
      </c>
      <c r="K122">
        <v>1.255574</v>
      </c>
      <c r="L122">
        <v>1.251938</v>
      </c>
      <c r="M122">
        <v>1.2577210000000001</v>
      </c>
      <c r="N122">
        <v>1.284734</v>
      </c>
      <c r="O122">
        <v>1.2965850000000001</v>
      </c>
      <c r="P122">
        <v>1.2989310000000001</v>
      </c>
      <c r="Q122">
        <v>1.3185770000000001</v>
      </c>
      <c r="R122">
        <v>1.3284590000000001</v>
      </c>
      <c r="S122">
        <v>1.337996</v>
      </c>
      <c r="T122">
        <v>1.3388819999999999</v>
      </c>
      <c r="U122">
        <v>1.3437539999999999</v>
      </c>
      <c r="V122">
        <v>1.3489880000000001</v>
      </c>
      <c r="W122">
        <v>1.361227</v>
      </c>
      <c r="X122">
        <v>1.3895409999999999</v>
      </c>
      <c r="Y122">
        <v>1.4083049999999999</v>
      </c>
      <c r="Z122">
        <v>1.417548</v>
      </c>
      <c r="AA122">
        <v>1.4314579999999999</v>
      </c>
      <c r="AB122">
        <v>1.4402699999999999</v>
      </c>
      <c r="AC122">
        <v>1.4471670000000001</v>
      </c>
      <c r="AD122">
        <v>1.454996</v>
      </c>
      <c r="AE122" t="s">
        <v>1111</v>
      </c>
    </row>
    <row r="123" spans="1:31" x14ac:dyDescent="0.25">
      <c r="A123" t="s">
        <v>92</v>
      </c>
      <c r="B123" t="s">
        <v>1331</v>
      </c>
      <c r="C123" t="s">
        <v>1332</v>
      </c>
      <c r="D123" t="s">
        <v>73</v>
      </c>
      <c r="E123">
        <v>5.8149999999999999E-3</v>
      </c>
      <c r="F123">
        <v>1.1841000000000001E-2</v>
      </c>
      <c r="G123">
        <v>1.1391E-2</v>
      </c>
      <c r="H123">
        <v>9.3030000000000005E-3</v>
      </c>
      <c r="I123">
        <v>1.1990000000000001E-2</v>
      </c>
      <c r="J123">
        <v>1.2252000000000001E-2</v>
      </c>
      <c r="K123">
        <v>1.0663000000000001E-2</v>
      </c>
      <c r="L123">
        <v>9.7699999999999992E-3</v>
      </c>
      <c r="M123">
        <v>9.6310000000000007E-3</v>
      </c>
      <c r="N123">
        <v>9.5709999999999996E-3</v>
      </c>
      <c r="O123">
        <v>9.5069999999999998E-3</v>
      </c>
      <c r="P123">
        <v>8.8190000000000004E-3</v>
      </c>
      <c r="Q123">
        <v>7.3400000000000002E-3</v>
      </c>
      <c r="R123">
        <v>5.3290000000000004E-3</v>
      </c>
      <c r="S123">
        <v>5.2950000000000002E-3</v>
      </c>
      <c r="T123">
        <v>5.228E-3</v>
      </c>
      <c r="U123">
        <v>2.5850000000000001E-3</v>
      </c>
      <c r="V123">
        <v>2.5709999999999999E-3</v>
      </c>
      <c r="W123">
        <v>2.5769999999999999E-3</v>
      </c>
      <c r="X123">
        <v>2.6250000000000002E-3</v>
      </c>
      <c r="Y123">
        <v>2.65E-3</v>
      </c>
      <c r="Z123">
        <v>2.65E-3</v>
      </c>
      <c r="AA123">
        <v>2.6640000000000001E-3</v>
      </c>
      <c r="AB123">
        <v>2.666E-3</v>
      </c>
      <c r="AC123">
        <v>2.6570000000000001E-3</v>
      </c>
      <c r="AD123">
        <v>2.6559999999999999E-3</v>
      </c>
      <c r="AE123" t="s">
        <v>1333</v>
      </c>
    </row>
    <row r="124" spans="1:31" x14ac:dyDescent="0.25">
      <c r="A124" t="s">
        <v>95</v>
      </c>
      <c r="B124" t="s">
        <v>1334</v>
      </c>
      <c r="C124" t="s">
        <v>1335</v>
      </c>
      <c r="D124" t="s">
        <v>73</v>
      </c>
      <c r="E124">
        <v>1.3346359999999999</v>
      </c>
      <c r="F124">
        <v>1.2704530000000001</v>
      </c>
      <c r="G124">
        <v>1.2664740000000001</v>
      </c>
      <c r="H124">
        <v>1.2664200000000001</v>
      </c>
      <c r="I124">
        <v>1.2862819999999999</v>
      </c>
      <c r="J124">
        <v>1.2836240000000001</v>
      </c>
      <c r="K124">
        <v>1.2662359999999999</v>
      </c>
      <c r="L124">
        <v>1.2617080000000001</v>
      </c>
      <c r="M124">
        <v>1.2673509999999999</v>
      </c>
      <c r="N124">
        <v>1.294306</v>
      </c>
      <c r="O124">
        <v>1.306092</v>
      </c>
      <c r="P124">
        <v>1.3077490000000001</v>
      </c>
      <c r="Q124">
        <v>1.325917</v>
      </c>
      <c r="R124">
        <v>1.333788</v>
      </c>
      <c r="S124">
        <v>1.343291</v>
      </c>
      <c r="T124">
        <v>1.344109</v>
      </c>
      <c r="U124">
        <v>1.346339</v>
      </c>
      <c r="V124">
        <v>1.351559</v>
      </c>
      <c r="W124">
        <v>1.363804</v>
      </c>
      <c r="X124">
        <v>1.392166</v>
      </c>
      <c r="Y124">
        <v>1.410955</v>
      </c>
      <c r="Z124">
        <v>1.420199</v>
      </c>
      <c r="AA124">
        <v>1.4341219999999999</v>
      </c>
      <c r="AB124">
        <v>1.442936</v>
      </c>
      <c r="AC124">
        <v>1.4498230000000001</v>
      </c>
      <c r="AD124">
        <v>1.457651</v>
      </c>
      <c r="AE124" t="s">
        <v>1111</v>
      </c>
    </row>
    <row r="125" spans="1:31" x14ac:dyDescent="0.25">
      <c r="A125" t="s">
        <v>347</v>
      </c>
    </row>
    <row r="126" spans="1:31" x14ac:dyDescent="0.25">
      <c r="A126" t="s">
        <v>243</v>
      </c>
      <c r="B126" t="s">
        <v>1336</v>
      </c>
      <c r="C126" t="s">
        <v>1337</v>
      </c>
      <c r="D126" t="s">
        <v>73</v>
      </c>
      <c r="E126">
        <v>4.4127169999999998</v>
      </c>
      <c r="F126">
        <v>4.3632559999999998</v>
      </c>
      <c r="G126">
        <v>4.5424470000000001</v>
      </c>
      <c r="H126">
        <v>4.4342740000000003</v>
      </c>
      <c r="I126">
        <v>4.3578440000000001</v>
      </c>
      <c r="J126">
        <v>4.3472160000000004</v>
      </c>
      <c r="K126">
        <v>4.3744630000000004</v>
      </c>
      <c r="L126">
        <v>4.3966469999999997</v>
      </c>
      <c r="M126">
        <v>4.4293060000000004</v>
      </c>
      <c r="N126">
        <v>4.4683669999999998</v>
      </c>
      <c r="O126">
        <v>4.514799</v>
      </c>
      <c r="P126">
        <v>4.5726370000000003</v>
      </c>
      <c r="Q126">
        <v>4.6181390000000002</v>
      </c>
      <c r="R126">
        <v>4.6651899999999999</v>
      </c>
      <c r="S126">
        <v>4.7431369999999999</v>
      </c>
      <c r="T126">
        <v>4.8126870000000004</v>
      </c>
      <c r="U126">
        <v>4.8890779999999996</v>
      </c>
      <c r="V126">
        <v>4.9785830000000004</v>
      </c>
      <c r="W126">
        <v>5.0618819999999998</v>
      </c>
      <c r="X126">
        <v>5.146407</v>
      </c>
      <c r="Y126">
        <v>5.2385109999999999</v>
      </c>
      <c r="Z126">
        <v>5.3314820000000003</v>
      </c>
      <c r="AA126">
        <v>5.4335290000000001</v>
      </c>
      <c r="AB126">
        <v>5.5239419999999999</v>
      </c>
      <c r="AC126">
        <v>5.5883089999999997</v>
      </c>
      <c r="AD126">
        <v>5.6771130000000003</v>
      </c>
      <c r="AE126" t="s">
        <v>1092</v>
      </c>
    </row>
    <row r="127" spans="1:31" x14ac:dyDescent="0.25">
      <c r="A127" t="s">
        <v>101</v>
      </c>
      <c r="B127" t="s">
        <v>1338</v>
      </c>
      <c r="C127" t="s">
        <v>1339</v>
      </c>
      <c r="D127" t="s">
        <v>73</v>
      </c>
      <c r="E127">
        <v>16.463058</v>
      </c>
      <c r="F127">
        <v>16.388361</v>
      </c>
      <c r="G127">
        <v>16.245439999999999</v>
      </c>
      <c r="H127">
        <v>16.049075999999999</v>
      </c>
      <c r="I127">
        <v>15.818044</v>
      </c>
      <c r="J127">
        <v>15.579480999999999</v>
      </c>
      <c r="K127">
        <v>15.350713000000001</v>
      </c>
      <c r="L127">
        <v>15.160145</v>
      </c>
      <c r="M127">
        <v>14.95941</v>
      </c>
      <c r="N127">
        <v>14.832905</v>
      </c>
      <c r="O127">
        <v>14.69575</v>
      </c>
      <c r="P127">
        <v>14.529889000000001</v>
      </c>
      <c r="Q127">
        <v>14.365157999999999</v>
      </c>
      <c r="R127">
        <v>14.227190999999999</v>
      </c>
      <c r="S127">
        <v>14.093845</v>
      </c>
      <c r="T127">
        <v>13.988489</v>
      </c>
      <c r="U127">
        <v>13.891425999999999</v>
      </c>
      <c r="V127">
        <v>13.771573999999999</v>
      </c>
      <c r="W127">
        <v>13.689218</v>
      </c>
      <c r="X127">
        <v>13.594232999999999</v>
      </c>
      <c r="Y127">
        <v>13.511969000000001</v>
      </c>
      <c r="Z127">
        <v>13.418295000000001</v>
      </c>
      <c r="AA127">
        <v>13.340790999999999</v>
      </c>
      <c r="AB127">
        <v>13.231429</v>
      </c>
      <c r="AC127">
        <v>13.119942</v>
      </c>
      <c r="AD127">
        <v>13.038264</v>
      </c>
      <c r="AE127" t="s">
        <v>1239</v>
      </c>
    </row>
    <row r="128" spans="1:31" x14ac:dyDescent="0.25">
      <c r="A128" t="s">
        <v>193</v>
      </c>
      <c r="B128" t="s">
        <v>1340</v>
      </c>
      <c r="C128" t="s">
        <v>1341</v>
      </c>
      <c r="D128" t="s">
        <v>73</v>
      </c>
      <c r="E128">
        <v>3.9571000000000002E-2</v>
      </c>
      <c r="F128">
        <v>3.1597E-2</v>
      </c>
      <c r="G128">
        <v>2.9975000000000002E-2</v>
      </c>
      <c r="H128">
        <v>2.8060999999999999E-2</v>
      </c>
      <c r="I128">
        <v>2.5794000000000001E-2</v>
      </c>
      <c r="J128">
        <v>2.6779000000000001E-2</v>
      </c>
      <c r="K128">
        <v>2.2984999999999998E-2</v>
      </c>
      <c r="L128">
        <v>2.1014000000000001E-2</v>
      </c>
      <c r="M128">
        <v>1.9146E-2</v>
      </c>
      <c r="N128">
        <v>1.7756000000000001E-2</v>
      </c>
      <c r="O128">
        <v>1.5966000000000001E-2</v>
      </c>
      <c r="P128">
        <v>1.4460000000000001E-2</v>
      </c>
      <c r="Q128">
        <v>1.2975E-2</v>
      </c>
      <c r="R128">
        <v>1.1776999999999999E-2</v>
      </c>
      <c r="S128">
        <v>1.0739E-2</v>
      </c>
      <c r="T128">
        <v>9.9340000000000001E-3</v>
      </c>
      <c r="U128">
        <v>9.025E-3</v>
      </c>
      <c r="V128">
        <v>8.4950000000000008E-3</v>
      </c>
      <c r="W128">
        <v>7.9769999999999997E-3</v>
      </c>
      <c r="X128">
        <v>7.6210000000000002E-3</v>
      </c>
      <c r="Y128">
        <v>6.8999999999999999E-3</v>
      </c>
      <c r="Z128">
        <v>6.6400000000000001E-3</v>
      </c>
      <c r="AA128">
        <v>6.5799999999999999E-3</v>
      </c>
      <c r="AB128">
        <v>6.7739999999999996E-3</v>
      </c>
      <c r="AC128">
        <v>6.2760000000000003E-3</v>
      </c>
      <c r="AD128">
        <v>5.9779999999999998E-3</v>
      </c>
      <c r="AE128" t="s">
        <v>1185</v>
      </c>
    </row>
    <row r="129" spans="1:31" x14ac:dyDescent="0.25">
      <c r="A129" t="s">
        <v>196</v>
      </c>
      <c r="B129" t="s">
        <v>1342</v>
      </c>
      <c r="C129" t="s">
        <v>1343</v>
      </c>
      <c r="D129" t="s">
        <v>73</v>
      </c>
      <c r="E129">
        <v>3.5570930000000001</v>
      </c>
      <c r="F129">
        <v>3.6080269999999999</v>
      </c>
      <c r="G129">
        <v>3.6277689999999998</v>
      </c>
      <c r="H129">
        <v>3.6248770000000001</v>
      </c>
      <c r="I129">
        <v>3.6381960000000002</v>
      </c>
      <c r="J129">
        <v>3.6622569999999999</v>
      </c>
      <c r="K129">
        <v>3.6843370000000002</v>
      </c>
      <c r="L129">
        <v>3.7162549999999999</v>
      </c>
      <c r="M129">
        <v>3.7507220000000001</v>
      </c>
      <c r="N129">
        <v>3.7925309999999999</v>
      </c>
      <c r="O129">
        <v>3.8426870000000002</v>
      </c>
      <c r="P129">
        <v>3.8780209999999999</v>
      </c>
      <c r="Q129">
        <v>3.9167990000000001</v>
      </c>
      <c r="R129">
        <v>3.9539580000000001</v>
      </c>
      <c r="S129">
        <v>3.9896940000000001</v>
      </c>
      <c r="T129">
        <v>4.0258649999999996</v>
      </c>
      <c r="U129">
        <v>4.057531</v>
      </c>
      <c r="V129">
        <v>4.0922169999999998</v>
      </c>
      <c r="W129">
        <v>4.1282249999999996</v>
      </c>
      <c r="X129">
        <v>4.1631470000000004</v>
      </c>
      <c r="Y129">
        <v>4.1979309999999996</v>
      </c>
      <c r="Z129">
        <v>4.2289630000000002</v>
      </c>
      <c r="AA129">
        <v>4.2552199999999996</v>
      </c>
      <c r="AB129">
        <v>4.2813230000000004</v>
      </c>
      <c r="AC129">
        <v>4.303166</v>
      </c>
      <c r="AD129">
        <v>4.3267660000000001</v>
      </c>
      <c r="AE129" t="s">
        <v>1142</v>
      </c>
    </row>
    <row r="130" spans="1:31" x14ac:dyDescent="0.25">
      <c r="A130" t="s">
        <v>104</v>
      </c>
      <c r="B130" t="s">
        <v>1344</v>
      </c>
      <c r="C130" t="s">
        <v>1345</v>
      </c>
      <c r="D130" t="s">
        <v>73</v>
      </c>
      <c r="E130">
        <v>6.868E-3</v>
      </c>
      <c r="F130">
        <v>7.9380000000000006E-3</v>
      </c>
      <c r="G130">
        <v>7.9649999999999999E-3</v>
      </c>
      <c r="H130">
        <v>7.613E-3</v>
      </c>
      <c r="I130">
        <v>7.3340000000000002E-3</v>
      </c>
      <c r="J130">
        <v>7.6429999999999996E-3</v>
      </c>
      <c r="K130">
        <v>7.2100000000000003E-3</v>
      </c>
      <c r="L130">
        <v>7.0099999999999997E-3</v>
      </c>
      <c r="M130">
        <v>6.5979999999999997E-3</v>
      </c>
      <c r="N130">
        <v>6.5160000000000001E-3</v>
      </c>
      <c r="O130">
        <v>6.2360000000000002E-3</v>
      </c>
      <c r="P130">
        <v>6.1760000000000001E-3</v>
      </c>
      <c r="Q130">
        <v>6.0130000000000001E-3</v>
      </c>
      <c r="R130">
        <v>5.875E-3</v>
      </c>
      <c r="S130">
        <v>5.8339999999999998E-3</v>
      </c>
      <c r="T130">
        <v>5.7590000000000002E-3</v>
      </c>
      <c r="U130">
        <v>5.6210000000000001E-3</v>
      </c>
      <c r="V130">
        <v>5.5370000000000003E-3</v>
      </c>
      <c r="W130">
        <v>5.4409999999999997E-3</v>
      </c>
      <c r="X130">
        <v>5.3499999999999997E-3</v>
      </c>
      <c r="Y130">
        <v>5.2170000000000003E-3</v>
      </c>
      <c r="Z130">
        <v>5.1330000000000004E-3</v>
      </c>
      <c r="AA130">
        <v>5.0280000000000004E-3</v>
      </c>
      <c r="AB130">
        <v>4.9639999999999997E-3</v>
      </c>
      <c r="AC130">
        <v>4.921E-3</v>
      </c>
      <c r="AD130">
        <v>4.8979999999999996E-3</v>
      </c>
      <c r="AE130" t="s">
        <v>1087</v>
      </c>
    </row>
    <row r="131" spans="1:31" x14ac:dyDescent="0.25">
      <c r="A131" t="s">
        <v>74</v>
      </c>
      <c r="B131" t="s">
        <v>1346</v>
      </c>
      <c r="C131" t="s">
        <v>1347</v>
      </c>
      <c r="D131" t="s">
        <v>73</v>
      </c>
      <c r="E131">
        <v>8.7204890000000006</v>
      </c>
      <c r="F131">
        <v>8.8581090000000007</v>
      </c>
      <c r="G131">
        <v>8.8409010000000006</v>
      </c>
      <c r="H131">
        <v>8.7941230000000008</v>
      </c>
      <c r="I131">
        <v>8.7650880000000004</v>
      </c>
      <c r="J131">
        <v>8.7655239999999992</v>
      </c>
      <c r="K131">
        <v>8.7245690000000007</v>
      </c>
      <c r="L131">
        <v>8.6988479999999999</v>
      </c>
      <c r="M131">
        <v>8.6504919999999998</v>
      </c>
      <c r="N131">
        <v>8.6135529999999996</v>
      </c>
      <c r="O131">
        <v>8.5846649999999993</v>
      </c>
      <c r="P131">
        <v>8.5544560000000001</v>
      </c>
      <c r="Q131">
        <v>8.5285200000000003</v>
      </c>
      <c r="R131">
        <v>8.5010399999999997</v>
      </c>
      <c r="S131">
        <v>8.4761959999999998</v>
      </c>
      <c r="T131">
        <v>8.4549000000000003</v>
      </c>
      <c r="U131">
        <v>8.4301060000000003</v>
      </c>
      <c r="V131">
        <v>8.4038719999999998</v>
      </c>
      <c r="W131">
        <v>8.3764099999999999</v>
      </c>
      <c r="X131">
        <v>8.3523130000000005</v>
      </c>
      <c r="Y131">
        <v>8.3401379999999996</v>
      </c>
      <c r="Z131">
        <v>8.3343279999999993</v>
      </c>
      <c r="AA131">
        <v>8.3319749999999999</v>
      </c>
      <c r="AB131">
        <v>8.3191509999999997</v>
      </c>
      <c r="AC131">
        <v>8.3033260000000002</v>
      </c>
      <c r="AD131">
        <v>8.2873239999999999</v>
      </c>
      <c r="AE131" t="s">
        <v>1222</v>
      </c>
    </row>
    <row r="132" spans="1:31" x14ac:dyDescent="0.25">
      <c r="A132" t="s">
        <v>109</v>
      </c>
      <c r="B132" t="s">
        <v>1348</v>
      </c>
      <c r="C132" t="s">
        <v>1349</v>
      </c>
      <c r="D132" t="s">
        <v>73</v>
      </c>
      <c r="E132">
        <v>0.662219</v>
      </c>
      <c r="F132">
        <v>0.642517</v>
      </c>
      <c r="G132">
        <v>0.64938200000000001</v>
      </c>
      <c r="H132">
        <v>0.66586100000000004</v>
      </c>
      <c r="I132">
        <v>0.66867900000000002</v>
      </c>
      <c r="J132">
        <v>0.67508900000000005</v>
      </c>
      <c r="K132">
        <v>0.67447500000000005</v>
      </c>
      <c r="L132">
        <v>0.68055299999999996</v>
      </c>
      <c r="M132">
        <v>0.68780399999999997</v>
      </c>
      <c r="N132">
        <v>0.69564599999999999</v>
      </c>
      <c r="O132">
        <v>0.70191599999999998</v>
      </c>
      <c r="P132">
        <v>0.70820000000000005</v>
      </c>
      <c r="Q132">
        <v>0.71203399999999994</v>
      </c>
      <c r="R132">
        <v>0.71595200000000003</v>
      </c>
      <c r="S132">
        <v>0.719356</v>
      </c>
      <c r="T132">
        <v>0.72148800000000002</v>
      </c>
      <c r="U132">
        <v>0.72108099999999997</v>
      </c>
      <c r="V132">
        <v>0.72335799999999995</v>
      </c>
      <c r="W132">
        <v>0.72572499999999995</v>
      </c>
      <c r="X132">
        <v>0.72757000000000005</v>
      </c>
      <c r="Y132">
        <v>0.73022299999999996</v>
      </c>
      <c r="Z132">
        <v>0.73654600000000003</v>
      </c>
      <c r="AA132">
        <v>0.742564</v>
      </c>
      <c r="AB132">
        <v>0.74822299999999997</v>
      </c>
      <c r="AC132">
        <v>0.75439000000000001</v>
      </c>
      <c r="AD132">
        <v>0.76119899999999996</v>
      </c>
      <c r="AE132" t="s">
        <v>1164</v>
      </c>
    </row>
    <row r="133" spans="1:31" x14ac:dyDescent="0.25">
      <c r="A133" t="s">
        <v>140</v>
      </c>
      <c r="B133" t="s">
        <v>1350</v>
      </c>
      <c r="C133" t="s">
        <v>1351</v>
      </c>
      <c r="D133" t="s">
        <v>73</v>
      </c>
      <c r="E133">
        <v>0.41293400000000002</v>
      </c>
      <c r="F133">
        <v>0.33813799999999999</v>
      </c>
      <c r="G133">
        <v>0.34820000000000001</v>
      </c>
      <c r="H133">
        <v>0.55000000000000004</v>
      </c>
      <c r="I133">
        <v>0.55000000000000004</v>
      </c>
      <c r="J133">
        <v>0.55000000000000004</v>
      </c>
      <c r="K133">
        <v>0.55000000000000004</v>
      </c>
      <c r="L133">
        <v>0.55000000000000004</v>
      </c>
      <c r="M133">
        <v>0.55000000000000004</v>
      </c>
      <c r="N133">
        <v>0.55000000000000004</v>
      </c>
      <c r="O133">
        <v>0.55000000000000004</v>
      </c>
      <c r="P133">
        <v>0.55000000000000004</v>
      </c>
      <c r="Q133">
        <v>0.55000000000000004</v>
      </c>
      <c r="R133">
        <v>0.55000000000000004</v>
      </c>
      <c r="S133">
        <v>0.55000000000000004</v>
      </c>
      <c r="T133">
        <v>0.55000000000000004</v>
      </c>
      <c r="U133">
        <v>0.55000000000000004</v>
      </c>
      <c r="V133">
        <v>0.55000000000000004</v>
      </c>
      <c r="W133">
        <v>0.55000000000000004</v>
      </c>
      <c r="X133">
        <v>0.55000000000000004</v>
      </c>
      <c r="Y133">
        <v>0.55000000000000004</v>
      </c>
      <c r="Z133">
        <v>0.55000000000000004</v>
      </c>
      <c r="AA133">
        <v>0.55000000000000004</v>
      </c>
      <c r="AB133">
        <v>0.55000000000000004</v>
      </c>
      <c r="AC133">
        <v>0.55000000000000004</v>
      </c>
      <c r="AD133">
        <v>0.55000000000000004</v>
      </c>
      <c r="AE133" t="s">
        <v>1095</v>
      </c>
    </row>
    <row r="134" spans="1:31" x14ac:dyDescent="0.25">
      <c r="A134" t="s">
        <v>143</v>
      </c>
      <c r="B134" t="s">
        <v>1352</v>
      </c>
      <c r="C134" t="s">
        <v>1353</v>
      </c>
      <c r="D134" t="s">
        <v>73</v>
      </c>
      <c r="E134">
        <v>3.1799360000000001</v>
      </c>
      <c r="F134">
        <v>3.1912099999999999</v>
      </c>
      <c r="G134">
        <v>3.1677040000000001</v>
      </c>
      <c r="H134">
        <v>3.26728</v>
      </c>
      <c r="I134">
        <v>3.2875909999999999</v>
      </c>
      <c r="J134">
        <v>3.3165529999999999</v>
      </c>
      <c r="K134">
        <v>3.3074119999999998</v>
      </c>
      <c r="L134">
        <v>3.3359000000000001</v>
      </c>
      <c r="M134">
        <v>3.352306</v>
      </c>
      <c r="N134">
        <v>3.3682620000000001</v>
      </c>
      <c r="O134">
        <v>3.3735140000000001</v>
      </c>
      <c r="P134">
        <v>3.3839600000000001</v>
      </c>
      <c r="Q134">
        <v>3.4044989999999999</v>
      </c>
      <c r="R134">
        <v>3.4114209999999998</v>
      </c>
      <c r="S134">
        <v>3.418971</v>
      </c>
      <c r="T134">
        <v>3.43832</v>
      </c>
      <c r="U134">
        <v>3.4491079999999998</v>
      </c>
      <c r="V134">
        <v>3.457932</v>
      </c>
      <c r="W134">
        <v>3.4672000000000001</v>
      </c>
      <c r="X134">
        <v>3.4700639999999998</v>
      </c>
      <c r="Y134">
        <v>3.4767009999999998</v>
      </c>
      <c r="Z134">
        <v>3.4616950000000002</v>
      </c>
      <c r="AA134">
        <v>3.4826130000000002</v>
      </c>
      <c r="AB134">
        <v>3.4725920000000001</v>
      </c>
      <c r="AC134">
        <v>3.4825900000000001</v>
      </c>
      <c r="AD134">
        <v>3.4688500000000002</v>
      </c>
      <c r="AE134" t="s">
        <v>1161</v>
      </c>
    </row>
    <row r="135" spans="1:31" x14ac:dyDescent="0.25">
      <c r="A135" t="s">
        <v>77</v>
      </c>
      <c r="B135" t="s">
        <v>1354</v>
      </c>
      <c r="C135" t="s">
        <v>1355</v>
      </c>
      <c r="D135" t="s">
        <v>73</v>
      </c>
      <c r="E135">
        <v>37.415314000000002</v>
      </c>
      <c r="F135">
        <v>37.397559999999999</v>
      </c>
      <c r="G135">
        <v>37.429810000000003</v>
      </c>
      <c r="H135">
        <v>37.393101000000001</v>
      </c>
      <c r="I135">
        <v>37.092773000000001</v>
      </c>
      <c r="J135">
        <v>36.903762999999998</v>
      </c>
      <c r="K135">
        <v>36.673175999999998</v>
      </c>
      <c r="L135">
        <v>36.545357000000003</v>
      </c>
      <c r="M135">
        <v>36.386639000000002</v>
      </c>
      <c r="N135">
        <v>36.327778000000002</v>
      </c>
      <c r="O135">
        <v>36.269568999999997</v>
      </c>
      <c r="P135">
        <v>36.183334000000002</v>
      </c>
      <c r="Q135">
        <v>36.101157999999998</v>
      </c>
      <c r="R135">
        <v>36.030620999999996</v>
      </c>
      <c r="S135">
        <v>35.997036000000001</v>
      </c>
      <c r="T135">
        <v>35.997504999999997</v>
      </c>
      <c r="U135">
        <v>35.993949999999998</v>
      </c>
      <c r="V135">
        <v>35.983069999999998</v>
      </c>
      <c r="W135">
        <v>36.004097000000002</v>
      </c>
      <c r="X135">
        <v>36.009082999999997</v>
      </c>
      <c r="Y135">
        <v>36.050685999999999</v>
      </c>
      <c r="Z135">
        <v>36.066437000000001</v>
      </c>
      <c r="AA135">
        <v>36.141719999999999</v>
      </c>
      <c r="AB135">
        <v>36.131622</v>
      </c>
      <c r="AC135">
        <v>36.106644000000003</v>
      </c>
      <c r="AD135">
        <v>36.114413999999996</v>
      </c>
      <c r="AE135" t="s">
        <v>1231</v>
      </c>
    </row>
    <row r="136" spans="1:31" x14ac:dyDescent="0.25">
      <c r="A136" t="s">
        <v>80</v>
      </c>
      <c r="B136" t="s">
        <v>1356</v>
      </c>
      <c r="C136" t="s">
        <v>1357</v>
      </c>
      <c r="D136" t="s">
        <v>73</v>
      </c>
      <c r="E136">
        <v>30.849943</v>
      </c>
      <c r="F136">
        <v>30.945616000000001</v>
      </c>
      <c r="G136">
        <v>29.307245000000002</v>
      </c>
      <c r="H136">
        <v>29.026646</v>
      </c>
      <c r="I136">
        <v>28.652619999999999</v>
      </c>
      <c r="J136">
        <v>28.235329</v>
      </c>
      <c r="K136">
        <v>28.564743</v>
      </c>
      <c r="L136">
        <v>28.661511999999998</v>
      </c>
      <c r="M136">
        <v>28.658428000000001</v>
      </c>
      <c r="N136">
        <v>28.664512999999999</v>
      </c>
      <c r="O136">
        <v>28.51923</v>
      </c>
      <c r="P136">
        <v>28.439094999999998</v>
      </c>
      <c r="Q136">
        <v>28.527463999999998</v>
      </c>
      <c r="R136">
        <v>28.627134000000002</v>
      </c>
      <c r="S136">
        <v>28.708372000000001</v>
      </c>
      <c r="T136">
        <v>28.890004999999999</v>
      </c>
      <c r="U136">
        <v>29.026108000000001</v>
      </c>
      <c r="V136">
        <v>29.306239999999999</v>
      </c>
      <c r="W136">
        <v>29.684916000000001</v>
      </c>
      <c r="X136">
        <v>30.037400999999999</v>
      </c>
      <c r="Y136">
        <v>30.397708999999999</v>
      </c>
      <c r="Z136">
        <v>30.734541</v>
      </c>
      <c r="AA136">
        <v>30.994888</v>
      </c>
      <c r="AB136">
        <v>31.240031999999999</v>
      </c>
      <c r="AC136">
        <v>31.506620000000002</v>
      </c>
      <c r="AD136">
        <v>31.719024999999998</v>
      </c>
      <c r="AE136" t="s">
        <v>1125</v>
      </c>
    </row>
    <row r="137" spans="1:31" x14ac:dyDescent="0.25">
      <c r="A137" t="s">
        <v>150</v>
      </c>
      <c r="B137" t="s">
        <v>1358</v>
      </c>
      <c r="C137" t="s">
        <v>1359</v>
      </c>
      <c r="D137" t="s">
        <v>73</v>
      </c>
      <c r="E137">
        <v>2.1362390000000002</v>
      </c>
      <c r="F137">
        <v>2.128485</v>
      </c>
      <c r="G137">
        <v>2.1603400000000001</v>
      </c>
      <c r="H137">
        <v>2.165232</v>
      </c>
      <c r="I137">
        <v>2.162156</v>
      </c>
      <c r="J137">
        <v>2.203182</v>
      </c>
      <c r="K137">
        <v>2.2643529999999998</v>
      </c>
      <c r="L137">
        <v>2.334959</v>
      </c>
      <c r="M137">
        <v>2.3952339999999999</v>
      </c>
      <c r="N137">
        <v>2.4525809999999999</v>
      </c>
      <c r="O137">
        <v>2.473735</v>
      </c>
      <c r="P137">
        <v>2.4826640000000002</v>
      </c>
      <c r="Q137">
        <v>2.4927549999999998</v>
      </c>
      <c r="R137">
        <v>2.5068679999999999</v>
      </c>
      <c r="S137">
        <v>2.5246620000000002</v>
      </c>
      <c r="T137">
        <v>2.5674649999999999</v>
      </c>
      <c r="U137">
        <v>2.6017749999999999</v>
      </c>
      <c r="V137">
        <v>2.6305519999999998</v>
      </c>
      <c r="W137">
        <v>2.644943</v>
      </c>
      <c r="X137">
        <v>2.647805</v>
      </c>
      <c r="Y137">
        <v>2.6459549999999998</v>
      </c>
      <c r="Z137">
        <v>2.6564239999999999</v>
      </c>
      <c r="AA137">
        <v>2.673549</v>
      </c>
      <c r="AB137">
        <v>2.6894960000000001</v>
      </c>
      <c r="AC137">
        <v>2.689622</v>
      </c>
      <c r="AD137">
        <v>2.6848770000000002</v>
      </c>
      <c r="AE137" t="s">
        <v>1130</v>
      </c>
    </row>
    <row r="138" spans="1:31" x14ac:dyDescent="0.25">
      <c r="A138" t="s">
        <v>210</v>
      </c>
      <c r="B138" t="s">
        <v>1360</v>
      </c>
      <c r="C138" t="s">
        <v>1361</v>
      </c>
      <c r="D138" t="s">
        <v>73</v>
      </c>
      <c r="E138">
        <v>0.59070999999999996</v>
      </c>
      <c r="F138">
        <v>0.58992100000000003</v>
      </c>
      <c r="G138">
        <v>0.67366300000000001</v>
      </c>
      <c r="H138">
        <v>0.72236</v>
      </c>
      <c r="I138">
        <v>0.77013200000000004</v>
      </c>
      <c r="J138">
        <v>0.91109700000000005</v>
      </c>
      <c r="K138">
        <v>0.97536999999999996</v>
      </c>
      <c r="L138">
        <v>1.036748</v>
      </c>
      <c r="M138">
        <v>1.0828169999999999</v>
      </c>
      <c r="N138">
        <v>1.1590130000000001</v>
      </c>
      <c r="O138">
        <v>1.2125790000000001</v>
      </c>
      <c r="P138">
        <v>1.254067</v>
      </c>
      <c r="Q138">
        <v>1.275981</v>
      </c>
      <c r="R138">
        <v>1.2974060000000001</v>
      </c>
      <c r="S138">
        <v>1.3195190000000001</v>
      </c>
      <c r="T138">
        <v>1.3404</v>
      </c>
      <c r="U138">
        <v>1.3632839999999999</v>
      </c>
      <c r="V138">
        <v>1.38506</v>
      </c>
      <c r="W138">
        <v>1.406836</v>
      </c>
      <c r="X138">
        <v>1.4313629999999999</v>
      </c>
      <c r="Y138">
        <v>1.450388</v>
      </c>
      <c r="Z138">
        <v>1.472164</v>
      </c>
      <c r="AA138">
        <v>1.49394</v>
      </c>
      <c r="AB138">
        <v>1.5075780000000001</v>
      </c>
      <c r="AC138">
        <v>1.5048280000000001</v>
      </c>
      <c r="AD138">
        <v>1.5048280000000001</v>
      </c>
      <c r="AE138" t="s">
        <v>1201</v>
      </c>
    </row>
    <row r="139" spans="1:31" x14ac:dyDescent="0.25">
      <c r="A139" t="s">
        <v>207</v>
      </c>
      <c r="B139" t="s">
        <v>1362</v>
      </c>
      <c r="C139" t="s">
        <v>1363</v>
      </c>
      <c r="D139" t="s">
        <v>73</v>
      </c>
      <c r="E139">
        <v>0.73460199999999998</v>
      </c>
      <c r="F139">
        <v>0.68125599999999997</v>
      </c>
      <c r="G139">
        <v>0.68428699999999998</v>
      </c>
      <c r="H139">
        <v>0.67398999999999998</v>
      </c>
      <c r="I139">
        <v>0.68341700000000005</v>
      </c>
      <c r="J139">
        <v>0.71255500000000005</v>
      </c>
      <c r="K139">
        <v>0.732711</v>
      </c>
      <c r="L139">
        <v>0.74484399999999995</v>
      </c>
      <c r="M139">
        <v>0.74981500000000001</v>
      </c>
      <c r="N139">
        <v>0.75792099999999996</v>
      </c>
      <c r="O139">
        <v>0.77047100000000002</v>
      </c>
      <c r="P139">
        <v>0.79358899999999999</v>
      </c>
      <c r="Q139">
        <v>0.82120899999999997</v>
      </c>
      <c r="R139">
        <v>0.845468</v>
      </c>
      <c r="S139">
        <v>0.87215399999999998</v>
      </c>
      <c r="T139">
        <v>0.89066100000000004</v>
      </c>
      <c r="U139">
        <v>0.90670799999999996</v>
      </c>
      <c r="V139">
        <v>0.92474500000000004</v>
      </c>
      <c r="W139">
        <v>0.94375699999999996</v>
      </c>
      <c r="X139">
        <v>0.95782100000000003</v>
      </c>
      <c r="Y139">
        <v>0.96594800000000003</v>
      </c>
      <c r="Z139">
        <v>0.97511300000000001</v>
      </c>
      <c r="AA139">
        <v>0.98419199999999996</v>
      </c>
      <c r="AB139">
        <v>0.99280000000000002</v>
      </c>
      <c r="AC139">
        <v>0.99604700000000002</v>
      </c>
      <c r="AD139">
        <v>1.0015480000000001</v>
      </c>
      <c r="AE139" t="s">
        <v>1095</v>
      </c>
    </row>
    <row r="140" spans="1:31" x14ac:dyDescent="0.25">
      <c r="A140" t="s">
        <v>153</v>
      </c>
      <c r="B140" t="s">
        <v>1364</v>
      </c>
      <c r="C140" t="s">
        <v>1365</v>
      </c>
      <c r="D140" t="s">
        <v>73</v>
      </c>
      <c r="E140">
        <v>34.311497000000003</v>
      </c>
      <c r="F140">
        <v>34.345280000000002</v>
      </c>
      <c r="G140">
        <v>32.825538999999999</v>
      </c>
      <c r="H140">
        <v>32.588225999999999</v>
      </c>
      <c r="I140">
        <v>32.268326000000002</v>
      </c>
      <c r="J140">
        <v>32.062159999999999</v>
      </c>
      <c r="K140">
        <v>32.537177999999997</v>
      </c>
      <c r="L140">
        <v>32.778061000000001</v>
      </c>
      <c r="M140">
        <v>32.886294999999997</v>
      </c>
      <c r="N140">
        <v>33.034022999999998</v>
      </c>
      <c r="O140">
        <v>32.976013000000002</v>
      </c>
      <c r="P140">
        <v>32.969417999999997</v>
      </c>
      <c r="Q140">
        <v>33.117409000000002</v>
      </c>
      <c r="R140">
        <v>33.276874999999997</v>
      </c>
      <c r="S140">
        <v>33.424709</v>
      </c>
      <c r="T140">
        <v>33.68853</v>
      </c>
      <c r="U140">
        <v>33.897872999999997</v>
      </c>
      <c r="V140">
        <v>34.246597000000001</v>
      </c>
      <c r="W140">
        <v>34.68045</v>
      </c>
      <c r="X140">
        <v>35.074390000000001</v>
      </c>
      <c r="Y140">
        <v>35.459999000000003</v>
      </c>
      <c r="Z140">
        <v>35.838242000000001</v>
      </c>
      <c r="AA140">
        <v>36.146568000000002</v>
      </c>
      <c r="AB140">
        <v>36.429909000000002</v>
      </c>
      <c r="AC140">
        <v>36.697116999999999</v>
      </c>
      <c r="AD140">
        <v>36.910277999999998</v>
      </c>
      <c r="AE140" t="s">
        <v>1161</v>
      </c>
    </row>
    <row r="141" spans="1:31" x14ac:dyDescent="0.25">
      <c r="A141" t="s">
        <v>156</v>
      </c>
      <c r="B141" t="s">
        <v>1366</v>
      </c>
      <c r="C141" t="s">
        <v>1367</v>
      </c>
      <c r="D141" t="s">
        <v>73</v>
      </c>
      <c r="E141">
        <v>0.418161</v>
      </c>
      <c r="F141">
        <v>0.437662</v>
      </c>
      <c r="G141">
        <v>0.44602999999999998</v>
      </c>
      <c r="H141">
        <v>0.43068499999999998</v>
      </c>
      <c r="I141">
        <v>0.41941200000000001</v>
      </c>
      <c r="J141">
        <v>0.41326000000000002</v>
      </c>
      <c r="K141">
        <v>0.40547800000000001</v>
      </c>
      <c r="L141">
        <v>0.39990500000000001</v>
      </c>
      <c r="M141">
        <v>0.39374999999999999</v>
      </c>
      <c r="N141">
        <v>0.38364999999999999</v>
      </c>
      <c r="O141">
        <v>0.37529699999999999</v>
      </c>
      <c r="P141">
        <v>0.36475999999999997</v>
      </c>
      <c r="Q141">
        <v>0.35550599999999999</v>
      </c>
      <c r="R141">
        <v>0.34536899999999998</v>
      </c>
      <c r="S141">
        <v>0.33481</v>
      </c>
      <c r="T141">
        <v>0.326546</v>
      </c>
      <c r="U141">
        <v>0.31912099999999999</v>
      </c>
      <c r="V141">
        <v>0.311913</v>
      </c>
      <c r="W141">
        <v>0.30402499999999999</v>
      </c>
      <c r="X141">
        <v>0.29624499999999998</v>
      </c>
      <c r="Y141">
        <v>0.29039100000000001</v>
      </c>
      <c r="Z141">
        <v>0.283607</v>
      </c>
      <c r="AA141">
        <v>0.27760400000000002</v>
      </c>
      <c r="AB141">
        <v>0.27125300000000002</v>
      </c>
      <c r="AC141">
        <v>0.26358100000000001</v>
      </c>
      <c r="AD141">
        <v>0.25716800000000001</v>
      </c>
      <c r="AE141" t="s">
        <v>1151</v>
      </c>
    </row>
    <row r="142" spans="1:31" x14ac:dyDescent="0.25">
      <c r="A142" t="s">
        <v>276</v>
      </c>
      <c r="B142" t="s">
        <v>1368</v>
      </c>
      <c r="C142" t="s">
        <v>1369</v>
      </c>
      <c r="D142" t="s">
        <v>73</v>
      </c>
      <c r="E142">
        <v>7.9251389999999997</v>
      </c>
      <c r="F142">
        <v>7.5762859999999996</v>
      </c>
      <c r="G142">
        <v>6.9914990000000001</v>
      </c>
      <c r="H142">
        <v>6.2756460000000001</v>
      </c>
      <c r="I142">
        <v>6.154579</v>
      </c>
      <c r="J142">
        <v>6.127942</v>
      </c>
      <c r="K142">
        <v>5.168946</v>
      </c>
      <c r="L142">
        <v>4.7767650000000001</v>
      </c>
      <c r="M142">
        <v>4.6107839999999998</v>
      </c>
      <c r="N142">
        <v>4.3556549999999996</v>
      </c>
      <c r="O142">
        <v>4.3303279999999997</v>
      </c>
      <c r="P142">
        <v>4.2617139999999996</v>
      </c>
      <c r="Q142">
        <v>4.1892670000000001</v>
      </c>
      <c r="R142">
        <v>4.1824300000000001</v>
      </c>
      <c r="S142">
        <v>4.1515579999999996</v>
      </c>
      <c r="T142">
        <v>3.981519</v>
      </c>
      <c r="U142">
        <v>3.8872390000000001</v>
      </c>
      <c r="V142">
        <v>3.805126</v>
      </c>
      <c r="W142">
        <v>3.6940110000000002</v>
      </c>
      <c r="X142">
        <v>3.6104790000000002</v>
      </c>
      <c r="Y142">
        <v>3.5514220000000001</v>
      </c>
      <c r="Z142">
        <v>3.4906739999999998</v>
      </c>
      <c r="AA142">
        <v>3.5098470000000002</v>
      </c>
      <c r="AB142">
        <v>3.509687</v>
      </c>
      <c r="AC142">
        <v>3.3982230000000002</v>
      </c>
      <c r="AD142">
        <v>3.2295509999999998</v>
      </c>
      <c r="AE142" t="s">
        <v>1370</v>
      </c>
    </row>
    <row r="143" spans="1:31" x14ac:dyDescent="0.25">
      <c r="A143" t="s">
        <v>162</v>
      </c>
      <c r="B143" t="s">
        <v>1371</v>
      </c>
      <c r="C143" t="s">
        <v>1372</v>
      </c>
      <c r="D143" t="s">
        <v>73</v>
      </c>
      <c r="E143">
        <v>-3.0896E-2</v>
      </c>
      <c r="F143">
        <v>-3.5414000000000001E-2</v>
      </c>
      <c r="G143">
        <v>-2.5403999999999999E-2</v>
      </c>
      <c r="H143">
        <v>-2.5582000000000001E-2</v>
      </c>
      <c r="I143">
        <v>-2.5190000000000001E-2</v>
      </c>
      <c r="J143">
        <v>-2.4858000000000002E-2</v>
      </c>
      <c r="K143">
        <v>-2.4549000000000001E-2</v>
      </c>
      <c r="L143">
        <v>-2.4170000000000001E-2</v>
      </c>
      <c r="M143">
        <v>-2.3817999999999999E-2</v>
      </c>
      <c r="N143">
        <v>-2.3467999999999999E-2</v>
      </c>
      <c r="O143">
        <v>-2.3053000000000001E-2</v>
      </c>
      <c r="P143">
        <v>-2.2494E-2</v>
      </c>
      <c r="Q143">
        <v>-2.1995000000000001E-2</v>
      </c>
      <c r="R143">
        <v>-2.1444000000000001E-2</v>
      </c>
      <c r="S143">
        <v>-2.0864000000000001E-2</v>
      </c>
      <c r="T143">
        <v>-2.0423E-2</v>
      </c>
      <c r="U143">
        <v>-2.0029999999999999E-2</v>
      </c>
      <c r="V143">
        <v>-1.9643999999999998E-2</v>
      </c>
      <c r="W143">
        <v>-1.9212E-2</v>
      </c>
      <c r="X143">
        <v>-1.8783000000000001E-2</v>
      </c>
      <c r="Y143">
        <v>-1.8388000000000002E-2</v>
      </c>
      <c r="Z143">
        <v>-1.8088E-2</v>
      </c>
      <c r="AA143">
        <v>-1.7673999999999999E-2</v>
      </c>
      <c r="AB143">
        <v>-1.7364999999999998E-2</v>
      </c>
      <c r="AC143">
        <v>-1.6993000000000001E-2</v>
      </c>
      <c r="AD143">
        <v>-1.6633999999999999E-2</v>
      </c>
      <c r="AE143" t="s">
        <v>1103</v>
      </c>
    </row>
    <row r="144" spans="1:31" x14ac:dyDescent="0.25">
      <c r="A144" t="s">
        <v>165</v>
      </c>
      <c r="B144" t="s">
        <v>1373</v>
      </c>
      <c r="C144" t="s">
        <v>1374</v>
      </c>
      <c r="D144" t="s">
        <v>73</v>
      </c>
      <c r="E144">
        <v>8.312405</v>
      </c>
      <c r="F144">
        <v>7.9785349999999999</v>
      </c>
      <c r="G144">
        <v>7.4121249999999996</v>
      </c>
      <c r="H144">
        <v>6.6807480000000004</v>
      </c>
      <c r="I144">
        <v>6.5488</v>
      </c>
      <c r="J144">
        <v>6.5163440000000001</v>
      </c>
      <c r="K144">
        <v>5.5498760000000003</v>
      </c>
      <c r="L144">
        <v>5.1524999999999999</v>
      </c>
      <c r="M144">
        <v>4.9807160000000001</v>
      </c>
      <c r="N144">
        <v>4.7158369999999996</v>
      </c>
      <c r="O144">
        <v>4.6825710000000003</v>
      </c>
      <c r="P144">
        <v>4.6039789999999998</v>
      </c>
      <c r="Q144">
        <v>4.5227789999999999</v>
      </c>
      <c r="R144">
        <v>4.5063550000000001</v>
      </c>
      <c r="S144">
        <v>4.4655040000000001</v>
      </c>
      <c r="T144">
        <v>4.2876430000000001</v>
      </c>
      <c r="U144">
        <v>4.186331</v>
      </c>
      <c r="V144">
        <v>4.0973940000000004</v>
      </c>
      <c r="W144">
        <v>3.9788239999999999</v>
      </c>
      <c r="X144">
        <v>3.8879410000000001</v>
      </c>
      <c r="Y144">
        <v>3.823426</v>
      </c>
      <c r="Z144">
        <v>3.756192</v>
      </c>
      <c r="AA144">
        <v>3.7697780000000001</v>
      </c>
      <c r="AB144">
        <v>3.7635749999999999</v>
      </c>
      <c r="AC144">
        <v>3.6448109999999998</v>
      </c>
      <c r="AD144">
        <v>3.4700850000000001</v>
      </c>
      <c r="AE144" t="s">
        <v>1375</v>
      </c>
    </row>
    <row r="145" spans="1:31" x14ac:dyDescent="0.25">
      <c r="A145" t="s">
        <v>312</v>
      </c>
      <c r="B145" t="s">
        <v>1376</v>
      </c>
      <c r="C145" t="s">
        <v>1377</v>
      </c>
      <c r="D145" t="s">
        <v>73</v>
      </c>
      <c r="E145">
        <v>8.1876510000000007</v>
      </c>
      <c r="F145">
        <v>8.372738</v>
      </c>
      <c r="G145">
        <v>8.3214430000000004</v>
      </c>
      <c r="H145">
        <v>8.3573319999999995</v>
      </c>
      <c r="I145">
        <v>8.3666149999999995</v>
      </c>
      <c r="J145">
        <v>8.3737069999999996</v>
      </c>
      <c r="K145">
        <v>8.3738580000000002</v>
      </c>
      <c r="L145">
        <v>8.3738650000000003</v>
      </c>
      <c r="M145">
        <v>8.373583</v>
      </c>
      <c r="N145">
        <v>8.373583</v>
      </c>
      <c r="O145">
        <v>8.3735769999999992</v>
      </c>
      <c r="P145">
        <v>8.3735780000000002</v>
      </c>
      <c r="Q145">
        <v>8.3709880000000005</v>
      </c>
      <c r="R145">
        <v>8.3668150000000008</v>
      </c>
      <c r="S145">
        <v>8.3689250000000008</v>
      </c>
      <c r="T145">
        <v>8.3634599999999999</v>
      </c>
      <c r="U145">
        <v>8.3577130000000004</v>
      </c>
      <c r="V145">
        <v>8.3714560000000002</v>
      </c>
      <c r="W145">
        <v>8.3654580000000003</v>
      </c>
      <c r="X145">
        <v>8.3735780000000002</v>
      </c>
      <c r="Y145">
        <v>8.3735780000000002</v>
      </c>
      <c r="Z145">
        <v>8.3735780000000002</v>
      </c>
      <c r="AA145">
        <v>8.3735789999999994</v>
      </c>
      <c r="AB145">
        <v>8.3735780000000002</v>
      </c>
      <c r="AC145">
        <v>8.3735780000000002</v>
      </c>
      <c r="AD145">
        <v>8.3732939999999996</v>
      </c>
      <c r="AE145" t="s">
        <v>1125</v>
      </c>
    </row>
    <row r="146" spans="1:31" x14ac:dyDescent="0.25">
      <c r="A146" t="s">
        <v>168</v>
      </c>
      <c r="B146" t="s">
        <v>1378</v>
      </c>
      <c r="C146" t="s">
        <v>1379</v>
      </c>
      <c r="D146" t="s">
        <v>73</v>
      </c>
      <c r="E146">
        <v>0.90891699999999997</v>
      </c>
      <c r="F146">
        <v>0.92460600000000004</v>
      </c>
      <c r="G146">
        <v>0.93709799999999999</v>
      </c>
      <c r="H146">
        <v>0.94168600000000002</v>
      </c>
      <c r="I146">
        <v>0.93855999999999995</v>
      </c>
      <c r="J146">
        <v>0.940195</v>
      </c>
      <c r="K146">
        <v>0.93708499999999995</v>
      </c>
      <c r="L146">
        <v>0.93595899999999999</v>
      </c>
      <c r="M146">
        <v>0.93459099999999995</v>
      </c>
      <c r="N146">
        <v>0.93672299999999997</v>
      </c>
      <c r="O146">
        <v>0.93835000000000002</v>
      </c>
      <c r="P146">
        <v>0.94456799999999996</v>
      </c>
      <c r="Q146">
        <v>0.94416800000000001</v>
      </c>
      <c r="R146">
        <v>0.94495200000000001</v>
      </c>
      <c r="S146">
        <v>0.94594599999999995</v>
      </c>
      <c r="T146">
        <v>0.94855500000000004</v>
      </c>
      <c r="U146">
        <v>0.95130800000000004</v>
      </c>
      <c r="V146">
        <v>0.961144</v>
      </c>
      <c r="W146">
        <v>0.96505399999999997</v>
      </c>
      <c r="X146">
        <v>0.96772100000000005</v>
      </c>
      <c r="Y146">
        <v>0.96853400000000001</v>
      </c>
      <c r="Z146">
        <v>0.96856500000000001</v>
      </c>
      <c r="AA146">
        <v>0.97285699999999997</v>
      </c>
      <c r="AB146">
        <v>0.97891799999999995</v>
      </c>
      <c r="AC146">
        <v>0.981626</v>
      </c>
      <c r="AD146">
        <v>0.98605500000000001</v>
      </c>
      <c r="AE146" t="s">
        <v>1161</v>
      </c>
    </row>
    <row r="147" spans="1:31" x14ac:dyDescent="0.25">
      <c r="A147" t="s">
        <v>83</v>
      </c>
      <c r="B147" t="s">
        <v>1380</v>
      </c>
      <c r="C147" t="s">
        <v>1381</v>
      </c>
      <c r="D147" t="s">
        <v>73</v>
      </c>
      <c r="E147">
        <v>5.7309270000000003</v>
      </c>
      <c r="F147">
        <v>6.1555210000000002</v>
      </c>
      <c r="G147">
        <v>6.7158629999999997</v>
      </c>
      <c r="H147">
        <v>7.0890430000000002</v>
      </c>
      <c r="I147">
        <v>7.298476</v>
      </c>
      <c r="J147">
        <v>7.4281389999999998</v>
      </c>
      <c r="K147">
        <v>7.5472169999999998</v>
      </c>
      <c r="L147">
        <v>7.6203820000000002</v>
      </c>
      <c r="M147">
        <v>7.7324729999999997</v>
      </c>
      <c r="N147">
        <v>7.9069640000000003</v>
      </c>
      <c r="O147">
        <v>8.1077580000000005</v>
      </c>
      <c r="P147">
        <v>8.3202890000000007</v>
      </c>
      <c r="Q147">
        <v>8.4733319999999992</v>
      </c>
      <c r="R147">
        <v>8.6118970000000008</v>
      </c>
      <c r="S147">
        <v>8.7564340000000005</v>
      </c>
      <c r="T147">
        <v>8.8900509999999997</v>
      </c>
      <c r="U147">
        <v>8.991638</v>
      </c>
      <c r="V147">
        <v>9.0420660000000002</v>
      </c>
      <c r="W147">
        <v>9.0635849999999998</v>
      </c>
      <c r="X147">
        <v>9.08704</v>
      </c>
      <c r="Y147">
        <v>9.1199860000000008</v>
      </c>
      <c r="Z147">
        <v>9.1548440000000006</v>
      </c>
      <c r="AA147">
        <v>9.200037</v>
      </c>
      <c r="AB147">
        <v>9.2369020000000006</v>
      </c>
      <c r="AC147">
        <v>9.2882259999999999</v>
      </c>
      <c r="AD147">
        <v>9.5231349999999999</v>
      </c>
      <c r="AE147" t="s">
        <v>1382</v>
      </c>
    </row>
    <row r="148" spans="1:31" x14ac:dyDescent="0.25">
      <c r="A148" t="s">
        <v>320</v>
      </c>
      <c r="B148" t="s">
        <v>1383</v>
      </c>
      <c r="C148" t="s">
        <v>1384</v>
      </c>
      <c r="D148" t="s">
        <v>73</v>
      </c>
      <c r="E148">
        <v>6.9292000000000006E-2</v>
      </c>
      <c r="F148">
        <v>6.9292000000000006E-2</v>
      </c>
      <c r="G148">
        <v>6.9292000000000006E-2</v>
      </c>
      <c r="H148">
        <v>6.9292000000000006E-2</v>
      </c>
      <c r="I148">
        <v>6.9292000000000006E-2</v>
      </c>
      <c r="J148">
        <v>6.9292000000000006E-2</v>
      </c>
      <c r="K148">
        <v>6.9292000000000006E-2</v>
      </c>
      <c r="L148">
        <v>6.9292000000000006E-2</v>
      </c>
      <c r="M148">
        <v>6.9292000000000006E-2</v>
      </c>
      <c r="N148">
        <v>6.9292000000000006E-2</v>
      </c>
      <c r="O148">
        <v>6.9292000000000006E-2</v>
      </c>
      <c r="P148">
        <v>6.9292000000000006E-2</v>
      </c>
      <c r="Q148">
        <v>6.9292000000000006E-2</v>
      </c>
      <c r="R148">
        <v>6.9292000000000006E-2</v>
      </c>
      <c r="S148">
        <v>6.9292000000000006E-2</v>
      </c>
      <c r="T148">
        <v>6.9292000000000006E-2</v>
      </c>
      <c r="U148">
        <v>6.9292000000000006E-2</v>
      </c>
      <c r="V148">
        <v>6.9292000000000006E-2</v>
      </c>
      <c r="W148">
        <v>6.9292000000000006E-2</v>
      </c>
      <c r="X148">
        <v>6.9292000000000006E-2</v>
      </c>
      <c r="Y148">
        <v>6.9292000000000006E-2</v>
      </c>
      <c r="Z148">
        <v>6.9292000000000006E-2</v>
      </c>
      <c r="AA148">
        <v>6.9292000000000006E-2</v>
      </c>
      <c r="AB148">
        <v>6.9292000000000006E-2</v>
      </c>
      <c r="AC148">
        <v>6.9292000000000006E-2</v>
      </c>
      <c r="AD148">
        <v>6.9292000000000006E-2</v>
      </c>
      <c r="AE148" t="s">
        <v>1114</v>
      </c>
    </row>
    <row r="149" spans="1:31" x14ac:dyDescent="0.25">
      <c r="A149" t="s">
        <v>323</v>
      </c>
      <c r="B149" t="s">
        <v>1385</v>
      </c>
      <c r="C149" t="s">
        <v>1386</v>
      </c>
      <c r="D149" t="s">
        <v>73</v>
      </c>
      <c r="E149">
        <v>8.2280000000000006E-2</v>
      </c>
      <c r="F149">
        <v>0.106062</v>
      </c>
      <c r="G149">
        <v>0.19597000000000001</v>
      </c>
      <c r="H149">
        <v>0.23546600000000001</v>
      </c>
      <c r="I149">
        <v>0.25544800000000001</v>
      </c>
      <c r="J149">
        <v>0.279835</v>
      </c>
      <c r="K149">
        <v>0.28533500000000001</v>
      </c>
      <c r="L149">
        <v>0.29046699999999998</v>
      </c>
      <c r="M149">
        <v>0.30025299999999999</v>
      </c>
      <c r="N149">
        <v>0.30431599999999998</v>
      </c>
      <c r="O149">
        <v>0.30914900000000001</v>
      </c>
      <c r="P149">
        <v>0.30060100000000001</v>
      </c>
      <c r="Q149">
        <v>0.298927</v>
      </c>
      <c r="R149">
        <v>0.29755599999999999</v>
      </c>
      <c r="S149">
        <v>0.294068</v>
      </c>
      <c r="T149">
        <v>0.29716500000000001</v>
      </c>
      <c r="U149">
        <v>0.29686200000000001</v>
      </c>
      <c r="V149">
        <v>0.28390900000000002</v>
      </c>
      <c r="W149">
        <v>0.272758</v>
      </c>
      <c r="X149">
        <v>0.26816899999999999</v>
      </c>
      <c r="Y149">
        <v>0.26694400000000001</v>
      </c>
      <c r="Z149">
        <v>0.25152600000000003</v>
      </c>
      <c r="AA149">
        <v>0.242033</v>
      </c>
      <c r="AB149">
        <v>0.23283899999999999</v>
      </c>
      <c r="AC149">
        <v>0.22268299999999999</v>
      </c>
      <c r="AD149">
        <v>0.21326899999999999</v>
      </c>
      <c r="AE149" t="s">
        <v>1315</v>
      </c>
    </row>
    <row r="150" spans="1:31" x14ac:dyDescent="0.25">
      <c r="A150" t="s">
        <v>338</v>
      </c>
      <c r="B150" t="s">
        <v>1387</v>
      </c>
      <c r="C150" t="s">
        <v>1388</v>
      </c>
      <c r="D150" t="s">
        <v>73</v>
      </c>
      <c r="E150">
        <v>0.27188499999999999</v>
      </c>
      <c r="F150">
        <v>0.27703299999999997</v>
      </c>
      <c r="G150">
        <v>0.280171</v>
      </c>
      <c r="H150">
        <v>0.278806</v>
      </c>
      <c r="I150">
        <v>0.27432099999999998</v>
      </c>
      <c r="J150">
        <v>0.27438400000000002</v>
      </c>
      <c r="K150">
        <v>0.27544999999999997</v>
      </c>
      <c r="L150">
        <v>0.27583600000000003</v>
      </c>
      <c r="M150">
        <v>0.27795999999999998</v>
      </c>
      <c r="N150">
        <v>0.279312</v>
      </c>
      <c r="O150">
        <v>0.28308299999999997</v>
      </c>
      <c r="P150">
        <v>0.28569600000000001</v>
      </c>
      <c r="Q150">
        <v>0.286439</v>
      </c>
      <c r="R150">
        <v>0.28953499999999999</v>
      </c>
      <c r="S150">
        <v>0.29254799999999997</v>
      </c>
      <c r="T150">
        <v>0.29529499999999997</v>
      </c>
      <c r="U150">
        <v>0.29938500000000001</v>
      </c>
      <c r="V150">
        <v>0.30315700000000001</v>
      </c>
      <c r="W150">
        <v>0.30692199999999997</v>
      </c>
      <c r="X150">
        <v>0.30974000000000002</v>
      </c>
      <c r="Y150">
        <v>0.312859</v>
      </c>
      <c r="Z150">
        <v>0.31680999999999998</v>
      </c>
      <c r="AA150">
        <v>0.32098599999999999</v>
      </c>
      <c r="AB150">
        <v>0.32468000000000002</v>
      </c>
      <c r="AC150">
        <v>0.32730900000000002</v>
      </c>
      <c r="AD150">
        <v>0.33086599999999999</v>
      </c>
      <c r="AE150" t="s">
        <v>1142</v>
      </c>
    </row>
    <row r="151" spans="1:31" x14ac:dyDescent="0.25">
      <c r="A151" t="s">
        <v>95</v>
      </c>
      <c r="B151" t="s">
        <v>1389</v>
      </c>
      <c r="C151" t="s">
        <v>1390</v>
      </c>
      <c r="D151" t="s">
        <v>73</v>
      </c>
      <c r="E151">
        <v>95.290171999999998</v>
      </c>
      <c r="F151">
        <v>95.626627999999997</v>
      </c>
      <c r="G151">
        <v>94.187310999999994</v>
      </c>
      <c r="H151">
        <v>93.633694000000006</v>
      </c>
      <c r="I151">
        <v>93.112611000000001</v>
      </c>
      <c r="J151">
        <v>92.847813000000002</v>
      </c>
      <c r="K151">
        <v>92.248463999999998</v>
      </c>
      <c r="L151">
        <v>92.041714999999996</v>
      </c>
      <c r="M151">
        <v>91.941800999999998</v>
      </c>
      <c r="N151">
        <v>91.947824999999995</v>
      </c>
      <c r="O151">
        <v>92.009360000000001</v>
      </c>
      <c r="P151">
        <v>92.050762000000006</v>
      </c>
      <c r="Q151">
        <v>92.184495999999996</v>
      </c>
      <c r="R151">
        <v>92.393896999999996</v>
      </c>
      <c r="S151">
        <v>92.614464999999996</v>
      </c>
      <c r="T151">
        <v>92.837495000000004</v>
      </c>
      <c r="U151">
        <v>93.044349999999994</v>
      </c>
      <c r="V151">
        <v>93.358082999999993</v>
      </c>
      <c r="W151">
        <v>93.706434000000002</v>
      </c>
      <c r="X151">
        <v>94.046955999999994</v>
      </c>
      <c r="Y151">
        <v>94.445305000000005</v>
      </c>
      <c r="Z151">
        <v>94.795494000000005</v>
      </c>
      <c r="AA151">
        <v>95.236845000000002</v>
      </c>
      <c r="AB151">
        <v>95.541317000000006</v>
      </c>
      <c r="AC151">
        <v>95.711280000000002</v>
      </c>
      <c r="AD151">
        <v>95.990683000000004</v>
      </c>
      <c r="AE151" t="s">
        <v>1114</v>
      </c>
    </row>
    <row r="152" spans="1:31" x14ac:dyDescent="0.25">
      <c r="A152" t="s">
        <v>399</v>
      </c>
    </row>
    <row r="153" spans="1:31" x14ac:dyDescent="0.25">
      <c r="A153" t="s">
        <v>400</v>
      </c>
      <c r="B153" t="s">
        <v>1391</v>
      </c>
      <c r="C153" t="s">
        <v>1392</v>
      </c>
      <c r="D153" t="s">
        <v>73</v>
      </c>
      <c r="E153">
        <v>75.959435999999997</v>
      </c>
      <c r="F153">
        <v>75.965016000000006</v>
      </c>
      <c r="G153">
        <v>76.080498000000006</v>
      </c>
      <c r="H153">
        <v>76.158179000000004</v>
      </c>
      <c r="I153">
        <v>75.909086000000002</v>
      </c>
      <c r="J153">
        <v>75.868208999999993</v>
      </c>
      <c r="K153">
        <v>75.738854000000003</v>
      </c>
      <c r="L153">
        <v>75.765551000000002</v>
      </c>
      <c r="M153">
        <v>75.748515999999995</v>
      </c>
      <c r="N153">
        <v>75.937465000000003</v>
      </c>
      <c r="O153">
        <v>76.089335000000005</v>
      </c>
      <c r="P153">
        <v>76.212705999999997</v>
      </c>
      <c r="Q153">
        <v>76.328592</v>
      </c>
      <c r="R153">
        <v>76.483103999999997</v>
      </c>
      <c r="S153">
        <v>76.683024000000003</v>
      </c>
      <c r="T153">
        <v>76.938484000000003</v>
      </c>
      <c r="U153">
        <v>77.180865999999995</v>
      </c>
      <c r="V153">
        <v>77.455439999999996</v>
      </c>
      <c r="W153">
        <v>77.747850999999997</v>
      </c>
      <c r="X153">
        <v>78.023994000000002</v>
      </c>
      <c r="Y153">
        <v>78.347950999999995</v>
      </c>
      <c r="Z153">
        <v>78.623788000000005</v>
      </c>
      <c r="AA153">
        <v>78.982325000000003</v>
      </c>
      <c r="AB153">
        <v>79.215339999999998</v>
      </c>
      <c r="AC153">
        <v>79.378409000000005</v>
      </c>
      <c r="AD153">
        <v>79.605777000000003</v>
      </c>
      <c r="AE153" t="s">
        <v>1081</v>
      </c>
    </row>
    <row r="154" spans="1:31" x14ac:dyDescent="0.25">
      <c r="A154" t="s">
        <v>403</v>
      </c>
      <c r="B154" t="s">
        <v>1393</v>
      </c>
      <c r="C154" t="s">
        <v>1394</v>
      </c>
      <c r="D154" t="s">
        <v>73</v>
      </c>
      <c r="E154">
        <v>95.290171999999998</v>
      </c>
      <c r="F154">
        <v>95.626627999999997</v>
      </c>
      <c r="G154">
        <v>94.187310999999994</v>
      </c>
      <c r="H154">
        <v>93.633694000000006</v>
      </c>
      <c r="I154">
        <v>93.112611000000001</v>
      </c>
      <c r="J154">
        <v>92.847813000000002</v>
      </c>
      <c r="K154">
        <v>92.248463999999998</v>
      </c>
      <c r="L154">
        <v>92.041714999999996</v>
      </c>
      <c r="M154">
        <v>91.941800999999998</v>
      </c>
      <c r="N154">
        <v>91.947824999999995</v>
      </c>
      <c r="O154">
        <v>92.009360000000001</v>
      </c>
      <c r="P154">
        <v>92.050762000000006</v>
      </c>
      <c r="Q154">
        <v>92.184495999999996</v>
      </c>
      <c r="R154">
        <v>92.393896999999996</v>
      </c>
      <c r="S154">
        <v>92.614464999999996</v>
      </c>
      <c r="T154">
        <v>92.837495000000004</v>
      </c>
      <c r="U154">
        <v>93.044349999999994</v>
      </c>
      <c r="V154">
        <v>93.358082999999993</v>
      </c>
      <c r="W154">
        <v>93.706434000000002</v>
      </c>
      <c r="X154">
        <v>94.046955999999994</v>
      </c>
      <c r="Y154">
        <v>94.445305000000005</v>
      </c>
      <c r="Z154">
        <v>94.795494000000005</v>
      </c>
      <c r="AA154">
        <v>95.236845000000002</v>
      </c>
      <c r="AB154">
        <v>95.541317000000006</v>
      </c>
      <c r="AC154">
        <v>95.711280000000002</v>
      </c>
      <c r="AD154">
        <v>95.990683000000004</v>
      </c>
      <c r="AE154" t="s">
        <v>1114</v>
      </c>
    </row>
    <row r="155" spans="1:31" x14ac:dyDescent="0.25">
      <c r="A155" t="s">
        <v>406</v>
      </c>
      <c r="B155" t="s">
        <v>1395</v>
      </c>
      <c r="C155" t="s">
        <v>1396</v>
      </c>
      <c r="D155" t="s">
        <v>73</v>
      </c>
      <c r="E155">
        <v>1.210761</v>
      </c>
      <c r="F155">
        <v>1.2081599999999999</v>
      </c>
      <c r="G155">
        <v>1.2231909999999999</v>
      </c>
      <c r="H155">
        <v>1.216869</v>
      </c>
      <c r="I155">
        <v>1.20766</v>
      </c>
      <c r="J155">
        <v>1.1977469999999999</v>
      </c>
      <c r="K155">
        <v>1.188161</v>
      </c>
      <c r="L155">
        <v>1.1813549999999999</v>
      </c>
      <c r="M155">
        <v>1.1735610000000001</v>
      </c>
      <c r="N155">
        <v>1.171419</v>
      </c>
      <c r="O155">
        <v>1.168291</v>
      </c>
      <c r="P155">
        <v>1.1615759999999999</v>
      </c>
      <c r="Q155">
        <v>1.154793</v>
      </c>
      <c r="R155">
        <v>1.149804</v>
      </c>
      <c r="S155">
        <v>1.1450309999999999</v>
      </c>
      <c r="T155">
        <v>1.142439</v>
      </c>
      <c r="U155">
        <v>1.139915</v>
      </c>
      <c r="V155">
        <v>1.135543</v>
      </c>
      <c r="W155">
        <v>1.1341540000000001</v>
      </c>
      <c r="X155">
        <v>1.131597</v>
      </c>
      <c r="Y155">
        <v>1.1300030000000001</v>
      </c>
      <c r="Z155">
        <v>1.1273770000000001</v>
      </c>
      <c r="AA155">
        <v>1.126063</v>
      </c>
      <c r="AB155">
        <v>1.1220950000000001</v>
      </c>
      <c r="AC155">
        <v>1.1178539999999999</v>
      </c>
      <c r="AD155">
        <v>1.1160079999999999</v>
      </c>
      <c r="AE155" t="s">
        <v>1084</v>
      </c>
    </row>
    <row r="156" spans="1:31" x14ac:dyDescent="0.25">
      <c r="A156" t="s">
        <v>409</v>
      </c>
      <c r="B156" t="s">
        <v>1397</v>
      </c>
      <c r="C156" t="s">
        <v>1398</v>
      </c>
      <c r="D156" t="s">
        <v>412</v>
      </c>
      <c r="E156">
        <v>341.753174</v>
      </c>
      <c r="F156">
        <v>343.011414</v>
      </c>
      <c r="G156">
        <v>344.24215700000002</v>
      </c>
      <c r="H156">
        <v>345.60836799999998</v>
      </c>
      <c r="I156">
        <v>347.091949</v>
      </c>
      <c r="J156">
        <v>348.5</v>
      </c>
      <c r="K156">
        <v>349.84817500000003</v>
      </c>
      <c r="L156">
        <v>351.130157</v>
      </c>
      <c r="M156">
        <v>352.35476699999998</v>
      </c>
      <c r="N156">
        <v>353.526184</v>
      </c>
      <c r="O156">
        <v>354.64001500000001</v>
      </c>
      <c r="P156">
        <v>355.69448899999998</v>
      </c>
      <c r="Q156">
        <v>356.68884300000002</v>
      </c>
      <c r="R156">
        <v>357.62469499999997</v>
      </c>
      <c r="S156">
        <v>358.50103799999999</v>
      </c>
      <c r="T156">
        <v>359.31768799999998</v>
      </c>
      <c r="U156">
        <v>360.06976300000002</v>
      </c>
      <c r="V156">
        <v>360.76501500000001</v>
      </c>
      <c r="W156">
        <v>361.40600599999999</v>
      </c>
      <c r="X156">
        <v>361.99826000000002</v>
      </c>
      <c r="Y156">
        <v>362.542145</v>
      </c>
      <c r="Z156">
        <v>363.04501299999998</v>
      </c>
      <c r="AA156">
        <v>363.51031499999999</v>
      </c>
      <c r="AB156">
        <v>363.94164999999998</v>
      </c>
      <c r="AC156">
        <v>364.34548999999998</v>
      </c>
      <c r="AD156">
        <v>364.72808800000001</v>
      </c>
      <c r="AE156" t="s">
        <v>1161</v>
      </c>
    </row>
    <row r="157" spans="1:31" x14ac:dyDescent="0.25">
      <c r="A157" t="s">
        <v>413</v>
      </c>
      <c r="B157" t="s">
        <v>1399</v>
      </c>
      <c r="C157" t="s">
        <v>1400</v>
      </c>
      <c r="D157" t="s">
        <v>416</v>
      </c>
      <c r="E157">
        <v>22086.083984000001</v>
      </c>
      <c r="F157">
        <v>22669.974609000001</v>
      </c>
      <c r="G157">
        <v>23095.640625</v>
      </c>
      <c r="H157">
        <v>23390.617188</v>
      </c>
      <c r="I157">
        <v>23750.759765999999</v>
      </c>
      <c r="J157">
        <v>24166.652343999998</v>
      </c>
      <c r="K157">
        <v>24572.644531000002</v>
      </c>
      <c r="L157">
        <v>25034.144531000002</v>
      </c>
      <c r="M157">
        <v>25522.300781000002</v>
      </c>
      <c r="N157">
        <v>26041.154297000001</v>
      </c>
      <c r="O157">
        <v>26595.578125</v>
      </c>
      <c r="P157">
        <v>27063.660156000002</v>
      </c>
      <c r="Q157">
        <v>27531.339843999998</v>
      </c>
      <c r="R157">
        <v>28000.277343999998</v>
      </c>
      <c r="S157">
        <v>28461.050781000002</v>
      </c>
      <c r="T157">
        <v>28925.544922000001</v>
      </c>
      <c r="U157">
        <v>29375.912109000001</v>
      </c>
      <c r="V157">
        <v>29841.964843999998</v>
      </c>
      <c r="W157">
        <v>30321.671875</v>
      </c>
      <c r="X157">
        <v>30806.214843999998</v>
      </c>
      <c r="Y157">
        <v>31294.171875</v>
      </c>
      <c r="Z157">
        <v>31769.9375</v>
      </c>
      <c r="AA157">
        <v>32226.466797000001</v>
      </c>
      <c r="AB157">
        <v>32681.023438</v>
      </c>
      <c r="AC157">
        <v>33125.082030999998</v>
      </c>
      <c r="AD157">
        <v>33582.949219000002</v>
      </c>
      <c r="AE157" t="s">
        <v>1401</v>
      </c>
    </row>
    <row r="158" spans="1:31" x14ac:dyDescent="0.25">
      <c r="A158" t="s">
        <v>417</v>
      </c>
    </row>
    <row r="159" spans="1:31" x14ac:dyDescent="0.25">
      <c r="A159" t="s">
        <v>418</v>
      </c>
      <c r="B159" t="s">
        <v>1402</v>
      </c>
      <c r="C159" t="s">
        <v>1403</v>
      </c>
      <c r="D159" t="s">
        <v>1404</v>
      </c>
      <c r="E159">
        <v>4865.6943359999996</v>
      </c>
      <c r="F159">
        <v>4832.4287109999996</v>
      </c>
      <c r="G159">
        <v>4696.720703</v>
      </c>
      <c r="H159">
        <v>4601.1821289999998</v>
      </c>
      <c r="I159">
        <v>4543.7260740000002</v>
      </c>
      <c r="J159">
        <v>4516.5151370000003</v>
      </c>
      <c r="K159">
        <v>4426.0976559999999</v>
      </c>
      <c r="L159">
        <v>4386.919922</v>
      </c>
      <c r="M159">
        <v>4356.6899409999996</v>
      </c>
      <c r="N159">
        <v>4326.2529299999997</v>
      </c>
      <c r="O159">
        <v>4304.9912109999996</v>
      </c>
      <c r="P159">
        <v>4278.033203</v>
      </c>
      <c r="Q159">
        <v>4259.6025390000004</v>
      </c>
      <c r="R159">
        <v>4254.373047</v>
      </c>
      <c r="S159">
        <v>4250.9350590000004</v>
      </c>
      <c r="T159">
        <v>4245.654297</v>
      </c>
      <c r="U159">
        <v>4253.5546880000002</v>
      </c>
      <c r="V159">
        <v>4259.7177730000003</v>
      </c>
      <c r="W159">
        <v>4271.0400390000004</v>
      </c>
      <c r="X159">
        <v>4280.2373049999997</v>
      </c>
      <c r="Y159">
        <v>4296.3789059999999</v>
      </c>
      <c r="Z159">
        <v>4311.3710940000001</v>
      </c>
      <c r="AA159">
        <v>4334.8027339999999</v>
      </c>
      <c r="AB159">
        <v>4351.7983400000003</v>
      </c>
      <c r="AC159">
        <v>4359.5625</v>
      </c>
      <c r="AD159">
        <v>4348.0273440000001</v>
      </c>
      <c r="AE159" t="s">
        <v>1190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21"/>
  <sheetViews>
    <sheetView workbookViewId="0"/>
  </sheetViews>
  <sheetFormatPr defaultRowHeight="15" x14ac:dyDescent="0.25"/>
  <sheetData>
    <row r="1" spans="1:31" x14ac:dyDescent="0.25">
      <c r="A1" t="s">
        <v>422</v>
      </c>
    </row>
    <row r="2" spans="1:31" x14ac:dyDescent="0.25">
      <c r="A2" t="s">
        <v>1405</v>
      </c>
    </row>
    <row r="3" spans="1:31" x14ac:dyDescent="0.25">
      <c r="A3" t="s">
        <v>1406</v>
      </c>
    </row>
    <row r="4" spans="1:31" x14ac:dyDescent="0.25">
      <c r="A4" t="s">
        <v>64</v>
      </c>
    </row>
    <row r="5" spans="1:31" x14ac:dyDescent="0.25">
      <c r="B5" t="s">
        <v>65</v>
      </c>
      <c r="C5" t="s">
        <v>66</v>
      </c>
      <c r="D5" t="s">
        <v>67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1065</v>
      </c>
    </row>
    <row r="6" spans="1:31" x14ac:dyDescent="0.25">
      <c r="A6" t="s">
        <v>69</v>
      </c>
    </row>
    <row r="7" spans="1:31" x14ac:dyDescent="0.25">
      <c r="A7" t="s">
        <v>70</v>
      </c>
      <c r="B7" t="s">
        <v>1407</v>
      </c>
      <c r="C7" t="s">
        <v>1408</v>
      </c>
      <c r="D7" t="s">
        <v>1409</v>
      </c>
      <c r="E7">
        <v>26.563074</v>
      </c>
      <c r="F7">
        <v>24.660281999999999</v>
      </c>
      <c r="G7">
        <v>24.022763999999999</v>
      </c>
      <c r="H7">
        <v>24.267150999999998</v>
      </c>
      <c r="I7">
        <v>24.828779000000001</v>
      </c>
      <c r="J7">
        <v>25.713387999999998</v>
      </c>
      <c r="K7">
        <v>26.943875999999999</v>
      </c>
      <c r="L7">
        <v>27.941402</v>
      </c>
      <c r="M7">
        <v>29.000703999999999</v>
      </c>
      <c r="N7">
        <v>29.730561999999999</v>
      </c>
      <c r="O7">
        <v>30.396542</v>
      </c>
      <c r="P7">
        <v>31.023658999999999</v>
      </c>
      <c r="Q7">
        <v>31.704143999999999</v>
      </c>
      <c r="R7">
        <v>32.363785</v>
      </c>
      <c r="S7">
        <v>33.016689</v>
      </c>
      <c r="T7">
        <v>33.551872000000003</v>
      </c>
      <c r="U7">
        <v>33.955024999999999</v>
      </c>
      <c r="V7">
        <v>34.124786</v>
      </c>
      <c r="W7">
        <v>34.061458999999999</v>
      </c>
      <c r="X7">
        <v>33.890647999999999</v>
      </c>
      <c r="Y7">
        <v>33.857697000000002</v>
      </c>
      <c r="Z7">
        <v>33.974369000000003</v>
      </c>
      <c r="AA7">
        <v>34.165622999999997</v>
      </c>
      <c r="AB7">
        <v>34.401736999999997</v>
      </c>
      <c r="AC7">
        <v>34.609074</v>
      </c>
      <c r="AD7">
        <v>34.782435999999997</v>
      </c>
      <c r="AE7" t="s">
        <v>1219</v>
      </c>
    </row>
    <row r="8" spans="1:31" x14ac:dyDescent="0.25">
      <c r="A8" t="s">
        <v>74</v>
      </c>
      <c r="B8" t="s">
        <v>1410</v>
      </c>
      <c r="C8" t="s">
        <v>1411</v>
      </c>
      <c r="D8" t="s">
        <v>1409</v>
      </c>
      <c r="E8">
        <v>26.297781000000001</v>
      </c>
      <c r="F8">
        <v>23.841018999999999</v>
      </c>
      <c r="G8">
        <v>24.852819</v>
      </c>
      <c r="H8">
        <v>25.492739</v>
      </c>
      <c r="I8">
        <v>26.044502000000001</v>
      </c>
      <c r="J8">
        <v>26.356546000000002</v>
      </c>
      <c r="K8">
        <v>26.889671</v>
      </c>
      <c r="L8">
        <v>26.986252</v>
      </c>
      <c r="M8">
        <v>27.431294999999999</v>
      </c>
      <c r="N8">
        <v>27.476742000000002</v>
      </c>
      <c r="O8">
        <v>27.74155</v>
      </c>
      <c r="P8">
        <v>27.989231</v>
      </c>
      <c r="Q8">
        <v>28.189903000000001</v>
      </c>
      <c r="R8">
        <v>28.422253000000001</v>
      </c>
      <c r="S8">
        <v>28.565861000000002</v>
      </c>
      <c r="T8">
        <v>28.683637999999998</v>
      </c>
      <c r="U8">
        <v>28.866655000000002</v>
      </c>
      <c r="V8">
        <v>29.028748</v>
      </c>
      <c r="W8">
        <v>29.196307999999998</v>
      </c>
      <c r="X8">
        <v>29.351230999999999</v>
      </c>
      <c r="Y8">
        <v>29.645171999999999</v>
      </c>
      <c r="Z8">
        <v>29.887751000000002</v>
      </c>
      <c r="AA8">
        <v>30.086521000000001</v>
      </c>
      <c r="AB8">
        <v>30.433371000000001</v>
      </c>
      <c r="AC8">
        <v>30.751434</v>
      </c>
      <c r="AD8">
        <v>30.830539999999999</v>
      </c>
      <c r="AE8" t="s">
        <v>1164</v>
      </c>
    </row>
    <row r="9" spans="1:31" x14ac:dyDescent="0.25">
      <c r="A9" t="s">
        <v>80</v>
      </c>
      <c r="B9" t="s">
        <v>1412</v>
      </c>
      <c r="C9" t="s">
        <v>1413</v>
      </c>
      <c r="D9" t="s">
        <v>1409</v>
      </c>
      <c r="E9">
        <v>14.672219999999999</v>
      </c>
      <c r="F9">
        <v>13.865501</v>
      </c>
      <c r="G9">
        <v>13.6013</v>
      </c>
      <c r="H9">
        <v>13.618066000000001</v>
      </c>
      <c r="I9">
        <v>13.716167</v>
      </c>
      <c r="J9">
        <v>13.947049</v>
      </c>
      <c r="K9">
        <v>14.105740000000001</v>
      </c>
      <c r="L9">
        <v>14.281732</v>
      </c>
      <c r="M9">
        <v>14.724919999999999</v>
      </c>
      <c r="N9">
        <v>14.845181</v>
      </c>
      <c r="O9">
        <v>15.010983</v>
      </c>
      <c r="P9">
        <v>15.087603</v>
      </c>
      <c r="Q9">
        <v>15.280450999999999</v>
      </c>
      <c r="R9">
        <v>15.384978</v>
      </c>
      <c r="S9">
        <v>15.491961</v>
      </c>
      <c r="T9">
        <v>15.581244999999999</v>
      </c>
      <c r="U9">
        <v>15.632208</v>
      </c>
      <c r="V9">
        <v>15.597161</v>
      </c>
      <c r="W9">
        <v>15.534369</v>
      </c>
      <c r="X9">
        <v>15.445058</v>
      </c>
      <c r="Y9">
        <v>15.434659999999999</v>
      </c>
      <c r="Z9">
        <v>15.500757</v>
      </c>
      <c r="AA9">
        <v>15.579065999999999</v>
      </c>
      <c r="AB9">
        <v>15.646148999999999</v>
      </c>
      <c r="AC9">
        <v>15.709329</v>
      </c>
      <c r="AD9">
        <v>15.750059</v>
      </c>
      <c r="AE9" t="s">
        <v>1161</v>
      </c>
    </row>
    <row r="10" spans="1:31" x14ac:dyDescent="0.25">
      <c r="A10" t="s">
        <v>432</v>
      </c>
      <c r="B10" t="s">
        <v>1414</v>
      </c>
      <c r="C10" t="s">
        <v>1415</v>
      </c>
      <c r="D10" t="s">
        <v>1409</v>
      </c>
      <c r="E10">
        <v>48.884673999999997</v>
      </c>
      <c r="F10">
        <v>48.970573000000002</v>
      </c>
      <c r="G10">
        <v>47.876258999999997</v>
      </c>
      <c r="H10">
        <v>46.813107000000002</v>
      </c>
      <c r="I10">
        <v>47.098038000000003</v>
      </c>
      <c r="J10">
        <v>47.575282999999999</v>
      </c>
      <c r="K10">
        <v>48.040816999999997</v>
      </c>
      <c r="L10">
        <v>48.378601000000003</v>
      </c>
      <c r="M10">
        <v>48.737003000000001</v>
      </c>
      <c r="N10">
        <v>49.087418</v>
      </c>
      <c r="O10">
        <v>49.328220000000002</v>
      </c>
      <c r="P10">
        <v>49.554004999999997</v>
      </c>
      <c r="Q10">
        <v>49.935158000000001</v>
      </c>
      <c r="R10">
        <v>50.217533000000003</v>
      </c>
      <c r="S10">
        <v>50.544601</v>
      </c>
      <c r="T10">
        <v>50.909134000000002</v>
      </c>
      <c r="U10">
        <v>51.109844000000002</v>
      </c>
      <c r="V10">
        <v>51.163372000000003</v>
      </c>
      <c r="W10">
        <v>51.117961999999999</v>
      </c>
      <c r="X10">
        <v>51.094760999999998</v>
      </c>
      <c r="Y10">
        <v>50.972771000000002</v>
      </c>
      <c r="Z10">
        <v>51.227134999999997</v>
      </c>
      <c r="AA10">
        <v>51.488990999999999</v>
      </c>
      <c r="AB10">
        <v>51.754013</v>
      </c>
      <c r="AC10">
        <v>51.908321000000001</v>
      </c>
      <c r="AD10">
        <v>52.146388999999999</v>
      </c>
      <c r="AE10" t="s">
        <v>1161</v>
      </c>
    </row>
    <row r="11" spans="1:31" x14ac:dyDescent="0.25">
      <c r="A11" t="s">
        <v>98</v>
      </c>
    </row>
    <row r="12" spans="1:31" x14ac:dyDescent="0.25">
      <c r="A12" t="s">
        <v>70</v>
      </c>
      <c r="B12" t="s">
        <v>1416</v>
      </c>
      <c r="C12" t="s">
        <v>1417</v>
      </c>
      <c r="D12" t="s">
        <v>1409</v>
      </c>
      <c r="E12">
        <v>19.614388000000002</v>
      </c>
      <c r="F12">
        <v>17.773503999999999</v>
      </c>
      <c r="G12">
        <v>17.948193</v>
      </c>
      <c r="H12">
        <v>18.789954999999999</v>
      </c>
      <c r="I12">
        <v>19.533926000000001</v>
      </c>
      <c r="J12">
        <v>20.45974</v>
      </c>
      <c r="K12">
        <v>21.646478999999999</v>
      </c>
      <c r="L12">
        <v>22.261966999999999</v>
      </c>
      <c r="M12">
        <v>23.033985000000001</v>
      </c>
      <c r="N12">
        <v>23.463771999999999</v>
      </c>
      <c r="O12">
        <v>23.878844999999998</v>
      </c>
      <c r="P12">
        <v>24.288402999999999</v>
      </c>
      <c r="Q12">
        <v>24.797267999999999</v>
      </c>
      <c r="R12">
        <v>25.276108000000001</v>
      </c>
      <c r="S12">
        <v>25.737418999999999</v>
      </c>
      <c r="T12">
        <v>26.038733000000001</v>
      </c>
      <c r="U12">
        <v>26.222591000000001</v>
      </c>
      <c r="V12">
        <v>26.170380000000002</v>
      </c>
      <c r="W12">
        <v>25.940657000000002</v>
      </c>
      <c r="X12">
        <v>25.712225</v>
      </c>
      <c r="Y12">
        <v>25.750612</v>
      </c>
      <c r="Z12">
        <v>25.935569999999998</v>
      </c>
      <c r="AA12">
        <v>26.134615</v>
      </c>
      <c r="AB12">
        <v>26.339758</v>
      </c>
      <c r="AC12">
        <v>26.472441</v>
      </c>
      <c r="AD12">
        <v>26.56786</v>
      </c>
      <c r="AE12" t="s">
        <v>1095</v>
      </c>
    </row>
    <row r="13" spans="1:31" x14ac:dyDescent="0.25">
      <c r="A13" t="s">
        <v>74</v>
      </c>
      <c r="B13" t="s">
        <v>1418</v>
      </c>
      <c r="C13" t="s">
        <v>1419</v>
      </c>
      <c r="D13" t="s">
        <v>1409</v>
      </c>
      <c r="E13">
        <v>26.413055</v>
      </c>
      <c r="F13">
        <v>23.944262999999999</v>
      </c>
      <c r="G13">
        <v>23.787009999999999</v>
      </c>
      <c r="H13">
        <v>23.234953000000001</v>
      </c>
      <c r="I13">
        <v>22.590859999999999</v>
      </c>
      <c r="J13">
        <v>21.649616000000002</v>
      </c>
      <c r="K13">
        <v>21.002818999999999</v>
      </c>
      <c r="L13">
        <v>21.100345999999998</v>
      </c>
      <c r="M13">
        <v>21.906804999999999</v>
      </c>
      <c r="N13">
        <v>21.950171999999998</v>
      </c>
      <c r="O13">
        <v>22.215945999999999</v>
      </c>
      <c r="P13">
        <v>22.432451</v>
      </c>
      <c r="Q13">
        <v>22.700315</v>
      </c>
      <c r="R13">
        <v>22.930136000000001</v>
      </c>
      <c r="S13">
        <v>23.061247000000002</v>
      </c>
      <c r="T13">
        <v>23.163157000000002</v>
      </c>
      <c r="U13">
        <v>23.336281</v>
      </c>
      <c r="V13">
        <v>23.506572999999999</v>
      </c>
      <c r="W13">
        <v>23.667786</v>
      </c>
      <c r="X13">
        <v>23.831994999999999</v>
      </c>
      <c r="Y13">
        <v>24.121313000000001</v>
      </c>
      <c r="Z13">
        <v>24.360191</v>
      </c>
      <c r="AA13">
        <v>24.559891</v>
      </c>
      <c r="AB13">
        <v>24.900385</v>
      </c>
      <c r="AC13">
        <v>25.211373999999999</v>
      </c>
      <c r="AD13">
        <v>25.282532</v>
      </c>
      <c r="AE13" t="s">
        <v>1222</v>
      </c>
    </row>
    <row r="14" spans="1:31" x14ac:dyDescent="0.25">
      <c r="A14" t="s">
        <v>109</v>
      </c>
      <c r="B14" t="s">
        <v>1420</v>
      </c>
      <c r="C14" t="s">
        <v>1421</v>
      </c>
      <c r="D14" t="s">
        <v>1409</v>
      </c>
      <c r="E14">
        <v>7.4866789999999996</v>
      </c>
      <c r="F14">
        <v>5.7179929999999999</v>
      </c>
      <c r="G14">
        <v>7.2130679999999998</v>
      </c>
      <c r="H14">
        <v>8.3352599999999999</v>
      </c>
      <c r="I14">
        <v>9.3728239999999996</v>
      </c>
      <c r="J14">
        <v>9.7031150000000004</v>
      </c>
      <c r="K14">
        <v>11.012938</v>
      </c>
      <c r="L14">
        <v>11.044285</v>
      </c>
      <c r="M14">
        <v>11.423374000000001</v>
      </c>
      <c r="N14">
        <v>11.416124999999999</v>
      </c>
      <c r="O14">
        <v>11.730696</v>
      </c>
      <c r="P14">
        <v>11.915172</v>
      </c>
      <c r="Q14">
        <v>12.021229</v>
      </c>
      <c r="R14">
        <v>12.222262000000001</v>
      </c>
      <c r="S14">
        <v>12.36445</v>
      </c>
      <c r="T14">
        <v>12.640309</v>
      </c>
      <c r="U14">
        <v>12.962892999999999</v>
      </c>
      <c r="V14">
        <v>13.141302</v>
      </c>
      <c r="W14">
        <v>13.291031</v>
      </c>
      <c r="X14">
        <v>13.447832999999999</v>
      </c>
      <c r="Y14">
        <v>13.705943</v>
      </c>
      <c r="Z14">
        <v>13.882443</v>
      </c>
      <c r="AA14">
        <v>14.033334</v>
      </c>
      <c r="AB14">
        <v>14.408689000000001</v>
      </c>
      <c r="AC14">
        <v>14.634271999999999</v>
      </c>
      <c r="AD14">
        <v>14.791724</v>
      </c>
      <c r="AE14" t="s">
        <v>1308</v>
      </c>
    </row>
    <row r="15" spans="1:31" x14ac:dyDescent="0.25">
      <c r="A15" t="s">
        <v>80</v>
      </c>
      <c r="B15" t="s">
        <v>1422</v>
      </c>
      <c r="C15" t="s">
        <v>1423</v>
      </c>
      <c r="D15" t="s">
        <v>1409</v>
      </c>
      <c r="E15">
        <v>10.354016</v>
      </c>
      <c r="F15">
        <v>9.511374</v>
      </c>
      <c r="G15">
        <v>9.7621730000000007</v>
      </c>
      <c r="H15">
        <v>10.167947</v>
      </c>
      <c r="I15">
        <v>10.630008999999999</v>
      </c>
      <c r="J15">
        <v>11.225421000000001</v>
      </c>
      <c r="K15">
        <v>11.760633</v>
      </c>
      <c r="L15">
        <v>11.919279</v>
      </c>
      <c r="M15">
        <v>12.230326</v>
      </c>
      <c r="N15">
        <v>12.308634</v>
      </c>
      <c r="O15">
        <v>12.450623999999999</v>
      </c>
      <c r="P15">
        <v>12.509456</v>
      </c>
      <c r="Q15">
        <v>12.673752</v>
      </c>
      <c r="R15">
        <v>12.765779999999999</v>
      </c>
      <c r="S15">
        <v>12.863073999999999</v>
      </c>
      <c r="T15">
        <v>12.941274999999999</v>
      </c>
      <c r="U15">
        <v>12.976732</v>
      </c>
      <c r="V15">
        <v>12.925268000000001</v>
      </c>
      <c r="W15">
        <v>12.846539999999999</v>
      </c>
      <c r="X15">
        <v>12.738944</v>
      </c>
      <c r="Y15">
        <v>12.708939000000001</v>
      </c>
      <c r="Z15">
        <v>12.752996</v>
      </c>
      <c r="AA15">
        <v>12.808952</v>
      </c>
      <c r="AB15">
        <v>12.853724</v>
      </c>
      <c r="AC15">
        <v>12.893846999999999</v>
      </c>
      <c r="AD15">
        <v>12.912653000000001</v>
      </c>
      <c r="AE15" t="s">
        <v>1130</v>
      </c>
    </row>
    <row r="16" spans="1:31" x14ac:dyDescent="0.25">
      <c r="A16" t="s">
        <v>432</v>
      </c>
      <c r="B16" t="s">
        <v>1424</v>
      </c>
      <c r="C16" t="s">
        <v>1425</v>
      </c>
      <c r="D16" t="s">
        <v>1409</v>
      </c>
      <c r="E16">
        <v>39.505760000000002</v>
      </c>
      <c r="F16">
        <v>39.254784000000001</v>
      </c>
      <c r="G16">
        <v>38.007869999999997</v>
      </c>
      <c r="H16">
        <v>37.027316999999996</v>
      </c>
      <c r="I16">
        <v>37.270535000000002</v>
      </c>
      <c r="J16">
        <v>37.676890999999998</v>
      </c>
      <c r="K16">
        <v>38.013728999999998</v>
      </c>
      <c r="L16">
        <v>38.169567000000001</v>
      </c>
      <c r="M16">
        <v>38.377754000000003</v>
      </c>
      <c r="N16">
        <v>38.628765000000001</v>
      </c>
      <c r="O16">
        <v>38.712333999999998</v>
      </c>
      <c r="P16">
        <v>38.766697000000001</v>
      </c>
      <c r="Q16">
        <v>38.97871</v>
      </c>
      <c r="R16">
        <v>39.113334999999999</v>
      </c>
      <c r="S16">
        <v>39.318199</v>
      </c>
      <c r="T16">
        <v>39.513145000000002</v>
      </c>
      <c r="U16">
        <v>39.528193999999999</v>
      </c>
      <c r="V16">
        <v>39.464728999999998</v>
      </c>
      <c r="W16">
        <v>39.301833999999999</v>
      </c>
      <c r="X16">
        <v>39.165123000000001</v>
      </c>
      <c r="Y16">
        <v>38.864052000000001</v>
      </c>
      <c r="Z16">
        <v>39.004269000000001</v>
      </c>
      <c r="AA16">
        <v>39.126835</v>
      </c>
      <c r="AB16">
        <v>39.262093</v>
      </c>
      <c r="AC16">
        <v>39.271355</v>
      </c>
      <c r="AD16">
        <v>39.370185999999997</v>
      </c>
      <c r="AE16" t="s">
        <v>1426</v>
      </c>
    </row>
    <row r="17" spans="1:31" x14ac:dyDescent="0.25">
      <c r="A17" t="s">
        <v>130</v>
      </c>
    </row>
    <row r="18" spans="1:31" x14ac:dyDescent="0.25">
      <c r="A18" t="s">
        <v>70</v>
      </c>
      <c r="B18" t="s">
        <v>1427</v>
      </c>
      <c r="C18" t="s">
        <v>1428</v>
      </c>
      <c r="D18" t="s">
        <v>1409</v>
      </c>
      <c r="E18">
        <v>12.803329</v>
      </c>
      <c r="F18">
        <v>11.070506</v>
      </c>
      <c r="G18">
        <v>11.206452000000001</v>
      </c>
      <c r="H18">
        <v>11.985374</v>
      </c>
      <c r="I18">
        <v>12.701867999999999</v>
      </c>
      <c r="J18">
        <v>13.610707</v>
      </c>
      <c r="K18">
        <v>14.804296000000001</v>
      </c>
      <c r="L18">
        <v>15.449719999999999</v>
      </c>
      <c r="M18">
        <v>15.938817999999999</v>
      </c>
      <c r="N18">
        <v>16.397631000000001</v>
      </c>
      <c r="O18">
        <v>16.843964</v>
      </c>
      <c r="P18">
        <v>17.287839999999999</v>
      </c>
      <c r="Q18">
        <v>17.796278000000001</v>
      </c>
      <c r="R18">
        <v>18.323847000000001</v>
      </c>
      <c r="S18">
        <v>18.837675000000001</v>
      </c>
      <c r="T18">
        <v>19.180520999999999</v>
      </c>
      <c r="U18">
        <v>19.393515000000001</v>
      </c>
      <c r="V18">
        <v>19.345053</v>
      </c>
      <c r="W18">
        <v>19.097935</v>
      </c>
      <c r="X18">
        <v>18.849525</v>
      </c>
      <c r="Y18">
        <v>18.891359000000001</v>
      </c>
      <c r="Z18">
        <v>19.097252000000001</v>
      </c>
      <c r="AA18">
        <v>19.322502</v>
      </c>
      <c r="AB18">
        <v>19.556145000000001</v>
      </c>
      <c r="AC18">
        <v>19.710878000000001</v>
      </c>
      <c r="AD18">
        <v>19.823609999999999</v>
      </c>
      <c r="AE18" t="s">
        <v>1429</v>
      </c>
    </row>
    <row r="19" spans="1:31" x14ac:dyDescent="0.25">
      <c r="A19" t="s">
        <v>74</v>
      </c>
      <c r="B19" t="s">
        <v>1430</v>
      </c>
      <c r="C19" t="s">
        <v>1431</v>
      </c>
      <c r="D19" t="s">
        <v>1409</v>
      </c>
      <c r="E19">
        <v>26.296053000000001</v>
      </c>
      <c r="F19">
        <v>23.833601000000002</v>
      </c>
      <c r="G19">
        <v>23.638857000000002</v>
      </c>
      <c r="H19">
        <v>23.038036000000002</v>
      </c>
      <c r="I19">
        <v>22.345837</v>
      </c>
      <c r="J19">
        <v>21.403448000000001</v>
      </c>
      <c r="K19">
        <v>20.701951999999999</v>
      </c>
      <c r="L19">
        <v>20.792048000000001</v>
      </c>
      <c r="M19">
        <v>21.235609</v>
      </c>
      <c r="N19">
        <v>21.284655000000001</v>
      </c>
      <c r="O19">
        <v>21.554102</v>
      </c>
      <c r="P19">
        <v>21.790516</v>
      </c>
      <c r="Q19">
        <v>21.993568</v>
      </c>
      <c r="R19">
        <v>22.218029000000001</v>
      </c>
      <c r="S19">
        <v>22.360265999999999</v>
      </c>
      <c r="T19">
        <v>22.468481000000001</v>
      </c>
      <c r="U19">
        <v>22.646592999999999</v>
      </c>
      <c r="V19">
        <v>22.818218000000002</v>
      </c>
      <c r="W19">
        <v>22.982804999999999</v>
      </c>
      <c r="X19">
        <v>23.14827</v>
      </c>
      <c r="Y19">
        <v>23.446985000000002</v>
      </c>
      <c r="Z19">
        <v>23.691965</v>
      </c>
      <c r="AA19">
        <v>23.897724</v>
      </c>
      <c r="AB19">
        <v>24.253218</v>
      </c>
      <c r="AC19">
        <v>24.570868999999998</v>
      </c>
      <c r="AD19">
        <v>24.648555999999999</v>
      </c>
      <c r="AE19" t="s">
        <v>1084</v>
      </c>
    </row>
    <row r="20" spans="1:31" x14ac:dyDescent="0.25">
      <c r="A20" t="s">
        <v>109</v>
      </c>
      <c r="B20" t="s">
        <v>1432</v>
      </c>
      <c r="C20" t="s">
        <v>1433</v>
      </c>
      <c r="D20" t="s">
        <v>1409</v>
      </c>
      <c r="E20">
        <v>8.6605709999999991</v>
      </c>
      <c r="F20">
        <v>6.7155670000000001</v>
      </c>
      <c r="G20">
        <v>8.5220380000000002</v>
      </c>
      <c r="H20">
        <v>9.8736689999999996</v>
      </c>
      <c r="I20">
        <v>11.099524000000001</v>
      </c>
      <c r="J20">
        <v>11.661168</v>
      </c>
      <c r="K20">
        <v>13.208466</v>
      </c>
      <c r="L20">
        <v>13.227586000000001</v>
      </c>
      <c r="M20">
        <v>13.603676999999999</v>
      </c>
      <c r="N20">
        <v>13.60303</v>
      </c>
      <c r="O20">
        <v>13.923897</v>
      </c>
      <c r="P20">
        <v>14.127029</v>
      </c>
      <c r="Q20">
        <v>14.243969999999999</v>
      </c>
      <c r="R20">
        <v>14.455325</v>
      </c>
      <c r="S20">
        <v>14.636956</v>
      </c>
      <c r="T20">
        <v>14.920377999999999</v>
      </c>
      <c r="U20">
        <v>15.235559</v>
      </c>
      <c r="V20">
        <v>15.414781</v>
      </c>
      <c r="W20">
        <v>15.551310000000001</v>
      </c>
      <c r="X20">
        <v>15.699274000000001</v>
      </c>
      <c r="Y20">
        <v>15.955344</v>
      </c>
      <c r="Z20">
        <v>16.133853999999999</v>
      </c>
      <c r="AA20">
        <v>16.286076000000001</v>
      </c>
      <c r="AB20">
        <v>16.658579</v>
      </c>
      <c r="AC20">
        <v>16.881129999999999</v>
      </c>
      <c r="AD20">
        <v>16.995433999999999</v>
      </c>
      <c r="AE20" t="s">
        <v>1434</v>
      </c>
    </row>
    <row r="21" spans="1:31" x14ac:dyDescent="0.25">
      <c r="A21" t="s">
        <v>80</v>
      </c>
      <c r="B21" t="s">
        <v>1435</v>
      </c>
      <c r="C21" t="s">
        <v>1436</v>
      </c>
      <c r="D21" t="s">
        <v>1409</v>
      </c>
      <c r="E21">
        <v>4.5055800000000001</v>
      </c>
      <c r="F21">
        <v>4.7623139999999999</v>
      </c>
      <c r="G21">
        <v>4.6532809999999998</v>
      </c>
      <c r="H21">
        <v>4.7632009999999996</v>
      </c>
      <c r="I21">
        <v>4.8691509999999996</v>
      </c>
      <c r="J21">
        <v>5.3318430000000001</v>
      </c>
      <c r="K21">
        <v>5.6033210000000002</v>
      </c>
      <c r="L21">
        <v>5.7323510000000004</v>
      </c>
      <c r="M21">
        <v>5.7296950000000004</v>
      </c>
      <c r="N21">
        <v>5.7532519999999998</v>
      </c>
      <c r="O21">
        <v>5.8331819999999999</v>
      </c>
      <c r="P21">
        <v>5.8940950000000001</v>
      </c>
      <c r="Q21">
        <v>5.9545560000000002</v>
      </c>
      <c r="R21">
        <v>6.014329</v>
      </c>
      <c r="S21">
        <v>6.0858470000000002</v>
      </c>
      <c r="T21">
        <v>6.137111</v>
      </c>
      <c r="U21">
        <v>6.0971149999999996</v>
      </c>
      <c r="V21">
        <v>5.9186290000000001</v>
      </c>
      <c r="W21">
        <v>5.6850040000000002</v>
      </c>
      <c r="X21">
        <v>5.4595700000000003</v>
      </c>
      <c r="Y21">
        <v>5.3523899999999998</v>
      </c>
      <c r="Z21">
        <v>5.3454959999999998</v>
      </c>
      <c r="AA21">
        <v>5.3585589999999996</v>
      </c>
      <c r="AB21">
        <v>5.3605989999999997</v>
      </c>
      <c r="AC21">
        <v>5.3421240000000001</v>
      </c>
      <c r="AD21">
        <v>5.3048640000000002</v>
      </c>
      <c r="AE21" t="s">
        <v>1106</v>
      </c>
    </row>
    <row r="22" spans="1:31" x14ac:dyDescent="0.25">
      <c r="A22" t="s">
        <v>156</v>
      </c>
      <c r="B22" t="s">
        <v>1437</v>
      </c>
      <c r="C22" t="s">
        <v>1438</v>
      </c>
      <c r="D22" t="s">
        <v>1409</v>
      </c>
      <c r="E22">
        <v>6.4173830000000001</v>
      </c>
      <c r="F22">
        <v>6.4206510000000003</v>
      </c>
      <c r="G22">
        <v>6.4261860000000004</v>
      </c>
      <c r="H22">
        <v>6.4388719999999999</v>
      </c>
      <c r="I22">
        <v>6.4306429999999999</v>
      </c>
      <c r="J22">
        <v>6.4452379999999998</v>
      </c>
      <c r="K22">
        <v>6.4288220000000003</v>
      </c>
      <c r="L22">
        <v>6.450939</v>
      </c>
      <c r="M22">
        <v>6.4487930000000002</v>
      </c>
      <c r="N22">
        <v>6.4276619999999998</v>
      </c>
      <c r="O22">
        <v>6.4315420000000003</v>
      </c>
      <c r="P22">
        <v>6.3967359999999998</v>
      </c>
      <c r="Q22">
        <v>6.4021189999999999</v>
      </c>
      <c r="R22">
        <v>6.3992680000000002</v>
      </c>
      <c r="S22">
        <v>6.3692909999999996</v>
      </c>
      <c r="T22">
        <v>6.3729829999999996</v>
      </c>
      <c r="U22">
        <v>6.3628539999999996</v>
      </c>
      <c r="V22">
        <v>6.3515819999999996</v>
      </c>
      <c r="W22">
        <v>6.3468689999999999</v>
      </c>
      <c r="X22">
        <v>6.3368409999999997</v>
      </c>
      <c r="Y22">
        <v>6.3410890000000002</v>
      </c>
      <c r="Z22">
        <v>6.3328819999999997</v>
      </c>
      <c r="AA22">
        <v>6.3433619999999999</v>
      </c>
      <c r="AB22">
        <v>6.3517770000000002</v>
      </c>
      <c r="AC22">
        <v>6.326384</v>
      </c>
      <c r="AD22">
        <v>6.3207449999999996</v>
      </c>
      <c r="AE22" t="s">
        <v>1231</v>
      </c>
    </row>
    <row r="23" spans="1:31" x14ac:dyDescent="0.25">
      <c r="A23" t="s">
        <v>159</v>
      </c>
      <c r="B23" t="s">
        <v>1439</v>
      </c>
      <c r="C23" t="s">
        <v>1440</v>
      </c>
      <c r="D23" t="s">
        <v>1409</v>
      </c>
      <c r="E23">
        <v>3.995581</v>
      </c>
      <c r="F23">
        <v>3.8562609999999999</v>
      </c>
      <c r="G23">
        <v>3.7645249999999999</v>
      </c>
      <c r="H23">
        <v>3.7579479999999998</v>
      </c>
      <c r="I23">
        <v>3.7634180000000002</v>
      </c>
      <c r="J23">
        <v>3.7328869999999998</v>
      </c>
      <c r="K23">
        <v>3.7308530000000002</v>
      </c>
      <c r="L23">
        <v>3.7146789999999998</v>
      </c>
      <c r="M23">
        <v>3.7076220000000002</v>
      </c>
      <c r="N23">
        <v>3.6888010000000002</v>
      </c>
      <c r="O23">
        <v>3.6768320000000001</v>
      </c>
      <c r="P23">
        <v>3.6764139999999998</v>
      </c>
      <c r="Q23">
        <v>3.6818879999999998</v>
      </c>
      <c r="R23">
        <v>3.688266</v>
      </c>
      <c r="S23">
        <v>3.6740370000000002</v>
      </c>
      <c r="T23">
        <v>3.6895009999999999</v>
      </c>
      <c r="U23">
        <v>3.6878160000000002</v>
      </c>
      <c r="V23">
        <v>3.694248</v>
      </c>
      <c r="W23">
        <v>3.6930329999999998</v>
      </c>
      <c r="X23">
        <v>3.6912829999999999</v>
      </c>
      <c r="Y23">
        <v>3.6945950000000001</v>
      </c>
      <c r="Z23">
        <v>3.684059</v>
      </c>
      <c r="AA23">
        <v>3.691954</v>
      </c>
      <c r="AB23">
        <v>3.702715</v>
      </c>
      <c r="AC23">
        <v>3.7337210000000001</v>
      </c>
      <c r="AD23">
        <v>3.7339869999999999</v>
      </c>
      <c r="AE23" t="s">
        <v>1084</v>
      </c>
    </row>
    <row r="24" spans="1:31" x14ac:dyDescent="0.25">
      <c r="A24" t="s">
        <v>173</v>
      </c>
      <c r="B24" t="s">
        <v>1441</v>
      </c>
      <c r="C24" t="s">
        <v>1442</v>
      </c>
      <c r="D24" t="s">
        <v>1409</v>
      </c>
      <c r="E24">
        <v>11.501232999999999</v>
      </c>
      <c r="F24">
        <v>11.889143000000001</v>
      </c>
      <c r="G24">
        <v>11.882795</v>
      </c>
      <c r="H24">
        <v>12.018814000000001</v>
      </c>
      <c r="I24">
        <v>12.101516</v>
      </c>
      <c r="J24">
        <v>12.795125000000001</v>
      </c>
      <c r="K24">
        <v>13.078889999999999</v>
      </c>
      <c r="L24">
        <v>13.222678999999999</v>
      </c>
      <c r="M24">
        <v>13.297701999999999</v>
      </c>
      <c r="N24">
        <v>13.326264999999999</v>
      </c>
      <c r="O24">
        <v>13.258114000000001</v>
      </c>
      <c r="P24">
        <v>13.428031000000001</v>
      </c>
      <c r="Q24">
        <v>13.448741</v>
      </c>
      <c r="R24">
        <v>13.548419000000001</v>
      </c>
      <c r="S24">
        <v>13.640568999999999</v>
      </c>
      <c r="T24">
        <v>13.690514</v>
      </c>
      <c r="U24">
        <v>13.610089</v>
      </c>
      <c r="V24">
        <v>13.418937</v>
      </c>
      <c r="W24">
        <v>13.098224</v>
      </c>
      <c r="X24">
        <v>12.831071</v>
      </c>
      <c r="Y24">
        <v>12.693265999999999</v>
      </c>
      <c r="Z24">
        <v>12.639281</v>
      </c>
      <c r="AA24">
        <v>12.648698</v>
      </c>
      <c r="AB24">
        <v>12.653786999999999</v>
      </c>
      <c r="AC24">
        <v>12.621601</v>
      </c>
      <c r="AD24">
        <v>12.580778</v>
      </c>
      <c r="AE24" t="s">
        <v>1111</v>
      </c>
    </row>
    <row r="25" spans="1:31" x14ac:dyDescent="0.25">
      <c r="A25" t="s">
        <v>432</v>
      </c>
      <c r="B25" t="s">
        <v>1443</v>
      </c>
      <c r="C25" t="s">
        <v>1444</v>
      </c>
      <c r="D25" t="s">
        <v>1409</v>
      </c>
      <c r="E25">
        <v>26.595725999999999</v>
      </c>
      <c r="F25">
        <v>26.456028</v>
      </c>
      <c r="G25">
        <v>25.259416999999999</v>
      </c>
      <c r="H25">
        <v>24.603380000000001</v>
      </c>
      <c r="I25">
        <v>24.805864</v>
      </c>
      <c r="J25">
        <v>25.174835000000002</v>
      </c>
      <c r="K25">
        <v>25.531858</v>
      </c>
      <c r="L25">
        <v>25.659849000000001</v>
      </c>
      <c r="M25">
        <v>25.863104</v>
      </c>
      <c r="N25">
        <v>25.987514000000001</v>
      </c>
      <c r="O25">
        <v>26.078087</v>
      </c>
      <c r="P25">
        <v>26.141869</v>
      </c>
      <c r="Q25">
        <v>26.270350000000001</v>
      </c>
      <c r="R25">
        <v>26.342881999999999</v>
      </c>
      <c r="S25">
        <v>26.495277000000002</v>
      </c>
      <c r="T25">
        <v>26.657043000000002</v>
      </c>
      <c r="U25">
        <v>26.650555000000001</v>
      </c>
      <c r="V25">
        <v>26.505461</v>
      </c>
      <c r="W25">
        <v>26.353251</v>
      </c>
      <c r="X25">
        <v>26.213222999999999</v>
      </c>
      <c r="Y25">
        <v>26.001282</v>
      </c>
      <c r="Z25">
        <v>26.135300000000001</v>
      </c>
      <c r="AA25">
        <v>26.219656000000001</v>
      </c>
      <c r="AB25">
        <v>26.274857999999998</v>
      </c>
      <c r="AC25">
        <v>26.257725000000001</v>
      </c>
      <c r="AD25">
        <v>26.297056000000001</v>
      </c>
      <c r="AE25" t="s">
        <v>1426</v>
      </c>
    </row>
    <row r="26" spans="1:31" x14ac:dyDescent="0.25">
      <c r="A26" t="s">
        <v>188</v>
      </c>
    </row>
    <row r="27" spans="1:31" x14ac:dyDescent="0.25">
      <c r="A27" t="s">
        <v>70</v>
      </c>
      <c r="B27" t="s">
        <v>1445</v>
      </c>
      <c r="C27" t="s">
        <v>1446</v>
      </c>
      <c r="D27" t="s">
        <v>1409</v>
      </c>
      <c r="E27">
        <v>18.230301000000001</v>
      </c>
      <c r="F27">
        <v>16.552263</v>
      </c>
      <c r="G27">
        <v>16.820892000000001</v>
      </c>
      <c r="H27">
        <v>17.604309000000001</v>
      </c>
      <c r="I27">
        <v>18.241240000000001</v>
      </c>
      <c r="J27">
        <v>19.043061999999999</v>
      </c>
      <c r="K27">
        <v>20.069946000000002</v>
      </c>
      <c r="L27">
        <v>20.552720999999998</v>
      </c>
      <c r="M27">
        <v>21.146692000000002</v>
      </c>
      <c r="N27">
        <v>21.506077000000001</v>
      </c>
      <c r="O27">
        <v>21.854965</v>
      </c>
      <c r="P27">
        <v>22.199589</v>
      </c>
      <c r="Q27">
        <v>22.626128999999999</v>
      </c>
      <c r="R27">
        <v>23.029554000000001</v>
      </c>
      <c r="S27">
        <v>23.415109999999999</v>
      </c>
      <c r="T27">
        <v>23.656842999999999</v>
      </c>
      <c r="U27">
        <v>23.802323999999999</v>
      </c>
      <c r="V27">
        <v>23.743452000000001</v>
      </c>
      <c r="W27">
        <v>23.539431</v>
      </c>
      <c r="X27">
        <v>23.348461</v>
      </c>
      <c r="Y27">
        <v>23.399086</v>
      </c>
      <c r="Z27">
        <v>23.566379999999999</v>
      </c>
      <c r="AA27">
        <v>23.736201999999999</v>
      </c>
      <c r="AB27">
        <v>23.909195</v>
      </c>
      <c r="AC27">
        <v>24.016408999999999</v>
      </c>
      <c r="AD27">
        <v>24.094131000000001</v>
      </c>
      <c r="AE27" t="s">
        <v>1219</v>
      </c>
    </row>
    <row r="28" spans="1:31" x14ac:dyDescent="0.25">
      <c r="A28" t="s">
        <v>463</v>
      </c>
      <c r="B28" t="s">
        <v>1447</v>
      </c>
      <c r="C28" t="s">
        <v>1448</v>
      </c>
      <c r="D28" t="s">
        <v>1409</v>
      </c>
      <c r="E28">
        <v>30.587164000000001</v>
      </c>
      <c r="F28">
        <v>30.36919</v>
      </c>
      <c r="G28">
        <v>28.677047999999999</v>
      </c>
      <c r="H28">
        <v>28.205500000000001</v>
      </c>
      <c r="I28">
        <v>28.333576000000001</v>
      </c>
      <c r="J28">
        <v>27.906960000000002</v>
      </c>
      <c r="K28">
        <v>28.297533000000001</v>
      </c>
      <c r="L28">
        <v>28.363213999999999</v>
      </c>
      <c r="M28">
        <v>28.906786</v>
      </c>
      <c r="N28">
        <v>29.033493</v>
      </c>
      <c r="O28">
        <v>29.410183</v>
      </c>
      <c r="P28">
        <v>29.609521999999998</v>
      </c>
      <c r="Q28">
        <v>30.050383</v>
      </c>
      <c r="R28">
        <v>30.233578000000001</v>
      </c>
      <c r="S28">
        <v>30.387833000000001</v>
      </c>
      <c r="T28">
        <v>30.462471000000001</v>
      </c>
      <c r="U28">
        <v>30.467457</v>
      </c>
      <c r="V28">
        <v>30.653212</v>
      </c>
      <c r="W28">
        <v>30.740496</v>
      </c>
      <c r="X28">
        <v>30.804456999999999</v>
      </c>
      <c r="Y28">
        <v>31.101137000000001</v>
      </c>
      <c r="Z28">
        <v>31.114100000000001</v>
      </c>
      <c r="AA28">
        <v>31.294554000000002</v>
      </c>
      <c r="AB28">
        <v>31.505431999999999</v>
      </c>
      <c r="AC28">
        <v>31.763110999999999</v>
      </c>
      <c r="AD28">
        <v>31.845535000000002</v>
      </c>
      <c r="AE28" t="s">
        <v>1081</v>
      </c>
    </row>
    <row r="29" spans="1:31" x14ac:dyDescent="0.25">
      <c r="A29" t="s">
        <v>101</v>
      </c>
      <c r="B29" t="s">
        <v>1449</v>
      </c>
      <c r="C29" t="s">
        <v>1450</v>
      </c>
      <c r="D29" t="s">
        <v>1409</v>
      </c>
      <c r="E29">
        <v>26.463598000000001</v>
      </c>
      <c r="F29">
        <v>24.831171000000001</v>
      </c>
      <c r="G29">
        <v>23.518367999999999</v>
      </c>
      <c r="H29">
        <v>23.004743999999999</v>
      </c>
      <c r="I29">
        <v>23.038350999999999</v>
      </c>
      <c r="J29">
        <v>23.289743000000001</v>
      </c>
      <c r="K29">
        <v>23.568688999999999</v>
      </c>
      <c r="L29">
        <v>23.684021000000001</v>
      </c>
      <c r="M29">
        <v>24.450918000000001</v>
      </c>
      <c r="N29">
        <v>24.526551999999999</v>
      </c>
      <c r="O29">
        <v>24.818318999999999</v>
      </c>
      <c r="P29">
        <v>24.988810999999998</v>
      </c>
      <c r="Q29">
        <v>25.278088</v>
      </c>
      <c r="R29">
        <v>25.447396999999999</v>
      </c>
      <c r="S29">
        <v>25.542393000000001</v>
      </c>
      <c r="T29">
        <v>25.600280999999999</v>
      </c>
      <c r="U29">
        <v>25.635570999999999</v>
      </c>
      <c r="V29">
        <v>25.792300999999998</v>
      </c>
      <c r="W29">
        <v>25.817257000000001</v>
      </c>
      <c r="X29">
        <v>25.846589999999999</v>
      </c>
      <c r="Y29">
        <v>26.046752999999999</v>
      </c>
      <c r="Z29">
        <v>26.044968000000001</v>
      </c>
      <c r="AA29">
        <v>26.291129999999999</v>
      </c>
      <c r="AB29">
        <v>26.432317999999999</v>
      </c>
      <c r="AC29">
        <v>26.660412000000001</v>
      </c>
      <c r="AD29">
        <v>26.726423</v>
      </c>
      <c r="AE29" t="s">
        <v>1114</v>
      </c>
    </row>
    <row r="30" spans="1:31" x14ac:dyDescent="0.25">
      <c r="A30" t="s">
        <v>196</v>
      </c>
      <c r="B30" t="s">
        <v>1451</v>
      </c>
      <c r="C30" t="s">
        <v>1452</v>
      </c>
      <c r="D30" t="s">
        <v>1409</v>
      </c>
      <c r="E30">
        <v>16.24399</v>
      </c>
      <c r="F30">
        <v>14.4871</v>
      </c>
      <c r="G30">
        <v>15.513252</v>
      </c>
      <c r="H30">
        <v>16.039639999999999</v>
      </c>
      <c r="I30">
        <v>16.462814000000002</v>
      </c>
      <c r="J30">
        <v>16.312712000000001</v>
      </c>
      <c r="K30">
        <v>16.804510000000001</v>
      </c>
      <c r="L30">
        <v>16.986189</v>
      </c>
      <c r="M30">
        <v>17.484210999999998</v>
      </c>
      <c r="N30">
        <v>17.613973999999999</v>
      </c>
      <c r="O30">
        <v>17.961834</v>
      </c>
      <c r="P30">
        <v>18.126895999999999</v>
      </c>
      <c r="Q30">
        <v>18.469297000000001</v>
      </c>
      <c r="R30">
        <v>18.758896</v>
      </c>
      <c r="S30">
        <v>18.889296000000002</v>
      </c>
      <c r="T30">
        <v>19.018702999999999</v>
      </c>
      <c r="U30">
        <v>19.250025000000001</v>
      </c>
      <c r="V30">
        <v>19.479724999999998</v>
      </c>
      <c r="W30">
        <v>19.698156000000001</v>
      </c>
      <c r="X30">
        <v>19.915534999999998</v>
      </c>
      <c r="Y30">
        <v>20.284185000000001</v>
      </c>
      <c r="Z30">
        <v>20.584662999999999</v>
      </c>
      <c r="AA30">
        <v>20.832339999999999</v>
      </c>
      <c r="AB30">
        <v>21.223341000000001</v>
      </c>
      <c r="AC30">
        <v>21.568563000000001</v>
      </c>
      <c r="AD30">
        <v>21.66478</v>
      </c>
      <c r="AE30" t="s">
        <v>1095</v>
      </c>
    </row>
    <row r="31" spans="1:31" x14ac:dyDescent="0.25">
      <c r="A31" t="s">
        <v>470</v>
      </c>
      <c r="B31" t="s">
        <v>1453</v>
      </c>
      <c r="C31" t="s">
        <v>1454</v>
      </c>
      <c r="D31" t="s">
        <v>1409</v>
      </c>
      <c r="E31">
        <v>26.549246</v>
      </c>
      <c r="F31">
        <v>24.754401999999999</v>
      </c>
      <c r="G31">
        <v>25.146049000000001</v>
      </c>
      <c r="H31">
        <v>25.384148</v>
      </c>
      <c r="I31">
        <v>25.486162</v>
      </c>
      <c r="J31">
        <v>25.511884999999999</v>
      </c>
      <c r="K31">
        <v>25.44924</v>
      </c>
      <c r="L31">
        <v>25.436337999999999</v>
      </c>
      <c r="M31">
        <v>26.519082999999998</v>
      </c>
      <c r="N31">
        <v>26.532316000000002</v>
      </c>
      <c r="O31">
        <v>26.699427</v>
      </c>
      <c r="P31">
        <v>27.012765999999999</v>
      </c>
      <c r="Q31">
        <v>27.328849999999999</v>
      </c>
      <c r="R31">
        <v>27.564703000000002</v>
      </c>
      <c r="S31">
        <v>27.733108999999999</v>
      </c>
      <c r="T31">
        <v>27.806481999999999</v>
      </c>
      <c r="U31">
        <v>27.91873</v>
      </c>
      <c r="V31">
        <v>28.089151000000001</v>
      </c>
      <c r="W31">
        <v>28.242386</v>
      </c>
      <c r="X31">
        <v>28.371828000000001</v>
      </c>
      <c r="Y31">
        <v>28.690002</v>
      </c>
      <c r="Z31">
        <v>28.967188</v>
      </c>
      <c r="AA31">
        <v>29.070974</v>
      </c>
      <c r="AB31">
        <v>29.503574</v>
      </c>
      <c r="AC31">
        <v>29.858740000000001</v>
      </c>
      <c r="AD31">
        <v>29.888165999999998</v>
      </c>
      <c r="AE31" t="s">
        <v>1119</v>
      </c>
    </row>
    <row r="32" spans="1:31" x14ac:dyDescent="0.25">
      <c r="A32" t="s">
        <v>109</v>
      </c>
      <c r="B32" t="s">
        <v>1455</v>
      </c>
      <c r="C32" t="s">
        <v>1456</v>
      </c>
      <c r="D32" t="s">
        <v>1409</v>
      </c>
      <c r="E32">
        <v>11.500686999999999</v>
      </c>
      <c r="F32">
        <v>8.9310349999999996</v>
      </c>
      <c r="G32">
        <v>9.9921640000000007</v>
      </c>
      <c r="H32">
        <v>10.493447</v>
      </c>
      <c r="I32">
        <v>10.883081000000001</v>
      </c>
      <c r="J32">
        <v>10.811728</v>
      </c>
      <c r="K32">
        <v>11.481400000000001</v>
      </c>
      <c r="L32">
        <v>11.471012999999999</v>
      </c>
      <c r="M32">
        <v>11.732704</v>
      </c>
      <c r="N32">
        <v>11.796239999999999</v>
      </c>
      <c r="O32">
        <v>11.959019</v>
      </c>
      <c r="P32">
        <v>12.090819</v>
      </c>
      <c r="Q32">
        <v>12.152659999999999</v>
      </c>
      <c r="R32">
        <v>12.296811</v>
      </c>
      <c r="S32">
        <v>12.393431</v>
      </c>
      <c r="T32">
        <v>12.606598999999999</v>
      </c>
      <c r="U32">
        <v>12.850626999999999</v>
      </c>
      <c r="V32">
        <v>12.981843</v>
      </c>
      <c r="W32">
        <v>13.100346</v>
      </c>
      <c r="X32">
        <v>13.21874</v>
      </c>
      <c r="Y32">
        <v>13.412381999999999</v>
      </c>
      <c r="Z32">
        <v>13.543149</v>
      </c>
      <c r="AA32">
        <v>13.652481</v>
      </c>
      <c r="AB32">
        <v>13.942176999999999</v>
      </c>
      <c r="AC32">
        <v>14.112513</v>
      </c>
      <c r="AD32">
        <v>14.196051000000001</v>
      </c>
      <c r="AE32" t="s">
        <v>1142</v>
      </c>
    </row>
    <row r="33" spans="1:31" x14ac:dyDescent="0.25">
      <c r="A33" t="s">
        <v>80</v>
      </c>
      <c r="B33" t="s">
        <v>1457</v>
      </c>
      <c r="C33" t="s">
        <v>1458</v>
      </c>
      <c r="D33" t="s">
        <v>1409</v>
      </c>
      <c r="E33">
        <v>17.201744000000001</v>
      </c>
      <c r="F33">
        <v>17.367626000000001</v>
      </c>
      <c r="G33">
        <v>17.20513</v>
      </c>
      <c r="H33">
        <v>17.230906999999998</v>
      </c>
      <c r="I33">
        <v>17.254618000000001</v>
      </c>
      <c r="J33">
        <v>17.582851000000002</v>
      </c>
      <c r="K33">
        <v>17.762487</v>
      </c>
      <c r="L33">
        <v>17.762170999999999</v>
      </c>
      <c r="M33">
        <v>18.35153</v>
      </c>
      <c r="N33">
        <v>18.259518</v>
      </c>
      <c r="O33">
        <v>18.228081</v>
      </c>
      <c r="P33">
        <v>18.170092</v>
      </c>
      <c r="Q33">
        <v>18.233153999999999</v>
      </c>
      <c r="R33">
        <v>18.165154999999999</v>
      </c>
      <c r="S33">
        <v>18.111384999999999</v>
      </c>
      <c r="T33">
        <v>18.037727</v>
      </c>
      <c r="U33">
        <v>17.903182999999999</v>
      </c>
      <c r="V33">
        <v>17.632200000000001</v>
      </c>
      <c r="W33">
        <v>17.322299999999998</v>
      </c>
      <c r="X33">
        <v>17.006471999999999</v>
      </c>
      <c r="Y33">
        <v>16.781309</v>
      </c>
      <c r="Z33">
        <v>16.668741000000001</v>
      </c>
      <c r="AA33">
        <v>16.575771</v>
      </c>
      <c r="AB33">
        <v>16.473714999999999</v>
      </c>
      <c r="AC33">
        <v>16.353365</v>
      </c>
      <c r="AD33">
        <v>16.210370999999999</v>
      </c>
      <c r="AE33" t="s">
        <v>1222</v>
      </c>
    </row>
    <row r="34" spans="1:31" x14ac:dyDescent="0.25">
      <c r="A34" t="s">
        <v>173</v>
      </c>
      <c r="B34" t="s">
        <v>1459</v>
      </c>
      <c r="C34" t="s">
        <v>1460</v>
      </c>
      <c r="D34" t="s">
        <v>1409</v>
      </c>
      <c r="E34">
        <v>62.374836000000002</v>
      </c>
      <c r="F34">
        <v>62.746746000000002</v>
      </c>
      <c r="G34">
        <v>62.738456999999997</v>
      </c>
      <c r="H34">
        <v>63.015265999999997</v>
      </c>
      <c r="I34">
        <v>63.048782000000003</v>
      </c>
      <c r="J34">
        <v>63.657555000000002</v>
      </c>
      <c r="K34">
        <v>64.013808999999995</v>
      </c>
      <c r="L34">
        <v>64.172545999999997</v>
      </c>
      <c r="M34">
        <v>63.995075</v>
      </c>
      <c r="N34">
        <v>64.052963000000005</v>
      </c>
      <c r="O34">
        <v>64.015572000000006</v>
      </c>
      <c r="P34">
        <v>64.193886000000006</v>
      </c>
      <c r="Q34">
        <v>64.200798000000006</v>
      </c>
      <c r="R34">
        <v>64.280997999999997</v>
      </c>
      <c r="S34">
        <v>64.319580000000002</v>
      </c>
      <c r="T34">
        <v>64.383681999999993</v>
      </c>
      <c r="U34">
        <v>64.349739</v>
      </c>
      <c r="V34">
        <v>64.173012</v>
      </c>
      <c r="W34">
        <v>63.824421000000001</v>
      </c>
      <c r="X34">
        <v>63.489322999999999</v>
      </c>
      <c r="Y34">
        <v>63.327376999999998</v>
      </c>
      <c r="Z34">
        <v>63.308292000000002</v>
      </c>
      <c r="AA34">
        <v>63.319298000000003</v>
      </c>
      <c r="AB34">
        <v>63.316147000000001</v>
      </c>
      <c r="AC34">
        <v>63.268272000000003</v>
      </c>
      <c r="AD34">
        <v>63.212685</v>
      </c>
      <c r="AE34" t="s">
        <v>1125</v>
      </c>
    </row>
    <row r="35" spans="1:31" x14ac:dyDescent="0.25">
      <c r="A35" t="s">
        <v>432</v>
      </c>
      <c r="B35" t="s">
        <v>1461</v>
      </c>
      <c r="C35" t="s">
        <v>1462</v>
      </c>
      <c r="D35" t="s">
        <v>1409</v>
      </c>
      <c r="E35">
        <v>45.167717000000003</v>
      </c>
      <c r="F35">
        <v>45.211803000000003</v>
      </c>
      <c r="G35">
        <v>43.827430999999997</v>
      </c>
      <c r="H35">
        <v>42.073334000000003</v>
      </c>
      <c r="I35">
        <v>42.334553</v>
      </c>
      <c r="J35">
        <v>42.817829000000003</v>
      </c>
      <c r="K35">
        <v>42.929927999999997</v>
      </c>
      <c r="L35">
        <v>42.931519000000002</v>
      </c>
      <c r="M35">
        <v>43.020789999999998</v>
      </c>
      <c r="N35">
        <v>43.47242</v>
      </c>
      <c r="O35">
        <v>43.645496000000001</v>
      </c>
      <c r="P35">
        <v>43.821452999999998</v>
      </c>
      <c r="Q35">
        <v>44.27552</v>
      </c>
      <c r="R35">
        <v>44.603706000000003</v>
      </c>
      <c r="S35">
        <v>44.946266000000001</v>
      </c>
      <c r="T35">
        <v>45.146526000000001</v>
      </c>
      <c r="U35">
        <v>45.177844999999998</v>
      </c>
      <c r="V35">
        <v>45.216254999999997</v>
      </c>
      <c r="W35">
        <v>45.159939000000001</v>
      </c>
      <c r="X35">
        <v>45.161937999999999</v>
      </c>
      <c r="Y35">
        <v>45.029476000000003</v>
      </c>
      <c r="Z35">
        <v>45.154152000000003</v>
      </c>
      <c r="AA35">
        <v>45.380164999999998</v>
      </c>
      <c r="AB35">
        <v>45.611682999999999</v>
      </c>
      <c r="AC35">
        <v>45.634093999999997</v>
      </c>
      <c r="AD35">
        <v>45.765835000000003</v>
      </c>
      <c r="AE35" t="s">
        <v>1125</v>
      </c>
    </row>
    <row r="36" spans="1:31" x14ac:dyDescent="0.25">
      <c r="A36" t="s">
        <v>300</v>
      </c>
    </row>
    <row r="37" spans="1:31" x14ac:dyDescent="0.25">
      <c r="A37" t="s">
        <v>74</v>
      </c>
      <c r="B37" t="s">
        <v>1463</v>
      </c>
      <c r="C37" t="s">
        <v>1464</v>
      </c>
      <c r="D37" t="s">
        <v>1409</v>
      </c>
      <c r="E37">
        <v>26.278624000000001</v>
      </c>
      <c r="F37">
        <v>23.833960000000001</v>
      </c>
      <c r="G37">
        <v>23.667581999999999</v>
      </c>
      <c r="H37">
        <v>23.076699999999999</v>
      </c>
      <c r="I37">
        <v>22.468192999999999</v>
      </c>
      <c r="J37">
        <v>21.169487</v>
      </c>
      <c r="K37">
        <v>20.318287000000002</v>
      </c>
      <c r="L37">
        <v>20.499811000000001</v>
      </c>
      <c r="M37">
        <v>20.884249000000001</v>
      </c>
      <c r="N37">
        <v>20.985835999999999</v>
      </c>
      <c r="O37">
        <v>21.269566000000001</v>
      </c>
      <c r="P37">
        <v>21.363935000000001</v>
      </c>
      <c r="Q37">
        <v>21.671391</v>
      </c>
      <c r="R37">
        <v>21.886341000000002</v>
      </c>
      <c r="S37">
        <v>21.976655999999998</v>
      </c>
      <c r="T37">
        <v>22.051749999999998</v>
      </c>
      <c r="U37">
        <v>22.177374</v>
      </c>
      <c r="V37">
        <v>22.304358000000001</v>
      </c>
      <c r="W37">
        <v>22.457405000000001</v>
      </c>
      <c r="X37">
        <v>22.544127</v>
      </c>
      <c r="Y37">
        <v>22.767513000000001</v>
      </c>
      <c r="Z37">
        <v>23.029613000000001</v>
      </c>
      <c r="AA37">
        <v>23.194906</v>
      </c>
      <c r="AB37">
        <v>23.517213999999999</v>
      </c>
      <c r="AC37">
        <v>23.876028000000002</v>
      </c>
      <c r="AD37">
        <v>23.956614999999999</v>
      </c>
      <c r="AE37" t="s">
        <v>1190</v>
      </c>
    </row>
    <row r="38" spans="1:31" x14ac:dyDescent="0.25">
      <c r="A38" t="s">
        <v>109</v>
      </c>
      <c r="B38" t="s">
        <v>1465</v>
      </c>
      <c r="C38" t="s">
        <v>1466</v>
      </c>
      <c r="D38" t="s">
        <v>1409</v>
      </c>
      <c r="E38">
        <v>15.195043</v>
      </c>
      <c r="F38">
        <v>11.392761</v>
      </c>
      <c r="G38">
        <v>12.551583000000001</v>
      </c>
      <c r="H38">
        <v>13.300132</v>
      </c>
      <c r="I38">
        <v>13.720533</v>
      </c>
      <c r="J38">
        <v>13.623014</v>
      </c>
      <c r="K38">
        <v>14.514481999999999</v>
      </c>
      <c r="L38">
        <v>14.386336999999999</v>
      </c>
      <c r="M38">
        <v>14.620388999999999</v>
      </c>
      <c r="N38">
        <v>14.717921</v>
      </c>
      <c r="O38">
        <v>14.781165</v>
      </c>
      <c r="P38">
        <v>14.877487</v>
      </c>
      <c r="Q38">
        <v>14.899772</v>
      </c>
      <c r="R38">
        <v>14.996532</v>
      </c>
      <c r="S38">
        <v>15.101749999999999</v>
      </c>
      <c r="T38">
        <v>15.246218000000001</v>
      </c>
      <c r="U38">
        <v>15.251704999999999</v>
      </c>
      <c r="V38">
        <v>15.076466</v>
      </c>
      <c r="W38">
        <v>14.716722000000001</v>
      </c>
      <c r="X38">
        <v>14.241821</v>
      </c>
      <c r="Y38">
        <v>13.642545999999999</v>
      </c>
      <c r="Z38">
        <v>13.774843000000001</v>
      </c>
      <c r="AA38">
        <v>13.929864</v>
      </c>
      <c r="AB38">
        <v>14.288076999999999</v>
      </c>
      <c r="AC38">
        <v>14.514351</v>
      </c>
      <c r="AD38">
        <v>14.621839</v>
      </c>
      <c r="AE38" t="s">
        <v>1222</v>
      </c>
    </row>
    <row r="39" spans="1:31" x14ac:dyDescent="0.25">
      <c r="A39" t="s">
        <v>80</v>
      </c>
      <c r="B39" t="s">
        <v>1467</v>
      </c>
      <c r="C39" t="s">
        <v>1468</v>
      </c>
      <c r="D39" t="s">
        <v>1409</v>
      </c>
      <c r="E39">
        <v>3.8086660000000001</v>
      </c>
      <c r="F39">
        <v>3.9961380000000002</v>
      </c>
      <c r="G39">
        <v>3.8418549999999998</v>
      </c>
      <c r="H39">
        <v>3.9038390000000001</v>
      </c>
      <c r="I39">
        <v>4.0223579999999997</v>
      </c>
      <c r="J39">
        <v>4.4885929999999998</v>
      </c>
      <c r="K39">
        <v>4.8071089999999996</v>
      </c>
      <c r="L39">
        <v>4.8677530000000004</v>
      </c>
      <c r="M39">
        <v>4.8616390000000003</v>
      </c>
      <c r="N39">
        <v>4.9217959999999996</v>
      </c>
      <c r="O39">
        <v>4.9078799999999996</v>
      </c>
      <c r="P39">
        <v>4.9911940000000001</v>
      </c>
      <c r="Q39">
        <v>5.1027750000000003</v>
      </c>
      <c r="R39">
        <v>5.0704700000000003</v>
      </c>
      <c r="S39">
        <v>5.1779919999999997</v>
      </c>
      <c r="T39">
        <v>5.2102550000000001</v>
      </c>
      <c r="U39">
        <v>5.1400969999999999</v>
      </c>
      <c r="V39">
        <v>4.9792449999999997</v>
      </c>
      <c r="W39">
        <v>4.8031779999999999</v>
      </c>
      <c r="X39">
        <v>4.6188770000000003</v>
      </c>
      <c r="Y39">
        <v>4.4972940000000001</v>
      </c>
      <c r="Z39">
        <v>4.4766849999999998</v>
      </c>
      <c r="AA39">
        <v>4.468712</v>
      </c>
      <c r="AB39">
        <v>4.4901249999999999</v>
      </c>
      <c r="AC39">
        <v>4.4821049999999998</v>
      </c>
      <c r="AD39">
        <v>4.4605689999999996</v>
      </c>
      <c r="AE39" t="s">
        <v>1164</v>
      </c>
    </row>
    <row r="40" spans="1:31" x14ac:dyDescent="0.25">
      <c r="A40" t="s">
        <v>309</v>
      </c>
      <c r="B40" t="s">
        <v>1469</v>
      </c>
      <c r="C40" t="s">
        <v>1470</v>
      </c>
      <c r="D40" t="s">
        <v>1409</v>
      </c>
      <c r="E40">
        <v>2.563418</v>
      </c>
      <c r="F40">
        <v>2.517128</v>
      </c>
      <c r="G40">
        <v>2.4761769999999999</v>
      </c>
      <c r="H40">
        <v>2.4604339999999998</v>
      </c>
      <c r="I40">
        <v>2.4535979999999999</v>
      </c>
      <c r="J40">
        <v>2.4654240000000001</v>
      </c>
      <c r="K40">
        <v>2.420226</v>
      </c>
      <c r="L40">
        <v>2.4049230000000001</v>
      </c>
      <c r="M40">
        <v>2.399562</v>
      </c>
      <c r="N40">
        <v>2.3788399999999998</v>
      </c>
      <c r="O40">
        <v>2.3768729999999998</v>
      </c>
      <c r="P40">
        <v>2.373297</v>
      </c>
      <c r="Q40">
        <v>2.4124629999999998</v>
      </c>
      <c r="R40">
        <v>2.4174259999999999</v>
      </c>
      <c r="S40">
        <v>2.4346030000000001</v>
      </c>
      <c r="T40">
        <v>2.4404759999999999</v>
      </c>
      <c r="U40">
        <v>2.4332989999999999</v>
      </c>
      <c r="V40">
        <v>2.4310619999999998</v>
      </c>
      <c r="W40">
        <v>2.4407299999999998</v>
      </c>
      <c r="X40">
        <v>2.4316520000000001</v>
      </c>
      <c r="Y40">
        <v>2.4418959999999998</v>
      </c>
      <c r="Z40">
        <v>2.4550960000000002</v>
      </c>
      <c r="AA40">
        <v>2.4648059999999998</v>
      </c>
      <c r="AB40">
        <v>2.4736319999999998</v>
      </c>
      <c r="AC40">
        <v>2.5034019999999999</v>
      </c>
      <c r="AD40">
        <v>2.5036860000000001</v>
      </c>
      <c r="AE40" t="s">
        <v>1231</v>
      </c>
    </row>
    <row r="41" spans="1:31" x14ac:dyDescent="0.25">
      <c r="A41" t="s">
        <v>1471</v>
      </c>
      <c r="B41" t="s">
        <v>1472</v>
      </c>
      <c r="C41" t="s">
        <v>1473</v>
      </c>
      <c r="D41" t="s">
        <v>1409</v>
      </c>
      <c r="E41">
        <v>0.54999699999999996</v>
      </c>
      <c r="F41">
        <v>0.545068</v>
      </c>
      <c r="G41">
        <v>0.54408299999999998</v>
      </c>
      <c r="H41">
        <v>0.54211100000000001</v>
      </c>
      <c r="I41">
        <v>0.54013999999999995</v>
      </c>
      <c r="J41">
        <v>0.53816900000000001</v>
      </c>
      <c r="K41">
        <v>0.53521200000000002</v>
      </c>
      <c r="L41">
        <v>0.53225500000000003</v>
      </c>
      <c r="M41">
        <v>0.52929800000000005</v>
      </c>
      <c r="N41">
        <v>0.52535500000000002</v>
      </c>
      <c r="O41">
        <v>0.52141300000000002</v>
      </c>
      <c r="P41">
        <v>0.51746999999999999</v>
      </c>
      <c r="Q41">
        <v>0.514513</v>
      </c>
      <c r="R41">
        <v>0.51155600000000001</v>
      </c>
      <c r="S41">
        <v>0.50859900000000002</v>
      </c>
      <c r="T41">
        <v>0.50465599999999999</v>
      </c>
      <c r="U41">
        <v>0.50169900000000001</v>
      </c>
      <c r="V41">
        <v>0.49775700000000001</v>
      </c>
      <c r="W41">
        <v>0.49480000000000002</v>
      </c>
      <c r="X41">
        <v>0.49085699999999999</v>
      </c>
      <c r="Y41">
        <v>0.48691499999999999</v>
      </c>
      <c r="Z41">
        <v>0.48297200000000001</v>
      </c>
      <c r="AA41">
        <v>0.48001500000000002</v>
      </c>
      <c r="AB41">
        <v>0.476072</v>
      </c>
      <c r="AC41">
        <v>0.47212999999999999</v>
      </c>
      <c r="AD41">
        <v>0.46818700000000002</v>
      </c>
      <c r="AE41" t="s">
        <v>1474</v>
      </c>
    </row>
    <row r="42" spans="1:31" x14ac:dyDescent="0.25">
      <c r="A42" t="s">
        <v>173</v>
      </c>
      <c r="B42" t="s">
        <v>1475</v>
      </c>
      <c r="C42" t="s">
        <v>1476</v>
      </c>
      <c r="D42" t="s">
        <v>1409</v>
      </c>
      <c r="E42">
        <v>11.501232999999999</v>
      </c>
      <c r="F42">
        <v>11.889143000000001</v>
      </c>
      <c r="G42">
        <v>11.882795</v>
      </c>
      <c r="H42">
        <v>12.018814000000001</v>
      </c>
      <c r="I42">
        <v>12.101516</v>
      </c>
      <c r="J42">
        <v>12.795125000000001</v>
      </c>
      <c r="K42">
        <v>13.078889999999999</v>
      </c>
      <c r="L42">
        <v>13.222678999999999</v>
      </c>
      <c r="M42">
        <v>13.297701999999999</v>
      </c>
      <c r="N42">
        <v>13.326264999999999</v>
      </c>
      <c r="O42">
        <v>13.258114000000001</v>
      </c>
      <c r="P42">
        <v>13.428031000000001</v>
      </c>
      <c r="Q42">
        <v>13.448741</v>
      </c>
      <c r="R42">
        <v>13.548419000000001</v>
      </c>
      <c r="S42">
        <v>13.640568999999999</v>
      </c>
      <c r="T42">
        <v>13.690514</v>
      </c>
      <c r="U42">
        <v>13.610089</v>
      </c>
      <c r="V42">
        <v>13.418937</v>
      </c>
      <c r="W42">
        <v>13.098224</v>
      </c>
      <c r="X42">
        <v>12.831071</v>
      </c>
      <c r="Y42">
        <v>12.693265999999999</v>
      </c>
      <c r="Z42">
        <v>12.639281</v>
      </c>
      <c r="AA42">
        <v>12.648698</v>
      </c>
      <c r="AB42">
        <v>12.653786999999999</v>
      </c>
      <c r="AC42">
        <v>12.621601</v>
      </c>
      <c r="AD42">
        <v>12.580778</v>
      </c>
      <c r="AE42" t="s">
        <v>1111</v>
      </c>
    </row>
    <row r="43" spans="1:31" x14ac:dyDescent="0.25">
      <c r="A43" t="s">
        <v>494</v>
      </c>
    </row>
    <row r="44" spans="1:31" x14ac:dyDescent="0.25">
      <c r="A44" t="s">
        <v>70</v>
      </c>
      <c r="B44" t="s">
        <v>1477</v>
      </c>
      <c r="C44" t="s">
        <v>1478</v>
      </c>
      <c r="D44" t="s">
        <v>1409</v>
      </c>
      <c r="E44">
        <v>22.702044000000001</v>
      </c>
      <c r="F44">
        <v>22.011320000000001</v>
      </c>
      <c r="G44">
        <v>19.890574999999998</v>
      </c>
      <c r="H44">
        <v>20.410050999999999</v>
      </c>
      <c r="I44">
        <v>21.036221000000001</v>
      </c>
      <c r="J44">
        <v>21.90551</v>
      </c>
      <c r="K44">
        <v>23.090216000000002</v>
      </c>
      <c r="L44">
        <v>23.818688999999999</v>
      </c>
      <c r="M44">
        <v>24.668346</v>
      </c>
      <c r="N44">
        <v>25.227968000000001</v>
      </c>
      <c r="O44">
        <v>25.747188999999999</v>
      </c>
      <c r="P44">
        <v>26.245014000000001</v>
      </c>
      <c r="Q44">
        <v>26.785838999999999</v>
      </c>
      <c r="R44">
        <v>27.313734</v>
      </c>
      <c r="S44">
        <v>27.835369</v>
      </c>
      <c r="T44">
        <v>28.224968000000001</v>
      </c>
      <c r="U44">
        <v>28.504121999999999</v>
      </c>
      <c r="V44">
        <v>28.541236999999999</v>
      </c>
      <c r="W44">
        <v>28.373795000000001</v>
      </c>
      <c r="X44">
        <v>28.155215999999999</v>
      </c>
      <c r="Y44">
        <v>28.14237</v>
      </c>
      <c r="Z44">
        <v>28.278894000000001</v>
      </c>
      <c r="AA44">
        <v>28.458743999999999</v>
      </c>
      <c r="AB44">
        <v>28.665367</v>
      </c>
      <c r="AC44">
        <v>28.819272999999999</v>
      </c>
      <c r="AD44">
        <v>28.935324000000001</v>
      </c>
      <c r="AE44" t="s">
        <v>1092</v>
      </c>
    </row>
    <row r="45" spans="1:31" x14ac:dyDescent="0.25">
      <c r="A45" t="s">
        <v>463</v>
      </c>
      <c r="B45" t="s">
        <v>1479</v>
      </c>
      <c r="C45" t="s">
        <v>1480</v>
      </c>
      <c r="D45" t="s">
        <v>1409</v>
      </c>
      <c r="E45">
        <v>30.587164000000001</v>
      </c>
      <c r="F45">
        <v>30.36919</v>
      </c>
      <c r="G45">
        <v>28.677047999999999</v>
      </c>
      <c r="H45">
        <v>28.205500000000001</v>
      </c>
      <c r="I45">
        <v>28.333576000000001</v>
      </c>
      <c r="J45">
        <v>27.906960000000002</v>
      </c>
      <c r="K45">
        <v>28.297533000000001</v>
      </c>
      <c r="L45">
        <v>28.363213999999999</v>
      </c>
      <c r="M45">
        <v>28.906786</v>
      </c>
      <c r="N45">
        <v>29.033493</v>
      </c>
      <c r="O45">
        <v>29.410183</v>
      </c>
      <c r="P45">
        <v>29.609521999999998</v>
      </c>
      <c r="Q45">
        <v>30.050383</v>
      </c>
      <c r="R45">
        <v>30.233578000000001</v>
      </c>
      <c r="S45">
        <v>30.387833000000001</v>
      </c>
      <c r="T45">
        <v>30.462471000000001</v>
      </c>
      <c r="U45">
        <v>30.467457</v>
      </c>
      <c r="V45">
        <v>30.653212</v>
      </c>
      <c r="W45">
        <v>30.740496</v>
      </c>
      <c r="X45">
        <v>30.804456999999999</v>
      </c>
      <c r="Y45">
        <v>31.101137000000001</v>
      </c>
      <c r="Z45">
        <v>31.114100000000001</v>
      </c>
      <c r="AA45">
        <v>31.294554000000002</v>
      </c>
      <c r="AB45">
        <v>31.505431999999999</v>
      </c>
      <c r="AC45">
        <v>31.763110999999999</v>
      </c>
      <c r="AD45">
        <v>31.845535000000002</v>
      </c>
      <c r="AE45" t="s">
        <v>1081</v>
      </c>
    </row>
    <row r="46" spans="1:31" x14ac:dyDescent="0.25">
      <c r="A46" t="s">
        <v>101</v>
      </c>
      <c r="B46" t="s">
        <v>1481</v>
      </c>
      <c r="C46" t="s">
        <v>1482</v>
      </c>
      <c r="D46" t="s">
        <v>1409</v>
      </c>
      <c r="E46">
        <v>26.495358</v>
      </c>
      <c r="F46">
        <v>24.872758999999999</v>
      </c>
      <c r="G46">
        <v>23.603987</v>
      </c>
      <c r="H46">
        <v>23.102118999999998</v>
      </c>
      <c r="I46">
        <v>23.124382000000001</v>
      </c>
      <c r="J46">
        <v>23.349243000000001</v>
      </c>
      <c r="K46">
        <v>23.592162999999999</v>
      </c>
      <c r="L46">
        <v>23.708321000000002</v>
      </c>
      <c r="M46">
        <v>24.476206000000001</v>
      </c>
      <c r="N46">
        <v>24.552603000000001</v>
      </c>
      <c r="O46">
        <v>24.845331000000002</v>
      </c>
      <c r="P46">
        <v>25.016808999999999</v>
      </c>
      <c r="Q46">
        <v>25.307272000000001</v>
      </c>
      <c r="R46">
        <v>25.477606000000002</v>
      </c>
      <c r="S46">
        <v>25.573629</v>
      </c>
      <c r="T46">
        <v>25.632380999999999</v>
      </c>
      <c r="U46">
        <v>25.668381</v>
      </c>
      <c r="V46">
        <v>25.825890999999999</v>
      </c>
      <c r="W46">
        <v>25.851852000000001</v>
      </c>
      <c r="X46">
        <v>25.881882000000001</v>
      </c>
      <c r="Y46">
        <v>26.082901</v>
      </c>
      <c r="Z46">
        <v>26.081779000000001</v>
      </c>
      <c r="AA46">
        <v>26.328762000000001</v>
      </c>
      <c r="AB46">
        <v>26.4711</v>
      </c>
      <c r="AC46">
        <v>26.700232</v>
      </c>
      <c r="AD46">
        <v>26.767040000000001</v>
      </c>
      <c r="AE46" t="s">
        <v>1114</v>
      </c>
    </row>
    <row r="47" spans="1:31" x14ac:dyDescent="0.25">
      <c r="A47" t="s">
        <v>196</v>
      </c>
      <c r="B47" t="s">
        <v>1483</v>
      </c>
      <c r="C47" t="s">
        <v>1484</v>
      </c>
      <c r="D47" t="s">
        <v>1409</v>
      </c>
      <c r="E47">
        <v>16.24399</v>
      </c>
      <c r="F47">
        <v>14.4871</v>
      </c>
      <c r="G47">
        <v>15.513252</v>
      </c>
      <c r="H47">
        <v>16.039639999999999</v>
      </c>
      <c r="I47">
        <v>16.462814000000002</v>
      </c>
      <c r="J47">
        <v>16.312712000000001</v>
      </c>
      <c r="K47">
        <v>16.804510000000001</v>
      </c>
      <c r="L47">
        <v>16.986189</v>
      </c>
      <c r="M47">
        <v>17.484210999999998</v>
      </c>
      <c r="N47">
        <v>17.613973999999999</v>
      </c>
      <c r="O47">
        <v>17.961834</v>
      </c>
      <c r="P47">
        <v>18.126895999999999</v>
      </c>
      <c r="Q47">
        <v>18.469297000000001</v>
      </c>
      <c r="R47">
        <v>18.758896</v>
      </c>
      <c r="S47">
        <v>18.889296000000002</v>
      </c>
      <c r="T47">
        <v>19.018702999999999</v>
      </c>
      <c r="U47">
        <v>19.250025000000001</v>
      </c>
      <c r="V47">
        <v>19.479724999999998</v>
      </c>
      <c r="W47">
        <v>19.698156000000001</v>
      </c>
      <c r="X47">
        <v>19.915534999999998</v>
      </c>
      <c r="Y47">
        <v>20.284185000000001</v>
      </c>
      <c r="Z47">
        <v>20.584662999999999</v>
      </c>
      <c r="AA47">
        <v>20.832339999999999</v>
      </c>
      <c r="AB47">
        <v>21.223341000000001</v>
      </c>
      <c r="AC47">
        <v>21.568563000000001</v>
      </c>
      <c r="AD47">
        <v>21.66478</v>
      </c>
      <c r="AE47" t="s">
        <v>1095</v>
      </c>
    </row>
    <row r="48" spans="1:31" x14ac:dyDescent="0.25">
      <c r="A48" t="s">
        <v>74</v>
      </c>
      <c r="B48" t="s">
        <v>1485</v>
      </c>
      <c r="C48" t="s">
        <v>1486</v>
      </c>
      <c r="D48" t="s">
        <v>1409</v>
      </c>
      <c r="E48">
        <v>26.483619999999998</v>
      </c>
      <c r="F48">
        <v>24.537634000000001</v>
      </c>
      <c r="G48">
        <v>24.933686999999999</v>
      </c>
      <c r="H48">
        <v>24.947424000000002</v>
      </c>
      <c r="I48">
        <v>24.864519000000001</v>
      </c>
      <c r="J48">
        <v>24.596664000000001</v>
      </c>
      <c r="K48">
        <v>24.478802000000002</v>
      </c>
      <c r="L48">
        <v>24.558308</v>
      </c>
      <c r="M48">
        <v>25.454048</v>
      </c>
      <c r="N48">
        <v>25.480737999999999</v>
      </c>
      <c r="O48">
        <v>25.735588</v>
      </c>
      <c r="P48">
        <v>25.989059000000001</v>
      </c>
      <c r="Q48">
        <v>26.231991000000001</v>
      </c>
      <c r="R48">
        <v>26.447695</v>
      </c>
      <c r="S48">
        <v>26.592919999999999</v>
      </c>
      <c r="T48">
        <v>26.702435999999999</v>
      </c>
      <c r="U48">
        <v>26.871062999999999</v>
      </c>
      <c r="V48">
        <v>27.024204000000001</v>
      </c>
      <c r="W48">
        <v>27.179129</v>
      </c>
      <c r="X48">
        <v>27.326934999999999</v>
      </c>
      <c r="Y48">
        <v>27.619408</v>
      </c>
      <c r="Z48">
        <v>27.856705000000002</v>
      </c>
      <c r="AA48">
        <v>28.047062</v>
      </c>
      <c r="AB48">
        <v>28.40428</v>
      </c>
      <c r="AC48">
        <v>28.716272</v>
      </c>
      <c r="AD48">
        <v>28.790123000000001</v>
      </c>
      <c r="AE48" t="s">
        <v>1161</v>
      </c>
    </row>
    <row r="49" spans="1:31" x14ac:dyDescent="0.25">
      <c r="A49" t="s">
        <v>109</v>
      </c>
      <c r="B49" t="s">
        <v>1487</v>
      </c>
      <c r="C49" t="s">
        <v>1488</v>
      </c>
      <c r="D49" t="s">
        <v>1409</v>
      </c>
      <c r="E49">
        <v>11.658543999999999</v>
      </c>
      <c r="F49">
        <v>9.0185379999999995</v>
      </c>
      <c r="G49">
        <v>10.140831</v>
      </c>
      <c r="H49">
        <v>10.694611</v>
      </c>
      <c r="I49">
        <v>11.126874000000001</v>
      </c>
      <c r="J49">
        <v>11.083372000000001</v>
      </c>
      <c r="K49">
        <v>11.808846000000001</v>
      </c>
      <c r="L49">
        <v>11.781062</v>
      </c>
      <c r="M49">
        <v>12.035919</v>
      </c>
      <c r="N49">
        <v>12.088141</v>
      </c>
      <c r="O49">
        <v>12.242559</v>
      </c>
      <c r="P49">
        <v>12.36689</v>
      </c>
      <c r="Q49">
        <v>12.420006000000001</v>
      </c>
      <c r="R49">
        <v>12.556001999999999</v>
      </c>
      <c r="S49">
        <v>12.649469</v>
      </c>
      <c r="T49">
        <v>12.854072</v>
      </c>
      <c r="U49">
        <v>13.074571000000001</v>
      </c>
      <c r="V49">
        <v>13.178183000000001</v>
      </c>
      <c r="W49">
        <v>13.263780000000001</v>
      </c>
      <c r="X49">
        <v>13.350979000000001</v>
      </c>
      <c r="Y49">
        <v>13.516272000000001</v>
      </c>
      <c r="Z49">
        <v>13.647000999999999</v>
      </c>
      <c r="AA49">
        <v>13.757747</v>
      </c>
      <c r="AB49">
        <v>14.050404</v>
      </c>
      <c r="AC49">
        <v>14.222381</v>
      </c>
      <c r="AD49">
        <v>14.306244</v>
      </c>
      <c r="AE49" t="s">
        <v>1142</v>
      </c>
    </row>
    <row r="50" spans="1:31" x14ac:dyDescent="0.25">
      <c r="A50" t="s">
        <v>80</v>
      </c>
      <c r="B50" t="s">
        <v>1489</v>
      </c>
      <c r="C50" t="s">
        <v>1490</v>
      </c>
      <c r="D50" t="s">
        <v>1409</v>
      </c>
      <c r="E50">
        <v>6.5553980000000003</v>
      </c>
      <c r="F50">
        <v>6.4045670000000001</v>
      </c>
      <c r="G50">
        <v>6.4727680000000003</v>
      </c>
      <c r="H50">
        <v>6.6042339999999999</v>
      </c>
      <c r="I50">
        <v>6.7728330000000003</v>
      </c>
      <c r="J50">
        <v>7.2275159999999996</v>
      </c>
      <c r="K50">
        <v>7.4738040000000003</v>
      </c>
      <c r="L50">
        <v>7.5573170000000003</v>
      </c>
      <c r="M50">
        <v>7.6466209999999997</v>
      </c>
      <c r="N50">
        <v>7.6921869999999997</v>
      </c>
      <c r="O50">
        <v>7.7549450000000002</v>
      </c>
      <c r="P50">
        <v>7.8222060000000004</v>
      </c>
      <c r="Q50">
        <v>7.9148230000000002</v>
      </c>
      <c r="R50">
        <v>7.9248079999999996</v>
      </c>
      <c r="S50">
        <v>7.998958</v>
      </c>
      <c r="T50">
        <v>8.0220470000000006</v>
      </c>
      <c r="U50">
        <v>7.9680059999999999</v>
      </c>
      <c r="V50">
        <v>7.7988600000000003</v>
      </c>
      <c r="W50">
        <v>7.5909719999999998</v>
      </c>
      <c r="X50">
        <v>7.3794019999999998</v>
      </c>
      <c r="Y50">
        <v>7.2518359999999999</v>
      </c>
      <c r="Z50">
        <v>7.2183539999999997</v>
      </c>
      <c r="AA50">
        <v>7.2061529999999996</v>
      </c>
      <c r="AB50">
        <v>7.2016710000000002</v>
      </c>
      <c r="AC50">
        <v>7.1753049999999998</v>
      </c>
      <c r="AD50">
        <v>7.1387070000000001</v>
      </c>
      <c r="AE50" t="s">
        <v>1161</v>
      </c>
    </row>
    <row r="51" spans="1:31" x14ac:dyDescent="0.25">
      <c r="A51" t="s">
        <v>156</v>
      </c>
      <c r="B51" t="s">
        <v>1491</v>
      </c>
      <c r="C51" t="s">
        <v>1492</v>
      </c>
      <c r="D51" t="s">
        <v>1409</v>
      </c>
      <c r="E51">
        <v>6.4173830000000001</v>
      </c>
      <c r="F51">
        <v>6.4206510000000003</v>
      </c>
      <c r="G51">
        <v>6.4261860000000004</v>
      </c>
      <c r="H51">
        <v>6.4388719999999999</v>
      </c>
      <c r="I51">
        <v>6.4306429999999999</v>
      </c>
      <c r="J51">
        <v>6.4452379999999998</v>
      </c>
      <c r="K51">
        <v>6.4288220000000003</v>
      </c>
      <c r="L51">
        <v>6.450939</v>
      </c>
      <c r="M51">
        <v>6.4487930000000002</v>
      </c>
      <c r="N51">
        <v>6.4276619999999998</v>
      </c>
      <c r="O51">
        <v>6.4315420000000003</v>
      </c>
      <c r="P51">
        <v>6.3967359999999998</v>
      </c>
      <c r="Q51">
        <v>6.4021189999999999</v>
      </c>
      <c r="R51">
        <v>6.3992680000000002</v>
      </c>
      <c r="S51">
        <v>6.3692909999999996</v>
      </c>
      <c r="T51">
        <v>6.3729829999999996</v>
      </c>
      <c r="U51">
        <v>6.3628539999999996</v>
      </c>
      <c r="V51">
        <v>6.3515819999999996</v>
      </c>
      <c r="W51">
        <v>6.3468689999999999</v>
      </c>
      <c r="X51">
        <v>6.3368409999999997</v>
      </c>
      <c r="Y51">
        <v>6.3410890000000002</v>
      </c>
      <c r="Z51">
        <v>6.3328819999999997</v>
      </c>
      <c r="AA51">
        <v>6.3433619999999999</v>
      </c>
      <c r="AB51">
        <v>6.3517770000000002</v>
      </c>
      <c r="AC51">
        <v>6.326384</v>
      </c>
      <c r="AD51">
        <v>6.3207449999999996</v>
      </c>
      <c r="AE51" t="s">
        <v>1231</v>
      </c>
    </row>
    <row r="52" spans="1:31" x14ac:dyDescent="0.25">
      <c r="A52" t="s">
        <v>276</v>
      </c>
      <c r="B52" t="s">
        <v>1493</v>
      </c>
      <c r="C52" t="s">
        <v>1494</v>
      </c>
      <c r="D52" t="s">
        <v>1409</v>
      </c>
      <c r="E52">
        <v>2.6385459999999998</v>
      </c>
      <c r="F52">
        <v>2.585531</v>
      </c>
      <c r="G52">
        <v>2.5474290000000002</v>
      </c>
      <c r="H52">
        <v>2.5397210000000001</v>
      </c>
      <c r="I52">
        <v>2.5344030000000002</v>
      </c>
      <c r="J52">
        <v>2.5434350000000001</v>
      </c>
      <c r="K52">
        <v>2.5147390000000001</v>
      </c>
      <c r="L52">
        <v>2.5074879999999999</v>
      </c>
      <c r="M52">
        <v>2.5057369999999999</v>
      </c>
      <c r="N52">
        <v>2.4910679999999998</v>
      </c>
      <c r="O52">
        <v>2.4884080000000002</v>
      </c>
      <c r="P52">
        <v>2.486011</v>
      </c>
      <c r="Q52">
        <v>2.5231050000000002</v>
      </c>
      <c r="R52">
        <v>2.5270739999999998</v>
      </c>
      <c r="S52">
        <v>2.5411060000000001</v>
      </c>
      <c r="T52">
        <v>2.5509050000000002</v>
      </c>
      <c r="U52">
        <v>2.5454910000000002</v>
      </c>
      <c r="V52">
        <v>2.54495</v>
      </c>
      <c r="W52">
        <v>2.555517</v>
      </c>
      <c r="X52">
        <v>2.5482399999999998</v>
      </c>
      <c r="Y52">
        <v>2.5584159999999998</v>
      </c>
      <c r="Z52">
        <v>2.5702219999999998</v>
      </c>
      <c r="AA52">
        <v>2.5779070000000002</v>
      </c>
      <c r="AB52">
        <v>2.5856650000000001</v>
      </c>
      <c r="AC52">
        <v>2.6178140000000001</v>
      </c>
      <c r="AD52">
        <v>2.6227580000000001</v>
      </c>
      <c r="AE52" t="s">
        <v>1426</v>
      </c>
    </row>
    <row r="53" spans="1:31" x14ac:dyDescent="0.25">
      <c r="A53" t="s">
        <v>173</v>
      </c>
      <c r="B53" t="s">
        <v>1495</v>
      </c>
      <c r="C53" t="s">
        <v>1496</v>
      </c>
      <c r="D53" t="s">
        <v>1409</v>
      </c>
      <c r="E53">
        <v>11.520918</v>
      </c>
      <c r="F53">
        <v>11.909079999999999</v>
      </c>
      <c r="G53">
        <v>11.901854</v>
      </c>
      <c r="H53">
        <v>12.036937</v>
      </c>
      <c r="I53">
        <v>12.11853</v>
      </c>
      <c r="J53">
        <v>12.81115</v>
      </c>
      <c r="K53">
        <v>13.09416</v>
      </c>
      <c r="L53">
        <v>13.236961000000001</v>
      </c>
      <c r="M53">
        <v>13.310853</v>
      </c>
      <c r="N53">
        <v>13.338182</v>
      </c>
      <c r="O53">
        <v>13.268966000000001</v>
      </c>
      <c r="P53">
        <v>13.437925</v>
      </c>
      <c r="Q53">
        <v>13.457554</v>
      </c>
      <c r="R53">
        <v>13.556302000000001</v>
      </c>
      <c r="S53">
        <v>13.647576000000001</v>
      </c>
      <c r="T53">
        <v>13.696771</v>
      </c>
      <c r="U53">
        <v>13.615613</v>
      </c>
      <c r="V53">
        <v>13.423871</v>
      </c>
      <c r="W53">
        <v>13.102622999999999</v>
      </c>
      <c r="X53">
        <v>12.835016</v>
      </c>
      <c r="Y53">
        <v>12.696754</v>
      </c>
      <c r="Z53">
        <v>12.642459000000001</v>
      </c>
      <c r="AA53">
        <v>12.651646</v>
      </c>
      <c r="AB53">
        <v>12.656511999999999</v>
      </c>
      <c r="AC53">
        <v>12.624174999999999</v>
      </c>
      <c r="AD53">
        <v>12.583214</v>
      </c>
      <c r="AE53" t="s">
        <v>1111</v>
      </c>
    </row>
    <row r="54" spans="1:31" x14ac:dyDescent="0.25">
      <c r="A54" t="s">
        <v>432</v>
      </c>
      <c r="B54" t="s">
        <v>1497</v>
      </c>
      <c r="C54" t="s">
        <v>1498</v>
      </c>
      <c r="D54" t="s">
        <v>1409</v>
      </c>
      <c r="E54">
        <v>39.675659000000003</v>
      </c>
      <c r="F54">
        <v>39.493042000000003</v>
      </c>
      <c r="G54">
        <v>38.296405999999998</v>
      </c>
      <c r="H54">
        <v>37.428561999999999</v>
      </c>
      <c r="I54">
        <v>37.719357000000002</v>
      </c>
      <c r="J54">
        <v>38.150036</v>
      </c>
      <c r="K54">
        <v>38.540874000000002</v>
      </c>
      <c r="L54">
        <v>38.748714</v>
      </c>
      <c r="M54">
        <v>38.993256000000002</v>
      </c>
      <c r="N54">
        <v>39.232204000000003</v>
      </c>
      <c r="O54">
        <v>39.350903000000002</v>
      </c>
      <c r="P54">
        <v>39.442905000000003</v>
      </c>
      <c r="Q54">
        <v>39.661144</v>
      </c>
      <c r="R54">
        <v>39.805466000000003</v>
      </c>
      <c r="S54">
        <v>40.015793000000002</v>
      </c>
      <c r="T54">
        <v>40.238861</v>
      </c>
      <c r="U54">
        <v>40.301864999999999</v>
      </c>
      <c r="V54">
        <v>40.256413000000002</v>
      </c>
      <c r="W54">
        <v>40.148063999999998</v>
      </c>
      <c r="X54">
        <v>40.062302000000003</v>
      </c>
      <c r="Y54">
        <v>39.844402000000002</v>
      </c>
      <c r="Z54">
        <v>40.021355</v>
      </c>
      <c r="AA54">
        <v>40.178122999999999</v>
      </c>
      <c r="AB54">
        <v>40.333866</v>
      </c>
      <c r="AC54">
        <v>40.388382</v>
      </c>
      <c r="AD54">
        <v>40.523159</v>
      </c>
      <c r="AE54" t="s">
        <v>1125</v>
      </c>
    </row>
    <row r="55" spans="1:31" x14ac:dyDescent="0.25">
      <c r="A55" t="s">
        <v>517</v>
      </c>
    </row>
    <row r="56" spans="1:31" x14ac:dyDescent="0.25">
      <c r="A56" t="s">
        <v>1499</v>
      </c>
    </row>
    <row r="57" spans="1:31" x14ac:dyDescent="0.25">
      <c r="A57" t="s">
        <v>69</v>
      </c>
      <c r="B57" t="s">
        <v>1500</v>
      </c>
      <c r="C57" t="s">
        <v>1501</v>
      </c>
      <c r="D57" t="s">
        <v>1502</v>
      </c>
      <c r="E57">
        <v>354.07873499999999</v>
      </c>
      <c r="F57">
        <v>347.31488000000002</v>
      </c>
      <c r="G57">
        <v>338.06817599999999</v>
      </c>
      <c r="H57">
        <v>335.79321299999998</v>
      </c>
      <c r="I57">
        <v>339.531158</v>
      </c>
      <c r="J57">
        <v>343.626465</v>
      </c>
      <c r="K57">
        <v>346.998627</v>
      </c>
      <c r="L57">
        <v>349.593231</v>
      </c>
      <c r="M57">
        <v>353.89550800000001</v>
      </c>
      <c r="N57">
        <v>356.78738399999997</v>
      </c>
      <c r="O57">
        <v>359.66171300000002</v>
      </c>
      <c r="P57">
        <v>362.28195199999999</v>
      </c>
      <c r="Q57">
        <v>366.41424599999999</v>
      </c>
      <c r="R57">
        <v>369.832855</v>
      </c>
      <c r="S57">
        <v>373.56204200000002</v>
      </c>
      <c r="T57">
        <v>377.146973</v>
      </c>
      <c r="U57">
        <v>379.86029100000002</v>
      </c>
      <c r="V57">
        <v>381.64788800000002</v>
      </c>
      <c r="W57">
        <v>382.96667500000001</v>
      </c>
      <c r="X57">
        <v>384.31784099999999</v>
      </c>
      <c r="Y57">
        <v>385.41867100000002</v>
      </c>
      <c r="Z57">
        <v>389.11419699999999</v>
      </c>
      <c r="AA57">
        <v>392.74761999999998</v>
      </c>
      <c r="AB57">
        <v>396.37664799999999</v>
      </c>
      <c r="AC57">
        <v>399.44296300000002</v>
      </c>
      <c r="AD57">
        <v>402.86352499999998</v>
      </c>
      <c r="AE57" t="s">
        <v>1119</v>
      </c>
    </row>
    <row r="58" spans="1:31" x14ac:dyDescent="0.25">
      <c r="A58" t="s">
        <v>98</v>
      </c>
      <c r="B58" t="s">
        <v>1503</v>
      </c>
      <c r="C58" t="s">
        <v>1504</v>
      </c>
      <c r="D58" t="s">
        <v>1502</v>
      </c>
      <c r="E58">
        <v>260.22451799999999</v>
      </c>
      <c r="F58">
        <v>262.720642</v>
      </c>
      <c r="G58">
        <v>259.382721</v>
      </c>
      <c r="H58">
        <v>258.094604</v>
      </c>
      <c r="I58">
        <v>263.21569799999997</v>
      </c>
      <c r="J58">
        <v>268.73571800000002</v>
      </c>
      <c r="K58">
        <v>273.92956500000003</v>
      </c>
      <c r="L58">
        <v>277.59448200000003</v>
      </c>
      <c r="M58">
        <v>283.055115</v>
      </c>
      <c r="N58">
        <v>287.440155</v>
      </c>
      <c r="O58">
        <v>291.45843500000001</v>
      </c>
      <c r="P58">
        <v>295.30679300000003</v>
      </c>
      <c r="Q58">
        <v>300.54794299999998</v>
      </c>
      <c r="R58">
        <v>305.07043499999997</v>
      </c>
      <c r="S58">
        <v>309.92468300000002</v>
      </c>
      <c r="T58">
        <v>314.56552099999999</v>
      </c>
      <c r="U58">
        <v>318.10281400000002</v>
      </c>
      <c r="V58">
        <v>320.84964000000002</v>
      </c>
      <c r="W58">
        <v>322.855164</v>
      </c>
      <c r="X58">
        <v>324.88647500000002</v>
      </c>
      <c r="Y58">
        <v>326.26455700000002</v>
      </c>
      <c r="Z58">
        <v>330.376801</v>
      </c>
      <c r="AA58">
        <v>334.20791600000001</v>
      </c>
      <c r="AB58">
        <v>337.89068600000002</v>
      </c>
      <c r="AC58">
        <v>340.64984099999998</v>
      </c>
      <c r="AD58">
        <v>343.66497800000002</v>
      </c>
      <c r="AE58" t="s">
        <v>1219</v>
      </c>
    </row>
    <row r="59" spans="1:31" x14ac:dyDescent="0.25">
      <c r="A59" t="s">
        <v>130</v>
      </c>
      <c r="B59" t="s">
        <v>1505</v>
      </c>
      <c r="C59" t="s">
        <v>1506</v>
      </c>
      <c r="D59" t="s">
        <v>1502</v>
      </c>
      <c r="E59">
        <v>243.90741</v>
      </c>
      <c r="F59">
        <v>229.94683800000001</v>
      </c>
      <c r="G59">
        <v>226.52500900000001</v>
      </c>
      <c r="H59">
        <v>228.562973</v>
      </c>
      <c r="I59">
        <v>231.17254600000001</v>
      </c>
      <c r="J59">
        <v>238.21345500000001</v>
      </c>
      <c r="K59">
        <v>246.587952</v>
      </c>
      <c r="L59">
        <v>252.071808</v>
      </c>
      <c r="M59">
        <v>257.50302099999999</v>
      </c>
      <c r="N59">
        <v>261.995544</v>
      </c>
      <c r="O59">
        <v>267.94451900000001</v>
      </c>
      <c r="P59">
        <v>273.69506799999999</v>
      </c>
      <c r="Q59">
        <v>280.21414199999998</v>
      </c>
      <c r="R59">
        <v>286.41958599999998</v>
      </c>
      <c r="S59">
        <v>293.45382699999999</v>
      </c>
      <c r="T59">
        <v>299.44342</v>
      </c>
      <c r="U59">
        <v>303.62716699999999</v>
      </c>
      <c r="V59">
        <v>305.33068800000001</v>
      </c>
      <c r="W59">
        <v>304.92611699999998</v>
      </c>
      <c r="X59">
        <v>304.74389600000001</v>
      </c>
      <c r="Y59">
        <v>307.66143799999998</v>
      </c>
      <c r="Z59">
        <v>313.08978300000001</v>
      </c>
      <c r="AA59">
        <v>318.99609400000003</v>
      </c>
      <c r="AB59">
        <v>324.75799599999999</v>
      </c>
      <c r="AC59">
        <v>328.72180200000003</v>
      </c>
      <c r="AD59">
        <v>332.703461</v>
      </c>
      <c r="AE59" t="s">
        <v>1095</v>
      </c>
    </row>
    <row r="60" spans="1:31" x14ac:dyDescent="0.25">
      <c r="A60" t="s">
        <v>188</v>
      </c>
      <c r="B60" t="s">
        <v>1507</v>
      </c>
      <c r="C60" t="s">
        <v>1508</v>
      </c>
      <c r="D60" t="s">
        <v>1502</v>
      </c>
      <c r="E60">
        <v>667.07385299999999</v>
      </c>
      <c r="F60">
        <v>619.48632799999996</v>
      </c>
      <c r="G60">
        <v>603.30609100000004</v>
      </c>
      <c r="H60">
        <v>592.85174600000005</v>
      </c>
      <c r="I60">
        <v>589.449524</v>
      </c>
      <c r="J60">
        <v>586.27941899999996</v>
      </c>
      <c r="K60">
        <v>586.48364300000003</v>
      </c>
      <c r="L60">
        <v>584.54620399999999</v>
      </c>
      <c r="M60">
        <v>598.99835199999995</v>
      </c>
      <c r="N60">
        <v>597.39166299999999</v>
      </c>
      <c r="O60">
        <v>601.32641599999999</v>
      </c>
      <c r="P60">
        <v>601.79656999999997</v>
      </c>
      <c r="Q60">
        <v>604.61889599999995</v>
      </c>
      <c r="R60">
        <v>605.94476299999997</v>
      </c>
      <c r="S60">
        <v>605.28076199999998</v>
      </c>
      <c r="T60">
        <v>604.79443400000002</v>
      </c>
      <c r="U60">
        <v>604.847534</v>
      </c>
      <c r="V60">
        <v>605.77819799999997</v>
      </c>
      <c r="W60">
        <v>605.89386000000002</v>
      </c>
      <c r="X60">
        <v>605.74060099999997</v>
      </c>
      <c r="Y60">
        <v>610.04247999999995</v>
      </c>
      <c r="Z60">
        <v>610.82061799999997</v>
      </c>
      <c r="AA60">
        <v>614.68768299999999</v>
      </c>
      <c r="AB60">
        <v>617.94134499999996</v>
      </c>
      <c r="AC60">
        <v>621.43884300000002</v>
      </c>
      <c r="AD60">
        <v>621.120544</v>
      </c>
      <c r="AE60" t="s">
        <v>1084</v>
      </c>
    </row>
    <row r="61" spans="1:31" x14ac:dyDescent="0.25">
      <c r="A61" t="s">
        <v>528</v>
      </c>
      <c r="B61" t="s">
        <v>1509</v>
      </c>
      <c r="C61" t="s">
        <v>1510</v>
      </c>
      <c r="D61" t="s">
        <v>1502</v>
      </c>
      <c r="E61">
        <v>1525.2844239999999</v>
      </c>
      <c r="F61">
        <v>1459.46875</v>
      </c>
      <c r="G61">
        <v>1427.281982</v>
      </c>
      <c r="H61">
        <v>1415.30249</v>
      </c>
      <c r="I61">
        <v>1423.3688959999999</v>
      </c>
      <c r="J61">
        <v>1436.8549800000001</v>
      </c>
      <c r="K61">
        <v>1453.9997559999999</v>
      </c>
      <c r="L61">
        <v>1463.805664</v>
      </c>
      <c r="M61">
        <v>1493.451904</v>
      </c>
      <c r="N61">
        <v>1503.614746</v>
      </c>
      <c r="O61">
        <v>1520.3911129999999</v>
      </c>
      <c r="P61">
        <v>1533.080322</v>
      </c>
      <c r="Q61">
        <v>1551.7951660000001</v>
      </c>
      <c r="R61">
        <v>1567.267578</v>
      </c>
      <c r="S61">
        <v>1582.221313</v>
      </c>
      <c r="T61">
        <v>1595.950439</v>
      </c>
      <c r="U61">
        <v>1606.437866</v>
      </c>
      <c r="V61">
        <v>1613.6064449999999</v>
      </c>
      <c r="W61">
        <v>1616.641846</v>
      </c>
      <c r="X61">
        <v>1619.6888429999999</v>
      </c>
      <c r="Y61">
        <v>1629.387207</v>
      </c>
      <c r="Z61">
        <v>1643.4013669999999</v>
      </c>
      <c r="AA61">
        <v>1660.639404</v>
      </c>
      <c r="AB61">
        <v>1676.966797</v>
      </c>
      <c r="AC61">
        <v>1690.253418</v>
      </c>
      <c r="AD61">
        <v>1700.352539</v>
      </c>
      <c r="AE61" t="s">
        <v>1111</v>
      </c>
    </row>
    <row r="62" spans="1:31" x14ac:dyDescent="0.25">
      <c r="A62" t="s">
        <v>531</v>
      </c>
      <c r="B62" t="s">
        <v>1511</v>
      </c>
      <c r="C62" t="s">
        <v>1512</v>
      </c>
      <c r="D62" t="s">
        <v>1502</v>
      </c>
      <c r="E62">
        <v>1.210369</v>
      </c>
      <c r="F62">
        <v>0.95956900000000001</v>
      </c>
      <c r="G62">
        <v>0.85958900000000005</v>
      </c>
      <c r="H62">
        <v>0.79147100000000004</v>
      </c>
      <c r="I62">
        <v>0.73082599999999998</v>
      </c>
      <c r="J62">
        <v>0.74731499999999995</v>
      </c>
      <c r="K62">
        <v>0.65042800000000001</v>
      </c>
      <c r="L62">
        <v>0.59603799999999996</v>
      </c>
      <c r="M62">
        <v>0.55344599999999999</v>
      </c>
      <c r="N62">
        <v>0.51553199999999999</v>
      </c>
      <c r="O62">
        <v>0.46957500000000002</v>
      </c>
      <c r="P62">
        <v>0.428147</v>
      </c>
      <c r="Q62">
        <v>0.38989600000000002</v>
      </c>
      <c r="R62">
        <v>0.35604799999999998</v>
      </c>
      <c r="S62">
        <v>0.326322</v>
      </c>
      <c r="T62">
        <v>0.30260900000000002</v>
      </c>
      <c r="U62">
        <v>0.27497100000000002</v>
      </c>
      <c r="V62">
        <v>0.260407</v>
      </c>
      <c r="W62">
        <v>0.245229</v>
      </c>
      <c r="X62">
        <v>0.234761</v>
      </c>
      <c r="Y62">
        <v>0.21459</v>
      </c>
      <c r="Z62">
        <v>0.206599</v>
      </c>
      <c r="AA62">
        <v>0.20591000000000001</v>
      </c>
      <c r="AB62">
        <v>0.21340400000000001</v>
      </c>
      <c r="AC62">
        <v>0.199353</v>
      </c>
      <c r="AD62">
        <v>0.190357</v>
      </c>
      <c r="AE62" t="s">
        <v>1513</v>
      </c>
    </row>
    <row r="63" spans="1:31" x14ac:dyDescent="0.25">
      <c r="A63" t="s">
        <v>534</v>
      </c>
      <c r="B63" t="s">
        <v>1514</v>
      </c>
      <c r="C63" t="s">
        <v>1515</v>
      </c>
      <c r="D63" t="s">
        <v>1502</v>
      </c>
      <c r="E63">
        <v>1526.494751</v>
      </c>
      <c r="F63">
        <v>1460.428345</v>
      </c>
      <c r="G63">
        <v>1428.1416019999999</v>
      </c>
      <c r="H63">
        <v>1416.0939940000001</v>
      </c>
      <c r="I63">
        <v>1424.099731</v>
      </c>
      <c r="J63">
        <v>1437.6022949999999</v>
      </c>
      <c r="K63">
        <v>1454.6501459999999</v>
      </c>
      <c r="L63">
        <v>1464.4017329999999</v>
      </c>
      <c r="M63">
        <v>1494.005371</v>
      </c>
      <c r="N63">
        <v>1504.130249</v>
      </c>
      <c r="O63">
        <v>1520.8607179999999</v>
      </c>
      <c r="P63">
        <v>1533.508423</v>
      </c>
      <c r="Q63">
        <v>1552.1850589999999</v>
      </c>
      <c r="R63">
        <v>1567.6236570000001</v>
      </c>
      <c r="S63">
        <v>1582.547607</v>
      </c>
      <c r="T63">
        <v>1596.253052</v>
      </c>
      <c r="U63">
        <v>1606.7128909999999</v>
      </c>
      <c r="V63">
        <v>1613.8668210000001</v>
      </c>
      <c r="W63">
        <v>1616.8870850000001</v>
      </c>
      <c r="X63">
        <v>1619.9235839999999</v>
      </c>
      <c r="Y63">
        <v>1629.601807</v>
      </c>
      <c r="Z63">
        <v>1643.6079099999999</v>
      </c>
      <c r="AA63">
        <v>1660.845337</v>
      </c>
      <c r="AB63">
        <v>1677.1801760000001</v>
      </c>
      <c r="AC63">
        <v>1690.452759</v>
      </c>
      <c r="AD63">
        <v>1700.5428469999999</v>
      </c>
      <c r="AE63" t="s">
        <v>1111</v>
      </c>
    </row>
    <row r="64" spans="1:31" x14ac:dyDescent="0.25">
      <c r="A64" t="s">
        <v>537</v>
      </c>
    </row>
    <row r="65" spans="1:31" x14ac:dyDescent="0.25">
      <c r="A65" t="s">
        <v>69</v>
      </c>
    </row>
    <row r="66" spans="1:31" x14ac:dyDescent="0.25">
      <c r="A66" t="s">
        <v>70</v>
      </c>
      <c r="B66" t="s">
        <v>1516</v>
      </c>
      <c r="C66" t="s">
        <v>1517</v>
      </c>
      <c r="D66" t="s">
        <v>540</v>
      </c>
      <c r="E66">
        <v>26.563074</v>
      </c>
      <c r="F66">
        <v>25.338080999999999</v>
      </c>
      <c r="G66">
        <v>25.151426000000001</v>
      </c>
      <c r="H66">
        <v>25.935970000000001</v>
      </c>
      <c r="I66">
        <v>27.081810000000001</v>
      </c>
      <c r="J66">
        <v>28.630949000000001</v>
      </c>
      <c r="K66">
        <v>30.629785999999999</v>
      </c>
      <c r="L66">
        <v>32.418201000000003</v>
      </c>
      <c r="M66">
        <v>34.366539000000003</v>
      </c>
      <c r="N66">
        <v>35.966290000000001</v>
      </c>
      <c r="O66">
        <v>37.548068999999998</v>
      </c>
      <c r="P66">
        <v>39.111217000000003</v>
      </c>
      <c r="Q66">
        <v>40.752625000000002</v>
      </c>
      <c r="R66">
        <v>42.417392999999997</v>
      </c>
      <c r="S66">
        <v>44.113087</v>
      </c>
      <c r="T66">
        <v>45.702708999999999</v>
      </c>
      <c r="U66">
        <v>47.138888999999999</v>
      </c>
      <c r="V66">
        <v>48.266106000000001</v>
      </c>
      <c r="W66">
        <v>49.070613999999999</v>
      </c>
      <c r="X66">
        <v>49.718398999999998</v>
      </c>
      <c r="Y66">
        <v>50.570895999999998</v>
      </c>
      <c r="Z66">
        <v>51.664268</v>
      </c>
      <c r="AA66">
        <v>52.898482999999999</v>
      </c>
      <c r="AB66">
        <v>54.238976000000001</v>
      </c>
      <c r="AC66">
        <v>55.556618</v>
      </c>
      <c r="AD66">
        <v>56.833705999999999</v>
      </c>
      <c r="AE66" t="s">
        <v>1518</v>
      </c>
    </row>
    <row r="67" spans="1:31" x14ac:dyDescent="0.25">
      <c r="A67" t="s">
        <v>74</v>
      </c>
      <c r="B67" t="s">
        <v>1519</v>
      </c>
      <c r="C67" t="s">
        <v>1520</v>
      </c>
      <c r="D67" t="s">
        <v>540</v>
      </c>
      <c r="E67">
        <v>26.297781000000001</v>
      </c>
      <c r="F67">
        <v>24.496302</v>
      </c>
      <c r="G67">
        <v>26.020481</v>
      </c>
      <c r="H67">
        <v>27.245842</v>
      </c>
      <c r="I67">
        <v>28.40785</v>
      </c>
      <c r="J67">
        <v>29.347083999999999</v>
      </c>
      <c r="K67">
        <v>30.568166999999999</v>
      </c>
      <c r="L67">
        <v>31.310013000000001</v>
      </c>
      <c r="M67">
        <v>32.506751999999999</v>
      </c>
      <c r="N67">
        <v>33.239750000000001</v>
      </c>
      <c r="O67">
        <v>34.268425000000001</v>
      </c>
      <c r="P67">
        <v>35.285744000000001</v>
      </c>
      <c r="Q67">
        <v>36.235405</v>
      </c>
      <c r="R67">
        <v>37.251446000000001</v>
      </c>
      <c r="S67">
        <v>38.166401</v>
      </c>
      <c r="T67">
        <v>39.071438000000001</v>
      </c>
      <c r="U67">
        <v>40.074837000000002</v>
      </c>
      <c r="V67">
        <v>41.058266000000003</v>
      </c>
      <c r="W67">
        <v>42.061641999999999</v>
      </c>
      <c r="X67">
        <v>43.058964000000003</v>
      </c>
      <c r="Y67">
        <v>44.278942000000001</v>
      </c>
      <c r="Z67">
        <v>45.449814000000003</v>
      </c>
      <c r="AA67">
        <v>46.582828999999997</v>
      </c>
      <c r="AB67">
        <v>47.982311000000003</v>
      </c>
      <c r="AC67">
        <v>49.364097999999998</v>
      </c>
      <c r="AD67">
        <v>50.376399999999997</v>
      </c>
      <c r="AE67" t="s">
        <v>1521</v>
      </c>
    </row>
    <row r="68" spans="1:31" x14ac:dyDescent="0.25">
      <c r="A68" t="s">
        <v>80</v>
      </c>
      <c r="B68" t="s">
        <v>1522</v>
      </c>
      <c r="C68" t="s">
        <v>1523</v>
      </c>
      <c r="D68" t="s">
        <v>540</v>
      </c>
      <c r="E68">
        <v>14.672219999999999</v>
      </c>
      <c r="F68">
        <v>14.246601999999999</v>
      </c>
      <c r="G68">
        <v>14.240330999999999</v>
      </c>
      <c r="H68">
        <v>14.554563</v>
      </c>
      <c r="I68">
        <v>14.960808999999999</v>
      </c>
      <c r="J68">
        <v>15.529546</v>
      </c>
      <c r="K68">
        <v>16.035398000000001</v>
      </c>
      <c r="L68">
        <v>16.569963000000001</v>
      </c>
      <c r="M68">
        <v>17.449389</v>
      </c>
      <c r="N68">
        <v>17.958829999999999</v>
      </c>
      <c r="O68">
        <v>18.542683</v>
      </c>
      <c r="P68">
        <v>19.020790000000002</v>
      </c>
      <c r="Q68">
        <v>19.641548</v>
      </c>
      <c r="R68">
        <v>20.164224999999998</v>
      </c>
      <c r="S68">
        <v>20.69857</v>
      </c>
      <c r="T68">
        <v>21.224004999999998</v>
      </c>
      <c r="U68">
        <v>21.701794</v>
      </c>
      <c r="V68">
        <v>22.060627</v>
      </c>
      <c r="W68">
        <v>22.379580000000001</v>
      </c>
      <c r="X68">
        <v>22.658273999999999</v>
      </c>
      <c r="Y68">
        <v>23.053681999999998</v>
      </c>
      <c r="Z68">
        <v>23.571746999999998</v>
      </c>
      <c r="AA68">
        <v>24.120999999999999</v>
      </c>
      <c r="AB68">
        <v>24.668261999999999</v>
      </c>
      <c r="AC68">
        <v>25.217583000000001</v>
      </c>
      <c r="AD68">
        <v>25.735237000000001</v>
      </c>
      <c r="AE68" t="s">
        <v>1524</v>
      </c>
    </row>
    <row r="69" spans="1:31" x14ac:dyDescent="0.25">
      <c r="A69" t="s">
        <v>432</v>
      </c>
      <c r="B69" t="s">
        <v>1525</v>
      </c>
      <c r="C69" t="s">
        <v>1526</v>
      </c>
      <c r="D69" t="s">
        <v>540</v>
      </c>
      <c r="E69">
        <v>48.884673999999997</v>
      </c>
      <c r="F69">
        <v>50.316558999999998</v>
      </c>
      <c r="G69">
        <v>50.125633000000001</v>
      </c>
      <c r="H69">
        <v>50.032383000000003</v>
      </c>
      <c r="I69">
        <v>51.371841000000003</v>
      </c>
      <c r="J69">
        <v>52.973396000000001</v>
      </c>
      <c r="K69">
        <v>54.612777999999999</v>
      </c>
      <c r="L69">
        <v>56.129863999999998</v>
      </c>
      <c r="M69">
        <v>57.754536000000002</v>
      </c>
      <c r="N69">
        <v>59.383076000000003</v>
      </c>
      <c r="O69">
        <v>60.933886999999999</v>
      </c>
      <c r="P69">
        <v>62.472244000000003</v>
      </c>
      <c r="Q69">
        <v>64.186843999999994</v>
      </c>
      <c r="R69">
        <v>65.817290999999997</v>
      </c>
      <c r="S69">
        <v>67.531852999999998</v>
      </c>
      <c r="T69">
        <v>69.345917</v>
      </c>
      <c r="U69">
        <v>70.954482999999996</v>
      </c>
      <c r="V69">
        <v>72.365486000000004</v>
      </c>
      <c r="W69">
        <v>73.643058999999994</v>
      </c>
      <c r="X69">
        <v>74.957245</v>
      </c>
      <c r="Y69">
        <v>76.134490999999997</v>
      </c>
      <c r="Z69">
        <v>77.900261</v>
      </c>
      <c r="AA69">
        <v>79.720177000000007</v>
      </c>
      <c r="AB69">
        <v>81.597176000000005</v>
      </c>
      <c r="AC69">
        <v>83.326438999999993</v>
      </c>
      <c r="AD69">
        <v>85.206008999999995</v>
      </c>
      <c r="AE69" t="s">
        <v>1527</v>
      </c>
    </row>
    <row r="70" spans="1:31" x14ac:dyDescent="0.25">
      <c r="A70" t="s">
        <v>98</v>
      </c>
    </row>
    <row r="71" spans="1:31" x14ac:dyDescent="0.25">
      <c r="A71" t="s">
        <v>70</v>
      </c>
      <c r="B71" t="s">
        <v>1528</v>
      </c>
      <c r="C71" t="s">
        <v>1529</v>
      </c>
      <c r="D71" t="s">
        <v>540</v>
      </c>
      <c r="E71">
        <v>19.614388000000002</v>
      </c>
      <c r="F71">
        <v>18.262018000000001</v>
      </c>
      <c r="G71">
        <v>18.791452</v>
      </c>
      <c r="H71">
        <v>20.082115000000002</v>
      </c>
      <c r="I71">
        <v>21.306486</v>
      </c>
      <c r="J71">
        <v>22.781196999999999</v>
      </c>
      <c r="K71">
        <v>24.607707999999999</v>
      </c>
      <c r="L71">
        <v>25.828800000000001</v>
      </c>
      <c r="M71">
        <v>27.295833999999999</v>
      </c>
      <c r="N71">
        <v>28.385092</v>
      </c>
      <c r="O71">
        <v>29.496925000000001</v>
      </c>
      <c r="P71">
        <v>30.620148</v>
      </c>
      <c r="Q71">
        <v>31.874500000000001</v>
      </c>
      <c r="R71">
        <v>33.127972</v>
      </c>
      <c r="S71">
        <v>34.387366999999998</v>
      </c>
      <c r="T71">
        <v>35.468677999999997</v>
      </c>
      <c r="U71">
        <v>36.404152000000003</v>
      </c>
      <c r="V71">
        <v>37.015388000000002</v>
      </c>
      <c r="W71">
        <v>37.371391000000003</v>
      </c>
      <c r="X71">
        <v>37.720455000000001</v>
      </c>
      <c r="Y71">
        <v>38.461905999999999</v>
      </c>
      <c r="Z71">
        <v>39.439796000000001</v>
      </c>
      <c r="AA71">
        <v>40.464111000000003</v>
      </c>
      <c r="AB71">
        <v>41.528179000000002</v>
      </c>
      <c r="AC71">
        <v>42.495193</v>
      </c>
      <c r="AD71">
        <v>43.411278000000003</v>
      </c>
      <c r="AE71" t="s">
        <v>1204</v>
      </c>
    </row>
    <row r="72" spans="1:31" x14ac:dyDescent="0.25">
      <c r="A72" t="s">
        <v>74</v>
      </c>
      <c r="B72" t="s">
        <v>1530</v>
      </c>
      <c r="C72" t="s">
        <v>1531</v>
      </c>
      <c r="D72" t="s">
        <v>540</v>
      </c>
      <c r="E72">
        <v>26.413055</v>
      </c>
      <c r="F72">
        <v>24.602383</v>
      </c>
      <c r="G72">
        <v>24.904596000000002</v>
      </c>
      <c r="H72">
        <v>24.832789999999999</v>
      </c>
      <c r="I72">
        <v>24.640816000000001</v>
      </c>
      <c r="J72">
        <v>24.106083000000002</v>
      </c>
      <c r="K72">
        <v>23.875996000000001</v>
      </c>
      <c r="L72">
        <v>24.481064</v>
      </c>
      <c r="M72">
        <v>25.960096</v>
      </c>
      <c r="N72">
        <v>26.554029</v>
      </c>
      <c r="O72">
        <v>27.442789000000001</v>
      </c>
      <c r="P72">
        <v>28.280366999999998</v>
      </c>
      <c r="Q72">
        <v>29.179069999999999</v>
      </c>
      <c r="R72">
        <v>30.053235999999998</v>
      </c>
      <c r="S72">
        <v>30.811775000000001</v>
      </c>
      <c r="T72">
        <v>31.55171</v>
      </c>
      <c r="U72">
        <v>32.39716</v>
      </c>
      <c r="V72">
        <v>33.247700000000002</v>
      </c>
      <c r="W72">
        <v>34.096977000000003</v>
      </c>
      <c r="X72">
        <v>34.962111999999998</v>
      </c>
      <c r="Y72">
        <v>36.028336000000003</v>
      </c>
      <c r="Z72">
        <v>37.044147000000002</v>
      </c>
      <c r="AA72">
        <v>38.025970000000001</v>
      </c>
      <c r="AB72">
        <v>39.258811999999999</v>
      </c>
      <c r="AC72">
        <v>40.470852000000001</v>
      </c>
      <c r="AD72">
        <v>41.311081000000001</v>
      </c>
      <c r="AE72" t="s">
        <v>1429</v>
      </c>
    </row>
    <row r="73" spans="1:31" x14ac:dyDescent="0.25">
      <c r="A73" t="s">
        <v>109</v>
      </c>
      <c r="B73" t="s">
        <v>1532</v>
      </c>
      <c r="C73" t="s">
        <v>1533</v>
      </c>
      <c r="D73" t="s">
        <v>540</v>
      </c>
      <c r="E73">
        <v>7.4866789999999996</v>
      </c>
      <c r="F73">
        <v>5.8751550000000003</v>
      </c>
      <c r="G73">
        <v>7.5519600000000002</v>
      </c>
      <c r="H73">
        <v>8.9084649999999996</v>
      </c>
      <c r="I73">
        <v>10.223338999999999</v>
      </c>
      <c r="J73">
        <v>10.804074999999999</v>
      </c>
      <c r="K73">
        <v>12.519503</v>
      </c>
      <c r="L73">
        <v>12.81381</v>
      </c>
      <c r="M73">
        <v>13.536977</v>
      </c>
      <c r="N73">
        <v>13.810558</v>
      </c>
      <c r="O73">
        <v>14.490627</v>
      </c>
      <c r="P73">
        <v>15.021338</v>
      </c>
      <c r="Q73">
        <v>15.452132000000001</v>
      </c>
      <c r="R73">
        <v>16.019031999999999</v>
      </c>
      <c r="S73">
        <v>16.519949</v>
      </c>
      <c r="T73">
        <v>17.218005999999999</v>
      </c>
      <c r="U73">
        <v>17.996051999999999</v>
      </c>
      <c r="V73">
        <v>18.587059</v>
      </c>
      <c r="W73">
        <v>19.147715000000002</v>
      </c>
      <c r="X73">
        <v>19.728296</v>
      </c>
      <c r="Y73">
        <v>20.471619</v>
      </c>
      <c r="Z73">
        <v>21.110806</v>
      </c>
      <c r="AA73">
        <v>21.727748999999999</v>
      </c>
      <c r="AB73">
        <v>22.717241000000001</v>
      </c>
      <c r="AC73">
        <v>23.491834999999998</v>
      </c>
      <c r="AD73">
        <v>24.169339999999998</v>
      </c>
      <c r="AE73" t="s">
        <v>1534</v>
      </c>
    </row>
    <row r="74" spans="1:31" x14ac:dyDescent="0.25">
      <c r="A74" t="s">
        <v>80</v>
      </c>
      <c r="B74" t="s">
        <v>1535</v>
      </c>
      <c r="C74" t="s">
        <v>1536</v>
      </c>
      <c r="D74" t="s">
        <v>540</v>
      </c>
      <c r="E74">
        <v>10.354016</v>
      </c>
      <c r="F74">
        <v>9.7727989999999991</v>
      </c>
      <c r="G74">
        <v>10.220829999999999</v>
      </c>
      <c r="H74">
        <v>10.867184</v>
      </c>
      <c r="I74">
        <v>11.594604</v>
      </c>
      <c r="J74">
        <v>12.499109000000001</v>
      </c>
      <c r="K74">
        <v>13.369481</v>
      </c>
      <c r="L74">
        <v>13.828996999999999</v>
      </c>
      <c r="M74">
        <v>14.493233999999999</v>
      </c>
      <c r="N74">
        <v>14.890262999999999</v>
      </c>
      <c r="O74">
        <v>15.379936000000001</v>
      </c>
      <c r="P74">
        <v>15.770547000000001</v>
      </c>
      <c r="Q74">
        <v>16.290887999999999</v>
      </c>
      <c r="R74">
        <v>16.731390000000001</v>
      </c>
      <c r="S74">
        <v>17.186154999999999</v>
      </c>
      <c r="T74">
        <v>17.627966000000001</v>
      </c>
      <c r="U74">
        <v>18.015264999999999</v>
      </c>
      <c r="V74">
        <v>18.281502</v>
      </c>
      <c r="W74">
        <v>18.507359000000001</v>
      </c>
      <c r="X74">
        <v>18.688338999999999</v>
      </c>
      <c r="Y74">
        <v>18.982462000000002</v>
      </c>
      <c r="Z74">
        <v>19.393272</v>
      </c>
      <c r="AA74">
        <v>19.832045000000001</v>
      </c>
      <c r="AB74">
        <v>20.265629000000001</v>
      </c>
      <c r="AC74">
        <v>20.697997999999998</v>
      </c>
      <c r="AD74">
        <v>21.098980000000001</v>
      </c>
      <c r="AE74" t="s">
        <v>1537</v>
      </c>
    </row>
    <row r="75" spans="1:31" x14ac:dyDescent="0.25">
      <c r="A75" t="s">
        <v>432</v>
      </c>
      <c r="B75" t="s">
        <v>1538</v>
      </c>
      <c r="C75" t="s">
        <v>1539</v>
      </c>
      <c r="D75" t="s">
        <v>540</v>
      </c>
      <c r="E75">
        <v>39.505760000000002</v>
      </c>
      <c r="F75">
        <v>40.333720999999997</v>
      </c>
      <c r="G75">
        <v>39.793593999999999</v>
      </c>
      <c r="H75">
        <v>39.573635000000003</v>
      </c>
      <c r="I75">
        <v>40.652565000000003</v>
      </c>
      <c r="J75">
        <v>41.951889000000001</v>
      </c>
      <c r="K75">
        <v>43.213988999999998</v>
      </c>
      <c r="L75">
        <v>44.285133000000002</v>
      </c>
      <c r="M75">
        <v>45.478572999999997</v>
      </c>
      <c r="N75">
        <v>46.730812</v>
      </c>
      <c r="O75">
        <v>47.820354000000002</v>
      </c>
      <c r="P75">
        <v>48.872790999999999</v>
      </c>
      <c r="Q75">
        <v>50.103377999999999</v>
      </c>
      <c r="R75">
        <v>51.263644999999997</v>
      </c>
      <c r="S75">
        <v>52.532435999999997</v>
      </c>
      <c r="T75">
        <v>53.822856999999999</v>
      </c>
      <c r="U75">
        <v>54.875979999999998</v>
      </c>
      <c r="V75">
        <v>55.818919999999999</v>
      </c>
      <c r="W75">
        <v>56.620162999999998</v>
      </c>
      <c r="X75">
        <v>57.456181000000001</v>
      </c>
      <c r="Y75">
        <v>58.048541999999998</v>
      </c>
      <c r="Z75">
        <v>59.313152000000002</v>
      </c>
      <c r="AA75">
        <v>60.579906000000001</v>
      </c>
      <c r="AB75">
        <v>61.901980999999999</v>
      </c>
      <c r="AC75">
        <v>63.040801999999999</v>
      </c>
      <c r="AD75">
        <v>64.329987000000003</v>
      </c>
      <c r="AE75" t="s">
        <v>1540</v>
      </c>
    </row>
    <row r="76" spans="1:31" x14ac:dyDescent="0.25">
      <c r="A76" t="s">
        <v>130</v>
      </c>
    </row>
    <row r="77" spans="1:31" x14ac:dyDescent="0.25">
      <c r="A77" t="s">
        <v>70</v>
      </c>
      <c r="B77" t="s">
        <v>1541</v>
      </c>
      <c r="C77" t="s">
        <v>1542</v>
      </c>
      <c r="D77" t="s">
        <v>540</v>
      </c>
      <c r="E77">
        <v>12.803329</v>
      </c>
      <c r="F77">
        <v>11.374784999999999</v>
      </c>
      <c r="G77">
        <v>11.732965</v>
      </c>
      <c r="H77">
        <v>12.809592</v>
      </c>
      <c r="I77">
        <v>13.854469999999999</v>
      </c>
      <c r="J77">
        <v>15.155042</v>
      </c>
      <c r="K77">
        <v>16.829516999999999</v>
      </c>
      <c r="L77">
        <v>17.925089</v>
      </c>
      <c r="M77">
        <v>18.887888</v>
      </c>
      <c r="N77">
        <v>19.836891000000001</v>
      </c>
      <c r="O77">
        <v>20.806916999999999</v>
      </c>
      <c r="P77">
        <v>21.794609000000001</v>
      </c>
      <c r="Q77">
        <v>22.875402000000001</v>
      </c>
      <c r="R77">
        <v>24.016033</v>
      </c>
      <c r="S77">
        <v>25.168725999999999</v>
      </c>
      <c r="T77">
        <v>26.126760000000001</v>
      </c>
      <c r="U77">
        <v>26.923518999999999</v>
      </c>
      <c r="V77">
        <v>27.361647000000001</v>
      </c>
      <c r="W77">
        <v>27.513428000000001</v>
      </c>
      <c r="X77">
        <v>27.652709999999999</v>
      </c>
      <c r="Y77">
        <v>28.216715000000001</v>
      </c>
      <c r="Z77">
        <v>29.040877999999999</v>
      </c>
      <c r="AA77">
        <v>29.916944999999998</v>
      </c>
      <c r="AB77">
        <v>30.832899000000001</v>
      </c>
      <c r="AC77">
        <v>31.641119</v>
      </c>
      <c r="AD77">
        <v>32.391326999999997</v>
      </c>
      <c r="AE77" t="s">
        <v>1201</v>
      </c>
    </row>
    <row r="78" spans="1:31" x14ac:dyDescent="0.25">
      <c r="A78" t="s">
        <v>74</v>
      </c>
      <c r="B78" t="s">
        <v>1543</v>
      </c>
      <c r="C78" t="s">
        <v>1544</v>
      </c>
      <c r="D78" t="s">
        <v>540</v>
      </c>
      <c r="E78">
        <v>26.296053000000001</v>
      </c>
      <c r="F78">
        <v>24.488679999999999</v>
      </c>
      <c r="G78">
        <v>24.749483000000001</v>
      </c>
      <c r="H78">
        <v>24.622332</v>
      </c>
      <c r="I78">
        <v>24.373557999999999</v>
      </c>
      <c r="J78">
        <v>23.831983999999999</v>
      </c>
      <c r="K78">
        <v>23.53397</v>
      </c>
      <c r="L78">
        <v>24.123369</v>
      </c>
      <c r="M78">
        <v>25.164715000000001</v>
      </c>
      <c r="N78">
        <v>25.748923999999999</v>
      </c>
      <c r="O78">
        <v>26.625229000000001</v>
      </c>
      <c r="P78">
        <v>27.471087000000001</v>
      </c>
      <c r="Q78">
        <v>28.270614999999999</v>
      </c>
      <c r="R78">
        <v>29.119918999999999</v>
      </c>
      <c r="S78">
        <v>29.875204</v>
      </c>
      <c r="T78">
        <v>30.605457000000001</v>
      </c>
      <c r="U78">
        <v>31.439684</v>
      </c>
      <c r="V78">
        <v>32.274093999999998</v>
      </c>
      <c r="W78">
        <v>33.110160999999998</v>
      </c>
      <c r="X78">
        <v>33.959071999999999</v>
      </c>
      <c r="Y78">
        <v>35.021137000000003</v>
      </c>
      <c r="Z78">
        <v>36.027985000000001</v>
      </c>
      <c r="AA78">
        <v>37.00074</v>
      </c>
      <c r="AB78">
        <v>38.238467999999997</v>
      </c>
      <c r="AC78">
        <v>39.442677000000003</v>
      </c>
      <c r="AD78">
        <v>40.275176999999999</v>
      </c>
      <c r="AE78" t="s">
        <v>1401</v>
      </c>
    </row>
    <row r="79" spans="1:31" x14ac:dyDescent="0.25">
      <c r="A79" t="s">
        <v>109</v>
      </c>
      <c r="B79" t="s">
        <v>1545</v>
      </c>
      <c r="C79" t="s">
        <v>1546</v>
      </c>
      <c r="D79" t="s">
        <v>540</v>
      </c>
      <c r="E79">
        <v>8.6605709999999991</v>
      </c>
      <c r="F79">
        <v>6.9001479999999997</v>
      </c>
      <c r="G79">
        <v>8.9224300000000003</v>
      </c>
      <c r="H79">
        <v>10.552668000000001</v>
      </c>
      <c r="I79">
        <v>12.106726</v>
      </c>
      <c r="J79">
        <v>12.984299</v>
      </c>
      <c r="K79">
        <v>15.015378</v>
      </c>
      <c r="L79">
        <v>15.346921999999999</v>
      </c>
      <c r="M79">
        <v>16.120688999999999</v>
      </c>
      <c r="N79">
        <v>16.456147999999999</v>
      </c>
      <c r="O79">
        <v>17.199833000000002</v>
      </c>
      <c r="P79">
        <v>17.809805000000001</v>
      </c>
      <c r="Q79">
        <v>18.309252000000001</v>
      </c>
      <c r="R79">
        <v>18.945779999999999</v>
      </c>
      <c r="S79">
        <v>19.55621</v>
      </c>
      <c r="T79">
        <v>20.323803000000002</v>
      </c>
      <c r="U79">
        <v>21.151136000000001</v>
      </c>
      <c r="V79">
        <v>21.802668000000001</v>
      </c>
      <c r="W79">
        <v>22.403984000000001</v>
      </c>
      <c r="X79">
        <v>23.031213999999999</v>
      </c>
      <c r="Y79">
        <v>23.831392000000001</v>
      </c>
      <c r="Z79">
        <v>24.534489000000001</v>
      </c>
      <c r="AA79">
        <v>25.215658000000001</v>
      </c>
      <c r="AB79">
        <v>26.264496000000001</v>
      </c>
      <c r="AC79">
        <v>27.098633</v>
      </c>
      <c r="AD79">
        <v>27.770150999999998</v>
      </c>
      <c r="AE79" t="s">
        <v>1534</v>
      </c>
    </row>
    <row r="80" spans="1:31" x14ac:dyDescent="0.25">
      <c r="A80" t="s">
        <v>80</v>
      </c>
      <c r="B80" t="s">
        <v>1547</v>
      </c>
      <c r="C80" t="s">
        <v>1548</v>
      </c>
      <c r="D80" t="s">
        <v>540</v>
      </c>
      <c r="E80">
        <v>4.5055800000000001</v>
      </c>
      <c r="F80">
        <v>4.8932089999999997</v>
      </c>
      <c r="G80">
        <v>4.8719060000000001</v>
      </c>
      <c r="H80">
        <v>5.0907600000000004</v>
      </c>
      <c r="I80">
        <v>5.3109909999999996</v>
      </c>
      <c r="J80">
        <v>5.9368189999999998</v>
      </c>
      <c r="K80">
        <v>6.3698519999999998</v>
      </c>
      <c r="L80">
        <v>6.6507940000000003</v>
      </c>
      <c r="M80">
        <v>6.789828</v>
      </c>
      <c r="N80">
        <v>6.9599460000000004</v>
      </c>
      <c r="O80">
        <v>7.2055809999999996</v>
      </c>
      <c r="P80">
        <v>7.4306270000000003</v>
      </c>
      <c r="Q80">
        <v>7.6540090000000003</v>
      </c>
      <c r="R80">
        <v>7.8826419999999997</v>
      </c>
      <c r="S80">
        <v>8.1312060000000006</v>
      </c>
      <c r="T80">
        <v>8.3596710000000005</v>
      </c>
      <c r="U80">
        <v>8.4644689999999994</v>
      </c>
      <c r="V80">
        <v>8.3713090000000001</v>
      </c>
      <c r="W80">
        <v>8.1900969999999997</v>
      </c>
      <c r="X80">
        <v>8.0093209999999999</v>
      </c>
      <c r="Y80">
        <v>7.9944940000000004</v>
      </c>
      <c r="Z80">
        <v>8.1288090000000004</v>
      </c>
      <c r="AA80">
        <v>8.2966329999999999</v>
      </c>
      <c r="AB80">
        <v>8.4517070000000007</v>
      </c>
      <c r="AC80">
        <v>8.575507</v>
      </c>
      <c r="AD80">
        <v>8.6680259999999993</v>
      </c>
      <c r="AE80" t="s">
        <v>1434</v>
      </c>
    </row>
    <row r="81" spans="1:31" x14ac:dyDescent="0.25">
      <c r="A81" t="s">
        <v>156</v>
      </c>
      <c r="B81" t="s">
        <v>1549</v>
      </c>
      <c r="C81" t="s">
        <v>1550</v>
      </c>
      <c r="D81" t="s">
        <v>540</v>
      </c>
      <c r="E81">
        <v>6.4173830000000001</v>
      </c>
      <c r="F81">
        <v>6.5971260000000003</v>
      </c>
      <c r="G81">
        <v>6.7281079999999998</v>
      </c>
      <c r="H81">
        <v>6.8816649999999999</v>
      </c>
      <c r="I81">
        <v>7.0141770000000001</v>
      </c>
      <c r="J81">
        <v>7.176545</v>
      </c>
      <c r="K81">
        <v>7.3082820000000002</v>
      </c>
      <c r="L81">
        <v>7.484515</v>
      </c>
      <c r="M81">
        <v>7.6419769999999998</v>
      </c>
      <c r="N81">
        <v>7.7758079999999996</v>
      </c>
      <c r="O81">
        <v>7.9447190000000001</v>
      </c>
      <c r="P81">
        <v>8.0643010000000004</v>
      </c>
      <c r="Q81">
        <v>8.2293070000000004</v>
      </c>
      <c r="R81">
        <v>8.3871590000000005</v>
      </c>
      <c r="S81">
        <v>8.5099110000000007</v>
      </c>
      <c r="T81">
        <v>8.6809630000000002</v>
      </c>
      <c r="U81">
        <v>8.8333870000000001</v>
      </c>
      <c r="V81">
        <v>8.9836790000000004</v>
      </c>
      <c r="W81">
        <v>9.1436130000000002</v>
      </c>
      <c r="X81">
        <v>9.2962989999999994</v>
      </c>
      <c r="Y81">
        <v>9.4712449999999997</v>
      </c>
      <c r="Z81">
        <v>9.6303110000000007</v>
      </c>
      <c r="AA81">
        <v>9.8214009999999998</v>
      </c>
      <c r="AB81">
        <v>10.014431999999999</v>
      </c>
      <c r="AC81">
        <v>10.155500999999999</v>
      </c>
      <c r="AD81">
        <v>10.327953000000001</v>
      </c>
      <c r="AE81" t="s">
        <v>1551</v>
      </c>
    </row>
    <row r="82" spans="1:31" x14ac:dyDescent="0.25">
      <c r="A82" t="s">
        <v>159</v>
      </c>
      <c r="B82" t="s">
        <v>1552</v>
      </c>
      <c r="C82" t="s">
        <v>1553</v>
      </c>
      <c r="D82" t="s">
        <v>540</v>
      </c>
      <c r="E82">
        <v>3.995581</v>
      </c>
      <c r="F82">
        <v>3.962253</v>
      </c>
      <c r="G82">
        <v>3.9413939999999998</v>
      </c>
      <c r="H82">
        <v>4.0163770000000003</v>
      </c>
      <c r="I82">
        <v>4.104921</v>
      </c>
      <c r="J82">
        <v>4.1564370000000004</v>
      </c>
      <c r="K82">
        <v>4.2412320000000001</v>
      </c>
      <c r="L82">
        <v>4.3098479999999997</v>
      </c>
      <c r="M82">
        <v>4.3936219999999997</v>
      </c>
      <c r="N82">
        <v>4.4624949999999997</v>
      </c>
      <c r="O82">
        <v>4.5418960000000004</v>
      </c>
      <c r="P82">
        <v>4.6348190000000002</v>
      </c>
      <c r="Q82">
        <v>4.7327120000000003</v>
      </c>
      <c r="R82">
        <v>4.8340019999999999</v>
      </c>
      <c r="S82">
        <v>4.9088240000000001</v>
      </c>
      <c r="T82">
        <v>5.0256569999999998</v>
      </c>
      <c r="U82">
        <v>5.1196999999999999</v>
      </c>
      <c r="V82">
        <v>5.2251450000000004</v>
      </c>
      <c r="W82">
        <v>5.3203659999999999</v>
      </c>
      <c r="X82">
        <v>5.4152019999999998</v>
      </c>
      <c r="Y82">
        <v>5.5183609999999996</v>
      </c>
      <c r="Z82">
        <v>5.6022889999999999</v>
      </c>
      <c r="AA82">
        <v>5.7162369999999996</v>
      </c>
      <c r="AB82">
        <v>5.8378300000000003</v>
      </c>
      <c r="AC82">
        <v>5.9935989999999997</v>
      </c>
      <c r="AD82">
        <v>6.1012490000000001</v>
      </c>
      <c r="AE82" t="s">
        <v>1401</v>
      </c>
    </row>
    <row r="83" spans="1:31" x14ac:dyDescent="0.25">
      <c r="A83" t="s">
        <v>173</v>
      </c>
      <c r="B83" t="s">
        <v>1554</v>
      </c>
      <c r="C83" t="s">
        <v>1555</v>
      </c>
      <c r="D83" t="s">
        <v>540</v>
      </c>
      <c r="E83">
        <v>11.501232999999999</v>
      </c>
      <c r="F83">
        <v>12.215922000000001</v>
      </c>
      <c r="G83">
        <v>12.441084999999999</v>
      </c>
      <c r="H83">
        <v>12.845333</v>
      </c>
      <c r="I83">
        <v>13.19964</v>
      </c>
      <c r="J83">
        <v>14.246919999999999</v>
      </c>
      <c r="K83">
        <v>14.868074999999999</v>
      </c>
      <c r="L83">
        <v>15.341229</v>
      </c>
      <c r="M83">
        <v>15.758101</v>
      </c>
      <c r="N83">
        <v>16.121334000000001</v>
      </c>
      <c r="O83">
        <v>16.377409</v>
      </c>
      <c r="P83">
        <v>16.928585000000002</v>
      </c>
      <c r="Q83">
        <v>17.287061999999999</v>
      </c>
      <c r="R83">
        <v>17.757148999999998</v>
      </c>
      <c r="S83">
        <v>18.224952999999999</v>
      </c>
      <c r="T83">
        <v>18.648541999999999</v>
      </c>
      <c r="U83">
        <v>18.894539000000002</v>
      </c>
      <c r="V83">
        <v>18.979748000000001</v>
      </c>
      <c r="W83">
        <v>18.869945999999999</v>
      </c>
      <c r="X83">
        <v>18.823492000000002</v>
      </c>
      <c r="Y83">
        <v>18.959050999999999</v>
      </c>
      <c r="Z83">
        <v>19.220348000000001</v>
      </c>
      <c r="AA83">
        <v>19.583922999999999</v>
      </c>
      <c r="AB83">
        <v>19.950400999999999</v>
      </c>
      <c r="AC83">
        <v>20.260973</v>
      </c>
      <c r="AD83">
        <v>20.556705000000001</v>
      </c>
      <c r="AE83" t="s">
        <v>1556</v>
      </c>
    </row>
    <row r="84" spans="1:31" x14ac:dyDescent="0.25">
      <c r="A84" t="s">
        <v>432</v>
      </c>
      <c r="B84" t="s">
        <v>1557</v>
      </c>
      <c r="C84" t="s">
        <v>1558</v>
      </c>
      <c r="D84" t="s">
        <v>540</v>
      </c>
      <c r="E84">
        <v>26.595725999999999</v>
      </c>
      <c r="F84">
        <v>27.183185999999999</v>
      </c>
      <c r="G84">
        <v>26.446179999999998</v>
      </c>
      <c r="H84">
        <v>26.295321999999999</v>
      </c>
      <c r="I84">
        <v>27.056813999999999</v>
      </c>
      <c r="J84">
        <v>28.031288</v>
      </c>
      <c r="K84">
        <v>29.024605000000001</v>
      </c>
      <c r="L84">
        <v>29.771094999999999</v>
      </c>
      <c r="M84">
        <v>30.648406999999999</v>
      </c>
      <c r="N84">
        <v>31.438168000000001</v>
      </c>
      <c r="O84">
        <v>32.213593000000003</v>
      </c>
      <c r="P84">
        <v>32.956795</v>
      </c>
      <c r="Q84">
        <v>33.768005000000002</v>
      </c>
      <c r="R84">
        <v>34.526130999999999</v>
      </c>
      <c r="S84">
        <v>35.399929</v>
      </c>
      <c r="T84">
        <v>36.310912999999999</v>
      </c>
      <c r="U84">
        <v>36.998283000000001</v>
      </c>
      <c r="V84">
        <v>37.489325999999998</v>
      </c>
      <c r="W84">
        <v>37.965794000000002</v>
      </c>
      <c r="X84">
        <v>38.455432999999999</v>
      </c>
      <c r="Y84">
        <v>38.836314999999999</v>
      </c>
      <c r="Z84">
        <v>39.743523000000003</v>
      </c>
      <c r="AA84">
        <v>40.595776000000001</v>
      </c>
      <c r="AB84">
        <v>41.425857999999998</v>
      </c>
      <c r="AC84">
        <v>42.15052</v>
      </c>
      <c r="AD84">
        <v>42.968788000000004</v>
      </c>
      <c r="AE84" t="s">
        <v>1551</v>
      </c>
    </row>
    <row r="85" spans="1:31" x14ac:dyDescent="0.25">
      <c r="A85" t="s">
        <v>188</v>
      </c>
    </row>
    <row r="86" spans="1:31" x14ac:dyDescent="0.25">
      <c r="A86" t="s">
        <v>70</v>
      </c>
      <c r="B86" t="s">
        <v>1559</v>
      </c>
      <c r="C86" t="s">
        <v>1560</v>
      </c>
      <c r="D86" t="s">
        <v>540</v>
      </c>
      <c r="E86">
        <v>18.230301000000001</v>
      </c>
      <c r="F86">
        <v>17.007211999999999</v>
      </c>
      <c r="G86">
        <v>17.611189</v>
      </c>
      <c r="H86">
        <v>18.814934000000001</v>
      </c>
      <c r="I86">
        <v>19.8965</v>
      </c>
      <c r="J86">
        <v>21.203776999999999</v>
      </c>
      <c r="K86">
        <v>22.815505999999999</v>
      </c>
      <c r="L86">
        <v>23.845697000000001</v>
      </c>
      <c r="M86">
        <v>25.059345</v>
      </c>
      <c r="N86">
        <v>26.016787999999998</v>
      </c>
      <c r="O86">
        <v>26.996880000000001</v>
      </c>
      <c r="P86">
        <v>27.986801</v>
      </c>
      <c r="Q86">
        <v>29.083711999999998</v>
      </c>
      <c r="R86">
        <v>30.183540000000001</v>
      </c>
      <c r="S86">
        <v>31.284565000000001</v>
      </c>
      <c r="T86">
        <v>32.224186000000003</v>
      </c>
      <c r="U86">
        <v>33.044155000000003</v>
      </c>
      <c r="V86">
        <v>33.582745000000003</v>
      </c>
      <c r="W86">
        <v>33.912064000000001</v>
      </c>
      <c r="X86">
        <v>34.252758</v>
      </c>
      <c r="Y86">
        <v>34.949593</v>
      </c>
      <c r="Z86">
        <v>35.837006000000002</v>
      </c>
      <c r="AA86">
        <v>36.750655999999999</v>
      </c>
      <c r="AB86">
        <v>37.696072000000001</v>
      </c>
      <c r="AC86">
        <v>38.552619999999997</v>
      </c>
      <c r="AD86">
        <v>39.369262999999997</v>
      </c>
      <c r="AE86" t="s">
        <v>1518</v>
      </c>
    </row>
    <row r="87" spans="1:31" x14ac:dyDescent="0.25">
      <c r="A87" t="s">
        <v>463</v>
      </c>
      <c r="B87" t="s">
        <v>1561</v>
      </c>
      <c r="C87" t="s">
        <v>1562</v>
      </c>
      <c r="D87" t="s">
        <v>540</v>
      </c>
      <c r="E87">
        <v>30.587164000000001</v>
      </c>
      <c r="F87">
        <v>31.203903</v>
      </c>
      <c r="G87">
        <v>30.024381999999999</v>
      </c>
      <c r="H87">
        <v>30.145154999999999</v>
      </c>
      <c r="I87">
        <v>30.904641999999999</v>
      </c>
      <c r="J87">
        <v>31.073414</v>
      </c>
      <c r="K87">
        <v>32.168621000000002</v>
      </c>
      <c r="L87">
        <v>32.907597000000003</v>
      </c>
      <c r="M87">
        <v>34.255245000000002</v>
      </c>
      <c r="N87">
        <v>35.123013</v>
      </c>
      <c r="O87">
        <v>36.329647000000001</v>
      </c>
      <c r="P87">
        <v>37.328429999999997</v>
      </c>
      <c r="Q87">
        <v>38.626873000000003</v>
      </c>
      <c r="R87">
        <v>39.625445999999997</v>
      </c>
      <c r="S87">
        <v>40.600712000000001</v>
      </c>
      <c r="T87">
        <v>41.494475999999999</v>
      </c>
      <c r="U87">
        <v>42.297187999999998</v>
      </c>
      <c r="V87">
        <v>43.355907000000002</v>
      </c>
      <c r="W87">
        <v>44.286273999999999</v>
      </c>
      <c r="X87">
        <v>45.190883999999997</v>
      </c>
      <c r="Y87">
        <v>46.453612999999997</v>
      </c>
      <c r="Z87">
        <v>47.314700999999999</v>
      </c>
      <c r="AA87">
        <v>48.453220000000002</v>
      </c>
      <c r="AB87">
        <v>49.672561999999999</v>
      </c>
      <c r="AC87">
        <v>50.988106000000002</v>
      </c>
      <c r="AD87">
        <v>52.034877999999999</v>
      </c>
      <c r="AE87" t="s">
        <v>1382</v>
      </c>
    </row>
    <row r="88" spans="1:31" x14ac:dyDescent="0.25">
      <c r="A88" t="s">
        <v>101</v>
      </c>
      <c r="B88" t="s">
        <v>1563</v>
      </c>
      <c r="C88" t="s">
        <v>1564</v>
      </c>
      <c r="D88" t="s">
        <v>540</v>
      </c>
      <c r="E88">
        <v>26.463598000000001</v>
      </c>
      <c r="F88">
        <v>25.513670000000001</v>
      </c>
      <c r="G88">
        <v>24.623332999999999</v>
      </c>
      <c r="H88">
        <v>24.586749999999999</v>
      </c>
      <c r="I88">
        <v>25.128912</v>
      </c>
      <c r="J88">
        <v>25.932306000000001</v>
      </c>
      <c r="K88">
        <v>26.792874999999999</v>
      </c>
      <c r="L88">
        <v>27.478697</v>
      </c>
      <c r="M88">
        <v>28.974934000000001</v>
      </c>
      <c r="N88">
        <v>29.670784000000001</v>
      </c>
      <c r="O88">
        <v>30.657433999999999</v>
      </c>
      <c r="P88">
        <v>31.503145</v>
      </c>
      <c r="Q88">
        <v>32.492550000000001</v>
      </c>
      <c r="R88">
        <v>33.352469999999997</v>
      </c>
      <c r="S88">
        <v>34.126792999999999</v>
      </c>
      <c r="T88">
        <v>34.871440999999997</v>
      </c>
      <c r="U88">
        <v>35.589207000000002</v>
      </c>
      <c r="V88">
        <v>36.480637000000002</v>
      </c>
      <c r="W88">
        <v>37.193615000000001</v>
      </c>
      <c r="X88">
        <v>37.917572</v>
      </c>
      <c r="Y88">
        <v>38.904232</v>
      </c>
      <c r="Z88">
        <v>39.606155000000001</v>
      </c>
      <c r="AA88">
        <v>40.706440000000001</v>
      </c>
      <c r="AB88">
        <v>41.674114000000003</v>
      </c>
      <c r="AC88">
        <v>42.796936000000002</v>
      </c>
      <c r="AD88">
        <v>43.670363999999999</v>
      </c>
      <c r="AE88" t="s">
        <v>1540</v>
      </c>
    </row>
    <row r="89" spans="1:31" x14ac:dyDescent="0.25">
      <c r="A89" t="s">
        <v>196</v>
      </c>
      <c r="B89" t="s">
        <v>1565</v>
      </c>
      <c r="C89" t="s">
        <v>1566</v>
      </c>
      <c r="D89" t="s">
        <v>540</v>
      </c>
      <c r="E89">
        <v>16.24399</v>
      </c>
      <c r="F89">
        <v>14.885285</v>
      </c>
      <c r="G89">
        <v>16.242111000000001</v>
      </c>
      <c r="H89">
        <v>17.142665999999998</v>
      </c>
      <c r="I89">
        <v>17.956693999999999</v>
      </c>
      <c r="J89">
        <v>18.163627999999999</v>
      </c>
      <c r="K89">
        <v>19.103359000000001</v>
      </c>
      <c r="L89">
        <v>19.707733000000001</v>
      </c>
      <c r="M89">
        <v>20.719217</v>
      </c>
      <c r="N89">
        <v>21.308351999999999</v>
      </c>
      <c r="O89">
        <v>22.187794</v>
      </c>
      <c r="P89">
        <v>22.852395999999999</v>
      </c>
      <c r="Q89">
        <v>23.740504999999999</v>
      </c>
      <c r="R89">
        <v>24.586228999999999</v>
      </c>
      <c r="S89">
        <v>25.237694000000001</v>
      </c>
      <c r="T89">
        <v>25.906341999999999</v>
      </c>
      <c r="U89">
        <v>26.724316000000002</v>
      </c>
      <c r="V89">
        <v>27.552126000000001</v>
      </c>
      <c r="W89">
        <v>28.378133999999999</v>
      </c>
      <c r="X89">
        <v>29.216570000000001</v>
      </c>
      <c r="Y89">
        <v>30.297083000000001</v>
      </c>
      <c r="Z89">
        <v>31.302762999999999</v>
      </c>
      <c r="AA89">
        <v>32.254620000000003</v>
      </c>
      <c r="AB89">
        <v>33.461460000000002</v>
      </c>
      <c r="AC89">
        <v>34.623187999999999</v>
      </c>
      <c r="AD89">
        <v>35.399757000000001</v>
      </c>
      <c r="AE89" t="s">
        <v>1204</v>
      </c>
    </row>
    <row r="90" spans="1:31" x14ac:dyDescent="0.25">
      <c r="A90" t="s">
        <v>470</v>
      </c>
      <c r="B90" t="s">
        <v>1567</v>
      </c>
      <c r="C90" t="s">
        <v>1568</v>
      </c>
      <c r="D90" t="s">
        <v>540</v>
      </c>
      <c r="E90">
        <v>26.549246</v>
      </c>
      <c r="F90">
        <v>25.43479</v>
      </c>
      <c r="G90">
        <v>26.327487999999999</v>
      </c>
      <c r="H90">
        <v>27.129781999999999</v>
      </c>
      <c r="I90">
        <v>27.798845</v>
      </c>
      <c r="J90">
        <v>28.406582</v>
      </c>
      <c r="K90">
        <v>28.930682999999998</v>
      </c>
      <c r="L90">
        <v>29.511772000000001</v>
      </c>
      <c r="M90">
        <v>31.42576</v>
      </c>
      <c r="N90">
        <v>32.097237</v>
      </c>
      <c r="O90">
        <v>32.981116999999998</v>
      </c>
      <c r="P90">
        <v>34.054726000000002</v>
      </c>
      <c r="Q90">
        <v>35.128605</v>
      </c>
      <c r="R90">
        <v>36.127502</v>
      </c>
      <c r="S90">
        <v>37.053775999999999</v>
      </c>
      <c r="T90">
        <v>37.876621</v>
      </c>
      <c r="U90">
        <v>38.758857999999996</v>
      </c>
      <c r="V90">
        <v>39.729298</v>
      </c>
      <c r="W90">
        <v>40.687373999999998</v>
      </c>
      <c r="X90">
        <v>41.622157999999999</v>
      </c>
      <c r="Y90">
        <v>42.852268000000002</v>
      </c>
      <c r="Z90">
        <v>44.049931000000001</v>
      </c>
      <c r="AA90">
        <v>45.010463999999999</v>
      </c>
      <c r="AB90">
        <v>46.516361000000003</v>
      </c>
      <c r="AC90">
        <v>47.931091000000002</v>
      </c>
      <c r="AD90">
        <v>48.836582</v>
      </c>
      <c r="AE90" t="s">
        <v>1569</v>
      </c>
    </row>
    <row r="91" spans="1:31" x14ac:dyDescent="0.25">
      <c r="A91" t="s">
        <v>109</v>
      </c>
      <c r="B91" t="s">
        <v>1570</v>
      </c>
      <c r="C91" t="s">
        <v>1571</v>
      </c>
      <c r="D91" t="s">
        <v>540</v>
      </c>
      <c r="E91">
        <v>11.500686999999999</v>
      </c>
      <c r="F91">
        <v>9.1765089999999994</v>
      </c>
      <c r="G91">
        <v>10.461626000000001</v>
      </c>
      <c r="H91">
        <v>11.215068</v>
      </c>
      <c r="I91">
        <v>11.870642</v>
      </c>
      <c r="J91">
        <v>12.038475999999999</v>
      </c>
      <c r="K91">
        <v>13.052052</v>
      </c>
      <c r="L91">
        <v>13.308909</v>
      </c>
      <c r="M91">
        <v>13.903541000000001</v>
      </c>
      <c r="N91">
        <v>14.270398</v>
      </c>
      <c r="O91">
        <v>14.772669</v>
      </c>
      <c r="P91">
        <v>15.242775</v>
      </c>
      <c r="Q91">
        <v>15.621074999999999</v>
      </c>
      <c r="R91">
        <v>16.116737000000001</v>
      </c>
      <c r="S91">
        <v>16.558672000000001</v>
      </c>
      <c r="T91">
        <v>17.172087000000001</v>
      </c>
      <c r="U91">
        <v>17.840195000000001</v>
      </c>
      <c r="V91">
        <v>18.361521</v>
      </c>
      <c r="W91">
        <v>18.873004999999999</v>
      </c>
      <c r="X91">
        <v>19.392209999999999</v>
      </c>
      <c r="Y91">
        <v>20.033145999999999</v>
      </c>
      <c r="Z91">
        <v>20.594844999999999</v>
      </c>
      <c r="AA91">
        <v>21.138076999999999</v>
      </c>
      <c r="AB91">
        <v>21.981722000000001</v>
      </c>
      <c r="AC91">
        <v>22.654275999999999</v>
      </c>
      <c r="AD91">
        <v>23.196024000000001</v>
      </c>
      <c r="AE91" t="s">
        <v>1308</v>
      </c>
    </row>
    <row r="92" spans="1:31" x14ac:dyDescent="0.25">
      <c r="A92" t="s">
        <v>80</v>
      </c>
      <c r="B92" t="s">
        <v>1572</v>
      </c>
      <c r="C92" t="s">
        <v>1573</v>
      </c>
      <c r="D92" t="s">
        <v>540</v>
      </c>
      <c r="E92">
        <v>17.201744000000001</v>
      </c>
      <c r="F92">
        <v>17.844985999999999</v>
      </c>
      <c r="G92">
        <v>18.013479</v>
      </c>
      <c r="H92">
        <v>18.415855000000001</v>
      </c>
      <c r="I92">
        <v>18.820347000000002</v>
      </c>
      <c r="J92">
        <v>19.577884999999998</v>
      </c>
      <c r="K92">
        <v>20.192388999999999</v>
      </c>
      <c r="L92">
        <v>20.608042000000001</v>
      </c>
      <c r="M92">
        <v>21.747008999999998</v>
      </c>
      <c r="N92">
        <v>22.089293000000001</v>
      </c>
      <c r="O92">
        <v>22.516681999999999</v>
      </c>
      <c r="P92">
        <v>22.906855</v>
      </c>
      <c r="Q92">
        <v>23.436966000000002</v>
      </c>
      <c r="R92">
        <v>23.808046000000001</v>
      </c>
      <c r="S92">
        <v>24.198340999999999</v>
      </c>
      <c r="T92">
        <v>24.570103</v>
      </c>
      <c r="U92">
        <v>24.85453</v>
      </c>
      <c r="V92">
        <v>24.938987999999998</v>
      </c>
      <c r="W92">
        <v>24.955359000000001</v>
      </c>
      <c r="X92">
        <v>24.948903999999999</v>
      </c>
      <c r="Y92">
        <v>25.065079000000001</v>
      </c>
      <c r="Z92">
        <v>25.347882999999999</v>
      </c>
      <c r="AA92">
        <v>25.664193999999998</v>
      </c>
      <c r="AB92">
        <v>25.973032</v>
      </c>
      <c r="AC92">
        <v>26.251431</v>
      </c>
      <c r="AD92">
        <v>26.487376999999999</v>
      </c>
      <c r="AE92" t="s">
        <v>1401</v>
      </c>
    </row>
    <row r="93" spans="1:31" x14ac:dyDescent="0.25">
      <c r="A93" t="s">
        <v>432</v>
      </c>
      <c r="B93" t="s">
        <v>1574</v>
      </c>
      <c r="C93" t="s">
        <v>1575</v>
      </c>
      <c r="D93" t="s">
        <v>540</v>
      </c>
      <c r="E93">
        <v>45.167717000000003</v>
      </c>
      <c r="F93">
        <v>46.454472000000003</v>
      </c>
      <c r="G93">
        <v>45.886574000000003</v>
      </c>
      <c r="H93">
        <v>44.966662999999997</v>
      </c>
      <c r="I93">
        <v>46.176102</v>
      </c>
      <c r="J93">
        <v>47.676139999999997</v>
      </c>
      <c r="K93">
        <v>48.802723</v>
      </c>
      <c r="L93">
        <v>49.810046999999997</v>
      </c>
      <c r="M93">
        <v>50.980685999999999</v>
      </c>
      <c r="N93">
        <v>52.590381999999998</v>
      </c>
      <c r="O93">
        <v>53.914161999999997</v>
      </c>
      <c r="P93">
        <v>55.245269999999998</v>
      </c>
      <c r="Q93">
        <v>56.911918999999997</v>
      </c>
      <c r="R93">
        <v>58.459567999999997</v>
      </c>
      <c r="S93">
        <v>60.052010000000003</v>
      </c>
      <c r="T93">
        <v>61.496372000000001</v>
      </c>
      <c r="U93">
        <v>62.719242000000001</v>
      </c>
      <c r="V93">
        <v>63.953876000000001</v>
      </c>
      <c r="W93">
        <v>65.059630999999996</v>
      </c>
      <c r="X93">
        <v>66.253653999999997</v>
      </c>
      <c r="Y93">
        <v>67.257407999999998</v>
      </c>
      <c r="Z93">
        <v>68.665176000000002</v>
      </c>
      <c r="AA93">
        <v>70.261909000000003</v>
      </c>
      <c r="AB93">
        <v>71.912970999999999</v>
      </c>
      <c r="AC93">
        <v>73.254669000000007</v>
      </c>
      <c r="AD93">
        <v>74.780333999999996</v>
      </c>
      <c r="AE93" t="s">
        <v>1540</v>
      </c>
    </row>
    <row r="94" spans="1:31" x14ac:dyDescent="0.25">
      <c r="A94" t="s">
        <v>300</v>
      </c>
    </row>
    <row r="95" spans="1:31" x14ac:dyDescent="0.25">
      <c r="A95" t="s">
        <v>74</v>
      </c>
      <c r="B95" t="s">
        <v>1576</v>
      </c>
      <c r="C95" t="s">
        <v>1577</v>
      </c>
      <c r="D95" t="s">
        <v>540</v>
      </c>
      <c r="E95">
        <v>26.278624000000001</v>
      </c>
      <c r="F95">
        <v>24.489048</v>
      </c>
      <c r="G95">
        <v>24.779555999999999</v>
      </c>
      <c r="H95">
        <v>24.663654000000001</v>
      </c>
      <c r="I95">
        <v>24.507017000000001</v>
      </c>
      <c r="J95">
        <v>23.571476000000001</v>
      </c>
      <c r="K95">
        <v>23.097819999999999</v>
      </c>
      <c r="L95">
        <v>23.784310999999999</v>
      </c>
      <c r="M95">
        <v>24.748343999999999</v>
      </c>
      <c r="N95">
        <v>25.387433999999999</v>
      </c>
      <c r="O95">
        <v>26.27375</v>
      </c>
      <c r="P95">
        <v>26.933302000000001</v>
      </c>
      <c r="Q95">
        <v>27.856487000000001</v>
      </c>
      <c r="R95">
        <v>28.685193999999999</v>
      </c>
      <c r="S95">
        <v>29.362669</v>
      </c>
      <c r="T95">
        <v>30.037808999999999</v>
      </c>
      <c r="U95">
        <v>30.788278999999999</v>
      </c>
      <c r="V95">
        <v>31.547287000000001</v>
      </c>
      <c r="W95">
        <v>32.353245000000001</v>
      </c>
      <c r="X95">
        <v>33.072777000000002</v>
      </c>
      <c r="Y95">
        <v>34.006256</v>
      </c>
      <c r="Z95">
        <v>35.020755999999999</v>
      </c>
      <c r="AA95">
        <v>35.912571</v>
      </c>
      <c r="AB95">
        <v>37.078055999999997</v>
      </c>
      <c r="AC95">
        <v>38.327274000000003</v>
      </c>
      <c r="AD95">
        <v>39.144565999999998</v>
      </c>
      <c r="AE95" t="s">
        <v>1578</v>
      </c>
    </row>
    <row r="96" spans="1:31" x14ac:dyDescent="0.25">
      <c r="A96" t="s">
        <v>109</v>
      </c>
      <c r="B96" t="s">
        <v>1579</v>
      </c>
      <c r="C96" t="s">
        <v>1580</v>
      </c>
      <c r="D96" t="s">
        <v>540</v>
      </c>
      <c r="E96">
        <v>15.195043</v>
      </c>
      <c r="F96">
        <v>11.705897</v>
      </c>
      <c r="G96">
        <v>13.141294</v>
      </c>
      <c r="H96">
        <v>14.214765</v>
      </c>
      <c r="I96">
        <v>14.965571000000001</v>
      </c>
      <c r="J96">
        <v>15.168744999999999</v>
      </c>
      <c r="K96">
        <v>16.500057000000002</v>
      </c>
      <c r="L96">
        <v>16.691330000000001</v>
      </c>
      <c r="M96">
        <v>17.325517999999999</v>
      </c>
      <c r="N96">
        <v>17.804876</v>
      </c>
      <c r="O96">
        <v>18.258794999999999</v>
      </c>
      <c r="P96">
        <v>18.755901000000001</v>
      </c>
      <c r="Q96">
        <v>19.152221999999998</v>
      </c>
      <c r="R96">
        <v>19.655111000000002</v>
      </c>
      <c r="S96">
        <v>20.177216000000001</v>
      </c>
      <c r="T96">
        <v>20.767647</v>
      </c>
      <c r="U96">
        <v>21.173552000000001</v>
      </c>
      <c r="V96">
        <v>21.324155999999999</v>
      </c>
      <c r="W96">
        <v>21.201637000000002</v>
      </c>
      <c r="X96">
        <v>20.893094999999999</v>
      </c>
      <c r="Y96">
        <v>20.376925</v>
      </c>
      <c r="Z96">
        <v>20.947179999999999</v>
      </c>
      <c r="AA96">
        <v>21.567547000000001</v>
      </c>
      <c r="AB96">
        <v>22.527080999999999</v>
      </c>
      <c r="AC96">
        <v>23.299332</v>
      </c>
      <c r="AD96">
        <v>23.891749999999998</v>
      </c>
      <c r="AE96" t="s">
        <v>1429</v>
      </c>
    </row>
    <row r="97" spans="1:31" x14ac:dyDescent="0.25">
      <c r="A97" t="s">
        <v>80</v>
      </c>
      <c r="B97" t="s">
        <v>1581</v>
      </c>
      <c r="C97" t="s">
        <v>1582</v>
      </c>
      <c r="D97" t="s">
        <v>540</v>
      </c>
      <c r="E97">
        <v>3.8086660000000001</v>
      </c>
      <c r="F97">
        <v>4.1059739999999998</v>
      </c>
      <c r="G97">
        <v>4.0223570000000004</v>
      </c>
      <c r="H97">
        <v>4.172301</v>
      </c>
      <c r="I97">
        <v>4.3873579999999999</v>
      </c>
      <c r="J97">
        <v>4.9978899999999999</v>
      </c>
      <c r="K97">
        <v>5.4647189999999997</v>
      </c>
      <c r="L97">
        <v>5.6476680000000004</v>
      </c>
      <c r="M97">
        <v>5.7611600000000003</v>
      </c>
      <c r="N97">
        <v>5.9541009999999996</v>
      </c>
      <c r="O97">
        <v>6.0625790000000004</v>
      </c>
      <c r="P97">
        <v>6.2923489999999997</v>
      </c>
      <c r="Q97">
        <v>6.5591249999999999</v>
      </c>
      <c r="R97">
        <v>6.6455789999999997</v>
      </c>
      <c r="S97">
        <v>6.9182350000000001</v>
      </c>
      <c r="T97">
        <v>7.0971529999999996</v>
      </c>
      <c r="U97">
        <v>7.1358649999999999</v>
      </c>
      <c r="V97">
        <v>7.0426440000000001</v>
      </c>
      <c r="W97">
        <v>6.9196949999999999</v>
      </c>
      <c r="X97">
        <v>6.7760040000000004</v>
      </c>
      <c r="Y97">
        <v>6.7172970000000003</v>
      </c>
      <c r="Z97">
        <v>6.8076220000000003</v>
      </c>
      <c r="AA97">
        <v>6.9188869999999998</v>
      </c>
      <c r="AB97">
        <v>7.0792869999999999</v>
      </c>
      <c r="AC97">
        <v>7.1949509999999997</v>
      </c>
      <c r="AD97">
        <v>7.2884679999999999</v>
      </c>
      <c r="AE97" t="s">
        <v>1521</v>
      </c>
    </row>
    <row r="98" spans="1:31" x14ac:dyDescent="0.25">
      <c r="A98" t="s">
        <v>309</v>
      </c>
      <c r="B98" t="s">
        <v>1583</v>
      </c>
      <c r="C98" t="s">
        <v>1584</v>
      </c>
      <c r="D98" t="s">
        <v>540</v>
      </c>
      <c r="E98">
        <v>2.563418</v>
      </c>
      <c r="F98">
        <v>2.5863119999999999</v>
      </c>
      <c r="G98">
        <v>2.5925150000000001</v>
      </c>
      <c r="H98">
        <v>2.6296349999999999</v>
      </c>
      <c r="I98">
        <v>2.6762450000000002</v>
      </c>
      <c r="J98">
        <v>2.7451629999999998</v>
      </c>
      <c r="K98">
        <v>2.751312</v>
      </c>
      <c r="L98">
        <v>2.7902420000000001</v>
      </c>
      <c r="M98">
        <v>2.84354</v>
      </c>
      <c r="N98">
        <v>2.8777819999999998</v>
      </c>
      <c r="O98">
        <v>2.9360909999999998</v>
      </c>
      <c r="P98">
        <v>2.9919920000000002</v>
      </c>
      <c r="Q98">
        <v>3.1009899999999999</v>
      </c>
      <c r="R98">
        <v>3.1683849999999998</v>
      </c>
      <c r="S98">
        <v>3.2528350000000001</v>
      </c>
      <c r="T98">
        <v>3.3242970000000001</v>
      </c>
      <c r="U98">
        <v>3.3780869999999998</v>
      </c>
      <c r="V98">
        <v>3.4384939999999999</v>
      </c>
      <c r="W98">
        <v>3.5162369999999998</v>
      </c>
      <c r="X98">
        <v>3.5672920000000001</v>
      </c>
      <c r="Y98">
        <v>3.6472899999999999</v>
      </c>
      <c r="Z98">
        <v>3.7334239999999999</v>
      </c>
      <c r="AA98">
        <v>3.816249</v>
      </c>
      <c r="AB98">
        <v>3.9000149999999998</v>
      </c>
      <c r="AC98">
        <v>4.0186159999999997</v>
      </c>
      <c r="AD98">
        <v>4.0909659999999999</v>
      </c>
      <c r="AE98" t="s">
        <v>1551</v>
      </c>
    </row>
    <row r="99" spans="1:31" x14ac:dyDescent="0.25">
      <c r="A99" t="s">
        <v>1471</v>
      </c>
      <c r="B99" t="s">
        <v>1585</v>
      </c>
      <c r="C99" t="s">
        <v>1586</v>
      </c>
      <c r="D99" t="s">
        <v>540</v>
      </c>
      <c r="E99">
        <v>0.54999699999999996</v>
      </c>
      <c r="F99">
        <v>0.56005000000000005</v>
      </c>
      <c r="G99">
        <v>0.56964499999999996</v>
      </c>
      <c r="H99">
        <v>0.57939200000000002</v>
      </c>
      <c r="I99">
        <v>0.58915399999999996</v>
      </c>
      <c r="J99">
        <v>0.59923199999999999</v>
      </c>
      <c r="K99">
        <v>0.608429</v>
      </c>
      <c r="L99">
        <v>0.617533</v>
      </c>
      <c r="M99">
        <v>0.62723099999999998</v>
      </c>
      <c r="N99">
        <v>0.635544</v>
      </c>
      <c r="O99">
        <v>0.64408799999999999</v>
      </c>
      <c r="P99">
        <v>0.65236899999999998</v>
      </c>
      <c r="Q99">
        <v>0.66135699999999997</v>
      </c>
      <c r="R99">
        <v>0.67046799999999995</v>
      </c>
      <c r="S99">
        <v>0.679531</v>
      </c>
      <c r="T99">
        <v>0.68741799999999997</v>
      </c>
      <c r="U99">
        <v>0.696496</v>
      </c>
      <c r="V99">
        <v>0.70402699999999996</v>
      </c>
      <c r="W99">
        <v>0.71283300000000005</v>
      </c>
      <c r="X99">
        <v>0.72009900000000004</v>
      </c>
      <c r="Y99">
        <v>0.727271</v>
      </c>
      <c r="Z99">
        <v>0.73444799999999999</v>
      </c>
      <c r="AA99">
        <v>0.743205</v>
      </c>
      <c r="AB99">
        <v>0.75059200000000004</v>
      </c>
      <c r="AC99">
        <v>0.75789200000000001</v>
      </c>
      <c r="AD99">
        <v>0.76500699999999999</v>
      </c>
      <c r="AE99" t="s">
        <v>1587</v>
      </c>
    </row>
    <row r="100" spans="1:31" x14ac:dyDescent="0.25">
      <c r="A100" t="s">
        <v>173</v>
      </c>
      <c r="B100" t="s">
        <v>1585</v>
      </c>
      <c r="C100" t="s">
        <v>1588</v>
      </c>
      <c r="D100" t="s">
        <v>540</v>
      </c>
      <c r="E100">
        <v>11.501232999999999</v>
      </c>
      <c r="F100">
        <v>12.215922000000001</v>
      </c>
      <c r="G100">
        <v>12.441084999999999</v>
      </c>
      <c r="H100">
        <v>12.845333</v>
      </c>
      <c r="I100">
        <v>13.19964</v>
      </c>
      <c r="J100">
        <v>14.246919999999999</v>
      </c>
      <c r="K100">
        <v>14.868074999999999</v>
      </c>
      <c r="L100">
        <v>15.341229</v>
      </c>
      <c r="M100">
        <v>15.758101</v>
      </c>
      <c r="N100">
        <v>16.121334000000001</v>
      </c>
      <c r="O100">
        <v>16.377409</v>
      </c>
      <c r="P100">
        <v>16.928585000000002</v>
      </c>
      <c r="Q100">
        <v>17.287061999999999</v>
      </c>
      <c r="R100">
        <v>17.757148999999998</v>
      </c>
      <c r="S100">
        <v>18.224952999999999</v>
      </c>
      <c r="T100">
        <v>18.648541999999999</v>
      </c>
      <c r="U100">
        <v>18.894539000000002</v>
      </c>
      <c r="V100">
        <v>18.979748000000001</v>
      </c>
      <c r="W100">
        <v>18.869945999999999</v>
      </c>
      <c r="X100">
        <v>18.823492000000002</v>
      </c>
      <c r="Y100">
        <v>18.959050999999999</v>
      </c>
      <c r="Z100">
        <v>19.220348000000001</v>
      </c>
      <c r="AA100">
        <v>19.583922999999999</v>
      </c>
      <c r="AB100">
        <v>19.950400999999999</v>
      </c>
      <c r="AC100">
        <v>20.260973</v>
      </c>
      <c r="AD100">
        <v>20.556705000000001</v>
      </c>
      <c r="AE100" t="s">
        <v>1556</v>
      </c>
    </row>
    <row r="101" spans="1:31" x14ac:dyDescent="0.25">
      <c r="A101" t="s">
        <v>494</v>
      </c>
    </row>
    <row r="102" spans="1:31" x14ac:dyDescent="0.25">
      <c r="A102" t="s">
        <v>70</v>
      </c>
      <c r="B102" t="s">
        <v>1589</v>
      </c>
      <c r="C102" t="s">
        <v>1590</v>
      </c>
      <c r="D102" t="s">
        <v>540</v>
      </c>
      <c r="E102">
        <v>22.702044000000001</v>
      </c>
      <c r="F102">
        <v>22.616313999999999</v>
      </c>
      <c r="G102">
        <v>20.825095999999998</v>
      </c>
      <c r="H102">
        <v>21.813624999999998</v>
      </c>
      <c r="I102">
        <v>22.945105000000002</v>
      </c>
      <c r="J102">
        <v>24.391010000000001</v>
      </c>
      <c r="K102">
        <v>26.248944999999999</v>
      </c>
      <c r="L102">
        <v>27.634941000000001</v>
      </c>
      <c r="M102">
        <v>29.232589999999998</v>
      </c>
      <c r="N102">
        <v>30.519314000000001</v>
      </c>
      <c r="O102">
        <v>31.804843999999999</v>
      </c>
      <c r="P102">
        <v>33.086829999999999</v>
      </c>
      <c r="Q102">
        <v>34.430618000000003</v>
      </c>
      <c r="R102">
        <v>35.798572999999998</v>
      </c>
      <c r="S102">
        <v>37.190407</v>
      </c>
      <c r="T102">
        <v>38.446663000000001</v>
      </c>
      <c r="U102">
        <v>39.571541000000003</v>
      </c>
      <c r="V102">
        <v>40.368729000000002</v>
      </c>
      <c r="W102">
        <v>40.876685999999999</v>
      </c>
      <c r="X102">
        <v>41.304381999999997</v>
      </c>
      <c r="Y102">
        <v>42.034309</v>
      </c>
      <c r="Z102">
        <v>43.003253999999998</v>
      </c>
      <c r="AA102">
        <v>44.062545999999998</v>
      </c>
      <c r="AB102">
        <v>45.194817</v>
      </c>
      <c r="AC102">
        <v>46.262473999999997</v>
      </c>
      <c r="AD102">
        <v>47.279659000000002</v>
      </c>
      <c r="AE102" t="s">
        <v>1591</v>
      </c>
    </row>
    <row r="103" spans="1:31" x14ac:dyDescent="0.25">
      <c r="A103" t="s">
        <v>463</v>
      </c>
      <c r="B103" t="s">
        <v>1592</v>
      </c>
      <c r="C103" t="s">
        <v>1593</v>
      </c>
      <c r="D103" t="s">
        <v>540</v>
      </c>
      <c r="E103">
        <v>30.587164000000001</v>
      </c>
      <c r="F103">
        <v>31.203903</v>
      </c>
      <c r="G103">
        <v>30.024381999999999</v>
      </c>
      <c r="H103">
        <v>30.145154999999999</v>
      </c>
      <c r="I103">
        <v>30.904641999999999</v>
      </c>
      <c r="J103">
        <v>31.073414</v>
      </c>
      <c r="K103">
        <v>32.168621000000002</v>
      </c>
      <c r="L103">
        <v>32.907597000000003</v>
      </c>
      <c r="M103">
        <v>34.255245000000002</v>
      </c>
      <c r="N103">
        <v>35.123013</v>
      </c>
      <c r="O103">
        <v>36.329647000000001</v>
      </c>
      <c r="P103">
        <v>37.328429999999997</v>
      </c>
      <c r="Q103">
        <v>38.626873000000003</v>
      </c>
      <c r="R103">
        <v>39.625445999999997</v>
      </c>
      <c r="S103">
        <v>40.600712000000001</v>
      </c>
      <c r="T103">
        <v>41.494475999999999</v>
      </c>
      <c r="U103">
        <v>42.297187999999998</v>
      </c>
      <c r="V103">
        <v>43.355907000000002</v>
      </c>
      <c r="W103">
        <v>44.286273999999999</v>
      </c>
      <c r="X103">
        <v>45.190883999999997</v>
      </c>
      <c r="Y103">
        <v>46.453612999999997</v>
      </c>
      <c r="Z103">
        <v>47.314700999999999</v>
      </c>
      <c r="AA103">
        <v>48.453220000000002</v>
      </c>
      <c r="AB103">
        <v>49.672561999999999</v>
      </c>
      <c r="AC103">
        <v>50.988106000000002</v>
      </c>
      <c r="AD103">
        <v>52.034877999999999</v>
      </c>
      <c r="AE103" t="s">
        <v>1382</v>
      </c>
    </row>
    <row r="104" spans="1:31" x14ac:dyDescent="0.25">
      <c r="A104" t="s">
        <v>101</v>
      </c>
      <c r="B104" t="s">
        <v>1594</v>
      </c>
      <c r="C104" t="s">
        <v>1595</v>
      </c>
      <c r="D104" t="s">
        <v>540</v>
      </c>
      <c r="E104">
        <v>26.495358</v>
      </c>
      <c r="F104">
        <v>25.556398000000002</v>
      </c>
      <c r="G104">
        <v>24.712973000000002</v>
      </c>
      <c r="H104">
        <v>24.690823000000002</v>
      </c>
      <c r="I104">
        <v>25.222752</v>
      </c>
      <c r="J104">
        <v>25.998556000000001</v>
      </c>
      <c r="K104">
        <v>26.819561</v>
      </c>
      <c r="L104">
        <v>27.506889000000001</v>
      </c>
      <c r="M104">
        <v>29.004899999999999</v>
      </c>
      <c r="N104">
        <v>29.702297000000002</v>
      </c>
      <c r="O104">
        <v>30.690802000000001</v>
      </c>
      <c r="P104">
        <v>31.538443000000001</v>
      </c>
      <c r="Q104">
        <v>32.530064000000003</v>
      </c>
      <c r="R104">
        <v>33.392063</v>
      </c>
      <c r="S104">
        <v>34.168529999999997</v>
      </c>
      <c r="T104">
        <v>34.915165000000002</v>
      </c>
      <c r="U104">
        <v>35.634754000000001</v>
      </c>
      <c r="V104">
        <v>36.528145000000002</v>
      </c>
      <c r="W104">
        <v>37.243454</v>
      </c>
      <c r="X104">
        <v>37.969349000000001</v>
      </c>
      <c r="Y104">
        <v>38.958221000000002</v>
      </c>
      <c r="Z104">
        <v>39.662135999999997</v>
      </c>
      <c r="AA104">
        <v>40.764705999999997</v>
      </c>
      <c r="AB104">
        <v>41.735259999999997</v>
      </c>
      <c r="AC104">
        <v>42.860858999999998</v>
      </c>
      <c r="AD104">
        <v>43.736732000000003</v>
      </c>
      <c r="AE104" t="s">
        <v>1540</v>
      </c>
    </row>
    <row r="105" spans="1:31" x14ac:dyDescent="0.25">
      <c r="A105" t="s">
        <v>196</v>
      </c>
      <c r="B105" t="s">
        <v>1596</v>
      </c>
      <c r="C105" t="s">
        <v>1597</v>
      </c>
      <c r="D105" t="s">
        <v>540</v>
      </c>
      <c r="E105">
        <v>16.24399</v>
      </c>
      <c r="F105">
        <v>14.885285</v>
      </c>
      <c r="G105">
        <v>16.242111000000001</v>
      </c>
      <c r="H105">
        <v>17.142665999999998</v>
      </c>
      <c r="I105">
        <v>17.956693999999999</v>
      </c>
      <c r="J105">
        <v>18.163627999999999</v>
      </c>
      <c r="K105">
        <v>19.103359000000001</v>
      </c>
      <c r="L105">
        <v>19.707733000000001</v>
      </c>
      <c r="M105">
        <v>20.719217</v>
      </c>
      <c r="N105">
        <v>21.308351999999999</v>
      </c>
      <c r="O105">
        <v>22.187794</v>
      </c>
      <c r="P105">
        <v>22.852395999999999</v>
      </c>
      <c r="Q105">
        <v>23.740504999999999</v>
      </c>
      <c r="R105">
        <v>24.586228999999999</v>
      </c>
      <c r="S105">
        <v>25.237694000000001</v>
      </c>
      <c r="T105">
        <v>25.906341999999999</v>
      </c>
      <c r="U105">
        <v>26.724316000000002</v>
      </c>
      <c r="V105">
        <v>27.552126000000001</v>
      </c>
      <c r="W105">
        <v>28.378133999999999</v>
      </c>
      <c r="X105">
        <v>29.216570000000001</v>
      </c>
      <c r="Y105">
        <v>30.297083000000001</v>
      </c>
      <c r="Z105">
        <v>31.302762999999999</v>
      </c>
      <c r="AA105">
        <v>32.254620000000003</v>
      </c>
      <c r="AB105">
        <v>33.461460000000002</v>
      </c>
      <c r="AC105">
        <v>34.623187999999999</v>
      </c>
      <c r="AD105">
        <v>35.399757000000001</v>
      </c>
      <c r="AE105" t="s">
        <v>1204</v>
      </c>
    </row>
    <row r="106" spans="1:31" x14ac:dyDescent="0.25">
      <c r="A106" t="s">
        <v>74</v>
      </c>
      <c r="B106" t="s">
        <v>1598</v>
      </c>
      <c r="C106" t="s">
        <v>1599</v>
      </c>
      <c r="D106" t="s">
        <v>540</v>
      </c>
      <c r="E106">
        <v>26.483619999999998</v>
      </c>
      <c r="F106">
        <v>25.212063000000001</v>
      </c>
      <c r="G106">
        <v>26.105146000000001</v>
      </c>
      <c r="H106">
        <v>26.663025000000001</v>
      </c>
      <c r="I106">
        <v>27.120792000000002</v>
      </c>
      <c r="J106">
        <v>27.387518</v>
      </c>
      <c r="K106">
        <v>27.827490000000001</v>
      </c>
      <c r="L106">
        <v>28.493062999999999</v>
      </c>
      <c r="M106">
        <v>30.163668000000001</v>
      </c>
      <c r="N106">
        <v>30.825099999999999</v>
      </c>
      <c r="O106">
        <v>31.790512</v>
      </c>
      <c r="P106">
        <v>32.764149000000003</v>
      </c>
      <c r="Q106">
        <v>33.718699999999998</v>
      </c>
      <c r="R106">
        <v>34.663502000000001</v>
      </c>
      <c r="S106">
        <v>35.530388000000002</v>
      </c>
      <c r="T106">
        <v>36.372742000000002</v>
      </c>
      <c r="U106">
        <v>37.304409</v>
      </c>
      <c r="V106">
        <v>38.223038000000003</v>
      </c>
      <c r="W106">
        <v>39.155594000000001</v>
      </c>
      <c r="X106">
        <v>40.089275000000001</v>
      </c>
      <c r="Y106">
        <v>41.253197</v>
      </c>
      <c r="Z106">
        <v>42.361237000000003</v>
      </c>
      <c r="AA106">
        <v>43.425139999999999</v>
      </c>
      <c r="AB106">
        <v>44.783175999999997</v>
      </c>
      <c r="AC106">
        <v>46.097133999999997</v>
      </c>
      <c r="AD106">
        <v>47.042403999999998</v>
      </c>
      <c r="AE106" t="s">
        <v>1524</v>
      </c>
    </row>
    <row r="107" spans="1:31" x14ac:dyDescent="0.25">
      <c r="A107" t="s">
        <v>109</v>
      </c>
      <c r="B107" t="s">
        <v>1600</v>
      </c>
      <c r="C107" t="s">
        <v>1601</v>
      </c>
      <c r="D107" t="s">
        <v>540</v>
      </c>
      <c r="E107">
        <v>11.658543999999999</v>
      </c>
      <c r="F107">
        <v>9.2664179999999998</v>
      </c>
      <c r="G107">
        <v>10.617278000000001</v>
      </c>
      <c r="H107">
        <v>11.430065000000001</v>
      </c>
      <c r="I107">
        <v>12.136557</v>
      </c>
      <c r="J107">
        <v>12.340942999999999</v>
      </c>
      <c r="K107">
        <v>13.424289999999999</v>
      </c>
      <c r="L107">
        <v>13.668635</v>
      </c>
      <c r="M107">
        <v>14.262857</v>
      </c>
      <c r="N107">
        <v>14.623524</v>
      </c>
      <c r="O107">
        <v>15.122920000000001</v>
      </c>
      <c r="P107">
        <v>15.590816</v>
      </c>
      <c r="Q107">
        <v>15.964722</v>
      </c>
      <c r="R107">
        <v>16.456444000000001</v>
      </c>
      <c r="S107">
        <v>16.900759000000001</v>
      </c>
      <c r="T107">
        <v>17.509181999999999</v>
      </c>
      <c r="U107">
        <v>18.151091000000001</v>
      </c>
      <c r="V107">
        <v>18.639223000000001</v>
      </c>
      <c r="W107">
        <v>19.108456</v>
      </c>
      <c r="X107">
        <v>19.586207999999999</v>
      </c>
      <c r="Y107">
        <v>20.188317999999999</v>
      </c>
      <c r="Z107">
        <v>20.752770999999999</v>
      </c>
      <c r="AA107">
        <v>21.30106</v>
      </c>
      <c r="AB107">
        <v>22.152355</v>
      </c>
      <c r="AC107">
        <v>22.830642999999998</v>
      </c>
      <c r="AD107">
        <v>23.376076000000001</v>
      </c>
      <c r="AE107" t="s">
        <v>1308</v>
      </c>
    </row>
    <row r="108" spans="1:31" x14ac:dyDescent="0.25">
      <c r="A108" t="s">
        <v>80</v>
      </c>
      <c r="B108" t="s">
        <v>1602</v>
      </c>
      <c r="C108" t="s">
        <v>1603</v>
      </c>
      <c r="D108" t="s">
        <v>540</v>
      </c>
      <c r="E108">
        <v>6.5553980000000003</v>
      </c>
      <c r="F108">
        <v>6.5805999999999996</v>
      </c>
      <c r="G108">
        <v>6.776878</v>
      </c>
      <c r="H108">
        <v>7.0583989999999996</v>
      </c>
      <c r="I108">
        <v>7.3874180000000003</v>
      </c>
      <c r="J108">
        <v>8.0475840000000005</v>
      </c>
      <c r="K108">
        <v>8.4962160000000004</v>
      </c>
      <c r="L108">
        <v>8.7681570000000004</v>
      </c>
      <c r="M108">
        <v>9.0614319999999999</v>
      </c>
      <c r="N108">
        <v>9.3055559999999993</v>
      </c>
      <c r="O108">
        <v>9.579485</v>
      </c>
      <c r="P108">
        <v>9.8613780000000002</v>
      </c>
      <c r="Q108">
        <v>10.173742000000001</v>
      </c>
      <c r="R108">
        <v>10.3866</v>
      </c>
      <c r="S108">
        <v>10.687284</v>
      </c>
      <c r="T108">
        <v>10.927237</v>
      </c>
      <c r="U108">
        <v>11.061779</v>
      </c>
      <c r="V108">
        <v>11.030708000000001</v>
      </c>
      <c r="W108">
        <v>10.935929</v>
      </c>
      <c r="X108">
        <v>10.825761999999999</v>
      </c>
      <c r="Y108">
        <v>10.831564999999999</v>
      </c>
      <c r="Z108">
        <v>10.976832</v>
      </c>
      <c r="AA108">
        <v>11.157254999999999</v>
      </c>
      <c r="AB108">
        <v>11.354404000000001</v>
      </c>
      <c r="AC108">
        <v>11.518243</v>
      </c>
      <c r="AD108">
        <v>11.664484</v>
      </c>
      <c r="AE108" t="s">
        <v>1524</v>
      </c>
    </row>
    <row r="109" spans="1:31" x14ac:dyDescent="0.25">
      <c r="A109" t="s">
        <v>156</v>
      </c>
      <c r="B109" t="s">
        <v>1604</v>
      </c>
      <c r="C109" t="s">
        <v>1605</v>
      </c>
      <c r="D109" t="s">
        <v>540</v>
      </c>
      <c r="E109">
        <v>6.4173830000000001</v>
      </c>
      <c r="F109">
        <v>6.5971260000000003</v>
      </c>
      <c r="G109">
        <v>6.7281079999999998</v>
      </c>
      <c r="H109">
        <v>6.8816649999999999</v>
      </c>
      <c r="I109">
        <v>7.0141770000000001</v>
      </c>
      <c r="J109">
        <v>7.176545</v>
      </c>
      <c r="K109">
        <v>7.3082820000000002</v>
      </c>
      <c r="L109">
        <v>7.484515</v>
      </c>
      <c r="M109">
        <v>7.6419769999999998</v>
      </c>
      <c r="N109">
        <v>7.7758079999999996</v>
      </c>
      <c r="O109">
        <v>7.9447190000000001</v>
      </c>
      <c r="P109">
        <v>8.0643010000000004</v>
      </c>
      <c r="Q109">
        <v>8.2293070000000004</v>
      </c>
      <c r="R109">
        <v>8.3871590000000005</v>
      </c>
      <c r="S109">
        <v>8.5099110000000007</v>
      </c>
      <c r="T109">
        <v>8.6809630000000002</v>
      </c>
      <c r="U109">
        <v>8.8333870000000001</v>
      </c>
      <c r="V109">
        <v>8.9836790000000004</v>
      </c>
      <c r="W109">
        <v>9.1436130000000002</v>
      </c>
      <c r="X109">
        <v>9.2962989999999994</v>
      </c>
      <c r="Y109">
        <v>9.4712449999999997</v>
      </c>
      <c r="Z109">
        <v>9.6303110000000007</v>
      </c>
      <c r="AA109">
        <v>9.8214009999999998</v>
      </c>
      <c r="AB109">
        <v>10.014431999999999</v>
      </c>
      <c r="AC109">
        <v>10.155500999999999</v>
      </c>
      <c r="AD109">
        <v>10.327953000000001</v>
      </c>
      <c r="AE109" t="s">
        <v>1551</v>
      </c>
    </row>
    <row r="110" spans="1:31" x14ac:dyDescent="0.25">
      <c r="A110" t="s">
        <v>276</v>
      </c>
      <c r="B110" t="s">
        <v>1606</v>
      </c>
      <c r="C110" t="s">
        <v>1607</v>
      </c>
      <c r="D110" t="s">
        <v>540</v>
      </c>
      <c r="E110">
        <v>2.6385459999999998</v>
      </c>
      <c r="F110">
        <v>2.6565949999999998</v>
      </c>
      <c r="G110">
        <v>2.6671140000000002</v>
      </c>
      <c r="H110">
        <v>2.7143739999999998</v>
      </c>
      <c r="I110">
        <v>2.7643819999999999</v>
      </c>
      <c r="J110">
        <v>2.8320249999999998</v>
      </c>
      <c r="K110">
        <v>2.8587539999999998</v>
      </c>
      <c r="L110">
        <v>2.90924</v>
      </c>
      <c r="M110">
        <v>2.96936</v>
      </c>
      <c r="N110">
        <v>3.0135480000000001</v>
      </c>
      <c r="O110">
        <v>3.0738669999999999</v>
      </c>
      <c r="P110">
        <v>3.1340889999999999</v>
      </c>
      <c r="Q110">
        <v>3.2432089999999998</v>
      </c>
      <c r="R110">
        <v>3.312093</v>
      </c>
      <c r="S110">
        <v>3.395133</v>
      </c>
      <c r="T110">
        <v>3.4747170000000001</v>
      </c>
      <c r="U110">
        <v>3.5338400000000001</v>
      </c>
      <c r="V110">
        <v>3.5995780000000002</v>
      </c>
      <c r="W110">
        <v>3.6816040000000001</v>
      </c>
      <c r="X110">
        <v>3.7383299999999999</v>
      </c>
      <c r="Y110">
        <v>3.821329</v>
      </c>
      <c r="Z110">
        <v>3.9084949999999998</v>
      </c>
      <c r="AA110">
        <v>3.9913620000000001</v>
      </c>
      <c r="AB110">
        <v>4.0766499999999999</v>
      </c>
      <c r="AC110">
        <v>4.2022769999999996</v>
      </c>
      <c r="AD110">
        <v>4.2855270000000001</v>
      </c>
      <c r="AE110" t="s">
        <v>1540</v>
      </c>
    </row>
    <row r="111" spans="1:31" x14ac:dyDescent="0.25">
      <c r="A111" t="s">
        <v>173</v>
      </c>
      <c r="B111" t="s">
        <v>1606</v>
      </c>
      <c r="C111" t="s">
        <v>1608</v>
      </c>
      <c r="D111" t="s">
        <v>540</v>
      </c>
      <c r="E111">
        <v>11.520918</v>
      </c>
      <c r="F111">
        <v>12.236406000000001</v>
      </c>
      <c r="G111">
        <v>12.461039</v>
      </c>
      <c r="H111">
        <v>12.864701</v>
      </c>
      <c r="I111">
        <v>13.218199</v>
      </c>
      <c r="J111">
        <v>14.264761999999999</v>
      </c>
      <c r="K111">
        <v>14.885434999999999</v>
      </c>
      <c r="L111">
        <v>15.357799999999999</v>
      </c>
      <c r="M111">
        <v>15.773685</v>
      </c>
      <c r="N111">
        <v>16.135750000000002</v>
      </c>
      <c r="O111">
        <v>16.390813999999999</v>
      </c>
      <c r="P111">
        <v>16.941058999999999</v>
      </c>
      <c r="Q111">
        <v>17.298389</v>
      </c>
      <c r="R111">
        <v>17.767482999999999</v>
      </c>
      <c r="S111">
        <v>18.234314000000001</v>
      </c>
      <c r="T111">
        <v>18.657066</v>
      </c>
      <c r="U111">
        <v>18.902206</v>
      </c>
      <c r="V111">
        <v>18.986726999999998</v>
      </c>
      <c r="W111">
        <v>18.876286</v>
      </c>
      <c r="X111">
        <v>18.829279</v>
      </c>
      <c r="Y111">
        <v>18.964259999999999</v>
      </c>
      <c r="Z111">
        <v>19.225180000000002</v>
      </c>
      <c r="AA111">
        <v>19.588488000000002</v>
      </c>
      <c r="AB111">
        <v>19.954696999999999</v>
      </c>
      <c r="AC111">
        <v>20.265104000000001</v>
      </c>
      <c r="AD111">
        <v>20.560683999999998</v>
      </c>
      <c r="AE111" t="s">
        <v>1524</v>
      </c>
    </row>
    <row r="112" spans="1:31" x14ac:dyDescent="0.25">
      <c r="A112" t="s">
        <v>432</v>
      </c>
      <c r="B112" t="s">
        <v>1609</v>
      </c>
      <c r="C112" t="s">
        <v>1610</v>
      </c>
      <c r="D112" t="s">
        <v>540</v>
      </c>
      <c r="E112">
        <v>39.675659000000003</v>
      </c>
      <c r="F112">
        <v>40.578529000000003</v>
      </c>
      <c r="G112">
        <v>40.095688000000003</v>
      </c>
      <c r="H112">
        <v>40.002476000000001</v>
      </c>
      <c r="I112">
        <v>41.142113000000002</v>
      </c>
      <c r="J112">
        <v>42.478718000000001</v>
      </c>
      <c r="K112">
        <v>43.813251000000001</v>
      </c>
      <c r="L112">
        <v>44.957068999999997</v>
      </c>
      <c r="M112">
        <v>46.207957999999998</v>
      </c>
      <c r="N112">
        <v>47.460814999999997</v>
      </c>
      <c r="O112">
        <v>48.609161</v>
      </c>
      <c r="P112">
        <v>49.725281000000003</v>
      </c>
      <c r="Q112">
        <v>50.980587</v>
      </c>
      <c r="R112">
        <v>52.170780000000001</v>
      </c>
      <c r="S112">
        <v>53.464480999999999</v>
      </c>
      <c r="T112">
        <v>54.811394</v>
      </c>
      <c r="U112">
        <v>55.950043000000001</v>
      </c>
      <c r="V112">
        <v>56.938675000000003</v>
      </c>
      <c r="W112">
        <v>57.839278999999998</v>
      </c>
      <c r="X112">
        <v>58.772362000000001</v>
      </c>
      <c r="Y112">
        <v>59.512824999999999</v>
      </c>
      <c r="Z112">
        <v>60.859817999999997</v>
      </c>
      <c r="AA112">
        <v>62.207611</v>
      </c>
      <c r="AB112">
        <v>63.591777999999998</v>
      </c>
      <c r="AC112">
        <v>64.833922999999999</v>
      </c>
      <c r="AD112">
        <v>66.213920999999999</v>
      </c>
      <c r="AE112" t="s">
        <v>1382</v>
      </c>
    </row>
    <row r="113" spans="1:31" x14ac:dyDescent="0.25">
      <c r="A113" t="s">
        <v>517</v>
      </c>
    </row>
    <row r="114" spans="1:31" x14ac:dyDescent="0.25">
      <c r="A114" t="s">
        <v>621</v>
      </c>
    </row>
    <row r="115" spans="1:31" x14ac:dyDescent="0.25">
      <c r="A115" t="s">
        <v>69</v>
      </c>
      <c r="B115" t="s">
        <v>1611</v>
      </c>
      <c r="C115" t="s">
        <v>1612</v>
      </c>
      <c r="D115" t="s">
        <v>624</v>
      </c>
      <c r="E115">
        <v>354.07873499999999</v>
      </c>
      <c r="F115">
        <v>356.86102299999999</v>
      </c>
      <c r="G115">
        <v>353.95163000000002</v>
      </c>
      <c r="H115">
        <v>358.88528400000001</v>
      </c>
      <c r="I115">
        <v>370.34112499999998</v>
      </c>
      <c r="J115">
        <v>382.615906</v>
      </c>
      <c r="K115">
        <v>394.46786500000002</v>
      </c>
      <c r="L115">
        <v>405.60540800000001</v>
      </c>
      <c r="M115">
        <v>419.37481700000001</v>
      </c>
      <c r="N115">
        <v>431.620453</v>
      </c>
      <c r="O115">
        <v>444.280914</v>
      </c>
      <c r="P115">
        <v>456.72521999999998</v>
      </c>
      <c r="Q115">
        <v>470.99023399999999</v>
      </c>
      <c r="R115">
        <v>484.719086</v>
      </c>
      <c r="S115">
        <v>499.11047400000001</v>
      </c>
      <c r="T115">
        <v>513.73101799999995</v>
      </c>
      <c r="U115">
        <v>527.350281</v>
      </c>
      <c r="V115">
        <v>539.80285600000002</v>
      </c>
      <c r="W115">
        <v>551.720642</v>
      </c>
      <c r="X115">
        <v>563.80352800000003</v>
      </c>
      <c r="Y115">
        <v>575.67315699999995</v>
      </c>
      <c r="Z115">
        <v>591.719604</v>
      </c>
      <c r="AA115">
        <v>608.08941700000003</v>
      </c>
      <c r="AB115">
        <v>624.94122300000004</v>
      </c>
      <c r="AC115">
        <v>641.21044900000004</v>
      </c>
      <c r="AD115">
        <v>658.26983600000005</v>
      </c>
      <c r="AE115" t="s">
        <v>1569</v>
      </c>
    </row>
    <row r="116" spans="1:31" x14ac:dyDescent="0.25">
      <c r="A116" t="s">
        <v>98</v>
      </c>
      <c r="B116" t="s">
        <v>1613</v>
      </c>
      <c r="C116" t="s">
        <v>1614</v>
      </c>
      <c r="D116" t="s">
        <v>624</v>
      </c>
      <c r="E116">
        <v>260.22451799999999</v>
      </c>
      <c r="F116">
        <v>269.94164999999998</v>
      </c>
      <c r="G116">
        <v>271.56930499999999</v>
      </c>
      <c r="H116">
        <v>275.84344499999997</v>
      </c>
      <c r="I116">
        <v>287.100616</v>
      </c>
      <c r="J116">
        <v>299.22772200000003</v>
      </c>
      <c r="K116">
        <v>311.40301499999998</v>
      </c>
      <c r="L116">
        <v>322.07095299999997</v>
      </c>
      <c r="M116">
        <v>335.42718500000001</v>
      </c>
      <c r="N116">
        <v>347.72824100000003</v>
      </c>
      <c r="O116">
        <v>360.03112800000002</v>
      </c>
      <c r="P116">
        <v>372.290344</v>
      </c>
      <c r="Q116">
        <v>386.32547</v>
      </c>
      <c r="R116">
        <v>399.83862299999998</v>
      </c>
      <c r="S116">
        <v>414.08557100000002</v>
      </c>
      <c r="T116">
        <v>428.48562600000002</v>
      </c>
      <c r="U116">
        <v>441.614014</v>
      </c>
      <c r="V116">
        <v>453.80981400000002</v>
      </c>
      <c r="W116">
        <v>465.12109400000003</v>
      </c>
      <c r="X116">
        <v>476.61630200000002</v>
      </c>
      <c r="Y116">
        <v>487.31872600000003</v>
      </c>
      <c r="Z116">
        <v>502.39859000000001</v>
      </c>
      <c r="AA116">
        <v>517.45263699999998</v>
      </c>
      <c r="AB116">
        <v>532.73022500000002</v>
      </c>
      <c r="AC116">
        <v>546.83215299999995</v>
      </c>
      <c r="AD116">
        <v>561.54070999999999</v>
      </c>
      <c r="AE116" t="s">
        <v>1518</v>
      </c>
    </row>
    <row r="117" spans="1:31" x14ac:dyDescent="0.25">
      <c r="A117" t="s">
        <v>130</v>
      </c>
      <c r="B117" t="s">
        <v>1615</v>
      </c>
      <c r="C117" t="s">
        <v>1616</v>
      </c>
      <c r="D117" t="s">
        <v>624</v>
      </c>
      <c r="E117">
        <v>243.90741</v>
      </c>
      <c r="F117">
        <v>236.267044</v>
      </c>
      <c r="G117">
        <v>237.16783100000001</v>
      </c>
      <c r="H117">
        <v>244.280945</v>
      </c>
      <c r="I117">
        <v>252.149765</v>
      </c>
      <c r="J117">
        <v>265.24224900000002</v>
      </c>
      <c r="K117">
        <v>280.32107500000001</v>
      </c>
      <c r="L117">
        <v>292.45898399999999</v>
      </c>
      <c r="M117">
        <v>305.14736900000003</v>
      </c>
      <c r="N117">
        <v>316.94680799999998</v>
      </c>
      <c r="O117">
        <v>330.98498499999999</v>
      </c>
      <c r="P117">
        <v>345.044647</v>
      </c>
      <c r="Q117">
        <v>360.18829299999999</v>
      </c>
      <c r="R117">
        <v>375.39401199999998</v>
      </c>
      <c r="S117">
        <v>392.07910199999998</v>
      </c>
      <c r="T117">
        <v>407.88708500000001</v>
      </c>
      <c r="U117">
        <v>421.51782200000002</v>
      </c>
      <c r="V117">
        <v>431.85977200000002</v>
      </c>
      <c r="W117">
        <v>439.29159499999997</v>
      </c>
      <c r="X117">
        <v>447.06668100000002</v>
      </c>
      <c r="Y117">
        <v>459.53256199999998</v>
      </c>
      <c r="Z117">
        <v>476.11053500000003</v>
      </c>
      <c r="AA117">
        <v>493.90026899999998</v>
      </c>
      <c r="AB117">
        <v>512.02477999999996</v>
      </c>
      <c r="AC117">
        <v>527.68450900000005</v>
      </c>
      <c r="AD117">
        <v>543.62988299999995</v>
      </c>
      <c r="AE117" t="s">
        <v>1617</v>
      </c>
    </row>
    <row r="118" spans="1:31" x14ac:dyDescent="0.25">
      <c r="A118" t="s">
        <v>188</v>
      </c>
      <c r="B118" t="s">
        <v>1618</v>
      </c>
      <c r="C118" t="s">
        <v>1619</v>
      </c>
      <c r="D118" t="s">
        <v>624</v>
      </c>
      <c r="E118">
        <v>667.07385299999999</v>
      </c>
      <c r="F118">
        <v>636.51324499999998</v>
      </c>
      <c r="G118">
        <v>631.65124500000002</v>
      </c>
      <c r="H118">
        <v>633.621399</v>
      </c>
      <c r="I118">
        <v>642.93780500000003</v>
      </c>
      <c r="J118">
        <v>652.80145300000004</v>
      </c>
      <c r="K118">
        <v>666.71435499999995</v>
      </c>
      <c r="L118">
        <v>678.20275900000001</v>
      </c>
      <c r="M118">
        <v>709.82763699999998</v>
      </c>
      <c r="N118">
        <v>722.68933100000004</v>
      </c>
      <c r="O118">
        <v>742.80316200000004</v>
      </c>
      <c r="P118">
        <v>758.67895499999997</v>
      </c>
      <c r="Q118">
        <v>777.17938200000003</v>
      </c>
      <c r="R118">
        <v>794.17767300000003</v>
      </c>
      <c r="S118">
        <v>808.70623799999998</v>
      </c>
      <c r="T118">
        <v>823.82122800000002</v>
      </c>
      <c r="U118">
        <v>839.69433600000002</v>
      </c>
      <c r="V118">
        <v>856.81274399999995</v>
      </c>
      <c r="W118">
        <v>872.88055399999996</v>
      </c>
      <c r="X118">
        <v>888.63610800000004</v>
      </c>
      <c r="Y118">
        <v>911.17816200000004</v>
      </c>
      <c r="Z118">
        <v>928.86492899999996</v>
      </c>
      <c r="AA118">
        <v>951.71820100000002</v>
      </c>
      <c r="AB118">
        <v>974.26782200000002</v>
      </c>
      <c r="AC118">
        <v>997.57195999999999</v>
      </c>
      <c r="AD118">
        <v>1014.89679</v>
      </c>
      <c r="AE118" t="s">
        <v>1401</v>
      </c>
    </row>
    <row r="119" spans="1:31" x14ac:dyDescent="0.25">
      <c r="A119" t="s">
        <v>528</v>
      </c>
      <c r="B119" t="s">
        <v>1620</v>
      </c>
      <c r="C119" t="s">
        <v>1621</v>
      </c>
      <c r="D119" t="s">
        <v>624</v>
      </c>
      <c r="E119">
        <v>1525.2844239999999</v>
      </c>
      <c r="F119">
        <v>1499.5830080000001</v>
      </c>
      <c r="G119">
        <v>1494.339966</v>
      </c>
      <c r="H119">
        <v>1512.630981</v>
      </c>
      <c r="I119">
        <v>1552.5291749999999</v>
      </c>
      <c r="J119">
        <v>1599.8873289999999</v>
      </c>
      <c r="K119">
        <v>1652.90625</v>
      </c>
      <c r="L119">
        <v>1698.338013</v>
      </c>
      <c r="M119">
        <v>1769.7769780000001</v>
      </c>
      <c r="N119">
        <v>1818.9848629999999</v>
      </c>
      <c r="O119">
        <v>1878.10022</v>
      </c>
      <c r="P119">
        <v>1932.739014</v>
      </c>
      <c r="Q119">
        <v>1994.68335</v>
      </c>
      <c r="R119">
        <v>2054.1293949999999</v>
      </c>
      <c r="S119">
        <v>2113.9812010000001</v>
      </c>
      <c r="T119">
        <v>2173.9250489999999</v>
      </c>
      <c r="U119">
        <v>2230.1765140000002</v>
      </c>
      <c r="V119">
        <v>2282.2851559999999</v>
      </c>
      <c r="W119">
        <v>2329.0139159999999</v>
      </c>
      <c r="X119">
        <v>2376.1228030000002</v>
      </c>
      <c r="Y119">
        <v>2433.7028810000002</v>
      </c>
      <c r="Z119">
        <v>2499.0935060000002</v>
      </c>
      <c r="AA119">
        <v>2571.1606449999999</v>
      </c>
      <c r="AB119">
        <v>2643.9643550000001</v>
      </c>
      <c r="AC119">
        <v>2713.2990719999998</v>
      </c>
      <c r="AD119">
        <v>2778.3371579999998</v>
      </c>
      <c r="AE119" t="s">
        <v>1556</v>
      </c>
    </row>
    <row r="120" spans="1:31" x14ac:dyDescent="0.25">
      <c r="A120" t="s">
        <v>531</v>
      </c>
      <c r="B120" t="s">
        <v>1622</v>
      </c>
      <c r="C120" t="s">
        <v>1623</v>
      </c>
      <c r="D120" t="s">
        <v>624</v>
      </c>
      <c r="E120">
        <v>1.210369</v>
      </c>
      <c r="F120">
        <v>0.98594300000000001</v>
      </c>
      <c r="G120">
        <v>0.89997499999999997</v>
      </c>
      <c r="H120">
        <v>0.84589999999999999</v>
      </c>
      <c r="I120">
        <v>0.79714300000000005</v>
      </c>
      <c r="J120">
        <v>0.83210899999999999</v>
      </c>
      <c r="K120">
        <v>0.73940600000000001</v>
      </c>
      <c r="L120">
        <v>0.69153600000000004</v>
      </c>
      <c r="M120">
        <v>0.65584699999999996</v>
      </c>
      <c r="N120">
        <v>0.62366100000000002</v>
      </c>
      <c r="O120">
        <v>0.58005399999999996</v>
      </c>
      <c r="P120">
        <v>0.53976100000000005</v>
      </c>
      <c r="Q120">
        <v>0.50117299999999998</v>
      </c>
      <c r="R120">
        <v>0.46665299999999998</v>
      </c>
      <c r="S120">
        <v>0.43599300000000002</v>
      </c>
      <c r="T120">
        <v>0.41219899999999998</v>
      </c>
      <c r="U120">
        <v>0.38173499999999999</v>
      </c>
      <c r="V120">
        <v>0.36831999999999998</v>
      </c>
      <c r="W120">
        <v>0.35328999999999999</v>
      </c>
      <c r="X120">
        <v>0.34439999999999998</v>
      </c>
      <c r="Y120">
        <v>0.32051800000000003</v>
      </c>
      <c r="Z120">
        <v>0.31417200000000001</v>
      </c>
      <c r="AA120">
        <v>0.31880999999999998</v>
      </c>
      <c r="AB120">
        <v>0.33646100000000001</v>
      </c>
      <c r="AC120">
        <v>0.32001400000000002</v>
      </c>
      <c r="AD120">
        <v>0.31103999999999998</v>
      </c>
      <c r="AE120" t="s">
        <v>1624</v>
      </c>
    </row>
    <row r="121" spans="1:31" x14ac:dyDescent="0.25">
      <c r="A121" t="s">
        <v>534</v>
      </c>
      <c r="B121" t="s">
        <v>1625</v>
      </c>
      <c r="C121" t="s">
        <v>1626</v>
      </c>
      <c r="D121" t="s">
        <v>624</v>
      </c>
      <c r="E121">
        <v>1526.494751</v>
      </c>
      <c r="F121">
        <v>1500.56897</v>
      </c>
      <c r="G121">
        <v>1495.23999</v>
      </c>
      <c r="H121">
        <v>1513.4769289999999</v>
      </c>
      <c r="I121">
        <v>1553.326294</v>
      </c>
      <c r="J121">
        <v>1600.7193600000001</v>
      </c>
      <c r="K121">
        <v>1653.64563</v>
      </c>
      <c r="L121">
        <v>1699.0295410000001</v>
      </c>
      <c r="M121">
        <v>1770.4327390000001</v>
      </c>
      <c r="N121">
        <v>1819.6085210000001</v>
      </c>
      <c r="O121">
        <v>1878.680298</v>
      </c>
      <c r="P121">
        <v>1933.2788089999999</v>
      </c>
      <c r="Q121">
        <v>1995.184448</v>
      </c>
      <c r="R121">
        <v>2054.5959469999998</v>
      </c>
      <c r="S121">
        <v>2114.4172359999998</v>
      </c>
      <c r="T121">
        <v>2174.3374020000001</v>
      </c>
      <c r="U121">
        <v>2230.5583499999998</v>
      </c>
      <c r="V121">
        <v>2282.6535640000002</v>
      </c>
      <c r="W121">
        <v>2329.3671880000002</v>
      </c>
      <c r="X121">
        <v>2376.4670409999999</v>
      </c>
      <c r="Y121">
        <v>2434.023193</v>
      </c>
      <c r="Z121">
        <v>2499.407471</v>
      </c>
      <c r="AA121">
        <v>2571.4794919999999</v>
      </c>
      <c r="AB121">
        <v>2644.3007809999999</v>
      </c>
      <c r="AC121">
        <v>2713.6191410000001</v>
      </c>
      <c r="AD121">
        <v>2778.648193</v>
      </c>
      <c r="AE121" t="s">
        <v>1556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169"/>
  <sheetViews>
    <sheetView workbookViewId="0"/>
  </sheetViews>
  <sheetFormatPr defaultRowHeight="15" x14ac:dyDescent="0.25"/>
  <cols>
    <col min="1" max="1" width="32" customWidth="1"/>
  </cols>
  <sheetData>
    <row r="1" spans="1:33" x14ac:dyDescent="0.25">
      <c r="A1" t="s">
        <v>637</v>
      </c>
    </row>
    <row r="2" spans="1:33" x14ac:dyDescent="0.25">
      <c r="A2" t="s">
        <v>1627</v>
      </c>
    </row>
    <row r="3" spans="1:33" x14ac:dyDescent="0.25">
      <c r="A3" t="s">
        <v>1628</v>
      </c>
    </row>
    <row r="4" spans="1:33" x14ac:dyDescent="0.25">
      <c r="A4" t="s">
        <v>64</v>
      </c>
    </row>
    <row r="5" spans="1:33" x14ac:dyDescent="0.25">
      <c r="B5" t="s">
        <v>65</v>
      </c>
      <c r="C5" t="s">
        <v>66</v>
      </c>
      <c r="D5" t="s">
        <v>67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1065</v>
      </c>
    </row>
    <row r="6" spans="1:33" x14ac:dyDescent="0.25">
      <c r="A6" t="s">
        <v>640</v>
      </c>
    </row>
    <row r="7" spans="1:33" x14ac:dyDescent="0.25">
      <c r="A7" t="s">
        <v>641</v>
      </c>
    </row>
    <row r="8" spans="1:33" x14ac:dyDescent="0.25">
      <c r="A8" t="s">
        <v>642</v>
      </c>
      <c r="B8" t="s">
        <v>1629</v>
      </c>
      <c r="C8" t="s">
        <v>1630</v>
      </c>
      <c r="D8" t="s">
        <v>416</v>
      </c>
      <c r="E8">
        <v>5899.8525390000004</v>
      </c>
      <c r="F8">
        <v>5881.0976559999999</v>
      </c>
      <c r="G8">
        <v>5978.7724609999996</v>
      </c>
      <c r="H8">
        <v>6019.7065430000002</v>
      </c>
      <c r="I8">
        <v>6054.2880859999996</v>
      </c>
      <c r="J8">
        <v>6101.8413090000004</v>
      </c>
      <c r="K8">
        <v>6141.2236329999996</v>
      </c>
      <c r="L8">
        <v>6197.4677730000003</v>
      </c>
      <c r="M8">
        <v>6240.3046880000002</v>
      </c>
      <c r="N8">
        <v>6286.4658200000003</v>
      </c>
      <c r="O8">
        <v>6340.7539059999999</v>
      </c>
      <c r="P8">
        <v>6397.0424800000001</v>
      </c>
      <c r="Q8">
        <v>6463.6777339999999</v>
      </c>
      <c r="R8">
        <v>6528.7402339999999</v>
      </c>
      <c r="S8">
        <v>6595.4858400000003</v>
      </c>
      <c r="T8">
        <v>6667.6157229999999</v>
      </c>
      <c r="U8">
        <v>6737.3515619999998</v>
      </c>
      <c r="V8">
        <v>6809.279297</v>
      </c>
      <c r="W8">
        <v>6873.1972660000001</v>
      </c>
      <c r="X8">
        <v>6941.6020509999998</v>
      </c>
      <c r="Y8">
        <v>7019.0351559999999</v>
      </c>
      <c r="Z8">
        <v>7100.9023440000001</v>
      </c>
      <c r="AA8">
        <v>7181.1240230000003</v>
      </c>
      <c r="AB8">
        <v>7251.294922</v>
      </c>
      <c r="AC8">
        <v>7325.6875</v>
      </c>
      <c r="AD8">
        <v>7395.4086909999996</v>
      </c>
      <c r="AE8" t="s">
        <v>1130</v>
      </c>
    </row>
    <row r="9" spans="1:33" x14ac:dyDescent="0.25">
      <c r="A9" t="s">
        <v>645</v>
      </c>
      <c r="B9" t="s">
        <v>1631</v>
      </c>
      <c r="C9" t="s">
        <v>1632</v>
      </c>
      <c r="D9" t="s">
        <v>1633</v>
      </c>
      <c r="E9" t="s">
        <v>1634</v>
      </c>
      <c r="F9" t="s">
        <v>416</v>
      </c>
      <c r="G9">
        <v>2803.3442380000001</v>
      </c>
      <c r="H9">
        <v>2871.4665530000002</v>
      </c>
      <c r="I9">
        <v>2881.3139649999998</v>
      </c>
      <c r="J9">
        <v>2905.5051269999999</v>
      </c>
      <c r="K9">
        <v>2942.6826169999999</v>
      </c>
      <c r="L9">
        <v>2994.1713869999999</v>
      </c>
      <c r="M9">
        <v>3039.165039</v>
      </c>
      <c r="N9">
        <v>3083.439453</v>
      </c>
      <c r="O9">
        <v>3117.4536130000001</v>
      </c>
      <c r="P9">
        <v>3149.9682619999999</v>
      </c>
      <c r="Q9">
        <v>3179.411865</v>
      </c>
      <c r="R9">
        <v>3207.255615</v>
      </c>
      <c r="S9">
        <v>3233.6860350000002</v>
      </c>
      <c r="T9">
        <v>3258.142578</v>
      </c>
      <c r="U9">
        <v>3282.6372070000002</v>
      </c>
      <c r="V9">
        <v>3307.2116700000001</v>
      </c>
      <c r="W9">
        <v>3331.680664</v>
      </c>
      <c r="X9">
        <v>3357.1152339999999</v>
      </c>
      <c r="Y9">
        <v>3380.1191410000001</v>
      </c>
      <c r="Z9">
        <v>3401.780518</v>
      </c>
      <c r="AA9">
        <v>3431.3510740000002</v>
      </c>
      <c r="AB9">
        <v>3462.294922</v>
      </c>
      <c r="AC9">
        <v>3493.6669919999999</v>
      </c>
      <c r="AD9">
        <v>3521.9921880000002</v>
      </c>
      <c r="AE9">
        <v>3550.4157709999999</v>
      </c>
      <c r="AF9">
        <v>3579.9399410000001</v>
      </c>
      <c r="AG9" t="s">
        <v>1092</v>
      </c>
    </row>
    <row r="10" spans="1:33" x14ac:dyDescent="0.25">
      <c r="A10" t="s">
        <v>95</v>
      </c>
      <c r="B10" t="s">
        <v>1635</v>
      </c>
      <c r="C10" t="s">
        <v>1636</v>
      </c>
      <c r="D10" t="s">
        <v>416</v>
      </c>
      <c r="E10">
        <v>8703.1972659999992</v>
      </c>
      <c r="F10">
        <v>8752.5644530000009</v>
      </c>
      <c r="G10">
        <v>8860.0859380000002</v>
      </c>
      <c r="H10">
        <v>8925.2119139999995</v>
      </c>
      <c r="I10">
        <v>8996.9707030000009</v>
      </c>
      <c r="J10">
        <v>9096.0126949999994</v>
      </c>
      <c r="K10">
        <v>9180.3886719999991</v>
      </c>
      <c r="L10">
        <v>9280.9072269999997</v>
      </c>
      <c r="M10">
        <v>9357.7578119999998</v>
      </c>
      <c r="N10">
        <v>9436.4335940000001</v>
      </c>
      <c r="O10">
        <v>9520.1660159999992</v>
      </c>
      <c r="P10">
        <v>9604.2978519999997</v>
      </c>
      <c r="Q10">
        <v>9697.3632809999999</v>
      </c>
      <c r="R10">
        <v>9786.8828119999998</v>
      </c>
      <c r="S10">
        <v>9878.1230469999991</v>
      </c>
      <c r="T10">
        <v>9974.8271480000003</v>
      </c>
      <c r="U10">
        <v>10069.032227</v>
      </c>
      <c r="V10">
        <v>10166.394531</v>
      </c>
      <c r="W10">
        <v>10253.316406</v>
      </c>
      <c r="X10">
        <v>10343.382812</v>
      </c>
      <c r="Y10">
        <v>10450.386719</v>
      </c>
      <c r="Z10">
        <v>10563.197265999999</v>
      </c>
      <c r="AA10">
        <v>10674.791015999999</v>
      </c>
      <c r="AB10">
        <v>10773.287109000001</v>
      </c>
      <c r="AC10">
        <v>10876.103515999999</v>
      </c>
      <c r="AD10">
        <v>10975.348633</v>
      </c>
      <c r="AE10" t="s">
        <v>1130</v>
      </c>
    </row>
    <row r="11" spans="1:33" x14ac:dyDescent="0.25">
      <c r="A11" t="s">
        <v>652</v>
      </c>
    </row>
    <row r="12" spans="1:33" x14ac:dyDescent="0.25">
      <c r="A12" t="s">
        <v>1637</v>
      </c>
    </row>
    <row r="13" spans="1:33" x14ac:dyDescent="0.25">
      <c r="A13" t="s">
        <v>70</v>
      </c>
      <c r="B13" t="s">
        <v>1638</v>
      </c>
      <c r="C13" t="s">
        <v>1639</v>
      </c>
      <c r="D13" t="s">
        <v>1409</v>
      </c>
      <c r="E13">
        <v>12.803329</v>
      </c>
      <c r="F13">
        <v>11.070506</v>
      </c>
      <c r="G13">
        <v>11.206452000000001</v>
      </c>
      <c r="H13">
        <v>11.985374</v>
      </c>
      <c r="I13">
        <v>12.701867999999999</v>
      </c>
      <c r="J13">
        <v>13.610707</v>
      </c>
      <c r="K13">
        <v>14.804296000000001</v>
      </c>
      <c r="L13">
        <v>15.449719999999999</v>
      </c>
      <c r="M13">
        <v>15.938817999999999</v>
      </c>
      <c r="N13">
        <v>16.397631000000001</v>
      </c>
      <c r="O13">
        <v>16.843964</v>
      </c>
      <c r="P13">
        <v>17.287839999999999</v>
      </c>
      <c r="Q13">
        <v>17.796278000000001</v>
      </c>
      <c r="R13">
        <v>18.323847000000001</v>
      </c>
      <c r="S13">
        <v>18.837675000000001</v>
      </c>
      <c r="T13">
        <v>19.180520999999999</v>
      </c>
      <c r="U13">
        <v>19.393515000000001</v>
      </c>
      <c r="V13">
        <v>19.345053</v>
      </c>
      <c r="W13">
        <v>19.097935</v>
      </c>
      <c r="X13">
        <v>18.849525</v>
      </c>
      <c r="Y13">
        <v>18.891359000000001</v>
      </c>
      <c r="Z13">
        <v>19.097252000000001</v>
      </c>
      <c r="AA13">
        <v>19.322502</v>
      </c>
      <c r="AB13">
        <v>19.556145000000001</v>
      </c>
      <c r="AC13">
        <v>19.710878000000001</v>
      </c>
      <c r="AD13">
        <v>19.823609999999999</v>
      </c>
      <c r="AE13" t="s">
        <v>1429</v>
      </c>
    </row>
    <row r="14" spans="1:33" x14ac:dyDescent="0.25">
      <c r="A14" t="s">
        <v>101</v>
      </c>
      <c r="B14" t="s">
        <v>1640</v>
      </c>
      <c r="C14" t="s">
        <v>1641</v>
      </c>
      <c r="D14" t="s">
        <v>1409</v>
      </c>
      <c r="E14">
        <v>27.046637</v>
      </c>
      <c r="F14">
        <v>25.614384000000001</v>
      </c>
      <c r="G14">
        <v>25.283110000000001</v>
      </c>
      <c r="H14">
        <v>24.970018</v>
      </c>
      <c r="I14">
        <v>24.680448999999999</v>
      </c>
      <c r="J14">
        <v>24.294250000000002</v>
      </c>
      <c r="K14">
        <v>23.777338</v>
      </c>
      <c r="L14">
        <v>23.904484</v>
      </c>
      <c r="M14">
        <v>24.295801000000001</v>
      </c>
      <c r="N14">
        <v>24.387138</v>
      </c>
      <c r="O14">
        <v>24.698091999999999</v>
      </c>
      <c r="P14">
        <v>24.885270999999999</v>
      </c>
      <c r="Q14">
        <v>25.141200999999999</v>
      </c>
      <c r="R14">
        <v>25.328222</v>
      </c>
      <c r="S14">
        <v>25.441728999999999</v>
      </c>
      <c r="T14">
        <v>25.514852999999999</v>
      </c>
      <c r="U14">
        <v>25.562849</v>
      </c>
      <c r="V14">
        <v>25.733829</v>
      </c>
      <c r="W14">
        <v>25.777194999999999</v>
      </c>
      <c r="X14">
        <v>25.819979</v>
      </c>
      <c r="Y14">
        <v>26.036604000000001</v>
      </c>
      <c r="Z14">
        <v>26.047813000000001</v>
      </c>
      <c r="AA14">
        <v>26.309875000000002</v>
      </c>
      <c r="AB14">
        <v>26.470896</v>
      </c>
      <c r="AC14">
        <v>26.716398000000002</v>
      </c>
      <c r="AD14">
        <v>26.797764000000001</v>
      </c>
      <c r="AE14" t="s">
        <v>1426</v>
      </c>
    </row>
    <row r="15" spans="1:33" x14ac:dyDescent="0.25">
      <c r="A15" t="s">
        <v>74</v>
      </c>
      <c r="B15" t="s">
        <v>1642</v>
      </c>
      <c r="C15" t="s">
        <v>1643</v>
      </c>
      <c r="D15" t="s">
        <v>1409</v>
      </c>
      <c r="E15">
        <v>26.296053000000001</v>
      </c>
      <c r="F15">
        <v>23.833601000000002</v>
      </c>
      <c r="G15">
        <v>23.638857000000002</v>
      </c>
      <c r="H15">
        <v>23.038036000000002</v>
      </c>
      <c r="I15">
        <v>22.345837</v>
      </c>
      <c r="J15">
        <v>21.403448000000001</v>
      </c>
      <c r="K15">
        <v>20.701951999999999</v>
      </c>
      <c r="L15">
        <v>20.792048000000001</v>
      </c>
      <c r="M15">
        <v>21.235609</v>
      </c>
      <c r="N15">
        <v>21.284655000000001</v>
      </c>
      <c r="O15">
        <v>21.554102</v>
      </c>
      <c r="P15">
        <v>21.790516</v>
      </c>
      <c r="Q15">
        <v>21.993568</v>
      </c>
      <c r="R15">
        <v>22.218029000000001</v>
      </c>
      <c r="S15">
        <v>22.360265999999999</v>
      </c>
      <c r="T15">
        <v>22.468481000000001</v>
      </c>
      <c r="U15">
        <v>22.646592999999999</v>
      </c>
      <c r="V15">
        <v>22.818218000000002</v>
      </c>
      <c r="W15">
        <v>22.982804999999999</v>
      </c>
      <c r="X15">
        <v>23.14827</v>
      </c>
      <c r="Y15">
        <v>23.446985000000002</v>
      </c>
      <c r="Z15">
        <v>23.691965</v>
      </c>
      <c r="AA15">
        <v>23.897724</v>
      </c>
      <c r="AB15">
        <v>24.253218</v>
      </c>
      <c r="AC15">
        <v>24.570868999999998</v>
      </c>
      <c r="AD15">
        <v>24.648555999999999</v>
      </c>
      <c r="AE15" t="s">
        <v>1084</v>
      </c>
    </row>
    <row r="16" spans="1:33" x14ac:dyDescent="0.25">
      <c r="A16" t="s">
        <v>109</v>
      </c>
      <c r="B16" t="s">
        <v>1644</v>
      </c>
      <c r="C16" t="s">
        <v>1645</v>
      </c>
      <c r="D16" t="s">
        <v>1409</v>
      </c>
      <c r="E16">
        <v>8.6605709999999991</v>
      </c>
      <c r="F16">
        <v>6.7155670000000001</v>
      </c>
      <c r="G16">
        <v>8.5220380000000002</v>
      </c>
      <c r="H16">
        <v>9.8736689999999996</v>
      </c>
      <c r="I16">
        <v>11.099524000000001</v>
      </c>
      <c r="J16">
        <v>11.661168</v>
      </c>
      <c r="K16">
        <v>13.208466</v>
      </c>
      <c r="L16">
        <v>13.227586000000001</v>
      </c>
      <c r="M16">
        <v>13.603676999999999</v>
      </c>
      <c r="N16">
        <v>13.60303</v>
      </c>
      <c r="O16">
        <v>13.923897</v>
      </c>
      <c r="P16">
        <v>14.127029</v>
      </c>
      <c r="Q16">
        <v>14.243969999999999</v>
      </c>
      <c r="R16">
        <v>14.455325</v>
      </c>
      <c r="S16">
        <v>14.636956</v>
      </c>
      <c r="T16">
        <v>14.920377999999999</v>
      </c>
      <c r="U16">
        <v>15.235559</v>
      </c>
      <c r="V16">
        <v>15.414781</v>
      </c>
      <c r="W16">
        <v>15.551310000000001</v>
      </c>
      <c r="X16">
        <v>15.699274000000001</v>
      </c>
      <c r="Y16">
        <v>15.955344</v>
      </c>
      <c r="Z16">
        <v>16.133853999999999</v>
      </c>
      <c r="AA16">
        <v>16.286076000000001</v>
      </c>
      <c r="AB16">
        <v>16.658579</v>
      </c>
      <c r="AC16">
        <v>16.881129999999999</v>
      </c>
      <c r="AD16">
        <v>16.995433999999999</v>
      </c>
      <c r="AE16" t="s">
        <v>1434</v>
      </c>
    </row>
    <row r="17" spans="1:31" x14ac:dyDescent="0.25">
      <c r="A17" t="s">
        <v>662</v>
      </c>
      <c r="B17" t="s">
        <v>1646</v>
      </c>
      <c r="C17" t="s">
        <v>1647</v>
      </c>
      <c r="D17" t="s">
        <v>1409</v>
      </c>
      <c r="E17">
        <v>9.0759310000000006</v>
      </c>
      <c r="F17">
        <v>8.7948529999999998</v>
      </c>
      <c r="G17">
        <v>9.0522600000000004</v>
      </c>
      <c r="H17">
        <v>9.0732169999999996</v>
      </c>
      <c r="I17">
        <v>9.0367379999999997</v>
      </c>
      <c r="J17">
        <v>8.445354</v>
      </c>
      <c r="K17">
        <v>8.6374750000000002</v>
      </c>
      <c r="L17">
        <v>8.6340369999999993</v>
      </c>
      <c r="M17">
        <v>8.9202300000000001</v>
      </c>
      <c r="N17">
        <v>8.8707820000000002</v>
      </c>
      <c r="O17">
        <v>9.0905339999999999</v>
      </c>
      <c r="P17">
        <v>9.2180409999999995</v>
      </c>
      <c r="Q17">
        <v>9.2825989999999994</v>
      </c>
      <c r="R17">
        <v>9.4318489999999997</v>
      </c>
      <c r="S17">
        <v>9.5147010000000005</v>
      </c>
      <c r="T17">
        <v>9.7384880000000003</v>
      </c>
      <c r="U17">
        <v>10.016398000000001</v>
      </c>
      <c r="V17">
        <v>10.156859000000001</v>
      </c>
      <c r="W17">
        <v>10.293106999999999</v>
      </c>
      <c r="X17">
        <v>10.406644999999999</v>
      </c>
      <c r="Y17">
        <v>10.574752999999999</v>
      </c>
      <c r="Z17">
        <v>10.668862000000001</v>
      </c>
      <c r="AA17">
        <v>10.761957000000001</v>
      </c>
      <c r="AB17">
        <v>11.035574</v>
      </c>
      <c r="AC17">
        <v>11.198297999999999</v>
      </c>
      <c r="AD17">
        <v>11.249902000000001</v>
      </c>
      <c r="AE17" t="s">
        <v>1130</v>
      </c>
    </row>
    <row r="18" spans="1:31" x14ac:dyDescent="0.25">
      <c r="A18" t="s">
        <v>80</v>
      </c>
      <c r="B18" t="s">
        <v>1648</v>
      </c>
      <c r="C18" t="s">
        <v>1649</v>
      </c>
      <c r="D18" t="s">
        <v>1409</v>
      </c>
      <c r="E18">
        <v>4.5091359999999998</v>
      </c>
      <c r="F18">
        <v>4.764119</v>
      </c>
      <c r="G18">
        <v>4.6655769999999999</v>
      </c>
      <c r="H18">
        <v>4.7836689999999997</v>
      </c>
      <c r="I18">
        <v>4.8909539999999998</v>
      </c>
      <c r="J18">
        <v>5.3544330000000002</v>
      </c>
      <c r="K18">
        <v>5.6258419999999996</v>
      </c>
      <c r="L18">
        <v>5.754683</v>
      </c>
      <c r="M18">
        <v>5.7422560000000002</v>
      </c>
      <c r="N18">
        <v>5.7642110000000004</v>
      </c>
      <c r="O18">
        <v>5.8438679999999996</v>
      </c>
      <c r="P18">
        <v>5.9055609999999996</v>
      </c>
      <c r="Q18">
        <v>5.9642270000000002</v>
      </c>
      <c r="R18">
        <v>6.0271590000000002</v>
      </c>
      <c r="S18">
        <v>6.0960570000000001</v>
      </c>
      <c r="T18">
        <v>6.1483379999999999</v>
      </c>
      <c r="U18">
        <v>6.1101359999999998</v>
      </c>
      <c r="V18">
        <v>5.9317140000000004</v>
      </c>
      <c r="W18">
        <v>5.6970020000000003</v>
      </c>
      <c r="X18">
        <v>5.4695770000000001</v>
      </c>
      <c r="Y18">
        <v>5.3644610000000004</v>
      </c>
      <c r="Z18">
        <v>5.3614750000000004</v>
      </c>
      <c r="AA18">
        <v>5.3771699999999996</v>
      </c>
      <c r="AB18">
        <v>5.3782050000000003</v>
      </c>
      <c r="AC18">
        <v>5.360557</v>
      </c>
      <c r="AD18">
        <v>5.3229990000000003</v>
      </c>
      <c r="AE18" t="s">
        <v>1106</v>
      </c>
    </row>
    <row r="19" spans="1:31" x14ac:dyDescent="0.25">
      <c r="A19" t="s">
        <v>173</v>
      </c>
      <c r="B19" t="s">
        <v>1650</v>
      </c>
      <c r="C19" t="s">
        <v>1651</v>
      </c>
      <c r="D19" t="s">
        <v>1409</v>
      </c>
      <c r="E19">
        <v>11.501232999999999</v>
      </c>
      <c r="F19">
        <v>11.889143000000001</v>
      </c>
      <c r="G19">
        <v>11.882795</v>
      </c>
      <c r="H19">
        <v>12.018814000000001</v>
      </c>
      <c r="I19">
        <v>12.101516</v>
      </c>
      <c r="J19">
        <v>12.795125000000001</v>
      </c>
      <c r="K19">
        <v>13.078889999999999</v>
      </c>
      <c r="L19">
        <v>13.222678999999999</v>
      </c>
      <c r="M19">
        <v>13.297701999999999</v>
      </c>
      <c r="N19">
        <v>13.326264999999999</v>
      </c>
      <c r="O19">
        <v>13.258114000000001</v>
      </c>
      <c r="P19">
        <v>13.428031000000001</v>
      </c>
      <c r="Q19">
        <v>13.448741</v>
      </c>
      <c r="R19">
        <v>13.548419000000001</v>
      </c>
      <c r="S19">
        <v>13.640568999999999</v>
      </c>
      <c r="T19">
        <v>13.690514</v>
      </c>
      <c r="U19">
        <v>13.610089</v>
      </c>
      <c r="V19">
        <v>13.418937</v>
      </c>
      <c r="W19">
        <v>13.098224</v>
      </c>
      <c r="X19">
        <v>12.831071</v>
      </c>
      <c r="Y19">
        <v>12.693265999999999</v>
      </c>
      <c r="Z19">
        <v>12.639281</v>
      </c>
      <c r="AA19">
        <v>12.648698</v>
      </c>
      <c r="AB19">
        <v>12.653786999999999</v>
      </c>
      <c r="AC19">
        <v>12.621601</v>
      </c>
      <c r="AD19">
        <v>12.580778</v>
      </c>
      <c r="AE19" t="s">
        <v>1111</v>
      </c>
    </row>
    <row r="20" spans="1:31" x14ac:dyDescent="0.25">
      <c r="A20" t="s">
        <v>156</v>
      </c>
      <c r="B20" t="s">
        <v>1652</v>
      </c>
      <c r="C20" t="s">
        <v>1653</v>
      </c>
      <c r="D20" t="s">
        <v>1409</v>
      </c>
      <c r="E20">
        <v>6.4173830000000001</v>
      </c>
      <c r="F20">
        <v>6.4206510000000003</v>
      </c>
      <c r="G20">
        <v>6.4261860000000004</v>
      </c>
      <c r="H20">
        <v>6.4388719999999999</v>
      </c>
      <c r="I20">
        <v>6.4306429999999999</v>
      </c>
      <c r="J20">
        <v>6.4452379999999998</v>
      </c>
      <c r="K20">
        <v>6.4288220000000003</v>
      </c>
      <c r="L20">
        <v>6.450939</v>
      </c>
      <c r="M20">
        <v>6.4487930000000002</v>
      </c>
      <c r="N20">
        <v>6.4276619999999998</v>
      </c>
      <c r="O20">
        <v>6.4315420000000003</v>
      </c>
      <c r="P20">
        <v>6.3967359999999998</v>
      </c>
      <c r="Q20">
        <v>6.4021189999999999</v>
      </c>
      <c r="R20">
        <v>6.3992680000000002</v>
      </c>
      <c r="S20">
        <v>6.3692909999999996</v>
      </c>
      <c r="T20">
        <v>6.3729829999999996</v>
      </c>
      <c r="U20">
        <v>6.3628539999999996</v>
      </c>
      <c r="V20">
        <v>6.3515819999999996</v>
      </c>
      <c r="W20">
        <v>6.3468689999999999</v>
      </c>
      <c r="X20">
        <v>6.3368409999999997</v>
      </c>
      <c r="Y20">
        <v>6.3410890000000002</v>
      </c>
      <c r="Z20">
        <v>6.3328819999999997</v>
      </c>
      <c r="AA20">
        <v>6.3433619999999999</v>
      </c>
      <c r="AB20">
        <v>6.3517770000000002</v>
      </c>
      <c r="AC20">
        <v>6.326384</v>
      </c>
      <c r="AD20">
        <v>6.3207449999999996</v>
      </c>
      <c r="AE20" t="s">
        <v>1231</v>
      </c>
    </row>
    <row r="21" spans="1:31" x14ac:dyDescent="0.25">
      <c r="A21" t="s">
        <v>309</v>
      </c>
      <c r="B21" t="s">
        <v>1654</v>
      </c>
      <c r="C21" t="s">
        <v>1655</v>
      </c>
      <c r="D21" t="s">
        <v>1409</v>
      </c>
      <c r="E21">
        <v>3.995581</v>
      </c>
      <c r="F21">
        <v>3.8562609999999999</v>
      </c>
      <c r="G21">
        <v>3.7645249999999999</v>
      </c>
      <c r="H21">
        <v>3.7579479999999998</v>
      </c>
      <c r="I21">
        <v>3.7634180000000002</v>
      </c>
      <c r="J21">
        <v>3.7328869999999998</v>
      </c>
      <c r="K21">
        <v>3.7308530000000002</v>
      </c>
      <c r="L21">
        <v>3.7146789999999998</v>
      </c>
      <c r="M21">
        <v>3.7076220000000002</v>
      </c>
      <c r="N21">
        <v>3.6888010000000002</v>
      </c>
      <c r="O21">
        <v>3.6768320000000001</v>
      </c>
      <c r="P21">
        <v>3.6764139999999998</v>
      </c>
      <c r="Q21">
        <v>3.6818879999999998</v>
      </c>
      <c r="R21">
        <v>3.688266</v>
      </c>
      <c r="S21">
        <v>3.6740370000000002</v>
      </c>
      <c r="T21">
        <v>3.6895009999999999</v>
      </c>
      <c r="U21">
        <v>3.6878160000000002</v>
      </c>
      <c r="V21">
        <v>3.694248</v>
      </c>
      <c r="W21">
        <v>3.6930329999999998</v>
      </c>
      <c r="X21">
        <v>3.6912829999999999</v>
      </c>
      <c r="Y21">
        <v>3.6945950000000001</v>
      </c>
      <c r="Z21">
        <v>3.684059</v>
      </c>
      <c r="AA21">
        <v>3.691954</v>
      </c>
      <c r="AB21">
        <v>3.702715</v>
      </c>
      <c r="AC21">
        <v>3.7337210000000001</v>
      </c>
      <c r="AD21">
        <v>3.7339869999999999</v>
      </c>
      <c r="AE21" t="s">
        <v>1084</v>
      </c>
    </row>
    <row r="22" spans="1:31" x14ac:dyDescent="0.25">
      <c r="A22" t="s">
        <v>432</v>
      </c>
      <c r="B22" t="s">
        <v>1656</v>
      </c>
      <c r="C22" t="s">
        <v>1657</v>
      </c>
      <c r="D22" t="s">
        <v>1409</v>
      </c>
      <c r="E22">
        <v>26.595725999999999</v>
      </c>
      <c r="F22">
        <v>26.456028</v>
      </c>
      <c r="G22">
        <v>25.259416999999999</v>
      </c>
      <c r="H22">
        <v>24.603380000000001</v>
      </c>
      <c r="I22">
        <v>24.805864</v>
      </c>
      <c r="J22">
        <v>25.174835000000002</v>
      </c>
      <c r="K22">
        <v>25.531858</v>
      </c>
      <c r="L22">
        <v>25.659849000000001</v>
      </c>
      <c r="M22">
        <v>25.863104</v>
      </c>
      <c r="N22">
        <v>25.987514000000001</v>
      </c>
      <c r="O22">
        <v>26.078087</v>
      </c>
      <c r="P22">
        <v>26.141869</v>
      </c>
      <c r="Q22">
        <v>26.270350000000001</v>
      </c>
      <c r="R22">
        <v>26.342881999999999</v>
      </c>
      <c r="S22">
        <v>26.495277000000002</v>
      </c>
      <c r="T22">
        <v>26.657043000000002</v>
      </c>
      <c r="U22">
        <v>26.650555000000001</v>
      </c>
      <c r="V22">
        <v>26.505461</v>
      </c>
      <c r="W22">
        <v>26.353251</v>
      </c>
      <c r="X22">
        <v>26.213222999999999</v>
      </c>
      <c r="Y22">
        <v>26.001282</v>
      </c>
      <c r="Z22">
        <v>26.135300000000001</v>
      </c>
      <c r="AA22">
        <v>26.219656000000001</v>
      </c>
      <c r="AB22">
        <v>26.274857999999998</v>
      </c>
      <c r="AC22">
        <v>26.257725000000001</v>
      </c>
      <c r="AD22">
        <v>26.297056000000001</v>
      </c>
      <c r="AE22" t="s">
        <v>1426</v>
      </c>
    </row>
    <row r="23" spans="1:31" x14ac:dyDescent="0.25">
      <c r="A23" t="s">
        <v>675</v>
      </c>
    </row>
    <row r="24" spans="1:31" x14ac:dyDescent="0.25">
      <c r="A24" t="s">
        <v>70</v>
      </c>
      <c r="B24" t="s">
        <v>1658</v>
      </c>
      <c r="C24" t="s">
        <v>1659</v>
      </c>
      <c r="D24" t="s">
        <v>540</v>
      </c>
      <c r="E24">
        <v>12.803329</v>
      </c>
      <c r="F24">
        <v>11.374784999999999</v>
      </c>
      <c r="G24">
        <v>11.732965</v>
      </c>
      <c r="H24">
        <v>12.809592</v>
      </c>
      <c r="I24">
        <v>13.854469999999999</v>
      </c>
      <c r="J24">
        <v>15.155042</v>
      </c>
      <c r="K24">
        <v>16.829516999999999</v>
      </c>
      <c r="L24">
        <v>17.925089</v>
      </c>
      <c r="M24">
        <v>18.887888</v>
      </c>
      <c r="N24">
        <v>19.836891000000001</v>
      </c>
      <c r="O24">
        <v>20.806916999999999</v>
      </c>
      <c r="P24">
        <v>21.794609000000001</v>
      </c>
      <c r="Q24">
        <v>22.875402000000001</v>
      </c>
      <c r="R24">
        <v>24.016033</v>
      </c>
      <c r="S24">
        <v>25.168725999999999</v>
      </c>
      <c r="T24">
        <v>26.126760000000001</v>
      </c>
      <c r="U24">
        <v>26.923518999999999</v>
      </c>
      <c r="V24">
        <v>27.361647000000001</v>
      </c>
      <c r="W24">
        <v>27.513428000000001</v>
      </c>
      <c r="X24">
        <v>27.652709999999999</v>
      </c>
      <c r="Y24">
        <v>28.216715000000001</v>
      </c>
      <c r="Z24">
        <v>29.040877999999999</v>
      </c>
      <c r="AA24">
        <v>29.916944999999998</v>
      </c>
      <c r="AB24">
        <v>30.832899000000001</v>
      </c>
      <c r="AC24">
        <v>31.641119</v>
      </c>
      <c r="AD24">
        <v>32.391326999999997</v>
      </c>
      <c r="AE24" t="s">
        <v>1201</v>
      </c>
    </row>
    <row r="25" spans="1:31" x14ac:dyDescent="0.25">
      <c r="A25" t="s">
        <v>101</v>
      </c>
      <c r="B25" t="s">
        <v>1660</v>
      </c>
      <c r="C25" t="s">
        <v>1661</v>
      </c>
      <c r="D25" t="s">
        <v>540</v>
      </c>
      <c r="E25">
        <v>27.046637</v>
      </c>
      <c r="F25">
        <v>26.318407000000001</v>
      </c>
      <c r="G25">
        <v>26.470987000000001</v>
      </c>
      <c r="H25">
        <v>26.687173999999999</v>
      </c>
      <c r="I25">
        <v>26.920019</v>
      </c>
      <c r="J25">
        <v>27.050789000000002</v>
      </c>
      <c r="K25">
        <v>27.030066999999999</v>
      </c>
      <c r="L25">
        <v>27.734482</v>
      </c>
      <c r="M25">
        <v>28.791115000000001</v>
      </c>
      <c r="N25">
        <v>29.502127000000002</v>
      </c>
      <c r="O25">
        <v>30.508918999999999</v>
      </c>
      <c r="P25">
        <v>31.372613999999999</v>
      </c>
      <c r="Q25">
        <v>32.316592999999997</v>
      </c>
      <c r="R25">
        <v>33.196274000000003</v>
      </c>
      <c r="S25">
        <v>33.992297999999998</v>
      </c>
      <c r="T25">
        <v>34.755074</v>
      </c>
      <c r="U25">
        <v>35.488247000000001</v>
      </c>
      <c r="V25">
        <v>36.397933999999999</v>
      </c>
      <c r="W25">
        <v>37.135899000000002</v>
      </c>
      <c r="X25">
        <v>37.878532</v>
      </c>
      <c r="Y25">
        <v>38.889071999999999</v>
      </c>
      <c r="Z25">
        <v>39.610484999999997</v>
      </c>
      <c r="AA25">
        <v>40.735466000000002</v>
      </c>
      <c r="AB25">
        <v>41.734935999999998</v>
      </c>
      <c r="AC25">
        <v>42.886809999999997</v>
      </c>
      <c r="AD25">
        <v>43.786934000000002</v>
      </c>
      <c r="AE25" t="s">
        <v>1551</v>
      </c>
    </row>
    <row r="26" spans="1:31" x14ac:dyDescent="0.25">
      <c r="A26" t="s">
        <v>74</v>
      </c>
      <c r="B26" t="s">
        <v>1662</v>
      </c>
      <c r="C26" t="s">
        <v>1663</v>
      </c>
      <c r="D26" t="s">
        <v>540</v>
      </c>
      <c r="E26">
        <v>26.296053000000001</v>
      </c>
      <c r="F26">
        <v>24.488679999999999</v>
      </c>
      <c r="G26">
        <v>24.749483000000001</v>
      </c>
      <c r="H26">
        <v>24.622332</v>
      </c>
      <c r="I26">
        <v>24.373557999999999</v>
      </c>
      <c r="J26">
        <v>23.831983999999999</v>
      </c>
      <c r="K26">
        <v>23.53397</v>
      </c>
      <c r="L26">
        <v>24.123369</v>
      </c>
      <c r="M26">
        <v>25.164715000000001</v>
      </c>
      <c r="N26">
        <v>25.748923999999999</v>
      </c>
      <c r="O26">
        <v>26.625229000000001</v>
      </c>
      <c r="P26">
        <v>27.471087000000001</v>
      </c>
      <c r="Q26">
        <v>28.270614999999999</v>
      </c>
      <c r="R26">
        <v>29.119918999999999</v>
      </c>
      <c r="S26">
        <v>29.875204</v>
      </c>
      <c r="T26">
        <v>30.605457000000001</v>
      </c>
      <c r="U26">
        <v>31.439684</v>
      </c>
      <c r="V26">
        <v>32.274093999999998</v>
      </c>
      <c r="W26">
        <v>33.110160999999998</v>
      </c>
      <c r="X26">
        <v>33.959071999999999</v>
      </c>
      <c r="Y26">
        <v>35.021137000000003</v>
      </c>
      <c r="Z26">
        <v>36.027985000000001</v>
      </c>
      <c r="AA26">
        <v>37.00074</v>
      </c>
      <c r="AB26">
        <v>38.238467999999997</v>
      </c>
      <c r="AC26">
        <v>39.442677000000003</v>
      </c>
      <c r="AD26">
        <v>40.275176999999999</v>
      </c>
      <c r="AE26" t="s">
        <v>1401</v>
      </c>
    </row>
    <row r="27" spans="1:31" x14ac:dyDescent="0.25">
      <c r="A27" t="s">
        <v>109</v>
      </c>
      <c r="B27" t="s">
        <v>1664</v>
      </c>
      <c r="C27" t="s">
        <v>1665</v>
      </c>
      <c r="D27" t="s">
        <v>540</v>
      </c>
      <c r="E27">
        <v>8.6605709999999991</v>
      </c>
      <c r="F27">
        <v>6.9001479999999997</v>
      </c>
      <c r="G27">
        <v>8.9224300000000003</v>
      </c>
      <c r="H27">
        <v>10.552668000000001</v>
      </c>
      <c r="I27">
        <v>12.106726</v>
      </c>
      <c r="J27">
        <v>12.984299</v>
      </c>
      <c r="K27">
        <v>15.015378</v>
      </c>
      <c r="L27">
        <v>15.346921999999999</v>
      </c>
      <c r="M27">
        <v>16.120688999999999</v>
      </c>
      <c r="N27">
        <v>16.456147999999999</v>
      </c>
      <c r="O27">
        <v>17.199833000000002</v>
      </c>
      <c r="P27">
        <v>17.809805000000001</v>
      </c>
      <c r="Q27">
        <v>18.309252000000001</v>
      </c>
      <c r="R27">
        <v>18.945779999999999</v>
      </c>
      <c r="S27">
        <v>19.55621</v>
      </c>
      <c r="T27">
        <v>20.323803000000002</v>
      </c>
      <c r="U27">
        <v>21.151136000000001</v>
      </c>
      <c r="V27">
        <v>21.802668000000001</v>
      </c>
      <c r="W27">
        <v>22.403984000000001</v>
      </c>
      <c r="X27">
        <v>23.031213999999999</v>
      </c>
      <c r="Y27">
        <v>23.831392000000001</v>
      </c>
      <c r="Z27">
        <v>24.534489000000001</v>
      </c>
      <c r="AA27">
        <v>25.215658000000001</v>
      </c>
      <c r="AB27">
        <v>26.264496000000001</v>
      </c>
      <c r="AC27">
        <v>27.098633</v>
      </c>
      <c r="AD27">
        <v>27.770150999999998</v>
      </c>
      <c r="AE27" t="s">
        <v>1534</v>
      </c>
    </row>
    <row r="28" spans="1:31" x14ac:dyDescent="0.25">
      <c r="A28" t="s">
        <v>662</v>
      </c>
      <c r="B28" t="s">
        <v>1666</v>
      </c>
      <c r="C28" t="s">
        <v>1667</v>
      </c>
      <c r="D28" t="s">
        <v>540</v>
      </c>
      <c r="E28">
        <v>9.0759310000000006</v>
      </c>
      <c r="F28">
        <v>9.0365839999999995</v>
      </c>
      <c r="G28">
        <v>9.477563</v>
      </c>
      <c r="H28">
        <v>9.6971710000000009</v>
      </c>
      <c r="I28">
        <v>9.8567560000000007</v>
      </c>
      <c r="J28">
        <v>9.4036030000000004</v>
      </c>
      <c r="K28">
        <v>9.8190770000000001</v>
      </c>
      <c r="L28">
        <v>10.017390000000001</v>
      </c>
      <c r="M28">
        <v>10.570690000000001</v>
      </c>
      <c r="N28">
        <v>10.731351</v>
      </c>
      <c r="O28">
        <v>11.229304000000001</v>
      </c>
      <c r="P28">
        <v>11.621093999999999</v>
      </c>
      <c r="Q28">
        <v>11.931889</v>
      </c>
      <c r="R28">
        <v>12.361793</v>
      </c>
      <c r="S28">
        <v>12.712444</v>
      </c>
      <c r="T28">
        <v>13.265288</v>
      </c>
      <c r="U28">
        <v>13.905509</v>
      </c>
      <c r="V28">
        <v>14.365862999999999</v>
      </c>
      <c r="W28">
        <v>14.828757</v>
      </c>
      <c r="X28">
        <v>15.2668</v>
      </c>
      <c r="Y28">
        <v>15.794775</v>
      </c>
      <c r="Z28">
        <v>16.223965</v>
      </c>
      <c r="AA28">
        <v>16.662690999999999</v>
      </c>
      <c r="AB28">
        <v>17.399070999999999</v>
      </c>
      <c r="AC28">
        <v>17.976198</v>
      </c>
      <c r="AD28">
        <v>18.382082</v>
      </c>
      <c r="AE28" t="s">
        <v>1537</v>
      </c>
    </row>
    <row r="29" spans="1:31" x14ac:dyDescent="0.25">
      <c r="A29" t="s">
        <v>80</v>
      </c>
      <c r="B29" t="s">
        <v>1668</v>
      </c>
      <c r="C29" t="s">
        <v>1669</v>
      </c>
      <c r="D29" t="s">
        <v>540</v>
      </c>
      <c r="E29">
        <v>4.5091359999999998</v>
      </c>
      <c r="F29">
        <v>4.8950630000000004</v>
      </c>
      <c r="G29">
        <v>4.8847800000000001</v>
      </c>
      <c r="H29">
        <v>5.1126360000000002</v>
      </c>
      <c r="I29">
        <v>5.3347730000000002</v>
      </c>
      <c r="J29">
        <v>5.9619710000000001</v>
      </c>
      <c r="K29">
        <v>6.395454</v>
      </c>
      <c r="L29">
        <v>6.676704</v>
      </c>
      <c r="M29">
        <v>6.8047129999999996</v>
      </c>
      <c r="N29">
        <v>6.973204</v>
      </c>
      <c r="O29">
        <v>7.2187809999999999</v>
      </c>
      <c r="P29">
        <v>7.4450830000000003</v>
      </c>
      <c r="Q29">
        <v>7.6664399999999997</v>
      </c>
      <c r="R29">
        <v>7.899457</v>
      </c>
      <c r="S29">
        <v>8.1448470000000004</v>
      </c>
      <c r="T29">
        <v>8.3749629999999993</v>
      </c>
      <c r="U29">
        <v>8.482545</v>
      </c>
      <c r="V29">
        <v>8.3898170000000007</v>
      </c>
      <c r="W29">
        <v>8.2073820000000008</v>
      </c>
      <c r="X29">
        <v>8.0240010000000002</v>
      </c>
      <c r="Y29">
        <v>8.0125250000000001</v>
      </c>
      <c r="Z29">
        <v>8.1531070000000003</v>
      </c>
      <c r="AA29">
        <v>8.3254490000000008</v>
      </c>
      <c r="AB29">
        <v>8.4794649999999994</v>
      </c>
      <c r="AC29">
        <v>8.6050970000000007</v>
      </c>
      <c r="AD29">
        <v>8.6976600000000008</v>
      </c>
      <c r="AE29" t="s">
        <v>1434</v>
      </c>
    </row>
    <row r="30" spans="1:31" x14ac:dyDescent="0.25">
      <c r="A30" t="s">
        <v>173</v>
      </c>
      <c r="B30" t="s">
        <v>1670</v>
      </c>
      <c r="C30" t="s">
        <v>1671</v>
      </c>
      <c r="D30" t="s">
        <v>540</v>
      </c>
      <c r="E30">
        <v>11.501232999999999</v>
      </c>
      <c r="F30">
        <v>12.215922000000001</v>
      </c>
      <c r="G30">
        <v>12.441084999999999</v>
      </c>
      <c r="H30">
        <v>12.845333</v>
      </c>
      <c r="I30">
        <v>13.19964</v>
      </c>
      <c r="J30">
        <v>14.246919999999999</v>
      </c>
      <c r="K30">
        <v>14.868074999999999</v>
      </c>
      <c r="L30">
        <v>15.341229</v>
      </c>
      <c r="M30">
        <v>15.758101</v>
      </c>
      <c r="N30">
        <v>16.121334000000001</v>
      </c>
      <c r="O30">
        <v>16.377409</v>
      </c>
      <c r="P30">
        <v>16.928585000000002</v>
      </c>
      <c r="Q30">
        <v>17.287061999999999</v>
      </c>
      <c r="R30">
        <v>17.757148999999998</v>
      </c>
      <c r="S30">
        <v>18.224952999999999</v>
      </c>
      <c r="T30">
        <v>18.648541999999999</v>
      </c>
      <c r="U30">
        <v>18.894539000000002</v>
      </c>
      <c r="V30">
        <v>18.979748000000001</v>
      </c>
      <c r="W30">
        <v>18.869945999999999</v>
      </c>
      <c r="X30">
        <v>18.823492000000002</v>
      </c>
      <c r="Y30">
        <v>18.959050999999999</v>
      </c>
      <c r="Z30">
        <v>19.220348000000001</v>
      </c>
      <c r="AA30">
        <v>19.583922999999999</v>
      </c>
      <c r="AB30">
        <v>19.950400999999999</v>
      </c>
      <c r="AC30">
        <v>20.260973</v>
      </c>
      <c r="AD30">
        <v>20.556705000000001</v>
      </c>
      <c r="AE30" t="s">
        <v>1556</v>
      </c>
    </row>
    <row r="31" spans="1:31" x14ac:dyDescent="0.25">
      <c r="A31" t="s">
        <v>156</v>
      </c>
      <c r="B31" t="s">
        <v>1672</v>
      </c>
      <c r="C31" t="s">
        <v>1673</v>
      </c>
      <c r="D31" t="s">
        <v>540</v>
      </c>
      <c r="E31">
        <v>6.4173830000000001</v>
      </c>
      <c r="F31">
        <v>6.5971260000000003</v>
      </c>
      <c r="G31">
        <v>6.7281079999999998</v>
      </c>
      <c r="H31">
        <v>6.8816649999999999</v>
      </c>
      <c r="I31">
        <v>7.0141770000000001</v>
      </c>
      <c r="J31">
        <v>7.176545</v>
      </c>
      <c r="K31">
        <v>7.3082820000000002</v>
      </c>
      <c r="L31">
        <v>7.484515</v>
      </c>
      <c r="M31">
        <v>7.6419769999999998</v>
      </c>
      <c r="N31">
        <v>7.7758079999999996</v>
      </c>
      <c r="O31">
        <v>7.9447190000000001</v>
      </c>
      <c r="P31">
        <v>8.0643010000000004</v>
      </c>
      <c r="Q31">
        <v>8.2293070000000004</v>
      </c>
      <c r="R31">
        <v>8.3871590000000005</v>
      </c>
      <c r="S31">
        <v>8.5099110000000007</v>
      </c>
      <c r="T31">
        <v>8.6809630000000002</v>
      </c>
      <c r="U31">
        <v>8.8333870000000001</v>
      </c>
      <c r="V31">
        <v>8.9836790000000004</v>
      </c>
      <c r="W31">
        <v>9.1436130000000002</v>
      </c>
      <c r="X31">
        <v>9.2962989999999994</v>
      </c>
      <c r="Y31">
        <v>9.4712449999999997</v>
      </c>
      <c r="Z31">
        <v>9.6303110000000007</v>
      </c>
      <c r="AA31">
        <v>9.8214009999999998</v>
      </c>
      <c r="AB31">
        <v>10.014431999999999</v>
      </c>
      <c r="AC31">
        <v>10.155500999999999</v>
      </c>
      <c r="AD31">
        <v>10.327953000000001</v>
      </c>
      <c r="AE31" t="s">
        <v>1551</v>
      </c>
    </row>
    <row r="32" spans="1:31" x14ac:dyDescent="0.25">
      <c r="A32" t="s">
        <v>309</v>
      </c>
      <c r="B32" t="s">
        <v>1674</v>
      </c>
      <c r="C32" t="s">
        <v>1675</v>
      </c>
      <c r="D32" t="s">
        <v>540</v>
      </c>
      <c r="E32">
        <v>3.995581</v>
      </c>
      <c r="F32">
        <v>3.962253</v>
      </c>
      <c r="G32">
        <v>3.9413939999999998</v>
      </c>
      <c r="H32">
        <v>4.0163770000000003</v>
      </c>
      <c r="I32">
        <v>4.104921</v>
      </c>
      <c r="J32">
        <v>4.1564370000000004</v>
      </c>
      <c r="K32">
        <v>4.2412320000000001</v>
      </c>
      <c r="L32">
        <v>4.3098479999999997</v>
      </c>
      <c r="M32">
        <v>4.3936219999999997</v>
      </c>
      <c r="N32">
        <v>4.4624949999999997</v>
      </c>
      <c r="O32">
        <v>4.5418960000000004</v>
      </c>
      <c r="P32">
        <v>4.6348190000000002</v>
      </c>
      <c r="Q32">
        <v>4.7327120000000003</v>
      </c>
      <c r="R32">
        <v>4.8340019999999999</v>
      </c>
      <c r="S32">
        <v>4.9088240000000001</v>
      </c>
      <c r="T32">
        <v>5.0256569999999998</v>
      </c>
      <c r="U32">
        <v>5.1196999999999999</v>
      </c>
      <c r="V32">
        <v>5.2251450000000004</v>
      </c>
      <c r="W32">
        <v>5.3203659999999999</v>
      </c>
      <c r="X32">
        <v>5.4152019999999998</v>
      </c>
      <c r="Y32">
        <v>5.5183609999999996</v>
      </c>
      <c r="Z32">
        <v>5.6022889999999999</v>
      </c>
      <c r="AA32">
        <v>5.7162369999999996</v>
      </c>
      <c r="AB32">
        <v>5.8378300000000003</v>
      </c>
      <c r="AC32">
        <v>5.9935989999999997</v>
      </c>
      <c r="AD32">
        <v>6.1012490000000001</v>
      </c>
      <c r="AE32" t="s">
        <v>1401</v>
      </c>
    </row>
    <row r="33" spans="1:31" x14ac:dyDescent="0.25">
      <c r="A33" t="s">
        <v>432</v>
      </c>
      <c r="B33" t="s">
        <v>1676</v>
      </c>
      <c r="C33" t="s">
        <v>1677</v>
      </c>
      <c r="D33" t="s">
        <v>540</v>
      </c>
      <c r="E33">
        <v>26.595725999999999</v>
      </c>
      <c r="F33">
        <v>27.183185999999999</v>
      </c>
      <c r="G33">
        <v>26.446179999999998</v>
      </c>
      <c r="H33">
        <v>26.295321999999999</v>
      </c>
      <c r="I33">
        <v>27.056813999999999</v>
      </c>
      <c r="J33">
        <v>28.031288</v>
      </c>
      <c r="K33">
        <v>29.024605000000001</v>
      </c>
      <c r="L33">
        <v>29.771094999999999</v>
      </c>
      <c r="M33">
        <v>30.648406999999999</v>
      </c>
      <c r="N33">
        <v>31.438168000000001</v>
      </c>
      <c r="O33">
        <v>32.213593000000003</v>
      </c>
      <c r="P33">
        <v>32.956795</v>
      </c>
      <c r="Q33">
        <v>33.768005000000002</v>
      </c>
      <c r="R33">
        <v>34.526130999999999</v>
      </c>
      <c r="S33">
        <v>35.399929</v>
      </c>
      <c r="T33">
        <v>36.310912999999999</v>
      </c>
      <c r="U33">
        <v>36.998283000000001</v>
      </c>
      <c r="V33">
        <v>37.489325999999998</v>
      </c>
      <c r="W33">
        <v>37.965794000000002</v>
      </c>
      <c r="X33">
        <v>38.455432999999999</v>
      </c>
      <c r="Y33">
        <v>38.836314999999999</v>
      </c>
      <c r="Z33">
        <v>39.743523000000003</v>
      </c>
      <c r="AA33">
        <v>40.595776000000001</v>
      </c>
      <c r="AB33">
        <v>41.425857999999998</v>
      </c>
      <c r="AC33">
        <v>42.15052</v>
      </c>
      <c r="AD33">
        <v>42.968788000000004</v>
      </c>
      <c r="AE33" t="s">
        <v>1551</v>
      </c>
    </row>
    <row r="34" spans="1:31" x14ac:dyDescent="0.25">
      <c r="A34" t="s">
        <v>696</v>
      </c>
    </row>
    <row r="35" spans="1:31" x14ac:dyDescent="0.25">
      <c r="A35" t="s">
        <v>697</v>
      </c>
    </row>
    <row r="36" spans="1:31" x14ac:dyDescent="0.25">
      <c r="A36" t="s">
        <v>698</v>
      </c>
      <c r="B36" t="s">
        <v>1678</v>
      </c>
      <c r="C36" t="s">
        <v>1679</v>
      </c>
      <c r="D36" t="s">
        <v>73</v>
      </c>
      <c r="E36">
        <v>0.12446699999999999</v>
      </c>
      <c r="F36">
        <v>2.6134999999999999E-2</v>
      </c>
      <c r="G36">
        <v>0.18258099999999999</v>
      </c>
      <c r="H36">
        <v>0.18074299999999999</v>
      </c>
      <c r="I36">
        <v>0.180365</v>
      </c>
      <c r="J36">
        <v>0.18123800000000001</v>
      </c>
      <c r="K36">
        <v>0.18112200000000001</v>
      </c>
      <c r="L36">
        <v>0.18845100000000001</v>
      </c>
      <c r="M36">
        <v>0.186918</v>
      </c>
      <c r="N36">
        <v>0.187642</v>
      </c>
      <c r="O36">
        <v>0.188551</v>
      </c>
      <c r="P36">
        <v>0.189361</v>
      </c>
      <c r="Q36">
        <v>0.19261900000000001</v>
      </c>
      <c r="R36">
        <v>0.19562499999999999</v>
      </c>
      <c r="S36">
        <v>0.19803799999999999</v>
      </c>
      <c r="T36">
        <v>0.19953199999999999</v>
      </c>
      <c r="U36">
        <v>0.19942299999999999</v>
      </c>
      <c r="V36">
        <v>0.19977</v>
      </c>
      <c r="W36">
        <v>0.199908</v>
      </c>
      <c r="X36">
        <v>0.20016900000000001</v>
      </c>
      <c r="Y36">
        <v>0.200928</v>
      </c>
      <c r="Z36">
        <v>0.201934</v>
      </c>
      <c r="AA36">
        <v>0.20294000000000001</v>
      </c>
      <c r="AB36">
        <v>0.203759</v>
      </c>
      <c r="AC36">
        <v>0.20457400000000001</v>
      </c>
      <c r="AD36">
        <v>0.20558199999999999</v>
      </c>
      <c r="AE36" t="s">
        <v>1540</v>
      </c>
    </row>
    <row r="37" spans="1:31" x14ac:dyDescent="0.25">
      <c r="A37" t="s">
        <v>701</v>
      </c>
      <c r="B37" t="s">
        <v>1680</v>
      </c>
      <c r="C37" t="s">
        <v>1681</v>
      </c>
      <c r="D37" t="s">
        <v>73</v>
      </c>
      <c r="E37">
        <v>3.5296029999999998</v>
      </c>
      <c r="F37">
        <v>3.5856029999999999</v>
      </c>
      <c r="G37">
        <v>3.6324019999999999</v>
      </c>
      <c r="H37">
        <v>3.5232060000000001</v>
      </c>
      <c r="I37">
        <v>3.4478960000000001</v>
      </c>
      <c r="J37">
        <v>3.438571</v>
      </c>
      <c r="K37">
        <v>3.4691130000000001</v>
      </c>
      <c r="L37">
        <v>3.4869460000000001</v>
      </c>
      <c r="M37">
        <v>3.5236399999999999</v>
      </c>
      <c r="N37">
        <v>3.5635680000000001</v>
      </c>
      <c r="O37">
        <v>3.609877</v>
      </c>
      <c r="P37">
        <v>3.6672880000000001</v>
      </c>
      <c r="Q37">
        <v>3.7097549999999999</v>
      </c>
      <c r="R37">
        <v>3.7540019999999998</v>
      </c>
      <c r="S37">
        <v>3.8297639999999999</v>
      </c>
      <c r="T37">
        <v>3.897878</v>
      </c>
      <c r="U37">
        <v>3.974275</v>
      </c>
      <c r="V37">
        <v>4.0628880000000001</v>
      </c>
      <c r="W37">
        <v>4.1451089999999997</v>
      </c>
      <c r="X37">
        <v>4.2281089999999999</v>
      </c>
      <c r="Y37">
        <v>4.318028</v>
      </c>
      <c r="Z37">
        <v>4.4086360000000004</v>
      </c>
      <c r="AA37">
        <v>4.5085379999999997</v>
      </c>
      <c r="AB37">
        <v>4.5970839999999997</v>
      </c>
      <c r="AC37">
        <v>4.6595639999999996</v>
      </c>
      <c r="AD37">
        <v>4.7461640000000003</v>
      </c>
      <c r="AE37" t="s">
        <v>1095</v>
      </c>
    </row>
    <row r="38" spans="1:31" x14ac:dyDescent="0.25">
      <c r="A38" t="s">
        <v>704</v>
      </c>
      <c r="B38" t="s">
        <v>1682</v>
      </c>
      <c r="C38" t="s">
        <v>1683</v>
      </c>
      <c r="D38" t="s">
        <v>73</v>
      </c>
      <c r="E38">
        <v>2.4306030000000001</v>
      </c>
      <c r="F38">
        <v>2.5043030000000002</v>
      </c>
      <c r="G38">
        <v>2.5407030000000002</v>
      </c>
      <c r="H38">
        <v>2.5461239999999998</v>
      </c>
      <c r="I38">
        <v>2.4695369999999999</v>
      </c>
      <c r="J38">
        <v>2.4793959999999999</v>
      </c>
      <c r="K38">
        <v>2.4869059999999998</v>
      </c>
      <c r="L38">
        <v>2.4838800000000001</v>
      </c>
      <c r="M38">
        <v>2.5192739999999998</v>
      </c>
      <c r="N38">
        <v>2.5277630000000002</v>
      </c>
      <c r="O38">
        <v>2.6065710000000002</v>
      </c>
      <c r="P38">
        <v>2.6397439999999999</v>
      </c>
      <c r="Q38">
        <v>2.6270380000000002</v>
      </c>
      <c r="R38">
        <v>2.686461</v>
      </c>
      <c r="S38">
        <v>2.716612</v>
      </c>
      <c r="T38">
        <v>2.7449020000000002</v>
      </c>
      <c r="U38">
        <v>2.8082210000000001</v>
      </c>
      <c r="V38">
        <v>2.851235</v>
      </c>
      <c r="W38">
        <v>2.8994499999999999</v>
      </c>
      <c r="X38">
        <v>2.9173460000000002</v>
      </c>
      <c r="Y38">
        <v>2.938831</v>
      </c>
      <c r="Z38">
        <v>2.9857670000000001</v>
      </c>
      <c r="AA38">
        <v>3.0318480000000001</v>
      </c>
      <c r="AB38">
        <v>3.072489</v>
      </c>
      <c r="AC38">
        <v>3.1018509999999999</v>
      </c>
      <c r="AD38">
        <v>3.1398609999999998</v>
      </c>
      <c r="AE38" t="s">
        <v>1092</v>
      </c>
    </row>
    <row r="39" spans="1:31" x14ac:dyDescent="0.25">
      <c r="A39" t="s">
        <v>70</v>
      </c>
      <c r="B39" t="s">
        <v>1684</v>
      </c>
      <c r="C39" t="s">
        <v>1685</v>
      </c>
      <c r="D39" t="s">
        <v>73</v>
      </c>
      <c r="E39">
        <v>0.25790000000000002</v>
      </c>
      <c r="F39">
        <v>0.26069999999999999</v>
      </c>
      <c r="G39">
        <v>0.26329999999999998</v>
      </c>
      <c r="H39">
        <v>0.20929200000000001</v>
      </c>
      <c r="I39">
        <v>0.20977399999999999</v>
      </c>
      <c r="J39">
        <v>0.20253099999999999</v>
      </c>
      <c r="K39">
        <v>0.211227</v>
      </c>
      <c r="L39">
        <v>0.21910199999999999</v>
      </c>
      <c r="M39">
        <v>0.21959300000000001</v>
      </c>
      <c r="N39">
        <v>0.231462</v>
      </c>
      <c r="O39">
        <v>0.219192</v>
      </c>
      <c r="P39">
        <v>0.22834299999999999</v>
      </c>
      <c r="Q39">
        <v>0.24917400000000001</v>
      </c>
      <c r="R39">
        <v>0.24344399999999999</v>
      </c>
      <c r="S39">
        <v>0.26066400000000001</v>
      </c>
      <c r="T39">
        <v>0.2757</v>
      </c>
      <c r="U39">
        <v>0.28063700000000003</v>
      </c>
      <c r="V39">
        <v>0.29785299999999998</v>
      </c>
      <c r="W39">
        <v>0.31069200000000002</v>
      </c>
      <c r="X39">
        <v>0.33527099999999999</v>
      </c>
      <c r="Y39">
        <v>0.36110799999999998</v>
      </c>
      <c r="Z39">
        <v>0.37759599999999999</v>
      </c>
      <c r="AA39">
        <v>0.39791599999999999</v>
      </c>
      <c r="AB39">
        <v>0.41600199999999998</v>
      </c>
      <c r="AC39">
        <v>0.428506</v>
      </c>
      <c r="AD39">
        <v>0.446851</v>
      </c>
      <c r="AE39" t="s">
        <v>1527</v>
      </c>
    </row>
    <row r="40" spans="1:31" x14ac:dyDescent="0.25">
      <c r="A40" t="s">
        <v>709</v>
      </c>
      <c r="B40" t="s">
        <v>1686</v>
      </c>
      <c r="C40" t="s">
        <v>1687</v>
      </c>
      <c r="D40" t="s">
        <v>73</v>
      </c>
      <c r="E40">
        <v>0.38629999999999998</v>
      </c>
      <c r="F40">
        <v>0.39050000000000001</v>
      </c>
      <c r="G40">
        <v>0.39429999999999998</v>
      </c>
      <c r="H40">
        <v>0.422732</v>
      </c>
      <c r="I40">
        <v>0.422732</v>
      </c>
      <c r="J40">
        <v>0.422732</v>
      </c>
      <c r="K40">
        <v>0.422732</v>
      </c>
      <c r="L40">
        <v>0.422732</v>
      </c>
      <c r="M40">
        <v>0.422732</v>
      </c>
      <c r="N40">
        <v>0.422732</v>
      </c>
      <c r="O40">
        <v>0.422732</v>
      </c>
      <c r="P40">
        <v>0.422732</v>
      </c>
      <c r="Q40">
        <v>0.422732</v>
      </c>
      <c r="R40">
        <v>0.422732</v>
      </c>
      <c r="S40">
        <v>0.422732</v>
      </c>
      <c r="T40">
        <v>0.422732</v>
      </c>
      <c r="U40">
        <v>0.422732</v>
      </c>
      <c r="V40">
        <v>0.422732</v>
      </c>
      <c r="W40">
        <v>0.422732</v>
      </c>
      <c r="X40">
        <v>0.422732</v>
      </c>
      <c r="Y40">
        <v>0.422732</v>
      </c>
      <c r="Z40">
        <v>0.422732</v>
      </c>
      <c r="AA40">
        <v>0.422732</v>
      </c>
      <c r="AB40">
        <v>0.422732</v>
      </c>
      <c r="AC40">
        <v>0.422732</v>
      </c>
      <c r="AD40">
        <v>0.422732</v>
      </c>
      <c r="AE40" t="s">
        <v>1111</v>
      </c>
    </row>
    <row r="41" spans="1:31" x14ac:dyDescent="0.25">
      <c r="A41" t="s">
        <v>712</v>
      </c>
      <c r="B41" t="s">
        <v>1688</v>
      </c>
      <c r="C41" t="s">
        <v>1689</v>
      </c>
      <c r="D41" t="s">
        <v>73</v>
      </c>
      <c r="E41">
        <v>0.45479999999999998</v>
      </c>
      <c r="F41">
        <v>0.43009999999999998</v>
      </c>
      <c r="G41">
        <v>0.43409999999999999</v>
      </c>
      <c r="H41">
        <v>0.34505799999999998</v>
      </c>
      <c r="I41">
        <v>0.34585300000000002</v>
      </c>
      <c r="J41">
        <v>0.33391199999999999</v>
      </c>
      <c r="K41">
        <v>0.348248</v>
      </c>
      <c r="L41">
        <v>0.361232</v>
      </c>
      <c r="M41">
        <v>0.362041</v>
      </c>
      <c r="N41">
        <v>0.38161</v>
      </c>
      <c r="O41">
        <v>0.36138100000000001</v>
      </c>
      <c r="P41">
        <v>0.37646800000000002</v>
      </c>
      <c r="Q41">
        <v>0.41081099999999998</v>
      </c>
      <c r="R41">
        <v>0.40136500000000003</v>
      </c>
      <c r="S41">
        <v>0.42975600000000003</v>
      </c>
      <c r="T41">
        <v>0.454544</v>
      </c>
      <c r="U41">
        <v>0.46268500000000001</v>
      </c>
      <c r="V41">
        <v>0.491068</v>
      </c>
      <c r="W41">
        <v>0.512235</v>
      </c>
      <c r="X41">
        <v>0.55276000000000003</v>
      </c>
      <c r="Y41">
        <v>0.59535700000000003</v>
      </c>
      <c r="Z41">
        <v>0.62253999999999998</v>
      </c>
      <c r="AA41">
        <v>0.65604200000000001</v>
      </c>
      <c r="AB41">
        <v>0.68586000000000003</v>
      </c>
      <c r="AC41">
        <v>0.70647499999999996</v>
      </c>
      <c r="AD41">
        <v>0.73672000000000004</v>
      </c>
      <c r="AE41" t="s">
        <v>1551</v>
      </c>
    </row>
    <row r="42" spans="1:31" x14ac:dyDescent="0.25">
      <c r="A42" t="s">
        <v>101</v>
      </c>
      <c r="B42" t="s">
        <v>1690</v>
      </c>
      <c r="C42" t="s">
        <v>1691</v>
      </c>
      <c r="D42" t="s">
        <v>73</v>
      </c>
      <c r="E42">
        <v>0.27413399999999999</v>
      </c>
      <c r="F42">
        <v>0.27287699999999998</v>
      </c>
      <c r="G42">
        <v>0.27489799999999998</v>
      </c>
      <c r="H42">
        <v>0.27842299999999998</v>
      </c>
      <c r="I42">
        <v>0.28192600000000001</v>
      </c>
      <c r="J42">
        <v>0.28687800000000002</v>
      </c>
      <c r="K42">
        <v>0.29105300000000001</v>
      </c>
      <c r="L42">
        <v>0.29522399999999999</v>
      </c>
      <c r="M42">
        <v>0.298205</v>
      </c>
      <c r="N42">
        <v>0.30177999999999999</v>
      </c>
      <c r="O42">
        <v>0.30479899999999999</v>
      </c>
      <c r="P42">
        <v>0.30763299999999999</v>
      </c>
      <c r="Q42">
        <v>0.31031599999999998</v>
      </c>
      <c r="R42">
        <v>0.31283899999999998</v>
      </c>
      <c r="S42">
        <v>0.31540099999999999</v>
      </c>
      <c r="T42">
        <v>0.31799899999999998</v>
      </c>
      <c r="U42">
        <v>0.32068799999999997</v>
      </c>
      <c r="V42">
        <v>0.32321499999999997</v>
      </c>
      <c r="W42">
        <v>0.32565499999999997</v>
      </c>
      <c r="X42">
        <v>0.32794499999999999</v>
      </c>
      <c r="Y42">
        <v>0.33061299999999999</v>
      </c>
      <c r="Z42">
        <v>0.333403</v>
      </c>
      <c r="AA42">
        <v>0.336337</v>
      </c>
      <c r="AB42">
        <v>0.33894800000000003</v>
      </c>
      <c r="AC42">
        <v>0.341414</v>
      </c>
      <c r="AD42">
        <v>0.34381</v>
      </c>
      <c r="AE42" t="s">
        <v>1130</v>
      </c>
    </row>
    <row r="43" spans="1:31" x14ac:dyDescent="0.25">
      <c r="A43" t="s">
        <v>74</v>
      </c>
      <c r="B43" t="s">
        <v>1692</v>
      </c>
      <c r="C43" t="s">
        <v>1693</v>
      </c>
      <c r="D43" t="s">
        <v>73</v>
      </c>
      <c r="E43">
        <v>1.159778</v>
      </c>
      <c r="F43">
        <v>1.1600870000000001</v>
      </c>
      <c r="G43">
        <v>1.1620109999999999</v>
      </c>
      <c r="H43">
        <v>1.1685129999999999</v>
      </c>
      <c r="I43">
        <v>1.1798219999999999</v>
      </c>
      <c r="J43">
        <v>1.1966779999999999</v>
      </c>
      <c r="K43">
        <v>1.2089000000000001</v>
      </c>
      <c r="L43">
        <v>1.2281249999999999</v>
      </c>
      <c r="M43">
        <v>1.237822</v>
      </c>
      <c r="N43">
        <v>1.2493080000000001</v>
      </c>
      <c r="O43">
        <v>1.260567</v>
      </c>
      <c r="P43">
        <v>1.2706280000000001</v>
      </c>
      <c r="Q43">
        <v>1.2818350000000001</v>
      </c>
      <c r="R43">
        <v>1.2923880000000001</v>
      </c>
      <c r="S43">
        <v>1.302165</v>
      </c>
      <c r="T43">
        <v>1.31047</v>
      </c>
      <c r="U43">
        <v>1.317658</v>
      </c>
      <c r="V43">
        <v>1.325369</v>
      </c>
      <c r="W43">
        <v>1.3326370000000001</v>
      </c>
      <c r="X43">
        <v>1.3399160000000001</v>
      </c>
      <c r="Y43">
        <v>1.3495239999999999</v>
      </c>
      <c r="Z43">
        <v>1.3595330000000001</v>
      </c>
      <c r="AA43">
        <v>1.3698250000000001</v>
      </c>
      <c r="AB43">
        <v>1.3789229999999999</v>
      </c>
      <c r="AC43">
        <v>1.387899</v>
      </c>
      <c r="AD43">
        <v>1.396855</v>
      </c>
      <c r="AE43" t="s">
        <v>1106</v>
      </c>
    </row>
    <row r="44" spans="1:31" x14ac:dyDescent="0.25">
      <c r="A44" t="s">
        <v>109</v>
      </c>
      <c r="B44" t="s">
        <v>1694</v>
      </c>
      <c r="C44" t="s">
        <v>1695</v>
      </c>
      <c r="D44" t="s">
        <v>73</v>
      </c>
      <c r="E44">
        <v>4.0107999999999998E-2</v>
      </c>
      <c r="F44">
        <v>3.8760999999999997E-2</v>
      </c>
      <c r="G44">
        <v>3.5321999999999999E-2</v>
      </c>
      <c r="H44">
        <v>3.4547000000000001E-2</v>
      </c>
      <c r="I44">
        <v>3.3736000000000002E-2</v>
      </c>
      <c r="J44">
        <v>3.4748000000000001E-2</v>
      </c>
      <c r="K44">
        <v>3.39E-2</v>
      </c>
      <c r="L44">
        <v>3.4136E-2</v>
      </c>
      <c r="M44">
        <v>3.3707000000000001E-2</v>
      </c>
      <c r="N44">
        <v>3.3752999999999998E-2</v>
      </c>
      <c r="O44">
        <v>3.3499000000000001E-2</v>
      </c>
      <c r="P44">
        <v>3.3284000000000001E-2</v>
      </c>
      <c r="Q44">
        <v>3.3024999999999999E-2</v>
      </c>
      <c r="R44">
        <v>3.2672E-2</v>
      </c>
      <c r="S44">
        <v>3.2559999999999999E-2</v>
      </c>
      <c r="T44">
        <v>3.2231000000000003E-2</v>
      </c>
      <c r="U44">
        <v>3.1565999999999997E-2</v>
      </c>
      <c r="V44">
        <v>3.0664E-2</v>
      </c>
      <c r="W44">
        <v>2.9574E-2</v>
      </c>
      <c r="X44">
        <v>2.8497000000000001E-2</v>
      </c>
      <c r="Y44">
        <v>2.7718E-2</v>
      </c>
      <c r="Z44">
        <v>2.7413E-2</v>
      </c>
      <c r="AA44">
        <v>2.7217999999999999E-2</v>
      </c>
      <c r="AB44">
        <v>2.6842999999999999E-2</v>
      </c>
      <c r="AC44">
        <v>2.6571999999999998E-2</v>
      </c>
      <c r="AD44">
        <v>2.6395999999999999E-2</v>
      </c>
      <c r="AE44" t="s">
        <v>1135</v>
      </c>
    </row>
    <row r="45" spans="1:31" x14ac:dyDescent="0.25">
      <c r="A45" t="s">
        <v>140</v>
      </c>
      <c r="B45" t="s">
        <v>1696</v>
      </c>
      <c r="C45" t="s">
        <v>1697</v>
      </c>
      <c r="D45" t="s">
        <v>73</v>
      </c>
      <c r="E45">
        <v>0.41293400000000002</v>
      </c>
      <c r="F45">
        <v>0.33813799999999999</v>
      </c>
      <c r="G45">
        <v>0.34820000000000001</v>
      </c>
      <c r="H45">
        <v>0.55000000000000004</v>
      </c>
      <c r="I45">
        <v>0.55000000000000004</v>
      </c>
      <c r="J45">
        <v>0.55000000000000004</v>
      </c>
      <c r="K45">
        <v>0.55000000000000004</v>
      </c>
      <c r="L45">
        <v>0.55000000000000004</v>
      </c>
      <c r="M45">
        <v>0.55000000000000004</v>
      </c>
      <c r="N45">
        <v>0.55000000000000004</v>
      </c>
      <c r="O45">
        <v>0.55000000000000004</v>
      </c>
      <c r="P45">
        <v>0.55000000000000004</v>
      </c>
      <c r="Q45">
        <v>0.55000000000000004</v>
      </c>
      <c r="R45">
        <v>0.55000000000000004</v>
      </c>
      <c r="S45">
        <v>0.55000000000000004</v>
      </c>
      <c r="T45">
        <v>0.55000000000000004</v>
      </c>
      <c r="U45">
        <v>0.55000000000000004</v>
      </c>
      <c r="V45">
        <v>0.55000000000000004</v>
      </c>
      <c r="W45">
        <v>0.55000000000000004</v>
      </c>
      <c r="X45">
        <v>0.55000000000000004</v>
      </c>
      <c r="Y45">
        <v>0.55000000000000004</v>
      </c>
      <c r="Z45">
        <v>0.55000000000000004</v>
      </c>
      <c r="AA45">
        <v>0.55000000000000004</v>
      </c>
      <c r="AB45">
        <v>0.55000000000000004</v>
      </c>
      <c r="AC45">
        <v>0.55000000000000004</v>
      </c>
      <c r="AD45">
        <v>0.55000000000000004</v>
      </c>
      <c r="AE45" t="s">
        <v>1095</v>
      </c>
    </row>
    <row r="46" spans="1:31" x14ac:dyDescent="0.25">
      <c r="A46" t="s">
        <v>726</v>
      </c>
      <c r="B46" t="s">
        <v>1698</v>
      </c>
      <c r="C46" t="s">
        <v>1699</v>
      </c>
      <c r="D46" t="s">
        <v>73</v>
      </c>
      <c r="E46">
        <v>6.9167999999999993E-2</v>
      </c>
      <c r="F46">
        <v>7.2853000000000001E-2</v>
      </c>
      <c r="G46">
        <v>6.6768999999999995E-2</v>
      </c>
      <c r="H46">
        <v>6.3541E-2</v>
      </c>
      <c r="I46">
        <v>6.0998999999999998E-2</v>
      </c>
      <c r="J46">
        <v>6.0531000000000001E-2</v>
      </c>
      <c r="K46">
        <v>5.8098999999999998E-2</v>
      </c>
      <c r="L46">
        <v>5.7272000000000003E-2</v>
      </c>
      <c r="M46">
        <v>5.5752000000000003E-2</v>
      </c>
      <c r="N46">
        <v>5.4785E-2</v>
      </c>
      <c r="O46">
        <v>5.3534999999999999E-2</v>
      </c>
      <c r="P46">
        <v>5.2467E-2</v>
      </c>
      <c r="Q46">
        <v>5.1570999999999999E-2</v>
      </c>
      <c r="R46">
        <v>5.0487999999999998E-2</v>
      </c>
      <c r="S46">
        <v>4.9533000000000001E-2</v>
      </c>
      <c r="T46">
        <v>4.8370000000000003E-2</v>
      </c>
      <c r="U46">
        <v>4.6822000000000003E-2</v>
      </c>
      <c r="V46">
        <v>4.4990000000000002E-2</v>
      </c>
      <c r="W46">
        <v>4.3059E-2</v>
      </c>
      <c r="X46">
        <v>4.1085000000000003E-2</v>
      </c>
      <c r="Y46">
        <v>3.9379999999999998E-2</v>
      </c>
      <c r="Z46">
        <v>3.8188E-2</v>
      </c>
      <c r="AA46">
        <v>3.7046999999999997E-2</v>
      </c>
      <c r="AB46">
        <v>3.5586E-2</v>
      </c>
      <c r="AC46">
        <v>3.4285000000000003E-2</v>
      </c>
      <c r="AD46">
        <v>3.3082E-2</v>
      </c>
      <c r="AE46" t="s">
        <v>1700</v>
      </c>
    </row>
    <row r="47" spans="1:31" x14ac:dyDescent="0.25">
      <c r="A47" t="s">
        <v>662</v>
      </c>
      <c r="B47" t="s">
        <v>1701</v>
      </c>
      <c r="C47" t="s">
        <v>1702</v>
      </c>
      <c r="D47" t="s">
        <v>73</v>
      </c>
      <c r="E47">
        <v>0.86551500000000003</v>
      </c>
      <c r="F47">
        <v>0.85336599999999996</v>
      </c>
      <c r="G47">
        <v>0.85518099999999997</v>
      </c>
      <c r="H47">
        <v>0.90476500000000004</v>
      </c>
      <c r="I47">
        <v>0.91175499999999998</v>
      </c>
      <c r="J47">
        <v>0.91411200000000004</v>
      </c>
      <c r="K47">
        <v>0.91552599999999995</v>
      </c>
      <c r="L47">
        <v>0.91785799999999995</v>
      </c>
      <c r="M47">
        <v>0.92093800000000003</v>
      </c>
      <c r="N47">
        <v>0.92348600000000003</v>
      </c>
      <c r="O47">
        <v>0.92420500000000005</v>
      </c>
      <c r="P47">
        <v>0.92643299999999995</v>
      </c>
      <c r="Q47">
        <v>0.930006</v>
      </c>
      <c r="R47">
        <v>0.93350900000000003</v>
      </c>
      <c r="S47">
        <v>0.93700300000000003</v>
      </c>
      <c r="T47">
        <v>0.94011900000000004</v>
      </c>
      <c r="U47">
        <v>0.94255100000000003</v>
      </c>
      <c r="V47">
        <v>0.94466099999999997</v>
      </c>
      <c r="W47">
        <v>0.94505499999999998</v>
      </c>
      <c r="X47">
        <v>0.95018800000000003</v>
      </c>
      <c r="Y47">
        <v>0.95596700000000001</v>
      </c>
      <c r="Z47">
        <v>0.95556700000000006</v>
      </c>
      <c r="AA47">
        <v>0.95444099999999998</v>
      </c>
      <c r="AB47">
        <v>0.954592</v>
      </c>
      <c r="AC47">
        <v>0.95311599999999996</v>
      </c>
      <c r="AD47">
        <v>0.95109600000000005</v>
      </c>
      <c r="AE47" t="s">
        <v>1111</v>
      </c>
    </row>
    <row r="48" spans="1:31" x14ac:dyDescent="0.25">
      <c r="A48" t="s">
        <v>731</v>
      </c>
      <c r="B48" t="s">
        <v>1703</v>
      </c>
      <c r="C48" t="s">
        <v>1704</v>
      </c>
      <c r="D48" t="s">
        <v>73</v>
      </c>
      <c r="E48">
        <v>0.34065400000000001</v>
      </c>
      <c r="F48">
        <v>0.344331</v>
      </c>
      <c r="G48">
        <v>0.34578199999999998</v>
      </c>
      <c r="H48">
        <v>0.34937400000000002</v>
      </c>
      <c r="I48">
        <v>0.35149799999999998</v>
      </c>
      <c r="J48">
        <v>0.35592400000000002</v>
      </c>
      <c r="K48">
        <v>0.36144300000000001</v>
      </c>
      <c r="L48">
        <v>0.36677199999999999</v>
      </c>
      <c r="M48">
        <v>0.37232900000000002</v>
      </c>
      <c r="N48">
        <v>0.377967</v>
      </c>
      <c r="O48">
        <v>0.38344</v>
      </c>
      <c r="P48">
        <v>0.38904899999999998</v>
      </c>
      <c r="Q48">
        <v>0.39387499999999998</v>
      </c>
      <c r="R48">
        <v>0.398451</v>
      </c>
      <c r="S48">
        <v>0.40364800000000001</v>
      </c>
      <c r="T48">
        <v>0.408696</v>
      </c>
      <c r="U48">
        <v>0.41368300000000002</v>
      </c>
      <c r="V48">
        <v>0.41868499999999997</v>
      </c>
      <c r="W48">
        <v>0.42255700000000002</v>
      </c>
      <c r="X48">
        <v>0.426616</v>
      </c>
      <c r="Y48">
        <v>0.43143399999999998</v>
      </c>
      <c r="Z48">
        <v>0.43658799999999998</v>
      </c>
      <c r="AA48">
        <v>0.44181799999999999</v>
      </c>
      <c r="AB48">
        <v>0.44646599999999997</v>
      </c>
      <c r="AC48">
        <v>0.45080500000000001</v>
      </c>
      <c r="AD48">
        <v>0.45562200000000003</v>
      </c>
      <c r="AE48" t="s">
        <v>1095</v>
      </c>
    </row>
    <row r="49" spans="1:31" x14ac:dyDescent="0.25">
      <c r="A49" t="s">
        <v>77</v>
      </c>
      <c r="B49" t="s">
        <v>1705</v>
      </c>
      <c r="C49" t="s">
        <v>1706</v>
      </c>
      <c r="D49" t="s">
        <v>73</v>
      </c>
      <c r="E49">
        <v>6.8163609999999997</v>
      </c>
      <c r="F49">
        <v>6.692151</v>
      </c>
      <c r="G49">
        <v>6.9031459999999996</v>
      </c>
      <c r="H49">
        <v>7.0531129999999997</v>
      </c>
      <c r="I49">
        <v>6.9979969999999998</v>
      </c>
      <c r="J49">
        <v>7.0186799999999998</v>
      </c>
      <c r="K49">
        <v>7.0691579999999998</v>
      </c>
      <c r="L49">
        <v>7.1247860000000003</v>
      </c>
      <c r="M49">
        <v>7.1793129999999996</v>
      </c>
      <c r="N49">
        <v>7.2422890000000004</v>
      </c>
      <c r="O49">
        <v>7.3084740000000004</v>
      </c>
      <c r="P49">
        <v>7.3861420000000004</v>
      </c>
      <c r="Q49">
        <v>7.4530010000000004</v>
      </c>
      <c r="R49">
        <v>7.5199759999999998</v>
      </c>
      <c r="S49">
        <v>7.6181109999999999</v>
      </c>
      <c r="T49">
        <v>7.7052969999999998</v>
      </c>
      <c r="U49">
        <v>7.7966660000000001</v>
      </c>
      <c r="V49">
        <v>7.9002410000000003</v>
      </c>
      <c r="W49">
        <v>7.9935549999999997</v>
      </c>
      <c r="X49">
        <v>8.0925250000000002</v>
      </c>
      <c r="Y49">
        <v>8.2035920000000004</v>
      </c>
      <c r="Z49">
        <v>8.311261</v>
      </c>
      <c r="AA49">
        <v>8.4281640000000007</v>
      </c>
      <c r="AB49">
        <v>8.5322019999999998</v>
      </c>
      <c r="AC49">
        <v>8.6082300000000007</v>
      </c>
      <c r="AD49">
        <v>8.7086089999999992</v>
      </c>
      <c r="AE49" t="s">
        <v>1092</v>
      </c>
    </row>
    <row r="50" spans="1:31" x14ac:dyDescent="0.25">
      <c r="A50" t="s">
        <v>736</v>
      </c>
      <c r="B50" t="s">
        <v>1707</v>
      </c>
      <c r="C50" t="s">
        <v>1708</v>
      </c>
      <c r="D50" t="s">
        <v>73</v>
      </c>
      <c r="E50">
        <v>6.2540889999999996</v>
      </c>
      <c r="F50">
        <v>6.1654450000000001</v>
      </c>
      <c r="G50">
        <v>6.1917989999999996</v>
      </c>
      <c r="H50">
        <v>6.1994680000000004</v>
      </c>
      <c r="I50">
        <v>6.1860090000000003</v>
      </c>
      <c r="J50">
        <v>6.2038060000000002</v>
      </c>
      <c r="K50">
        <v>6.2373820000000002</v>
      </c>
      <c r="L50">
        <v>6.2672350000000003</v>
      </c>
      <c r="M50">
        <v>6.2767939999999998</v>
      </c>
      <c r="N50">
        <v>6.2918700000000003</v>
      </c>
      <c r="O50">
        <v>6.3037390000000002</v>
      </c>
      <c r="P50">
        <v>6.3100870000000002</v>
      </c>
      <c r="Q50">
        <v>6.3055659999999998</v>
      </c>
      <c r="R50">
        <v>6.3095530000000002</v>
      </c>
      <c r="S50">
        <v>6.3296330000000003</v>
      </c>
      <c r="T50">
        <v>6.3581310000000002</v>
      </c>
      <c r="U50">
        <v>6.3960330000000001</v>
      </c>
      <c r="V50">
        <v>6.4523999999999999</v>
      </c>
      <c r="W50">
        <v>6.5062189999999998</v>
      </c>
      <c r="X50">
        <v>6.564724</v>
      </c>
      <c r="Y50">
        <v>6.626627</v>
      </c>
      <c r="Z50">
        <v>6.6849499999999997</v>
      </c>
      <c r="AA50">
        <v>6.7446799999999998</v>
      </c>
      <c r="AB50">
        <v>6.7971589999999997</v>
      </c>
      <c r="AC50">
        <v>6.8449900000000001</v>
      </c>
      <c r="AD50">
        <v>6.9035789999999997</v>
      </c>
      <c r="AE50" t="s">
        <v>1111</v>
      </c>
    </row>
    <row r="51" spans="1:31" x14ac:dyDescent="0.25">
      <c r="A51" t="s">
        <v>739</v>
      </c>
      <c r="B51" t="s">
        <v>1709</v>
      </c>
      <c r="C51" t="s">
        <v>1710</v>
      </c>
      <c r="D51" t="s">
        <v>73</v>
      </c>
      <c r="E51">
        <v>0.30199999999999999</v>
      </c>
      <c r="F51">
        <v>0.30199999999999999</v>
      </c>
      <c r="G51">
        <v>0.28899999999999998</v>
      </c>
      <c r="H51">
        <v>0.288993</v>
      </c>
      <c r="I51">
        <v>0.28234300000000001</v>
      </c>
      <c r="J51">
        <v>0.28032299999999999</v>
      </c>
      <c r="K51">
        <v>0.28385300000000002</v>
      </c>
      <c r="L51">
        <v>0.28740599999999999</v>
      </c>
      <c r="M51">
        <v>0.29230400000000001</v>
      </c>
      <c r="N51">
        <v>0.297761</v>
      </c>
      <c r="O51">
        <v>0.30227799999999999</v>
      </c>
      <c r="P51">
        <v>0.30940600000000001</v>
      </c>
      <c r="Q51">
        <v>0.31269200000000003</v>
      </c>
      <c r="R51">
        <v>0.31698399999999999</v>
      </c>
      <c r="S51">
        <v>0.32515100000000002</v>
      </c>
      <c r="T51">
        <v>0.33140399999999998</v>
      </c>
      <c r="U51">
        <v>0.33892899999999998</v>
      </c>
      <c r="V51">
        <v>0.34673799999999999</v>
      </c>
      <c r="W51">
        <v>0.35550300000000001</v>
      </c>
      <c r="X51">
        <v>0.36499799999999999</v>
      </c>
      <c r="Y51">
        <v>0.37514599999999998</v>
      </c>
      <c r="Z51">
        <v>0.38497399999999998</v>
      </c>
      <c r="AA51">
        <v>0.39471499999999998</v>
      </c>
      <c r="AB51">
        <v>0.40370499999999998</v>
      </c>
      <c r="AC51">
        <v>0.40992600000000001</v>
      </c>
      <c r="AD51">
        <v>0.41837800000000003</v>
      </c>
      <c r="AE51" t="s">
        <v>1587</v>
      </c>
    </row>
    <row r="52" spans="1:31" x14ac:dyDescent="0.25">
      <c r="A52" t="s">
        <v>150</v>
      </c>
      <c r="B52" t="s">
        <v>1711</v>
      </c>
      <c r="C52" t="s">
        <v>1712</v>
      </c>
      <c r="D52" t="s">
        <v>73</v>
      </c>
      <c r="E52">
        <v>2.1362390000000002</v>
      </c>
      <c r="F52">
        <v>2.128485</v>
      </c>
      <c r="G52">
        <v>2.1603400000000001</v>
      </c>
      <c r="H52">
        <v>2.165232</v>
      </c>
      <c r="I52">
        <v>2.162156</v>
      </c>
      <c r="J52">
        <v>2.203182</v>
      </c>
      <c r="K52">
        <v>2.2643529999999998</v>
      </c>
      <c r="L52">
        <v>2.334959</v>
      </c>
      <c r="M52">
        <v>2.3952339999999999</v>
      </c>
      <c r="N52">
        <v>2.4525809999999999</v>
      </c>
      <c r="O52">
        <v>2.473735</v>
      </c>
      <c r="P52">
        <v>2.4826640000000002</v>
      </c>
      <c r="Q52">
        <v>2.4927549999999998</v>
      </c>
      <c r="R52">
        <v>2.5068679999999999</v>
      </c>
      <c r="S52">
        <v>2.5246620000000002</v>
      </c>
      <c r="T52">
        <v>2.5674649999999999</v>
      </c>
      <c r="U52">
        <v>2.6017749999999999</v>
      </c>
      <c r="V52">
        <v>2.6305519999999998</v>
      </c>
      <c r="W52">
        <v>2.644943</v>
      </c>
      <c r="X52">
        <v>2.647805</v>
      </c>
      <c r="Y52">
        <v>2.6459549999999998</v>
      </c>
      <c r="Z52">
        <v>2.6564239999999999</v>
      </c>
      <c r="AA52">
        <v>2.673549</v>
      </c>
      <c r="AB52">
        <v>2.6894960000000001</v>
      </c>
      <c r="AC52">
        <v>2.689622</v>
      </c>
      <c r="AD52">
        <v>2.6848770000000002</v>
      </c>
      <c r="AE52" t="s">
        <v>1130</v>
      </c>
    </row>
    <row r="53" spans="1:31" x14ac:dyDescent="0.25">
      <c r="A53" t="s">
        <v>153</v>
      </c>
      <c r="B53" t="s">
        <v>1713</v>
      </c>
      <c r="C53" t="s">
        <v>1714</v>
      </c>
      <c r="D53" t="s">
        <v>73</v>
      </c>
      <c r="E53">
        <v>8.6923270000000006</v>
      </c>
      <c r="F53">
        <v>8.5959299999999992</v>
      </c>
      <c r="G53">
        <v>8.6411390000000008</v>
      </c>
      <c r="H53">
        <v>8.6536930000000005</v>
      </c>
      <c r="I53">
        <v>8.6305080000000007</v>
      </c>
      <c r="J53">
        <v>8.6873109999999993</v>
      </c>
      <c r="K53">
        <v>8.7855880000000006</v>
      </c>
      <c r="L53">
        <v>8.8896010000000008</v>
      </c>
      <c r="M53">
        <v>8.9643320000000006</v>
      </c>
      <c r="N53">
        <v>9.0422119999999993</v>
      </c>
      <c r="O53">
        <v>9.0797519999999992</v>
      </c>
      <c r="P53">
        <v>9.1021579999999993</v>
      </c>
      <c r="Q53">
        <v>9.1110120000000006</v>
      </c>
      <c r="R53">
        <v>9.1334049999999998</v>
      </c>
      <c r="S53">
        <v>9.1794460000000004</v>
      </c>
      <c r="T53">
        <v>9.2569999999999997</v>
      </c>
      <c r="U53">
        <v>9.3367380000000004</v>
      </c>
      <c r="V53">
        <v>9.4296889999999998</v>
      </c>
      <c r="W53">
        <v>9.5066649999999999</v>
      </c>
      <c r="X53">
        <v>9.5775269999999999</v>
      </c>
      <c r="Y53">
        <v>9.6477280000000007</v>
      </c>
      <c r="Z53">
        <v>9.7263490000000008</v>
      </c>
      <c r="AA53">
        <v>9.8129439999999999</v>
      </c>
      <c r="AB53">
        <v>9.8903599999999994</v>
      </c>
      <c r="AC53">
        <v>9.9445379999999997</v>
      </c>
      <c r="AD53">
        <v>10.006833</v>
      </c>
      <c r="AE53" t="s">
        <v>1164</v>
      </c>
    </row>
    <row r="54" spans="1:31" x14ac:dyDescent="0.25">
      <c r="A54" t="s">
        <v>746</v>
      </c>
      <c r="B54" t="s">
        <v>1715</v>
      </c>
      <c r="C54" t="s">
        <v>1716</v>
      </c>
      <c r="D54" t="s">
        <v>73</v>
      </c>
      <c r="E54">
        <v>0.57895799999999997</v>
      </c>
      <c r="F54">
        <v>0.57151799999999997</v>
      </c>
      <c r="G54">
        <v>0.57319200000000003</v>
      </c>
      <c r="H54">
        <v>0.56959099999999996</v>
      </c>
      <c r="I54">
        <v>0.56662599999999996</v>
      </c>
      <c r="J54">
        <v>0.56975200000000004</v>
      </c>
      <c r="K54">
        <v>0.57430000000000003</v>
      </c>
      <c r="L54">
        <v>0.57608199999999998</v>
      </c>
      <c r="M54">
        <v>0.57896999999999998</v>
      </c>
      <c r="N54">
        <v>0.58199599999999996</v>
      </c>
      <c r="O54">
        <v>0.58636699999999997</v>
      </c>
      <c r="P54">
        <v>0.59211499999999995</v>
      </c>
      <c r="Q54">
        <v>0.59785299999999997</v>
      </c>
      <c r="R54">
        <v>0.603437</v>
      </c>
      <c r="S54">
        <v>0.60955499999999996</v>
      </c>
      <c r="T54">
        <v>0.616228</v>
      </c>
      <c r="U54">
        <v>0.62363299999999999</v>
      </c>
      <c r="V54">
        <v>0.63173500000000005</v>
      </c>
      <c r="W54">
        <v>0.638872</v>
      </c>
      <c r="X54">
        <v>0.64537299999999997</v>
      </c>
      <c r="Y54">
        <v>0.654443</v>
      </c>
      <c r="Z54">
        <v>0.66320500000000004</v>
      </c>
      <c r="AA54">
        <v>0.67306200000000005</v>
      </c>
      <c r="AB54">
        <v>0.68164100000000005</v>
      </c>
      <c r="AC54">
        <v>0.68792200000000003</v>
      </c>
      <c r="AD54">
        <v>0.69606299999999999</v>
      </c>
      <c r="AE54" t="s">
        <v>1106</v>
      </c>
    </row>
    <row r="55" spans="1:31" x14ac:dyDescent="0.25">
      <c r="A55" t="s">
        <v>749</v>
      </c>
      <c r="B55" t="s">
        <v>1717</v>
      </c>
      <c r="C55" t="s">
        <v>1718</v>
      </c>
      <c r="D55" t="s">
        <v>73</v>
      </c>
      <c r="E55">
        <v>0.38726500000000003</v>
      </c>
      <c r="F55">
        <v>0.40224900000000002</v>
      </c>
      <c r="G55">
        <v>0.420626</v>
      </c>
      <c r="H55">
        <v>0.40510299999999999</v>
      </c>
      <c r="I55">
        <v>0.39422099999999999</v>
      </c>
      <c r="J55">
        <v>0.38840200000000003</v>
      </c>
      <c r="K55">
        <v>0.38092900000000002</v>
      </c>
      <c r="L55">
        <v>0.37573499999999999</v>
      </c>
      <c r="M55">
        <v>0.36993199999999998</v>
      </c>
      <c r="N55">
        <v>0.360182</v>
      </c>
      <c r="O55">
        <v>0.352244</v>
      </c>
      <c r="P55">
        <v>0.34226499999999999</v>
      </c>
      <c r="Q55">
        <v>0.333511</v>
      </c>
      <c r="R55">
        <v>0.32392500000000002</v>
      </c>
      <c r="S55">
        <v>0.313946</v>
      </c>
      <c r="T55">
        <v>0.30612400000000001</v>
      </c>
      <c r="U55">
        <v>0.299091</v>
      </c>
      <c r="V55">
        <v>0.292269</v>
      </c>
      <c r="W55">
        <v>0.28481299999999998</v>
      </c>
      <c r="X55">
        <v>0.27746199999999999</v>
      </c>
      <c r="Y55">
        <v>0.27200299999999999</v>
      </c>
      <c r="Z55">
        <v>0.26551900000000001</v>
      </c>
      <c r="AA55">
        <v>0.25992999999999999</v>
      </c>
      <c r="AB55">
        <v>0.253888</v>
      </c>
      <c r="AC55">
        <v>0.246588</v>
      </c>
      <c r="AD55">
        <v>0.240534</v>
      </c>
      <c r="AE55" t="s">
        <v>1151</v>
      </c>
    </row>
    <row r="56" spans="1:31" x14ac:dyDescent="0.25">
      <c r="A56" t="s">
        <v>159</v>
      </c>
      <c r="B56" t="s">
        <v>1719</v>
      </c>
      <c r="C56" t="s">
        <v>1720</v>
      </c>
      <c r="D56" t="s">
        <v>73</v>
      </c>
      <c r="E56">
        <v>0.275646</v>
      </c>
      <c r="F56">
        <v>0.24396499999999999</v>
      </c>
      <c r="G56">
        <v>0.24312700000000001</v>
      </c>
      <c r="H56">
        <v>0.23993500000000001</v>
      </c>
      <c r="I56">
        <v>0.23642199999999999</v>
      </c>
      <c r="J56">
        <v>0.23360700000000001</v>
      </c>
      <c r="K56">
        <v>0.22957</v>
      </c>
      <c r="L56">
        <v>0.23095499999999999</v>
      </c>
      <c r="M56">
        <v>0.231216</v>
      </c>
      <c r="N56">
        <v>0.2301</v>
      </c>
      <c r="O56">
        <v>0.22845499999999999</v>
      </c>
      <c r="P56">
        <v>0.225581</v>
      </c>
      <c r="Q56">
        <v>0.22189400000000001</v>
      </c>
      <c r="R56">
        <v>0.217635</v>
      </c>
      <c r="S56">
        <v>0.21312600000000001</v>
      </c>
      <c r="T56">
        <v>0.20872199999999999</v>
      </c>
      <c r="U56">
        <v>0.20446400000000001</v>
      </c>
      <c r="V56">
        <v>0.200041</v>
      </c>
      <c r="W56">
        <v>0.19552900000000001</v>
      </c>
      <c r="X56">
        <v>0.19114800000000001</v>
      </c>
      <c r="Y56">
        <v>0.18736800000000001</v>
      </c>
      <c r="Z56">
        <v>0.18382899999999999</v>
      </c>
      <c r="AA56">
        <v>0.18041399999999999</v>
      </c>
      <c r="AB56">
        <v>0.176951</v>
      </c>
      <c r="AC56">
        <v>0.173341</v>
      </c>
      <c r="AD56">
        <v>0.16994999999999999</v>
      </c>
      <c r="AE56" t="s">
        <v>1151</v>
      </c>
    </row>
    <row r="57" spans="1:31" x14ac:dyDescent="0.25">
      <c r="A57" t="s">
        <v>165</v>
      </c>
      <c r="B57" t="s">
        <v>1721</v>
      </c>
      <c r="C57" t="s">
        <v>1722</v>
      </c>
      <c r="D57" t="s">
        <v>73</v>
      </c>
      <c r="E57">
        <v>0.66291199999999995</v>
      </c>
      <c r="F57">
        <v>0.64621399999999996</v>
      </c>
      <c r="G57">
        <v>0.66375300000000004</v>
      </c>
      <c r="H57">
        <v>0.64503699999999997</v>
      </c>
      <c r="I57">
        <v>0.63064399999999998</v>
      </c>
      <c r="J57">
        <v>0.62200800000000001</v>
      </c>
      <c r="K57">
        <v>0.61050000000000004</v>
      </c>
      <c r="L57">
        <v>0.60668999999999995</v>
      </c>
      <c r="M57">
        <v>0.60114800000000002</v>
      </c>
      <c r="N57">
        <v>0.590283</v>
      </c>
      <c r="O57">
        <v>0.58069899999999997</v>
      </c>
      <c r="P57">
        <v>0.56784699999999999</v>
      </c>
      <c r="Q57">
        <v>0.55540500000000004</v>
      </c>
      <c r="R57">
        <v>0.54156000000000004</v>
      </c>
      <c r="S57">
        <v>0.52707199999999998</v>
      </c>
      <c r="T57">
        <v>0.51484600000000003</v>
      </c>
      <c r="U57">
        <v>0.50355499999999997</v>
      </c>
      <c r="V57">
        <v>0.49231000000000003</v>
      </c>
      <c r="W57">
        <v>0.48034199999999999</v>
      </c>
      <c r="X57">
        <v>0.46861000000000003</v>
      </c>
      <c r="Y57">
        <v>0.45937099999999997</v>
      </c>
      <c r="Z57">
        <v>0.449347</v>
      </c>
      <c r="AA57">
        <v>0.44034400000000001</v>
      </c>
      <c r="AB57">
        <v>0.43083900000000003</v>
      </c>
      <c r="AC57">
        <v>0.419929</v>
      </c>
      <c r="AD57">
        <v>0.41048400000000002</v>
      </c>
      <c r="AE57" t="s">
        <v>1151</v>
      </c>
    </row>
    <row r="58" spans="1:31" x14ac:dyDescent="0.25">
      <c r="A58" t="s">
        <v>756</v>
      </c>
      <c r="B58" t="s">
        <v>1723</v>
      </c>
      <c r="C58" t="s">
        <v>1724</v>
      </c>
      <c r="D58" t="s">
        <v>73</v>
      </c>
      <c r="E58">
        <v>1.497989</v>
      </c>
      <c r="F58">
        <v>1.6071</v>
      </c>
      <c r="G58">
        <v>1.568859</v>
      </c>
      <c r="H58">
        <v>1.550627</v>
      </c>
      <c r="I58">
        <v>1.5433250000000001</v>
      </c>
      <c r="J58">
        <v>1.5140119999999999</v>
      </c>
      <c r="K58">
        <v>1.4797229999999999</v>
      </c>
      <c r="L58">
        <v>1.458091</v>
      </c>
      <c r="M58">
        <v>1.446947</v>
      </c>
      <c r="N58">
        <v>1.4486190000000001</v>
      </c>
      <c r="O58">
        <v>1.4525239999999999</v>
      </c>
      <c r="P58">
        <v>1.4630069999999999</v>
      </c>
      <c r="Q58">
        <v>1.4731620000000001</v>
      </c>
      <c r="R58">
        <v>1.495779</v>
      </c>
      <c r="S58">
        <v>1.520454</v>
      </c>
      <c r="T58">
        <v>1.541369</v>
      </c>
      <c r="U58">
        <v>1.546718</v>
      </c>
      <c r="V58">
        <v>1.55775</v>
      </c>
      <c r="W58">
        <v>1.5652539999999999</v>
      </c>
      <c r="X58">
        <v>1.5779190000000001</v>
      </c>
      <c r="Y58">
        <v>1.6022350000000001</v>
      </c>
      <c r="Z58">
        <v>1.6247739999999999</v>
      </c>
      <c r="AA58">
        <v>1.650185</v>
      </c>
      <c r="AB58">
        <v>1.673621</v>
      </c>
      <c r="AC58">
        <v>1.702137</v>
      </c>
      <c r="AD58">
        <v>1.7292259999999999</v>
      </c>
      <c r="AE58" t="s">
        <v>1164</v>
      </c>
    </row>
    <row r="59" spans="1:31" x14ac:dyDescent="0.25">
      <c r="A59" t="s">
        <v>289</v>
      </c>
      <c r="B59" t="s">
        <v>1725</v>
      </c>
      <c r="C59" t="s">
        <v>1726</v>
      </c>
      <c r="D59" t="s">
        <v>73</v>
      </c>
      <c r="E59">
        <v>3.433135</v>
      </c>
      <c r="F59">
        <v>3.5480849999999999</v>
      </c>
      <c r="G59">
        <v>3.5272100000000002</v>
      </c>
      <c r="H59">
        <v>3.5044110000000002</v>
      </c>
      <c r="I59">
        <v>3.481147</v>
      </c>
      <c r="J59">
        <v>3.4810340000000002</v>
      </c>
      <c r="K59">
        <v>3.4858159999999998</v>
      </c>
      <c r="L59">
        <v>3.497935</v>
      </c>
      <c r="M59">
        <v>3.5241189999999998</v>
      </c>
      <c r="N59">
        <v>3.5522629999999999</v>
      </c>
      <c r="O59">
        <v>3.593289</v>
      </c>
      <c r="P59">
        <v>3.641934</v>
      </c>
      <c r="Q59">
        <v>3.7003970000000002</v>
      </c>
      <c r="R59">
        <v>3.7567059999999999</v>
      </c>
      <c r="S59">
        <v>3.8103600000000002</v>
      </c>
      <c r="T59">
        <v>3.858349</v>
      </c>
      <c r="U59">
        <v>3.8986529999999999</v>
      </c>
      <c r="V59">
        <v>3.9293819999999999</v>
      </c>
      <c r="W59">
        <v>3.9486690000000002</v>
      </c>
      <c r="X59">
        <v>3.9665859999999999</v>
      </c>
      <c r="Y59">
        <v>3.9996100000000001</v>
      </c>
      <c r="Z59">
        <v>4.0359959999999999</v>
      </c>
      <c r="AA59">
        <v>4.0739109999999998</v>
      </c>
      <c r="AB59">
        <v>4.1060569999999998</v>
      </c>
      <c r="AC59">
        <v>4.1361189999999999</v>
      </c>
      <c r="AD59">
        <v>4.1655980000000001</v>
      </c>
      <c r="AE59" t="s">
        <v>1142</v>
      </c>
    </row>
    <row r="60" spans="1:31" x14ac:dyDescent="0.25">
      <c r="A60" t="s">
        <v>89</v>
      </c>
      <c r="B60" t="s">
        <v>1727</v>
      </c>
      <c r="C60" t="s">
        <v>1728</v>
      </c>
      <c r="D60" t="s">
        <v>73</v>
      </c>
      <c r="E60">
        <v>21.681681000000001</v>
      </c>
      <c r="F60">
        <v>21.660999</v>
      </c>
      <c r="G60">
        <v>21.877300000000002</v>
      </c>
      <c r="H60">
        <v>21.976472999999999</v>
      </c>
      <c r="I60">
        <v>21.850248000000001</v>
      </c>
      <c r="J60">
        <v>21.892796000000001</v>
      </c>
      <c r="K60">
        <v>22.005085000000001</v>
      </c>
      <c r="L60">
        <v>22.153185000000001</v>
      </c>
      <c r="M60">
        <v>22.294827999999999</v>
      </c>
      <c r="N60">
        <v>22.457661000000002</v>
      </c>
      <c r="O60">
        <v>22.601105</v>
      </c>
      <c r="P60">
        <v>22.753202000000002</v>
      </c>
      <c r="Q60">
        <v>22.890830999999999</v>
      </c>
      <c r="R60">
        <v>23.050863</v>
      </c>
      <c r="S60">
        <v>23.265001000000002</v>
      </c>
      <c r="T60">
        <v>23.493088</v>
      </c>
      <c r="U60">
        <v>23.705963000000001</v>
      </c>
      <c r="V60">
        <v>23.941105</v>
      </c>
      <c r="W60">
        <v>24.13336</v>
      </c>
      <c r="X60">
        <v>24.328538999999999</v>
      </c>
      <c r="Y60">
        <v>24.566981999999999</v>
      </c>
      <c r="Z60">
        <v>24.810929999999999</v>
      </c>
      <c r="AA60">
        <v>25.078609</v>
      </c>
      <c r="AB60">
        <v>25.314717999999999</v>
      </c>
      <c r="AC60">
        <v>25.498877</v>
      </c>
      <c r="AD60">
        <v>25.716813999999999</v>
      </c>
      <c r="AE60" t="s">
        <v>1106</v>
      </c>
    </row>
    <row r="61" spans="1:31" x14ac:dyDescent="0.25">
      <c r="A61" t="s">
        <v>92</v>
      </c>
      <c r="B61" t="s">
        <v>1729</v>
      </c>
      <c r="C61" t="s">
        <v>1730</v>
      </c>
      <c r="D61" t="s">
        <v>73</v>
      </c>
      <c r="E61">
        <v>4.71732</v>
      </c>
      <c r="F61">
        <v>4.8284050000000001</v>
      </c>
      <c r="G61">
        <v>4.4334749999999996</v>
      </c>
      <c r="H61">
        <v>4.2155690000000003</v>
      </c>
      <c r="I61">
        <v>4.0928839999999997</v>
      </c>
      <c r="J61">
        <v>4.0197969999999996</v>
      </c>
      <c r="K61">
        <v>3.8970609999999999</v>
      </c>
      <c r="L61">
        <v>3.8343509999999998</v>
      </c>
      <c r="M61">
        <v>3.8165779999999998</v>
      </c>
      <c r="N61">
        <v>3.7718609999999999</v>
      </c>
      <c r="O61">
        <v>3.7585649999999999</v>
      </c>
      <c r="P61">
        <v>3.7510050000000001</v>
      </c>
      <c r="Q61">
        <v>3.7736070000000002</v>
      </c>
      <c r="R61">
        <v>3.802594</v>
      </c>
      <c r="S61">
        <v>3.8203800000000001</v>
      </c>
      <c r="T61">
        <v>3.8226049999999998</v>
      </c>
      <c r="U61">
        <v>3.8170999999999999</v>
      </c>
      <c r="V61">
        <v>3.820516</v>
      </c>
      <c r="W61">
        <v>3.8174700000000001</v>
      </c>
      <c r="X61">
        <v>3.8147600000000002</v>
      </c>
      <c r="Y61">
        <v>3.8269890000000002</v>
      </c>
      <c r="Z61">
        <v>3.8439649999999999</v>
      </c>
      <c r="AA61">
        <v>3.8661099999999999</v>
      </c>
      <c r="AB61">
        <v>3.8819219999999999</v>
      </c>
      <c r="AC61">
        <v>3.8815080000000002</v>
      </c>
      <c r="AD61">
        <v>3.8925149999999999</v>
      </c>
      <c r="AE61" t="s">
        <v>1173</v>
      </c>
    </row>
    <row r="62" spans="1:31" x14ac:dyDescent="0.25">
      <c r="A62" t="s">
        <v>183</v>
      </c>
      <c r="B62" t="s">
        <v>1731</v>
      </c>
      <c r="C62" t="s">
        <v>1732</v>
      </c>
      <c r="D62" t="s">
        <v>73</v>
      </c>
      <c r="E62">
        <v>0.13717099999999999</v>
      </c>
      <c r="F62">
        <v>0.13466</v>
      </c>
      <c r="G62">
        <v>0.13412399999999999</v>
      </c>
      <c r="H62">
        <v>0.13306499999999999</v>
      </c>
      <c r="I62">
        <v>0.13516300000000001</v>
      </c>
      <c r="J62">
        <v>0.135742</v>
      </c>
      <c r="K62">
        <v>0.135853</v>
      </c>
      <c r="L62">
        <v>0.135959</v>
      </c>
      <c r="M62">
        <v>0.136409</v>
      </c>
      <c r="N62">
        <v>0.13761899999999999</v>
      </c>
      <c r="O62">
        <v>0.13833599999999999</v>
      </c>
      <c r="P62">
        <v>0.13897499999999999</v>
      </c>
      <c r="Q62">
        <v>0.13822999999999999</v>
      </c>
      <c r="R62">
        <v>0.138263</v>
      </c>
      <c r="S62">
        <v>0.13947599999999999</v>
      </c>
      <c r="T62">
        <v>0.14057800000000001</v>
      </c>
      <c r="U62">
        <v>0.14033499999999999</v>
      </c>
      <c r="V62">
        <v>0.14170199999999999</v>
      </c>
      <c r="W62">
        <v>0.14314299999999999</v>
      </c>
      <c r="X62">
        <v>0.145172</v>
      </c>
      <c r="Y62">
        <v>0.147374</v>
      </c>
      <c r="Z62">
        <v>0.149039</v>
      </c>
      <c r="AA62">
        <v>0.151056</v>
      </c>
      <c r="AB62">
        <v>0.15267500000000001</v>
      </c>
      <c r="AC62">
        <v>0.15388199999999999</v>
      </c>
      <c r="AD62">
        <v>0.15537999999999999</v>
      </c>
      <c r="AE62" t="s">
        <v>1119</v>
      </c>
    </row>
    <row r="63" spans="1:31" x14ac:dyDescent="0.25">
      <c r="A63" t="s">
        <v>95</v>
      </c>
      <c r="B63" t="s">
        <v>1733</v>
      </c>
      <c r="C63" t="s">
        <v>1734</v>
      </c>
      <c r="D63" t="s">
        <v>73</v>
      </c>
      <c r="E63">
        <v>26.536171</v>
      </c>
      <c r="F63">
        <v>26.624065000000002</v>
      </c>
      <c r="G63">
        <v>26.444901000000002</v>
      </c>
      <c r="H63">
        <v>26.325106000000002</v>
      </c>
      <c r="I63">
        <v>26.078296999999999</v>
      </c>
      <c r="J63">
        <v>26.048335999999999</v>
      </c>
      <c r="K63">
        <v>26.037998000000002</v>
      </c>
      <c r="L63">
        <v>26.123494999999998</v>
      </c>
      <c r="M63">
        <v>26.247814000000002</v>
      </c>
      <c r="N63">
        <v>26.367142000000001</v>
      </c>
      <c r="O63">
        <v>26.498004999999999</v>
      </c>
      <c r="P63">
        <v>26.643183000000001</v>
      </c>
      <c r="Q63">
        <v>26.802668000000001</v>
      </c>
      <c r="R63">
        <v>26.991721999999999</v>
      </c>
      <c r="S63">
        <v>27.224857</v>
      </c>
      <c r="T63">
        <v>27.45627</v>
      </c>
      <c r="U63">
        <v>27.663398999999998</v>
      </c>
      <c r="V63">
        <v>27.903320000000001</v>
      </c>
      <c r="W63">
        <v>28.093972999999998</v>
      </c>
      <c r="X63">
        <v>28.288471000000001</v>
      </c>
      <c r="Y63">
        <v>28.541346000000001</v>
      </c>
      <c r="Z63">
        <v>28.803934000000002</v>
      </c>
      <c r="AA63">
        <v>29.095776000000001</v>
      </c>
      <c r="AB63">
        <v>29.349316000000002</v>
      </c>
      <c r="AC63">
        <v>29.534265999999999</v>
      </c>
      <c r="AD63">
        <v>29.764709</v>
      </c>
      <c r="AE63" t="s">
        <v>1119</v>
      </c>
    </row>
    <row r="64" spans="1:31" x14ac:dyDescent="0.25">
      <c r="A64" t="s">
        <v>769</v>
      </c>
    </row>
    <row r="65" spans="1:31" x14ac:dyDescent="0.25">
      <c r="A65" t="s">
        <v>698</v>
      </c>
      <c r="B65" t="s">
        <v>1735</v>
      </c>
      <c r="C65" t="s">
        <v>1736</v>
      </c>
      <c r="D65" t="s">
        <v>73</v>
      </c>
      <c r="E65">
        <v>8.0879999999999997E-3</v>
      </c>
      <c r="F65">
        <v>8.0879999999999997E-3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1737</v>
      </c>
    </row>
    <row r="66" spans="1:31" x14ac:dyDescent="0.25">
      <c r="A66" t="s">
        <v>74</v>
      </c>
      <c r="B66" t="s">
        <v>1738</v>
      </c>
      <c r="C66" t="s">
        <v>1739</v>
      </c>
      <c r="D66" t="s">
        <v>73</v>
      </c>
      <c r="E66">
        <v>1.3569999999999999E-3</v>
      </c>
      <c r="F66">
        <v>1.3569999999999999E-3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1737</v>
      </c>
    </row>
    <row r="67" spans="1:31" x14ac:dyDescent="0.25">
      <c r="A67" t="s">
        <v>109</v>
      </c>
      <c r="B67" t="s">
        <v>1740</v>
      </c>
      <c r="C67" t="s">
        <v>1741</v>
      </c>
      <c r="D67" t="s">
        <v>73</v>
      </c>
      <c r="E67">
        <v>7.6800000000000002E-4</v>
      </c>
      <c r="F67">
        <v>7.6800000000000002E-4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1737</v>
      </c>
    </row>
    <row r="68" spans="1:31" x14ac:dyDescent="0.25">
      <c r="A68" t="s">
        <v>726</v>
      </c>
      <c r="B68" t="s">
        <v>1742</v>
      </c>
      <c r="C68" t="s">
        <v>1743</v>
      </c>
      <c r="D68" t="s">
        <v>73</v>
      </c>
      <c r="E68">
        <v>0.45</v>
      </c>
      <c r="F68">
        <v>0.46600000000000003</v>
      </c>
      <c r="G68">
        <v>0.465202</v>
      </c>
      <c r="H68">
        <v>0.49641299999999999</v>
      </c>
      <c r="I68">
        <v>0.49706600000000001</v>
      </c>
      <c r="J68">
        <v>0.49803500000000001</v>
      </c>
      <c r="K68">
        <v>0.49257899999999999</v>
      </c>
      <c r="L68">
        <v>0.49237500000000001</v>
      </c>
      <c r="M68">
        <v>0.49135499999999999</v>
      </c>
      <c r="N68">
        <v>0.49401299999999998</v>
      </c>
      <c r="O68">
        <v>0.492587</v>
      </c>
      <c r="P68">
        <v>0.49102099999999999</v>
      </c>
      <c r="Q68">
        <v>0.49075200000000002</v>
      </c>
      <c r="R68">
        <v>0.48964999999999997</v>
      </c>
      <c r="S68">
        <v>0.487738</v>
      </c>
      <c r="T68">
        <v>0.49034899999999998</v>
      </c>
      <c r="U68">
        <v>0.49068000000000001</v>
      </c>
      <c r="V68">
        <v>0.49195499999999998</v>
      </c>
      <c r="W68">
        <v>0.49236799999999997</v>
      </c>
      <c r="X68">
        <v>0.49172399999999999</v>
      </c>
      <c r="Y68">
        <v>0.49401299999999998</v>
      </c>
      <c r="Z68">
        <v>0.49006300000000003</v>
      </c>
      <c r="AA68">
        <v>0.48429899999999998</v>
      </c>
      <c r="AB68">
        <v>0.48412899999999998</v>
      </c>
      <c r="AC68">
        <v>0.48481200000000002</v>
      </c>
      <c r="AD68">
        <v>0.48488100000000001</v>
      </c>
      <c r="AE68" t="s">
        <v>1161</v>
      </c>
    </row>
    <row r="69" spans="1:31" x14ac:dyDescent="0.25">
      <c r="A69" t="s">
        <v>778</v>
      </c>
      <c r="B69" t="s">
        <v>1744</v>
      </c>
      <c r="C69" t="s">
        <v>1745</v>
      </c>
      <c r="D69" t="s">
        <v>73</v>
      </c>
      <c r="E69">
        <v>1.342787</v>
      </c>
      <c r="F69">
        <v>1.342787</v>
      </c>
      <c r="G69">
        <v>1.3241289999999999</v>
      </c>
      <c r="H69">
        <v>1.342398</v>
      </c>
      <c r="I69">
        <v>1.3523540000000001</v>
      </c>
      <c r="J69">
        <v>1.3768739999999999</v>
      </c>
      <c r="K69">
        <v>1.3671120000000001</v>
      </c>
      <c r="L69">
        <v>1.3899900000000001</v>
      </c>
      <c r="M69">
        <v>1.386209</v>
      </c>
      <c r="N69">
        <v>1.3930169999999999</v>
      </c>
      <c r="O69">
        <v>1.394128</v>
      </c>
      <c r="P69">
        <v>1.398946</v>
      </c>
      <c r="Q69">
        <v>1.4062589999999999</v>
      </c>
      <c r="R69">
        <v>1.4045069999999999</v>
      </c>
      <c r="S69">
        <v>1.402217</v>
      </c>
      <c r="T69">
        <v>1.4166989999999999</v>
      </c>
      <c r="U69">
        <v>1.417767</v>
      </c>
      <c r="V69">
        <v>1.418974</v>
      </c>
      <c r="W69">
        <v>1.428242</v>
      </c>
      <c r="X69">
        <v>1.42178</v>
      </c>
      <c r="Y69">
        <v>1.4174899999999999</v>
      </c>
      <c r="Z69">
        <v>1.4011370000000001</v>
      </c>
      <c r="AA69">
        <v>1.427122</v>
      </c>
      <c r="AB69">
        <v>1.4081490000000001</v>
      </c>
      <c r="AC69">
        <v>1.41645</v>
      </c>
      <c r="AD69">
        <v>1.4037949999999999</v>
      </c>
      <c r="AE69" t="s">
        <v>1081</v>
      </c>
    </row>
    <row r="70" spans="1:31" x14ac:dyDescent="0.25">
      <c r="A70" t="s">
        <v>77</v>
      </c>
      <c r="B70" t="s">
        <v>1746</v>
      </c>
      <c r="C70" t="s">
        <v>1747</v>
      </c>
      <c r="D70" t="s">
        <v>73</v>
      </c>
      <c r="E70">
        <v>1.807547</v>
      </c>
      <c r="F70">
        <v>1.823547</v>
      </c>
      <c r="G70">
        <v>1.7925199999999999</v>
      </c>
      <c r="H70">
        <v>1.841968</v>
      </c>
      <c r="I70">
        <v>1.8554949999999999</v>
      </c>
      <c r="J70">
        <v>1.8778539999999999</v>
      </c>
      <c r="K70">
        <v>1.8639520000000001</v>
      </c>
      <c r="L70">
        <v>1.8853500000000001</v>
      </c>
      <c r="M70">
        <v>1.8944129999999999</v>
      </c>
      <c r="N70">
        <v>1.9029210000000001</v>
      </c>
      <c r="O70">
        <v>1.903011</v>
      </c>
      <c r="P70">
        <v>1.906512</v>
      </c>
      <c r="Q70">
        <v>1.919376</v>
      </c>
      <c r="R70">
        <v>1.9191320000000001</v>
      </c>
      <c r="S70">
        <v>1.918787</v>
      </c>
      <c r="T70">
        <v>1.9309780000000001</v>
      </c>
      <c r="U70">
        <v>1.9357610000000001</v>
      </c>
      <c r="V70">
        <v>1.9391910000000001</v>
      </c>
      <c r="W70">
        <v>1.946029</v>
      </c>
      <c r="X70">
        <v>1.941589</v>
      </c>
      <c r="Y70">
        <v>1.9392320000000001</v>
      </c>
      <c r="Z70">
        <v>1.920561</v>
      </c>
      <c r="AA70">
        <v>1.93841</v>
      </c>
      <c r="AB70">
        <v>1.9249719999999999</v>
      </c>
      <c r="AC70">
        <v>1.933335</v>
      </c>
      <c r="AD70">
        <v>1.9179520000000001</v>
      </c>
      <c r="AE70" t="s">
        <v>1081</v>
      </c>
    </row>
    <row r="71" spans="1:31" x14ac:dyDescent="0.25">
      <c r="A71" t="s">
        <v>736</v>
      </c>
      <c r="B71" t="s">
        <v>1748</v>
      </c>
      <c r="C71" t="s">
        <v>1749</v>
      </c>
      <c r="D71" t="s">
        <v>73</v>
      </c>
      <c r="E71">
        <v>1.3342339999999999</v>
      </c>
      <c r="F71">
        <v>1.3342339999999999</v>
      </c>
      <c r="G71">
        <v>1.210208</v>
      </c>
      <c r="H71">
        <v>1.2060310000000001</v>
      </c>
      <c r="I71">
        <v>1.2176940000000001</v>
      </c>
      <c r="J71">
        <v>1.2051099999999999</v>
      </c>
      <c r="K71">
        <v>1.2098450000000001</v>
      </c>
      <c r="L71">
        <v>1.2060340000000001</v>
      </c>
      <c r="M71">
        <v>1.1950810000000001</v>
      </c>
      <c r="N71">
        <v>1.199233</v>
      </c>
      <c r="O71">
        <v>1.207638</v>
      </c>
      <c r="P71">
        <v>1.2083820000000001</v>
      </c>
      <c r="Q71">
        <v>1.204121</v>
      </c>
      <c r="R71">
        <v>1.2097150000000001</v>
      </c>
      <c r="S71">
        <v>1.2023740000000001</v>
      </c>
      <c r="T71">
        <v>1.2097119999999999</v>
      </c>
      <c r="U71">
        <v>1.2109220000000001</v>
      </c>
      <c r="V71">
        <v>1.221255</v>
      </c>
      <c r="W71">
        <v>1.2377469999999999</v>
      </c>
      <c r="X71">
        <v>1.242556</v>
      </c>
      <c r="Y71">
        <v>1.2526790000000001</v>
      </c>
      <c r="Z71">
        <v>1.2542770000000001</v>
      </c>
      <c r="AA71">
        <v>1.2705109999999999</v>
      </c>
      <c r="AB71">
        <v>1.276778</v>
      </c>
      <c r="AC71">
        <v>1.2769470000000001</v>
      </c>
      <c r="AD71">
        <v>1.2938449999999999</v>
      </c>
      <c r="AE71" t="s">
        <v>1231</v>
      </c>
    </row>
    <row r="72" spans="1:31" x14ac:dyDescent="0.25">
      <c r="A72" t="s">
        <v>746</v>
      </c>
      <c r="B72" t="s">
        <v>1750</v>
      </c>
      <c r="C72" t="s">
        <v>1751</v>
      </c>
      <c r="D72" t="s">
        <v>73</v>
      </c>
      <c r="E72">
        <v>0.49619799999999997</v>
      </c>
      <c r="F72">
        <v>0.44923099999999999</v>
      </c>
      <c r="G72">
        <v>0.44540200000000002</v>
      </c>
      <c r="H72">
        <v>0.45036900000000002</v>
      </c>
      <c r="I72">
        <v>0.463343</v>
      </c>
      <c r="J72">
        <v>0.45800000000000002</v>
      </c>
      <c r="K72">
        <v>0.441687</v>
      </c>
      <c r="L72">
        <v>0.43721700000000002</v>
      </c>
      <c r="M72">
        <v>0.43926100000000001</v>
      </c>
      <c r="N72">
        <v>0.45725199999999999</v>
      </c>
      <c r="O72">
        <v>0.46283099999999999</v>
      </c>
      <c r="P72">
        <v>0.459901</v>
      </c>
      <c r="Q72">
        <v>0.47303699999999999</v>
      </c>
      <c r="R72">
        <v>0.47726299999999999</v>
      </c>
      <c r="S72">
        <v>0.47915400000000002</v>
      </c>
      <c r="T72">
        <v>0.47377999999999998</v>
      </c>
      <c r="U72">
        <v>0.47311900000000001</v>
      </c>
      <c r="V72">
        <v>0.46993699999999999</v>
      </c>
      <c r="W72">
        <v>0.47302100000000002</v>
      </c>
      <c r="X72">
        <v>0.48882500000000001</v>
      </c>
      <c r="Y72">
        <v>0.49483899999999997</v>
      </c>
      <c r="Z72">
        <v>0.49405700000000002</v>
      </c>
      <c r="AA72">
        <v>0.49583300000000002</v>
      </c>
      <c r="AB72">
        <v>0.49487799999999998</v>
      </c>
      <c r="AC72">
        <v>0.49449700000000002</v>
      </c>
      <c r="AD72">
        <v>0.49319800000000003</v>
      </c>
      <c r="AE72" t="s">
        <v>1426</v>
      </c>
    </row>
    <row r="73" spans="1:31" x14ac:dyDescent="0.25">
      <c r="A73" t="s">
        <v>309</v>
      </c>
      <c r="B73" t="s">
        <v>1752</v>
      </c>
      <c r="C73" t="s">
        <v>1753</v>
      </c>
      <c r="D73" t="s">
        <v>73</v>
      </c>
      <c r="E73">
        <v>0.124711</v>
      </c>
      <c r="F73">
        <v>0.124711</v>
      </c>
      <c r="G73">
        <v>0.124711</v>
      </c>
      <c r="H73">
        <v>0.124711</v>
      </c>
      <c r="I73">
        <v>0.124711</v>
      </c>
      <c r="J73">
        <v>0.124711</v>
      </c>
      <c r="K73">
        <v>0.124711</v>
      </c>
      <c r="L73">
        <v>0.124711</v>
      </c>
      <c r="M73">
        <v>0.124711</v>
      </c>
      <c r="N73">
        <v>0.124711</v>
      </c>
      <c r="O73">
        <v>0.124711</v>
      </c>
      <c r="P73">
        <v>0.124711</v>
      </c>
      <c r="Q73">
        <v>0.124711</v>
      </c>
      <c r="R73">
        <v>0.124711</v>
      </c>
      <c r="S73">
        <v>0.124711</v>
      </c>
      <c r="T73">
        <v>0.124711</v>
      </c>
      <c r="U73">
        <v>0.124711</v>
      </c>
      <c r="V73">
        <v>0.124711</v>
      </c>
      <c r="W73">
        <v>0.124711</v>
      </c>
      <c r="X73">
        <v>0.124711</v>
      </c>
      <c r="Y73">
        <v>0.124711</v>
      </c>
      <c r="Z73">
        <v>0.124711</v>
      </c>
      <c r="AA73">
        <v>0.124711</v>
      </c>
      <c r="AB73">
        <v>0.124711</v>
      </c>
      <c r="AC73">
        <v>0.124711</v>
      </c>
      <c r="AD73">
        <v>0.124711</v>
      </c>
      <c r="AE73" t="s">
        <v>1114</v>
      </c>
    </row>
    <row r="74" spans="1:31" x14ac:dyDescent="0.25">
      <c r="A74" t="s">
        <v>168</v>
      </c>
      <c r="B74" t="s">
        <v>1754</v>
      </c>
      <c r="C74" t="s">
        <v>1755</v>
      </c>
      <c r="D74" t="s">
        <v>73</v>
      </c>
      <c r="E74">
        <v>0.90891699999999997</v>
      </c>
      <c r="F74">
        <v>0.92460600000000004</v>
      </c>
      <c r="G74">
        <v>0.93709799999999999</v>
      </c>
      <c r="H74">
        <v>0.94168600000000002</v>
      </c>
      <c r="I74">
        <v>0.93855999999999995</v>
      </c>
      <c r="J74">
        <v>0.940195</v>
      </c>
      <c r="K74">
        <v>0.93708499999999995</v>
      </c>
      <c r="L74">
        <v>0.93595899999999999</v>
      </c>
      <c r="M74">
        <v>0.93459099999999995</v>
      </c>
      <c r="N74">
        <v>0.93672299999999997</v>
      </c>
      <c r="O74">
        <v>0.93835000000000002</v>
      </c>
      <c r="P74">
        <v>0.94456799999999996</v>
      </c>
      <c r="Q74">
        <v>0.94416800000000001</v>
      </c>
      <c r="R74">
        <v>0.94495200000000001</v>
      </c>
      <c r="S74">
        <v>0.94594599999999995</v>
      </c>
      <c r="T74">
        <v>0.94855500000000004</v>
      </c>
      <c r="U74">
        <v>0.95130800000000004</v>
      </c>
      <c r="V74">
        <v>0.961144</v>
      </c>
      <c r="W74">
        <v>0.96505399999999997</v>
      </c>
      <c r="X74">
        <v>0.96772100000000005</v>
      </c>
      <c r="Y74">
        <v>0.96853299999999998</v>
      </c>
      <c r="Z74">
        <v>0.96856500000000001</v>
      </c>
      <c r="AA74">
        <v>0.97285699999999997</v>
      </c>
      <c r="AB74">
        <v>0.97891799999999995</v>
      </c>
      <c r="AC74">
        <v>0.981626</v>
      </c>
      <c r="AD74">
        <v>0.98605500000000001</v>
      </c>
      <c r="AE74" t="s">
        <v>1161</v>
      </c>
    </row>
    <row r="75" spans="1:31" x14ac:dyDescent="0.25">
      <c r="A75" t="s">
        <v>289</v>
      </c>
      <c r="B75" t="s">
        <v>1756</v>
      </c>
      <c r="C75" t="s">
        <v>1757</v>
      </c>
      <c r="D75" t="s">
        <v>73</v>
      </c>
      <c r="E75">
        <v>0.18033099999999999</v>
      </c>
      <c r="F75">
        <v>0.18033099999999999</v>
      </c>
      <c r="G75">
        <v>0.165738</v>
      </c>
      <c r="H75">
        <v>0.16905899999999999</v>
      </c>
      <c r="I75">
        <v>0.17196500000000001</v>
      </c>
      <c r="J75">
        <v>0.175009</v>
      </c>
      <c r="K75">
        <v>0.17272799999999999</v>
      </c>
      <c r="L75">
        <v>0.173597</v>
      </c>
      <c r="M75">
        <v>0.173287</v>
      </c>
      <c r="N75">
        <v>0.17602999999999999</v>
      </c>
      <c r="O75">
        <v>0.177175</v>
      </c>
      <c r="P75">
        <v>0.17779800000000001</v>
      </c>
      <c r="Q75">
        <v>0.18012900000000001</v>
      </c>
      <c r="R75">
        <v>0.18126999999999999</v>
      </c>
      <c r="S75">
        <v>0.181501</v>
      </c>
      <c r="T75">
        <v>0.18222099999999999</v>
      </c>
      <c r="U75">
        <v>0.18331800000000001</v>
      </c>
      <c r="V75">
        <v>0.18476500000000001</v>
      </c>
      <c r="W75">
        <v>0.186448</v>
      </c>
      <c r="X75">
        <v>0.18817</v>
      </c>
      <c r="Y75">
        <v>0.18909200000000001</v>
      </c>
      <c r="Z75">
        <v>0.187366</v>
      </c>
      <c r="AA75">
        <v>0.18640699999999999</v>
      </c>
      <c r="AB75">
        <v>0.19031999999999999</v>
      </c>
      <c r="AC75">
        <v>0.19080900000000001</v>
      </c>
      <c r="AD75">
        <v>0.19075700000000001</v>
      </c>
      <c r="AE75" t="s">
        <v>1081</v>
      </c>
    </row>
    <row r="76" spans="1:31" x14ac:dyDescent="0.25">
      <c r="A76" t="s">
        <v>89</v>
      </c>
      <c r="B76" t="s">
        <v>1758</v>
      </c>
      <c r="C76" t="s">
        <v>1759</v>
      </c>
      <c r="D76" t="s">
        <v>73</v>
      </c>
      <c r="E76">
        <v>4.8519379999999996</v>
      </c>
      <c r="F76">
        <v>4.8366600000000002</v>
      </c>
      <c r="G76">
        <v>4.6756779999999996</v>
      </c>
      <c r="H76">
        <v>4.7338230000000001</v>
      </c>
      <c r="I76">
        <v>4.7717689999999999</v>
      </c>
      <c r="J76">
        <v>4.7808789999999997</v>
      </c>
      <c r="K76">
        <v>4.7500090000000004</v>
      </c>
      <c r="L76">
        <v>4.7628690000000002</v>
      </c>
      <c r="M76">
        <v>4.7613450000000004</v>
      </c>
      <c r="N76">
        <v>4.7968710000000003</v>
      </c>
      <c r="O76">
        <v>4.8137160000000003</v>
      </c>
      <c r="P76">
        <v>4.8218730000000001</v>
      </c>
      <c r="Q76">
        <v>4.845542</v>
      </c>
      <c r="R76">
        <v>4.857043</v>
      </c>
      <c r="S76">
        <v>4.852474</v>
      </c>
      <c r="T76">
        <v>4.8699579999999996</v>
      </c>
      <c r="U76">
        <v>4.8791390000000003</v>
      </c>
      <c r="V76">
        <v>4.9010030000000002</v>
      </c>
      <c r="W76">
        <v>4.9330090000000002</v>
      </c>
      <c r="X76">
        <v>4.9535720000000003</v>
      </c>
      <c r="Y76">
        <v>4.9690849999999998</v>
      </c>
      <c r="Z76">
        <v>4.9495370000000003</v>
      </c>
      <c r="AA76">
        <v>4.9887300000000003</v>
      </c>
      <c r="AB76">
        <v>4.990577</v>
      </c>
      <c r="AC76">
        <v>5.001925</v>
      </c>
      <c r="AD76">
        <v>5.0065169999999997</v>
      </c>
      <c r="AE76" t="s">
        <v>1125</v>
      </c>
    </row>
    <row r="77" spans="1:31" x14ac:dyDescent="0.25">
      <c r="A77" t="s">
        <v>92</v>
      </c>
      <c r="B77" t="s">
        <v>1760</v>
      </c>
      <c r="C77" t="s">
        <v>1761</v>
      </c>
      <c r="D77" t="s">
        <v>73</v>
      </c>
      <c r="E77">
        <v>0.24778500000000001</v>
      </c>
      <c r="F77">
        <v>0.24540300000000001</v>
      </c>
      <c r="G77">
        <v>0.20832200000000001</v>
      </c>
      <c r="H77">
        <v>0.20336599999999999</v>
      </c>
      <c r="I77">
        <v>0.202184</v>
      </c>
      <c r="J77">
        <v>0.202096</v>
      </c>
      <c r="K77">
        <v>0.193106</v>
      </c>
      <c r="L77">
        <v>0.19029299999999999</v>
      </c>
      <c r="M77">
        <v>0.187668</v>
      </c>
      <c r="N77">
        <v>0.18691199999999999</v>
      </c>
      <c r="O77">
        <v>0.18532399999999999</v>
      </c>
      <c r="P77">
        <v>0.18312200000000001</v>
      </c>
      <c r="Q77">
        <v>0.183693</v>
      </c>
      <c r="R77">
        <v>0.18348400000000001</v>
      </c>
      <c r="S77">
        <v>0.181979</v>
      </c>
      <c r="T77">
        <v>0.180533</v>
      </c>
      <c r="U77">
        <v>0.179483</v>
      </c>
      <c r="V77">
        <v>0.179646</v>
      </c>
      <c r="W77">
        <v>0.180253</v>
      </c>
      <c r="X77">
        <v>0.18096799999999999</v>
      </c>
      <c r="Y77">
        <v>0.18093000000000001</v>
      </c>
      <c r="Z77">
        <v>0.178452</v>
      </c>
      <c r="AA77">
        <v>0.176899</v>
      </c>
      <c r="AB77">
        <v>0.17993100000000001</v>
      </c>
      <c r="AC77">
        <v>0.179063</v>
      </c>
      <c r="AD77">
        <v>0.17825099999999999</v>
      </c>
      <c r="AE77" t="s">
        <v>1087</v>
      </c>
    </row>
    <row r="78" spans="1:31" x14ac:dyDescent="0.25">
      <c r="A78" t="s">
        <v>183</v>
      </c>
      <c r="B78" t="s">
        <v>1762</v>
      </c>
      <c r="C78" t="s">
        <v>1763</v>
      </c>
      <c r="D78" t="s">
        <v>73</v>
      </c>
      <c r="E78">
        <v>0.117563</v>
      </c>
      <c r="F78">
        <v>0.105847</v>
      </c>
      <c r="G78">
        <v>0.104222</v>
      </c>
      <c r="H78">
        <v>0.105213</v>
      </c>
      <c r="I78">
        <v>0.110526</v>
      </c>
      <c r="J78">
        <v>0.10911800000000001</v>
      </c>
      <c r="K78">
        <v>0.10448300000000001</v>
      </c>
      <c r="L78">
        <v>0.103186</v>
      </c>
      <c r="M78">
        <v>0.103492</v>
      </c>
      <c r="N78">
        <v>0.108122</v>
      </c>
      <c r="O78">
        <v>0.109191</v>
      </c>
      <c r="P78">
        <v>0.107943</v>
      </c>
      <c r="Q78">
        <v>0.109371</v>
      </c>
      <c r="R78">
        <v>0.10935400000000001</v>
      </c>
      <c r="S78">
        <v>0.109638</v>
      </c>
      <c r="T78">
        <v>0.108082</v>
      </c>
      <c r="U78">
        <v>0.106465</v>
      </c>
      <c r="V78">
        <v>0.105409</v>
      </c>
      <c r="W78">
        <v>0.10598299999999999</v>
      </c>
      <c r="X78">
        <v>0.109958</v>
      </c>
      <c r="Y78">
        <v>0.111433</v>
      </c>
      <c r="Z78">
        <v>0.111027</v>
      </c>
      <c r="AA78">
        <v>0.111281</v>
      </c>
      <c r="AB78">
        <v>0.110844</v>
      </c>
      <c r="AC78">
        <v>0.110615</v>
      </c>
      <c r="AD78">
        <v>0.110095</v>
      </c>
      <c r="AE78" t="s">
        <v>1084</v>
      </c>
    </row>
    <row r="79" spans="1:31" x14ac:dyDescent="0.25">
      <c r="A79" t="s">
        <v>95</v>
      </c>
      <c r="B79" t="s">
        <v>1764</v>
      </c>
      <c r="C79" t="s">
        <v>1765</v>
      </c>
      <c r="D79" t="s">
        <v>73</v>
      </c>
      <c r="E79">
        <v>5.2172859999999996</v>
      </c>
      <c r="F79">
        <v>5.1879109999999997</v>
      </c>
      <c r="G79">
        <v>4.9882220000000004</v>
      </c>
      <c r="H79">
        <v>5.0424020000000001</v>
      </c>
      <c r="I79">
        <v>5.084479</v>
      </c>
      <c r="J79">
        <v>5.0920920000000001</v>
      </c>
      <c r="K79">
        <v>5.0475969999999997</v>
      </c>
      <c r="L79">
        <v>5.0563469999999997</v>
      </c>
      <c r="M79">
        <v>5.052505</v>
      </c>
      <c r="N79">
        <v>5.0919049999999997</v>
      </c>
      <c r="O79">
        <v>5.108231</v>
      </c>
      <c r="P79">
        <v>5.1129379999999998</v>
      </c>
      <c r="Q79">
        <v>5.1386060000000002</v>
      </c>
      <c r="R79">
        <v>5.1498809999999997</v>
      </c>
      <c r="S79">
        <v>5.1440910000000004</v>
      </c>
      <c r="T79">
        <v>5.1585720000000004</v>
      </c>
      <c r="U79">
        <v>5.1650869999999998</v>
      </c>
      <c r="V79">
        <v>5.1860580000000001</v>
      </c>
      <c r="W79">
        <v>5.2192449999999999</v>
      </c>
      <c r="X79">
        <v>5.244497</v>
      </c>
      <c r="Y79">
        <v>5.2614489999999998</v>
      </c>
      <c r="Z79">
        <v>5.2390160000000003</v>
      </c>
      <c r="AA79">
        <v>5.2769089999999998</v>
      </c>
      <c r="AB79">
        <v>5.281352</v>
      </c>
      <c r="AC79">
        <v>5.2916030000000003</v>
      </c>
      <c r="AD79">
        <v>5.2948630000000003</v>
      </c>
      <c r="AE79" t="s">
        <v>1125</v>
      </c>
    </row>
    <row r="80" spans="1:31" x14ac:dyDescent="0.25">
      <c r="A80" t="s">
        <v>803</v>
      </c>
    </row>
    <row r="81" spans="1:31" x14ac:dyDescent="0.25">
      <c r="A81" t="s">
        <v>736</v>
      </c>
      <c r="B81" t="s">
        <v>1766</v>
      </c>
      <c r="C81" t="s">
        <v>1767</v>
      </c>
      <c r="D81" t="s">
        <v>73</v>
      </c>
      <c r="E81">
        <v>0.17896000000000001</v>
      </c>
      <c r="F81">
        <v>0.16538900000000001</v>
      </c>
      <c r="G81">
        <v>0.16419400000000001</v>
      </c>
      <c r="H81">
        <v>0.16499800000000001</v>
      </c>
      <c r="I81">
        <v>0.16826099999999999</v>
      </c>
      <c r="J81">
        <v>0.167684</v>
      </c>
      <c r="K81">
        <v>0.16500000000000001</v>
      </c>
      <c r="L81">
        <v>0.16442200000000001</v>
      </c>
      <c r="M81">
        <v>0.165048</v>
      </c>
      <c r="N81">
        <v>0.16938900000000001</v>
      </c>
      <c r="O81">
        <v>0.17075000000000001</v>
      </c>
      <c r="P81">
        <v>0.170794</v>
      </c>
      <c r="Q81">
        <v>0.17424000000000001</v>
      </c>
      <c r="R81">
        <v>0.17572199999999999</v>
      </c>
      <c r="S81">
        <v>0.17682800000000001</v>
      </c>
      <c r="T81">
        <v>0.176513</v>
      </c>
      <c r="U81">
        <v>0.177094</v>
      </c>
      <c r="V81">
        <v>0.177342</v>
      </c>
      <c r="W81">
        <v>0.17877899999999999</v>
      </c>
      <c r="X81">
        <v>0.18310199999999999</v>
      </c>
      <c r="Y81">
        <v>0.185755</v>
      </c>
      <c r="Z81">
        <v>0.18665200000000001</v>
      </c>
      <c r="AA81">
        <v>0.188303</v>
      </c>
      <c r="AB81">
        <v>0.18917100000000001</v>
      </c>
      <c r="AC81">
        <v>0.18989400000000001</v>
      </c>
      <c r="AD81">
        <v>0.19061900000000001</v>
      </c>
      <c r="AE81" t="s">
        <v>1161</v>
      </c>
    </row>
    <row r="82" spans="1:31" x14ac:dyDescent="0.25">
      <c r="A82" t="s">
        <v>739</v>
      </c>
      <c r="B82" t="s">
        <v>1768</v>
      </c>
      <c r="C82" t="s">
        <v>1769</v>
      </c>
      <c r="D82" t="s">
        <v>73</v>
      </c>
      <c r="E82">
        <v>0.87374399999999997</v>
      </c>
      <c r="F82">
        <v>0.80748799999999998</v>
      </c>
      <c r="G82">
        <v>0.80165500000000001</v>
      </c>
      <c r="H82">
        <v>0.80557800000000002</v>
      </c>
      <c r="I82">
        <v>0.82151099999999999</v>
      </c>
      <c r="J82">
        <v>0.818693</v>
      </c>
      <c r="K82">
        <v>0.80558600000000002</v>
      </c>
      <c r="L82">
        <v>0.80276700000000001</v>
      </c>
      <c r="M82">
        <v>0.80581999999999998</v>
      </c>
      <c r="N82">
        <v>0.82701899999999995</v>
      </c>
      <c r="O82">
        <v>0.83366300000000004</v>
      </c>
      <c r="P82">
        <v>0.83387800000000001</v>
      </c>
      <c r="Q82">
        <v>0.85070100000000004</v>
      </c>
      <c r="R82">
        <v>0.85793699999999995</v>
      </c>
      <c r="S82">
        <v>0.86333800000000005</v>
      </c>
      <c r="T82">
        <v>0.86179799999999995</v>
      </c>
      <c r="U82">
        <v>0.86463400000000001</v>
      </c>
      <c r="V82">
        <v>0.86584499999999998</v>
      </c>
      <c r="W82">
        <v>0.87285999999999997</v>
      </c>
      <c r="X82">
        <v>0.89396900000000001</v>
      </c>
      <c r="Y82">
        <v>0.90692200000000001</v>
      </c>
      <c r="Z82">
        <v>0.91130299999999997</v>
      </c>
      <c r="AA82">
        <v>0.91936200000000001</v>
      </c>
      <c r="AB82">
        <v>0.92359800000000003</v>
      </c>
      <c r="AC82">
        <v>0.92713199999999996</v>
      </c>
      <c r="AD82">
        <v>0.93066800000000005</v>
      </c>
      <c r="AE82" t="s">
        <v>1161</v>
      </c>
    </row>
    <row r="83" spans="1:31" x14ac:dyDescent="0.25">
      <c r="A83" t="s">
        <v>153</v>
      </c>
      <c r="B83" t="s">
        <v>1770</v>
      </c>
      <c r="C83" t="s">
        <v>1771</v>
      </c>
      <c r="D83" t="s">
        <v>73</v>
      </c>
      <c r="E83">
        <v>1.0527029999999999</v>
      </c>
      <c r="F83">
        <v>0.97287800000000002</v>
      </c>
      <c r="G83">
        <v>0.96584899999999996</v>
      </c>
      <c r="H83">
        <v>0.97057599999999999</v>
      </c>
      <c r="I83">
        <v>0.98977300000000001</v>
      </c>
      <c r="J83">
        <v>0.98637699999999995</v>
      </c>
      <c r="K83">
        <v>0.97058599999999995</v>
      </c>
      <c r="L83">
        <v>0.96718899999999997</v>
      </c>
      <c r="M83">
        <v>0.97086799999999995</v>
      </c>
      <c r="N83">
        <v>0.99640899999999999</v>
      </c>
      <c r="O83">
        <v>1.004413</v>
      </c>
      <c r="P83">
        <v>1.0046729999999999</v>
      </c>
      <c r="Q83">
        <v>1.0249410000000001</v>
      </c>
      <c r="R83">
        <v>1.0336590000000001</v>
      </c>
      <c r="S83">
        <v>1.0401659999999999</v>
      </c>
      <c r="T83">
        <v>1.0383100000000001</v>
      </c>
      <c r="U83">
        <v>1.041728</v>
      </c>
      <c r="V83">
        <v>1.0431870000000001</v>
      </c>
      <c r="W83">
        <v>1.051639</v>
      </c>
      <c r="X83">
        <v>1.0770709999999999</v>
      </c>
      <c r="Y83">
        <v>1.0926769999999999</v>
      </c>
      <c r="Z83">
        <v>1.097955</v>
      </c>
      <c r="AA83">
        <v>1.1076649999999999</v>
      </c>
      <c r="AB83">
        <v>1.1127689999999999</v>
      </c>
      <c r="AC83">
        <v>1.1170260000000001</v>
      </c>
      <c r="AD83">
        <v>1.1212869999999999</v>
      </c>
      <c r="AE83" t="s">
        <v>1161</v>
      </c>
    </row>
    <row r="84" spans="1:31" x14ac:dyDescent="0.25">
      <c r="A84" t="s">
        <v>289</v>
      </c>
      <c r="B84" t="s">
        <v>1772</v>
      </c>
      <c r="C84" t="s">
        <v>1773</v>
      </c>
      <c r="D84" t="s">
        <v>73</v>
      </c>
      <c r="E84">
        <v>4.2319999999999997E-3</v>
      </c>
      <c r="F84">
        <v>8.7010000000000004E-3</v>
      </c>
      <c r="G84">
        <v>9.0629999999999999E-3</v>
      </c>
      <c r="H84">
        <v>7.7340000000000004E-3</v>
      </c>
      <c r="I84">
        <v>1.0198E-2</v>
      </c>
      <c r="J84">
        <v>1.061E-2</v>
      </c>
      <c r="K84">
        <v>9.5379999999999996E-3</v>
      </c>
      <c r="L84">
        <v>8.9130000000000008E-3</v>
      </c>
      <c r="M84">
        <v>8.8929999999999999E-3</v>
      </c>
      <c r="N84">
        <v>9.0139999999999994E-3</v>
      </c>
      <c r="O84">
        <v>9.0889999999999999E-3</v>
      </c>
      <c r="P84">
        <v>8.5620000000000002E-3</v>
      </c>
      <c r="Q84">
        <v>7.1970000000000003E-3</v>
      </c>
      <c r="R84">
        <v>5.2649999999999997E-3</v>
      </c>
      <c r="S84">
        <v>5.2810000000000001E-3</v>
      </c>
      <c r="T84">
        <v>5.2760000000000003E-3</v>
      </c>
      <c r="U84">
        <v>2.64E-3</v>
      </c>
      <c r="V84">
        <v>2.6440000000000001E-3</v>
      </c>
      <c r="W84">
        <v>2.666E-3</v>
      </c>
      <c r="X84">
        <v>2.7299999999999998E-3</v>
      </c>
      <c r="Y84">
        <v>2.7699999999999999E-3</v>
      </c>
      <c r="Z84">
        <v>2.7829999999999999E-3</v>
      </c>
      <c r="AA84">
        <v>2.8080000000000002E-3</v>
      </c>
      <c r="AB84">
        <v>2.82E-3</v>
      </c>
      <c r="AC84">
        <v>2.8310000000000002E-3</v>
      </c>
      <c r="AD84">
        <v>2.8419999999999999E-3</v>
      </c>
      <c r="AE84" t="s">
        <v>1326</v>
      </c>
    </row>
    <row r="85" spans="1:31" x14ac:dyDescent="0.25">
      <c r="A85" t="s">
        <v>338</v>
      </c>
      <c r="B85" t="s">
        <v>1772</v>
      </c>
      <c r="C85" t="s">
        <v>1774</v>
      </c>
      <c r="D85" t="s">
        <v>73</v>
      </c>
      <c r="E85">
        <v>0.27188499999999999</v>
      </c>
      <c r="F85">
        <v>0.27703299999999997</v>
      </c>
      <c r="G85">
        <v>0.280171</v>
      </c>
      <c r="H85">
        <v>0.278806</v>
      </c>
      <c r="I85">
        <v>0.27432099999999998</v>
      </c>
      <c r="J85">
        <v>0.27438400000000002</v>
      </c>
      <c r="K85">
        <v>0.27544999999999997</v>
      </c>
      <c r="L85">
        <v>0.27583600000000003</v>
      </c>
      <c r="M85">
        <v>0.27795999999999998</v>
      </c>
      <c r="N85">
        <v>0.279312</v>
      </c>
      <c r="O85">
        <v>0.28308299999999997</v>
      </c>
      <c r="P85">
        <v>0.28569600000000001</v>
      </c>
      <c r="Q85">
        <v>0.286439</v>
      </c>
      <c r="R85">
        <v>0.28953499999999999</v>
      </c>
      <c r="S85">
        <v>0.29254799999999997</v>
      </c>
      <c r="T85">
        <v>0.29529499999999997</v>
      </c>
      <c r="U85">
        <v>0.29938500000000001</v>
      </c>
      <c r="V85">
        <v>0.30315700000000001</v>
      </c>
      <c r="W85">
        <v>0.30692199999999997</v>
      </c>
      <c r="X85">
        <v>0.30974000000000002</v>
      </c>
      <c r="Y85">
        <v>0.312859</v>
      </c>
      <c r="Z85">
        <v>0.31680999999999998</v>
      </c>
      <c r="AA85">
        <v>0.32098599999999999</v>
      </c>
      <c r="AB85">
        <v>0.32468000000000002</v>
      </c>
      <c r="AC85">
        <v>0.32730900000000002</v>
      </c>
      <c r="AD85">
        <v>0.33086599999999999</v>
      </c>
      <c r="AE85" t="s">
        <v>1142</v>
      </c>
    </row>
    <row r="86" spans="1:31" x14ac:dyDescent="0.25">
      <c r="A86" t="s">
        <v>89</v>
      </c>
      <c r="B86" t="s">
        <v>1775</v>
      </c>
      <c r="C86" t="s">
        <v>1776</v>
      </c>
      <c r="D86" t="s">
        <v>73</v>
      </c>
      <c r="E86">
        <v>1.328821</v>
      </c>
      <c r="F86">
        <v>1.2586120000000001</v>
      </c>
      <c r="G86">
        <v>1.2550829999999999</v>
      </c>
      <c r="H86">
        <v>1.2571159999999999</v>
      </c>
      <c r="I86">
        <v>1.274292</v>
      </c>
      <c r="J86">
        <v>1.271371</v>
      </c>
      <c r="K86">
        <v>1.255574</v>
      </c>
      <c r="L86">
        <v>1.251938</v>
      </c>
      <c r="M86">
        <v>1.2577199999999999</v>
      </c>
      <c r="N86">
        <v>1.284734</v>
      </c>
      <c r="O86">
        <v>1.2965850000000001</v>
      </c>
      <c r="P86">
        <v>1.2989310000000001</v>
      </c>
      <c r="Q86">
        <v>1.3185770000000001</v>
      </c>
      <c r="R86">
        <v>1.3284590000000001</v>
      </c>
      <c r="S86">
        <v>1.337996</v>
      </c>
      <c r="T86">
        <v>1.3388819999999999</v>
      </c>
      <c r="U86">
        <v>1.3437539999999999</v>
      </c>
      <c r="V86">
        <v>1.3489880000000001</v>
      </c>
      <c r="W86">
        <v>1.361227</v>
      </c>
      <c r="X86">
        <v>1.3895409999999999</v>
      </c>
      <c r="Y86">
        <v>1.4083049999999999</v>
      </c>
      <c r="Z86">
        <v>1.417548</v>
      </c>
      <c r="AA86">
        <v>1.4314579999999999</v>
      </c>
      <c r="AB86">
        <v>1.4402699999999999</v>
      </c>
      <c r="AC86">
        <v>1.4471670000000001</v>
      </c>
      <c r="AD86">
        <v>1.454996</v>
      </c>
      <c r="AE86" t="s">
        <v>1111</v>
      </c>
    </row>
    <row r="87" spans="1:31" x14ac:dyDescent="0.25">
      <c r="A87" t="s">
        <v>92</v>
      </c>
      <c r="B87" t="s">
        <v>1777</v>
      </c>
      <c r="C87" t="s">
        <v>1778</v>
      </c>
      <c r="D87" t="s">
        <v>73</v>
      </c>
      <c r="E87">
        <v>5.8149999999999999E-3</v>
      </c>
      <c r="F87">
        <v>1.1841000000000001E-2</v>
      </c>
      <c r="G87">
        <v>1.1391E-2</v>
      </c>
      <c r="H87">
        <v>9.3030000000000005E-3</v>
      </c>
      <c r="I87">
        <v>1.1990000000000001E-2</v>
      </c>
      <c r="J87">
        <v>1.2252000000000001E-2</v>
      </c>
      <c r="K87">
        <v>1.0663000000000001E-2</v>
      </c>
      <c r="L87">
        <v>9.7699999999999992E-3</v>
      </c>
      <c r="M87">
        <v>9.6310000000000007E-3</v>
      </c>
      <c r="N87">
        <v>9.5709999999999996E-3</v>
      </c>
      <c r="O87">
        <v>9.5069999999999998E-3</v>
      </c>
      <c r="P87">
        <v>8.8190000000000004E-3</v>
      </c>
      <c r="Q87">
        <v>7.3400000000000002E-3</v>
      </c>
      <c r="R87">
        <v>5.3290000000000004E-3</v>
      </c>
      <c r="S87">
        <v>5.2950000000000002E-3</v>
      </c>
      <c r="T87">
        <v>5.228E-3</v>
      </c>
      <c r="U87">
        <v>2.5850000000000001E-3</v>
      </c>
      <c r="V87">
        <v>2.5709999999999999E-3</v>
      </c>
      <c r="W87">
        <v>2.5769999999999999E-3</v>
      </c>
      <c r="X87">
        <v>2.6250000000000002E-3</v>
      </c>
      <c r="Y87">
        <v>2.65E-3</v>
      </c>
      <c r="Z87">
        <v>2.65E-3</v>
      </c>
      <c r="AA87">
        <v>2.6640000000000001E-3</v>
      </c>
      <c r="AB87">
        <v>2.666E-3</v>
      </c>
      <c r="AC87">
        <v>2.6570000000000001E-3</v>
      </c>
      <c r="AD87">
        <v>2.6559999999999999E-3</v>
      </c>
      <c r="AE87" t="s">
        <v>1333</v>
      </c>
    </row>
    <row r="88" spans="1:31" x14ac:dyDescent="0.25">
      <c r="A88" t="s">
        <v>95</v>
      </c>
      <c r="B88" t="s">
        <v>1779</v>
      </c>
      <c r="C88" t="s">
        <v>1780</v>
      </c>
      <c r="D88" t="s">
        <v>73</v>
      </c>
      <c r="E88">
        <v>1.3346359999999999</v>
      </c>
      <c r="F88">
        <v>1.2704530000000001</v>
      </c>
      <c r="G88">
        <v>1.2664740000000001</v>
      </c>
      <c r="H88">
        <v>1.2664200000000001</v>
      </c>
      <c r="I88">
        <v>1.2862819999999999</v>
      </c>
      <c r="J88">
        <v>1.2836240000000001</v>
      </c>
      <c r="K88">
        <v>1.2662359999999999</v>
      </c>
      <c r="L88">
        <v>1.2617080000000001</v>
      </c>
      <c r="M88">
        <v>1.2673509999999999</v>
      </c>
      <c r="N88">
        <v>1.294306</v>
      </c>
      <c r="O88">
        <v>1.306092</v>
      </c>
      <c r="P88">
        <v>1.3077490000000001</v>
      </c>
      <c r="Q88">
        <v>1.325917</v>
      </c>
      <c r="R88">
        <v>1.333788</v>
      </c>
      <c r="S88">
        <v>1.343291</v>
      </c>
      <c r="T88">
        <v>1.344109</v>
      </c>
      <c r="U88">
        <v>1.346339</v>
      </c>
      <c r="V88">
        <v>1.351559</v>
      </c>
      <c r="W88">
        <v>1.363804</v>
      </c>
      <c r="X88">
        <v>1.392166</v>
      </c>
      <c r="Y88">
        <v>1.410955</v>
      </c>
      <c r="Z88">
        <v>1.420199</v>
      </c>
      <c r="AA88">
        <v>1.4341219999999999</v>
      </c>
      <c r="AB88">
        <v>1.442936</v>
      </c>
      <c r="AC88">
        <v>1.4498230000000001</v>
      </c>
      <c r="AD88">
        <v>1.457651</v>
      </c>
      <c r="AE88" t="s">
        <v>1111</v>
      </c>
    </row>
    <row r="89" spans="1:31" x14ac:dyDescent="0.25">
      <c r="A89" t="s">
        <v>818</v>
      </c>
    </row>
    <row r="90" spans="1:31" x14ac:dyDescent="0.25">
      <c r="A90" t="s">
        <v>698</v>
      </c>
      <c r="B90" t="s">
        <v>1781</v>
      </c>
      <c r="C90" t="s">
        <v>1782</v>
      </c>
      <c r="D90" t="s">
        <v>73</v>
      </c>
      <c r="E90">
        <v>0.13255500000000001</v>
      </c>
      <c r="F90">
        <v>3.4223000000000003E-2</v>
      </c>
      <c r="G90">
        <v>0.18258099999999999</v>
      </c>
      <c r="H90">
        <v>0.18074299999999999</v>
      </c>
      <c r="I90">
        <v>0.180365</v>
      </c>
      <c r="J90">
        <v>0.18123800000000001</v>
      </c>
      <c r="K90">
        <v>0.18112200000000001</v>
      </c>
      <c r="L90">
        <v>0.18845100000000001</v>
      </c>
      <c r="M90">
        <v>0.186918</v>
      </c>
      <c r="N90">
        <v>0.187642</v>
      </c>
      <c r="O90">
        <v>0.188551</v>
      </c>
      <c r="P90">
        <v>0.189361</v>
      </c>
      <c r="Q90">
        <v>0.19261900000000001</v>
      </c>
      <c r="R90">
        <v>0.19562499999999999</v>
      </c>
      <c r="S90">
        <v>0.19803799999999999</v>
      </c>
      <c r="T90">
        <v>0.19953199999999999</v>
      </c>
      <c r="U90">
        <v>0.19942299999999999</v>
      </c>
      <c r="V90">
        <v>0.19977</v>
      </c>
      <c r="W90">
        <v>0.199908</v>
      </c>
      <c r="X90">
        <v>0.20016900000000001</v>
      </c>
      <c r="Y90">
        <v>0.200928</v>
      </c>
      <c r="Z90">
        <v>0.201934</v>
      </c>
      <c r="AA90">
        <v>0.20294000000000001</v>
      </c>
      <c r="AB90">
        <v>0.203759</v>
      </c>
      <c r="AC90">
        <v>0.20457400000000001</v>
      </c>
      <c r="AD90">
        <v>0.20558199999999999</v>
      </c>
      <c r="AE90" t="s">
        <v>1429</v>
      </c>
    </row>
    <row r="91" spans="1:31" x14ac:dyDescent="0.25">
      <c r="A91" t="s">
        <v>701</v>
      </c>
      <c r="B91" t="s">
        <v>1783</v>
      </c>
      <c r="C91" t="s">
        <v>1784</v>
      </c>
      <c r="D91" t="s">
        <v>73</v>
      </c>
      <c r="E91">
        <v>3.5296029999999998</v>
      </c>
      <c r="F91">
        <v>3.5856029999999999</v>
      </c>
      <c r="G91">
        <v>3.6324019999999999</v>
      </c>
      <c r="H91">
        <v>3.5232060000000001</v>
      </c>
      <c r="I91">
        <v>3.4478960000000001</v>
      </c>
      <c r="J91">
        <v>3.438571</v>
      </c>
      <c r="K91">
        <v>3.4691130000000001</v>
      </c>
      <c r="L91">
        <v>3.4869460000000001</v>
      </c>
      <c r="M91">
        <v>3.5236399999999999</v>
      </c>
      <c r="N91">
        <v>3.5635680000000001</v>
      </c>
      <c r="O91">
        <v>3.609877</v>
      </c>
      <c r="P91">
        <v>3.6672880000000001</v>
      </c>
      <c r="Q91">
        <v>3.7097549999999999</v>
      </c>
      <c r="R91">
        <v>3.7540019999999998</v>
      </c>
      <c r="S91">
        <v>3.8297639999999999</v>
      </c>
      <c r="T91">
        <v>3.897878</v>
      </c>
      <c r="U91">
        <v>3.974275</v>
      </c>
      <c r="V91">
        <v>4.0628880000000001</v>
      </c>
      <c r="W91">
        <v>4.1451089999999997</v>
      </c>
      <c r="X91">
        <v>4.2281089999999999</v>
      </c>
      <c r="Y91">
        <v>4.318028</v>
      </c>
      <c r="Z91">
        <v>4.4086360000000004</v>
      </c>
      <c r="AA91">
        <v>4.5085379999999997</v>
      </c>
      <c r="AB91">
        <v>4.5970839999999997</v>
      </c>
      <c r="AC91">
        <v>4.6595639999999996</v>
      </c>
      <c r="AD91">
        <v>4.7461640000000003</v>
      </c>
      <c r="AE91" t="s">
        <v>1095</v>
      </c>
    </row>
    <row r="92" spans="1:31" s="32" customFormat="1" x14ac:dyDescent="0.25">
      <c r="A92" s="32" t="s">
        <v>101</v>
      </c>
      <c r="B92" s="32" t="s">
        <v>1785</v>
      </c>
      <c r="C92" s="32" t="s">
        <v>1786</v>
      </c>
      <c r="D92" s="32" t="s">
        <v>73</v>
      </c>
      <c r="E92" s="32">
        <v>0.27413399999999999</v>
      </c>
      <c r="F92" s="32">
        <v>0.27287699999999998</v>
      </c>
      <c r="G92" s="32">
        <v>0.27489799999999998</v>
      </c>
      <c r="H92" s="32">
        <v>0.27842299999999998</v>
      </c>
      <c r="I92" s="32">
        <v>0.28192600000000001</v>
      </c>
      <c r="J92" s="32">
        <v>0.28687800000000002</v>
      </c>
      <c r="K92" s="32">
        <v>0.29105300000000001</v>
      </c>
      <c r="L92" s="32">
        <v>0.29522399999999999</v>
      </c>
      <c r="M92" s="32">
        <v>0.298205</v>
      </c>
      <c r="N92" s="32">
        <v>0.30177999999999999</v>
      </c>
      <c r="O92" s="32">
        <v>0.30479899999999999</v>
      </c>
      <c r="P92" s="32">
        <v>0.30763299999999999</v>
      </c>
      <c r="Q92" s="32">
        <v>0.31031599999999998</v>
      </c>
      <c r="R92" s="32">
        <v>0.31283899999999998</v>
      </c>
      <c r="S92" s="32">
        <v>0.31540099999999999</v>
      </c>
      <c r="T92" s="32">
        <v>0.31799899999999998</v>
      </c>
      <c r="U92" s="32">
        <v>0.32068799999999997</v>
      </c>
      <c r="V92" s="32">
        <v>0.32321499999999997</v>
      </c>
      <c r="W92" s="32">
        <v>0.32565499999999997</v>
      </c>
      <c r="X92" s="32">
        <v>0.32794499999999999</v>
      </c>
      <c r="Y92" s="32">
        <v>0.33061299999999999</v>
      </c>
      <c r="Z92" s="32">
        <v>0.333403</v>
      </c>
      <c r="AA92" s="32">
        <v>0.336337</v>
      </c>
      <c r="AB92" s="32">
        <v>0.33894800000000003</v>
      </c>
      <c r="AC92" s="32">
        <v>0.341414</v>
      </c>
      <c r="AD92" s="32">
        <v>0.34381</v>
      </c>
      <c r="AE92" s="32" t="s">
        <v>1130</v>
      </c>
    </row>
    <row r="93" spans="1:31" x14ac:dyDescent="0.25">
      <c r="A93" t="s">
        <v>74</v>
      </c>
      <c r="B93" t="s">
        <v>1787</v>
      </c>
      <c r="C93" t="s">
        <v>1788</v>
      </c>
      <c r="D93" t="s">
        <v>73</v>
      </c>
      <c r="E93">
        <v>1.161135</v>
      </c>
      <c r="F93">
        <v>1.1614439999999999</v>
      </c>
      <c r="G93">
        <v>1.1620109999999999</v>
      </c>
      <c r="H93">
        <v>1.1685129999999999</v>
      </c>
      <c r="I93">
        <v>1.1798219999999999</v>
      </c>
      <c r="J93">
        <v>1.1966779999999999</v>
      </c>
      <c r="K93">
        <v>1.2089000000000001</v>
      </c>
      <c r="L93">
        <v>1.2281249999999999</v>
      </c>
      <c r="M93">
        <v>1.237822</v>
      </c>
      <c r="N93">
        <v>1.2493080000000001</v>
      </c>
      <c r="O93">
        <v>1.260567</v>
      </c>
      <c r="P93">
        <v>1.2706280000000001</v>
      </c>
      <c r="Q93">
        <v>1.2818350000000001</v>
      </c>
      <c r="R93">
        <v>1.2923880000000001</v>
      </c>
      <c r="S93">
        <v>1.302165</v>
      </c>
      <c r="T93">
        <v>1.31047</v>
      </c>
      <c r="U93">
        <v>1.317658</v>
      </c>
      <c r="V93">
        <v>1.325369</v>
      </c>
      <c r="W93">
        <v>1.3326370000000001</v>
      </c>
      <c r="X93">
        <v>1.3399160000000001</v>
      </c>
      <c r="Y93">
        <v>1.3495239999999999</v>
      </c>
      <c r="Z93">
        <v>1.3595330000000001</v>
      </c>
      <c r="AA93">
        <v>1.3698250000000001</v>
      </c>
      <c r="AB93">
        <v>1.3789229999999999</v>
      </c>
      <c r="AC93">
        <v>1.387899</v>
      </c>
      <c r="AD93">
        <v>1.396855</v>
      </c>
      <c r="AE93" t="s">
        <v>1106</v>
      </c>
    </row>
    <row r="94" spans="1:31" s="32" customFormat="1" x14ac:dyDescent="0.25">
      <c r="A94" s="32" t="s">
        <v>109</v>
      </c>
      <c r="B94" s="32" t="s">
        <v>1789</v>
      </c>
      <c r="C94" s="32" t="s">
        <v>1790</v>
      </c>
      <c r="D94" s="32" t="s">
        <v>73</v>
      </c>
      <c r="E94" s="32">
        <v>4.0876000000000003E-2</v>
      </c>
      <c r="F94" s="32">
        <v>3.9529000000000002E-2</v>
      </c>
      <c r="G94" s="32">
        <v>3.5321999999999999E-2</v>
      </c>
      <c r="H94" s="32">
        <v>3.4547000000000001E-2</v>
      </c>
      <c r="I94" s="32">
        <v>3.3736000000000002E-2</v>
      </c>
      <c r="J94" s="32">
        <v>3.4748000000000001E-2</v>
      </c>
      <c r="K94" s="32">
        <v>3.39E-2</v>
      </c>
      <c r="L94" s="32">
        <v>3.4136E-2</v>
      </c>
      <c r="M94" s="32">
        <v>3.3707000000000001E-2</v>
      </c>
      <c r="N94" s="32">
        <v>3.3752999999999998E-2</v>
      </c>
      <c r="O94" s="32">
        <v>3.3499000000000001E-2</v>
      </c>
      <c r="P94" s="32">
        <v>3.3284000000000001E-2</v>
      </c>
      <c r="Q94" s="32">
        <v>3.3024999999999999E-2</v>
      </c>
      <c r="R94" s="32">
        <v>3.2672E-2</v>
      </c>
      <c r="S94" s="32">
        <v>3.2559999999999999E-2</v>
      </c>
      <c r="T94" s="32">
        <v>3.2231000000000003E-2</v>
      </c>
      <c r="U94" s="32">
        <v>3.1565999999999997E-2</v>
      </c>
      <c r="V94" s="32">
        <v>3.0664E-2</v>
      </c>
      <c r="W94" s="32">
        <v>2.9574E-2</v>
      </c>
      <c r="X94" s="32">
        <v>2.8497000000000001E-2</v>
      </c>
      <c r="Y94" s="32">
        <v>2.7718E-2</v>
      </c>
      <c r="Z94" s="32">
        <v>2.7413E-2</v>
      </c>
      <c r="AA94" s="32">
        <v>2.7217999999999999E-2</v>
      </c>
      <c r="AB94" s="32">
        <v>2.6842999999999999E-2</v>
      </c>
      <c r="AC94" s="32">
        <v>2.6571999999999998E-2</v>
      </c>
      <c r="AD94" s="32">
        <v>2.6395999999999999E-2</v>
      </c>
      <c r="AE94" s="32" t="s">
        <v>1135</v>
      </c>
    </row>
    <row r="95" spans="1:31" x14ac:dyDescent="0.25">
      <c r="A95" t="s">
        <v>140</v>
      </c>
      <c r="B95" t="s">
        <v>1791</v>
      </c>
      <c r="C95" t="s">
        <v>1792</v>
      </c>
      <c r="D95" t="s">
        <v>73</v>
      </c>
      <c r="E95">
        <v>0.41293400000000002</v>
      </c>
      <c r="F95">
        <v>0.33813799999999999</v>
      </c>
      <c r="G95">
        <v>0.34820000000000001</v>
      </c>
      <c r="H95">
        <v>0.55000000000000004</v>
      </c>
      <c r="I95">
        <v>0.55000000000000004</v>
      </c>
      <c r="J95">
        <v>0.55000000000000004</v>
      </c>
      <c r="K95">
        <v>0.55000000000000004</v>
      </c>
      <c r="L95">
        <v>0.55000000000000004</v>
      </c>
      <c r="M95">
        <v>0.55000000000000004</v>
      </c>
      <c r="N95">
        <v>0.55000000000000004</v>
      </c>
      <c r="O95">
        <v>0.55000000000000004</v>
      </c>
      <c r="P95">
        <v>0.55000000000000004</v>
      </c>
      <c r="Q95">
        <v>0.55000000000000004</v>
      </c>
      <c r="R95">
        <v>0.55000000000000004</v>
      </c>
      <c r="S95">
        <v>0.55000000000000004</v>
      </c>
      <c r="T95">
        <v>0.55000000000000004</v>
      </c>
      <c r="U95">
        <v>0.55000000000000004</v>
      </c>
      <c r="V95">
        <v>0.55000000000000004</v>
      </c>
      <c r="W95">
        <v>0.55000000000000004</v>
      </c>
      <c r="X95">
        <v>0.55000000000000004</v>
      </c>
      <c r="Y95">
        <v>0.55000000000000004</v>
      </c>
      <c r="Z95">
        <v>0.55000000000000004</v>
      </c>
      <c r="AA95">
        <v>0.55000000000000004</v>
      </c>
      <c r="AB95">
        <v>0.55000000000000004</v>
      </c>
      <c r="AC95">
        <v>0.55000000000000004</v>
      </c>
      <c r="AD95">
        <v>0.55000000000000004</v>
      </c>
      <c r="AE95" t="s">
        <v>1095</v>
      </c>
    </row>
    <row r="96" spans="1:31" x14ac:dyDescent="0.25">
      <c r="A96" t="s">
        <v>726</v>
      </c>
      <c r="B96" t="s">
        <v>1793</v>
      </c>
      <c r="C96" t="s">
        <v>1794</v>
      </c>
      <c r="D96" t="s">
        <v>73</v>
      </c>
      <c r="E96">
        <v>0.51916799999999996</v>
      </c>
      <c r="F96">
        <v>0.53885300000000003</v>
      </c>
      <c r="G96">
        <v>0.53197099999999997</v>
      </c>
      <c r="H96">
        <v>0.55995399999999995</v>
      </c>
      <c r="I96">
        <v>0.55806599999999995</v>
      </c>
      <c r="J96">
        <v>0.55856499999999998</v>
      </c>
      <c r="K96">
        <v>0.550678</v>
      </c>
      <c r="L96">
        <v>0.549647</v>
      </c>
      <c r="M96">
        <v>0.54710800000000004</v>
      </c>
      <c r="N96">
        <v>0.54879800000000001</v>
      </c>
      <c r="O96">
        <v>0.546122</v>
      </c>
      <c r="P96">
        <v>0.54348700000000005</v>
      </c>
      <c r="Q96">
        <v>0.542323</v>
      </c>
      <c r="R96">
        <v>0.54013800000000001</v>
      </c>
      <c r="S96">
        <v>0.53727100000000005</v>
      </c>
      <c r="T96">
        <v>0.53871899999999995</v>
      </c>
      <c r="U96">
        <v>0.53750200000000004</v>
      </c>
      <c r="V96">
        <v>0.53694500000000001</v>
      </c>
      <c r="W96">
        <v>0.53542699999999999</v>
      </c>
      <c r="X96">
        <v>0.53280899999999998</v>
      </c>
      <c r="Y96">
        <v>0.53339199999999998</v>
      </c>
      <c r="Z96">
        <v>0.52825100000000003</v>
      </c>
      <c r="AA96">
        <v>0.521347</v>
      </c>
      <c r="AB96">
        <v>0.51971400000000001</v>
      </c>
      <c r="AC96">
        <v>0.51909700000000003</v>
      </c>
      <c r="AD96">
        <v>0.51796299999999995</v>
      </c>
      <c r="AE96" t="s">
        <v>1426</v>
      </c>
    </row>
    <row r="97" spans="1:31" s="32" customFormat="1" x14ac:dyDescent="0.25">
      <c r="A97" s="32" t="s">
        <v>662</v>
      </c>
      <c r="B97" s="32" t="s">
        <v>1795</v>
      </c>
      <c r="C97" s="32" t="s">
        <v>1796</v>
      </c>
      <c r="D97" s="32" t="s">
        <v>73</v>
      </c>
      <c r="E97" s="32">
        <v>0.86551500000000003</v>
      </c>
      <c r="F97" s="32">
        <v>0.85336599999999996</v>
      </c>
      <c r="G97" s="32">
        <v>0.85518099999999997</v>
      </c>
      <c r="H97" s="32">
        <v>0.90476500000000004</v>
      </c>
      <c r="I97" s="32">
        <v>0.91175499999999998</v>
      </c>
      <c r="J97" s="32">
        <v>0.91411200000000004</v>
      </c>
      <c r="K97" s="32">
        <v>0.91552599999999995</v>
      </c>
      <c r="L97" s="32">
        <v>0.91785799999999995</v>
      </c>
      <c r="M97" s="32">
        <v>0.92093800000000003</v>
      </c>
      <c r="N97" s="32">
        <v>0.92348600000000003</v>
      </c>
      <c r="O97" s="32">
        <v>0.92420500000000005</v>
      </c>
      <c r="P97" s="32">
        <v>0.92643299999999995</v>
      </c>
      <c r="Q97" s="32">
        <v>0.930006</v>
      </c>
      <c r="R97" s="32">
        <v>0.93350900000000003</v>
      </c>
      <c r="S97" s="32">
        <v>0.93700300000000003</v>
      </c>
      <c r="T97" s="32">
        <v>0.94011900000000004</v>
      </c>
      <c r="U97" s="32">
        <v>0.94255100000000003</v>
      </c>
      <c r="V97" s="32">
        <v>0.94466099999999997</v>
      </c>
      <c r="W97" s="32">
        <v>0.94505499999999998</v>
      </c>
      <c r="X97" s="32">
        <v>0.95018800000000003</v>
      </c>
      <c r="Y97" s="32">
        <v>0.95596700000000001</v>
      </c>
      <c r="Z97" s="32">
        <v>0.95556700000000006</v>
      </c>
      <c r="AA97" s="32">
        <v>0.95444099999999998</v>
      </c>
      <c r="AB97" s="32">
        <v>0.954592</v>
      </c>
      <c r="AC97" s="32">
        <v>0.95311599999999996</v>
      </c>
      <c r="AD97" s="32">
        <v>0.95109600000000005</v>
      </c>
      <c r="AE97" s="32" t="s">
        <v>1111</v>
      </c>
    </row>
    <row r="98" spans="1:31" x14ac:dyDescent="0.25">
      <c r="A98" t="s">
        <v>778</v>
      </c>
      <c r="B98" t="s">
        <v>1797</v>
      </c>
      <c r="C98" t="s">
        <v>1798</v>
      </c>
      <c r="D98" t="s">
        <v>73</v>
      </c>
      <c r="E98">
        <v>1.342787</v>
      </c>
      <c r="F98">
        <v>1.342787</v>
      </c>
      <c r="G98">
        <v>1.3241289999999999</v>
      </c>
      <c r="H98">
        <v>1.342398</v>
      </c>
      <c r="I98">
        <v>1.3523540000000001</v>
      </c>
      <c r="J98">
        <v>1.3768739999999999</v>
      </c>
      <c r="K98">
        <v>1.3671120000000001</v>
      </c>
      <c r="L98">
        <v>1.3899900000000001</v>
      </c>
      <c r="M98">
        <v>1.386209</v>
      </c>
      <c r="N98">
        <v>1.3930169999999999</v>
      </c>
      <c r="O98">
        <v>1.394128</v>
      </c>
      <c r="P98">
        <v>1.398946</v>
      </c>
      <c r="Q98">
        <v>1.4062589999999999</v>
      </c>
      <c r="R98">
        <v>1.4045069999999999</v>
      </c>
      <c r="S98">
        <v>1.402217</v>
      </c>
      <c r="T98">
        <v>1.4166989999999999</v>
      </c>
      <c r="U98">
        <v>1.417767</v>
      </c>
      <c r="V98">
        <v>1.418974</v>
      </c>
      <c r="W98">
        <v>1.428242</v>
      </c>
      <c r="X98">
        <v>1.42178</v>
      </c>
      <c r="Y98">
        <v>1.4174899999999999</v>
      </c>
      <c r="Z98">
        <v>1.4011370000000001</v>
      </c>
      <c r="AA98">
        <v>1.427122</v>
      </c>
      <c r="AB98">
        <v>1.4081490000000001</v>
      </c>
      <c r="AC98">
        <v>1.41645</v>
      </c>
      <c r="AD98">
        <v>1.4037949999999999</v>
      </c>
      <c r="AE98" t="s">
        <v>1081</v>
      </c>
    </row>
    <row r="99" spans="1:31" x14ac:dyDescent="0.25">
      <c r="A99" t="s">
        <v>731</v>
      </c>
      <c r="B99" t="s">
        <v>1799</v>
      </c>
      <c r="C99" t="s">
        <v>1800</v>
      </c>
      <c r="D99" t="s">
        <v>73</v>
      </c>
      <c r="E99">
        <v>0.34520099999999998</v>
      </c>
      <c r="F99">
        <v>0.34887800000000002</v>
      </c>
      <c r="G99">
        <v>0.34897099999999998</v>
      </c>
      <c r="H99">
        <v>0.35253099999999998</v>
      </c>
      <c r="I99">
        <v>0.35757299999999997</v>
      </c>
      <c r="J99">
        <v>0.35886899999999999</v>
      </c>
      <c r="K99">
        <v>0.36570399999999997</v>
      </c>
      <c r="L99">
        <v>0.369757</v>
      </c>
      <c r="M99">
        <v>0.389179</v>
      </c>
      <c r="N99">
        <v>0.39385900000000001</v>
      </c>
      <c r="O99">
        <v>0.39973599999999998</v>
      </c>
      <c r="P99">
        <v>0.40559499999999998</v>
      </c>
      <c r="Q99">
        <v>0.41624</v>
      </c>
      <c r="R99">
        <v>0.423427</v>
      </c>
      <c r="S99">
        <v>0.43247999999999998</v>
      </c>
      <c r="T99">
        <v>0.43262699999999998</v>
      </c>
      <c r="U99">
        <v>0.44099699999999997</v>
      </c>
      <c r="V99">
        <v>0.44694600000000001</v>
      </c>
      <c r="W99">
        <v>0.44797599999999999</v>
      </c>
      <c r="X99">
        <v>0.45470100000000002</v>
      </c>
      <c r="Y99">
        <v>0.45916299999999999</v>
      </c>
      <c r="Z99">
        <v>0.46594799999999997</v>
      </c>
      <c r="AA99">
        <v>0.46880699999999997</v>
      </c>
      <c r="AB99">
        <v>0.479161</v>
      </c>
      <c r="AC99">
        <v>0.482877</v>
      </c>
      <c r="AD99">
        <v>0.484898</v>
      </c>
      <c r="AE99" t="s">
        <v>1801</v>
      </c>
    </row>
    <row r="100" spans="1:31" x14ac:dyDescent="0.25">
      <c r="A100" t="s">
        <v>77</v>
      </c>
      <c r="B100" t="s">
        <v>1802</v>
      </c>
      <c r="C100" t="s">
        <v>1803</v>
      </c>
      <c r="D100" t="s">
        <v>73</v>
      </c>
      <c r="E100">
        <v>8.6239080000000001</v>
      </c>
      <c r="F100">
        <v>8.5156969999999994</v>
      </c>
      <c r="G100">
        <v>8.695665</v>
      </c>
      <c r="H100">
        <v>8.8950809999999993</v>
      </c>
      <c r="I100">
        <v>8.8534930000000003</v>
      </c>
      <c r="J100">
        <v>8.8965340000000008</v>
      </c>
      <c r="K100">
        <v>8.933109</v>
      </c>
      <c r="L100">
        <v>9.0101370000000003</v>
      </c>
      <c r="M100">
        <v>9.0737269999999999</v>
      </c>
      <c r="N100">
        <v>9.1452100000000005</v>
      </c>
      <c r="O100">
        <v>9.2114849999999997</v>
      </c>
      <c r="P100">
        <v>9.2926549999999999</v>
      </c>
      <c r="Q100">
        <v>9.3723770000000002</v>
      </c>
      <c r="R100">
        <v>9.4391069999999999</v>
      </c>
      <c r="S100">
        <v>9.536899</v>
      </c>
      <c r="T100">
        <v>9.6362749999999995</v>
      </c>
      <c r="U100">
        <v>9.7324269999999995</v>
      </c>
      <c r="V100">
        <v>9.8394320000000004</v>
      </c>
      <c r="W100">
        <v>9.939584</v>
      </c>
      <c r="X100">
        <v>10.034115</v>
      </c>
      <c r="Y100">
        <v>10.142823999999999</v>
      </c>
      <c r="Z100">
        <v>10.231821</v>
      </c>
      <c r="AA100">
        <v>10.366573000000001</v>
      </c>
      <c r="AB100">
        <v>10.457174</v>
      </c>
      <c r="AC100">
        <v>10.541565</v>
      </c>
      <c r="AD100">
        <v>10.62656</v>
      </c>
      <c r="AE100" t="s">
        <v>1142</v>
      </c>
    </row>
    <row r="101" spans="1:31" x14ac:dyDescent="0.25">
      <c r="A101" t="s">
        <v>736</v>
      </c>
      <c r="B101" t="s">
        <v>1804</v>
      </c>
      <c r="C101" t="s">
        <v>1805</v>
      </c>
      <c r="D101" t="s">
        <v>73</v>
      </c>
      <c r="E101">
        <v>7.5883229999999999</v>
      </c>
      <c r="F101">
        <v>7.4996790000000004</v>
      </c>
      <c r="G101">
        <v>7.4020070000000002</v>
      </c>
      <c r="H101">
        <v>7.4054989999999998</v>
      </c>
      <c r="I101">
        <v>7.4037040000000003</v>
      </c>
      <c r="J101">
        <v>7.4089169999999998</v>
      </c>
      <c r="K101">
        <v>7.4472269999999998</v>
      </c>
      <c r="L101">
        <v>7.4732690000000002</v>
      </c>
      <c r="M101">
        <v>7.4718749999999998</v>
      </c>
      <c r="N101">
        <v>7.4911029999999998</v>
      </c>
      <c r="O101">
        <v>7.5113760000000003</v>
      </c>
      <c r="P101">
        <v>7.5184689999999996</v>
      </c>
      <c r="Q101">
        <v>7.5096869999999996</v>
      </c>
      <c r="R101">
        <v>7.5192680000000003</v>
      </c>
      <c r="S101">
        <v>7.5320070000000001</v>
      </c>
      <c r="T101">
        <v>7.5678429999999999</v>
      </c>
      <c r="U101">
        <v>7.6069560000000003</v>
      </c>
      <c r="V101">
        <v>7.6736550000000001</v>
      </c>
      <c r="W101">
        <v>7.7439660000000003</v>
      </c>
      <c r="X101">
        <v>7.8072800000000004</v>
      </c>
      <c r="Y101">
        <v>7.8793049999999996</v>
      </c>
      <c r="Z101">
        <v>7.939228</v>
      </c>
      <c r="AA101">
        <v>8.0151900000000005</v>
      </c>
      <c r="AB101">
        <v>8.0739359999999998</v>
      </c>
      <c r="AC101">
        <v>8.1219370000000009</v>
      </c>
      <c r="AD101">
        <v>8.1974230000000006</v>
      </c>
      <c r="AE101" t="s">
        <v>1161</v>
      </c>
    </row>
    <row r="102" spans="1:31" x14ac:dyDescent="0.25">
      <c r="A102" t="s">
        <v>739</v>
      </c>
      <c r="B102" t="s">
        <v>1806</v>
      </c>
      <c r="C102" t="s">
        <v>1807</v>
      </c>
      <c r="D102" t="s">
        <v>73</v>
      </c>
      <c r="E102">
        <v>0.30199999999999999</v>
      </c>
      <c r="F102">
        <v>0.30199999999999999</v>
      </c>
      <c r="G102">
        <v>0.28899999999999998</v>
      </c>
      <c r="H102">
        <v>0.288993</v>
      </c>
      <c r="I102">
        <v>0.28234300000000001</v>
      </c>
      <c r="J102">
        <v>0.28032299999999999</v>
      </c>
      <c r="K102">
        <v>0.28385300000000002</v>
      </c>
      <c r="L102">
        <v>0.28740599999999999</v>
      </c>
      <c r="M102">
        <v>0.29230400000000001</v>
      </c>
      <c r="N102">
        <v>0.297761</v>
      </c>
      <c r="O102">
        <v>0.30227799999999999</v>
      </c>
      <c r="P102">
        <v>0.30940600000000001</v>
      </c>
      <c r="Q102">
        <v>0.31269200000000003</v>
      </c>
      <c r="R102">
        <v>0.31698399999999999</v>
      </c>
      <c r="S102">
        <v>0.32515100000000002</v>
      </c>
      <c r="T102">
        <v>0.33140399999999998</v>
      </c>
      <c r="U102">
        <v>0.33892899999999998</v>
      </c>
      <c r="V102">
        <v>0.34673799999999999</v>
      </c>
      <c r="W102">
        <v>0.35550300000000001</v>
      </c>
      <c r="X102">
        <v>0.36499799999999999</v>
      </c>
      <c r="Y102">
        <v>0.37514599999999998</v>
      </c>
      <c r="Z102">
        <v>0.38497399999999998</v>
      </c>
      <c r="AA102">
        <v>0.39471499999999998</v>
      </c>
      <c r="AB102">
        <v>0.40370499999999998</v>
      </c>
      <c r="AC102">
        <v>0.40992600000000001</v>
      </c>
      <c r="AD102">
        <v>0.41837800000000003</v>
      </c>
      <c r="AE102" t="s">
        <v>1587</v>
      </c>
    </row>
    <row r="103" spans="1:31" x14ac:dyDescent="0.25">
      <c r="A103" t="s">
        <v>150</v>
      </c>
      <c r="B103" t="s">
        <v>1808</v>
      </c>
      <c r="C103" t="s">
        <v>1809</v>
      </c>
      <c r="D103" t="s">
        <v>73</v>
      </c>
      <c r="E103">
        <v>2.1362390000000002</v>
      </c>
      <c r="F103">
        <v>2.128485</v>
      </c>
      <c r="G103">
        <v>2.1603400000000001</v>
      </c>
      <c r="H103">
        <v>2.165232</v>
      </c>
      <c r="I103">
        <v>2.162156</v>
      </c>
      <c r="J103">
        <v>2.203182</v>
      </c>
      <c r="K103">
        <v>2.2643529999999998</v>
      </c>
      <c r="L103">
        <v>2.334959</v>
      </c>
      <c r="M103">
        <v>2.3952339999999999</v>
      </c>
      <c r="N103">
        <v>2.4525809999999999</v>
      </c>
      <c r="O103">
        <v>2.473735</v>
      </c>
      <c r="P103">
        <v>2.4826640000000002</v>
      </c>
      <c r="Q103">
        <v>2.4927549999999998</v>
      </c>
      <c r="R103">
        <v>2.5068679999999999</v>
      </c>
      <c r="S103">
        <v>2.5246620000000002</v>
      </c>
      <c r="T103">
        <v>2.5674649999999999</v>
      </c>
      <c r="U103">
        <v>2.6017749999999999</v>
      </c>
      <c r="V103">
        <v>2.6305519999999998</v>
      </c>
      <c r="W103">
        <v>2.644943</v>
      </c>
      <c r="X103">
        <v>2.647805</v>
      </c>
      <c r="Y103">
        <v>2.6459549999999998</v>
      </c>
      <c r="Z103">
        <v>2.6564239999999999</v>
      </c>
      <c r="AA103">
        <v>2.673549</v>
      </c>
      <c r="AB103">
        <v>2.6894960000000001</v>
      </c>
      <c r="AC103">
        <v>2.689622</v>
      </c>
      <c r="AD103">
        <v>2.6848770000000002</v>
      </c>
      <c r="AE103" t="s">
        <v>1130</v>
      </c>
    </row>
    <row r="104" spans="1:31" x14ac:dyDescent="0.25">
      <c r="A104" t="s">
        <v>153</v>
      </c>
      <c r="B104" t="s">
        <v>1810</v>
      </c>
      <c r="C104" t="s">
        <v>1811</v>
      </c>
      <c r="D104" t="s">
        <v>73</v>
      </c>
      <c r="E104">
        <v>10.026562</v>
      </c>
      <c r="F104">
        <v>9.9301630000000003</v>
      </c>
      <c r="G104">
        <v>9.8513459999999995</v>
      </c>
      <c r="H104">
        <v>9.8597230000000007</v>
      </c>
      <c r="I104">
        <v>9.8482029999999998</v>
      </c>
      <c r="J104">
        <v>9.8924219999999998</v>
      </c>
      <c r="K104">
        <v>9.9954339999999995</v>
      </c>
      <c r="L104">
        <v>10.095634</v>
      </c>
      <c r="M104">
        <v>10.159412</v>
      </c>
      <c r="N104">
        <v>10.241445000000001</v>
      </c>
      <c r="O104">
        <v>10.287388999999999</v>
      </c>
      <c r="P104">
        <v>10.310537999999999</v>
      </c>
      <c r="Q104">
        <v>10.315134</v>
      </c>
      <c r="R104">
        <v>10.343120000000001</v>
      </c>
      <c r="S104">
        <v>10.381819999999999</v>
      </c>
      <c r="T104">
        <v>10.466711999999999</v>
      </c>
      <c r="U104">
        <v>10.54766</v>
      </c>
      <c r="V104">
        <v>10.650945</v>
      </c>
      <c r="W104">
        <v>10.744410999999999</v>
      </c>
      <c r="X104">
        <v>10.820083</v>
      </c>
      <c r="Y104">
        <v>10.900404999999999</v>
      </c>
      <c r="Z104">
        <v>10.980626000000001</v>
      </c>
      <c r="AA104">
        <v>11.083455000000001</v>
      </c>
      <c r="AB104">
        <v>11.167137</v>
      </c>
      <c r="AC104">
        <v>11.221484999999999</v>
      </c>
      <c r="AD104">
        <v>11.300678</v>
      </c>
      <c r="AE104" t="s">
        <v>1119</v>
      </c>
    </row>
    <row r="105" spans="1:31" x14ac:dyDescent="0.25">
      <c r="A105" t="s">
        <v>746</v>
      </c>
      <c r="B105" t="s">
        <v>1812</v>
      </c>
      <c r="C105" t="s">
        <v>1813</v>
      </c>
      <c r="D105" t="s">
        <v>73</v>
      </c>
      <c r="E105">
        <v>1.075156</v>
      </c>
      <c r="F105">
        <v>1.0207489999999999</v>
      </c>
      <c r="G105">
        <v>1.018594</v>
      </c>
      <c r="H105">
        <v>1.01996</v>
      </c>
      <c r="I105">
        <v>1.0299689999999999</v>
      </c>
      <c r="J105">
        <v>1.027752</v>
      </c>
      <c r="K105">
        <v>1.015987</v>
      </c>
      <c r="L105">
        <v>1.0132989999999999</v>
      </c>
      <c r="M105">
        <v>1.0182310000000001</v>
      </c>
      <c r="N105">
        <v>1.0392479999999999</v>
      </c>
      <c r="O105">
        <v>1.049199</v>
      </c>
      <c r="P105">
        <v>1.0520160000000001</v>
      </c>
      <c r="Q105">
        <v>1.0708899999999999</v>
      </c>
      <c r="R105">
        <v>1.0807</v>
      </c>
      <c r="S105">
        <v>1.0887100000000001</v>
      </c>
      <c r="T105">
        <v>1.0900080000000001</v>
      </c>
      <c r="U105">
        <v>1.0967519999999999</v>
      </c>
      <c r="V105">
        <v>1.101672</v>
      </c>
      <c r="W105">
        <v>1.111893</v>
      </c>
      <c r="X105">
        <v>1.134199</v>
      </c>
      <c r="Y105">
        <v>1.1492819999999999</v>
      </c>
      <c r="Z105">
        <v>1.157262</v>
      </c>
      <c r="AA105">
        <v>1.168895</v>
      </c>
      <c r="AB105">
        <v>1.17652</v>
      </c>
      <c r="AC105">
        <v>1.1824190000000001</v>
      </c>
      <c r="AD105">
        <v>1.189262</v>
      </c>
      <c r="AE105" t="s">
        <v>1111</v>
      </c>
    </row>
    <row r="106" spans="1:31" x14ac:dyDescent="0.25">
      <c r="A106" t="s">
        <v>749</v>
      </c>
      <c r="B106" t="s">
        <v>1814</v>
      </c>
      <c r="C106" t="s">
        <v>1815</v>
      </c>
      <c r="D106" t="s">
        <v>73</v>
      </c>
      <c r="E106">
        <v>0.38726500000000003</v>
      </c>
      <c r="F106">
        <v>0.40224900000000002</v>
      </c>
      <c r="G106">
        <v>0.420626</v>
      </c>
      <c r="H106">
        <v>0.40510299999999999</v>
      </c>
      <c r="I106">
        <v>0.39422099999999999</v>
      </c>
      <c r="J106">
        <v>0.38840200000000003</v>
      </c>
      <c r="K106">
        <v>0.38092900000000002</v>
      </c>
      <c r="L106">
        <v>0.37573499999999999</v>
      </c>
      <c r="M106">
        <v>0.36993199999999998</v>
      </c>
      <c r="N106">
        <v>0.360182</v>
      </c>
      <c r="O106">
        <v>0.352244</v>
      </c>
      <c r="P106">
        <v>0.34226499999999999</v>
      </c>
      <c r="Q106">
        <v>0.333511</v>
      </c>
      <c r="R106">
        <v>0.32392500000000002</v>
      </c>
      <c r="S106">
        <v>0.313946</v>
      </c>
      <c r="T106">
        <v>0.30612400000000001</v>
      </c>
      <c r="U106">
        <v>0.299091</v>
      </c>
      <c r="V106">
        <v>0.292269</v>
      </c>
      <c r="W106">
        <v>0.28481299999999998</v>
      </c>
      <c r="X106">
        <v>0.27746199999999999</v>
      </c>
      <c r="Y106">
        <v>0.27200299999999999</v>
      </c>
      <c r="Z106">
        <v>0.26551900000000001</v>
      </c>
      <c r="AA106">
        <v>0.25992999999999999</v>
      </c>
      <c r="AB106">
        <v>0.253888</v>
      </c>
      <c r="AC106">
        <v>0.246588</v>
      </c>
      <c r="AD106">
        <v>0.240534</v>
      </c>
      <c r="AE106" t="s">
        <v>1151</v>
      </c>
    </row>
    <row r="107" spans="1:31" x14ac:dyDescent="0.25">
      <c r="A107" t="s">
        <v>309</v>
      </c>
      <c r="B107" t="s">
        <v>1816</v>
      </c>
      <c r="C107" t="s">
        <v>1817</v>
      </c>
      <c r="D107" t="s">
        <v>73</v>
      </c>
      <c r="E107">
        <v>0.40035700000000002</v>
      </c>
      <c r="F107">
        <v>0.368676</v>
      </c>
      <c r="G107">
        <v>0.367838</v>
      </c>
      <c r="H107">
        <v>0.36464600000000003</v>
      </c>
      <c r="I107">
        <v>0.36113299999999998</v>
      </c>
      <c r="J107">
        <v>0.35831800000000003</v>
      </c>
      <c r="K107">
        <v>0.35428100000000001</v>
      </c>
      <c r="L107">
        <v>0.35566599999999998</v>
      </c>
      <c r="M107">
        <v>0.35592699999999999</v>
      </c>
      <c r="N107">
        <v>0.35481099999999999</v>
      </c>
      <c r="O107">
        <v>0.35316599999999998</v>
      </c>
      <c r="P107">
        <v>0.35029199999999999</v>
      </c>
      <c r="Q107">
        <v>0.346605</v>
      </c>
      <c r="R107">
        <v>0.34234599999999998</v>
      </c>
      <c r="S107">
        <v>0.337837</v>
      </c>
      <c r="T107">
        <v>0.33343299999999998</v>
      </c>
      <c r="U107">
        <v>0.329175</v>
      </c>
      <c r="V107">
        <v>0.32475199999999999</v>
      </c>
      <c r="W107">
        <v>0.32024000000000002</v>
      </c>
      <c r="X107">
        <v>0.315859</v>
      </c>
      <c r="Y107">
        <v>0.312079</v>
      </c>
      <c r="Z107">
        <v>0.30853999999999998</v>
      </c>
      <c r="AA107">
        <v>0.30512499999999998</v>
      </c>
      <c r="AB107">
        <v>0.30166199999999999</v>
      </c>
      <c r="AC107">
        <v>0.29805199999999998</v>
      </c>
      <c r="AD107">
        <v>0.29466100000000001</v>
      </c>
      <c r="AE107" t="s">
        <v>1154</v>
      </c>
    </row>
    <row r="108" spans="1:31" x14ac:dyDescent="0.25">
      <c r="A108" t="s">
        <v>165</v>
      </c>
      <c r="B108" t="s">
        <v>1818</v>
      </c>
      <c r="C108" t="s">
        <v>1819</v>
      </c>
      <c r="D108" t="s">
        <v>73</v>
      </c>
      <c r="E108">
        <v>0.78762299999999996</v>
      </c>
      <c r="F108">
        <v>0.77092499999999997</v>
      </c>
      <c r="G108">
        <v>0.78846400000000005</v>
      </c>
      <c r="H108">
        <v>0.76974799999999999</v>
      </c>
      <c r="I108">
        <v>0.755355</v>
      </c>
      <c r="J108">
        <v>0.74671900000000002</v>
      </c>
      <c r="K108">
        <v>0.73521099999999995</v>
      </c>
      <c r="L108">
        <v>0.73140099999999997</v>
      </c>
      <c r="M108">
        <v>0.72585900000000003</v>
      </c>
      <c r="N108">
        <v>0.71499400000000002</v>
      </c>
      <c r="O108">
        <v>0.70540999999999998</v>
      </c>
      <c r="P108">
        <v>0.69255800000000001</v>
      </c>
      <c r="Q108">
        <v>0.68011600000000005</v>
      </c>
      <c r="R108">
        <v>0.66627099999999995</v>
      </c>
      <c r="S108">
        <v>0.651783</v>
      </c>
      <c r="T108">
        <v>0.63955700000000004</v>
      </c>
      <c r="U108">
        <v>0.62826599999999999</v>
      </c>
      <c r="V108">
        <v>0.61702100000000004</v>
      </c>
      <c r="W108">
        <v>0.60505299999999995</v>
      </c>
      <c r="X108">
        <v>0.59332099999999999</v>
      </c>
      <c r="Y108">
        <v>0.58408199999999999</v>
      </c>
      <c r="Z108">
        <v>0.57405799999999996</v>
      </c>
      <c r="AA108">
        <v>0.56505499999999997</v>
      </c>
      <c r="AB108">
        <v>0.55554999999999999</v>
      </c>
      <c r="AC108">
        <v>0.54464000000000001</v>
      </c>
      <c r="AD108">
        <v>0.53519499999999998</v>
      </c>
      <c r="AE108" t="s">
        <v>1071</v>
      </c>
    </row>
    <row r="109" spans="1:31" x14ac:dyDescent="0.25">
      <c r="A109" t="s">
        <v>168</v>
      </c>
      <c r="B109" t="s">
        <v>1820</v>
      </c>
      <c r="C109" t="s">
        <v>1821</v>
      </c>
      <c r="D109" t="s">
        <v>73</v>
      </c>
      <c r="E109">
        <v>0.90891699999999997</v>
      </c>
      <c r="F109">
        <v>0.92460600000000004</v>
      </c>
      <c r="G109">
        <v>0.93709799999999999</v>
      </c>
      <c r="H109">
        <v>0.94168600000000002</v>
      </c>
      <c r="I109">
        <v>0.93855999999999995</v>
      </c>
      <c r="J109">
        <v>0.940195</v>
      </c>
      <c r="K109">
        <v>0.93708499999999995</v>
      </c>
      <c r="L109">
        <v>0.93595899999999999</v>
      </c>
      <c r="M109">
        <v>0.93459099999999995</v>
      </c>
      <c r="N109">
        <v>0.93672299999999997</v>
      </c>
      <c r="O109">
        <v>0.93835000000000002</v>
      </c>
      <c r="P109">
        <v>0.94456799999999996</v>
      </c>
      <c r="Q109">
        <v>0.94416800000000001</v>
      </c>
      <c r="R109">
        <v>0.94495200000000001</v>
      </c>
      <c r="S109">
        <v>0.94594599999999995</v>
      </c>
      <c r="T109">
        <v>0.94855500000000004</v>
      </c>
      <c r="U109">
        <v>0.95130800000000004</v>
      </c>
      <c r="V109">
        <v>0.961144</v>
      </c>
      <c r="W109">
        <v>0.96505399999999997</v>
      </c>
      <c r="X109">
        <v>0.96772100000000005</v>
      </c>
      <c r="Y109">
        <v>0.96853299999999998</v>
      </c>
      <c r="Z109">
        <v>0.96856500000000001</v>
      </c>
      <c r="AA109">
        <v>0.97285699999999997</v>
      </c>
      <c r="AB109">
        <v>0.97891799999999995</v>
      </c>
      <c r="AC109">
        <v>0.981626</v>
      </c>
      <c r="AD109">
        <v>0.98605500000000001</v>
      </c>
      <c r="AE109" t="s">
        <v>1161</v>
      </c>
    </row>
    <row r="110" spans="1:31" x14ac:dyDescent="0.25">
      <c r="A110" t="s">
        <v>756</v>
      </c>
      <c r="B110" t="s">
        <v>1822</v>
      </c>
      <c r="C110" t="s">
        <v>1823</v>
      </c>
      <c r="D110" t="s">
        <v>73</v>
      </c>
      <c r="E110">
        <v>1.497989</v>
      </c>
      <c r="F110">
        <v>1.6071</v>
      </c>
      <c r="G110">
        <v>1.568859</v>
      </c>
      <c r="H110">
        <v>1.550627</v>
      </c>
      <c r="I110">
        <v>1.5433250000000001</v>
      </c>
      <c r="J110">
        <v>1.5140119999999999</v>
      </c>
      <c r="K110">
        <v>1.4797229999999999</v>
      </c>
      <c r="L110">
        <v>1.458091</v>
      </c>
      <c r="M110">
        <v>1.446947</v>
      </c>
      <c r="N110">
        <v>1.4486190000000001</v>
      </c>
      <c r="O110">
        <v>1.4525239999999999</v>
      </c>
      <c r="P110">
        <v>1.4630069999999999</v>
      </c>
      <c r="Q110">
        <v>1.4731620000000001</v>
      </c>
      <c r="R110">
        <v>1.495779</v>
      </c>
      <c r="S110">
        <v>1.520454</v>
      </c>
      <c r="T110">
        <v>1.541369</v>
      </c>
      <c r="U110">
        <v>1.546718</v>
      </c>
      <c r="V110">
        <v>1.55775</v>
      </c>
      <c r="W110">
        <v>1.5652539999999999</v>
      </c>
      <c r="X110">
        <v>1.5779190000000001</v>
      </c>
      <c r="Y110">
        <v>1.6022350000000001</v>
      </c>
      <c r="Z110">
        <v>1.6247739999999999</v>
      </c>
      <c r="AA110">
        <v>1.650185</v>
      </c>
      <c r="AB110">
        <v>1.673621</v>
      </c>
      <c r="AC110">
        <v>1.702137</v>
      </c>
      <c r="AD110">
        <v>1.7292259999999999</v>
      </c>
      <c r="AE110" t="s">
        <v>1164</v>
      </c>
    </row>
    <row r="111" spans="1:31" x14ac:dyDescent="0.25">
      <c r="A111" t="s">
        <v>289</v>
      </c>
      <c r="B111" t="s">
        <v>1824</v>
      </c>
      <c r="C111" t="s">
        <v>1825</v>
      </c>
      <c r="D111" t="s">
        <v>73</v>
      </c>
      <c r="E111">
        <v>3.6134659999999998</v>
      </c>
      <c r="F111">
        <v>3.7284160000000002</v>
      </c>
      <c r="G111">
        <v>3.6929479999999999</v>
      </c>
      <c r="H111">
        <v>3.67347</v>
      </c>
      <c r="I111">
        <v>3.6531120000000001</v>
      </c>
      <c r="J111">
        <v>3.6560429999999999</v>
      </c>
      <c r="K111">
        <v>3.658544</v>
      </c>
      <c r="L111">
        <v>3.6715309999999999</v>
      </c>
      <c r="M111">
        <v>3.697406</v>
      </c>
      <c r="N111">
        <v>3.7282929999999999</v>
      </c>
      <c r="O111">
        <v>3.770464</v>
      </c>
      <c r="P111">
        <v>3.8197320000000001</v>
      </c>
      <c r="Q111">
        <v>3.8805269999999998</v>
      </c>
      <c r="R111">
        <v>3.9379759999999999</v>
      </c>
      <c r="S111">
        <v>3.9918619999999998</v>
      </c>
      <c r="T111">
        <v>4.0405709999999999</v>
      </c>
      <c r="U111">
        <v>4.0819710000000002</v>
      </c>
      <c r="V111">
        <v>4.114147</v>
      </c>
      <c r="W111">
        <v>4.1351170000000002</v>
      </c>
      <c r="X111">
        <v>4.1547559999999999</v>
      </c>
      <c r="Y111">
        <v>4.1887020000000001</v>
      </c>
      <c r="Z111">
        <v>4.2233619999999998</v>
      </c>
      <c r="AA111">
        <v>4.2603179999999998</v>
      </c>
      <c r="AB111">
        <v>4.2963769999999997</v>
      </c>
      <c r="AC111">
        <v>4.3269279999999997</v>
      </c>
      <c r="AD111">
        <v>4.3563549999999998</v>
      </c>
      <c r="AE111" t="s">
        <v>1142</v>
      </c>
    </row>
    <row r="112" spans="1:31" x14ac:dyDescent="0.25">
      <c r="A112" t="s">
        <v>89</v>
      </c>
      <c r="B112" t="s">
        <v>1826</v>
      </c>
      <c r="C112" t="s">
        <v>1827</v>
      </c>
      <c r="D112" t="s">
        <v>73</v>
      </c>
      <c r="E112">
        <v>26.533618000000001</v>
      </c>
      <c r="F112">
        <v>26.497657</v>
      </c>
      <c r="G112">
        <v>26.552973999999999</v>
      </c>
      <c r="H112">
        <v>26.710294000000001</v>
      </c>
      <c r="I112">
        <v>26.622017</v>
      </c>
      <c r="J112">
        <v>26.673677000000001</v>
      </c>
      <c r="K112">
        <v>26.755092999999999</v>
      </c>
      <c r="L112">
        <v>26.916053000000002</v>
      </c>
      <c r="M112">
        <v>27.056172</v>
      </c>
      <c r="N112">
        <v>27.254529999999999</v>
      </c>
      <c r="O112">
        <v>27.414819000000001</v>
      </c>
      <c r="P112">
        <v>27.575074000000001</v>
      </c>
      <c r="Q112">
        <v>27.736373</v>
      </c>
      <c r="R112">
        <v>27.907905</v>
      </c>
      <c r="S112">
        <v>28.117473</v>
      </c>
      <c r="T112">
        <v>28.363047000000002</v>
      </c>
      <c r="U112">
        <v>28.585100000000001</v>
      </c>
      <c r="V112">
        <v>28.842106999999999</v>
      </c>
      <c r="W112">
        <v>29.066367</v>
      </c>
      <c r="X112">
        <v>29.282112999999999</v>
      </c>
      <c r="Y112">
        <v>29.536064</v>
      </c>
      <c r="Z112">
        <v>29.760470000000002</v>
      </c>
      <c r="AA112">
        <v>30.067337999999999</v>
      </c>
      <c r="AB112">
        <v>30.305295999999998</v>
      </c>
      <c r="AC112">
        <v>30.500799000000001</v>
      </c>
      <c r="AD112">
        <v>30.723330000000001</v>
      </c>
      <c r="AE112" t="s">
        <v>1164</v>
      </c>
    </row>
    <row r="113" spans="1:31" x14ac:dyDescent="0.25">
      <c r="A113" t="s">
        <v>92</v>
      </c>
      <c r="B113" t="s">
        <v>1828</v>
      </c>
      <c r="C113" t="s">
        <v>1829</v>
      </c>
      <c r="D113" t="s">
        <v>73</v>
      </c>
      <c r="E113">
        <v>4.9651050000000003</v>
      </c>
      <c r="F113">
        <v>5.0738079999999997</v>
      </c>
      <c r="G113">
        <v>4.6417970000000004</v>
      </c>
      <c r="H113">
        <v>4.4189350000000003</v>
      </c>
      <c r="I113">
        <v>4.2950689999999998</v>
      </c>
      <c r="J113">
        <v>4.2218929999999997</v>
      </c>
      <c r="K113">
        <v>4.090166</v>
      </c>
      <c r="L113">
        <v>4.0246430000000002</v>
      </c>
      <c r="M113">
        <v>4.0042450000000001</v>
      </c>
      <c r="N113">
        <v>3.9587729999999999</v>
      </c>
      <c r="O113">
        <v>3.943889</v>
      </c>
      <c r="P113">
        <v>3.9341270000000002</v>
      </c>
      <c r="Q113">
        <v>3.9573</v>
      </c>
      <c r="R113">
        <v>3.9860790000000001</v>
      </c>
      <c r="S113">
        <v>4.0023590000000002</v>
      </c>
      <c r="T113">
        <v>4.0031379999999999</v>
      </c>
      <c r="U113">
        <v>3.9965830000000002</v>
      </c>
      <c r="V113">
        <v>4.0001620000000004</v>
      </c>
      <c r="W113">
        <v>3.997722</v>
      </c>
      <c r="X113">
        <v>3.9957280000000002</v>
      </c>
      <c r="Y113">
        <v>4.0079190000000002</v>
      </c>
      <c r="Z113">
        <v>4.0224169999999999</v>
      </c>
      <c r="AA113">
        <v>4.0430080000000004</v>
      </c>
      <c r="AB113">
        <v>4.0618530000000002</v>
      </c>
      <c r="AC113">
        <v>4.0605710000000004</v>
      </c>
      <c r="AD113">
        <v>4.0707659999999999</v>
      </c>
      <c r="AE113" t="s">
        <v>1173</v>
      </c>
    </row>
    <row r="114" spans="1:31" x14ac:dyDescent="0.25">
      <c r="A114" t="s">
        <v>183</v>
      </c>
      <c r="B114" t="s">
        <v>1830</v>
      </c>
      <c r="C114" t="s">
        <v>1831</v>
      </c>
      <c r="D114" t="s">
        <v>73</v>
      </c>
      <c r="E114">
        <v>0.25473299999999999</v>
      </c>
      <c r="F114">
        <v>0.240508</v>
      </c>
      <c r="G114">
        <v>0.238346</v>
      </c>
      <c r="H114">
        <v>0.23827799999999999</v>
      </c>
      <c r="I114">
        <v>0.24568899999999999</v>
      </c>
      <c r="J114">
        <v>0.24485999999999999</v>
      </c>
      <c r="K114">
        <v>0.24033499999999999</v>
      </c>
      <c r="L114">
        <v>0.239145</v>
      </c>
      <c r="M114">
        <v>0.239901</v>
      </c>
      <c r="N114">
        <v>0.24574099999999999</v>
      </c>
      <c r="O114">
        <v>0.247527</v>
      </c>
      <c r="P114">
        <v>0.246917</v>
      </c>
      <c r="Q114">
        <v>0.24760099999999999</v>
      </c>
      <c r="R114">
        <v>0.247617</v>
      </c>
      <c r="S114">
        <v>0.249115</v>
      </c>
      <c r="T114">
        <v>0.24865899999999999</v>
      </c>
      <c r="U114">
        <v>0.24679999999999999</v>
      </c>
      <c r="V114">
        <v>0.247111</v>
      </c>
      <c r="W114">
        <v>0.24912699999999999</v>
      </c>
      <c r="X114">
        <v>0.25513000000000002</v>
      </c>
      <c r="Y114">
        <v>0.25880700000000001</v>
      </c>
      <c r="Z114">
        <v>0.26006499999999999</v>
      </c>
      <c r="AA114">
        <v>0.26233699999999999</v>
      </c>
      <c r="AB114">
        <v>0.263519</v>
      </c>
      <c r="AC114">
        <v>0.26449600000000001</v>
      </c>
      <c r="AD114">
        <v>0.26547399999999999</v>
      </c>
      <c r="AE114" t="s">
        <v>1081</v>
      </c>
    </row>
    <row r="115" spans="1:31" x14ac:dyDescent="0.25">
      <c r="A115" t="s">
        <v>95</v>
      </c>
      <c r="B115" t="s">
        <v>1832</v>
      </c>
      <c r="C115" t="s">
        <v>1833</v>
      </c>
      <c r="D115" t="s">
        <v>73</v>
      </c>
      <c r="E115">
        <v>31.753456</v>
      </c>
      <c r="F115">
        <v>31.811972999999998</v>
      </c>
      <c r="G115">
        <v>31.433116999999999</v>
      </c>
      <c r="H115">
        <v>31.367507</v>
      </c>
      <c r="I115">
        <v>31.162775</v>
      </c>
      <c r="J115">
        <v>31.140431</v>
      </c>
      <c r="K115">
        <v>31.085595000000001</v>
      </c>
      <c r="L115">
        <v>31.179842000000001</v>
      </c>
      <c r="M115">
        <v>31.300318000000001</v>
      </c>
      <c r="N115">
        <v>31.459045</v>
      </c>
      <c r="O115">
        <v>31.606235000000002</v>
      </c>
      <c r="P115">
        <v>31.756118000000001</v>
      </c>
      <c r="Q115">
        <v>31.941274</v>
      </c>
      <c r="R115">
        <v>32.141599999999997</v>
      </c>
      <c r="S115">
        <v>32.368946999999999</v>
      </c>
      <c r="T115">
        <v>32.614845000000003</v>
      </c>
      <c r="U115">
        <v>32.828484000000003</v>
      </c>
      <c r="V115">
        <v>33.089379999999998</v>
      </c>
      <c r="W115">
        <v>33.313215999999997</v>
      </c>
      <c r="X115">
        <v>33.532969999999999</v>
      </c>
      <c r="Y115">
        <v>33.802790999999999</v>
      </c>
      <c r="Z115">
        <v>34.042952999999997</v>
      </c>
      <c r="AA115">
        <v>34.372684</v>
      </c>
      <c r="AB115">
        <v>34.630668</v>
      </c>
      <c r="AC115">
        <v>34.825865999999998</v>
      </c>
      <c r="AD115">
        <v>35.059570999999998</v>
      </c>
      <c r="AE115" t="s">
        <v>1111</v>
      </c>
    </row>
    <row r="116" spans="1:31" x14ac:dyDescent="0.25">
      <c r="A116" t="s">
        <v>871</v>
      </c>
    </row>
    <row r="117" spans="1:31" x14ac:dyDescent="0.25">
      <c r="A117" t="s">
        <v>698</v>
      </c>
      <c r="B117" t="s">
        <v>1834</v>
      </c>
      <c r="C117" t="s">
        <v>1782</v>
      </c>
      <c r="D117" t="s">
        <v>73</v>
      </c>
      <c r="E117">
        <v>0.13255500000000001</v>
      </c>
      <c r="F117">
        <v>3.4223000000000003E-2</v>
      </c>
      <c r="G117">
        <v>0.18258099999999999</v>
      </c>
      <c r="H117">
        <v>0.18074299999999999</v>
      </c>
      <c r="I117">
        <v>0.180365</v>
      </c>
      <c r="J117">
        <v>0.18123800000000001</v>
      </c>
      <c r="K117">
        <v>0.18112200000000001</v>
      </c>
      <c r="L117">
        <v>0.18845100000000001</v>
      </c>
      <c r="M117">
        <v>0.186918</v>
      </c>
      <c r="N117">
        <v>0.187642</v>
      </c>
      <c r="O117">
        <v>0.188551</v>
      </c>
      <c r="P117">
        <v>0.189361</v>
      </c>
      <c r="Q117">
        <v>0.19261900000000001</v>
      </c>
      <c r="R117">
        <v>0.19562499999999999</v>
      </c>
      <c r="S117">
        <v>0.19803799999999999</v>
      </c>
      <c r="T117">
        <v>0.19953199999999999</v>
      </c>
      <c r="U117">
        <v>0.19942299999999999</v>
      </c>
      <c r="V117">
        <v>0.19977</v>
      </c>
      <c r="W117">
        <v>0.199908</v>
      </c>
      <c r="X117">
        <v>0.20016900000000001</v>
      </c>
      <c r="Y117">
        <v>0.200928</v>
      </c>
      <c r="Z117">
        <v>0.201934</v>
      </c>
      <c r="AA117">
        <v>0.20294000000000001</v>
      </c>
      <c r="AB117">
        <v>0.203759</v>
      </c>
      <c r="AC117">
        <v>0.20457400000000001</v>
      </c>
      <c r="AD117">
        <v>0.20558199999999999</v>
      </c>
      <c r="AE117" t="s">
        <v>1429</v>
      </c>
    </row>
    <row r="118" spans="1:31" x14ac:dyDescent="0.25">
      <c r="A118" t="s">
        <v>701</v>
      </c>
      <c r="B118" t="s">
        <v>1835</v>
      </c>
      <c r="C118" t="s">
        <v>1784</v>
      </c>
      <c r="D118" t="s">
        <v>73</v>
      </c>
      <c r="E118">
        <v>3.5296029999999998</v>
      </c>
      <c r="F118">
        <v>3.5856029999999999</v>
      </c>
      <c r="G118">
        <v>3.6324019999999999</v>
      </c>
      <c r="H118">
        <v>3.5232060000000001</v>
      </c>
      <c r="I118">
        <v>3.4478960000000001</v>
      </c>
      <c r="J118">
        <v>3.438571</v>
      </c>
      <c r="K118">
        <v>3.4691130000000001</v>
      </c>
      <c r="L118">
        <v>3.4869460000000001</v>
      </c>
      <c r="M118">
        <v>3.5236399999999999</v>
      </c>
      <c r="N118">
        <v>3.5635680000000001</v>
      </c>
      <c r="O118">
        <v>3.609877</v>
      </c>
      <c r="P118">
        <v>3.6672880000000001</v>
      </c>
      <c r="Q118">
        <v>3.7097549999999999</v>
      </c>
      <c r="R118">
        <v>3.7540019999999998</v>
      </c>
      <c r="S118">
        <v>3.8297639999999999</v>
      </c>
      <c r="T118">
        <v>3.897878</v>
      </c>
      <c r="U118">
        <v>3.974275</v>
      </c>
      <c r="V118">
        <v>4.0628880000000001</v>
      </c>
      <c r="W118">
        <v>4.1451089999999997</v>
      </c>
      <c r="X118">
        <v>4.2281089999999999</v>
      </c>
      <c r="Y118">
        <v>4.318028</v>
      </c>
      <c r="Z118">
        <v>4.4086360000000004</v>
      </c>
      <c r="AA118">
        <v>4.5085379999999997</v>
      </c>
      <c r="AB118">
        <v>4.5970839999999997</v>
      </c>
      <c r="AC118">
        <v>4.6595639999999996</v>
      </c>
      <c r="AD118">
        <v>4.7461640000000003</v>
      </c>
      <c r="AE118" t="s">
        <v>1095</v>
      </c>
    </row>
    <row r="119" spans="1:31" x14ac:dyDescent="0.25">
      <c r="A119" t="s">
        <v>101</v>
      </c>
      <c r="B119" t="s">
        <v>1836</v>
      </c>
      <c r="C119" t="s">
        <v>1786</v>
      </c>
      <c r="D119" t="s">
        <v>73</v>
      </c>
      <c r="E119">
        <v>0.27413399999999999</v>
      </c>
      <c r="F119">
        <v>0.27287699999999998</v>
      </c>
      <c r="G119">
        <v>0.27489799999999998</v>
      </c>
      <c r="H119">
        <v>0.27842299999999998</v>
      </c>
      <c r="I119">
        <v>0.28192600000000001</v>
      </c>
      <c r="J119">
        <v>0.28687800000000002</v>
      </c>
      <c r="K119">
        <v>0.29105300000000001</v>
      </c>
      <c r="L119">
        <v>0.29522399999999999</v>
      </c>
      <c r="M119">
        <v>0.298205</v>
      </c>
      <c r="N119">
        <v>0.30177999999999999</v>
      </c>
      <c r="O119">
        <v>0.30479899999999999</v>
      </c>
      <c r="P119">
        <v>0.30763299999999999</v>
      </c>
      <c r="Q119">
        <v>0.31031599999999998</v>
      </c>
      <c r="R119">
        <v>0.31283899999999998</v>
      </c>
      <c r="S119">
        <v>0.31540099999999999</v>
      </c>
      <c r="T119">
        <v>0.31799899999999998</v>
      </c>
      <c r="U119">
        <v>0.32068799999999997</v>
      </c>
      <c r="V119">
        <v>0.32321499999999997</v>
      </c>
      <c r="W119">
        <v>0.32565499999999997</v>
      </c>
      <c r="X119">
        <v>0.32794499999999999</v>
      </c>
      <c r="Y119">
        <v>0.33061299999999999</v>
      </c>
      <c r="Z119">
        <v>0.333403</v>
      </c>
      <c r="AA119">
        <v>0.336337</v>
      </c>
      <c r="AB119">
        <v>0.33894800000000003</v>
      </c>
      <c r="AC119">
        <v>0.341414</v>
      </c>
      <c r="AD119">
        <v>0.34381</v>
      </c>
      <c r="AE119" t="s">
        <v>1130</v>
      </c>
    </row>
    <row r="120" spans="1:31" x14ac:dyDescent="0.25">
      <c r="A120" t="s">
        <v>74</v>
      </c>
      <c r="B120" t="s">
        <v>1837</v>
      </c>
      <c r="C120" t="s">
        <v>1788</v>
      </c>
      <c r="D120" t="s">
        <v>73</v>
      </c>
      <c r="E120">
        <v>1.161135</v>
      </c>
      <c r="F120">
        <v>1.1614439999999999</v>
      </c>
      <c r="G120">
        <v>1.1620109999999999</v>
      </c>
      <c r="H120">
        <v>1.1685129999999999</v>
      </c>
      <c r="I120">
        <v>1.1798219999999999</v>
      </c>
      <c r="J120">
        <v>1.1966779999999999</v>
      </c>
      <c r="K120">
        <v>1.2089000000000001</v>
      </c>
      <c r="L120">
        <v>1.2281249999999999</v>
      </c>
      <c r="M120">
        <v>1.237822</v>
      </c>
      <c r="N120">
        <v>1.2493080000000001</v>
      </c>
      <c r="O120">
        <v>1.260567</v>
      </c>
      <c r="P120">
        <v>1.2706280000000001</v>
      </c>
      <c r="Q120">
        <v>1.2818350000000001</v>
      </c>
      <c r="R120">
        <v>1.2923880000000001</v>
      </c>
      <c r="S120">
        <v>1.302165</v>
      </c>
      <c r="T120">
        <v>1.31047</v>
      </c>
      <c r="U120">
        <v>1.317658</v>
      </c>
      <c r="V120">
        <v>1.325369</v>
      </c>
      <c r="W120">
        <v>1.3326370000000001</v>
      </c>
      <c r="X120">
        <v>1.3399160000000001</v>
      </c>
      <c r="Y120">
        <v>1.3495239999999999</v>
      </c>
      <c r="Z120">
        <v>1.3595330000000001</v>
      </c>
      <c r="AA120">
        <v>1.3698250000000001</v>
      </c>
      <c r="AB120">
        <v>1.3789229999999999</v>
      </c>
      <c r="AC120">
        <v>1.387899</v>
      </c>
      <c r="AD120">
        <v>1.396855</v>
      </c>
      <c r="AE120" t="s">
        <v>1106</v>
      </c>
    </row>
    <row r="121" spans="1:31" x14ac:dyDescent="0.25">
      <c r="A121" t="s">
        <v>109</v>
      </c>
      <c r="B121" t="s">
        <v>1838</v>
      </c>
      <c r="C121" t="s">
        <v>1790</v>
      </c>
      <c r="D121" t="s">
        <v>73</v>
      </c>
      <c r="E121">
        <v>4.0876000000000003E-2</v>
      </c>
      <c r="F121">
        <v>3.9529000000000002E-2</v>
      </c>
      <c r="G121">
        <v>3.5321999999999999E-2</v>
      </c>
      <c r="H121">
        <v>3.4547000000000001E-2</v>
      </c>
      <c r="I121">
        <v>3.3736000000000002E-2</v>
      </c>
      <c r="J121">
        <v>3.4748000000000001E-2</v>
      </c>
      <c r="K121">
        <v>3.39E-2</v>
      </c>
      <c r="L121">
        <v>3.4136E-2</v>
      </c>
      <c r="M121">
        <v>3.3707000000000001E-2</v>
      </c>
      <c r="N121">
        <v>3.3752999999999998E-2</v>
      </c>
      <c r="O121">
        <v>3.3499000000000001E-2</v>
      </c>
      <c r="P121">
        <v>3.3284000000000001E-2</v>
      </c>
      <c r="Q121">
        <v>3.3024999999999999E-2</v>
      </c>
      <c r="R121">
        <v>3.2672E-2</v>
      </c>
      <c r="S121">
        <v>3.2559999999999999E-2</v>
      </c>
      <c r="T121">
        <v>3.2231000000000003E-2</v>
      </c>
      <c r="U121">
        <v>3.1565999999999997E-2</v>
      </c>
      <c r="V121">
        <v>3.0664E-2</v>
      </c>
      <c r="W121">
        <v>2.9574E-2</v>
      </c>
      <c r="X121">
        <v>2.8497000000000001E-2</v>
      </c>
      <c r="Y121">
        <v>2.7718E-2</v>
      </c>
      <c r="Z121">
        <v>2.7413E-2</v>
      </c>
      <c r="AA121">
        <v>2.7217999999999999E-2</v>
      </c>
      <c r="AB121">
        <v>2.6842999999999999E-2</v>
      </c>
      <c r="AC121">
        <v>2.6571999999999998E-2</v>
      </c>
      <c r="AD121">
        <v>2.6395999999999999E-2</v>
      </c>
      <c r="AE121" t="s">
        <v>1135</v>
      </c>
    </row>
    <row r="122" spans="1:31" x14ac:dyDescent="0.25">
      <c r="A122" t="s">
        <v>140</v>
      </c>
      <c r="B122" t="s">
        <v>1839</v>
      </c>
      <c r="C122" t="s">
        <v>1792</v>
      </c>
      <c r="D122" t="s">
        <v>73</v>
      </c>
      <c r="E122">
        <v>0.41293400000000002</v>
      </c>
      <c r="F122">
        <v>0.33813799999999999</v>
      </c>
      <c r="G122">
        <v>0.34820000000000001</v>
      </c>
      <c r="H122">
        <v>0.55000000000000004</v>
      </c>
      <c r="I122">
        <v>0.55000000000000004</v>
      </c>
      <c r="J122">
        <v>0.55000000000000004</v>
      </c>
      <c r="K122">
        <v>0.55000000000000004</v>
      </c>
      <c r="L122">
        <v>0.55000000000000004</v>
      </c>
      <c r="M122">
        <v>0.55000000000000004</v>
      </c>
      <c r="N122">
        <v>0.55000000000000004</v>
      </c>
      <c r="O122">
        <v>0.55000000000000004</v>
      </c>
      <c r="P122">
        <v>0.55000000000000004</v>
      </c>
      <c r="Q122">
        <v>0.55000000000000004</v>
      </c>
      <c r="R122">
        <v>0.55000000000000004</v>
      </c>
      <c r="S122">
        <v>0.55000000000000004</v>
      </c>
      <c r="T122">
        <v>0.55000000000000004</v>
      </c>
      <c r="U122">
        <v>0.55000000000000004</v>
      </c>
      <c r="V122">
        <v>0.55000000000000004</v>
      </c>
      <c r="W122">
        <v>0.55000000000000004</v>
      </c>
      <c r="X122">
        <v>0.55000000000000004</v>
      </c>
      <c r="Y122">
        <v>0.55000000000000004</v>
      </c>
      <c r="Z122">
        <v>0.55000000000000004</v>
      </c>
      <c r="AA122">
        <v>0.55000000000000004</v>
      </c>
      <c r="AB122">
        <v>0.55000000000000004</v>
      </c>
      <c r="AC122">
        <v>0.55000000000000004</v>
      </c>
      <c r="AD122">
        <v>0.55000000000000004</v>
      </c>
      <c r="AE122" t="s">
        <v>1095</v>
      </c>
    </row>
    <row r="123" spans="1:31" x14ac:dyDescent="0.25">
      <c r="A123" t="s">
        <v>726</v>
      </c>
      <c r="B123" t="s">
        <v>1840</v>
      </c>
      <c r="C123" t="s">
        <v>1794</v>
      </c>
      <c r="D123" t="s">
        <v>73</v>
      </c>
      <c r="E123">
        <v>0.51916799999999996</v>
      </c>
      <c r="F123">
        <v>0.53885300000000003</v>
      </c>
      <c r="G123">
        <v>0.53197099999999997</v>
      </c>
      <c r="H123">
        <v>0.55995399999999995</v>
      </c>
      <c r="I123">
        <v>0.55806599999999995</v>
      </c>
      <c r="J123">
        <v>0.55856499999999998</v>
      </c>
      <c r="K123">
        <v>0.550678</v>
      </c>
      <c r="L123">
        <v>0.549647</v>
      </c>
      <c r="M123">
        <v>0.54710800000000004</v>
      </c>
      <c r="N123">
        <v>0.54879800000000001</v>
      </c>
      <c r="O123">
        <v>0.546122</v>
      </c>
      <c r="P123">
        <v>0.54348700000000005</v>
      </c>
      <c r="Q123">
        <v>0.542323</v>
      </c>
      <c r="R123">
        <v>0.54013800000000001</v>
      </c>
      <c r="S123">
        <v>0.53727100000000005</v>
      </c>
      <c r="T123">
        <v>0.53871899999999995</v>
      </c>
      <c r="U123">
        <v>0.53750200000000004</v>
      </c>
      <c r="V123">
        <v>0.53694500000000001</v>
      </c>
      <c r="W123">
        <v>0.53542699999999999</v>
      </c>
      <c r="X123">
        <v>0.53280899999999998</v>
      </c>
      <c r="Y123">
        <v>0.53339199999999998</v>
      </c>
      <c r="Z123">
        <v>0.52825100000000003</v>
      </c>
      <c r="AA123">
        <v>0.521347</v>
      </c>
      <c r="AB123">
        <v>0.51971400000000001</v>
      </c>
      <c r="AC123">
        <v>0.51909700000000003</v>
      </c>
      <c r="AD123">
        <v>0.51796299999999995</v>
      </c>
      <c r="AE123" t="s">
        <v>1426</v>
      </c>
    </row>
    <row r="124" spans="1:31" x14ac:dyDescent="0.25">
      <c r="A124" t="s">
        <v>662</v>
      </c>
      <c r="B124" t="s">
        <v>1841</v>
      </c>
      <c r="C124" t="s">
        <v>1796</v>
      </c>
      <c r="D124" t="s">
        <v>73</v>
      </c>
      <c r="E124">
        <v>0.86551500000000003</v>
      </c>
      <c r="F124">
        <v>0.85336599999999996</v>
      </c>
      <c r="G124">
        <v>0.85518099999999997</v>
      </c>
      <c r="H124">
        <v>0.90476500000000004</v>
      </c>
      <c r="I124">
        <v>0.91175499999999998</v>
      </c>
      <c r="J124">
        <v>0.91411200000000004</v>
      </c>
      <c r="K124">
        <v>0.91552599999999995</v>
      </c>
      <c r="L124">
        <v>0.91785799999999995</v>
      </c>
      <c r="M124">
        <v>0.92093800000000003</v>
      </c>
      <c r="N124">
        <v>0.92348600000000003</v>
      </c>
      <c r="O124">
        <v>0.92420500000000005</v>
      </c>
      <c r="P124">
        <v>0.92643299999999995</v>
      </c>
      <c r="Q124">
        <v>0.930006</v>
      </c>
      <c r="R124">
        <v>0.93350900000000003</v>
      </c>
      <c r="S124">
        <v>0.93700300000000003</v>
      </c>
      <c r="T124">
        <v>0.94011900000000004</v>
      </c>
      <c r="U124">
        <v>0.94255100000000003</v>
      </c>
      <c r="V124">
        <v>0.94466099999999997</v>
      </c>
      <c r="W124">
        <v>0.94505499999999998</v>
      </c>
      <c r="X124">
        <v>0.95018800000000003</v>
      </c>
      <c r="Y124">
        <v>0.95596700000000001</v>
      </c>
      <c r="Z124">
        <v>0.95556700000000006</v>
      </c>
      <c r="AA124">
        <v>0.95444099999999998</v>
      </c>
      <c r="AB124">
        <v>0.954592</v>
      </c>
      <c r="AC124">
        <v>0.95311599999999996</v>
      </c>
      <c r="AD124">
        <v>0.95109600000000005</v>
      </c>
      <c r="AE124" t="s">
        <v>1111</v>
      </c>
    </row>
    <row r="125" spans="1:31" x14ac:dyDescent="0.25">
      <c r="A125" t="s">
        <v>778</v>
      </c>
      <c r="B125" t="s">
        <v>1842</v>
      </c>
      <c r="C125" t="s">
        <v>1798</v>
      </c>
      <c r="D125" t="s">
        <v>73</v>
      </c>
      <c r="E125">
        <v>1.342787</v>
      </c>
      <c r="F125">
        <v>1.342787</v>
      </c>
      <c r="G125">
        <v>1.3241289999999999</v>
      </c>
      <c r="H125">
        <v>1.342398</v>
      </c>
      <c r="I125">
        <v>1.3523540000000001</v>
      </c>
      <c r="J125">
        <v>1.3768739999999999</v>
      </c>
      <c r="K125">
        <v>1.3671120000000001</v>
      </c>
      <c r="L125">
        <v>1.3899900000000001</v>
      </c>
      <c r="M125">
        <v>1.386209</v>
      </c>
      <c r="N125">
        <v>1.3930169999999999</v>
      </c>
      <c r="O125">
        <v>1.394128</v>
      </c>
      <c r="P125">
        <v>1.398946</v>
      </c>
      <c r="Q125">
        <v>1.4062589999999999</v>
      </c>
      <c r="R125">
        <v>1.4045069999999999</v>
      </c>
      <c r="S125">
        <v>1.402217</v>
      </c>
      <c r="T125">
        <v>1.4166989999999999</v>
      </c>
      <c r="U125">
        <v>1.417767</v>
      </c>
      <c r="V125">
        <v>1.418974</v>
      </c>
      <c r="W125">
        <v>1.428242</v>
      </c>
      <c r="X125">
        <v>1.42178</v>
      </c>
      <c r="Y125">
        <v>1.4174899999999999</v>
      </c>
      <c r="Z125">
        <v>1.4011370000000001</v>
      </c>
      <c r="AA125">
        <v>1.427122</v>
      </c>
      <c r="AB125">
        <v>1.4081490000000001</v>
      </c>
      <c r="AC125">
        <v>1.41645</v>
      </c>
      <c r="AD125">
        <v>1.4037949999999999</v>
      </c>
      <c r="AE125" t="s">
        <v>1081</v>
      </c>
    </row>
    <row r="126" spans="1:31" x14ac:dyDescent="0.25">
      <c r="A126" t="s">
        <v>731</v>
      </c>
      <c r="B126" t="s">
        <v>1843</v>
      </c>
      <c r="C126" t="s">
        <v>1800</v>
      </c>
      <c r="D126" t="s">
        <v>73</v>
      </c>
      <c r="E126">
        <v>0.34520099999999998</v>
      </c>
      <c r="F126">
        <v>0.34887800000000002</v>
      </c>
      <c r="G126">
        <v>0.34897099999999998</v>
      </c>
      <c r="H126">
        <v>0.35253099999999998</v>
      </c>
      <c r="I126">
        <v>0.35757299999999997</v>
      </c>
      <c r="J126">
        <v>0.35886899999999999</v>
      </c>
      <c r="K126">
        <v>0.36570399999999997</v>
      </c>
      <c r="L126">
        <v>0.369757</v>
      </c>
      <c r="M126">
        <v>0.389179</v>
      </c>
      <c r="N126">
        <v>0.39385900000000001</v>
      </c>
      <c r="O126">
        <v>0.39973599999999998</v>
      </c>
      <c r="P126">
        <v>0.40559499999999998</v>
      </c>
      <c r="Q126">
        <v>0.41624</v>
      </c>
      <c r="R126">
        <v>0.423427</v>
      </c>
      <c r="S126">
        <v>0.43247999999999998</v>
      </c>
      <c r="T126">
        <v>0.43262699999999998</v>
      </c>
      <c r="U126">
        <v>0.44099699999999997</v>
      </c>
      <c r="V126">
        <v>0.44694600000000001</v>
      </c>
      <c r="W126">
        <v>0.44797599999999999</v>
      </c>
      <c r="X126">
        <v>0.45470100000000002</v>
      </c>
      <c r="Y126">
        <v>0.45916299999999999</v>
      </c>
      <c r="Z126">
        <v>0.46594799999999997</v>
      </c>
      <c r="AA126">
        <v>0.46880699999999997</v>
      </c>
      <c r="AB126">
        <v>0.479161</v>
      </c>
      <c r="AC126">
        <v>0.482877</v>
      </c>
      <c r="AD126">
        <v>0.484898</v>
      </c>
      <c r="AE126" t="s">
        <v>1801</v>
      </c>
    </row>
    <row r="127" spans="1:31" x14ac:dyDescent="0.25">
      <c r="A127" t="s">
        <v>77</v>
      </c>
      <c r="B127" t="s">
        <v>1844</v>
      </c>
      <c r="C127" t="s">
        <v>1803</v>
      </c>
      <c r="D127" t="s">
        <v>73</v>
      </c>
      <c r="E127">
        <v>8.6239080000000001</v>
      </c>
      <c r="F127">
        <v>8.5156969999999994</v>
      </c>
      <c r="G127">
        <v>8.695665</v>
      </c>
      <c r="H127">
        <v>8.8950809999999993</v>
      </c>
      <c r="I127">
        <v>8.8534930000000003</v>
      </c>
      <c r="J127">
        <v>8.8965340000000008</v>
      </c>
      <c r="K127">
        <v>8.933109</v>
      </c>
      <c r="L127">
        <v>9.0101370000000003</v>
      </c>
      <c r="M127">
        <v>9.0737269999999999</v>
      </c>
      <c r="N127">
        <v>9.1452100000000005</v>
      </c>
      <c r="O127">
        <v>9.2114849999999997</v>
      </c>
      <c r="P127">
        <v>9.2926549999999999</v>
      </c>
      <c r="Q127">
        <v>9.3723770000000002</v>
      </c>
      <c r="R127">
        <v>9.4391069999999999</v>
      </c>
      <c r="S127">
        <v>9.536899</v>
      </c>
      <c r="T127">
        <v>9.6362749999999995</v>
      </c>
      <c r="U127">
        <v>9.7324269999999995</v>
      </c>
      <c r="V127">
        <v>9.8394320000000004</v>
      </c>
      <c r="W127">
        <v>9.939584</v>
      </c>
      <c r="X127">
        <v>10.034115</v>
      </c>
      <c r="Y127">
        <v>10.142823999999999</v>
      </c>
      <c r="Z127">
        <v>10.231821</v>
      </c>
      <c r="AA127">
        <v>10.366573000000001</v>
      </c>
      <c r="AB127">
        <v>10.457174</v>
      </c>
      <c r="AC127">
        <v>10.541565</v>
      </c>
      <c r="AD127">
        <v>10.62656</v>
      </c>
      <c r="AE127" t="s">
        <v>1142</v>
      </c>
    </row>
    <row r="128" spans="1:31" x14ac:dyDescent="0.25">
      <c r="A128" t="s">
        <v>736</v>
      </c>
      <c r="B128" t="s">
        <v>1845</v>
      </c>
      <c r="C128" t="s">
        <v>1805</v>
      </c>
      <c r="D128" t="s">
        <v>73</v>
      </c>
      <c r="E128">
        <v>7.7672819999999998</v>
      </c>
      <c r="F128">
        <v>7.6650679999999998</v>
      </c>
      <c r="G128">
        <v>7.5662019999999997</v>
      </c>
      <c r="H128">
        <v>7.5704969999999996</v>
      </c>
      <c r="I128">
        <v>7.5719649999999996</v>
      </c>
      <c r="J128">
        <v>7.5766010000000001</v>
      </c>
      <c r="K128">
        <v>7.6122269999999999</v>
      </c>
      <c r="L128">
        <v>7.6376920000000004</v>
      </c>
      <c r="M128">
        <v>7.6369220000000002</v>
      </c>
      <c r="N128">
        <v>7.6604929999999998</v>
      </c>
      <c r="O128">
        <v>7.6821270000000004</v>
      </c>
      <c r="P128">
        <v>7.6892630000000004</v>
      </c>
      <c r="Q128">
        <v>7.6839279999999999</v>
      </c>
      <c r="R128">
        <v>7.6949899999999998</v>
      </c>
      <c r="S128">
        <v>7.7088349999999997</v>
      </c>
      <c r="T128">
        <v>7.7443559999999998</v>
      </c>
      <c r="U128">
        <v>7.7840499999999997</v>
      </c>
      <c r="V128">
        <v>7.8509960000000003</v>
      </c>
      <c r="W128">
        <v>7.9227449999999999</v>
      </c>
      <c r="X128">
        <v>7.9903820000000003</v>
      </c>
      <c r="Y128">
        <v>8.065061</v>
      </c>
      <c r="Z128">
        <v>8.1258800000000004</v>
      </c>
      <c r="AA128">
        <v>8.2034929999999999</v>
      </c>
      <c r="AB128">
        <v>8.2631069999999998</v>
      </c>
      <c r="AC128">
        <v>8.3118309999999997</v>
      </c>
      <c r="AD128">
        <v>8.3880420000000004</v>
      </c>
      <c r="AE128" t="s">
        <v>1161</v>
      </c>
    </row>
    <row r="129" spans="1:31" x14ac:dyDescent="0.25">
      <c r="A129" t="s">
        <v>739</v>
      </c>
      <c r="B129" t="s">
        <v>1846</v>
      </c>
      <c r="C129" t="s">
        <v>1807</v>
      </c>
      <c r="D129" t="s">
        <v>73</v>
      </c>
      <c r="E129">
        <v>1.1757439999999999</v>
      </c>
      <c r="F129">
        <v>1.109488</v>
      </c>
      <c r="G129">
        <v>1.0906549999999999</v>
      </c>
      <c r="H129">
        <v>1.094571</v>
      </c>
      <c r="I129">
        <v>1.1038539999999999</v>
      </c>
      <c r="J129">
        <v>1.0990150000000001</v>
      </c>
      <c r="K129">
        <v>1.089439</v>
      </c>
      <c r="L129">
        <v>1.0901730000000001</v>
      </c>
      <c r="M129">
        <v>1.0981240000000001</v>
      </c>
      <c r="N129">
        <v>1.1247799999999999</v>
      </c>
      <c r="O129">
        <v>1.1359410000000001</v>
      </c>
      <c r="P129">
        <v>1.143284</v>
      </c>
      <c r="Q129">
        <v>1.163392</v>
      </c>
      <c r="R129">
        <v>1.1749210000000001</v>
      </c>
      <c r="S129">
        <v>1.1884889999999999</v>
      </c>
      <c r="T129">
        <v>1.1932020000000001</v>
      </c>
      <c r="U129">
        <v>1.2035629999999999</v>
      </c>
      <c r="V129">
        <v>1.212583</v>
      </c>
      <c r="W129">
        <v>1.228364</v>
      </c>
      <c r="X129">
        <v>1.2589669999999999</v>
      </c>
      <c r="Y129">
        <v>1.282068</v>
      </c>
      <c r="Z129">
        <v>1.2962769999999999</v>
      </c>
      <c r="AA129">
        <v>1.3140769999999999</v>
      </c>
      <c r="AB129">
        <v>1.327304</v>
      </c>
      <c r="AC129">
        <v>1.3370580000000001</v>
      </c>
      <c r="AD129">
        <v>1.349046</v>
      </c>
      <c r="AE129" t="s">
        <v>1164</v>
      </c>
    </row>
    <row r="130" spans="1:31" x14ac:dyDescent="0.25">
      <c r="A130" t="s">
        <v>150</v>
      </c>
      <c r="B130" t="s">
        <v>1847</v>
      </c>
      <c r="C130" t="s">
        <v>1809</v>
      </c>
      <c r="D130" t="s">
        <v>73</v>
      </c>
      <c r="E130">
        <v>2.1362390000000002</v>
      </c>
      <c r="F130">
        <v>2.128485</v>
      </c>
      <c r="G130">
        <v>2.1603400000000001</v>
      </c>
      <c r="H130">
        <v>2.165232</v>
      </c>
      <c r="I130">
        <v>2.162156</v>
      </c>
      <c r="J130">
        <v>2.203182</v>
      </c>
      <c r="K130">
        <v>2.2643529999999998</v>
      </c>
      <c r="L130">
        <v>2.334959</v>
      </c>
      <c r="M130">
        <v>2.3952339999999999</v>
      </c>
      <c r="N130">
        <v>2.4525809999999999</v>
      </c>
      <c r="O130">
        <v>2.473735</v>
      </c>
      <c r="P130">
        <v>2.4826640000000002</v>
      </c>
      <c r="Q130">
        <v>2.4927549999999998</v>
      </c>
      <c r="R130">
        <v>2.5068679999999999</v>
      </c>
      <c r="S130">
        <v>2.5246620000000002</v>
      </c>
      <c r="T130">
        <v>2.5674649999999999</v>
      </c>
      <c r="U130">
        <v>2.6017749999999999</v>
      </c>
      <c r="V130">
        <v>2.6305519999999998</v>
      </c>
      <c r="W130">
        <v>2.644943</v>
      </c>
      <c r="X130">
        <v>2.647805</v>
      </c>
      <c r="Y130">
        <v>2.6459549999999998</v>
      </c>
      <c r="Z130">
        <v>2.6564239999999999</v>
      </c>
      <c r="AA130">
        <v>2.673549</v>
      </c>
      <c r="AB130">
        <v>2.6894960000000001</v>
      </c>
      <c r="AC130">
        <v>2.689622</v>
      </c>
      <c r="AD130">
        <v>2.6848770000000002</v>
      </c>
      <c r="AE130" t="s">
        <v>1130</v>
      </c>
    </row>
    <row r="131" spans="1:31" x14ac:dyDescent="0.25">
      <c r="A131" t="s">
        <v>153</v>
      </c>
      <c r="B131" t="s">
        <v>1848</v>
      </c>
      <c r="C131" t="s">
        <v>1811</v>
      </c>
      <c r="D131" t="s">
        <v>73</v>
      </c>
      <c r="E131">
        <v>11.079264999999999</v>
      </c>
      <c r="F131">
        <v>10.903041</v>
      </c>
      <c r="G131">
        <v>10.817195999999999</v>
      </c>
      <c r="H131">
        <v>10.830299</v>
      </c>
      <c r="I131">
        <v>10.837975999999999</v>
      </c>
      <c r="J131">
        <v>10.878798</v>
      </c>
      <c r="K131">
        <v>10.966018999999999</v>
      </c>
      <c r="L131">
        <v>11.062824000000001</v>
      </c>
      <c r="M131">
        <v>11.130280000000001</v>
      </c>
      <c r="N131">
        <v>11.237854</v>
      </c>
      <c r="O131">
        <v>11.291802000000001</v>
      </c>
      <c r="P131">
        <v>11.315211</v>
      </c>
      <c r="Q131">
        <v>11.340075000000001</v>
      </c>
      <c r="R131">
        <v>11.37678</v>
      </c>
      <c r="S131">
        <v>11.421986</v>
      </c>
      <c r="T131">
        <v>11.505024000000001</v>
      </c>
      <c r="U131">
        <v>11.589388</v>
      </c>
      <c r="V131">
        <v>11.694132</v>
      </c>
      <c r="W131">
        <v>11.796051</v>
      </c>
      <c r="X131">
        <v>11.897155</v>
      </c>
      <c r="Y131">
        <v>11.993081999999999</v>
      </c>
      <c r="Z131">
        <v>12.078581</v>
      </c>
      <c r="AA131">
        <v>12.19112</v>
      </c>
      <c r="AB131">
        <v>12.279907</v>
      </c>
      <c r="AC131">
        <v>12.338512</v>
      </c>
      <c r="AD131">
        <v>12.421965999999999</v>
      </c>
      <c r="AE131" t="s">
        <v>1119</v>
      </c>
    </row>
    <row r="132" spans="1:31" x14ac:dyDescent="0.25">
      <c r="A132" t="s">
        <v>749</v>
      </c>
      <c r="B132" t="s">
        <v>1849</v>
      </c>
      <c r="C132" t="s">
        <v>1815</v>
      </c>
      <c r="D132" t="s">
        <v>73</v>
      </c>
      <c r="E132">
        <v>0.38726500000000003</v>
      </c>
      <c r="F132">
        <v>0.40224900000000002</v>
      </c>
      <c r="G132">
        <v>0.420626</v>
      </c>
      <c r="H132">
        <v>0.40510299999999999</v>
      </c>
      <c r="I132">
        <v>0.39422099999999999</v>
      </c>
      <c r="J132">
        <v>0.38840200000000003</v>
      </c>
      <c r="K132">
        <v>0.38092900000000002</v>
      </c>
      <c r="L132">
        <v>0.37573499999999999</v>
      </c>
      <c r="M132">
        <v>0.36993199999999998</v>
      </c>
      <c r="N132">
        <v>0.360182</v>
      </c>
      <c r="O132">
        <v>0.352244</v>
      </c>
      <c r="P132">
        <v>0.34226499999999999</v>
      </c>
      <c r="Q132">
        <v>0.333511</v>
      </c>
      <c r="R132">
        <v>0.32392500000000002</v>
      </c>
      <c r="S132">
        <v>0.313946</v>
      </c>
      <c r="T132">
        <v>0.30612400000000001</v>
      </c>
      <c r="U132">
        <v>0.299091</v>
      </c>
      <c r="V132">
        <v>0.292269</v>
      </c>
      <c r="W132">
        <v>0.28481299999999998</v>
      </c>
      <c r="X132">
        <v>0.27746199999999999</v>
      </c>
      <c r="Y132">
        <v>0.27200299999999999</v>
      </c>
      <c r="Z132">
        <v>0.26551900000000001</v>
      </c>
      <c r="AA132">
        <v>0.25992999999999999</v>
      </c>
      <c r="AB132">
        <v>0.253888</v>
      </c>
      <c r="AC132">
        <v>0.246588</v>
      </c>
      <c r="AD132">
        <v>0.240534</v>
      </c>
      <c r="AE132" t="s">
        <v>1151</v>
      </c>
    </row>
    <row r="133" spans="1:31" x14ac:dyDescent="0.25">
      <c r="A133" t="s">
        <v>309</v>
      </c>
      <c r="B133" t="s">
        <v>1850</v>
      </c>
      <c r="C133" t="s">
        <v>1817</v>
      </c>
      <c r="D133" t="s">
        <v>73</v>
      </c>
      <c r="E133">
        <v>0.40035700000000002</v>
      </c>
      <c r="F133">
        <v>0.368676</v>
      </c>
      <c r="G133">
        <v>0.367838</v>
      </c>
      <c r="H133">
        <v>0.36464600000000003</v>
      </c>
      <c r="I133">
        <v>0.36113299999999998</v>
      </c>
      <c r="J133">
        <v>0.35831800000000003</v>
      </c>
      <c r="K133">
        <v>0.35428100000000001</v>
      </c>
      <c r="L133">
        <v>0.35566599999999998</v>
      </c>
      <c r="M133">
        <v>0.35592699999999999</v>
      </c>
      <c r="N133">
        <v>0.35481099999999999</v>
      </c>
      <c r="O133">
        <v>0.35316599999999998</v>
      </c>
      <c r="P133">
        <v>0.35029199999999999</v>
      </c>
      <c r="Q133">
        <v>0.346605</v>
      </c>
      <c r="R133">
        <v>0.34234599999999998</v>
      </c>
      <c r="S133">
        <v>0.337837</v>
      </c>
      <c r="T133">
        <v>0.33343299999999998</v>
      </c>
      <c r="U133">
        <v>0.329175</v>
      </c>
      <c r="V133">
        <v>0.32475199999999999</v>
      </c>
      <c r="W133">
        <v>0.32024000000000002</v>
      </c>
      <c r="X133">
        <v>0.315859</v>
      </c>
      <c r="Y133">
        <v>0.312079</v>
      </c>
      <c r="Z133">
        <v>0.30853999999999998</v>
      </c>
      <c r="AA133">
        <v>0.30512499999999998</v>
      </c>
      <c r="AB133">
        <v>0.30166199999999999</v>
      </c>
      <c r="AC133">
        <v>0.29805199999999998</v>
      </c>
      <c r="AD133">
        <v>0.29466100000000001</v>
      </c>
      <c r="AE133" t="s">
        <v>1154</v>
      </c>
    </row>
    <row r="134" spans="1:31" x14ac:dyDescent="0.25">
      <c r="A134" t="s">
        <v>165</v>
      </c>
      <c r="B134" t="s">
        <v>1851</v>
      </c>
      <c r="C134" t="s">
        <v>1819</v>
      </c>
      <c r="D134" t="s">
        <v>73</v>
      </c>
      <c r="E134">
        <v>0.78762299999999996</v>
      </c>
      <c r="F134">
        <v>0.77092499999999997</v>
      </c>
      <c r="G134">
        <v>0.78846400000000005</v>
      </c>
      <c r="H134">
        <v>0.76974799999999999</v>
      </c>
      <c r="I134">
        <v>0.755355</v>
      </c>
      <c r="J134">
        <v>0.74671900000000002</v>
      </c>
      <c r="K134">
        <v>0.73521099999999995</v>
      </c>
      <c r="L134">
        <v>0.73140099999999997</v>
      </c>
      <c r="M134">
        <v>0.72585900000000003</v>
      </c>
      <c r="N134">
        <v>0.71499400000000002</v>
      </c>
      <c r="O134">
        <v>0.70540999999999998</v>
      </c>
      <c r="P134">
        <v>0.69255800000000001</v>
      </c>
      <c r="Q134">
        <v>0.68011600000000005</v>
      </c>
      <c r="R134">
        <v>0.66627099999999995</v>
      </c>
      <c r="S134">
        <v>0.651783</v>
      </c>
      <c r="T134">
        <v>0.63955700000000004</v>
      </c>
      <c r="U134">
        <v>0.62826599999999999</v>
      </c>
      <c r="V134">
        <v>0.61702100000000004</v>
      </c>
      <c r="W134">
        <v>0.60505299999999995</v>
      </c>
      <c r="X134">
        <v>0.59332099999999999</v>
      </c>
      <c r="Y134">
        <v>0.58408199999999999</v>
      </c>
      <c r="Z134">
        <v>0.57405799999999996</v>
      </c>
      <c r="AA134">
        <v>0.56505499999999997</v>
      </c>
      <c r="AB134">
        <v>0.55554999999999999</v>
      </c>
      <c r="AC134">
        <v>0.54464000000000001</v>
      </c>
      <c r="AD134">
        <v>0.53519499999999998</v>
      </c>
      <c r="AE134" t="s">
        <v>1071</v>
      </c>
    </row>
    <row r="135" spans="1:31" x14ac:dyDescent="0.25">
      <c r="A135" t="s">
        <v>168</v>
      </c>
      <c r="B135" t="s">
        <v>1852</v>
      </c>
      <c r="C135" t="s">
        <v>1821</v>
      </c>
      <c r="D135" t="s">
        <v>73</v>
      </c>
      <c r="E135">
        <v>0.90891699999999997</v>
      </c>
      <c r="F135">
        <v>0.92460600000000004</v>
      </c>
      <c r="G135">
        <v>0.93709799999999999</v>
      </c>
      <c r="H135">
        <v>0.94168600000000002</v>
      </c>
      <c r="I135">
        <v>0.93855999999999995</v>
      </c>
      <c r="J135">
        <v>0.940195</v>
      </c>
      <c r="K135">
        <v>0.93708499999999995</v>
      </c>
      <c r="L135">
        <v>0.93595899999999999</v>
      </c>
      <c r="M135">
        <v>0.93459099999999995</v>
      </c>
      <c r="N135">
        <v>0.93672299999999997</v>
      </c>
      <c r="O135">
        <v>0.93835000000000002</v>
      </c>
      <c r="P135">
        <v>0.94456799999999996</v>
      </c>
      <c r="Q135">
        <v>0.94416800000000001</v>
      </c>
      <c r="R135">
        <v>0.94495200000000001</v>
      </c>
      <c r="S135">
        <v>0.94594599999999995</v>
      </c>
      <c r="T135">
        <v>0.94855500000000004</v>
      </c>
      <c r="U135">
        <v>0.95130800000000004</v>
      </c>
      <c r="V135">
        <v>0.961144</v>
      </c>
      <c r="W135">
        <v>0.96505399999999997</v>
      </c>
      <c r="X135">
        <v>0.96772100000000005</v>
      </c>
      <c r="Y135">
        <v>0.96853299999999998</v>
      </c>
      <c r="Z135">
        <v>0.96856500000000001</v>
      </c>
      <c r="AA135">
        <v>0.97285699999999997</v>
      </c>
      <c r="AB135">
        <v>0.97891799999999995</v>
      </c>
      <c r="AC135">
        <v>0.981626</v>
      </c>
      <c r="AD135">
        <v>0.98605500000000001</v>
      </c>
      <c r="AE135" t="s">
        <v>1161</v>
      </c>
    </row>
    <row r="136" spans="1:31" x14ac:dyDescent="0.25">
      <c r="A136" t="s">
        <v>756</v>
      </c>
      <c r="B136" t="s">
        <v>1853</v>
      </c>
      <c r="C136" t="s">
        <v>1823</v>
      </c>
      <c r="D136" t="s">
        <v>73</v>
      </c>
      <c r="E136">
        <v>1.497989</v>
      </c>
      <c r="F136">
        <v>1.6071</v>
      </c>
      <c r="G136">
        <v>1.568859</v>
      </c>
      <c r="H136">
        <v>1.550627</v>
      </c>
      <c r="I136">
        <v>1.5433250000000001</v>
      </c>
      <c r="J136">
        <v>1.5140119999999999</v>
      </c>
      <c r="K136">
        <v>1.4797229999999999</v>
      </c>
      <c r="L136">
        <v>1.458091</v>
      </c>
      <c r="M136">
        <v>1.446947</v>
      </c>
      <c r="N136">
        <v>1.4486190000000001</v>
      </c>
      <c r="O136">
        <v>1.4525239999999999</v>
      </c>
      <c r="P136">
        <v>1.4630069999999999</v>
      </c>
      <c r="Q136">
        <v>1.4731620000000001</v>
      </c>
      <c r="R136">
        <v>1.495779</v>
      </c>
      <c r="S136">
        <v>1.520454</v>
      </c>
      <c r="T136">
        <v>1.541369</v>
      </c>
      <c r="U136">
        <v>1.546718</v>
      </c>
      <c r="V136">
        <v>1.55775</v>
      </c>
      <c r="W136">
        <v>1.5652539999999999</v>
      </c>
      <c r="X136">
        <v>1.5779190000000001</v>
      </c>
      <c r="Y136">
        <v>1.6022350000000001</v>
      </c>
      <c r="Z136">
        <v>1.6247739999999999</v>
      </c>
      <c r="AA136">
        <v>1.650185</v>
      </c>
      <c r="AB136">
        <v>1.673621</v>
      </c>
      <c r="AC136">
        <v>1.702137</v>
      </c>
      <c r="AD136">
        <v>1.7292259999999999</v>
      </c>
      <c r="AE136" t="s">
        <v>1164</v>
      </c>
    </row>
    <row r="137" spans="1:31" x14ac:dyDescent="0.25">
      <c r="A137" t="s">
        <v>289</v>
      </c>
      <c r="B137" t="s">
        <v>1854</v>
      </c>
      <c r="C137" t="s">
        <v>1825</v>
      </c>
      <c r="D137" t="s">
        <v>73</v>
      </c>
      <c r="E137">
        <v>3.6176970000000002</v>
      </c>
      <c r="F137">
        <v>3.7371180000000002</v>
      </c>
      <c r="G137">
        <v>3.70201</v>
      </c>
      <c r="H137">
        <v>3.6812040000000001</v>
      </c>
      <c r="I137">
        <v>3.6633100000000001</v>
      </c>
      <c r="J137">
        <v>3.6666539999999999</v>
      </c>
      <c r="K137">
        <v>3.6680820000000001</v>
      </c>
      <c r="L137">
        <v>3.680444</v>
      </c>
      <c r="M137">
        <v>3.706299</v>
      </c>
      <c r="N137">
        <v>3.7373080000000001</v>
      </c>
      <c r="O137">
        <v>3.7795529999999999</v>
      </c>
      <c r="P137">
        <v>3.8282940000000001</v>
      </c>
      <c r="Q137">
        <v>3.887724</v>
      </c>
      <c r="R137">
        <v>3.943241</v>
      </c>
      <c r="S137">
        <v>3.9971429999999999</v>
      </c>
      <c r="T137">
        <v>4.0458470000000002</v>
      </c>
      <c r="U137">
        <v>4.0846109999999998</v>
      </c>
      <c r="V137">
        <v>4.1167910000000001</v>
      </c>
      <c r="W137">
        <v>4.1377829999999998</v>
      </c>
      <c r="X137">
        <v>4.1574850000000003</v>
      </c>
      <c r="Y137">
        <v>4.1914720000000001</v>
      </c>
      <c r="Z137">
        <v>4.2261449999999998</v>
      </c>
      <c r="AA137">
        <v>4.2631259999999997</v>
      </c>
      <c r="AB137">
        <v>4.2991970000000004</v>
      </c>
      <c r="AC137">
        <v>4.3297590000000001</v>
      </c>
      <c r="AD137">
        <v>4.3591980000000001</v>
      </c>
      <c r="AE137" t="s">
        <v>1106</v>
      </c>
    </row>
    <row r="138" spans="1:31" x14ac:dyDescent="0.25">
      <c r="A138" t="s">
        <v>89</v>
      </c>
      <c r="B138" t="s">
        <v>1855</v>
      </c>
      <c r="C138" t="s">
        <v>1827</v>
      </c>
      <c r="D138" t="s">
        <v>73</v>
      </c>
      <c r="E138">
        <v>26.515398999999999</v>
      </c>
      <c r="F138">
        <v>26.458486000000001</v>
      </c>
      <c r="G138">
        <v>26.509291000000001</v>
      </c>
      <c r="H138">
        <v>26.668645000000001</v>
      </c>
      <c r="I138">
        <v>26.592020000000002</v>
      </c>
      <c r="J138">
        <v>26.642911999999999</v>
      </c>
      <c r="K138">
        <v>26.71923</v>
      </c>
      <c r="L138">
        <v>26.878857</v>
      </c>
      <c r="M138">
        <v>27.017703999999998</v>
      </c>
      <c r="N138">
        <v>27.220707000000001</v>
      </c>
      <c r="O138">
        <v>27.379124999999998</v>
      </c>
      <c r="P138">
        <v>27.536293000000001</v>
      </c>
      <c r="Q138">
        <v>27.697621999999999</v>
      </c>
      <c r="R138">
        <v>27.866129999999998</v>
      </c>
      <c r="S138">
        <v>28.074210999999998</v>
      </c>
      <c r="T138">
        <v>28.316625999999999</v>
      </c>
      <c r="U138">
        <v>28.532719</v>
      </c>
      <c r="V138">
        <v>28.786268</v>
      </c>
      <c r="W138">
        <v>29.008778</v>
      </c>
      <c r="X138">
        <v>29.227716000000001</v>
      </c>
      <c r="Y138">
        <v>29.482227999999999</v>
      </c>
      <c r="Z138">
        <v>29.703945000000001</v>
      </c>
      <c r="AA138">
        <v>30.008914999999998</v>
      </c>
      <c r="AB138">
        <v>30.244368000000001</v>
      </c>
      <c r="AC138">
        <v>30.438238999999999</v>
      </c>
      <c r="AD138">
        <v>30.658199</v>
      </c>
      <c r="AE138" t="s">
        <v>1164</v>
      </c>
    </row>
    <row r="139" spans="1:31" x14ac:dyDescent="0.25">
      <c r="A139" t="s">
        <v>894</v>
      </c>
      <c r="B139" t="s">
        <v>1856</v>
      </c>
      <c r="C139" t="s">
        <v>1829</v>
      </c>
      <c r="D139" t="s">
        <v>73</v>
      </c>
      <c r="E139">
        <v>4.9709199999999996</v>
      </c>
      <c r="F139">
        <v>5.0856490000000001</v>
      </c>
      <c r="G139">
        <v>4.6531880000000001</v>
      </c>
      <c r="H139">
        <v>4.4282380000000003</v>
      </c>
      <c r="I139">
        <v>4.3070589999999997</v>
      </c>
      <c r="J139">
        <v>4.234146</v>
      </c>
      <c r="K139">
        <v>4.1008290000000001</v>
      </c>
      <c r="L139">
        <v>4.0344129999999998</v>
      </c>
      <c r="M139">
        <v>4.0138759999999998</v>
      </c>
      <c r="N139">
        <v>3.9683440000000001</v>
      </c>
      <c r="O139">
        <v>3.9533960000000001</v>
      </c>
      <c r="P139">
        <v>3.9429449999999999</v>
      </c>
      <c r="Q139">
        <v>3.9646400000000002</v>
      </c>
      <c r="R139">
        <v>3.9914079999999998</v>
      </c>
      <c r="S139">
        <v>4.0076539999999996</v>
      </c>
      <c r="T139">
        <v>4.0083650000000004</v>
      </c>
      <c r="U139">
        <v>3.9991680000000001</v>
      </c>
      <c r="V139">
        <v>4.002732</v>
      </c>
      <c r="W139">
        <v>4.000299</v>
      </c>
      <c r="X139">
        <v>3.9983529999999998</v>
      </c>
      <c r="Y139">
        <v>4.0105690000000003</v>
      </c>
      <c r="Z139">
        <v>4.025067</v>
      </c>
      <c r="AA139">
        <v>4.0456729999999999</v>
      </c>
      <c r="AB139">
        <v>4.0645189999999998</v>
      </c>
      <c r="AC139">
        <v>4.0632279999999996</v>
      </c>
      <c r="AD139">
        <v>4.0734219999999999</v>
      </c>
      <c r="AE139" t="s">
        <v>1173</v>
      </c>
    </row>
    <row r="140" spans="1:31" x14ac:dyDescent="0.25">
      <c r="A140" t="s">
        <v>95</v>
      </c>
      <c r="B140" t="s">
        <v>1857</v>
      </c>
      <c r="C140" t="s">
        <v>1833</v>
      </c>
      <c r="D140" t="s">
        <v>73</v>
      </c>
      <c r="E140">
        <v>31.486319000000002</v>
      </c>
      <c r="F140">
        <v>31.544136000000002</v>
      </c>
      <c r="G140">
        <v>31.162479000000001</v>
      </c>
      <c r="H140">
        <v>31.096882999999998</v>
      </c>
      <c r="I140">
        <v>30.899079</v>
      </c>
      <c r="J140">
        <v>30.877058000000002</v>
      </c>
      <c r="K140">
        <v>30.820059000000001</v>
      </c>
      <c r="L140">
        <v>30.913270000000001</v>
      </c>
      <c r="M140">
        <v>31.031580000000002</v>
      </c>
      <c r="N140">
        <v>31.189050999999999</v>
      </c>
      <c r="O140">
        <v>31.332519999999999</v>
      </c>
      <c r="P140">
        <v>31.479237999999999</v>
      </c>
      <c r="Q140">
        <v>31.662261999999998</v>
      </c>
      <c r="R140">
        <v>31.857538000000002</v>
      </c>
      <c r="S140">
        <v>32.081865000000001</v>
      </c>
      <c r="T140">
        <v>32.324990999999997</v>
      </c>
      <c r="U140">
        <v>32.531886999999998</v>
      </c>
      <c r="V140">
        <v>32.789000999999999</v>
      </c>
      <c r="W140">
        <v>33.009076999999998</v>
      </c>
      <c r="X140">
        <v>33.226069000000003</v>
      </c>
      <c r="Y140">
        <v>33.492797000000003</v>
      </c>
      <c r="Z140">
        <v>33.729013000000002</v>
      </c>
      <c r="AA140">
        <v>34.054589</v>
      </c>
      <c r="AB140">
        <v>34.308886999999999</v>
      </c>
      <c r="AC140">
        <v>34.501466999999998</v>
      </c>
      <c r="AD140">
        <v>34.731620999999997</v>
      </c>
      <c r="AE140" t="s">
        <v>1111</v>
      </c>
    </row>
    <row r="141" spans="1:31" x14ac:dyDescent="0.25">
      <c r="A141" t="s">
        <v>897</v>
      </c>
    </row>
    <row r="142" spans="1:31" x14ac:dyDescent="0.25">
      <c r="A142" t="s">
        <v>898</v>
      </c>
    </row>
    <row r="143" spans="1:31" x14ac:dyDescent="0.25">
      <c r="A143" t="s">
        <v>698</v>
      </c>
      <c r="B143" t="s">
        <v>1858</v>
      </c>
      <c r="C143" t="s">
        <v>1859</v>
      </c>
      <c r="D143" t="s">
        <v>901</v>
      </c>
      <c r="E143">
        <v>1.5231E-2</v>
      </c>
      <c r="F143">
        <v>3.9100000000000003E-3</v>
      </c>
      <c r="G143">
        <v>2.0607E-2</v>
      </c>
      <c r="H143">
        <v>2.0251000000000002E-2</v>
      </c>
      <c r="I143">
        <v>2.0046999999999999E-2</v>
      </c>
      <c r="J143">
        <v>1.9924999999999998E-2</v>
      </c>
      <c r="K143">
        <v>1.9729E-2</v>
      </c>
      <c r="L143">
        <v>2.0305E-2</v>
      </c>
      <c r="M143">
        <v>1.9975E-2</v>
      </c>
      <c r="N143">
        <v>1.9885E-2</v>
      </c>
      <c r="O143">
        <v>1.9805E-2</v>
      </c>
      <c r="P143">
        <v>1.9716000000000001E-2</v>
      </c>
      <c r="Q143">
        <v>1.9862999999999999E-2</v>
      </c>
      <c r="R143">
        <v>1.9987999999999999E-2</v>
      </c>
      <c r="S143">
        <v>2.0048E-2</v>
      </c>
      <c r="T143">
        <v>2.0004000000000001E-2</v>
      </c>
      <c r="U143">
        <v>1.9806000000000001E-2</v>
      </c>
      <c r="V143">
        <v>1.9650000000000001E-2</v>
      </c>
      <c r="W143">
        <v>1.9497E-2</v>
      </c>
      <c r="X143">
        <v>1.9352000000000001E-2</v>
      </c>
      <c r="Y143">
        <v>1.9227000000000001E-2</v>
      </c>
      <c r="Z143">
        <v>1.9116999999999999E-2</v>
      </c>
      <c r="AA143">
        <v>1.9011E-2</v>
      </c>
      <c r="AB143">
        <v>1.8912999999999999E-2</v>
      </c>
      <c r="AC143">
        <v>1.8808999999999999E-2</v>
      </c>
      <c r="AD143">
        <v>1.8731000000000001E-2</v>
      </c>
      <c r="AE143" t="s">
        <v>1142</v>
      </c>
    </row>
    <row r="144" spans="1:31" x14ac:dyDescent="0.25">
      <c r="A144" t="s">
        <v>701</v>
      </c>
      <c r="B144" t="s">
        <v>1860</v>
      </c>
      <c r="C144" t="s">
        <v>1861</v>
      </c>
      <c r="D144" t="s">
        <v>901</v>
      </c>
      <c r="E144">
        <v>0.40555200000000002</v>
      </c>
      <c r="F144">
        <v>0.409663</v>
      </c>
      <c r="G144">
        <v>0.40997400000000001</v>
      </c>
      <c r="H144">
        <v>0.39474799999999999</v>
      </c>
      <c r="I144">
        <v>0.38322800000000001</v>
      </c>
      <c r="J144">
        <v>0.37803100000000001</v>
      </c>
      <c r="K144">
        <v>0.37788300000000002</v>
      </c>
      <c r="L144">
        <v>0.37571199999999999</v>
      </c>
      <c r="M144">
        <v>0.37654700000000002</v>
      </c>
      <c r="N144">
        <v>0.377639</v>
      </c>
      <c r="O144">
        <v>0.37918200000000002</v>
      </c>
      <c r="P144">
        <v>0.38183800000000001</v>
      </c>
      <c r="Q144">
        <v>0.38255299999999998</v>
      </c>
      <c r="R144">
        <v>0.383575</v>
      </c>
      <c r="S144">
        <v>0.38770199999999999</v>
      </c>
      <c r="T144">
        <v>0.39077099999999998</v>
      </c>
      <c r="U144">
        <v>0.39470300000000003</v>
      </c>
      <c r="V144">
        <v>0.39963900000000002</v>
      </c>
      <c r="W144">
        <v>0.40427000000000002</v>
      </c>
      <c r="X144">
        <v>0.40877400000000003</v>
      </c>
      <c r="Y144">
        <v>0.41319299999999998</v>
      </c>
      <c r="Z144">
        <v>0.41735800000000001</v>
      </c>
      <c r="AA144">
        <v>0.42235400000000001</v>
      </c>
      <c r="AB144">
        <v>0.42671100000000001</v>
      </c>
      <c r="AC144">
        <v>0.42842200000000003</v>
      </c>
      <c r="AD144">
        <v>0.43243900000000002</v>
      </c>
      <c r="AE144" t="s">
        <v>1161</v>
      </c>
    </row>
    <row r="145" spans="1:31" x14ac:dyDescent="0.25">
      <c r="A145" t="s">
        <v>101</v>
      </c>
      <c r="B145" t="s">
        <v>1862</v>
      </c>
      <c r="C145" t="s">
        <v>1863</v>
      </c>
      <c r="D145" t="s">
        <v>901</v>
      </c>
      <c r="E145">
        <v>3.1497999999999998E-2</v>
      </c>
      <c r="F145">
        <v>3.1177E-2</v>
      </c>
      <c r="G145">
        <v>3.1026999999999999E-2</v>
      </c>
      <c r="H145">
        <v>3.1195000000000001E-2</v>
      </c>
      <c r="I145">
        <v>3.1336000000000003E-2</v>
      </c>
      <c r="J145">
        <v>3.1538999999999998E-2</v>
      </c>
      <c r="K145">
        <v>3.1704000000000003E-2</v>
      </c>
      <c r="L145">
        <v>3.1809999999999998E-2</v>
      </c>
      <c r="M145">
        <v>3.1866999999999999E-2</v>
      </c>
      <c r="N145">
        <v>3.1980000000000001E-2</v>
      </c>
      <c r="O145">
        <v>3.2016000000000003E-2</v>
      </c>
      <c r="P145">
        <v>3.2030999999999997E-2</v>
      </c>
      <c r="Q145">
        <v>3.2000000000000001E-2</v>
      </c>
      <c r="R145">
        <v>3.1965E-2</v>
      </c>
      <c r="S145">
        <v>3.1928999999999999E-2</v>
      </c>
      <c r="T145">
        <v>3.1879999999999999E-2</v>
      </c>
      <c r="U145">
        <v>3.1849000000000002E-2</v>
      </c>
      <c r="V145">
        <v>3.1793000000000002E-2</v>
      </c>
      <c r="W145">
        <v>3.1760999999999998E-2</v>
      </c>
      <c r="X145">
        <v>3.1705999999999998E-2</v>
      </c>
      <c r="Y145">
        <v>3.1635999999999997E-2</v>
      </c>
      <c r="Z145">
        <v>3.1563000000000001E-2</v>
      </c>
      <c r="AA145">
        <v>3.1508000000000001E-2</v>
      </c>
      <c r="AB145">
        <v>3.1461999999999997E-2</v>
      </c>
      <c r="AC145">
        <v>3.1391000000000002E-2</v>
      </c>
      <c r="AD145">
        <v>3.1326E-2</v>
      </c>
      <c r="AE145" t="s">
        <v>1426</v>
      </c>
    </row>
    <row r="146" spans="1:31" x14ac:dyDescent="0.25">
      <c r="A146" t="s">
        <v>74</v>
      </c>
      <c r="B146" t="s">
        <v>1864</v>
      </c>
      <c r="C146" t="s">
        <v>1865</v>
      </c>
      <c r="D146" t="s">
        <v>901</v>
      </c>
      <c r="E146">
        <v>0.13341500000000001</v>
      </c>
      <c r="F146">
        <v>0.13269800000000001</v>
      </c>
      <c r="G146">
        <v>0.13115099999999999</v>
      </c>
      <c r="H146">
        <v>0.13092300000000001</v>
      </c>
      <c r="I146">
        <v>0.131135</v>
      </c>
      <c r="J146">
        <v>0.13156100000000001</v>
      </c>
      <c r="K146">
        <v>0.13168299999999999</v>
      </c>
      <c r="L146">
        <v>0.132328</v>
      </c>
      <c r="M146">
        <v>0.13227800000000001</v>
      </c>
      <c r="N146">
        <v>0.13239200000000001</v>
      </c>
      <c r="O146">
        <v>0.13241</v>
      </c>
      <c r="P146">
        <v>0.132298</v>
      </c>
      <c r="Q146">
        <v>0.132184</v>
      </c>
      <c r="R146">
        <v>0.132053</v>
      </c>
      <c r="S146">
        <v>0.131823</v>
      </c>
      <c r="T146">
        <v>0.13137799999999999</v>
      </c>
      <c r="U146">
        <v>0.13086200000000001</v>
      </c>
      <c r="V146">
        <v>0.13036800000000001</v>
      </c>
      <c r="W146">
        <v>0.129971</v>
      </c>
      <c r="X146">
        <v>0.12954299999999999</v>
      </c>
      <c r="Y146">
        <v>0.129136</v>
      </c>
      <c r="Z146">
        <v>0.12870500000000001</v>
      </c>
      <c r="AA146">
        <v>0.12832299999999999</v>
      </c>
      <c r="AB146">
        <v>0.127995</v>
      </c>
      <c r="AC146">
        <v>0.12761</v>
      </c>
      <c r="AD146">
        <v>0.127272</v>
      </c>
      <c r="AE146" t="s">
        <v>1222</v>
      </c>
    </row>
    <row r="147" spans="1:31" x14ac:dyDescent="0.25">
      <c r="A147" t="s">
        <v>109</v>
      </c>
      <c r="B147" t="s">
        <v>1866</v>
      </c>
      <c r="C147" t="s">
        <v>1867</v>
      </c>
      <c r="D147" t="s">
        <v>901</v>
      </c>
      <c r="E147">
        <v>4.6969999999999998E-3</v>
      </c>
      <c r="F147">
        <v>4.516E-3</v>
      </c>
      <c r="G147">
        <v>3.9870000000000001E-3</v>
      </c>
      <c r="H147">
        <v>3.8709999999999999E-3</v>
      </c>
      <c r="I147">
        <v>3.7499999999999999E-3</v>
      </c>
      <c r="J147">
        <v>3.82E-3</v>
      </c>
      <c r="K147">
        <v>3.6930000000000001E-3</v>
      </c>
      <c r="L147">
        <v>3.6779999999999998E-3</v>
      </c>
      <c r="M147">
        <v>3.6020000000000002E-3</v>
      </c>
      <c r="N147">
        <v>3.5769999999999999E-3</v>
      </c>
      <c r="O147">
        <v>3.519E-3</v>
      </c>
      <c r="P147">
        <v>3.4659999999999999E-3</v>
      </c>
      <c r="Q147">
        <v>3.4060000000000002E-3</v>
      </c>
      <c r="R147">
        <v>3.3379999999999998E-3</v>
      </c>
      <c r="S147">
        <v>3.2959999999999999E-3</v>
      </c>
      <c r="T147">
        <v>3.2309999999999999E-3</v>
      </c>
      <c r="U147">
        <v>3.1350000000000002E-3</v>
      </c>
      <c r="V147">
        <v>3.016E-3</v>
      </c>
      <c r="W147">
        <v>2.8839999999999998E-3</v>
      </c>
      <c r="X147">
        <v>2.7550000000000001E-3</v>
      </c>
      <c r="Y147">
        <v>2.6519999999999998E-3</v>
      </c>
      <c r="Z147">
        <v>2.5950000000000001E-3</v>
      </c>
      <c r="AA147">
        <v>2.5500000000000002E-3</v>
      </c>
      <c r="AB147">
        <v>2.4919999999999999E-3</v>
      </c>
      <c r="AC147">
        <v>2.4429999999999999E-3</v>
      </c>
      <c r="AD147">
        <v>2.405E-3</v>
      </c>
      <c r="AE147" t="s">
        <v>1868</v>
      </c>
    </row>
    <row r="148" spans="1:31" x14ac:dyDescent="0.25">
      <c r="A148" t="s">
        <v>140</v>
      </c>
      <c r="B148" t="s">
        <v>1869</v>
      </c>
      <c r="C148" t="s">
        <v>1870</v>
      </c>
      <c r="D148" t="s">
        <v>901</v>
      </c>
      <c r="E148">
        <v>4.7446000000000002E-2</v>
      </c>
      <c r="F148">
        <v>3.8633000000000001E-2</v>
      </c>
      <c r="G148">
        <v>3.9300000000000002E-2</v>
      </c>
      <c r="H148">
        <v>6.1622999999999997E-2</v>
      </c>
      <c r="I148">
        <v>6.1131999999999999E-2</v>
      </c>
      <c r="J148">
        <v>6.0465999999999999E-2</v>
      </c>
      <c r="K148">
        <v>5.9909999999999998E-2</v>
      </c>
      <c r="L148">
        <v>5.9261000000000001E-2</v>
      </c>
      <c r="M148">
        <v>5.8775000000000001E-2</v>
      </c>
      <c r="N148">
        <v>5.8285000000000003E-2</v>
      </c>
      <c r="O148">
        <v>5.7771999999999997E-2</v>
      </c>
      <c r="P148">
        <v>5.7265999999999997E-2</v>
      </c>
      <c r="Q148">
        <v>5.6716000000000003E-2</v>
      </c>
      <c r="R148">
        <v>5.6197999999999998E-2</v>
      </c>
      <c r="S148">
        <v>5.5678999999999999E-2</v>
      </c>
      <c r="T148">
        <v>5.5139000000000001E-2</v>
      </c>
      <c r="U148">
        <v>5.4622999999999998E-2</v>
      </c>
      <c r="V148">
        <v>5.4100000000000002E-2</v>
      </c>
      <c r="W148">
        <v>5.3641000000000001E-2</v>
      </c>
      <c r="X148">
        <v>5.3173999999999999E-2</v>
      </c>
      <c r="Y148">
        <v>5.2630000000000003E-2</v>
      </c>
      <c r="Z148">
        <v>5.2068000000000003E-2</v>
      </c>
      <c r="AA148">
        <v>5.1522999999999999E-2</v>
      </c>
      <c r="AB148">
        <v>5.1052E-2</v>
      </c>
      <c r="AC148">
        <v>5.0569999999999997E-2</v>
      </c>
      <c r="AD148">
        <v>5.0111999999999997E-2</v>
      </c>
      <c r="AE148" t="s">
        <v>1081</v>
      </c>
    </row>
    <row r="149" spans="1:31" x14ac:dyDescent="0.25">
      <c r="A149" t="s">
        <v>726</v>
      </c>
      <c r="B149" t="s">
        <v>1871</v>
      </c>
      <c r="C149" t="s">
        <v>1872</v>
      </c>
      <c r="D149" t="s">
        <v>901</v>
      </c>
      <c r="E149">
        <v>5.9652999999999998E-2</v>
      </c>
      <c r="F149">
        <v>6.1565000000000002E-2</v>
      </c>
      <c r="G149">
        <v>6.0040999999999997E-2</v>
      </c>
      <c r="H149">
        <v>6.2738000000000002E-2</v>
      </c>
      <c r="I149">
        <v>6.2028E-2</v>
      </c>
      <c r="J149">
        <v>6.1407999999999997E-2</v>
      </c>
      <c r="K149">
        <v>5.9984000000000003E-2</v>
      </c>
      <c r="L149">
        <v>5.9222999999999998E-2</v>
      </c>
      <c r="M149">
        <v>5.8465999999999997E-2</v>
      </c>
      <c r="N149">
        <v>5.8157E-2</v>
      </c>
      <c r="O149">
        <v>5.7364999999999999E-2</v>
      </c>
      <c r="P149">
        <v>5.6587999999999999E-2</v>
      </c>
      <c r="Q149">
        <v>5.5925000000000002E-2</v>
      </c>
      <c r="R149">
        <v>5.5190000000000003E-2</v>
      </c>
      <c r="S149">
        <v>5.4390000000000001E-2</v>
      </c>
      <c r="T149">
        <v>5.4008E-2</v>
      </c>
      <c r="U149">
        <v>5.3381999999999999E-2</v>
      </c>
      <c r="V149">
        <v>5.2816000000000002E-2</v>
      </c>
      <c r="W149">
        <v>5.2220000000000003E-2</v>
      </c>
      <c r="X149">
        <v>5.1512000000000002E-2</v>
      </c>
      <c r="Y149">
        <v>5.1040000000000002E-2</v>
      </c>
      <c r="Z149">
        <v>5.0008999999999998E-2</v>
      </c>
      <c r="AA149">
        <v>4.8839E-2</v>
      </c>
      <c r="AB149">
        <v>4.8240999999999999E-2</v>
      </c>
      <c r="AC149">
        <v>4.7728E-2</v>
      </c>
      <c r="AD149">
        <v>4.7192999999999999E-2</v>
      </c>
      <c r="AE149" t="s">
        <v>1239</v>
      </c>
    </row>
    <row r="150" spans="1:31" x14ac:dyDescent="0.25">
      <c r="A150" t="s">
        <v>662</v>
      </c>
      <c r="B150" t="s">
        <v>1873</v>
      </c>
      <c r="C150" t="s">
        <v>1874</v>
      </c>
      <c r="D150" t="s">
        <v>901</v>
      </c>
      <c r="E150">
        <v>9.9447999999999995E-2</v>
      </c>
      <c r="F150">
        <v>9.7499000000000002E-2</v>
      </c>
      <c r="G150">
        <v>9.6520999999999996E-2</v>
      </c>
      <c r="H150">
        <v>0.101372</v>
      </c>
      <c r="I150">
        <v>0.10134</v>
      </c>
      <c r="J150">
        <v>0.100496</v>
      </c>
      <c r="K150">
        <v>9.9725999999999995E-2</v>
      </c>
      <c r="L150">
        <v>9.8896999999999999E-2</v>
      </c>
      <c r="M150">
        <v>9.8414000000000001E-2</v>
      </c>
      <c r="N150">
        <v>9.7864000000000007E-2</v>
      </c>
      <c r="O150">
        <v>9.7078999999999999E-2</v>
      </c>
      <c r="P150">
        <v>9.6460000000000004E-2</v>
      </c>
      <c r="Q150">
        <v>9.5903000000000002E-2</v>
      </c>
      <c r="R150">
        <v>9.5383999999999997E-2</v>
      </c>
      <c r="S150">
        <v>9.4855999999999996E-2</v>
      </c>
      <c r="T150">
        <v>9.4248999999999999E-2</v>
      </c>
      <c r="U150">
        <v>9.3608999999999998E-2</v>
      </c>
      <c r="V150">
        <v>9.2920000000000003E-2</v>
      </c>
      <c r="W150">
        <v>9.2171000000000003E-2</v>
      </c>
      <c r="X150">
        <v>9.1864000000000001E-2</v>
      </c>
      <c r="Y150">
        <v>9.1477000000000003E-2</v>
      </c>
      <c r="Z150">
        <v>9.0462000000000001E-2</v>
      </c>
      <c r="AA150">
        <v>8.9411000000000004E-2</v>
      </c>
      <c r="AB150">
        <v>8.8607000000000005E-2</v>
      </c>
      <c r="AC150">
        <v>8.7634000000000004E-2</v>
      </c>
      <c r="AD150">
        <v>8.6657999999999999E-2</v>
      </c>
      <c r="AE150" t="s">
        <v>1122</v>
      </c>
    </row>
    <row r="151" spans="1:31" x14ac:dyDescent="0.25">
      <c r="A151" t="s">
        <v>778</v>
      </c>
      <c r="B151" t="s">
        <v>1875</v>
      </c>
      <c r="C151" t="s">
        <v>1876</v>
      </c>
      <c r="D151" t="s">
        <v>901</v>
      </c>
      <c r="E151">
        <v>0.15428700000000001</v>
      </c>
      <c r="F151">
        <v>0.153416</v>
      </c>
      <c r="G151">
        <v>0.149449</v>
      </c>
      <c r="H151">
        <v>0.15040500000000001</v>
      </c>
      <c r="I151">
        <v>0.150312</v>
      </c>
      <c r="J151">
        <v>0.15137100000000001</v>
      </c>
      <c r="K151">
        <v>0.14891699999999999</v>
      </c>
      <c r="L151">
        <v>0.14976900000000001</v>
      </c>
      <c r="M151">
        <v>0.14813499999999999</v>
      </c>
      <c r="N151">
        <v>0.147621</v>
      </c>
      <c r="O151">
        <v>0.14643900000000001</v>
      </c>
      <c r="P151">
        <v>0.14565800000000001</v>
      </c>
      <c r="Q151">
        <v>0.14501500000000001</v>
      </c>
      <c r="R151">
        <v>0.143509</v>
      </c>
      <c r="S151">
        <v>0.14195199999999999</v>
      </c>
      <c r="T151">
        <v>0.14202699999999999</v>
      </c>
      <c r="U151">
        <v>0.14080500000000001</v>
      </c>
      <c r="V151">
        <v>0.139575</v>
      </c>
      <c r="W151">
        <v>0.139296</v>
      </c>
      <c r="X151">
        <v>0.137458</v>
      </c>
      <c r="Y151">
        <v>0.13564000000000001</v>
      </c>
      <c r="Z151">
        <v>0.13264300000000001</v>
      </c>
      <c r="AA151">
        <v>0.133691</v>
      </c>
      <c r="AB151">
        <v>0.13070699999999999</v>
      </c>
      <c r="AC151">
        <v>0.13023499999999999</v>
      </c>
      <c r="AD151">
        <v>0.12790399999999999</v>
      </c>
      <c r="AE151" t="s">
        <v>1068</v>
      </c>
    </row>
    <row r="152" spans="1:31" x14ac:dyDescent="0.25">
      <c r="A152" t="s">
        <v>731</v>
      </c>
      <c r="B152" t="s">
        <v>1877</v>
      </c>
      <c r="C152" t="s">
        <v>1878</v>
      </c>
      <c r="D152" t="s">
        <v>901</v>
      </c>
      <c r="E152">
        <v>3.9663999999999998E-2</v>
      </c>
      <c r="F152">
        <v>3.986E-2</v>
      </c>
      <c r="G152">
        <v>3.9386999999999998E-2</v>
      </c>
      <c r="H152">
        <v>3.9497999999999998E-2</v>
      </c>
      <c r="I152">
        <v>3.9744000000000002E-2</v>
      </c>
      <c r="J152">
        <v>3.9453000000000002E-2</v>
      </c>
      <c r="K152">
        <v>3.9835000000000002E-2</v>
      </c>
      <c r="L152">
        <v>3.9841000000000001E-2</v>
      </c>
      <c r="M152">
        <v>4.1589000000000001E-2</v>
      </c>
      <c r="N152">
        <v>4.1737999999999997E-2</v>
      </c>
      <c r="O152">
        <v>4.1987999999999998E-2</v>
      </c>
      <c r="P152">
        <v>4.2230999999999998E-2</v>
      </c>
      <c r="Q152">
        <v>4.2923000000000003E-2</v>
      </c>
      <c r="R152">
        <v>4.3264999999999998E-2</v>
      </c>
      <c r="S152">
        <v>4.3782000000000001E-2</v>
      </c>
      <c r="T152">
        <v>4.3372000000000001E-2</v>
      </c>
      <c r="U152">
        <v>4.3797000000000003E-2</v>
      </c>
      <c r="V152">
        <v>4.3963000000000002E-2</v>
      </c>
      <c r="W152">
        <v>4.3691000000000001E-2</v>
      </c>
      <c r="X152">
        <v>4.3961E-2</v>
      </c>
      <c r="Y152">
        <v>4.3936999999999997E-2</v>
      </c>
      <c r="Z152">
        <v>4.4110000000000003E-2</v>
      </c>
      <c r="AA152">
        <v>4.3916999999999998E-2</v>
      </c>
      <c r="AB152">
        <v>4.4477000000000003E-2</v>
      </c>
      <c r="AC152">
        <v>4.4398E-2</v>
      </c>
      <c r="AD152">
        <v>4.4180999999999998E-2</v>
      </c>
      <c r="AE152" t="s">
        <v>1111</v>
      </c>
    </row>
    <row r="153" spans="1:31" x14ac:dyDescent="0.25">
      <c r="A153" t="s">
        <v>77</v>
      </c>
      <c r="B153" t="s">
        <v>1879</v>
      </c>
      <c r="C153" t="s">
        <v>1880</v>
      </c>
      <c r="D153" t="s">
        <v>901</v>
      </c>
      <c r="E153">
        <v>0.99089000000000005</v>
      </c>
      <c r="F153">
        <v>0.97293700000000005</v>
      </c>
      <c r="G153">
        <v>0.98144299999999995</v>
      </c>
      <c r="H153">
        <v>0.99662399999999995</v>
      </c>
      <c r="I153">
        <v>0.98405299999999996</v>
      </c>
      <c r="J153">
        <v>0.97806999999999999</v>
      </c>
      <c r="K153">
        <v>0.97306400000000004</v>
      </c>
      <c r="L153">
        <v>0.97082500000000005</v>
      </c>
      <c r="M153">
        <v>0.96964700000000004</v>
      </c>
      <c r="N153">
        <v>0.96913800000000005</v>
      </c>
      <c r="O153">
        <v>0.96757599999999999</v>
      </c>
      <c r="P153">
        <v>0.96755199999999997</v>
      </c>
      <c r="Q153">
        <v>0.96648699999999999</v>
      </c>
      <c r="R153">
        <v>0.96446500000000002</v>
      </c>
      <c r="S153">
        <v>0.96545599999999998</v>
      </c>
      <c r="T153">
        <v>0.966059</v>
      </c>
      <c r="U153">
        <v>0.96657000000000004</v>
      </c>
      <c r="V153">
        <v>0.967839</v>
      </c>
      <c r="W153">
        <v>0.96940199999999999</v>
      </c>
      <c r="X153">
        <v>0.97009999999999996</v>
      </c>
      <c r="Y153">
        <v>0.97056900000000002</v>
      </c>
      <c r="Z153">
        <v>0.96862899999999996</v>
      </c>
      <c r="AA153">
        <v>0.97112699999999996</v>
      </c>
      <c r="AB153">
        <v>0.97065800000000002</v>
      </c>
      <c r="AC153">
        <v>0.96924100000000002</v>
      </c>
      <c r="AD153">
        <v>0.968221</v>
      </c>
      <c r="AE153" t="s">
        <v>1231</v>
      </c>
    </row>
    <row r="154" spans="1:31" x14ac:dyDescent="0.25">
      <c r="A154" t="s">
        <v>736</v>
      </c>
      <c r="B154" t="s">
        <v>1881</v>
      </c>
      <c r="C154" t="s">
        <v>1882</v>
      </c>
      <c r="D154" t="s">
        <v>901</v>
      </c>
      <c r="E154">
        <v>0.89246300000000001</v>
      </c>
      <c r="F154">
        <v>0.87575099999999995</v>
      </c>
      <c r="G154">
        <v>0.85396499999999997</v>
      </c>
      <c r="H154">
        <v>0.84821500000000005</v>
      </c>
      <c r="I154">
        <v>0.84161300000000006</v>
      </c>
      <c r="J154">
        <v>0.83295799999999998</v>
      </c>
      <c r="K154">
        <v>0.829183</v>
      </c>
      <c r="L154">
        <v>0.82294699999999998</v>
      </c>
      <c r="M154">
        <v>0.816106</v>
      </c>
      <c r="N154">
        <v>0.81179999999999997</v>
      </c>
      <c r="O154">
        <v>0.80693199999999998</v>
      </c>
      <c r="P154">
        <v>0.80060600000000004</v>
      </c>
      <c r="Q154">
        <v>0.79237299999999999</v>
      </c>
      <c r="R154">
        <v>0.78625500000000004</v>
      </c>
      <c r="S154">
        <v>0.78039499999999995</v>
      </c>
      <c r="T154">
        <v>0.77639000000000002</v>
      </c>
      <c r="U154">
        <v>0.77306799999999998</v>
      </c>
      <c r="V154">
        <v>0.77224999999999999</v>
      </c>
      <c r="W154">
        <v>0.77270099999999997</v>
      </c>
      <c r="X154">
        <v>0.77251099999999995</v>
      </c>
      <c r="Y154">
        <v>0.77174799999999999</v>
      </c>
      <c r="Z154">
        <v>0.76926300000000003</v>
      </c>
      <c r="AA154">
        <v>0.76849199999999995</v>
      </c>
      <c r="AB154">
        <v>0.76700000000000002</v>
      </c>
      <c r="AC154">
        <v>0.76422900000000005</v>
      </c>
      <c r="AD154">
        <v>0.764262</v>
      </c>
      <c r="AE154" t="s">
        <v>1474</v>
      </c>
    </row>
    <row r="155" spans="1:31" x14ac:dyDescent="0.25">
      <c r="A155" t="s">
        <v>924</v>
      </c>
      <c r="B155" t="s">
        <v>1883</v>
      </c>
      <c r="C155" t="s">
        <v>1884</v>
      </c>
      <c r="D155" t="s">
        <v>901</v>
      </c>
      <c r="E155">
        <v>0.13509299999999999</v>
      </c>
      <c r="F155">
        <v>0.12676200000000001</v>
      </c>
      <c r="G155">
        <v>0.123098</v>
      </c>
      <c r="H155">
        <v>0.122638</v>
      </c>
      <c r="I155">
        <v>0.122692</v>
      </c>
      <c r="J155">
        <v>0.120824</v>
      </c>
      <c r="K155">
        <v>0.11867</v>
      </c>
      <c r="L155">
        <v>0.117464</v>
      </c>
      <c r="M155">
        <v>0.11734899999999999</v>
      </c>
      <c r="N155">
        <v>0.119195</v>
      </c>
      <c r="O155">
        <v>0.11931899999999999</v>
      </c>
      <c r="P155">
        <v>0.11903900000000001</v>
      </c>
      <c r="Q155">
        <v>0.11996999999999999</v>
      </c>
      <c r="R155">
        <v>0.120051</v>
      </c>
      <c r="S155">
        <v>0.12031500000000001</v>
      </c>
      <c r="T155">
        <v>0.11962100000000001</v>
      </c>
      <c r="U155">
        <v>0.119531</v>
      </c>
      <c r="V155">
        <v>0.11927400000000001</v>
      </c>
      <c r="W155">
        <v>0.11980200000000001</v>
      </c>
      <c r="X155">
        <v>0.12171700000000001</v>
      </c>
      <c r="Y155">
        <v>0.122681</v>
      </c>
      <c r="Z155">
        <v>0.12271600000000001</v>
      </c>
      <c r="AA155">
        <v>0.123101</v>
      </c>
      <c r="AB155">
        <v>0.12320299999999999</v>
      </c>
      <c r="AC155">
        <v>0.122935</v>
      </c>
      <c r="AD155">
        <v>0.122916</v>
      </c>
      <c r="AE155" t="s">
        <v>1190</v>
      </c>
    </row>
    <row r="156" spans="1:31" x14ac:dyDescent="0.25">
      <c r="A156" t="s">
        <v>150</v>
      </c>
      <c r="B156" t="s">
        <v>1885</v>
      </c>
      <c r="C156" t="s">
        <v>1886</v>
      </c>
      <c r="D156" t="s">
        <v>901</v>
      </c>
      <c r="E156">
        <v>0.24545500000000001</v>
      </c>
      <c r="F156">
        <v>0.24318400000000001</v>
      </c>
      <c r="G156">
        <v>0.24382799999999999</v>
      </c>
      <c r="H156">
        <v>0.24259700000000001</v>
      </c>
      <c r="I156">
        <v>0.24032000000000001</v>
      </c>
      <c r="J156">
        <v>0.24221400000000001</v>
      </c>
      <c r="K156">
        <v>0.24665100000000001</v>
      </c>
      <c r="L156">
        <v>0.25158700000000001</v>
      </c>
      <c r="M156">
        <v>0.25596200000000002</v>
      </c>
      <c r="N156">
        <v>0.259905</v>
      </c>
      <c r="O156">
        <v>0.25984200000000002</v>
      </c>
      <c r="P156">
        <v>0.25849499999999997</v>
      </c>
      <c r="Q156">
        <v>0.25705499999999998</v>
      </c>
      <c r="R156">
        <v>0.25614599999999998</v>
      </c>
      <c r="S156">
        <v>0.255581</v>
      </c>
      <c r="T156">
        <v>0.25739400000000001</v>
      </c>
      <c r="U156">
        <v>0.25839400000000001</v>
      </c>
      <c r="V156">
        <v>0.25874999999999998</v>
      </c>
      <c r="W156">
        <v>0.25796000000000002</v>
      </c>
      <c r="X156">
        <v>0.25599</v>
      </c>
      <c r="Y156">
        <v>0.25319199999999997</v>
      </c>
      <c r="Z156">
        <v>0.25147900000000001</v>
      </c>
      <c r="AA156">
        <v>0.25045400000000001</v>
      </c>
      <c r="AB156">
        <v>0.24964500000000001</v>
      </c>
      <c r="AC156">
        <v>0.24729599999999999</v>
      </c>
      <c r="AD156">
        <v>0.24462800000000001</v>
      </c>
      <c r="AE156" t="s">
        <v>1426</v>
      </c>
    </row>
    <row r="157" spans="1:31" x14ac:dyDescent="0.25">
      <c r="A157" t="s">
        <v>153</v>
      </c>
      <c r="B157" t="s">
        <v>1887</v>
      </c>
      <c r="C157" t="s">
        <v>1888</v>
      </c>
      <c r="D157" t="s">
        <v>901</v>
      </c>
      <c r="E157">
        <v>1.2730109999999999</v>
      </c>
      <c r="F157">
        <v>1.2456970000000001</v>
      </c>
      <c r="G157">
        <v>1.2208909999999999</v>
      </c>
      <c r="H157">
        <v>1.2134499999999999</v>
      </c>
      <c r="I157">
        <v>1.2046250000000001</v>
      </c>
      <c r="J157">
        <v>1.1959960000000001</v>
      </c>
      <c r="K157">
        <v>1.1945049999999999</v>
      </c>
      <c r="L157">
        <v>1.1919979999999999</v>
      </c>
      <c r="M157">
        <v>1.1894169999999999</v>
      </c>
      <c r="N157">
        <v>1.190901</v>
      </c>
      <c r="O157">
        <v>1.1860930000000001</v>
      </c>
      <c r="P157">
        <v>1.17814</v>
      </c>
      <c r="Q157">
        <v>1.1693979999999999</v>
      </c>
      <c r="R157">
        <v>1.162452</v>
      </c>
      <c r="S157">
        <v>1.156291</v>
      </c>
      <c r="T157">
        <v>1.1534059999999999</v>
      </c>
      <c r="U157">
        <v>1.1509929999999999</v>
      </c>
      <c r="V157">
        <v>1.1502730000000001</v>
      </c>
      <c r="W157">
        <v>1.1504620000000001</v>
      </c>
      <c r="X157">
        <v>1.1502190000000001</v>
      </c>
      <c r="Y157">
        <v>1.147621</v>
      </c>
      <c r="Z157">
        <v>1.143459</v>
      </c>
      <c r="AA157">
        <v>1.142048</v>
      </c>
      <c r="AB157">
        <v>1.139848</v>
      </c>
      <c r="AC157">
        <v>1.1344609999999999</v>
      </c>
      <c r="AD157">
        <v>1.1318060000000001</v>
      </c>
      <c r="AE157" t="s">
        <v>1122</v>
      </c>
    </row>
    <row r="158" spans="1:31" x14ac:dyDescent="0.25">
      <c r="A158" t="s">
        <v>749</v>
      </c>
      <c r="B158" t="s">
        <v>1889</v>
      </c>
      <c r="C158" t="s">
        <v>1890</v>
      </c>
      <c r="D158" t="s">
        <v>901</v>
      </c>
      <c r="E158">
        <v>4.4497000000000002E-2</v>
      </c>
      <c r="F158">
        <v>4.5957999999999999E-2</v>
      </c>
      <c r="G158">
        <v>4.7474000000000002E-2</v>
      </c>
      <c r="H158">
        <v>4.5388999999999999E-2</v>
      </c>
      <c r="I158">
        <v>4.3817000000000002E-2</v>
      </c>
      <c r="J158">
        <v>4.2700000000000002E-2</v>
      </c>
      <c r="K158">
        <v>4.1494000000000003E-2</v>
      </c>
      <c r="L158">
        <v>4.0485E-2</v>
      </c>
      <c r="M158">
        <v>3.9531999999999998E-2</v>
      </c>
      <c r="N158">
        <v>3.8169000000000002E-2</v>
      </c>
      <c r="O158">
        <v>3.6999999999999998E-2</v>
      </c>
      <c r="P158">
        <v>3.5637000000000002E-2</v>
      </c>
      <c r="Q158">
        <v>3.4391999999999999E-2</v>
      </c>
      <c r="R158">
        <v>3.3098000000000002E-2</v>
      </c>
      <c r="S158">
        <v>3.1781999999999998E-2</v>
      </c>
      <c r="T158">
        <v>3.0689999999999999E-2</v>
      </c>
      <c r="U158">
        <v>2.9704000000000001E-2</v>
      </c>
      <c r="V158">
        <v>2.8749E-2</v>
      </c>
      <c r="W158">
        <v>2.7778000000000001E-2</v>
      </c>
      <c r="X158">
        <v>2.6825000000000002E-2</v>
      </c>
      <c r="Y158">
        <v>2.6027999999999999E-2</v>
      </c>
      <c r="Z158">
        <v>2.5135999999999999E-2</v>
      </c>
      <c r="AA158">
        <v>2.435E-2</v>
      </c>
      <c r="AB158">
        <v>2.3566E-2</v>
      </c>
      <c r="AC158">
        <v>2.2672000000000001E-2</v>
      </c>
      <c r="AD158">
        <v>2.1916000000000001E-2</v>
      </c>
      <c r="AE158" t="s">
        <v>1891</v>
      </c>
    </row>
    <row r="159" spans="1:31" x14ac:dyDescent="0.25">
      <c r="A159" t="s">
        <v>309</v>
      </c>
      <c r="B159" t="s">
        <v>1892</v>
      </c>
      <c r="C159" t="s">
        <v>1893</v>
      </c>
      <c r="D159" t="s">
        <v>901</v>
      </c>
      <c r="E159">
        <v>4.6001E-2</v>
      </c>
      <c r="F159">
        <v>4.2122E-2</v>
      </c>
      <c r="G159">
        <v>4.1515999999999997E-2</v>
      </c>
      <c r="H159">
        <v>4.0856000000000003E-2</v>
      </c>
      <c r="I159">
        <v>4.0139000000000001E-2</v>
      </c>
      <c r="J159">
        <v>3.9392999999999997E-2</v>
      </c>
      <c r="K159">
        <v>3.8591E-2</v>
      </c>
      <c r="L159">
        <v>3.8322000000000002E-2</v>
      </c>
      <c r="M159">
        <v>3.8034999999999999E-2</v>
      </c>
      <c r="N159">
        <v>3.7600000000000001E-2</v>
      </c>
      <c r="O159">
        <v>3.7096999999999998E-2</v>
      </c>
      <c r="P159">
        <v>3.6471999999999997E-2</v>
      </c>
      <c r="Q159">
        <v>3.5742000000000003E-2</v>
      </c>
      <c r="R159">
        <v>3.4979999999999997E-2</v>
      </c>
      <c r="S159">
        <v>3.4201000000000002E-2</v>
      </c>
      <c r="T159">
        <v>3.3426999999999998E-2</v>
      </c>
      <c r="U159">
        <v>3.2691999999999999E-2</v>
      </c>
      <c r="V159">
        <v>3.1944E-2</v>
      </c>
      <c r="W159">
        <v>3.1233E-2</v>
      </c>
      <c r="X159">
        <v>3.0537000000000002E-2</v>
      </c>
      <c r="Y159">
        <v>2.9863000000000001E-2</v>
      </c>
      <c r="Z159">
        <v>2.9208999999999999E-2</v>
      </c>
      <c r="AA159">
        <v>2.8583999999999998E-2</v>
      </c>
      <c r="AB159">
        <v>2.8001000000000002E-2</v>
      </c>
      <c r="AC159">
        <v>2.7404000000000001E-2</v>
      </c>
      <c r="AD159">
        <v>2.6848E-2</v>
      </c>
      <c r="AE159" t="s">
        <v>1894</v>
      </c>
    </row>
    <row r="160" spans="1:31" x14ac:dyDescent="0.25">
      <c r="A160" t="s">
        <v>165</v>
      </c>
      <c r="B160" t="s">
        <v>1895</v>
      </c>
      <c r="C160" t="s">
        <v>1896</v>
      </c>
      <c r="D160" t="s">
        <v>901</v>
      </c>
      <c r="E160">
        <v>9.0497999999999995E-2</v>
      </c>
      <c r="F160">
        <v>8.8080000000000006E-2</v>
      </c>
      <c r="G160">
        <v>8.8991000000000001E-2</v>
      </c>
      <c r="H160">
        <v>8.6244000000000001E-2</v>
      </c>
      <c r="I160">
        <v>8.3957000000000004E-2</v>
      </c>
      <c r="J160">
        <v>8.2092999999999999E-2</v>
      </c>
      <c r="K160">
        <v>8.0085000000000003E-2</v>
      </c>
      <c r="L160">
        <v>7.8807000000000002E-2</v>
      </c>
      <c r="M160">
        <v>7.7567999999999998E-2</v>
      </c>
      <c r="N160">
        <v>7.5769000000000003E-2</v>
      </c>
      <c r="O160">
        <v>7.4095999999999995E-2</v>
      </c>
      <c r="P160">
        <v>7.2109000000000006E-2</v>
      </c>
      <c r="Q160">
        <v>7.0134000000000002E-2</v>
      </c>
      <c r="R160">
        <v>6.8078E-2</v>
      </c>
      <c r="S160">
        <v>6.5981999999999999E-2</v>
      </c>
      <c r="T160">
        <v>6.4116999999999993E-2</v>
      </c>
      <c r="U160">
        <v>6.2396E-2</v>
      </c>
      <c r="V160">
        <v>6.0692000000000003E-2</v>
      </c>
      <c r="W160">
        <v>5.901E-2</v>
      </c>
      <c r="X160">
        <v>5.7362000000000003E-2</v>
      </c>
      <c r="Y160">
        <v>5.5891000000000003E-2</v>
      </c>
      <c r="Z160">
        <v>5.4344999999999997E-2</v>
      </c>
      <c r="AA160">
        <v>5.2934000000000002E-2</v>
      </c>
      <c r="AB160">
        <v>5.1567000000000002E-2</v>
      </c>
      <c r="AC160">
        <v>5.0077000000000003E-2</v>
      </c>
      <c r="AD160">
        <v>4.8763000000000001E-2</v>
      </c>
      <c r="AE160" t="s">
        <v>1103</v>
      </c>
    </row>
    <row r="161" spans="1:31" x14ac:dyDescent="0.25">
      <c r="A161" t="s">
        <v>168</v>
      </c>
      <c r="B161" t="s">
        <v>1897</v>
      </c>
      <c r="C161" t="s">
        <v>1898</v>
      </c>
      <c r="D161" t="s">
        <v>901</v>
      </c>
      <c r="E161">
        <v>0.104435</v>
      </c>
      <c r="F161">
        <v>0.105638</v>
      </c>
      <c r="G161">
        <v>0.105766</v>
      </c>
      <c r="H161">
        <v>0.10550900000000001</v>
      </c>
      <c r="I161">
        <v>0.10432</v>
      </c>
      <c r="J161">
        <v>0.103363</v>
      </c>
      <c r="K161">
        <v>0.102075</v>
      </c>
      <c r="L161">
        <v>0.10084799999999999</v>
      </c>
      <c r="M161">
        <v>9.9873000000000003E-2</v>
      </c>
      <c r="N161">
        <v>9.9266999999999994E-2</v>
      </c>
      <c r="O161">
        <v>9.8563999999999999E-2</v>
      </c>
      <c r="P161">
        <v>9.8348000000000005E-2</v>
      </c>
      <c r="Q161">
        <v>9.7363000000000005E-2</v>
      </c>
      <c r="R161">
        <v>9.6553E-2</v>
      </c>
      <c r="S161">
        <v>9.5762E-2</v>
      </c>
      <c r="T161">
        <v>9.5094999999999999E-2</v>
      </c>
      <c r="U161">
        <v>9.4478999999999994E-2</v>
      </c>
      <c r="V161">
        <v>9.4541E-2</v>
      </c>
      <c r="W161">
        <v>9.4120999999999996E-2</v>
      </c>
      <c r="X161">
        <v>9.3559000000000003E-2</v>
      </c>
      <c r="Y161">
        <v>9.2678999999999997E-2</v>
      </c>
      <c r="Z161">
        <v>9.1691999999999996E-2</v>
      </c>
      <c r="AA161">
        <v>9.1135999999999995E-2</v>
      </c>
      <c r="AB161">
        <v>9.0865000000000001E-2</v>
      </c>
      <c r="AC161">
        <v>9.0255000000000002E-2</v>
      </c>
      <c r="AD161">
        <v>8.9843000000000006E-2</v>
      </c>
      <c r="AE161" t="s">
        <v>1474</v>
      </c>
    </row>
    <row r="162" spans="1:31" x14ac:dyDescent="0.25">
      <c r="A162" t="s">
        <v>756</v>
      </c>
      <c r="B162" t="s">
        <v>1899</v>
      </c>
      <c r="C162" t="s">
        <v>1900</v>
      </c>
      <c r="D162" t="s">
        <v>901</v>
      </c>
      <c r="E162">
        <v>0.17211899999999999</v>
      </c>
      <c r="F162">
        <v>0.183615</v>
      </c>
      <c r="G162">
        <v>0.17707000000000001</v>
      </c>
      <c r="H162">
        <v>0.173736</v>
      </c>
      <c r="I162">
        <v>0.171538</v>
      </c>
      <c r="J162">
        <v>0.16644800000000001</v>
      </c>
      <c r="K162">
        <v>0.16118299999999999</v>
      </c>
      <c r="L162">
        <v>0.157107</v>
      </c>
      <c r="M162">
        <v>0.15462500000000001</v>
      </c>
      <c r="N162">
        <v>0.15351300000000001</v>
      </c>
      <c r="O162">
        <v>0.15257299999999999</v>
      </c>
      <c r="P162">
        <v>0.15232799999999999</v>
      </c>
      <c r="Q162">
        <v>0.15191399999999999</v>
      </c>
      <c r="R162">
        <v>0.152835</v>
      </c>
      <c r="S162">
        <v>0.153921</v>
      </c>
      <c r="T162">
        <v>0.154526</v>
      </c>
      <c r="U162">
        <v>0.153611</v>
      </c>
      <c r="V162">
        <v>0.153225</v>
      </c>
      <c r="W162">
        <v>0.15265799999999999</v>
      </c>
      <c r="X162">
        <v>0.15255299999999999</v>
      </c>
      <c r="Y162">
        <v>0.15331800000000001</v>
      </c>
      <c r="Z162">
        <v>0.15381500000000001</v>
      </c>
      <c r="AA162">
        <v>0.154587</v>
      </c>
      <c r="AB162">
        <v>0.15534899999999999</v>
      </c>
      <c r="AC162">
        <v>0.156502</v>
      </c>
      <c r="AD162">
        <v>0.157555</v>
      </c>
      <c r="AE162" t="s">
        <v>1190</v>
      </c>
    </row>
    <row r="163" spans="1:31" x14ac:dyDescent="0.25">
      <c r="A163" t="s">
        <v>289</v>
      </c>
      <c r="B163" t="s">
        <v>1901</v>
      </c>
      <c r="C163" t="s">
        <v>1902</v>
      </c>
      <c r="D163" t="s">
        <v>901</v>
      </c>
      <c r="E163">
        <v>0.41567500000000002</v>
      </c>
      <c r="F163">
        <v>0.42697400000000002</v>
      </c>
      <c r="G163">
        <v>0.41782999999999998</v>
      </c>
      <c r="H163">
        <v>0.41244999999999998</v>
      </c>
      <c r="I163">
        <v>0.40717100000000001</v>
      </c>
      <c r="J163">
        <v>0.40310600000000002</v>
      </c>
      <c r="K163">
        <v>0.39955600000000002</v>
      </c>
      <c r="L163">
        <v>0.396561</v>
      </c>
      <c r="M163">
        <v>0.396067</v>
      </c>
      <c r="N163">
        <v>0.39605099999999999</v>
      </c>
      <c r="O163">
        <v>0.397005</v>
      </c>
      <c r="P163">
        <v>0.39860200000000001</v>
      </c>
      <c r="Q163">
        <v>0.40090500000000001</v>
      </c>
      <c r="R163">
        <v>0.40291100000000002</v>
      </c>
      <c r="S163">
        <v>0.40464600000000001</v>
      </c>
      <c r="T163">
        <v>0.40560600000000002</v>
      </c>
      <c r="U163">
        <v>0.40566099999999999</v>
      </c>
      <c r="V163">
        <v>0.404941</v>
      </c>
      <c r="W163">
        <v>0.40355600000000003</v>
      </c>
      <c r="X163">
        <v>0.40194600000000003</v>
      </c>
      <c r="Y163">
        <v>0.40108300000000002</v>
      </c>
      <c r="Z163">
        <v>0.40008199999999999</v>
      </c>
      <c r="AA163">
        <v>0.399364</v>
      </c>
      <c r="AB163">
        <v>0.399061</v>
      </c>
      <c r="AC163">
        <v>0.39809800000000001</v>
      </c>
      <c r="AD163">
        <v>0.39718100000000001</v>
      </c>
      <c r="AE163" t="s">
        <v>1222</v>
      </c>
    </row>
    <row r="164" spans="1:31" x14ac:dyDescent="0.25">
      <c r="A164" t="s">
        <v>89</v>
      </c>
      <c r="B164" t="s">
        <v>1903</v>
      </c>
      <c r="C164" t="s">
        <v>1904</v>
      </c>
      <c r="D164" t="s">
        <v>901</v>
      </c>
      <c r="E164">
        <v>3.046627</v>
      </c>
      <c r="F164">
        <v>3.0229409999999999</v>
      </c>
      <c r="G164">
        <v>2.9919899999999999</v>
      </c>
      <c r="H164">
        <v>2.9880119999999999</v>
      </c>
      <c r="I164">
        <v>2.9556629999999999</v>
      </c>
      <c r="J164">
        <v>2.9290759999999998</v>
      </c>
      <c r="K164">
        <v>2.9104679999999998</v>
      </c>
      <c r="L164">
        <v>2.8961450000000002</v>
      </c>
      <c r="M164">
        <v>2.8871980000000002</v>
      </c>
      <c r="N164">
        <v>2.884639</v>
      </c>
      <c r="O164">
        <v>2.8759079999999999</v>
      </c>
      <c r="P164">
        <v>2.8670800000000001</v>
      </c>
      <c r="Q164">
        <v>2.856201</v>
      </c>
      <c r="R164">
        <v>2.8472940000000002</v>
      </c>
      <c r="S164">
        <v>2.8420589999999999</v>
      </c>
      <c r="T164">
        <v>2.8388080000000002</v>
      </c>
      <c r="U164">
        <v>2.83371</v>
      </c>
      <c r="V164">
        <v>2.831512</v>
      </c>
      <c r="W164">
        <v>2.8292090000000001</v>
      </c>
      <c r="X164">
        <v>2.8257409999999998</v>
      </c>
      <c r="Y164">
        <v>2.821161</v>
      </c>
      <c r="Z164">
        <v>2.8120219999999998</v>
      </c>
      <c r="AA164">
        <v>2.8111950000000001</v>
      </c>
      <c r="AB164">
        <v>2.8073480000000002</v>
      </c>
      <c r="AC164">
        <v>2.7986339999999998</v>
      </c>
      <c r="AD164">
        <v>2.7933690000000002</v>
      </c>
      <c r="AE164" t="s">
        <v>1084</v>
      </c>
    </row>
    <row r="165" spans="1:31" x14ac:dyDescent="0.25">
      <c r="A165" t="s">
        <v>92</v>
      </c>
      <c r="B165" t="s">
        <v>1905</v>
      </c>
      <c r="C165" t="s">
        <v>1906</v>
      </c>
      <c r="D165" t="s">
        <v>901</v>
      </c>
      <c r="E165">
        <v>0.57116</v>
      </c>
      <c r="F165">
        <v>0.58104699999999998</v>
      </c>
      <c r="G165">
        <v>0.52518500000000001</v>
      </c>
      <c r="H165">
        <v>0.49614900000000001</v>
      </c>
      <c r="I165">
        <v>0.47872300000000001</v>
      </c>
      <c r="J165">
        <v>0.46549499999999999</v>
      </c>
      <c r="K165">
        <v>0.44669399999999998</v>
      </c>
      <c r="L165">
        <v>0.43469999999999998</v>
      </c>
      <c r="M165">
        <v>0.42893599999999998</v>
      </c>
      <c r="N165">
        <v>0.42053400000000002</v>
      </c>
      <c r="O165">
        <v>0.415265</v>
      </c>
      <c r="P165">
        <v>0.41054000000000002</v>
      </c>
      <c r="Q165">
        <v>0.40883700000000001</v>
      </c>
      <c r="R165">
        <v>0.40783199999999997</v>
      </c>
      <c r="S165">
        <v>0.40571000000000002</v>
      </c>
      <c r="T165">
        <v>0.40184799999999998</v>
      </c>
      <c r="U165">
        <v>0.397175</v>
      </c>
      <c r="V165">
        <v>0.39372200000000002</v>
      </c>
      <c r="W165">
        <v>0.39014700000000002</v>
      </c>
      <c r="X165">
        <v>0.38656099999999999</v>
      </c>
      <c r="Y165">
        <v>0.383772</v>
      </c>
      <c r="Z165">
        <v>0.381046</v>
      </c>
      <c r="AA165">
        <v>0.37899300000000002</v>
      </c>
      <c r="AB165">
        <v>0.377278</v>
      </c>
      <c r="AC165">
        <v>0.37359199999999998</v>
      </c>
      <c r="AD165">
        <v>0.371143</v>
      </c>
      <c r="AE165" t="s">
        <v>1135</v>
      </c>
    </row>
    <row r="166" spans="1:31" x14ac:dyDescent="0.25">
      <c r="A166" t="s">
        <v>95</v>
      </c>
      <c r="B166" t="s">
        <v>1907</v>
      </c>
      <c r="C166" t="s">
        <v>1908</v>
      </c>
      <c r="D166" t="s">
        <v>901</v>
      </c>
      <c r="E166">
        <v>3.6177869999999999</v>
      </c>
      <c r="F166">
        <v>3.6039880000000002</v>
      </c>
      <c r="G166">
        <v>3.5171760000000001</v>
      </c>
      <c r="H166">
        <v>3.484162</v>
      </c>
      <c r="I166">
        <v>3.4343859999999999</v>
      </c>
      <c r="J166">
        <v>3.394571</v>
      </c>
      <c r="K166">
        <v>3.3571629999999999</v>
      </c>
      <c r="L166">
        <v>3.3308460000000002</v>
      </c>
      <c r="M166">
        <v>3.3161339999999999</v>
      </c>
      <c r="N166">
        <v>3.3051740000000001</v>
      </c>
      <c r="O166">
        <v>3.2911730000000001</v>
      </c>
      <c r="P166">
        <v>3.2776200000000002</v>
      </c>
      <c r="Q166">
        <v>3.2650380000000001</v>
      </c>
      <c r="R166">
        <v>3.2551260000000002</v>
      </c>
      <c r="S166">
        <v>3.2477689999999999</v>
      </c>
      <c r="T166">
        <v>3.240656</v>
      </c>
      <c r="U166">
        <v>3.2308849999999998</v>
      </c>
      <c r="V166">
        <v>3.2252339999999999</v>
      </c>
      <c r="W166">
        <v>3.2193559999999999</v>
      </c>
      <c r="X166">
        <v>3.2123020000000002</v>
      </c>
      <c r="Y166">
        <v>3.2049340000000002</v>
      </c>
      <c r="Z166">
        <v>3.1930679999999998</v>
      </c>
      <c r="AA166">
        <v>3.190188</v>
      </c>
      <c r="AB166">
        <v>3.184625</v>
      </c>
      <c r="AC166">
        <v>3.1722260000000002</v>
      </c>
      <c r="AD166">
        <v>3.1645120000000002</v>
      </c>
      <c r="AE166" t="s">
        <v>1122</v>
      </c>
    </row>
    <row r="167" spans="1:31" x14ac:dyDescent="0.25">
      <c r="A167" t="s">
        <v>949</v>
      </c>
    </row>
    <row r="168" spans="1:31" x14ac:dyDescent="0.25">
      <c r="A168" t="s">
        <v>950</v>
      </c>
      <c r="B168" t="s">
        <v>1909</v>
      </c>
      <c r="C168" t="s">
        <v>1910</v>
      </c>
      <c r="D168" t="s">
        <v>953</v>
      </c>
      <c r="E168">
        <v>26.339537</v>
      </c>
      <c r="F168">
        <v>26.573221</v>
      </c>
      <c r="G168">
        <v>26.811140000000002</v>
      </c>
      <c r="H168">
        <v>26.865728000000001</v>
      </c>
      <c r="I168">
        <v>26.963961000000001</v>
      </c>
      <c r="J168">
        <v>27.07873</v>
      </c>
      <c r="K168">
        <v>27.162341999999999</v>
      </c>
      <c r="L168">
        <v>27.245224</v>
      </c>
      <c r="M168">
        <v>27.317181000000001</v>
      </c>
      <c r="N168">
        <v>27.390951000000001</v>
      </c>
      <c r="O168">
        <v>27.471299999999999</v>
      </c>
      <c r="P168">
        <v>27.552268999999999</v>
      </c>
      <c r="Q168">
        <v>27.620161</v>
      </c>
      <c r="R168">
        <v>27.718142</v>
      </c>
      <c r="S168">
        <v>27.832121000000001</v>
      </c>
      <c r="T168">
        <v>27.963213</v>
      </c>
      <c r="U168">
        <v>28.090627999999999</v>
      </c>
      <c r="V168">
        <v>28.229336</v>
      </c>
      <c r="W168">
        <v>28.381278999999999</v>
      </c>
      <c r="X168">
        <v>28.546347000000001</v>
      </c>
      <c r="Y168">
        <v>28.722832</v>
      </c>
      <c r="Z168">
        <v>28.895828000000002</v>
      </c>
      <c r="AA168">
        <v>29.077826000000002</v>
      </c>
      <c r="AB168">
        <v>29.256761999999998</v>
      </c>
      <c r="AC168">
        <v>29.446539000000001</v>
      </c>
      <c r="AD168">
        <v>29.63954</v>
      </c>
      <c r="AE168" t="s">
        <v>1119</v>
      </c>
    </row>
    <row r="169" spans="1:31" x14ac:dyDescent="0.25">
      <c r="A169" t="s">
        <v>954</v>
      </c>
      <c r="B169" t="s">
        <v>1911</v>
      </c>
      <c r="C169" t="s">
        <v>1912</v>
      </c>
      <c r="D169" t="s">
        <v>957</v>
      </c>
      <c r="E169">
        <v>144.78739899999999</v>
      </c>
      <c r="F169">
        <v>146.078125</v>
      </c>
      <c r="G169">
        <v>146.642212</v>
      </c>
      <c r="H169">
        <v>146.79892000000001</v>
      </c>
      <c r="I169">
        <v>147.19232199999999</v>
      </c>
      <c r="J169">
        <v>146.94984400000001</v>
      </c>
      <c r="K169">
        <v>147.29423499999999</v>
      </c>
      <c r="L169">
        <v>147.68145799999999</v>
      </c>
      <c r="M169">
        <v>147.89097599999999</v>
      </c>
      <c r="N169">
        <v>148.218628</v>
      </c>
      <c r="O169">
        <v>148.545761</v>
      </c>
      <c r="P169">
        <v>148.86322000000001</v>
      </c>
      <c r="Q169">
        <v>148.870407</v>
      </c>
      <c r="R169">
        <v>149.16696200000001</v>
      </c>
      <c r="S169">
        <v>149.51646400000001</v>
      </c>
      <c r="T169">
        <v>150.419815</v>
      </c>
      <c r="U169">
        <v>150.86267100000001</v>
      </c>
      <c r="V169">
        <v>151.48841899999999</v>
      </c>
      <c r="W169">
        <v>152.44079600000001</v>
      </c>
      <c r="X169">
        <v>153.058899</v>
      </c>
      <c r="Y169">
        <v>153.96554599999999</v>
      </c>
      <c r="Z169">
        <v>154.67626999999999</v>
      </c>
      <c r="AA169">
        <v>156.59806800000001</v>
      </c>
      <c r="AB169">
        <v>156.347565</v>
      </c>
      <c r="AC169">
        <v>157.34849500000001</v>
      </c>
      <c r="AD169">
        <v>158.44042999999999</v>
      </c>
      <c r="AE169" t="s">
        <v>1111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44"/>
  <sheetViews>
    <sheetView workbookViewId="0"/>
  </sheetViews>
  <sheetFormatPr defaultRowHeight="15" x14ac:dyDescent="0.25"/>
  <sheetData>
    <row r="1" spans="1:31" x14ac:dyDescent="0.25">
      <c r="A1" t="s">
        <v>958</v>
      </c>
    </row>
    <row r="2" spans="1:31" x14ac:dyDescent="0.25">
      <c r="A2" t="s">
        <v>1913</v>
      </c>
    </row>
    <row r="3" spans="1:31" x14ac:dyDescent="0.25">
      <c r="A3" t="s">
        <v>1914</v>
      </c>
    </row>
    <row r="4" spans="1:31" x14ac:dyDescent="0.25">
      <c r="A4" t="s">
        <v>64</v>
      </c>
    </row>
    <row r="5" spans="1:31" x14ac:dyDescent="0.25">
      <c r="B5" t="s">
        <v>65</v>
      </c>
      <c r="C5" t="s">
        <v>66</v>
      </c>
      <c r="D5" t="s">
        <v>67</v>
      </c>
      <c r="E5">
        <v>2025</v>
      </c>
      <c r="F5">
        <v>2026</v>
      </c>
      <c r="G5">
        <v>2027</v>
      </c>
      <c r="H5">
        <v>2028</v>
      </c>
      <c r="I5">
        <v>2029</v>
      </c>
      <c r="J5">
        <v>2030</v>
      </c>
      <c r="K5">
        <v>2031</v>
      </c>
      <c r="L5">
        <v>2032</v>
      </c>
      <c r="M5">
        <v>2033</v>
      </c>
      <c r="N5">
        <v>2034</v>
      </c>
      <c r="O5">
        <v>2035</v>
      </c>
      <c r="P5">
        <v>2036</v>
      </c>
      <c r="Q5">
        <v>2037</v>
      </c>
      <c r="R5">
        <v>2038</v>
      </c>
      <c r="S5">
        <v>2039</v>
      </c>
      <c r="T5">
        <v>2040</v>
      </c>
      <c r="U5">
        <v>2041</v>
      </c>
      <c r="V5">
        <v>2042</v>
      </c>
      <c r="W5">
        <v>2043</v>
      </c>
      <c r="X5">
        <v>2044</v>
      </c>
      <c r="Y5">
        <v>2045</v>
      </c>
      <c r="Z5">
        <v>2046</v>
      </c>
      <c r="AA5">
        <v>2047</v>
      </c>
      <c r="AB5">
        <v>2048</v>
      </c>
      <c r="AC5">
        <v>2049</v>
      </c>
      <c r="AD5">
        <v>2050</v>
      </c>
      <c r="AE5" t="s">
        <v>1065</v>
      </c>
    </row>
    <row r="6" spans="1:31" x14ac:dyDescent="0.25">
      <c r="A6" t="s">
        <v>961</v>
      </c>
    </row>
    <row r="7" spans="1:31" x14ac:dyDescent="0.25">
      <c r="A7" t="s">
        <v>962</v>
      </c>
      <c r="B7" t="s">
        <v>1915</v>
      </c>
      <c r="C7" t="s">
        <v>1916</v>
      </c>
      <c r="D7" t="s">
        <v>73</v>
      </c>
      <c r="E7">
        <v>0.37138700000000002</v>
      </c>
      <c r="F7">
        <v>0.34290100000000001</v>
      </c>
      <c r="G7">
        <v>0.33499000000000001</v>
      </c>
      <c r="H7">
        <v>0.33120500000000003</v>
      </c>
      <c r="I7">
        <v>0.32895400000000002</v>
      </c>
      <c r="J7">
        <v>0.323627</v>
      </c>
      <c r="K7">
        <v>0.31936900000000001</v>
      </c>
      <c r="L7">
        <v>0.31564300000000001</v>
      </c>
      <c r="M7">
        <v>0.31281199999999998</v>
      </c>
      <c r="N7">
        <v>0.30912600000000001</v>
      </c>
      <c r="O7">
        <v>0.30582900000000002</v>
      </c>
      <c r="P7">
        <v>0.302008</v>
      </c>
      <c r="Q7">
        <v>0.29809400000000003</v>
      </c>
      <c r="R7">
        <v>0.29419899999999999</v>
      </c>
      <c r="S7">
        <v>0.28995399999999999</v>
      </c>
      <c r="T7">
        <v>0.28553800000000001</v>
      </c>
      <c r="U7">
        <v>0.28127000000000002</v>
      </c>
      <c r="V7">
        <v>0.27737800000000001</v>
      </c>
      <c r="W7">
        <v>0.27363100000000001</v>
      </c>
      <c r="X7">
        <v>0.27007799999999998</v>
      </c>
      <c r="Y7">
        <v>0.26697399999999999</v>
      </c>
      <c r="Z7">
        <v>0.26397799999999999</v>
      </c>
      <c r="AA7">
        <v>0.26129000000000002</v>
      </c>
      <c r="AB7">
        <v>0.258824</v>
      </c>
      <c r="AC7">
        <v>0.25657600000000003</v>
      </c>
      <c r="AD7">
        <v>0.254137</v>
      </c>
      <c r="AE7" t="s">
        <v>1071</v>
      </c>
    </row>
    <row r="8" spans="1:31" x14ac:dyDescent="0.25">
      <c r="A8" t="s">
        <v>965</v>
      </c>
      <c r="B8" t="s">
        <v>1917</v>
      </c>
      <c r="C8" t="s">
        <v>1918</v>
      </c>
      <c r="D8" t="s">
        <v>73</v>
      </c>
      <c r="E8">
        <v>0.143682</v>
      </c>
      <c r="F8">
        <v>0.143682</v>
      </c>
      <c r="G8">
        <v>0.143682</v>
      </c>
      <c r="H8">
        <v>0.143682</v>
      </c>
      <c r="I8">
        <v>0.143682</v>
      </c>
      <c r="J8">
        <v>0.143682</v>
      </c>
      <c r="K8">
        <v>0.143682</v>
      </c>
      <c r="L8">
        <v>0.143682</v>
      </c>
      <c r="M8">
        <v>0.143682</v>
      </c>
      <c r="N8">
        <v>0.143682</v>
      </c>
      <c r="O8">
        <v>0.143682</v>
      </c>
      <c r="P8">
        <v>0.143682</v>
      </c>
      <c r="Q8">
        <v>0.143682</v>
      </c>
      <c r="R8">
        <v>0.143682</v>
      </c>
      <c r="S8">
        <v>0.143682</v>
      </c>
      <c r="T8">
        <v>0.143682</v>
      </c>
      <c r="U8">
        <v>0.143682</v>
      </c>
      <c r="V8">
        <v>0.143682</v>
      </c>
      <c r="W8">
        <v>0.143682</v>
      </c>
      <c r="X8">
        <v>0.143682</v>
      </c>
      <c r="Y8">
        <v>0.143682</v>
      </c>
      <c r="Z8">
        <v>0.143682</v>
      </c>
      <c r="AA8">
        <v>0.143682</v>
      </c>
      <c r="AB8">
        <v>0.143682</v>
      </c>
      <c r="AC8">
        <v>0.143682</v>
      </c>
      <c r="AD8">
        <v>0.143682</v>
      </c>
      <c r="AE8" t="s">
        <v>1114</v>
      </c>
    </row>
    <row r="9" spans="1:31" x14ac:dyDescent="0.25">
      <c r="A9" t="s">
        <v>130</v>
      </c>
      <c r="B9" t="s">
        <v>1919</v>
      </c>
      <c r="C9" t="s">
        <v>1920</v>
      </c>
      <c r="D9" t="s">
        <v>73</v>
      </c>
      <c r="E9">
        <v>2.4069060000000002</v>
      </c>
      <c r="F9">
        <v>2.5317059999999998</v>
      </c>
      <c r="G9">
        <v>2.505957</v>
      </c>
      <c r="H9">
        <v>2.4923129999999998</v>
      </c>
      <c r="I9">
        <v>2.4818850000000001</v>
      </c>
      <c r="J9">
        <v>2.4542060000000001</v>
      </c>
      <c r="K9">
        <v>2.4168080000000001</v>
      </c>
      <c r="L9">
        <v>2.3940510000000002</v>
      </c>
      <c r="M9">
        <v>2.3815379999999999</v>
      </c>
      <c r="N9">
        <v>2.3853420000000001</v>
      </c>
      <c r="O9">
        <v>2.3908740000000002</v>
      </c>
      <c r="P9">
        <v>2.407575</v>
      </c>
      <c r="Q9">
        <v>2.4173300000000002</v>
      </c>
      <c r="R9">
        <v>2.4407299999999998</v>
      </c>
      <c r="S9">
        <v>2.4664000000000001</v>
      </c>
      <c r="T9">
        <v>2.4899239999999998</v>
      </c>
      <c r="U9">
        <v>2.4980259999999999</v>
      </c>
      <c r="V9">
        <v>2.5188929999999998</v>
      </c>
      <c r="W9">
        <v>2.5303079999999998</v>
      </c>
      <c r="X9">
        <v>2.5456409999999998</v>
      </c>
      <c r="Y9">
        <v>2.5707689999999999</v>
      </c>
      <c r="Z9">
        <v>2.59334</v>
      </c>
      <c r="AA9">
        <v>2.6230419999999999</v>
      </c>
      <c r="AB9">
        <v>2.652539</v>
      </c>
      <c r="AC9">
        <v>2.6837620000000002</v>
      </c>
      <c r="AD9">
        <v>2.7152810000000001</v>
      </c>
      <c r="AE9" t="s">
        <v>1119</v>
      </c>
    </row>
    <row r="10" spans="1:31" x14ac:dyDescent="0.25">
      <c r="A10" t="s">
        <v>970</v>
      </c>
      <c r="B10" t="s">
        <v>1921</v>
      </c>
      <c r="C10" t="s">
        <v>1922</v>
      </c>
      <c r="D10" t="s">
        <v>73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 t="s">
        <v>319</v>
      </c>
    </row>
    <row r="11" spans="1:31" x14ac:dyDescent="0.25">
      <c r="A11" t="s">
        <v>973</v>
      </c>
      <c r="B11" t="s">
        <v>1923</v>
      </c>
      <c r="C11" t="s">
        <v>1924</v>
      </c>
      <c r="D11" t="s">
        <v>73</v>
      </c>
      <c r="E11">
        <v>0.151724</v>
      </c>
      <c r="F11">
        <v>0.15004999999999999</v>
      </c>
      <c r="G11">
        <v>0.151278</v>
      </c>
      <c r="H11">
        <v>0.153696</v>
      </c>
      <c r="I11">
        <v>0.15482699999999999</v>
      </c>
      <c r="J11">
        <v>0.15648599999999999</v>
      </c>
      <c r="K11">
        <v>0.15731300000000001</v>
      </c>
      <c r="L11">
        <v>0.15829699999999999</v>
      </c>
      <c r="M11">
        <v>0.15828300000000001</v>
      </c>
      <c r="N11">
        <v>0.160437</v>
      </c>
      <c r="O11">
        <v>0.16273299999999999</v>
      </c>
      <c r="P11">
        <v>0.165324</v>
      </c>
      <c r="Q11">
        <v>0.16812299999999999</v>
      </c>
      <c r="R11">
        <v>0.171071</v>
      </c>
      <c r="S11">
        <v>0.174035</v>
      </c>
      <c r="T11">
        <v>0.17685200000000001</v>
      </c>
      <c r="U11">
        <v>0.17968000000000001</v>
      </c>
      <c r="V11">
        <v>0.18253800000000001</v>
      </c>
      <c r="W11">
        <v>0.18546000000000001</v>
      </c>
      <c r="X11">
        <v>0.18840499999999999</v>
      </c>
      <c r="Y11">
        <v>0.191217</v>
      </c>
      <c r="Z11">
        <v>0.19414200000000001</v>
      </c>
      <c r="AA11">
        <v>0.19710900000000001</v>
      </c>
      <c r="AB11">
        <v>0.20010500000000001</v>
      </c>
      <c r="AC11">
        <v>0.20313500000000001</v>
      </c>
      <c r="AD11">
        <v>0.20624700000000001</v>
      </c>
      <c r="AE11" t="s">
        <v>1095</v>
      </c>
    </row>
    <row r="12" spans="1:31" x14ac:dyDescent="0.25">
      <c r="A12" t="s">
        <v>976</v>
      </c>
      <c r="B12" t="s">
        <v>1925</v>
      </c>
      <c r="C12" t="s">
        <v>1926</v>
      </c>
      <c r="D12" t="s">
        <v>73</v>
      </c>
      <c r="E12">
        <v>1.3462639999999999</v>
      </c>
      <c r="F12">
        <v>1.4570510000000001</v>
      </c>
      <c r="G12">
        <v>1.417581</v>
      </c>
      <c r="H12">
        <v>1.3969309999999999</v>
      </c>
      <c r="I12">
        <v>1.3884970000000001</v>
      </c>
      <c r="J12">
        <v>1.357526</v>
      </c>
      <c r="K12">
        <v>1.3224100000000001</v>
      </c>
      <c r="L12">
        <v>1.299795</v>
      </c>
      <c r="M12">
        <v>1.288664</v>
      </c>
      <c r="N12">
        <v>1.288181</v>
      </c>
      <c r="O12">
        <v>1.2897909999999999</v>
      </c>
      <c r="P12">
        <v>1.2976829999999999</v>
      </c>
      <c r="Q12">
        <v>1.3050390000000001</v>
      </c>
      <c r="R12">
        <v>1.324708</v>
      </c>
      <c r="S12">
        <v>1.34642</v>
      </c>
      <c r="T12">
        <v>1.364517</v>
      </c>
      <c r="U12">
        <v>1.367038</v>
      </c>
      <c r="V12">
        <v>1.3752120000000001</v>
      </c>
      <c r="W12">
        <v>1.379794</v>
      </c>
      <c r="X12">
        <v>1.3895139999999999</v>
      </c>
      <c r="Y12">
        <v>1.4110180000000001</v>
      </c>
      <c r="Z12">
        <v>1.4306319999999999</v>
      </c>
      <c r="AA12">
        <v>1.453076</v>
      </c>
      <c r="AB12">
        <v>1.473516</v>
      </c>
      <c r="AC12">
        <v>1.499001</v>
      </c>
      <c r="AD12">
        <v>1.5229790000000001</v>
      </c>
      <c r="AE12" t="s">
        <v>1119</v>
      </c>
    </row>
    <row r="13" spans="1:31" x14ac:dyDescent="0.25">
      <c r="A13" t="s">
        <v>168</v>
      </c>
      <c r="B13" t="s">
        <v>1927</v>
      </c>
      <c r="C13" t="s">
        <v>1928</v>
      </c>
      <c r="D13" t="s">
        <v>73</v>
      </c>
      <c r="E13">
        <v>0.90891699999999997</v>
      </c>
      <c r="F13">
        <v>0.92460600000000004</v>
      </c>
      <c r="G13">
        <v>0.93709799999999999</v>
      </c>
      <c r="H13">
        <v>0.94168600000000002</v>
      </c>
      <c r="I13">
        <v>0.93855999999999995</v>
      </c>
      <c r="J13">
        <v>0.940195</v>
      </c>
      <c r="K13">
        <v>0.93708499999999995</v>
      </c>
      <c r="L13">
        <v>0.93595899999999999</v>
      </c>
      <c r="M13">
        <v>0.93459099999999995</v>
      </c>
      <c r="N13">
        <v>0.93672299999999997</v>
      </c>
      <c r="O13">
        <v>0.93835000000000002</v>
      </c>
      <c r="P13">
        <v>0.94456799999999996</v>
      </c>
      <c r="Q13">
        <v>0.94416800000000001</v>
      </c>
      <c r="R13">
        <v>0.94495200000000001</v>
      </c>
      <c r="S13">
        <v>0.94594599999999995</v>
      </c>
      <c r="T13">
        <v>0.94855500000000004</v>
      </c>
      <c r="U13">
        <v>0.95130800000000004</v>
      </c>
      <c r="V13">
        <v>0.961144</v>
      </c>
      <c r="W13">
        <v>0.96505399999999997</v>
      </c>
      <c r="X13">
        <v>0.96772100000000005</v>
      </c>
      <c r="Y13">
        <v>0.96853299999999998</v>
      </c>
      <c r="Z13">
        <v>0.96856500000000001</v>
      </c>
      <c r="AA13">
        <v>0.97285699999999997</v>
      </c>
      <c r="AB13">
        <v>0.97891799999999995</v>
      </c>
      <c r="AC13">
        <v>0.981626</v>
      </c>
      <c r="AD13">
        <v>0.98605500000000001</v>
      </c>
      <c r="AE13" t="s">
        <v>1161</v>
      </c>
    </row>
    <row r="14" spans="1:31" x14ac:dyDescent="0.25">
      <c r="A14" t="s">
        <v>188</v>
      </c>
      <c r="B14" t="s">
        <v>1929</v>
      </c>
      <c r="C14" t="s">
        <v>1930</v>
      </c>
      <c r="D14" t="s">
        <v>73</v>
      </c>
      <c r="E14">
        <v>1.7078800000000001</v>
      </c>
      <c r="F14">
        <v>1.738308</v>
      </c>
      <c r="G14">
        <v>1.7696609999999999</v>
      </c>
      <c r="H14">
        <v>1.7823359999999999</v>
      </c>
      <c r="I14">
        <v>1.7761009999999999</v>
      </c>
      <c r="J14">
        <v>1.714539</v>
      </c>
      <c r="K14">
        <v>1.714677</v>
      </c>
      <c r="L14">
        <v>1.714626</v>
      </c>
      <c r="M14">
        <v>1.7147159999999999</v>
      </c>
      <c r="N14">
        <v>1.714594</v>
      </c>
      <c r="O14">
        <v>1.714504</v>
      </c>
      <c r="P14">
        <v>1.713527</v>
      </c>
      <c r="Q14">
        <v>1.7151320000000001</v>
      </c>
      <c r="R14">
        <v>1.71343</v>
      </c>
      <c r="S14">
        <v>1.7150190000000001</v>
      </c>
      <c r="T14">
        <v>1.7207749999999999</v>
      </c>
      <c r="U14">
        <v>1.721565</v>
      </c>
      <c r="V14">
        <v>1.730307</v>
      </c>
      <c r="W14">
        <v>1.735295</v>
      </c>
      <c r="X14">
        <v>1.7357229999999999</v>
      </c>
      <c r="Y14">
        <v>1.7365820000000001</v>
      </c>
      <c r="Z14">
        <v>1.7386170000000001</v>
      </c>
      <c r="AA14">
        <v>1.739908</v>
      </c>
      <c r="AB14">
        <v>1.7478689999999999</v>
      </c>
      <c r="AC14">
        <v>1.774405</v>
      </c>
      <c r="AD14">
        <v>1.777692</v>
      </c>
      <c r="AE14" t="s">
        <v>1081</v>
      </c>
    </row>
    <row r="15" spans="1:31" x14ac:dyDescent="0.25">
      <c r="A15" t="s">
        <v>983</v>
      </c>
      <c r="B15" t="s">
        <v>1931</v>
      </c>
      <c r="C15" t="s">
        <v>1932</v>
      </c>
      <c r="D15" t="s">
        <v>73</v>
      </c>
      <c r="E15">
        <v>2.6120000000000001E-2</v>
      </c>
      <c r="F15">
        <v>2.0856E-2</v>
      </c>
      <c r="G15">
        <v>1.9786000000000002E-2</v>
      </c>
      <c r="H15">
        <v>1.8522E-2</v>
      </c>
      <c r="I15">
        <v>1.7025999999999999E-2</v>
      </c>
      <c r="J15">
        <v>1.7676000000000001E-2</v>
      </c>
      <c r="K15">
        <v>1.5172E-2</v>
      </c>
      <c r="L15">
        <v>1.3871E-2</v>
      </c>
      <c r="M15">
        <v>1.2638E-2</v>
      </c>
      <c r="N15">
        <v>1.1721000000000001E-2</v>
      </c>
      <c r="O15">
        <v>1.0539E-2</v>
      </c>
      <c r="P15">
        <v>9.5449999999999997E-3</v>
      </c>
      <c r="Q15">
        <v>8.5640000000000004E-3</v>
      </c>
      <c r="R15">
        <v>7.7730000000000004E-3</v>
      </c>
      <c r="S15">
        <v>7.0879999999999997E-3</v>
      </c>
      <c r="T15">
        <v>6.5570000000000003E-3</v>
      </c>
      <c r="U15">
        <v>5.9569999999999996E-3</v>
      </c>
      <c r="V15">
        <v>5.6080000000000001E-3</v>
      </c>
      <c r="W15">
        <v>5.2659999999999998E-3</v>
      </c>
      <c r="X15">
        <v>5.0299999999999997E-3</v>
      </c>
      <c r="Y15">
        <v>4.5539999999999999E-3</v>
      </c>
      <c r="Z15">
        <v>4.3829999999999997E-3</v>
      </c>
      <c r="AA15">
        <v>4.3429999999999996E-3</v>
      </c>
      <c r="AB15">
        <v>4.4710000000000001E-3</v>
      </c>
      <c r="AC15">
        <v>4.143E-3</v>
      </c>
      <c r="AD15">
        <v>3.9459999999999999E-3</v>
      </c>
      <c r="AE15" t="s">
        <v>1185</v>
      </c>
    </row>
    <row r="16" spans="1:31" x14ac:dyDescent="0.25">
      <c r="A16" t="s">
        <v>986</v>
      </c>
      <c r="B16" t="s">
        <v>1933</v>
      </c>
      <c r="C16" t="s">
        <v>1934</v>
      </c>
      <c r="D16" t="s">
        <v>73</v>
      </c>
      <c r="E16">
        <v>1.141321</v>
      </c>
      <c r="F16">
        <v>1.1446750000000001</v>
      </c>
      <c r="G16">
        <v>1.160822</v>
      </c>
      <c r="H16">
        <v>1.155661</v>
      </c>
      <c r="I16">
        <v>1.148128</v>
      </c>
      <c r="J16">
        <v>1.1377649999999999</v>
      </c>
      <c r="K16">
        <v>1.1308689999999999</v>
      </c>
      <c r="L16">
        <v>1.1254599999999999</v>
      </c>
      <c r="M16">
        <v>1.1190230000000001</v>
      </c>
      <c r="N16">
        <v>1.1177410000000001</v>
      </c>
      <c r="O16">
        <v>1.115767</v>
      </c>
      <c r="P16">
        <v>1.109883</v>
      </c>
      <c r="Q16">
        <v>1.1041529999999999</v>
      </c>
      <c r="R16">
        <v>1.099969</v>
      </c>
      <c r="S16">
        <v>1.0958840000000001</v>
      </c>
      <c r="T16">
        <v>1.0937539999999999</v>
      </c>
      <c r="U16">
        <v>1.091755</v>
      </c>
      <c r="V16">
        <v>1.0874299999999999</v>
      </c>
      <c r="W16">
        <v>1.086257</v>
      </c>
      <c r="X16">
        <v>1.0838429999999999</v>
      </c>
      <c r="Y16">
        <v>1.082705</v>
      </c>
      <c r="Z16">
        <v>1.080268</v>
      </c>
      <c r="AA16">
        <v>1.0787409999999999</v>
      </c>
      <c r="AB16">
        <v>1.0744610000000001</v>
      </c>
      <c r="AC16">
        <v>1.0704849999999999</v>
      </c>
      <c r="AD16">
        <v>1.0686929999999999</v>
      </c>
      <c r="AE16" t="s">
        <v>1084</v>
      </c>
    </row>
    <row r="17" spans="1:31" x14ac:dyDescent="0.25">
      <c r="A17" t="s">
        <v>989</v>
      </c>
      <c r="B17" t="s">
        <v>1935</v>
      </c>
      <c r="C17" t="s">
        <v>1936</v>
      </c>
      <c r="D17" t="s">
        <v>73</v>
      </c>
      <c r="E17">
        <v>0.147984</v>
      </c>
      <c r="F17">
        <v>0.17835000000000001</v>
      </c>
      <c r="G17">
        <v>0.17033000000000001</v>
      </c>
      <c r="H17">
        <v>0.17543300000000001</v>
      </c>
      <c r="I17">
        <v>0.17863699999999999</v>
      </c>
      <c r="J17">
        <v>0.14730699999999999</v>
      </c>
      <c r="K17">
        <v>0.15440799999999999</v>
      </c>
      <c r="L17">
        <v>0.157498</v>
      </c>
      <c r="M17">
        <v>0.16486300000000001</v>
      </c>
      <c r="N17">
        <v>0.16775899999999999</v>
      </c>
      <c r="O17">
        <v>0.170187</v>
      </c>
      <c r="P17">
        <v>0.15951100000000001</v>
      </c>
      <c r="Q17">
        <v>0.16719200000000001</v>
      </c>
      <c r="R17">
        <v>0.16550899999999999</v>
      </c>
      <c r="S17">
        <v>0.16288800000000001</v>
      </c>
      <c r="T17">
        <v>0.160219</v>
      </c>
      <c r="U17">
        <v>0.157276</v>
      </c>
      <c r="V17">
        <v>0.15435399999999999</v>
      </c>
      <c r="W17">
        <v>0.15130399999999999</v>
      </c>
      <c r="X17">
        <v>0.148122</v>
      </c>
      <c r="Y17">
        <v>0.14480499999999999</v>
      </c>
      <c r="Z17">
        <v>0.14135200000000001</v>
      </c>
      <c r="AA17">
        <v>0.13827</v>
      </c>
      <c r="AB17">
        <v>0.13453499999999999</v>
      </c>
      <c r="AC17">
        <v>0.13065499999999999</v>
      </c>
      <c r="AD17">
        <v>0.12662599999999999</v>
      </c>
      <c r="AE17" t="s">
        <v>1474</v>
      </c>
    </row>
    <row r="18" spans="1:31" x14ac:dyDescent="0.25">
      <c r="A18" t="s">
        <v>992</v>
      </c>
      <c r="B18" t="s">
        <v>1937</v>
      </c>
      <c r="C18" t="s">
        <v>1938</v>
      </c>
      <c r="D18" t="s">
        <v>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 t="s">
        <v>319</v>
      </c>
    </row>
    <row r="19" spans="1:31" x14ac:dyDescent="0.25">
      <c r="A19" t="s">
        <v>995</v>
      </c>
      <c r="B19" t="s">
        <v>1939</v>
      </c>
      <c r="C19" t="s">
        <v>1940</v>
      </c>
      <c r="D19" t="s">
        <v>73</v>
      </c>
      <c r="E19">
        <v>2.745E-3</v>
      </c>
      <c r="F19">
        <v>2.745E-3</v>
      </c>
      <c r="G19">
        <v>2.745E-3</v>
      </c>
      <c r="H19">
        <v>2.745E-3</v>
      </c>
      <c r="I19">
        <v>2.745E-3</v>
      </c>
      <c r="J19">
        <v>2.745E-3</v>
      </c>
      <c r="K19">
        <v>2.745E-3</v>
      </c>
      <c r="L19">
        <v>2.745E-3</v>
      </c>
      <c r="M19">
        <v>2.745E-3</v>
      </c>
      <c r="N19">
        <v>2.745E-3</v>
      </c>
      <c r="O19">
        <v>2.745E-3</v>
      </c>
      <c r="P19">
        <v>2.745E-3</v>
      </c>
      <c r="Q19">
        <v>2.745E-3</v>
      </c>
      <c r="R19">
        <v>2.745E-3</v>
      </c>
      <c r="S19">
        <v>2.745E-3</v>
      </c>
      <c r="T19">
        <v>2.745E-3</v>
      </c>
      <c r="U19">
        <v>2.745E-3</v>
      </c>
      <c r="V19">
        <v>2.745E-3</v>
      </c>
      <c r="W19">
        <v>2.745E-3</v>
      </c>
      <c r="X19">
        <v>2.745E-3</v>
      </c>
      <c r="Y19">
        <v>2.745E-3</v>
      </c>
      <c r="Z19">
        <v>2.745E-3</v>
      </c>
      <c r="AA19">
        <v>2.745E-3</v>
      </c>
      <c r="AB19">
        <v>2.745E-3</v>
      </c>
      <c r="AC19">
        <v>2.745E-3</v>
      </c>
      <c r="AD19">
        <v>2.745E-3</v>
      </c>
      <c r="AE19" t="s">
        <v>1114</v>
      </c>
    </row>
    <row r="20" spans="1:31" x14ac:dyDescent="0.25">
      <c r="A20" t="s">
        <v>998</v>
      </c>
      <c r="B20" t="s">
        <v>1941</v>
      </c>
      <c r="C20" t="s">
        <v>1942</v>
      </c>
      <c r="D20" t="s">
        <v>73</v>
      </c>
      <c r="E20">
        <v>0.38970900000000003</v>
      </c>
      <c r="F20">
        <v>0.39168199999999997</v>
      </c>
      <c r="G20">
        <v>0.41597800000000001</v>
      </c>
      <c r="H20">
        <v>0.42997400000000002</v>
      </c>
      <c r="I20">
        <v>0.429566</v>
      </c>
      <c r="J20">
        <v>0.40904600000000002</v>
      </c>
      <c r="K20">
        <v>0.41148299999999999</v>
      </c>
      <c r="L20">
        <v>0.41505199999999998</v>
      </c>
      <c r="M20">
        <v>0.41544700000000001</v>
      </c>
      <c r="N20">
        <v>0.414628</v>
      </c>
      <c r="O20">
        <v>0.415267</v>
      </c>
      <c r="P20">
        <v>0.43184299999999998</v>
      </c>
      <c r="Q20">
        <v>0.43247799999999997</v>
      </c>
      <c r="R20">
        <v>0.43743500000000002</v>
      </c>
      <c r="S20">
        <v>0.44641399999999998</v>
      </c>
      <c r="T20">
        <v>0.45749899999999999</v>
      </c>
      <c r="U20">
        <v>0.46383200000000002</v>
      </c>
      <c r="V20">
        <v>0.48016999999999999</v>
      </c>
      <c r="W20">
        <v>0.48972300000000002</v>
      </c>
      <c r="X20">
        <v>0.49598300000000001</v>
      </c>
      <c r="Y20">
        <v>0.50177300000000002</v>
      </c>
      <c r="Z20">
        <v>0.50986900000000002</v>
      </c>
      <c r="AA20">
        <v>0.51580899999999996</v>
      </c>
      <c r="AB20">
        <v>0.53165799999999996</v>
      </c>
      <c r="AC20">
        <v>0.56637700000000002</v>
      </c>
      <c r="AD20">
        <v>0.57568200000000003</v>
      </c>
      <c r="AE20" t="s">
        <v>1578</v>
      </c>
    </row>
    <row r="21" spans="1:31" x14ac:dyDescent="0.25">
      <c r="A21" t="s">
        <v>300</v>
      </c>
      <c r="B21" t="s">
        <v>1943</v>
      </c>
      <c r="C21" t="s">
        <v>1944</v>
      </c>
      <c r="D21" t="s">
        <v>73</v>
      </c>
      <c r="E21">
        <v>3.7178689999999999</v>
      </c>
      <c r="F21">
        <v>4.061839</v>
      </c>
      <c r="G21">
        <v>4.6683320000000004</v>
      </c>
      <c r="H21">
        <v>5.0635289999999999</v>
      </c>
      <c r="I21">
        <v>5.2825160000000002</v>
      </c>
      <c r="J21">
        <v>5.4468189999999996</v>
      </c>
      <c r="K21">
        <v>5.604444</v>
      </c>
      <c r="L21">
        <v>5.702966</v>
      </c>
      <c r="M21">
        <v>5.8290319999999998</v>
      </c>
      <c r="N21">
        <v>6.0055370000000003</v>
      </c>
      <c r="O21">
        <v>6.2057219999999997</v>
      </c>
      <c r="P21">
        <v>6.4115919999999997</v>
      </c>
      <c r="Q21">
        <v>6.5583939999999998</v>
      </c>
      <c r="R21">
        <v>6.6782380000000003</v>
      </c>
      <c r="S21">
        <v>6.8023439999999997</v>
      </c>
      <c r="T21">
        <v>6.9194620000000002</v>
      </c>
      <c r="U21">
        <v>7.0199670000000003</v>
      </c>
      <c r="V21">
        <v>7.0632570000000001</v>
      </c>
      <c r="W21">
        <v>7.0810190000000004</v>
      </c>
      <c r="X21">
        <v>7.0953609999999996</v>
      </c>
      <c r="Y21">
        <v>7.1070950000000002</v>
      </c>
      <c r="Z21">
        <v>7.1224100000000004</v>
      </c>
      <c r="AA21">
        <v>7.1448809999999998</v>
      </c>
      <c r="AB21">
        <v>7.1607750000000001</v>
      </c>
      <c r="AC21">
        <v>7.1858320000000004</v>
      </c>
      <c r="AD21">
        <v>7.3960900000000001</v>
      </c>
      <c r="AE21" t="s">
        <v>1308</v>
      </c>
    </row>
    <row r="22" spans="1:31" x14ac:dyDescent="0.25">
      <c r="A22" t="s">
        <v>970</v>
      </c>
      <c r="B22" t="s">
        <v>1945</v>
      </c>
      <c r="C22" t="s">
        <v>1946</v>
      </c>
      <c r="D22" t="s">
        <v>73</v>
      </c>
      <c r="E22">
        <v>0.83338599999999996</v>
      </c>
      <c r="F22">
        <v>0.89370700000000003</v>
      </c>
      <c r="G22">
        <v>0.914331</v>
      </c>
      <c r="H22">
        <v>0.93328299999999997</v>
      </c>
      <c r="I22">
        <v>0.938944</v>
      </c>
      <c r="J22">
        <v>0.93991499999999994</v>
      </c>
      <c r="K22">
        <v>0.94094699999999998</v>
      </c>
      <c r="L22">
        <v>0.94073799999999996</v>
      </c>
      <c r="M22">
        <v>0.94101599999999996</v>
      </c>
      <c r="N22">
        <v>0.94160500000000003</v>
      </c>
      <c r="O22">
        <v>0.94186899999999996</v>
      </c>
      <c r="P22">
        <v>0.94176199999999999</v>
      </c>
      <c r="Q22">
        <v>0.943859</v>
      </c>
      <c r="R22">
        <v>0.94409200000000004</v>
      </c>
      <c r="S22">
        <v>0.94402900000000001</v>
      </c>
      <c r="T22">
        <v>0.94357800000000003</v>
      </c>
      <c r="U22">
        <v>0.94409900000000002</v>
      </c>
      <c r="V22">
        <v>0.944191</v>
      </c>
      <c r="W22">
        <v>0.94418199999999997</v>
      </c>
      <c r="X22">
        <v>0.94419600000000004</v>
      </c>
      <c r="Y22">
        <v>0.94408999999999998</v>
      </c>
      <c r="Z22">
        <v>0.94428500000000004</v>
      </c>
      <c r="AA22">
        <v>0.94435599999999997</v>
      </c>
      <c r="AB22">
        <v>0.94456499999999999</v>
      </c>
      <c r="AC22">
        <v>0.94456300000000004</v>
      </c>
      <c r="AD22">
        <v>0.94437400000000005</v>
      </c>
      <c r="AE22" t="s">
        <v>1119</v>
      </c>
    </row>
    <row r="23" spans="1:31" x14ac:dyDescent="0.25">
      <c r="A23" t="s">
        <v>1005</v>
      </c>
      <c r="B23" t="s">
        <v>1947</v>
      </c>
      <c r="C23" t="s">
        <v>1948</v>
      </c>
      <c r="D23" t="s">
        <v>73</v>
      </c>
      <c r="E23">
        <v>5.3645999999999999E-2</v>
      </c>
      <c r="F23">
        <v>5.3927999999999997E-2</v>
      </c>
      <c r="G23">
        <v>5.7680000000000002E-2</v>
      </c>
      <c r="H23">
        <v>5.9186999999999997E-2</v>
      </c>
      <c r="I23">
        <v>6.7804000000000003E-2</v>
      </c>
      <c r="J23">
        <v>7.7784000000000006E-2</v>
      </c>
      <c r="K23">
        <v>8.7637000000000007E-2</v>
      </c>
      <c r="L23">
        <v>9.7931000000000004E-2</v>
      </c>
      <c r="M23">
        <v>0.108794</v>
      </c>
      <c r="N23">
        <v>0.117951</v>
      </c>
      <c r="O23">
        <v>0.126332</v>
      </c>
      <c r="P23">
        <v>0.13506799999999999</v>
      </c>
      <c r="Q23">
        <v>0.14341499999999999</v>
      </c>
      <c r="R23">
        <v>0.15082499999999999</v>
      </c>
      <c r="S23">
        <v>0.156912</v>
      </c>
      <c r="T23">
        <v>0.16081000000000001</v>
      </c>
      <c r="U23">
        <v>0.16448099999999999</v>
      </c>
      <c r="V23">
        <v>0.16814999999999999</v>
      </c>
      <c r="W23">
        <v>0.171566</v>
      </c>
      <c r="X23">
        <v>0.17457600000000001</v>
      </c>
      <c r="Y23">
        <v>0.17737600000000001</v>
      </c>
      <c r="Z23">
        <v>0.17993600000000001</v>
      </c>
      <c r="AA23">
        <v>0.18224699999999999</v>
      </c>
      <c r="AB23">
        <v>0.18428900000000001</v>
      </c>
      <c r="AC23">
        <v>0.18595300000000001</v>
      </c>
      <c r="AD23">
        <v>0.18627199999999999</v>
      </c>
      <c r="AE23" t="s">
        <v>1949</v>
      </c>
    </row>
    <row r="24" spans="1:31" x14ac:dyDescent="0.25">
      <c r="A24" t="s">
        <v>1008</v>
      </c>
      <c r="B24" t="s">
        <v>1950</v>
      </c>
      <c r="C24" t="s">
        <v>1951</v>
      </c>
      <c r="D24" t="s">
        <v>73</v>
      </c>
      <c r="E24">
        <v>0.15339800000000001</v>
      </c>
      <c r="F24">
        <v>0.15873100000000001</v>
      </c>
      <c r="G24">
        <v>0.16755</v>
      </c>
      <c r="H24">
        <v>0.17227100000000001</v>
      </c>
      <c r="I24">
        <v>0.17935000000000001</v>
      </c>
      <c r="J24">
        <v>0.18254000000000001</v>
      </c>
      <c r="K24">
        <v>0.18807299999999999</v>
      </c>
      <c r="L24">
        <v>0.19449900000000001</v>
      </c>
      <c r="M24">
        <v>0.201432</v>
      </c>
      <c r="N24">
        <v>0.20957799999999999</v>
      </c>
      <c r="O24">
        <v>0.21651899999999999</v>
      </c>
      <c r="P24">
        <v>0.22373100000000001</v>
      </c>
      <c r="Q24">
        <v>0.231484</v>
      </c>
      <c r="R24">
        <v>0.239009</v>
      </c>
      <c r="S24">
        <v>0.24593899999999999</v>
      </c>
      <c r="T24">
        <v>0.25118200000000002</v>
      </c>
      <c r="U24">
        <v>0.25774799999999998</v>
      </c>
      <c r="V24">
        <v>0.26282800000000001</v>
      </c>
      <c r="W24">
        <v>0.269592</v>
      </c>
      <c r="X24">
        <v>0.275254</v>
      </c>
      <c r="Y24">
        <v>0.27831299999999998</v>
      </c>
      <c r="Z24">
        <v>0.28125499999999998</v>
      </c>
      <c r="AA24">
        <v>0.28453800000000001</v>
      </c>
      <c r="AB24">
        <v>0.28748400000000002</v>
      </c>
      <c r="AC24">
        <v>0.29014400000000001</v>
      </c>
      <c r="AD24">
        <v>0.28993000000000002</v>
      </c>
      <c r="AE24" t="s">
        <v>1521</v>
      </c>
    </row>
    <row r="25" spans="1:31" x14ac:dyDescent="0.25">
      <c r="A25" t="s">
        <v>976</v>
      </c>
      <c r="B25" t="s">
        <v>1952</v>
      </c>
      <c r="C25" t="s">
        <v>1953</v>
      </c>
      <c r="D25" t="s">
        <v>73</v>
      </c>
      <c r="E25">
        <v>0.15549499999999999</v>
      </c>
      <c r="F25">
        <v>0.151948</v>
      </c>
      <c r="G25">
        <v>0.157636</v>
      </c>
      <c r="H25">
        <v>0.15756999999999999</v>
      </c>
      <c r="I25">
        <v>0.15623699999999999</v>
      </c>
      <c r="J25">
        <v>0.15870699999999999</v>
      </c>
      <c r="K25">
        <v>0.15919700000000001</v>
      </c>
      <c r="L25">
        <v>0.15901999999999999</v>
      </c>
      <c r="M25">
        <v>0.16006100000000001</v>
      </c>
      <c r="N25">
        <v>0.160604</v>
      </c>
      <c r="O25">
        <v>0.16219800000000001</v>
      </c>
      <c r="P25">
        <v>0.16433</v>
      </c>
      <c r="Q25">
        <v>0.16678599999999999</v>
      </c>
      <c r="R25">
        <v>0.16563800000000001</v>
      </c>
      <c r="S25">
        <v>0.165685</v>
      </c>
      <c r="T25">
        <v>0.16642999999999999</v>
      </c>
      <c r="U25">
        <v>0.16378499999999999</v>
      </c>
      <c r="V25">
        <v>0.16347100000000001</v>
      </c>
      <c r="W25">
        <v>0.16353599999999999</v>
      </c>
      <c r="X25">
        <v>0.16398599999999999</v>
      </c>
      <c r="Y25">
        <v>0.163968</v>
      </c>
      <c r="Z25">
        <v>0.16295499999999999</v>
      </c>
      <c r="AA25">
        <v>0.16399900000000001</v>
      </c>
      <c r="AB25">
        <v>0.16883500000000001</v>
      </c>
      <c r="AC25">
        <v>0.168179</v>
      </c>
      <c r="AD25">
        <v>0.34975299999999998</v>
      </c>
      <c r="AE25" t="s">
        <v>1617</v>
      </c>
    </row>
    <row r="26" spans="1:31" x14ac:dyDescent="0.25">
      <c r="A26" t="s">
        <v>1019</v>
      </c>
      <c r="B26" t="s">
        <v>1954</v>
      </c>
      <c r="C26" t="s">
        <v>1955</v>
      </c>
      <c r="D26" t="s">
        <v>73</v>
      </c>
      <c r="E26">
        <v>9.8539999999999999E-3</v>
      </c>
      <c r="F26">
        <v>9.2569999999999996E-3</v>
      </c>
      <c r="G26">
        <v>9.9590000000000008E-3</v>
      </c>
      <c r="H26">
        <v>9.953E-3</v>
      </c>
      <c r="I26">
        <v>9.9430000000000004E-3</v>
      </c>
      <c r="J26">
        <v>9.9550000000000003E-3</v>
      </c>
      <c r="K26">
        <v>9.9600000000000001E-3</v>
      </c>
      <c r="L26">
        <v>9.9319999999999999E-3</v>
      </c>
      <c r="M26">
        <v>9.9270000000000001E-3</v>
      </c>
      <c r="N26">
        <v>9.9349999999999994E-3</v>
      </c>
      <c r="O26">
        <v>9.9430000000000004E-3</v>
      </c>
      <c r="P26">
        <v>9.9410000000000002E-3</v>
      </c>
      <c r="Q26">
        <v>9.9480000000000002E-3</v>
      </c>
      <c r="R26">
        <v>9.9489999999999995E-3</v>
      </c>
      <c r="S26">
        <v>9.9469999999999992E-3</v>
      </c>
      <c r="T26">
        <v>9.9480000000000002E-3</v>
      </c>
      <c r="U26">
        <v>9.9520000000000008E-3</v>
      </c>
      <c r="V26">
        <v>9.946E-3</v>
      </c>
      <c r="W26">
        <v>9.946E-3</v>
      </c>
      <c r="X26">
        <v>9.9469999999999992E-3</v>
      </c>
      <c r="Y26">
        <v>9.9480000000000002E-3</v>
      </c>
      <c r="Z26">
        <v>9.9690000000000004E-3</v>
      </c>
      <c r="AA26">
        <v>9.9579999999999998E-3</v>
      </c>
      <c r="AB26">
        <v>9.9489999999999995E-3</v>
      </c>
      <c r="AC26">
        <v>9.9520000000000008E-3</v>
      </c>
      <c r="AD26">
        <v>9.9570000000000006E-3</v>
      </c>
      <c r="AE26" t="s">
        <v>1114</v>
      </c>
    </row>
    <row r="27" spans="1:31" x14ac:dyDescent="0.25">
      <c r="A27" t="s">
        <v>1022</v>
      </c>
      <c r="B27" t="s">
        <v>1956</v>
      </c>
      <c r="C27" t="s">
        <v>1957</v>
      </c>
      <c r="D27" t="s">
        <v>73</v>
      </c>
      <c r="E27">
        <v>0.92931399999999997</v>
      </c>
      <c r="F27">
        <v>1.133521</v>
      </c>
      <c r="G27">
        <v>1.554765</v>
      </c>
      <c r="H27">
        <v>1.8603860000000001</v>
      </c>
      <c r="I27">
        <v>1.9059109999999999</v>
      </c>
      <c r="J27">
        <v>1.9097930000000001</v>
      </c>
      <c r="K27">
        <v>1.926283</v>
      </c>
      <c r="L27">
        <v>1.932431</v>
      </c>
      <c r="M27">
        <v>1.939554</v>
      </c>
      <c r="N27">
        <v>1.954037</v>
      </c>
      <c r="O27">
        <v>1.9716290000000001</v>
      </c>
      <c r="P27">
        <v>1.983284</v>
      </c>
      <c r="Q27">
        <v>1.989144</v>
      </c>
      <c r="R27">
        <v>1.9972259999999999</v>
      </c>
      <c r="S27">
        <v>2.0171480000000002</v>
      </c>
      <c r="T27">
        <v>2.0411429999999999</v>
      </c>
      <c r="U27">
        <v>2.0545529999999999</v>
      </c>
      <c r="V27">
        <v>2.060905</v>
      </c>
      <c r="W27">
        <v>2.061944</v>
      </c>
      <c r="X27">
        <v>2.0639370000000001</v>
      </c>
      <c r="Y27">
        <v>2.0656349999999999</v>
      </c>
      <c r="Z27">
        <v>2.0668440000000001</v>
      </c>
      <c r="AA27">
        <v>2.0686360000000001</v>
      </c>
      <c r="AB27">
        <v>2.0685799999999999</v>
      </c>
      <c r="AC27">
        <v>2.0697549999999998</v>
      </c>
      <c r="AD27">
        <v>2.0704129999999998</v>
      </c>
      <c r="AE27" t="s">
        <v>1617</v>
      </c>
    </row>
    <row r="28" spans="1:31" x14ac:dyDescent="0.25">
      <c r="A28" t="s">
        <v>1025</v>
      </c>
      <c r="B28" t="s">
        <v>1958</v>
      </c>
      <c r="C28" t="s">
        <v>1959</v>
      </c>
      <c r="D28" t="s">
        <v>73</v>
      </c>
      <c r="E28">
        <v>1.582776</v>
      </c>
      <c r="F28">
        <v>1.6607460000000001</v>
      </c>
      <c r="G28">
        <v>1.806411</v>
      </c>
      <c r="H28">
        <v>1.870878</v>
      </c>
      <c r="I28">
        <v>2.024327</v>
      </c>
      <c r="J28">
        <v>2.168126</v>
      </c>
      <c r="K28">
        <v>2.2923460000000002</v>
      </c>
      <c r="L28">
        <v>2.3684159999999999</v>
      </c>
      <c r="M28">
        <v>2.4682490000000001</v>
      </c>
      <c r="N28">
        <v>2.6118290000000002</v>
      </c>
      <c r="O28">
        <v>2.7772329999999998</v>
      </c>
      <c r="P28">
        <v>2.9534769999999999</v>
      </c>
      <c r="Q28">
        <v>3.0737580000000002</v>
      </c>
      <c r="R28">
        <v>3.1714989999999998</v>
      </c>
      <c r="S28">
        <v>3.2626849999999998</v>
      </c>
      <c r="T28">
        <v>3.3463699999999998</v>
      </c>
      <c r="U28">
        <v>3.4253499999999999</v>
      </c>
      <c r="V28">
        <v>3.4537650000000002</v>
      </c>
      <c r="W28">
        <v>3.4602529999999998</v>
      </c>
      <c r="X28">
        <v>3.4634649999999998</v>
      </c>
      <c r="Y28">
        <v>3.4677630000000002</v>
      </c>
      <c r="Z28">
        <v>3.4771649999999998</v>
      </c>
      <c r="AA28">
        <v>3.4911469999999998</v>
      </c>
      <c r="AB28">
        <v>3.497074</v>
      </c>
      <c r="AC28">
        <v>3.5172859999999999</v>
      </c>
      <c r="AD28">
        <v>3.545391</v>
      </c>
      <c r="AE28" t="s">
        <v>1617</v>
      </c>
    </row>
    <row r="29" spans="1:31" x14ac:dyDescent="0.25">
      <c r="A29" t="s">
        <v>1028</v>
      </c>
      <c r="B29" t="s">
        <v>1960</v>
      </c>
      <c r="C29" t="s">
        <v>1961</v>
      </c>
      <c r="D29" t="s">
        <v>73</v>
      </c>
      <c r="E29">
        <v>8.3477230000000002</v>
      </c>
      <c r="F29">
        <v>8.8184360000000002</v>
      </c>
      <c r="G29">
        <v>9.4226209999999995</v>
      </c>
      <c r="H29">
        <v>9.8130640000000007</v>
      </c>
      <c r="I29">
        <v>10.013138</v>
      </c>
      <c r="J29">
        <v>10.082872999999999</v>
      </c>
      <c r="K29">
        <v>10.198980000000001</v>
      </c>
      <c r="L29">
        <v>10.270967000000001</v>
      </c>
      <c r="M29">
        <v>10.381779</v>
      </c>
      <c r="N29">
        <v>10.558280999999999</v>
      </c>
      <c r="O29">
        <v>10.760611000000001</v>
      </c>
      <c r="P29">
        <v>10.978382999999999</v>
      </c>
      <c r="Q29">
        <v>11.132631999999999</v>
      </c>
      <c r="R29">
        <v>11.27028</v>
      </c>
      <c r="S29">
        <v>11.417399</v>
      </c>
      <c r="T29">
        <v>11.559381</v>
      </c>
      <c r="U29">
        <v>11.66451</v>
      </c>
      <c r="V29">
        <v>11.733516</v>
      </c>
      <c r="W29">
        <v>11.763935</v>
      </c>
      <c r="X29">
        <v>11.790483999999999</v>
      </c>
      <c r="Y29">
        <v>11.825101</v>
      </c>
      <c r="Z29">
        <v>11.862026999999999</v>
      </c>
      <c r="AA29">
        <v>11.912801999999999</v>
      </c>
      <c r="AB29">
        <v>11.96369</v>
      </c>
      <c r="AC29">
        <v>12.044257</v>
      </c>
      <c r="AD29">
        <v>12.286882</v>
      </c>
      <c r="AE29" t="s">
        <v>1578</v>
      </c>
    </row>
    <row r="30" spans="1:31" x14ac:dyDescent="0.25">
      <c r="A30" t="s">
        <v>1031</v>
      </c>
    </row>
    <row r="31" spans="1:31" x14ac:dyDescent="0.25">
      <c r="A31" t="s">
        <v>1032</v>
      </c>
      <c r="B31" t="s">
        <v>1962</v>
      </c>
      <c r="C31" t="s">
        <v>1963</v>
      </c>
      <c r="D31" t="s">
        <v>73</v>
      </c>
      <c r="E31">
        <v>1.3421289999999999</v>
      </c>
      <c r="F31">
        <v>1.3459110000000001</v>
      </c>
      <c r="G31">
        <v>1.3366370000000001</v>
      </c>
      <c r="H31">
        <v>1.342422</v>
      </c>
      <c r="I31">
        <v>1.3376570000000001</v>
      </c>
      <c r="J31">
        <v>1.3402419999999999</v>
      </c>
      <c r="K31">
        <v>1.3354839999999999</v>
      </c>
      <c r="L31">
        <v>1.333526</v>
      </c>
      <c r="M31">
        <v>1.330719</v>
      </c>
      <c r="N31">
        <v>1.3335090000000001</v>
      </c>
      <c r="O31">
        <v>1.3354680000000001</v>
      </c>
      <c r="P31">
        <v>1.3436030000000001</v>
      </c>
      <c r="Q31">
        <v>1.3425210000000001</v>
      </c>
      <c r="R31">
        <v>1.3433060000000001</v>
      </c>
      <c r="S31">
        <v>1.3444290000000001</v>
      </c>
      <c r="T31">
        <v>1.3478250000000001</v>
      </c>
      <c r="U31">
        <v>1.351432</v>
      </c>
      <c r="V31">
        <v>1.364444</v>
      </c>
      <c r="W31">
        <v>1.3697330000000001</v>
      </c>
      <c r="X31">
        <v>1.374042</v>
      </c>
      <c r="Y31">
        <v>1.375246</v>
      </c>
      <c r="Z31">
        <v>1.3752059999999999</v>
      </c>
      <c r="AA31">
        <v>1.385507</v>
      </c>
      <c r="AB31">
        <v>1.3937580000000001</v>
      </c>
      <c r="AC31">
        <v>1.3973420000000001</v>
      </c>
      <c r="AD31">
        <v>1.403448</v>
      </c>
      <c r="AE31" t="s">
        <v>1081</v>
      </c>
    </row>
    <row r="32" spans="1:31" x14ac:dyDescent="0.25">
      <c r="A32" t="s">
        <v>1035</v>
      </c>
      <c r="B32" t="s">
        <v>1964</v>
      </c>
      <c r="C32" t="s">
        <v>1965</v>
      </c>
      <c r="D32" t="s">
        <v>73</v>
      </c>
      <c r="E32">
        <v>5.7399999999999997E-4</v>
      </c>
      <c r="F32">
        <v>5.6999999999999998E-4</v>
      </c>
      <c r="G32">
        <v>5.6400000000000005E-4</v>
      </c>
      <c r="H32">
        <v>5.6400000000000005E-4</v>
      </c>
      <c r="I32">
        <v>5.6400000000000005E-4</v>
      </c>
      <c r="J32">
        <v>5.6400000000000005E-4</v>
      </c>
      <c r="K32">
        <v>5.6400000000000005E-4</v>
      </c>
      <c r="L32">
        <v>5.6400000000000005E-4</v>
      </c>
      <c r="M32">
        <v>5.6400000000000005E-4</v>
      </c>
      <c r="N32">
        <v>5.6400000000000005E-4</v>
      </c>
      <c r="O32">
        <v>5.6400000000000005E-4</v>
      </c>
      <c r="P32">
        <v>5.6400000000000005E-4</v>
      </c>
      <c r="Q32">
        <v>5.6400000000000005E-4</v>
      </c>
      <c r="R32">
        <v>5.6400000000000005E-4</v>
      </c>
      <c r="S32">
        <v>5.6400000000000005E-4</v>
      </c>
      <c r="T32">
        <v>5.6400000000000005E-4</v>
      </c>
      <c r="U32">
        <v>5.6400000000000005E-4</v>
      </c>
      <c r="V32">
        <v>5.6400000000000005E-4</v>
      </c>
      <c r="W32">
        <v>5.6400000000000005E-4</v>
      </c>
      <c r="X32">
        <v>5.6400000000000005E-4</v>
      </c>
      <c r="Y32">
        <v>5.6400000000000005E-4</v>
      </c>
      <c r="Z32">
        <v>5.6400000000000005E-4</v>
      </c>
      <c r="AA32">
        <v>5.6400000000000005E-4</v>
      </c>
      <c r="AB32">
        <v>5.6400000000000005E-4</v>
      </c>
      <c r="AC32">
        <v>5.6400000000000005E-4</v>
      </c>
      <c r="AD32">
        <v>5.6400000000000005E-4</v>
      </c>
      <c r="AE32" t="s">
        <v>1231</v>
      </c>
    </row>
    <row r="33" spans="1:31" x14ac:dyDescent="0.25">
      <c r="A33" t="s">
        <v>1038</v>
      </c>
      <c r="B33" t="s">
        <v>1966</v>
      </c>
      <c r="C33" t="s">
        <v>1967</v>
      </c>
      <c r="D33" t="s">
        <v>73</v>
      </c>
      <c r="E33">
        <v>-0.175261</v>
      </c>
      <c r="F33">
        <v>-0.18095</v>
      </c>
      <c r="G33">
        <v>-0.15659300000000001</v>
      </c>
      <c r="H33">
        <v>-0.16880200000000001</v>
      </c>
      <c r="I33">
        <v>-0.173067</v>
      </c>
      <c r="J33">
        <v>-0.185365</v>
      </c>
      <c r="K33">
        <v>-0.19000700000000001</v>
      </c>
      <c r="L33">
        <v>-0.19475899999999999</v>
      </c>
      <c r="M33">
        <v>-0.19962199999999999</v>
      </c>
      <c r="N33">
        <v>-0.20461099999999999</v>
      </c>
      <c r="O33">
        <v>-0.209726</v>
      </c>
      <c r="P33">
        <v>-0.22473899999999999</v>
      </c>
      <c r="Q33">
        <v>-0.23036699999999999</v>
      </c>
      <c r="R33">
        <v>-0.236128</v>
      </c>
      <c r="S33">
        <v>-0.24202000000000001</v>
      </c>
      <c r="T33">
        <v>-0.24807799999999999</v>
      </c>
      <c r="U33">
        <v>-0.25428400000000001</v>
      </c>
      <c r="V33">
        <v>-0.27197100000000002</v>
      </c>
      <c r="W33">
        <v>-0.27877400000000002</v>
      </c>
      <c r="X33">
        <v>-0.28573199999999999</v>
      </c>
      <c r="Y33">
        <v>-0.288551</v>
      </c>
      <c r="Z33">
        <v>-0.29111900000000002</v>
      </c>
      <c r="AA33">
        <v>-0.30298700000000001</v>
      </c>
      <c r="AB33">
        <v>-0.31539</v>
      </c>
      <c r="AC33">
        <v>-0.32327800000000001</v>
      </c>
      <c r="AD33">
        <v>-0.33137299999999997</v>
      </c>
      <c r="AE33" t="s">
        <v>1521</v>
      </c>
    </row>
    <row r="34" spans="1:31" x14ac:dyDescent="0.25">
      <c r="A34" t="s">
        <v>1041</v>
      </c>
      <c r="B34" t="s">
        <v>1968</v>
      </c>
      <c r="C34" t="s">
        <v>1969</v>
      </c>
      <c r="D34" t="s">
        <v>73</v>
      </c>
      <c r="E34">
        <v>1.167441</v>
      </c>
      <c r="F34">
        <v>1.1655310000000001</v>
      </c>
      <c r="G34">
        <v>1.1806080000000001</v>
      </c>
      <c r="H34">
        <v>1.174183</v>
      </c>
      <c r="I34">
        <v>1.165154</v>
      </c>
      <c r="J34">
        <v>1.1554409999999999</v>
      </c>
      <c r="K34">
        <v>1.1460410000000001</v>
      </c>
      <c r="L34">
        <v>1.1393310000000001</v>
      </c>
      <c r="M34">
        <v>1.1316600000000001</v>
      </c>
      <c r="N34">
        <v>1.129462</v>
      </c>
      <c r="O34">
        <v>1.1263049999999999</v>
      </c>
      <c r="P34">
        <v>1.1194269999999999</v>
      </c>
      <c r="Q34">
        <v>1.112717</v>
      </c>
      <c r="R34">
        <v>1.107742</v>
      </c>
      <c r="S34">
        <v>1.102973</v>
      </c>
      <c r="T34">
        <v>1.100311</v>
      </c>
      <c r="U34">
        <v>1.097712</v>
      </c>
      <c r="V34">
        <v>1.093037</v>
      </c>
      <c r="W34">
        <v>1.091523</v>
      </c>
      <c r="X34">
        <v>1.0888739999999999</v>
      </c>
      <c r="Y34">
        <v>1.087259</v>
      </c>
      <c r="Z34">
        <v>1.084651</v>
      </c>
      <c r="AA34">
        <v>1.0830839999999999</v>
      </c>
      <c r="AB34">
        <v>1.078932</v>
      </c>
      <c r="AC34">
        <v>1.0746279999999999</v>
      </c>
      <c r="AD34">
        <v>1.072638</v>
      </c>
      <c r="AE34" t="s">
        <v>1084</v>
      </c>
    </row>
    <row r="35" spans="1:31" x14ac:dyDescent="0.25">
      <c r="A35" t="s">
        <v>1044</v>
      </c>
    </row>
    <row r="36" spans="1:31" x14ac:dyDescent="0.25">
      <c r="A36" t="s">
        <v>1045</v>
      </c>
    </row>
    <row r="37" spans="1:31" x14ac:dyDescent="0.25">
      <c r="A37" t="s">
        <v>69</v>
      </c>
      <c r="B37" t="s">
        <v>1970</v>
      </c>
      <c r="C37" t="s">
        <v>1971</v>
      </c>
      <c r="D37" t="s">
        <v>73</v>
      </c>
      <c r="E37">
        <v>0.27465800000000001</v>
      </c>
      <c r="F37">
        <v>0.28657500000000002</v>
      </c>
      <c r="G37">
        <v>0.30164000000000002</v>
      </c>
      <c r="H37">
        <v>0.31602799999999998</v>
      </c>
      <c r="I37">
        <v>0.32961200000000002</v>
      </c>
      <c r="J37">
        <v>0.34403499999999998</v>
      </c>
      <c r="K37">
        <v>0.35966399999999998</v>
      </c>
      <c r="L37">
        <v>0.37496000000000002</v>
      </c>
      <c r="M37">
        <v>0.39128400000000002</v>
      </c>
      <c r="N37">
        <v>0.40867900000000001</v>
      </c>
      <c r="O37">
        <v>0.42710399999999998</v>
      </c>
      <c r="P37">
        <v>0.446461</v>
      </c>
      <c r="Q37">
        <v>0.467306</v>
      </c>
      <c r="R37">
        <v>0.48915999999999998</v>
      </c>
      <c r="S37">
        <v>0.512127</v>
      </c>
      <c r="T37">
        <v>0.53596699999999997</v>
      </c>
      <c r="U37">
        <v>0.56050999999999995</v>
      </c>
      <c r="V37">
        <v>0.58584400000000003</v>
      </c>
      <c r="W37">
        <v>0.61185599999999996</v>
      </c>
      <c r="X37">
        <v>0.63892599999999999</v>
      </c>
      <c r="Y37">
        <v>0.66666700000000001</v>
      </c>
      <c r="Z37">
        <v>0.69531799999999999</v>
      </c>
      <c r="AA37">
        <v>0.72470199999999996</v>
      </c>
      <c r="AB37">
        <v>0.75541700000000001</v>
      </c>
      <c r="AC37">
        <v>0.786555</v>
      </c>
      <c r="AD37">
        <v>0.81872999999999996</v>
      </c>
      <c r="AE37" t="s">
        <v>1972</v>
      </c>
    </row>
    <row r="38" spans="1:31" x14ac:dyDescent="0.25">
      <c r="A38" t="s">
        <v>1048</v>
      </c>
      <c r="B38" t="s">
        <v>1973</v>
      </c>
      <c r="C38" t="s">
        <v>1974</v>
      </c>
      <c r="D38" t="s">
        <v>73</v>
      </c>
      <c r="E38">
        <v>4.9686000000000001E-2</v>
      </c>
      <c r="F38">
        <v>4.8801999999999998E-2</v>
      </c>
      <c r="G38">
        <v>4.9417000000000003E-2</v>
      </c>
      <c r="H38">
        <v>4.8901E-2</v>
      </c>
      <c r="I38">
        <v>4.8594999999999999E-2</v>
      </c>
      <c r="J38">
        <v>4.8425999999999997E-2</v>
      </c>
      <c r="K38">
        <v>4.8259000000000003E-2</v>
      </c>
      <c r="L38">
        <v>4.7826E-2</v>
      </c>
      <c r="M38">
        <v>4.7667000000000001E-2</v>
      </c>
      <c r="N38">
        <v>4.7592000000000002E-2</v>
      </c>
      <c r="O38">
        <v>4.7390000000000002E-2</v>
      </c>
      <c r="P38">
        <v>4.7232999999999997E-2</v>
      </c>
      <c r="Q38">
        <v>4.7174000000000001E-2</v>
      </c>
      <c r="R38">
        <v>4.7140000000000001E-2</v>
      </c>
      <c r="S38">
        <v>4.7048E-2</v>
      </c>
      <c r="T38">
        <v>4.7018999999999998E-2</v>
      </c>
      <c r="U38">
        <v>4.6747999999999998E-2</v>
      </c>
      <c r="V38">
        <v>4.6573000000000003E-2</v>
      </c>
      <c r="W38">
        <v>4.6286000000000001E-2</v>
      </c>
      <c r="X38">
        <v>4.6039999999999998E-2</v>
      </c>
      <c r="Y38">
        <v>4.5849000000000001E-2</v>
      </c>
      <c r="Z38">
        <v>4.5747999999999997E-2</v>
      </c>
      <c r="AA38">
        <v>4.5539999999999997E-2</v>
      </c>
      <c r="AB38">
        <v>4.5422999999999998E-2</v>
      </c>
      <c r="AC38">
        <v>4.5241000000000003E-2</v>
      </c>
      <c r="AD38">
        <v>4.4974E-2</v>
      </c>
      <c r="AE38" t="s">
        <v>1190</v>
      </c>
    </row>
    <row r="39" spans="1:31" x14ac:dyDescent="0.25">
      <c r="A39" t="s">
        <v>1022</v>
      </c>
      <c r="B39" t="s">
        <v>1975</v>
      </c>
      <c r="C39" t="s">
        <v>1976</v>
      </c>
      <c r="D39" t="s">
        <v>73</v>
      </c>
      <c r="E39">
        <v>0.224384</v>
      </c>
      <c r="F39">
        <v>0.23718500000000001</v>
      </c>
      <c r="G39">
        <v>0.25163400000000002</v>
      </c>
      <c r="H39">
        <v>0.26653700000000002</v>
      </c>
      <c r="I39">
        <v>0.28042699999999998</v>
      </c>
      <c r="J39">
        <v>0.29501699999999997</v>
      </c>
      <c r="K39">
        <v>0.31080999999999998</v>
      </c>
      <c r="L39">
        <v>0.32653300000000002</v>
      </c>
      <c r="M39">
        <v>0.34300900000000001</v>
      </c>
      <c r="N39">
        <v>0.36046800000000001</v>
      </c>
      <c r="O39">
        <v>0.37908199999999997</v>
      </c>
      <c r="P39">
        <v>0.39858300000000002</v>
      </c>
      <c r="Q39">
        <v>0.41947099999999998</v>
      </c>
      <c r="R39">
        <v>0.44134200000000001</v>
      </c>
      <c r="S39">
        <v>0.46438400000000002</v>
      </c>
      <c r="T39">
        <v>0.48823499999999997</v>
      </c>
      <c r="U39">
        <v>0.51302899999999996</v>
      </c>
      <c r="V39">
        <v>0.53851700000000002</v>
      </c>
      <c r="W39">
        <v>0.56479400000000002</v>
      </c>
      <c r="X39">
        <v>0.59208700000000003</v>
      </c>
      <c r="Y39">
        <v>0.61999599999999999</v>
      </c>
      <c r="Z39">
        <v>0.64872200000000002</v>
      </c>
      <c r="AA39">
        <v>0.67828999999999995</v>
      </c>
      <c r="AB39">
        <v>0.70909100000000003</v>
      </c>
      <c r="AC39">
        <v>0.74038099999999996</v>
      </c>
      <c r="AD39">
        <v>0.77279299999999995</v>
      </c>
      <c r="AE39" t="s">
        <v>1949</v>
      </c>
    </row>
    <row r="40" spans="1:31" x14ac:dyDescent="0.25">
      <c r="A40" t="s">
        <v>1025</v>
      </c>
      <c r="B40" t="s">
        <v>1977</v>
      </c>
      <c r="C40" t="s">
        <v>1978</v>
      </c>
      <c r="D40" t="s">
        <v>73</v>
      </c>
      <c r="E40">
        <v>5.8799999999999998E-4</v>
      </c>
      <c r="F40">
        <v>5.8799999999999998E-4</v>
      </c>
      <c r="G40">
        <v>5.8900000000000001E-4</v>
      </c>
      <c r="H40">
        <v>5.9000000000000003E-4</v>
      </c>
      <c r="I40">
        <v>5.9100000000000005E-4</v>
      </c>
      <c r="J40">
        <v>5.9199999999999997E-4</v>
      </c>
      <c r="K40">
        <v>5.9599999999999996E-4</v>
      </c>
      <c r="L40">
        <v>6.0099999999999997E-4</v>
      </c>
      <c r="M40">
        <v>6.0800000000000003E-4</v>
      </c>
      <c r="N40">
        <v>6.1899999999999998E-4</v>
      </c>
      <c r="O40">
        <v>6.3199999999999997E-4</v>
      </c>
      <c r="P40">
        <v>6.4599999999999998E-4</v>
      </c>
      <c r="Q40">
        <v>6.6200000000000005E-4</v>
      </c>
      <c r="R40">
        <v>6.78E-4</v>
      </c>
      <c r="S40">
        <v>6.9499999999999998E-4</v>
      </c>
      <c r="T40">
        <v>7.1299999999999998E-4</v>
      </c>
      <c r="U40">
        <v>7.3300000000000004E-4</v>
      </c>
      <c r="V40">
        <v>7.54E-4</v>
      </c>
      <c r="W40">
        <v>7.76E-4</v>
      </c>
      <c r="X40">
        <v>7.9900000000000001E-4</v>
      </c>
      <c r="Y40">
        <v>8.2200000000000003E-4</v>
      </c>
      <c r="Z40">
        <v>8.4699999999999999E-4</v>
      </c>
      <c r="AA40">
        <v>8.7299999999999997E-4</v>
      </c>
      <c r="AB40">
        <v>9.0300000000000005E-4</v>
      </c>
      <c r="AC40">
        <v>9.3300000000000002E-4</v>
      </c>
      <c r="AD40">
        <v>9.6299999999999999E-4</v>
      </c>
      <c r="AE40" t="s">
        <v>1540</v>
      </c>
    </row>
    <row r="41" spans="1:31" x14ac:dyDescent="0.25">
      <c r="A41" t="s">
        <v>98</v>
      </c>
      <c r="B41" t="s">
        <v>1979</v>
      </c>
      <c r="C41" t="s">
        <v>1980</v>
      </c>
      <c r="D41" t="s">
        <v>73</v>
      </c>
      <c r="E41">
        <v>0.22559299999999999</v>
      </c>
      <c r="F41">
        <v>0.24240100000000001</v>
      </c>
      <c r="G41">
        <v>0.25879000000000002</v>
      </c>
      <c r="H41">
        <v>0.26552399999999998</v>
      </c>
      <c r="I41">
        <v>0.26949800000000002</v>
      </c>
      <c r="J41">
        <v>0.27449099999999999</v>
      </c>
      <c r="K41">
        <v>0.27805099999999999</v>
      </c>
      <c r="L41">
        <v>0.28001399999999999</v>
      </c>
      <c r="M41">
        <v>0.28334700000000002</v>
      </c>
      <c r="N41">
        <v>0.28869299999999998</v>
      </c>
      <c r="O41">
        <v>0.29260799999999998</v>
      </c>
      <c r="P41">
        <v>0.29586899999999999</v>
      </c>
      <c r="Q41">
        <v>0.30219499999999999</v>
      </c>
      <c r="R41">
        <v>0.30844100000000002</v>
      </c>
      <c r="S41">
        <v>0.31606099999999998</v>
      </c>
      <c r="T41">
        <v>0.32268999999999998</v>
      </c>
      <c r="U41">
        <v>0.32603500000000002</v>
      </c>
      <c r="V41">
        <v>0.33121699999999998</v>
      </c>
      <c r="W41">
        <v>0.333756</v>
      </c>
      <c r="X41">
        <v>0.33660000000000001</v>
      </c>
      <c r="Y41">
        <v>0.33891900000000003</v>
      </c>
      <c r="Z41">
        <v>0.34271400000000002</v>
      </c>
      <c r="AA41">
        <v>0.34756599999999999</v>
      </c>
      <c r="AB41">
        <v>0.35250900000000002</v>
      </c>
      <c r="AC41">
        <v>0.356213</v>
      </c>
      <c r="AD41">
        <v>0.36099100000000001</v>
      </c>
      <c r="AE41" t="s">
        <v>1551</v>
      </c>
    </row>
    <row r="42" spans="1:31" x14ac:dyDescent="0.25">
      <c r="A42" t="s">
        <v>1019</v>
      </c>
      <c r="B42" t="s">
        <v>1981</v>
      </c>
      <c r="C42" t="s">
        <v>1982</v>
      </c>
      <c r="D42" t="s">
        <v>73</v>
      </c>
      <c r="E42">
        <v>6.5494999999999998E-2</v>
      </c>
      <c r="F42">
        <v>6.3335000000000002E-2</v>
      </c>
      <c r="G42">
        <v>6.3611000000000001E-2</v>
      </c>
      <c r="H42">
        <v>6.2602000000000005E-2</v>
      </c>
      <c r="I42">
        <v>6.1894999999999999E-2</v>
      </c>
      <c r="J42">
        <v>6.1556E-2</v>
      </c>
      <c r="K42">
        <v>6.1001E-2</v>
      </c>
      <c r="L42">
        <v>5.9719000000000001E-2</v>
      </c>
      <c r="M42">
        <v>5.9400000000000001E-2</v>
      </c>
      <c r="N42">
        <v>5.9207999999999997E-2</v>
      </c>
      <c r="O42">
        <v>5.8635E-2</v>
      </c>
      <c r="P42">
        <v>5.8118999999999997E-2</v>
      </c>
      <c r="Q42">
        <v>5.7820999999999997E-2</v>
      </c>
      <c r="R42">
        <v>5.7597000000000002E-2</v>
      </c>
      <c r="S42">
        <v>5.7361000000000002E-2</v>
      </c>
      <c r="T42">
        <v>5.7211999999999999E-2</v>
      </c>
      <c r="U42">
        <v>5.6903000000000002E-2</v>
      </c>
      <c r="V42">
        <v>5.6644E-2</v>
      </c>
      <c r="W42">
        <v>5.6244000000000002E-2</v>
      </c>
      <c r="X42">
        <v>5.5780999999999997E-2</v>
      </c>
      <c r="Y42">
        <v>5.5392999999999998E-2</v>
      </c>
      <c r="Z42">
        <v>5.4973000000000001E-2</v>
      </c>
      <c r="AA42">
        <v>5.4613000000000002E-2</v>
      </c>
      <c r="AB42">
        <v>5.4244000000000001E-2</v>
      </c>
      <c r="AC42">
        <v>5.3925000000000001E-2</v>
      </c>
      <c r="AD42">
        <v>5.3518999999999997E-2</v>
      </c>
      <c r="AE42" t="s">
        <v>1173</v>
      </c>
    </row>
    <row r="43" spans="1:31" x14ac:dyDescent="0.25">
      <c r="A43" t="s">
        <v>1022</v>
      </c>
      <c r="B43" t="s">
        <v>1983</v>
      </c>
      <c r="C43" t="s">
        <v>1984</v>
      </c>
      <c r="D43" t="s">
        <v>73</v>
      </c>
      <c r="E43">
        <v>0.15757299999999999</v>
      </c>
      <c r="F43">
        <v>0.176538</v>
      </c>
      <c r="G43">
        <v>0.19264600000000001</v>
      </c>
      <c r="H43">
        <v>0.20038900000000001</v>
      </c>
      <c r="I43">
        <v>0.205067</v>
      </c>
      <c r="J43">
        <v>0.210395</v>
      </c>
      <c r="K43">
        <v>0.21450900000000001</v>
      </c>
      <c r="L43">
        <v>0.21775</v>
      </c>
      <c r="M43">
        <v>0.22139800000000001</v>
      </c>
      <c r="N43">
        <v>0.226933</v>
      </c>
      <c r="O43">
        <v>0.23141999999999999</v>
      </c>
      <c r="P43">
        <v>0.23519699999999999</v>
      </c>
      <c r="Q43">
        <v>0.24181900000000001</v>
      </c>
      <c r="R43">
        <v>0.24828800000000001</v>
      </c>
      <c r="S43">
        <v>0.25614199999999998</v>
      </c>
      <c r="T43">
        <v>0.26291700000000001</v>
      </c>
      <c r="U43">
        <v>0.266571</v>
      </c>
      <c r="V43">
        <v>0.27200800000000003</v>
      </c>
      <c r="W43">
        <v>0.27494499999999999</v>
      </c>
      <c r="X43">
        <v>0.27825100000000003</v>
      </c>
      <c r="Y43">
        <v>0.28095700000000001</v>
      </c>
      <c r="Z43">
        <v>0.28517100000000001</v>
      </c>
      <c r="AA43">
        <v>0.29038199999999997</v>
      </c>
      <c r="AB43">
        <v>0.29569099999999998</v>
      </c>
      <c r="AC43">
        <v>0.29971399999999998</v>
      </c>
      <c r="AD43">
        <v>0.30489699999999997</v>
      </c>
      <c r="AE43" t="s">
        <v>1434</v>
      </c>
    </row>
    <row r="44" spans="1:31" x14ac:dyDescent="0.25">
      <c r="A44" t="s">
        <v>1025</v>
      </c>
      <c r="B44" t="s">
        <v>1985</v>
      </c>
      <c r="C44" t="s">
        <v>1986</v>
      </c>
      <c r="D44" t="s">
        <v>73</v>
      </c>
      <c r="E44">
        <v>2.5240000000000002E-3</v>
      </c>
      <c r="F44">
        <v>2.5270000000000002E-3</v>
      </c>
      <c r="G44">
        <v>2.5330000000000001E-3</v>
      </c>
      <c r="H44">
        <v>2.5330000000000001E-3</v>
      </c>
      <c r="I44">
        <v>2.5360000000000001E-3</v>
      </c>
      <c r="J44">
        <v>2.5400000000000002E-3</v>
      </c>
      <c r="K44">
        <v>2.542E-3</v>
      </c>
      <c r="L44">
        <v>2.545E-3</v>
      </c>
      <c r="M44">
        <v>2.5490000000000001E-3</v>
      </c>
      <c r="N44">
        <v>2.552E-3</v>
      </c>
      <c r="O44">
        <v>2.5530000000000001E-3</v>
      </c>
      <c r="P44">
        <v>2.5539999999999998E-3</v>
      </c>
      <c r="Q44">
        <v>2.555E-3</v>
      </c>
      <c r="R44">
        <v>2.5569999999999998E-3</v>
      </c>
      <c r="S44">
        <v>2.5579999999999999E-3</v>
      </c>
      <c r="T44">
        <v>2.5600000000000002E-3</v>
      </c>
      <c r="U44">
        <v>2.5609999999999999E-3</v>
      </c>
      <c r="V44">
        <v>2.565E-3</v>
      </c>
      <c r="W44">
        <v>2.5660000000000001E-3</v>
      </c>
      <c r="X44">
        <v>2.568E-3</v>
      </c>
      <c r="Y44">
        <v>2.568E-3</v>
      </c>
      <c r="Z44">
        <v>2.5690000000000001E-3</v>
      </c>
      <c r="AA44">
        <v>2.5720000000000001E-3</v>
      </c>
      <c r="AB44">
        <v>2.5730000000000002E-3</v>
      </c>
      <c r="AC44">
        <v>2.5739999999999999E-3</v>
      </c>
      <c r="AD44">
        <v>2.575E-3</v>
      </c>
      <c r="AE44" t="s">
        <v>1125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5"/>
  <sheetViews>
    <sheetView workbookViewId="0"/>
  </sheetViews>
  <sheetFormatPr defaultRowHeight="15" x14ac:dyDescent="0.25"/>
  <cols>
    <col min="1" max="1" width="40" customWidth="1"/>
    <col min="2" max="2" width="14" customWidth="1"/>
  </cols>
  <sheetData>
    <row r="1" spans="1:1" x14ac:dyDescent="0.25">
      <c r="A1" s="37" t="s">
        <v>1987</v>
      </c>
    </row>
    <row r="2" spans="1:1" ht="45" x14ac:dyDescent="0.25">
      <c r="A2" s="38" t="s">
        <v>1988</v>
      </c>
    </row>
    <row r="4" spans="1:1" x14ac:dyDescent="0.25">
      <c r="A4" s="37" t="s">
        <v>1989</v>
      </c>
    </row>
    <row r="5" spans="1:1" x14ac:dyDescent="0.25">
      <c r="A5" t="s">
        <v>1990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D36"/>
  <sheetViews>
    <sheetView topLeftCell="A12" workbookViewId="0">
      <selection activeCell="C21" sqref="C21"/>
    </sheetView>
  </sheetViews>
  <sheetFormatPr defaultRowHeight="15" x14ac:dyDescent="0.25"/>
  <cols>
    <col min="1" max="1" width="18" customWidth="1"/>
    <col min="2" max="2" width="36.7109375" customWidth="1"/>
    <col min="3" max="3" width="26" customWidth="1"/>
    <col min="4" max="4" width="36.28515625" customWidth="1"/>
    <col min="5" max="5" width="29.7109375" customWidth="1"/>
  </cols>
  <sheetData>
    <row r="1" spans="1:4" x14ac:dyDescent="0.25">
      <c r="A1" s="1" t="s">
        <v>1991</v>
      </c>
    </row>
    <row r="3" spans="1:4" x14ac:dyDescent="0.25">
      <c r="A3" s="4" t="s">
        <v>1992</v>
      </c>
      <c r="B3" s="4" t="s">
        <v>1993</v>
      </c>
      <c r="C3" s="18" t="s">
        <v>1994</v>
      </c>
      <c r="D3" s="4" t="s">
        <v>8</v>
      </c>
    </row>
    <row r="4" spans="1:4" x14ac:dyDescent="0.25">
      <c r="A4" s="6" t="s">
        <v>35</v>
      </c>
      <c r="B4" s="6" t="s">
        <v>36</v>
      </c>
      <c r="C4" s="17">
        <f>C28</f>
        <v>1.7584294799941759E-2</v>
      </c>
    </row>
    <row r="5" spans="1:4" x14ac:dyDescent="0.25">
      <c r="A5" s="6" t="s">
        <v>23</v>
      </c>
      <c r="B5" s="6" t="s">
        <v>24</v>
      </c>
      <c r="C5" s="19">
        <v>1</v>
      </c>
      <c r="D5" t="s">
        <v>1995</v>
      </c>
    </row>
    <row r="6" spans="1:4" x14ac:dyDescent="0.25">
      <c r="A6" s="6" t="s">
        <v>48</v>
      </c>
      <c r="B6" s="6" t="s">
        <v>49</v>
      </c>
      <c r="C6" s="19">
        <v>1</v>
      </c>
      <c r="D6" t="s">
        <v>1996</v>
      </c>
    </row>
    <row r="7" spans="1:4" ht="29.65" customHeight="1" x14ac:dyDescent="0.25">
      <c r="A7" s="6" t="s">
        <v>29</v>
      </c>
      <c r="B7" s="6" t="s">
        <v>30</v>
      </c>
      <c r="C7" s="17">
        <f>C23</f>
        <v>7.1641639553560801E-2</v>
      </c>
    </row>
    <row r="8" spans="1:4" x14ac:dyDescent="0.25">
      <c r="A8" s="6" t="s">
        <v>38</v>
      </c>
      <c r="B8" s="6" t="s">
        <v>39</v>
      </c>
      <c r="C8" s="17">
        <f>C18</f>
        <v>0.9158012905330517</v>
      </c>
    </row>
    <row r="9" spans="1:4" x14ac:dyDescent="0.25">
      <c r="A9" s="6" t="s">
        <v>20</v>
      </c>
      <c r="B9" s="6" t="s">
        <v>21</v>
      </c>
      <c r="C9" s="19">
        <v>1</v>
      </c>
      <c r="D9" t="s">
        <v>1995</v>
      </c>
    </row>
    <row r="10" spans="1:4" x14ac:dyDescent="0.25">
      <c r="A10" s="6" t="s">
        <v>26</v>
      </c>
      <c r="B10" s="6" t="s">
        <v>27</v>
      </c>
      <c r="C10" s="19">
        <v>1</v>
      </c>
      <c r="D10" t="s">
        <v>1995</v>
      </c>
    </row>
    <row r="15" spans="1:4" x14ac:dyDescent="0.25">
      <c r="A15" s="13" t="s">
        <v>38</v>
      </c>
      <c r="B15" s="13" t="s">
        <v>39</v>
      </c>
      <c r="C15" s="14"/>
      <c r="D15" s="16" t="s">
        <v>1997</v>
      </c>
    </row>
    <row r="16" spans="1:4" x14ac:dyDescent="0.25">
      <c r="A16" t="s">
        <v>1998</v>
      </c>
      <c r="C16" s="8">
        <f>SUM('AEO 2026 Table 6'!E92,'AEO 2026 Table 6'!E94)/'AEO 2026 Table 6'!E97</f>
        <v>0.36395671940983115</v>
      </c>
      <c r="D16" s="17" t="s">
        <v>1999</v>
      </c>
    </row>
    <row r="17" spans="1:4" x14ac:dyDescent="0.25">
      <c r="A17" t="s">
        <v>2000</v>
      </c>
      <c r="C17" s="8">
        <f>'AEO 2026 Table 2'!E37/'AEO 2026 Table 2'!E86</f>
        <v>0.23134264316779057</v>
      </c>
      <c r="D17" s="17" t="s">
        <v>2001</v>
      </c>
    </row>
    <row r="18" spans="1:4" x14ac:dyDescent="0.25">
      <c r="A18" t="s">
        <v>2002</v>
      </c>
      <c r="C18" s="11">
        <f>1-C16*C17</f>
        <v>0.9158012905330517</v>
      </c>
    </row>
    <row r="20" spans="1:4" x14ac:dyDescent="0.25">
      <c r="A20" s="15" t="s">
        <v>29</v>
      </c>
      <c r="B20" s="13" t="s">
        <v>30</v>
      </c>
      <c r="C20" s="14"/>
      <c r="D20" s="16" t="s">
        <v>1997</v>
      </c>
    </row>
    <row r="21" spans="1:4" x14ac:dyDescent="0.25">
      <c r="A21" t="s">
        <v>2003</v>
      </c>
      <c r="C21" s="7">
        <f>'AEO 2026 Table 2'!E145*'AEO 2026 Table 3'!E41*10^9</f>
        <v>4503183487.0469999</v>
      </c>
      <c r="D21" s="17" t="s">
        <v>2004</v>
      </c>
    </row>
    <row r="22" spans="1:4" x14ac:dyDescent="0.25">
      <c r="A22" t="s">
        <v>2005</v>
      </c>
      <c r="C22" s="7">
        <v>62857069088.715157</v>
      </c>
      <c r="D22" s="12" t="s">
        <v>2006</v>
      </c>
    </row>
    <row r="23" spans="1:4" x14ac:dyDescent="0.25">
      <c r="A23" t="s">
        <v>2007</v>
      </c>
      <c r="C23" s="11">
        <f>C21/C22</f>
        <v>7.1641639553560801E-2</v>
      </c>
      <c r="D23" s="17"/>
    </row>
    <row r="25" spans="1:4" x14ac:dyDescent="0.25">
      <c r="A25" s="15" t="s">
        <v>35</v>
      </c>
      <c r="B25" s="13" t="s">
        <v>36</v>
      </c>
      <c r="C25" s="14"/>
      <c r="D25" s="16" t="s">
        <v>1997</v>
      </c>
    </row>
    <row r="26" spans="1:4" x14ac:dyDescent="0.25">
      <c r="A26" t="s">
        <v>2008</v>
      </c>
      <c r="C26" s="7">
        <f>SUMPRODUCT(B31:B34,C31:C34)*10^15</f>
        <v>7763181189.9999981</v>
      </c>
      <c r="D26" s="12" t="s">
        <v>2009</v>
      </c>
    </row>
    <row r="27" spans="1:4" x14ac:dyDescent="0.25">
      <c r="A27" t="s">
        <v>2010</v>
      </c>
      <c r="C27" s="7">
        <v>441483794392.80731</v>
      </c>
      <c r="D27" s="12" t="s">
        <v>2006</v>
      </c>
    </row>
    <row r="28" spans="1:4" x14ac:dyDescent="0.25">
      <c r="A28" t="s">
        <v>2011</v>
      </c>
      <c r="C28" s="11">
        <f>C26/C27</f>
        <v>1.7584294799941759E-2</v>
      </c>
      <c r="D28" s="17"/>
    </row>
    <row r="29" spans="1:4" ht="15.6" customHeight="1" thickBot="1" x14ac:dyDescent="0.3"/>
    <row r="30" spans="1:4" ht="29.65" customHeight="1" x14ac:dyDescent="0.25">
      <c r="A30" s="28" t="s">
        <v>2012</v>
      </c>
      <c r="B30" s="29" t="s">
        <v>2013</v>
      </c>
      <c r="C30" s="30" t="s">
        <v>2014</v>
      </c>
    </row>
    <row r="31" spans="1:4" x14ac:dyDescent="0.25">
      <c r="A31" s="21" t="s">
        <v>432</v>
      </c>
      <c r="B31" s="7">
        <v>2.2199999999999999E-6</v>
      </c>
      <c r="C31" s="22">
        <f>'AEO 2026 Table 17'!E25</f>
        <v>0.15549499999999999</v>
      </c>
    </row>
    <row r="32" spans="1:4" x14ac:dyDescent="0.25">
      <c r="A32" s="21" t="s">
        <v>2015</v>
      </c>
      <c r="B32" s="7">
        <v>8.85E-6</v>
      </c>
      <c r="C32" s="22">
        <f>'AEO 2026 Table 17'!E7</f>
        <v>0.37138700000000002</v>
      </c>
    </row>
    <row r="33" spans="1:3" s="6" customFormat="1" x14ac:dyDescent="0.25">
      <c r="A33" s="21" t="s">
        <v>2016</v>
      </c>
      <c r="B33" s="7">
        <v>4.1099999999999996E-6</v>
      </c>
      <c r="C33" s="22">
        <f>'AEO 2026 Table 17'!E8</f>
        <v>0.143682</v>
      </c>
    </row>
    <row r="34" spans="1:3" x14ac:dyDescent="0.25">
      <c r="A34" s="21" t="s">
        <v>2017</v>
      </c>
      <c r="B34" s="7">
        <v>2.6299999999999998E-6</v>
      </c>
      <c r="C34" s="22">
        <f>'AEO 2026 Table 17'!E12</f>
        <v>1.3462639999999999</v>
      </c>
    </row>
    <row r="35" spans="1:3" x14ac:dyDescent="0.25">
      <c r="A35" s="23"/>
      <c r="C35" s="24"/>
    </row>
    <row r="36" spans="1:3" ht="15.6" customHeight="1" thickBot="1" x14ac:dyDescent="0.3">
      <c r="A36" s="25" t="s">
        <v>1</v>
      </c>
      <c r="B36" s="26" t="s">
        <v>2018</v>
      </c>
      <c r="C36" s="27" t="s">
        <v>2019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1F3864"/>
  </sheetPr>
  <dimension ref="A1:AQ2"/>
  <sheetViews>
    <sheetView workbookViewId="0">
      <selection activeCell="B2" sqref="B2"/>
    </sheetView>
  </sheetViews>
  <sheetFormatPr defaultRowHeight="15" x14ac:dyDescent="0.25"/>
  <cols>
    <col min="1" max="1" width="36.5703125" customWidth="1"/>
    <col min="2" max="26" width="10.140625" customWidth="1"/>
    <col min="27" max="27" width="13.85546875" customWidth="1"/>
    <col min="28" max="28" width="10.7109375" customWidth="1"/>
    <col min="29" max="43" width="10.140625" customWidth="1"/>
  </cols>
  <sheetData>
    <row r="1" spans="1:43" s="3" customFormat="1" x14ac:dyDescent="0.25">
      <c r="A1" s="2" t="s">
        <v>2020</v>
      </c>
      <c r="B1" s="3" t="s">
        <v>35</v>
      </c>
      <c r="C1" s="3" t="s">
        <v>23</v>
      </c>
      <c r="D1" s="3" t="s">
        <v>48</v>
      </c>
      <c r="E1" s="3" t="s">
        <v>29</v>
      </c>
      <c r="F1" s="3" t="s">
        <v>2021</v>
      </c>
      <c r="G1" s="3" t="s">
        <v>2022</v>
      </c>
      <c r="H1" s="3" t="s">
        <v>2023</v>
      </c>
      <c r="I1" s="3" t="s">
        <v>2024</v>
      </c>
      <c r="J1" s="3" t="s">
        <v>2025</v>
      </c>
      <c r="K1" s="3" t="s">
        <v>38</v>
      </c>
      <c r="L1" s="3" t="s">
        <v>2026</v>
      </c>
      <c r="M1" s="3" t="s">
        <v>2027</v>
      </c>
      <c r="N1" s="3" t="s">
        <v>2028</v>
      </c>
      <c r="O1" s="3" t="s">
        <v>2029</v>
      </c>
      <c r="P1" s="3" t="s">
        <v>2030</v>
      </c>
      <c r="Q1" s="3" t="s">
        <v>2031</v>
      </c>
      <c r="R1" s="3" t="s">
        <v>2032</v>
      </c>
      <c r="S1" s="3" t="s">
        <v>2033</v>
      </c>
      <c r="T1" s="3" t="s">
        <v>2034</v>
      </c>
      <c r="U1" s="3" t="s">
        <v>2035</v>
      </c>
      <c r="V1" s="3" t="s">
        <v>2036</v>
      </c>
      <c r="W1" s="3" t="s">
        <v>2037</v>
      </c>
      <c r="X1" s="3" t="s">
        <v>2038</v>
      </c>
      <c r="Y1" s="3" t="s">
        <v>2039</v>
      </c>
      <c r="Z1" s="3" t="s">
        <v>20</v>
      </c>
      <c r="AA1" s="3" t="s">
        <v>26</v>
      </c>
      <c r="AB1" s="3" t="s">
        <v>2040</v>
      </c>
      <c r="AC1" s="3" t="s">
        <v>2041</v>
      </c>
      <c r="AD1" s="3" t="s">
        <v>2042</v>
      </c>
      <c r="AE1" s="3" t="s">
        <v>2043</v>
      </c>
      <c r="AF1" s="3" t="s">
        <v>2044</v>
      </c>
      <c r="AG1" s="3" t="s">
        <v>2045</v>
      </c>
      <c r="AH1" s="3" t="s">
        <v>2046</v>
      </c>
      <c r="AI1" s="3" t="s">
        <v>2047</v>
      </c>
      <c r="AJ1" s="3" t="s">
        <v>2048</v>
      </c>
      <c r="AK1" s="3" t="s">
        <v>2049</v>
      </c>
      <c r="AL1" s="3" t="s">
        <v>2050</v>
      </c>
      <c r="AM1" s="3" t="s">
        <v>2051</v>
      </c>
      <c r="AN1" s="3" t="s">
        <v>2052</v>
      </c>
      <c r="AO1" s="3" t="s">
        <v>2053</v>
      </c>
      <c r="AP1" s="3" t="s">
        <v>2054</v>
      </c>
      <c r="AQ1" s="3" t="s">
        <v>2055</v>
      </c>
    </row>
    <row r="2" spans="1:43" x14ac:dyDescent="0.25">
      <c r="A2" t="s">
        <v>2056</v>
      </c>
      <c r="B2">
        <f>IFERROR(INDEX(Calculations!$C$4:$C$10,MATCH(B$1,Calculations!$A$4:$A$10,0)),0)</f>
        <v>1.7584294799941759E-2</v>
      </c>
      <c r="C2">
        <f>IFERROR(INDEX(Calculations!$C$4:$C$10,MATCH(C$1,Calculations!$A$4:$A$10,0)),0)</f>
        <v>1</v>
      </c>
      <c r="D2">
        <f>IFERROR(INDEX(Calculations!$C$4:$C$10,MATCH(D$1,Calculations!$A$4:$A$10,0)),0)</f>
        <v>1</v>
      </c>
      <c r="E2">
        <f>IFERROR(INDEX(Calculations!$C$4:$C$10,MATCH(E$1,Calculations!$A$4:$A$10,0)),0)</f>
        <v>7.1641639553560801E-2</v>
      </c>
      <c r="F2">
        <f>IFERROR(INDEX(Calculations!$C$4:$C$10,MATCH(F$1,Calculations!$A$4:$A$10,0)),0)</f>
        <v>0</v>
      </c>
      <c r="G2">
        <f>IFERROR(INDEX(Calculations!$C$4:$C$10,MATCH(G$1,Calculations!$A$4:$A$10,0)),0)</f>
        <v>0</v>
      </c>
      <c r="H2">
        <f>IFERROR(INDEX(Calculations!$C$4:$C$10,MATCH(H$1,Calculations!$A$4:$A$10,0)),0)</f>
        <v>0</v>
      </c>
      <c r="I2">
        <f>IFERROR(INDEX(Calculations!$C$4:$C$10,MATCH(I$1,Calculations!$A$4:$A$10,0)),0)</f>
        <v>0</v>
      </c>
      <c r="J2">
        <f>IFERROR(INDEX(Calculations!$C$4:$C$10,MATCH(J$1,Calculations!$A$4:$A$10,0)),0)</f>
        <v>0</v>
      </c>
      <c r="K2">
        <f>IFERROR(INDEX(Calculations!$C$4:$C$10,MATCH(K$1,Calculations!$A$4:$A$10,0)),0)</f>
        <v>0.9158012905330517</v>
      </c>
      <c r="L2">
        <f>IFERROR(INDEX(Calculations!$C$4:$C$10,MATCH(L$1,Calculations!$A$4:$A$10,0)),0)</f>
        <v>0</v>
      </c>
      <c r="M2">
        <f>IFERROR(INDEX(Calculations!$C$4:$C$10,MATCH(M$1,Calculations!$A$4:$A$10,0)),0)</f>
        <v>0</v>
      </c>
      <c r="N2">
        <f>IFERROR(INDEX(Calculations!$C$4:$C$10,MATCH(N$1,Calculations!$A$4:$A$10,0)),0)</f>
        <v>0</v>
      </c>
      <c r="O2">
        <f>IFERROR(INDEX(Calculations!$C$4:$C$10,MATCH(O$1,Calculations!$A$4:$A$10,0)),0)</f>
        <v>0</v>
      </c>
      <c r="P2">
        <f>IFERROR(INDEX(Calculations!$C$4:$C$10,MATCH(P$1,Calculations!$A$4:$A$10,0)),0)</f>
        <v>0</v>
      </c>
      <c r="Q2">
        <f>IFERROR(INDEX(Calculations!$C$4:$C$10,MATCH(Q$1,Calculations!$A$4:$A$10,0)),0)</f>
        <v>0</v>
      </c>
      <c r="R2">
        <f>IFERROR(INDEX(Calculations!$C$4:$C$10,MATCH(R$1,Calculations!$A$4:$A$10,0)),0)</f>
        <v>0</v>
      </c>
      <c r="S2">
        <f>IFERROR(INDEX(Calculations!$C$4:$C$10,MATCH(S$1,Calculations!$A$4:$A$10,0)),0)</f>
        <v>0</v>
      </c>
      <c r="T2">
        <f>IFERROR(INDEX(Calculations!$C$4:$C$10,MATCH(T$1,Calculations!$A$4:$A$10,0)),0)</f>
        <v>0</v>
      </c>
      <c r="U2">
        <f>IFERROR(INDEX(Calculations!$C$4:$C$10,MATCH(U$1,Calculations!$A$4:$A$10,0)),0)</f>
        <v>0</v>
      </c>
      <c r="V2">
        <f>IFERROR(INDEX(Calculations!$C$4:$C$10,MATCH(V$1,Calculations!$A$4:$A$10,0)),0)</f>
        <v>0</v>
      </c>
      <c r="W2">
        <f>IFERROR(INDEX(Calculations!$C$4:$C$10,MATCH(W$1,Calculations!$A$4:$A$10,0)),0)</f>
        <v>0</v>
      </c>
      <c r="X2">
        <f>IFERROR(INDEX(Calculations!$C$4:$C$10,MATCH(X$1,Calculations!$A$4:$A$10,0)),0)</f>
        <v>0</v>
      </c>
      <c r="Y2">
        <f>IFERROR(INDEX(Calculations!$C$4:$C$10,MATCH(Y$1,Calculations!$A$4:$A$10,0)),0)</f>
        <v>0</v>
      </c>
      <c r="Z2">
        <f>IFERROR(INDEX(Calculations!$C$4:$C$10,MATCH(Z$1,Calculations!$A$4:$A$10,0)),0)</f>
        <v>1</v>
      </c>
      <c r="AA2">
        <f>IFERROR(INDEX(Calculations!$C$4:$C$10,MATCH(AA$1,Calculations!$A$4:$A$10,0)),0)</f>
        <v>1</v>
      </c>
      <c r="AB2">
        <f>IFERROR(INDEX(Calculations!$C$4:$C$10,MATCH(AB$1,Calculations!$A$4:$A$10,0)),0)</f>
        <v>0</v>
      </c>
      <c r="AC2">
        <f>IFERROR(INDEX(Calculations!$C$4:$C$10,MATCH(AC$1,Calculations!$A$4:$A$10,0)),0)</f>
        <v>0</v>
      </c>
      <c r="AD2">
        <f>IFERROR(INDEX(Calculations!$C$4:$C$10,MATCH(AD$1,Calculations!$A$4:$A$10,0)),0)</f>
        <v>0</v>
      </c>
      <c r="AE2">
        <f>IFERROR(INDEX(Calculations!$C$4:$C$10,MATCH(AE$1,Calculations!$A$4:$A$10,0)),0)</f>
        <v>0</v>
      </c>
      <c r="AF2">
        <f>IFERROR(INDEX(Calculations!$C$4:$C$10,MATCH(AF$1,Calculations!$A$4:$A$10,0)),0)</f>
        <v>0</v>
      </c>
      <c r="AG2">
        <f>IFERROR(INDEX(Calculations!$C$4:$C$10,MATCH(AG$1,Calculations!$A$4:$A$10,0)),0)</f>
        <v>0</v>
      </c>
      <c r="AH2">
        <f>IFERROR(INDEX(Calculations!$C$4:$C$10,MATCH(AH$1,Calculations!$A$4:$A$10,0)),0)</f>
        <v>0</v>
      </c>
      <c r="AI2">
        <f>IFERROR(INDEX(Calculations!$C$4:$C$10,MATCH(AI$1,Calculations!$A$4:$A$10,0)),0)</f>
        <v>0</v>
      </c>
      <c r="AJ2">
        <f>IFERROR(INDEX(Calculations!$C$4:$C$10,MATCH(AJ$1,Calculations!$A$4:$A$10,0)),0)</f>
        <v>0</v>
      </c>
      <c r="AK2">
        <f>IFERROR(INDEX(Calculations!$C$4:$C$10,MATCH(AK$1,Calculations!$A$4:$A$10,0)),0)</f>
        <v>0</v>
      </c>
      <c r="AL2">
        <f>IFERROR(INDEX(Calculations!$C$4:$C$10,MATCH(AL$1,Calculations!$A$4:$A$10,0)),0)</f>
        <v>0</v>
      </c>
      <c r="AM2">
        <f>IFERROR(INDEX(Calculations!$C$4:$C$10,MATCH(AM$1,Calculations!$A$4:$A$10,0)),0)</f>
        <v>0</v>
      </c>
      <c r="AN2">
        <f>IFERROR(INDEX(Calculations!$C$4:$C$10,MATCH(AN$1,Calculations!$A$4:$A$10,0)),0)</f>
        <v>0</v>
      </c>
      <c r="AO2">
        <f>IFERROR(INDEX(Calculations!$C$4:$C$10,MATCH(AO$1,Calculations!$A$4:$A$10,0)),0)</f>
        <v>0</v>
      </c>
      <c r="AP2">
        <f>IFERROR(INDEX(Calculations!$C$4:$C$10,MATCH(AP$1,Calculations!$A$4:$A$10,0)),0)</f>
        <v>0</v>
      </c>
      <c r="AQ2">
        <f>IFERROR(INDEX(Calculations!$C$4:$C$10,MATCH(AQ$1,Calculations!$A$4:$A$10,0)),0)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About</vt:lpstr>
      <vt:lpstr>source data&gt;</vt:lpstr>
      <vt:lpstr>AEO 2025 Table 2</vt:lpstr>
      <vt:lpstr>AEO 2025 Table 3</vt:lpstr>
      <vt:lpstr>AEO 2025 Table 6</vt:lpstr>
      <vt:lpstr>AEO 2025 Table 17</vt:lpstr>
      <vt:lpstr>AEO 2026 Table 2</vt:lpstr>
      <vt:lpstr>AEO 2026 Table 3</vt:lpstr>
      <vt:lpstr>AEO 2026 Table 6</vt:lpstr>
      <vt:lpstr>AEO 2026 Table 17</vt:lpstr>
      <vt:lpstr>calcs&gt;</vt:lpstr>
      <vt:lpstr>Checks</vt:lpstr>
      <vt:lpstr>Calculations</vt:lpstr>
      <vt:lpstr>FoPTaFbIC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2021-03-22T23:06:52Z</dcterms:created>
  <dcterms:modified xsi:type="dcterms:W3CDTF">2026-08-25T16:35:41Z</dcterms:modified>
</cp:coreProperties>
</file>