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source data&gt;" sheetId="2" state="visible" r:id="rId2"/>
    <sheet xmlns:r="http://schemas.openxmlformats.org/officeDocument/2006/relationships" name="AEO 2025 Table 2" sheetId="3" state="visible" r:id="rId3"/>
    <sheet xmlns:r="http://schemas.openxmlformats.org/officeDocument/2006/relationships" name="AEO 2025 Table 3" sheetId="4" state="visible" r:id="rId4"/>
    <sheet xmlns:r="http://schemas.openxmlformats.org/officeDocument/2006/relationships" name="AEO 2025 Table 6" sheetId="5" state="visible" r:id="rId5"/>
    <sheet xmlns:r="http://schemas.openxmlformats.org/officeDocument/2006/relationships" name="AEO 2025 Table 17" sheetId="6" state="visible" r:id="rId6"/>
    <sheet xmlns:r="http://schemas.openxmlformats.org/officeDocument/2006/relationships" name="AEO 2026 Table 2" sheetId="7" state="visible" r:id="rId7"/>
    <sheet xmlns:r="http://schemas.openxmlformats.org/officeDocument/2006/relationships" name="AEO 2026 Table 3" sheetId="8" state="visible" r:id="rId8"/>
    <sheet xmlns:r="http://schemas.openxmlformats.org/officeDocument/2006/relationships" name="AEO 2026 Table 6" sheetId="9" state="visible" r:id="rId9"/>
    <sheet xmlns:r="http://schemas.openxmlformats.org/officeDocument/2006/relationships" name="AEO 2026 Table 17" sheetId="10" state="visible" r:id="rId10"/>
    <sheet xmlns:r="http://schemas.openxmlformats.org/officeDocument/2006/relationships" name="calcs&gt;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Calculations" sheetId="13" state="visible" r:id="rId13"/>
    <sheet xmlns:r="http://schemas.openxmlformats.org/officeDocument/2006/relationships" name="FoPTaFbIC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indexed="8"/>
      <sz val="9"/>
    </font>
    <font>
      <name val="Calibri"/>
      <family val="2"/>
      <b val="1"/>
      <color indexed="8"/>
      <sz val="9"/>
    </font>
    <font>
      <name val="Calibri"/>
      <family val="2"/>
      <b val="1"/>
      <color indexed="30"/>
      <sz val="12"/>
    </font>
    <font>
      <name val="Calibri"/>
      <family val="2"/>
      <color theme="4"/>
      <sz val="10"/>
      <u val="single"/>
      <scheme val="minor"/>
    </font>
    <font>
      <name val="Calibri"/>
      <family val="2"/>
      <color theme="4"/>
      <sz val="11"/>
      <u val="single"/>
      <scheme val="minor"/>
    </font>
    <font>
      <name val="Calibri"/>
      <family val="2"/>
      <b val="1"/>
      <i val="1"/>
      <color theme="1"/>
      <sz val="11"/>
      <scheme val="minor"/>
    </font>
    <font>
      <b val="1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0" tint="-0.149998474074526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5">
    <xf numFmtId="0" fontId="1" fillId="0" borderId="0"/>
    <xf numFmtId="9" fontId="1" fillId="0" borderId="0"/>
    <xf numFmtId="0" fontId="4" fillId="0" borderId="0"/>
    <xf numFmtId="0" fontId="4" fillId="0" borderId="0"/>
    <xf numFmtId="0" fontId="5" fillId="0" borderId="7" applyAlignment="1">
      <alignment wrapText="1"/>
    </xf>
    <xf numFmtId="0" fontId="6" fillId="0" borderId="0" applyAlignment="1">
      <alignment horizontal="left"/>
    </xf>
    <xf numFmtId="0" fontId="5" fillId="0" borderId="8" applyAlignment="1">
      <alignment wrapText="1"/>
    </xf>
    <xf numFmtId="0" fontId="4" fillId="0" borderId="9" applyAlignment="1">
      <alignment wrapText="1"/>
    </xf>
    <xf numFmtId="0" fontId="4" fillId="0" borderId="10" applyAlignment="1">
      <alignment wrapText="1"/>
    </xf>
    <xf numFmtId="0" fontId="7" fillId="0" borderId="0" applyAlignment="1" applyProtection="1">
      <alignment vertical="top"/>
      <protection locked="0" hidden="0"/>
    </xf>
    <xf numFmtId="0" fontId="1" fillId="0" borderId="0"/>
    <xf numFmtId="0" fontId="4" fillId="0" borderId="0"/>
    <xf numFmtId="0" fontId="4" fillId="0" borderId="9" applyAlignment="1">
      <alignment wrapText="1"/>
    </xf>
    <xf numFmtId="0" fontId="4" fillId="0" borderId="0"/>
    <xf numFmtId="0" fontId="4" fillId="0" borderId="10" applyAlignment="1">
      <alignment wrapText="1"/>
    </xf>
    <xf numFmtId="0" fontId="5" fillId="0" borderId="7" applyAlignment="1">
      <alignment wrapText="1"/>
    </xf>
    <xf numFmtId="0" fontId="5" fillId="0" borderId="8" applyAlignment="1">
      <alignment wrapText="1"/>
    </xf>
    <xf numFmtId="0" fontId="6" fillId="0" borderId="0" applyAlignment="1">
      <alignment horizontal="left"/>
    </xf>
    <xf numFmtId="0" fontId="1" fillId="0" borderId="0"/>
    <xf numFmtId="0" fontId="4" fillId="0" borderId="9" applyAlignment="1">
      <alignment wrapText="1"/>
    </xf>
    <xf numFmtId="0" fontId="4" fillId="0" borderId="0"/>
    <xf numFmtId="0" fontId="4" fillId="0" borderId="10" applyAlignment="1">
      <alignment wrapText="1"/>
    </xf>
    <xf numFmtId="0" fontId="5" fillId="0" borderId="7" applyAlignment="1">
      <alignment wrapText="1"/>
    </xf>
    <xf numFmtId="0" fontId="5" fillId="0" borderId="8" applyAlignment="1">
      <alignment wrapText="1"/>
    </xf>
    <xf numFmtId="0" fontId="6" fillId="0" borderId="0" applyAlignment="1">
      <alignment horizontal="left"/>
    </xf>
  </cellStyleXfs>
  <cellXfs count="39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2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  <xf numFmtId="10" fontId="0" fillId="0" borderId="0" pivotButton="0" quotePrefix="0" xfId="1"/>
    <xf numFmtId="0" fontId="0" fillId="0" borderId="0" applyAlignment="1" pivotButton="0" quotePrefix="0" xfId="0">
      <alignment horizontal="left"/>
    </xf>
    <xf numFmtId="0" fontId="8" fillId="0" borderId="0" pivotButton="0" quotePrefix="0" xfId="9"/>
    <xf numFmtId="10" fontId="0" fillId="3" borderId="0" pivotButton="0" quotePrefix="0" xfId="1"/>
    <xf numFmtId="0" fontId="3" fillId="0" borderId="0" applyAlignment="1" pivotButton="0" quotePrefix="0" xfId="0">
      <alignment horizontal="center"/>
    </xf>
    <xf numFmtId="0" fontId="2" fillId="5" borderId="0" pivotButton="0" quotePrefix="0" xfId="0"/>
    <xf numFmtId="0" fontId="0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9" fillId="0" borderId="0" pivotButton="0" quotePrefix="0" xfId="0"/>
    <xf numFmtId="164" fontId="0" fillId="0" borderId="11" applyAlignment="1" pivotButton="0" quotePrefix="0" xfId="0">
      <alignment horizontal="left"/>
    </xf>
    <xf numFmtId="4" fontId="0" fillId="0" borderId="12" pivotButton="0" quotePrefix="0" xfId="0"/>
    <xf numFmtId="0" fontId="0" fillId="0" borderId="11" pivotButton="0" quotePrefix="0" xfId="0"/>
    <xf numFmtId="0" fontId="0" fillId="0" borderId="12" pivotButton="0" quotePrefix="0" xfId="0"/>
    <xf numFmtId="164" fontId="2" fillId="0" borderId="4" applyAlignment="1" pivotButton="0" quotePrefix="0" xfId="0">
      <alignment horizontal="left"/>
    </xf>
    <xf numFmtId="0" fontId="3" fillId="0" borderId="6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2" fillId="6" borderId="1" applyAlignment="1" pivotButton="0" quotePrefix="0" xfId="0">
      <alignment wrapText="1"/>
    </xf>
    <xf numFmtId="0" fontId="2" fillId="6" borderId="3" applyAlignment="1" pivotButton="0" quotePrefix="0" xfId="0">
      <alignment horizontal="right" wrapText="1"/>
    </xf>
    <xf numFmtId="0" fontId="2" fillId="6" borderId="2" applyAlignment="1" pivotButton="0" quotePrefix="0" xfId="0">
      <alignment horizontal="right" wrapText="1"/>
    </xf>
    <xf numFmtId="10" fontId="0" fillId="0" borderId="0" pivotButton="0" quotePrefix="0" xfId="0"/>
    <xf numFmtId="0" fontId="0" fillId="2" borderId="0" pivotButton="0" quotePrefix="0" xfId="0"/>
    <xf numFmtId="10" fontId="0" fillId="2" borderId="0" pivotButton="0" quotePrefix="0" xfId="0"/>
    <xf numFmtId="0" fontId="0" fillId="7" borderId="0" pivotButton="0" quotePrefix="0" xfId="0"/>
    <xf numFmtId="10" fontId="0" fillId="7" borderId="0" pivotButton="0" quotePrefix="0" xfId="0"/>
    <xf numFmtId="0" fontId="0" fillId="8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left" vertical="top" wrapText="1"/>
    </xf>
  </cellXfs>
  <cellStyles count="25">
    <cellStyle name="Normal" xfId="0" builtinId="0"/>
    <cellStyle name="Percent" xfId="1" builtinId="5"/>
    <cellStyle name="Normal 2" xfId="2"/>
    <cellStyle name="Font: Calibri, 9pt regular" xfId="3"/>
    <cellStyle name="Header: bottom row" xfId="4"/>
    <cellStyle name="Table title" xfId="5"/>
    <cellStyle name="Parent row" xfId="6"/>
    <cellStyle name="Body: normal cell" xfId="7"/>
    <cellStyle name="Footnotes: top row" xfId="8"/>
    <cellStyle name="Hyperlink" xfId="9" builtinId="8"/>
    <cellStyle name="Normal 5" xfId="10"/>
    <cellStyle name="Normal 4" xfId="11"/>
    <cellStyle name="Body: normal cell 3" xfId="12"/>
    <cellStyle name="Font: Calibri, 9pt regular 3" xfId="13"/>
    <cellStyle name="Footnotes: top row 3" xfId="14"/>
    <cellStyle name="Header: bottom row 3" xfId="15"/>
    <cellStyle name="Parent row 3" xfId="16"/>
    <cellStyle name="Table title 3" xfId="17"/>
    <cellStyle name="Normal 3" xfId="18"/>
    <cellStyle name="Body: normal cell 2" xfId="19"/>
    <cellStyle name="Font: Calibri, 9pt regular 2" xfId="20"/>
    <cellStyle name="Footnotes: top row 2" xfId="21"/>
    <cellStyle name="Header: bottom row 2" xfId="22"/>
    <cellStyle name="Parent row 2" xfId="23"/>
    <cellStyle name="Table title 2" xfId="2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tabSelected="1" topLeftCell="A1" workbookViewId="0">
      <selection activeCell="A1" sqref="A1"/>
    </sheetView>
  </sheetViews>
  <sheetFormatPr baseColWidth="8" defaultRowHeight="14.25"/>
  <cols>
    <col width="23.73046875" customWidth="1" min="1" max="1"/>
    <col width="42.73046875" customWidth="1" min="2" max="2"/>
    <col width="36.265625" customWidth="1" min="3" max="3"/>
  </cols>
  <sheetData>
    <row r="1">
      <c r="A1" s="1" t="inlineStr">
        <is>
          <t>FoPTaFbIC Fractions of Products That are Fuels by ISIC Code</t>
        </is>
      </c>
    </row>
    <row r="2"/>
    <row r="3">
      <c r="A3" s="1" t="inlineStr">
        <is>
          <t>Sources:</t>
        </is>
      </c>
      <c r="B3" s="36" t="inlineStr">
        <is>
          <t>U.S. Energy Information Administration</t>
        </is>
      </c>
    </row>
    <row r="4">
      <c r="B4" t="inlineStr">
        <is>
          <t>U.S. Energy Information Administration</t>
        </is>
      </c>
    </row>
    <row r="5">
      <c r="B5" s="9" t="n">
        <v>2026</v>
      </c>
      <c r="C5" s="9" t="n"/>
    </row>
    <row r="6">
      <c r="B6" t="inlineStr">
        <is>
          <t>Annual Energy Outlook 2026</t>
        </is>
      </c>
    </row>
    <row r="7">
      <c r="B7" t="inlineStr">
        <is>
          <t>Alternative electricity and transportation:Table 2, Table 3, Table 6, Table 17</t>
        </is>
      </c>
    </row>
    <row r="8">
      <c r="B8" t="inlineStr">
        <is>
          <t>https://www.eia.gov/outlooks/aeo/tables_side_xls.php</t>
        </is>
      </c>
    </row>
    <row r="9">
      <c r="B9" s="5" t="n"/>
    </row>
    <row r="10">
      <c r="B10" s="5" t="inlineStr">
        <is>
          <t>Table numbers specified on "Calculations" tab</t>
        </is>
      </c>
    </row>
    <row r="11"/>
    <row r="12">
      <c r="B12" s="20" t="inlineStr">
        <is>
          <t>Also relies on data from io-model/BObIC and fuels/BFPaT</t>
        </is>
      </c>
    </row>
    <row r="13">
      <c r="B13" s="10" t="n"/>
    </row>
    <row r="14">
      <c r="A14" s="1" t="inlineStr">
        <is>
          <t>Notes</t>
        </is>
      </c>
    </row>
    <row r="15">
      <c r="A15" t="inlineStr">
        <is>
          <t>This variable expresses what share of the products of a particular ISIC code</t>
        </is>
      </c>
    </row>
    <row r="16">
      <c r="A16" t="inlineStr">
        <is>
          <t>consist of fuels.  For example, ISIC 19 (Coke and refined petroleum products)</t>
        </is>
      </c>
    </row>
    <row r="17">
      <c r="A17" t="inlineStr">
        <is>
          <t>mostly consists of refined fuels, but refineries also produce some chemicals</t>
        </is>
      </c>
    </row>
    <row r="18">
      <c r="A18" t="inlineStr">
        <is>
          <t>sold to the chemicals industry (such as BTX aromatics), which are not fuels.</t>
        </is>
      </c>
    </row>
    <row r="19"/>
    <row r="20">
      <c r="A20" t="inlineStr">
        <is>
          <t>For most industries, the fraction in this variable should be zero, because most</t>
        </is>
      </c>
    </row>
    <row r="21">
      <c r="A21" t="inlineStr">
        <is>
          <t>industries do not produce any fuels at all.</t>
        </is>
      </c>
    </row>
    <row r="22"/>
    <row r="23">
      <c r="A23" s="5" t="inlineStr">
        <is>
          <t>Energy carriers such as electricity and heat are considered fuels in this variable.</t>
        </is>
      </c>
    </row>
    <row r="24"/>
    <row r="25">
      <c r="A25" s="4" t="inlineStr">
        <is>
          <t>Fuel</t>
        </is>
      </c>
      <c r="B25" s="4" t="inlineStr">
        <is>
          <t>Producer ISIC Code</t>
        </is>
      </c>
      <c r="C25" s="4" t="inlineStr">
        <is>
          <t>ISIC Meaning</t>
        </is>
      </c>
    </row>
    <row r="26">
      <c r="A26" t="inlineStr">
        <is>
          <t>electricity</t>
        </is>
      </c>
      <c r="B26" t="inlineStr">
        <is>
          <t>ISIC 351</t>
        </is>
      </c>
      <c r="C26" t="inlineStr">
        <is>
          <t>Electricity generation and distribution</t>
        </is>
      </c>
    </row>
    <row r="27">
      <c r="A27" t="inlineStr">
        <is>
          <t>hard coal</t>
        </is>
      </c>
      <c r="B27" t="inlineStr">
        <is>
          <t>ISIC 05</t>
        </is>
      </c>
      <c r="C27" t="inlineStr">
        <is>
          <t>Coal mining</t>
        </is>
      </c>
    </row>
    <row r="28">
      <c r="A28" t="inlineStr">
        <is>
          <t>natural gas</t>
        </is>
      </c>
      <c r="B28" t="inlineStr">
        <is>
          <t>ISIC 352T353</t>
        </is>
      </c>
      <c r="C28" t="inlineStr">
        <is>
          <t>Energy pipelines and gas processing</t>
        </is>
      </c>
    </row>
    <row r="29">
      <c r="A29" t="inlineStr">
        <is>
          <t>nuclear</t>
        </is>
      </c>
      <c r="B29" t="inlineStr">
        <is>
          <t>ISIC 07T08</t>
        </is>
      </c>
      <c r="C29" t="inlineStr">
        <is>
          <t>Mining and quarrying of uranium and non-energy-producing products</t>
        </is>
      </c>
    </row>
    <row r="30">
      <c r="A30" t="inlineStr">
        <is>
          <t>hydro</t>
        </is>
      </c>
      <c r="B30" t="inlineStr">
        <is>
          <t>ISIC 351</t>
        </is>
      </c>
      <c r="C30" t="inlineStr">
        <is>
          <t>Electricity generation and distribution</t>
        </is>
      </c>
    </row>
    <row r="31">
      <c r="A31" t="inlineStr">
        <is>
          <t>wind</t>
        </is>
      </c>
      <c r="B31" t="inlineStr">
        <is>
          <t>ISIC 351</t>
        </is>
      </c>
      <c r="C31" t="inlineStr">
        <is>
          <t>Electricity generation and distribution</t>
        </is>
      </c>
    </row>
    <row r="32">
      <c r="A32" t="inlineStr">
        <is>
          <t>solar</t>
        </is>
      </c>
      <c r="B32" t="inlineStr">
        <is>
          <t>ISIC 351</t>
        </is>
      </c>
      <c r="C32" t="inlineStr">
        <is>
          <t>Electricity generation and distribution</t>
        </is>
      </c>
    </row>
    <row r="33">
      <c r="A33" t="inlineStr">
        <is>
          <t>biomass</t>
        </is>
      </c>
      <c r="B33" t="inlineStr">
        <is>
          <t>ISIC 01T03</t>
        </is>
      </c>
      <c r="C33" t="inlineStr">
        <is>
          <t>Agriculture, forestry and fishing</t>
        </is>
      </c>
    </row>
    <row r="34">
      <c r="A34" t="inlineStr">
        <is>
          <t>petroleum gasoline</t>
        </is>
      </c>
      <c r="B34" t="inlineStr">
        <is>
          <t>ISIC 19</t>
        </is>
      </c>
      <c r="C34" t="inlineStr">
        <is>
          <t>Refining</t>
        </is>
      </c>
    </row>
    <row r="35">
      <c r="A35" t="inlineStr">
        <is>
          <t>petroleum diesel</t>
        </is>
      </c>
      <c r="B35" t="inlineStr">
        <is>
          <t>ISIC 19</t>
        </is>
      </c>
      <c r="C35" t="inlineStr">
        <is>
          <t>Refining</t>
        </is>
      </c>
    </row>
    <row r="36">
      <c r="A36" t="inlineStr">
        <is>
          <t>biofuel gasoline</t>
        </is>
      </c>
      <c r="B36" t="inlineStr">
        <is>
          <t>ISIC 19</t>
        </is>
      </c>
      <c r="C36" t="inlineStr">
        <is>
          <t>Refining</t>
        </is>
      </c>
    </row>
    <row r="37">
      <c r="A37" t="inlineStr">
        <is>
          <t>biofuel diesel</t>
        </is>
      </c>
      <c r="B37" t="inlineStr">
        <is>
          <t>ISIC 19</t>
        </is>
      </c>
      <c r="C37" t="inlineStr">
        <is>
          <t>Refining</t>
        </is>
      </c>
    </row>
    <row r="38">
      <c r="A38" t="inlineStr">
        <is>
          <t>jet fuel or kerosene</t>
        </is>
      </c>
      <c r="B38" t="inlineStr">
        <is>
          <t>ISIC 19</t>
        </is>
      </c>
      <c r="C38" t="inlineStr">
        <is>
          <t>Refining</t>
        </is>
      </c>
    </row>
    <row r="39">
      <c r="A39" t="inlineStr">
        <is>
          <t>heat</t>
        </is>
      </c>
      <c r="B39" t="inlineStr">
        <is>
          <t>ISIC 352T353</t>
        </is>
      </c>
      <c r="C39" t="inlineStr">
        <is>
          <t>Energy pipelines and gas processing</t>
        </is>
      </c>
    </row>
    <row r="40">
      <c r="A40" t="inlineStr">
        <is>
          <t>geothermal</t>
        </is>
      </c>
      <c r="B40" t="inlineStr">
        <is>
          <t>ISIC 351</t>
        </is>
      </c>
      <c r="C40" t="inlineStr">
        <is>
          <t>Electricity generation and distribution</t>
        </is>
      </c>
    </row>
    <row r="41">
      <c r="A41" t="inlineStr">
        <is>
          <t>lignite</t>
        </is>
      </c>
      <c r="B41" t="inlineStr">
        <is>
          <t>ISIC 05</t>
        </is>
      </c>
      <c r="C41" t="inlineStr">
        <is>
          <t>Coal mining</t>
        </is>
      </c>
    </row>
    <row r="42">
      <c r="A42" t="inlineStr">
        <is>
          <t>crude oil</t>
        </is>
      </c>
      <c r="B42" t="inlineStr">
        <is>
          <t>ISIC 06</t>
        </is>
      </c>
      <c r="C42" t="inlineStr">
        <is>
          <t>Oil and gas extraction</t>
        </is>
      </c>
    </row>
    <row r="43">
      <c r="A43" t="inlineStr">
        <is>
          <t>heavy or residual fuel oil</t>
        </is>
      </c>
      <c r="B43" t="inlineStr">
        <is>
          <t>ISIC 19</t>
        </is>
      </c>
      <c r="C43" t="inlineStr">
        <is>
          <t>Refining</t>
        </is>
      </c>
    </row>
    <row r="44">
      <c r="A44" t="inlineStr">
        <is>
          <t>LPG propane or butane</t>
        </is>
      </c>
      <c r="B44" t="inlineStr">
        <is>
          <t>ISIC 19</t>
        </is>
      </c>
      <c r="C44" t="inlineStr">
        <is>
          <t>Refining</t>
        </is>
      </c>
    </row>
    <row r="45">
      <c r="A45" t="inlineStr">
        <is>
          <t>municipal solid waste</t>
        </is>
      </c>
      <c r="B45" t="inlineStr">
        <is>
          <t>ISIC 352T353</t>
        </is>
      </c>
      <c r="C45" t="inlineStr">
        <is>
          <t>Energy pipelines and gas processing</t>
        </is>
      </c>
    </row>
    <row r="46">
      <c r="A46" t="inlineStr">
        <is>
          <t>hydrogen</t>
        </is>
      </c>
      <c r="B46" t="inlineStr">
        <is>
          <t>ISIC 352T353</t>
        </is>
      </c>
      <c r="C46" t="inlineStr">
        <is>
          <t>Energy pipelines and gas processing</t>
        </is>
      </c>
    </row>
    <row r="48">
      <c r="A48" s="37" t="inlineStr">
        <is>
          <t>42-code sibling (build_sector_shares_42):</t>
        </is>
      </c>
    </row>
    <row r="49">
      <c r="A49" s="38" t="inlineStr">
        <is>
          <t>This workbook is the 42-code (un-split) sibling of the 52-code expansion. The 42 scheme is the 52 scheme with the six OECD-native parents</t>
        </is>
      </c>
    </row>
    <row r="50">
      <c r="A50" s="38" t="inlineStr">
        <is>
          <t>left merged (ISIC 01T03, 07T08, 30, 49T53, 69T82, 90T96); the BEA carves ISIC 231/239 and 351/352T353 are retained (present in both</t>
        </is>
      </c>
    </row>
    <row r="51">
      <c r="A51" s="38" t="inlineStr">
        <is>
          <t>schemes).</t>
        </is>
      </c>
    </row>
    <row r="53">
      <c r="A53" s="38" t="inlineStr">
        <is>
          <t>The output tabs are the stock derivation, unchanged and live: the stock workbook is natively 42-code (its output columns already are the</t>
        </is>
      </c>
    </row>
    <row r="54">
      <c r="A54" s="38" t="inlineStr">
        <is>
          <t>42-code ISIC list, in canonical order), so no child split is applied here. This is a RATE file (fraction of each code's products that are</t>
        </is>
      </c>
    </row>
    <row r="55">
      <c r="A55" s="38" t="inlineStr">
        <is>
          <t>fuels), not an allocation, so its columns are NOT expected to sum to 1 across ISIC. It is emitted verbatim at 42 codes.</t>
        </is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tabColor theme="6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159"/>
  <sheetViews>
    <sheetView topLeftCell="A121" workbookViewId="0">
      <selection activeCell="A145" sqref="A145:XFD145"/>
    </sheetView>
  </sheetViews>
  <sheetFormatPr baseColWidth="8" defaultRowHeight="14.25"/>
  <cols>
    <col width="32.3984375" customWidth="1" min="1" max="1"/>
    <col width="36" customWidth="1" min="2" max="2"/>
  </cols>
  <sheetData>
    <row r="1">
      <c r="A1" t="inlineStr">
        <is>
          <t>Table 2.  Energy Consumption by Sector and Source</t>
        </is>
      </c>
    </row>
    <row r="2">
      <c r="A2" t="inlineStr">
        <is>
          <t>https://www.eia.gov/outlooks/aeo/data/browser/#/?id=2-AEO2025&amp;cases=highZTC&amp;sourcekey=0</t>
        </is>
      </c>
    </row>
    <row r="3">
      <c r="A3" t="inlineStr">
        <is>
          <t>Tue Dec 02 2025 13:12:48 GMT-0800 (Pacific Standard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2023</v>
      </c>
      <c r="F5" t="n">
        <v>2024</v>
      </c>
      <c r="G5" t="n">
        <v>2025</v>
      </c>
      <c r="H5" t="n">
        <v>2026</v>
      </c>
      <c r="I5" t="n">
        <v>2027</v>
      </c>
      <c r="J5" t="n">
        <v>2028</v>
      </c>
      <c r="K5" t="n">
        <v>2029</v>
      </c>
      <c r="L5" t="n">
        <v>2030</v>
      </c>
      <c r="M5" t="n">
        <v>2031</v>
      </c>
      <c r="N5" t="n">
        <v>2032</v>
      </c>
      <c r="O5" t="n">
        <v>2033</v>
      </c>
      <c r="P5" t="n">
        <v>2034</v>
      </c>
      <c r="Q5" t="n">
        <v>2035</v>
      </c>
      <c r="R5" t="n">
        <v>2036</v>
      </c>
      <c r="S5" t="n">
        <v>2037</v>
      </c>
      <c r="T5" t="n">
        <v>2038</v>
      </c>
      <c r="U5" t="n">
        <v>2039</v>
      </c>
      <c r="V5" t="n">
        <v>2040</v>
      </c>
      <c r="W5" t="n">
        <v>2041</v>
      </c>
      <c r="X5" t="n">
        <v>2042</v>
      </c>
      <c r="Y5" t="n">
        <v>2043</v>
      </c>
      <c r="Z5" t="n">
        <v>2044</v>
      </c>
      <c r="AA5" t="n">
        <v>2045</v>
      </c>
      <c r="AB5" t="n">
        <v>2046</v>
      </c>
      <c r="AC5" t="n">
        <v>2047</v>
      </c>
      <c r="AD5" t="n">
        <v>2048</v>
      </c>
      <c r="AE5" t="n">
        <v>2049</v>
      </c>
      <c r="AF5" t="n">
        <v>2050</v>
      </c>
      <c r="AG5" t="inlineStr">
        <is>
          <t>Growth (2024-2050)</t>
        </is>
      </c>
    </row>
    <row r="6">
      <c r="A6" t="inlineStr">
        <is>
          <t>Residential</t>
        </is>
      </c>
    </row>
    <row r="7">
      <c r="A7" t="inlineStr">
        <is>
          <t>Propane</t>
        </is>
      </c>
      <c r="B7" t="inlineStr">
        <is>
          <t>Energy Use: Residential: Propane: High Zero-Carbon Technology Cost</t>
        </is>
      </c>
      <c r="C7" t="inlineStr">
        <is>
          <t>AEO.2025.HIGHZTC.CNSM_ENU_RESD_NA_PROP_NA_NA_QBTU.A</t>
        </is>
      </c>
      <c r="D7" t="inlineStr">
        <is>
          <t>quads</t>
        </is>
      </c>
      <c r="F7" t="n">
        <v>0.445585</v>
      </c>
      <c r="G7" t="n">
        <v>0.480711</v>
      </c>
      <c r="H7" t="n">
        <v>0.477666</v>
      </c>
      <c r="I7" t="n">
        <v>0.473743</v>
      </c>
      <c r="J7" t="n">
        <v>0.469514</v>
      </c>
      <c r="K7" t="n">
        <v>0.464486</v>
      </c>
      <c r="L7" t="n">
        <v>0.458849</v>
      </c>
      <c r="M7" t="n">
        <v>0.453163</v>
      </c>
      <c r="N7" t="n">
        <v>0.447466</v>
      </c>
      <c r="O7" t="n">
        <v>0.442258</v>
      </c>
      <c r="P7" t="n">
        <v>0.437043</v>
      </c>
      <c r="Q7" t="n">
        <v>0.432687</v>
      </c>
      <c r="R7" t="n">
        <v>0.429065</v>
      </c>
      <c r="S7" t="n">
        <v>0.426084</v>
      </c>
      <c r="T7" t="n">
        <v>0.423529</v>
      </c>
      <c r="U7" t="n">
        <v>0.421347</v>
      </c>
      <c r="V7" t="n">
        <v>0.419476</v>
      </c>
      <c r="W7" t="n">
        <v>0.417701</v>
      </c>
      <c r="X7" t="n">
        <v>0.416029</v>
      </c>
      <c r="Y7" t="n">
        <v>0.414376</v>
      </c>
      <c r="Z7" t="n">
        <v>0.412896</v>
      </c>
      <c r="AA7" t="n">
        <v>0.411593</v>
      </c>
      <c r="AB7" t="n">
        <v>0.41062</v>
      </c>
      <c r="AC7" t="n">
        <v>0.409815</v>
      </c>
      <c r="AD7" t="n">
        <v>0.409114</v>
      </c>
      <c r="AE7" t="n">
        <v>0.408349</v>
      </c>
      <c r="AF7" t="n">
        <v>0.407288</v>
      </c>
      <c r="AG7" s="31" t="n">
        <v>-0.003</v>
      </c>
    </row>
    <row r="8">
      <c r="A8" t="inlineStr">
        <is>
          <t>Distillate Fuel Oil</t>
        </is>
      </c>
      <c r="B8" t="inlineStr">
        <is>
          <t>Energy Use: Residential: Distillate Fuel Oil: High Zero-Carbon Technology Cost</t>
        </is>
      </c>
      <c r="C8" t="inlineStr">
        <is>
          <t>AEO.2025.HIGHZTC.CNSM_ENU_RESD_NA_DFO_NA_NA_QBTU.A</t>
        </is>
      </c>
      <c r="D8" t="inlineStr">
        <is>
          <t>quads</t>
        </is>
      </c>
      <c r="F8" t="n">
        <v>0.445877</v>
      </c>
      <c r="G8" t="n">
        <v>0.475235</v>
      </c>
      <c r="H8" t="n">
        <v>0.468476</v>
      </c>
      <c r="I8" t="n">
        <v>0.459419</v>
      </c>
      <c r="J8" t="n">
        <v>0.449316</v>
      </c>
      <c r="K8" t="n">
        <v>0.439104</v>
      </c>
      <c r="L8" t="n">
        <v>0.429291</v>
      </c>
      <c r="M8" t="n">
        <v>0.420822</v>
      </c>
      <c r="N8" t="n">
        <v>0.413547</v>
      </c>
      <c r="O8" t="n">
        <v>0.407175</v>
      </c>
      <c r="P8" t="n">
        <v>0.400771</v>
      </c>
      <c r="Q8" t="n">
        <v>0.394716</v>
      </c>
      <c r="R8" t="n">
        <v>0.388874</v>
      </c>
      <c r="S8" t="n">
        <v>0.383074</v>
      </c>
      <c r="T8" t="n">
        <v>0.377439</v>
      </c>
      <c r="U8" t="n">
        <v>0.371949</v>
      </c>
      <c r="V8" t="n">
        <v>0.366483</v>
      </c>
      <c r="W8" t="n">
        <v>0.361042</v>
      </c>
      <c r="X8" t="n">
        <v>0.355729</v>
      </c>
      <c r="Y8" t="n">
        <v>0.350562</v>
      </c>
      <c r="Z8" t="n">
        <v>0.345267</v>
      </c>
      <c r="AA8" t="n">
        <v>0.340544</v>
      </c>
      <c r="AB8" t="n">
        <v>0.335973</v>
      </c>
      <c r="AC8" t="n">
        <v>0.331592</v>
      </c>
      <c r="AD8" t="n">
        <v>0.327346</v>
      </c>
      <c r="AE8" t="n">
        <v>0.323188</v>
      </c>
      <c r="AF8" t="n">
        <v>0.318975</v>
      </c>
      <c r="AG8" s="31" t="n">
        <v>-0.013</v>
      </c>
    </row>
    <row r="9">
      <c r="A9" t="inlineStr">
        <is>
          <t>Petroleum and Other Liquids Subtotal</t>
        </is>
      </c>
      <c r="B9" t="inlineStr">
        <is>
          <t>Energy Use: Residential: Liquid Fuels Subtotal: High Zero-Carbon Technology Cost</t>
        </is>
      </c>
      <c r="C9" t="inlineStr">
        <is>
          <t>AEO.2025.HIGHZTC.CNSM_ENU_RESD_NA_LFL_NA_NA_QBTU.A</t>
        </is>
      </c>
      <c r="D9" t="inlineStr">
        <is>
          <t>quads</t>
        </is>
      </c>
      <c r="F9" t="n">
        <v>0.891462</v>
      </c>
      <c r="G9" t="n">
        <v>0.955946</v>
      </c>
      <c r="H9" t="n">
        <v>0.946142</v>
      </c>
      <c r="I9" t="n">
        <v>0.933162</v>
      </c>
      <c r="J9" t="n">
        <v>0.918829</v>
      </c>
      <c r="K9" t="n">
        <v>0.90359</v>
      </c>
      <c r="L9" t="n">
        <v>0.88814</v>
      </c>
      <c r="M9" t="n">
        <v>0.873986</v>
      </c>
      <c r="N9" t="n">
        <v>0.861013</v>
      </c>
      <c r="O9" t="n">
        <v>0.849433</v>
      </c>
      <c r="P9" t="n">
        <v>0.837815</v>
      </c>
      <c r="Q9" t="n">
        <v>0.827403</v>
      </c>
      <c r="R9" t="n">
        <v>0.8179380000000001</v>
      </c>
      <c r="S9" t="n">
        <v>0.809158</v>
      </c>
      <c r="T9" t="n">
        <v>0.800968</v>
      </c>
      <c r="U9" t="n">
        <v>0.793296</v>
      </c>
      <c r="V9" t="n">
        <v>0.785959</v>
      </c>
      <c r="W9" t="n">
        <v>0.778743</v>
      </c>
      <c r="X9" t="n">
        <v>0.7717580000000001</v>
      </c>
      <c r="Y9" t="n">
        <v>0.764938</v>
      </c>
      <c r="Z9" t="n">
        <v>0.758162</v>
      </c>
      <c r="AA9" t="n">
        <v>0.7521370000000001</v>
      </c>
      <c r="AB9" t="n">
        <v>0.746593</v>
      </c>
      <c r="AC9" t="n">
        <v>0.741407</v>
      </c>
      <c r="AD9" t="n">
        <v>0.73646</v>
      </c>
      <c r="AE9" t="n">
        <v>0.731537</v>
      </c>
      <c r="AF9" t="n">
        <v>0.726263</v>
      </c>
      <c r="AG9" s="31" t="n">
        <v>-0.008</v>
      </c>
    </row>
    <row r="10">
      <c r="A10" t="inlineStr">
        <is>
          <t>Natural Gas</t>
        </is>
      </c>
      <c r="B10" t="inlineStr">
        <is>
          <t>Energy Use: Residential: Natural Gas: High Zero-Carbon Technology Cost</t>
        </is>
      </c>
      <c r="C10" t="inlineStr">
        <is>
          <t>AEO.2025.HIGHZTC.CNSM_ENU_RESD_NA_NG_NA_NA_QBTU.A</t>
        </is>
      </c>
      <c r="D10" t="inlineStr">
        <is>
          <t>quads</t>
        </is>
      </c>
      <c r="F10" t="n">
        <v>4.60344</v>
      </c>
      <c r="G10" t="n">
        <v>4.966208</v>
      </c>
      <c r="H10" t="n">
        <v>4.999522</v>
      </c>
      <c r="I10" t="n">
        <v>5.019517</v>
      </c>
      <c r="J10" t="n">
        <v>5.029608</v>
      </c>
      <c r="K10" t="n">
        <v>5.016108</v>
      </c>
      <c r="L10" t="n">
        <v>4.994521</v>
      </c>
      <c r="M10" t="n">
        <v>4.960952</v>
      </c>
      <c r="N10" t="n">
        <v>4.913073</v>
      </c>
      <c r="O10" t="n">
        <v>4.871797</v>
      </c>
      <c r="P10" t="n">
        <v>4.830965</v>
      </c>
      <c r="Q10" t="n">
        <v>4.800086</v>
      </c>
      <c r="R10" t="n">
        <v>4.776269</v>
      </c>
      <c r="S10" t="n">
        <v>4.75662</v>
      </c>
      <c r="T10" t="n">
        <v>4.738029</v>
      </c>
      <c r="U10" t="n">
        <v>4.720499</v>
      </c>
      <c r="V10" t="n">
        <v>4.700645</v>
      </c>
      <c r="W10" t="n">
        <v>4.675209</v>
      </c>
      <c r="X10" t="n">
        <v>4.647515</v>
      </c>
      <c r="Y10" t="n">
        <v>4.6187</v>
      </c>
      <c r="Z10" t="n">
        <v>4.591101</v>
      </c>
      <c r="AA10" t="n">
        <v>4.565073</v>
      </c>
      <c r="AB10" t="n">
        <v>4.53873</v>
      </c>
      <c r="AC10" t="n">
        <v>4.513139</v>
      </c>
      <c r="AD10" t="n">
        <v>4.488929</v>
      </c>
      <c r="AE10" t="n">
        <v>4.465213</v>
      </c>
      <c r="AF10" t="n">
        <v>4.441305</v>
      </c>
      <c r="AG10" s="31" t="n">
        <v>-0.001</v>
      </c>
    </row>
    <row r="11">
      <c r="A11" t="inlineStr">
        <is>
          <t>Renewable Energy</t>
        </is>
      </c>
      <c r="B11" t="inlineStr">
        <is>
          <t>Energy Use: Residential: Renewable Energy: High Zero-Carbon Technology Cost</t>
        </is>
      </c>
      <c r="C11" t="inlineStr">
        <is>
          <t>AEO.2025.HIGHZTC.CNSM_ENU_RESD_NA_REN_NA_NA_QBTU.A</t>
        </is>
      </c>
      <c r="D11" t="inlineStr">
        <is>
          <t>quads</t>
        </is>
      </c>
      <c r="F11" t="n">
        <v>0.357584</v>
      </c>
      <c r="G11" t="n">
        <v>0.365094</v>
      </c>
      <c r="H11" t="n">
        <v>0.352654</v>
      </c>
      <c r="I11" t="n">
        <v>0.347295</v>
      </c>
      <c r="J11" t="n">
        <v>0.345718</v>
      </c>
      <c r="K11" t="n">
        <v>0.345503</v>
      </c>
      <c r="L11" t="n">
        <v>0.34529</v>
      </c>
      <c r="M11" t="n">
        <v>0.342499</v>
      </c>
      <c r="N11" t="n">
        <v>0.337295</v>
      </c>
      <c r="O11" t="n">
        <v>0.332838</v>
      </c>
      <c r="P11" t="n">
        <v>0.328234</v>
      </c>
      <c r="Q11" t="n">
        <v>0.323965</v>
      </c>
      <c r="R11" t="n">
        <v>0.319381</v>
      </c>
      <c r="S11" t="n">
        <v>0.315221</v>
      </c>
      <c r="T11" t="n">
        <v>0.311018</v>
      </c>
      <c r="U11" t="n">
        <v>0.306564</v>
      </c>
      <c r="V11" t="n">
        <v>0.302182</v>
      </c>
      <c r="W11" t="n">
        <v>0.2981</v>
      </c>
      <c r="X11" t="n">
        <v>0.294377</v>
      </c>
      <c r="Y11" t="n">
        <v>0.29095</v>
      </c>
      <c r="Z11" t="n">
        <v>0.288536</v>
      </c>
      <c r="AA11" t="n">
        <v>0.284935</v>
      </c>
      <c r="AB11" t="n">
        <v>0.281377</v>
      </c>
      <c r="AC11" t="n">
        <v>0.277692</v>
      </c>
      <c r="AD11" t="n">
        <v>0.273872</v>
      </c>
      <c r="AE11" t="n">
        <v>0.270572</v>
      </c>
      <c r="AF11" t="n">
        <v>0.26805</v>
      </c>
      <c r="AG11" s="31" t="n">
        <v>-0.011</v>
      </c>
    </row>
    <row r="12">
      <c r="A12" t="inlineStr">
        <is>
          <t>Purchased Electricity for Residential Use</t>
        </is>
      </c>
      <c r="B12" t="inlineStr">
        <is>
          <t>Energy Use: Residential: Electricity: High Zero-Carbon Technology Cost</t>
        </is>
      </c>
      <c r="C12" t="inlineStr">
        <is>
          <t>AEO.2025.HIGHZTC.CNSM_ENU_RESD_NA_ELC_NA_NA_QBTU.A</t>
        </is>
      </c>
      <c r="D12" t="inlineStr">
        <is>
          <t>quads</t>
        </is>
      </c>
      <c r="F12" t="n">
        <v>5.097395</v>
      </c>
      <c r="G12" t="n">
        <v>5.01535</v>
      </c>
      <c r="H12" t="n">
        <v>5.056309</v>
      </c>
      <c r="I12" t="n">
        <v>5.103827</v>
      </c>
      <c r="J12" t="n">
        <v>5.128921</v>
      </c>
      <c r="K12" t="n">
        <v>5.120373</v>
      </c>
      <c r="L12" t="n">
        <v>5.090785</v>
      </c>
      <c r="M12" t="n">
        <v>5.051124</v>
      </c>
      <c r="N12" t="n">
        <v>5.01591</v>
      </c>
      <c r="O12" t="n">
        <v>4.988002</v>
      </c>
      <c r="P12" t="n">
        <v>4.969066</v>
      </c>
      <c r="Q12" t="n">
        <v>4.970526</v>
      </c>
      <c r="R12" t="n">
        <v>4.986686</v>
      </c>
      <c r="S12" t="n">
        <v>5.011181</v>
      </c>
      <c r="T12" t="n">
        <v>5.033259</v>
      </c>
      <c r="U12" t="n">
        <v>5.06003</v>
      </c>
      <c r="V12" t="n">
        <v>5.086498</v>
      </c>
      <c r="W12" t="n">
        <v>5.113048</v>
      </c>
      <c r="X12" t="n">
        <v>5.141541</v>
      </c>
      <c r="Y12" t="n">
        <v>5.172765</v>
      </c>
      <c r="Z12" t="n">
        <v>5.203447</v>
      </c>
      <c r="AA12" t="n">
        <v>5.233101</v>
      </c>
      <c r="AB12" t="n">
        <v>5.262091</v>
      </c>
      <c r="AC12" t="n">
        <v>5.290592</v>
      </c>
      <c r="AD12" t="n">
        <v>5.318973</v>
      </c>
      <c r="AE12" t="n">
        <v>5.348809</v>
      </c>
      <c r="AF12" t="n">
        <v>5.378547</v>
      </c>
      <c r="AG12" s="31" t="n">
        <v>0.002</v>
      </c>
    </row>
    <row r="13">
      <c r="A13" t="inlineStr">
        <is>
          <t>Delivered Energy</t>
        </is>
      </c>
      <c r="B13" t="inlineStr">
        <is>
          <t>Energy Use: Residential: Delivered Energy: High Zero-Carbon Technology Cost</t>
        </is>
      </c>
      <c r="C13" t="inlineStr">
        <is>
          <t>AEO.2025.HIGHZTC.CNSM_ENU_RESD_NA_DELE_NA_NA_QBTU.A</t>
        </is>
      </c>
      <c r="D13" t="inlineStr">
        <is>
          <t>quads</t>
        </is>
      </c>
      <c r="F13" t="n">
        <v>10.949879</v>
      </c>
      <c r="G13" t="n">
        <v>11.302598</v>
      </c>
      <c r="H13" t="n">
        <v>11.354626</v>
      </c>
      <c r="I13" t="n">
        <v>11.403802</v>
      </c>
      <c r="J13" t="n">
        <v>11.423075</v>
      </c>
      <c r="K13" t="n">
        <v>11.385574</v>
      </c>
      <c r="L13" t="n">
        <v>11.318736</v>
      </c>
      <c r="M13" t="n">
        <v>11.22856</v>
      </c>
      <c r="N13" t="n">
        <v>11.127291</v>
      </c>
      <c r="O13" t="n">
        <v>11.04207</v>
      </c>
      <c r="P13" t="n">
        <v>10.96608</v>
      </c>
      <c r="Q13" t="n">
        <v>10.921979</v>
      </c>
      <c r="R13" t="n">
        <v>10.900274</v>
      </c>
      <c r="S13" t="n">
        <v>10.892181</v>
      </c>
      <c r="T13" t="n">
        <v>10.883274</v>
      </c>
      <c r="U13" t="n">
        <v>10.880389</v>
      </c>
      <c r="V13" t="n">
        <v>10.875284</v>
      </c>
      <c r="W13" t="n">
        <v>10.865099</v>
      </c>
      <c r="X13" t="n">
        <v>10.855191</v>
      </c>
      <c r="Y13" t="n">
        <v>10.847352</v>
      </c>
      <c r="Z13" t="n">
        <v>10.841247</v>
      </c>
      <c r="AA13" t="n">
        <v>10.835244</v>
      </c>
      <c r="AB13" t="n">
        <v>10.828792</v>
      </c>
      <c r="AC13" t="n">
        <v>10.82283</v>
      </c>
      <c r="AD13" t="n">
        <v>10.818233</v>
      </c>
      <c r="AE13" t="n">
        <v>10.81613</v>
      </c>
      <c r="AF13" t="n">
        <v>10.814168</v>
      </c>
      <c r="AG13" s="31" t="n">
        <v>0</v>
      </c>
    </row>
    <row r="14">
      <c r="A14" t="inlineStr">
        <is>
          <t>Electricity-Related Losses</t>
        </is>
      </c>
      <c r="B14" t="inlineStr">
        <is>
          <t>Energy Use: Residential: Electricity Related Losses: High Zero-Carbon Technology Cost</t>
        </is>
      </c>
      <c r="C14" t="inlineStr">
        <is>
          <t>AEO.2025.HIGHZTC.CNSM_ENU_RESD_NA_ERL_NA_NA_QBTU.A</t>
        </is>
      </c>
      <c r="D14" t="inlineStr">
        <is>
          <t>quads</t>
        </is>
      </c>
      <c r="F14" t="n">
        <v>7.245147</v>
      </c>
      <c r="G14" t="n">
        <v>6.912201</v>
      </c>
      <c r="H14" t="n">
        <v>6.553731</v>
      </c>
      <c r="I14" t="n">
        <v>6.362611</v>
      </c>
      <c r="J14" t="n">
        <v>6.252065</v>
      </c>
      <c r="K14" t="n">
        <v>6.13198</v>
      </c>
      <c r="L14" t="n">
        <v>5.851551</v>
      </c>
      <c r="M14" t="n">
        <v>5.620308</v>
      </c>
      <c r="N14" t="n">
        <v>5.220071</v>
      </c>
      <c r="O14" t="n">
        <v>5.0221</v>
      </c>
      <c r="P14" t="n">
        <v>4.822125</v>
      </c>
      <c r="Q14" t="n">
        <v>4.611793</v>
      </c>
      <c r="R14" t="n">
        <v>4.429836</v>
      </c>
      <c r="S14" t="n">
        <v>4.219049</v>
      </c>
      <c r="T14" t="n">
        <v>4.103611</v>
      </c>
      <c r="U14" t="n">
        <v>3.878483</v>
      </c>
      <c r="V14" t="n">
        <v>3.828674</v>
      </c>
      <c r="W14" t="n">
        <v>3.840003</v>
      </c>
      <c r="X14" t="n">
        <v>3.853276</v>
      </c>
      <c r="Y14" t="n">
        <v>3.849748</v>
      </c>
      <c r="Z14" t="n">
        <v>3.852274</v>
      </c>
      <c r="AA14" t="n">
        <v>3.831165</v>
      </c>
      <c r="AB14" t="n">
        <v>3.808954</v>
      </c>
      <c r="AC14" t="n">
        <v>3.799681</v>
      </c>
      <c r="AD14" t="n">
        <v>3.800865</v>
      </c>
      <c r="AE14" t="n">
        <v>3.810485</v>
      </c>
      <c r="AF14" t="n">
        <v>3.790734</v>
      </c>
      <c r="AG14" s="31" t="n">
        <v>-0.025</v>
      </c>
    </row>
    <row r="15">
      <c r="A15" t="inlineStr">
        <is>
          <t>Total</t>
        </is>
      </c>
      <c r="B15" t="inlineStr">
        <is>
          <t>Energy Use: Residential: Total: High Zero-Carbon Technology Cost</t>
        </is>
      </c>
      <c r="C15" t="inlineStr">
        <is>
          <t>AEO.2025.HIGHZTC.CNSM_ENU_RESD_NA_TOT_NA_NA_QBTU.A</t>
        </is>
      </c>
      <c r="D15" t="inlineStr">
        <is>
          <t>quads</t>
        </is>
      </c>
      <c r="F15" t="n">
        <v>18.195026</v>
      </c>
      <c r="G15" t="n">
        <v>18.2148</v>
      </c>
      <c r="H15" t="n">
        <v>17.908356</v>
      </c>
      <c r="I15" t="n">
        <v>17.766413</v>
      </c>
      <c r="J15" t="n">
        <v>17.67514</v>
      </c>
      <c r="K15" t="n">
        <v>17.517555</v>
      </c>
      <c r="L15" t="n">
        <v>17.170286</v>
      </c>
      <c r="M15" t="n">
        <v>16.848869</v>
      </c>
      <c r="N15" t="n">
        <v>16.347363</v>
      </c>
      <c r="O15" t="n">
        <v>16.064171</v>
      </c>
      <c r="P15" t="n">
        <v>15.788204</v>
      </c>
      <c r="Q15" t="n">
        <v>15.533772</v>
      </c>
      <c r="R15" t="n">
        <v>15.330111</v>
      </c>
      <c r="S15" t="n">
        <v>15.111231</v>
      </c>
      <c r="T15" t="n">
        <v>14.986885</v>
      </c>
      <c r="U15" t="n">
        <v>14.758872</v>
      </c>
      <c r="V15" t="n">
        <v>14.703958</v>
      </c>
      <c r="W15" t="n">
        <v>14.705102</v>
      </c>
      <c r="X15" t="n">
        <v>14.708467</v>
      </c>
      <c r="Y15" t="n">
        <v>14.6971</v>
      </c>
      <c r="Z15" t="n">
        <v>14.693521</v>
      </c>
      <c r="AA15" t="n">
        <v>14.666409</v>
      </c>
      <c r="AB15" t="n">
        <v>14.637746</v>
      </c>
      <c r="AC15" t="n">
        <v>14.622511</v>
      </c>
      <c r="AD15" t="n">
        <v>14.619099</v>
      </c>
      <c r="AE15" t="n">
        <v>14.626616</v>
      </c>
      <c r="AF15" t="n">
        <v>14.604902</v>
      </c>
      <c r="AG15" s="31" t="n">
        <v>-0.008</v>
      </c>
    </row>
    <row r="16">
      <c r="A16" t="inlineStr">
        <is>
          <t>Commercial</t>
        </is>
      </c>
    </row>
    <row r="17">
      <c r="A17" t="inlineStr">
        <is>
          <t>Propane</t>
        </is>
      </c>
      <c r="B17" t="inlineStr">
        <is>
          <t>Energy Use: Commercial: Propane: High Zero-Carbon Technology Cost</t>
        </is>
      </c>
      <c r="C17" t="inlineStr">
        <is>
          <t>AEO.2025.HIGHZTC.CNSM_ENU_COMM_NA_PROP_NA_NA_QBTU.A</t>
        </is>
      </c>
      <c r="D17" t="inlineStr">
        <is>
          <t>quads</t>
        </is>
      </c>
      <c r="F17" t="n">
        <v>0.203527</v>
      </c>
      <c r="G17" t="n">
        <v>0.207036</v>
      </c>
      <c r="H17" t="n">
        <v>0.211189</v>
      </c>
      <c r="I17" t="n">
        <v>0.21576</v>
      </c>
      <c r="J17" t="n">
        <v>0.220555</v>
      </c>
      <c r="K17" t="n">
        <v>0.224618</v>
      </c>
      <c r="L17" t="n">
        <v>0.228576</v>
      </c>
      <c r="M17" t="n">
        <v>0.232463</v>
      </c>
      <c r="N17" t="n">
        <v>0.236365</v>
      </c>
      <c r="O17" t="n">
        <v>0.240305</v>
      </c>
      <c r="P17" t="n">
        <v>0.244263</v>
      </c>
      <c r="Q17" t="n">
        <v>0.248203</v>
      </c>
      <c r="R17" t="n">
        <v>0.252085</v>
      </c>
      <c r="S17" t="n">
        <v>0.255888</v>
      </c>
      <c r="T17" t="n">
        <v>0.25962</v>
      </c>
      <c r="U17" t="n">
        <v>0.263292</v>
      </c>
      <c r="V17" t="n">
        <v>0.266917</v>
      </c>
      <c r="W17" t="n">
        <v>0.270508</v>
      </c>
      <c r="X17" t="n">
        <v>0.274074</v>
      </c>
      <c r="Y17" t="n">
        <v>0.277623</v>
      </c>
      <c r="Z17" t="n">
        <v>0.281163</v>
      </c>
      <c r="AA17" t="n">
        <v>0.284705</v>
      </c>
      <c r="AB17" t="n">
        <v>0.288254</v>
      </c>
      <c r="AC17" t="n">
        <v>0.29182</v>
      </c>
      <c r="AD17" t="n">
        <v>0.295404</v>
      </c>
      <c r="AE17" t="n">
        <v>0.299009</v>
      </c>
      <c r="AF17" t="n">
        <v>0.302635</v>
      </c>
      <c r="AG17" s="31" t="n">
        <v>0.015</v>
      </c>
    </row>
    <row r="18">
      <c r="A18" t="inlineStr">
        <is>
          <t>Motor Gasoline</t>
        </is>
      </c>
      <c r="B18" t="inlineStr">
        <is>
          <t>Energy Use: Commercial: Motor Gasoline: High Zero-Carbon Technology Cost</t>
        </is>
      </c>
      <c r="C18" t="inlineStr">
        <is>
          <t>AEO.2025.HIGHZTC.CNSM_ENU_COMM_NA_MGS_NA_NA_QBTU.A</t>
        </is>
      </c>
      <c r="D18" t="inlineStr">
        <is>
          <t>quads</t>
        </is>
      </c>
      <c r="F18" t="n">
        <v>0.433115</v>
      </c>
      <c r="G18" t="n">
        <v>0.438858</v>
      </c>
      <c r="H18" t="n">
        <v>0.445824</v>
      </c>
      <c r="I18" t="n">
        <v>0.453659</v>
      </c>
      <c r="J18" t="n">
        <v>0.46196</v>
      </c>
      <c r="K18" t="n">
        <v>0.470477</v>
      </c>
      <c r="L18" t="n">
        <v>0.478778</v>
      </c>
      <c r="M18" t="n">
        <v>0.486934</v>
      </c>
      <c r="N18" t="n">
        <v>0.495121</v>
      </c>
      <c r="O18" t="n">
        <v>0.503391</v>
      </c>
      <c r="P18" t="n">
        <v>0.5117</v>
      </c>
      <c r="Q18" t="n">
        <v>0.519974</v>
      </c>
      <c r="R18" t="n">
        <v>0.52813</v>
      </c>
      <c r="S18" t="n">
        <v>0.536125</v>
      </c>
      <c r="T18" t="n">
        <v>0.543972</v>
      </c>
      <c r="U18" t="n">
        <v>0.551696</v>
      </c>
      <c r="V18" t="n">
        <v>0.559325</v>
      </c>
      <c r="W18" t="n">
        <v>0.566886</v>
      </c>
      <c r="X18" t="n">
        <v>0.574397</v>
      </c>
      <c r="Y18" t="n">
        <v>0.581873</v>
      </c>
      <c r="Z18" t="n">
        <v>0.589333</v>
      </c>
      <c r="AA18" t="n">
        <v>0.5967980000000001</v>
      </c>
      <c r="AB18" t="n">
        <v>0.604282</v>
      </c>
      <c r="AC18" t="n">
        <v>0.6118</v>
      </c>
      <c r="AD18" t="n">
        <v>0.619359</v>
      </c>
      <c r="AE18" t="n">
        <v>0.626964</v>
      </c>
      <c r="AF18" t="n">
        <v>0.634613</v>
      </c>
      <c r="AG18" s="31" t="n">
        <v>0.015</v>
      </c>
    </row>
    <row r="19">
      <c r="A19" t="inlineStr">
        <is>
          <t>Kerosene</t>
        </is>
      </c>
      <c r="B19" t="inlineStr">
        <is>
          <t>Energy Use: Commercial: Kerosene: High Zero-Carbon Technology Cost</t>
        </is>
      </c>
      <c r="C19" t="inlineStr">
        <is>
          <t>AEO.2025.HIGHZTC.CNSM_ENU_COMM_NA_KRS_NA_NA_QBTU.A</t>
        </is>
      </c>
      <c r="D19" t="inlineStr">
        <is>
          <t>quads</t>
        </is>
      </c>
      <c r="F19" t="n">
        <v>0.002101</v>
      </c>
      <c r="G19" t="n">
        <v>0.001663</v>
      </c>
      <c r="H19" t="n">
        <v>0.003083</v>
      </c>
      <c r="I19" t="n">
        <v>0.0031</v>
      </c>
      <c r="J19" t="n">
        <v>0.00296</v>
      </c>
      <c r="K19" t="n">
        <v>0.002497</v>
      </c>
      <c r="L19" t="n">
        <v>0.002105</v>
      </c>
      <c r="M19" t="n">
        <v>0.002033</v>
      </c>
      <c r="N19" t="n">
        <v>0.002065</v>
      </c>
      <c r="O19" t="n">
        <v>0.00189</v>
      </c>
      <c r="P19" t="n">
        <v>0.001818</v>
      </c>
      <c r="Q19" t="n">
        <v>0.001706</v>
      </c>
      <c r="R19" t="n">
        <v>0.001673</v>
      </c>
      <c r="S19" t="n">
        <v>0.001536</v>
      </c>
      <c r="T19" t="n">
        <v>0.00143</v>
      </c>
      <c r="U19" t="n">
        <v>0.001377</v>
      </c>
      <c r="V19" t="n">
        <v>0.001275</v>
      </c>
      <c r="W19" t="n">
        <v>0.001142</v>
      </c>
      <c r="X19" t="n">
        <v>0.001025</v>
      </c>
      <c r="Y19" t="n">
        <v>0.000888</v>
      </c>
      <c r="Z19" t="n">
        <v>0.000688</v>
      </c>
      <c r="AA19" t="n">
        <v>0.0007069999999999999</v>
      </c>
      <c r="AB19" t="n">
        <v>0.000673</v>
      </c>
      <c r="AC19" t="n">
        <v>0.000662</v>
      </c>
      <c r="AD19" t="n">
        <v>0.00067</v>
      </c>
      <c r="AE19" t="n">
        <v>0.0006489999999999999</v>
      </c>
      <c r="AF19" t="n">
        <v>0.00061</v>
      </c>
      <c r="AG19" s="31" t="n">
        <v>-0.046</v>
      </c>
    </row>
    <row r="20">
      <c r="A20" t="inlineStr">
        <is>
          <t>Distillate Fuel Oil</t>
        </is>
      </c>
      <c r="B20" t="inlineStr">
        <is>
          <t>Energy Use: Commercial: Distillate Fuel Oil: High Zero-Carbon Technology Cost</t>
        </is>
      </c>
      <c r="C20" t="inlineStr">
        <is>
          <t>AEO.2025.HIGHZTC.CNSM_ENU_COMM_NA_DFO_NA_NA_QBTU.A</t>
        </is>
      </c>
      <c r="D20" t="inlineStr">
        <is>
          <t>quads</t>
        </is>
      </c>
      <c r="F20" t="n">
        <v>0.308284</v>
      </c>
      <c r="G20" t="n">
        <v>0.316531</v>
      </c>
      <c r="H20" t="n">
        <v>0.320091</v>
      </c>
      <c r="I20" t="n">
        <v>0.322023</v>
      </c>
      <c r="J20" t="n">
        <v>0.322813</v>
      </c>
      <c r="K20" t="n">
        <v>0.322871</v>
      </c>
      <c r="L20" t="n">
        <v>0.32285</v>
      </c>
      <c r="M20" t="n">
        <v>0.322282</v>
      </c>
      <c r="N20" t="n">
        <v>0.32166</v>
      </c>
      <c r="O20" t="n">
        <v>0.320479</v>
      </c>
      <c r="P20" t="n">
        <v>0.319178</v>
      </c>
      <c r="Q20" t="n">
        <v>0.317716</v>
      </c>
      <c r="R20" t="n">
        <v>0.316511</v>
      </c>
      <c r="S20" t="n">
        <v>0.315075</v>
      </c>
      <c r="T20" t="n">
        <v>0.313805</v>
      </c>
      <c r="U20" t="n">
        <v>0.312652</v>
      </c>
      <c r="V20" t="n">
        <v>0.311396</v>
      </c>
      <c r="W20" t="n">
        <v>0.310069</v>
      </c>
      <c r="X20" t="n">
        <v>0.30861</v>
      </c>
      <c r="Y20" t="n">
        <v>0.307126</v>
      </c>
      <c r="Z20" t="n">
        <v>0.305111</v>
      </c>
      <c r="AA20" t="n">
        <v>0.303931</v>
      </c>
      <c r="AB20" t="n">
        <v>0.302812</v>
      </c>
      <c r="AC20" t="n">
        <v>0.302144</v>
      </c>
      <c r="AD20" t="n">
        <v>0.301719</v>
      </c>
      <c r="AE20" t="n">
        <v>0.30106</v>
      </c>
      <c r="AF20" t="n">
        <v>0.30013</v>
      </c>
      <c r="AG20" s="31" t="n">
        <v>-0.001</v>
      </c>
    </row>
    <row r="21">
      <c r="A21" t="inlineStr">
        <is>
          <t>Residual Fuel Oil</t>
        </is>
      </c>
      <c r="B21" t="inlineStr">
        <is>
          <t>Energy Use: Commercial: Residual Fuel Oil: High Zero-Carbon Technology Cost</t>
        </is>
      </c>
      <c r="C21" t="inlineStr">
        <is>
          <t>AEO.2025.HIGHZTC.CNSM_ENU_COMM_NA_RFO_NA_NA_QBTU.A</t>
        </is>
      </c>
      <c r="D21" t="inlineStr">
        <is>
          <t>quads</t>
        </is>
      </c>
      <c r="F21" t="n">
        <v>0.00255</v>
      </c>
      <c r="G21" t="n">
        <v>0.0009859999999999999</v>
      </c>
      <c r="H21" t="n">
        <v>0.0009859999999999999</v>
      </c>
      <c r="I21" t="n">
        <v>0.001056</v>
      </c>
      <c r="J21" t="n">
        <v>0.001132</v>
      </c>
      <c r="K21" t="n">
        <v>0.001157</v>
      </c>
      <c r="L21" t="n">
        <v>0.00118</v>
      </c>
      <c r="M21" t="n">
        <v>0.001204</v>
      </c>
      <c r="N21" t="n">
        <v>0.001227</v>
      </c>
      <c r="O21" t="n">
        <v>0.001251</v>
      </c>
      <c r="P21" t="n">
        <v>0.001274</v>
      </c>
      <c r="Q21" t="n">
        <v>0.001298</v>
      </c>
      <c r="R21" t="n">
        <v>0.001321</v>
      </c>
      <c r="S21" t="n">
        <v>0.001343</v>
      </c>
      <c r="T21" t="n">
        <v>0.001365</v>
      </c>
      <c r="U21" t="n">
        <v>0.001386</v>
      </c>
      <c r="V21" t="n">
        <v>0.001407</v>
      </c>
      <c r="W21" t="n">
        <v>0.001427</v>
      </c>
      <c r="X21" t="n">
        <v>0.001447</v>
      </c>
      <c r="Y21" t="n">
        <v>0.001467</v>
      </c>
      <c r="Z21" t="n">
        <v>0.001487</v>
      </c>
      <c r="AA21" t="n">
        <v>0.001507</v>
      </c>
      <c r="AB21" t="n">
        <v>0.001527</v>
      </c>
      <c r="AC21" t="n">
        <v>0.001546</v>
      </c>
      <c r="AD21" t="n">
        <v>0.001566</v>
      </c>
      <c r="AE21" t="n">
        <v>0.001586</v>
      </c>
      <c r="AF21" t="n">
        <v>0.001606</v>
      </c>
      <c r="AG21" s="31" t="n">
        <v>-0.018</v>
      </c>
    </row>
    <row r="22">
      <c r="A22" t="inlineStr">
        <is>
          <t>Petroleum and Other Liquids Subtotal</t>
        </is>
      </c>
      <c r="B22" t="inlineStr">
        <is>
          <t>Energy Use: Commercial: Liquid Fuels Subtotal: High Zero-Carbon Technology Cost</t>
        </is>
      </c>
      <c r="C22" t="inlineStr">
        <is>
          <t>AEO.2025.HIGHZTC.CNSM_ENU_COMM_NA_LFL_NA_NA_QBTU.A</t>
        </is>
      </c>
      <c r="D22" t="inlineStr">
        <is>
          <t>quads</t>
        </is>
      </c>
      <c r="F22" t="n">
        <v>0.949578</v>
      </c>
      <c r="G22" t="n">
        <v>0.965074</v>
      </c>
      <c r="H22" t="n">
        <v>0.981173</v>
      </c>
      <c r="I22" t="n">
        <v>0.995598</v>
      </c>
      <c r="J22" t="n">
        <v>1.009419</v>
      </c>
      <c r="K22" t="n">
        <v>1.02162</v>
      </c>
      <c r="L22" t="n">
        <v>1.033489</v>
      </c>
      <c r="M22" t="n">
        <v>1.044916</v>
      </c>
      <c r="N22" t="n">
        <v>1.056438</v>
      </c>
      <c r="O22" t="n">
        <v>1.067316</v>
      </c>
      <c r="P22" t="n">
        <v>1.078234</v>
      </c>
      <c r="Q22" t="n">
        <v>1.088896</v>
      </c>
      <c r="R22" t="n">
        <v>1.099719</v>
      </c>
      <c r="S22" t="n">
        <v>1.109967</v>
      </c>
      <c r="T22" t="n">
        <v>1.120192</v>
      </c>
      <c r="U22" t="n">
        <v>1.130402</v>
      </c>
      <c r="V22" t="n">
        <v>1.140319</v>
      </c>
      <c r="W22" t="n">
        <v>1.150033</v>
      </c>
      <c r="X22" t="n">
        <v>1.159553</v>
      </c>
      <c r="Y22" t="n">
        <v>1.168977</v>
      </c>
      <c r="Z22" t="n">
        <v>1.177783</v>
      </c>
      <c r="AA22" t="n">
        <v>1.187648</v>
      </c>
      <c r="AB22" t="n">
        <v>1.197548</v>
      </c>
      <c r="AC22" t="n">
        <v>1.207972</v>
      </c>
      <c r="AD22" t="n">
        <v>1.218718</v>
      </c>
      <c r="AE22" t="n">
        <v>1.229268</v>
      </c>
      <c r="AF22" t="n">
        <v>1.239594</v>
      </c>
      <c r="AG22" s="31" t="n">
        <v>0.01</v>
      </c>
    </row>
    <row r="23">
      <c r="A23" t="inlineStr">
        <is>
          <t>Natural Gas</t>
        </is>
      </c>
      <c r="B23" t="inlineStr">
        <is>
          <t>Energy Use: Commercial: Natural Gas: High Zero-Carbon Technology Cost</t>
        </is>
      </c>
      <c r="C23" t="inlineStr">
        <is>
          <t>AEO.2025.HIGHZTC.CNSM_ENU_COMM_NA_NG_NA_NA_QBTU.A</t>
        </is>
      </c>
      <c r="D23" t="inlineStr">
        <is>
          <t>quads</t>
        </is>
      </c>
      <c r="F23" t="n">
        <v>3.426704</v>
      </c>
      <c r="G23" t="n">
        <v>3.611178</v>
      </c>
      <c r="H23" t="n">
        <v>3.645448</v>
      </c>
      <c r="I23" t="n">
        <v>3.652436</v>
      </c>
      <c r="J23" t="n">
        <v>3.643887</v>
      </c>
      <c r="K23" t="n">
        <v>3.643972</v>
      </c>
      <c r="L23" t="n">
        <v>3.636758</v>
      </c>
      <c r="M23" t="n">
        <v>3.632056</v>
      </c>
      <c r="N23" t="n">
        <v>3.618527</v>
      </c>
      <c r="O23" t="n">
        <v>3.602453</v>
      </c>
      <c r="P23" t="n">
        <v>3.590345</v>
      </c>
      <c r="Q23" t="n">
        <v>3.58766</v>
      </c>
      <c r="R23" t="n">
        <v>3.594494</v>
      </c>
      <c r="S23" t="n">
        <v>3.606606</v>
      </c>
      <c r="T23" t="n">
        <v>3.620292</v>
      </c>
      <c r="U23" t="n">
        <v>3.636338</v>
      </c>
      <c r="V23" t="n">
        <v>3.64947</v>
      </c>
      <c r="W23" t="n">
        <v>3.657411</v>
      </c>
      <c r="X23" t="n">
        <v>3.662507</v>
      </c>
      <c r="Y23" t="n">
        <v>3.666111</v>
      </c>
      <c r="Z23" t="n">
        <v>3.672477</v>
      </c>
      <c r="AA23" t="n">
        <v>3.67936</v>
      </c>
      <c r="AB23" t="n">
        <v>3.683807</v>
      </c>
      <c r="AC23" t="n">
        <v>3.690529</v>
      </c>
      <c r="AD23" t="n">
        <v>3.699193</v>
      </c>
      <c r="AE23" t="n">
        <v>3.706769</v>
      </c>
      <c r="AF23" t="n">
        <v>3.713181</v>
      </c>
      <c r="AG23" s="31" t="n">
        <v>0.003</v>
      </c>
    </row>
    <row r="24">
      <c r="A24" t="inlineStr">
        <is>
          <t>Coal</t>
        </is>
      </c>
      <c r="B24" t="inlineStr">
        <is>
          <t>Energy Use: Commercial: Coal: High Zero-Carbon Technology Cost</t>
        </is>
      </c>
      <c r="C24" t="inlineStr">
        <is>
          <t>AEO.2025.HIGHZTC.CNSM_ENU_COMM_NA_CL_NA_NA_QBTU.A</t>
        </is>
      </c>
      <c r="D24" t="inlineStr">
        <is>
          <t>quads</t>
        </is>
      </c>
      <c r="F24" t="n">
        <v>0.012118</v>
      </c>
      <c r="G24" t="n">
        <v>0.01267</v>
      </c>
      <c r="H24" t="n">
        <v>0.016739</v>
      </c>
      <c r="I24" t="n">
        <v>0.017261</v>
      </c>
      <c r="J24" t="n">
        <v>0.018487</v>
      </c>
      <c r="K24" t="n">
        <v>0.017758</v>
      </c>
      <c r="L24" t="n">
        <v>0.018493</v>
      </c>
      <c r="M24" t="n">
        <v>0.019202</v>
      </c>
      <c r="N24" t="n">
        <v>0.020131</v>
      </c>
      <c r="O24" t="n">
        <v>0.020423</v>
      </c>
      <c r="P24" t="n">
        <v>0.021234</v>
      </c>
      <c r="Q24" t="n">
        <v>0.021901</v>
      </c>
      <c r="R24" t="n">
        <v>0.022011</v>
      </c>
      <c r="S24" t="n">
        <v>0.022176</v>
      </c>
      <c r="T24" t="n">
        <v>0.021845</v>
      </c>
      <c r="U24" t="n">
        <v>0.022261</v>
      </c>
      <c r="V24" t="n">
        <v>0.022491</v>
      </c>
      <c r="W24" t="n">
        <v>0.022289</v>
      </c>
      <c r="X24" t="n">
        <v>0.022298</v>
      </c>
      <c r="Y24" t="n">
        <v>0.022141</v>
      </c>
      <c r="Z24" t="n">
        <v>0.021983</v>
      </c>
      <c r="AA24" t="n">
        <v>0.021868</v>
      </c>
      <c r="AB24" t="n">
        <v>0.021568</v>
      </c>
      <c r="AC24" t="n">
        <v>0.021554</v>
      </c>
      <c r="AD24" t="n">
        <v>0.021545</v>
      </c>
      <c r="AE24" t="n">
        <v>0.021557</v>
      </c>
      <c r="AF24" t="n">
        <v>0.021255</v>
      </c>
      <c r="AG24" s="31" t="n">
        <v>0.022</v>
      </c>
    </row>
    <row r="25">
      <c r="A25" t="inlineStr">
        <is>
          <t>Renewable Energy</t>
        </is>
      </c>
      <c r="B25" t="inlineStr">
        <is>
          <t>Energy Use: Commercial: Renewable Energy: High Zero-Carbon Technology Cost</t>
        </is>
      </c>
      <c r="C25" t="inlineStr">
        <is>
          <t>AEO.2025.HIGHZTC.CNSM_ENU_COMM_NA_REN_NA_NA_QBTU.A</t>
        </is>
      </c>
      <c r="D25" t="inlineStr">
        <is>
          <t>quads</t>
        </is>
      </c>
      <c r="F25" t="n">
        <v>0.158104</v>
      </c>
      <c r="G25" t="n">
        <v>0.158104</v>
      </c>
      <c r="H25" t="n">
        <v>0.158104</v>
      </c>
      <c r="I25" t="n">
        <v>0.158104</v>
      </c>
      <c r="J25" t="n">
        <v>0.158104</v>
      </c>
      <c r="K25" t="n">
        <v>0.158104</v>
      </c>
      <c r="L25" t="n">
        <v>0.158104</v>
      </c>
      <c r="M25" t="n">
        <v>0.158104</v>
      </c>
      <c r="N25" t="n">
        <v>0.158104</v>
      </c>
      <c r="O25" t="n">
        <v>0.158104</v>
      </c>
      <c r="P25" t="n">
        <v>0.158104</v>
      </c>
      <c r="Q25" t="n">
        <v>0.158104</v>
      </c>
      <c r="R25" t="n">
        <v>0.158104</v>
      </c>
      <c r="S25" t="n">
        <v>0.158104</v>
      </c>
      <c r="T25" t="n">
        <v>0.158104</v>
      </c>
      <c r="U25" t="n">
        <v>0.158104</v>
      </c>
      <c r="V25" t="n">
        <v>0.158104</v>
      </c>
      <c r="W25" t="n">
        <v>0.158104</v>
      </c>
      <c r="X25" t="n">
        <v>0.158104</v>
      </c>
      <c r="Y25" t="n">
        <v>0.158104</v>
      </c>
      <c r="Z25" t="n">
        <v>0.158104</v>
      </c>
      <c r="AA25" t="n">
        <v>0.158104</v>
      </c>
      <c r="AB25" t="n">
        <v>0.158104</v>
      </c>
      <c r="AC25" t="n">
        <v>0.158104</v>
      </c>
      <c r="AD25" t="n">
        <v>0.158104</v>
      </c>
      <c r="AE25" t="n">
        <v>0.158104</v>
      </c>
      <c r="AF25" t="n">
        <v>0.158104</v>
      </c>
      <c r="AG25" s="31" t="n">
        <v>0</v>
      </c>
    </row>
    <row r="26">
      <c r="A26" t="inlineStr">
        <is>
          <t>Purchased Electricity for Commercial Use</t>
        </is>
      </c>
      <c r="B26" t="inlineStr">
        <is>
          <t>Energy Use: Commercial: Electricity: High Zero-Carbon Technology Cost</t>
        </is>
      </c>
      <c r="C26" t="inlineStr">
        <is>
          <t>AEO.2025.HIGHZTC.CNSM_ENU_COMM_NA_ELC_NA_NA_QBTU.A</t>
        </is>
      </c>
      <c r="D26" t="inlineStr">
        <is>
          <t>quads</t>
        </is>
      </c>
      <c r="F26" t="n">
        <v>4.749338</v>
      </c>
      <c r="G26" t="n">
        <v>4.82175</v>
      </c>
      <c r="H26" t="n">
        <v>4.782341</v>
      </c>
      <c r="I26" t="n">
        <v>4.826618</v>
      </c>
      <c r="J26" t="n">
        <v>4.861098</v>
      </c>
      <c r="K26" t="n">
        <v>4.927334</v>
      </c>
      <c r="L26" t="n">
        <v>4.967134</v>
      </c>
      <c r="M26" t="n">
        <v>5.003686</v>
      </c>
      <c r="N26" t="n">
        <v>5.045472</v>
      </c>
      <c r="O26" t="n">
        <v>5.084223</v>
      </c>
      <c r="P26" t="n">
        <v>5.135777</v>
      </c>
      <c r="Q26" t="n">
        <v>5.202976</v>
      </c>
      <c r="R26" t="n">
        <v>5.281009</v>
      </c>
      <c r="S26" t="n">
        <v>5.36371</v>
      </c>
      <c r="T26" t="n">
        <v>5.440923</v>
      </c>
      <c r="U26" t="n">
        <v>5.525065</v>
      </c>
      <c r="V26" t="n">
        <v>5.609845</v>
      </c>
      <c r="W26" t="n">
        <v>5.695757</v>
      </c>
      <c r="X26" t="n">
        <v>5.78301</v>
      </c>
      <c r="Y26" t="n">
        <v>5.872692</v>
      </c>
      <c r="Z26" t="n">
        <v>5.964936</v>
      </c>
      <c r="AA26" t="n">
        <v>6.058793</v>
      </c>
      <c r="AB26" t="n">
        <v>6.155428</v>
      </c>
      <c r="AC26" t="n">
        <v>6.253218</v>
      </c>
      <c r="AD26" t="n">
        <v>6.354017</v>
      </c>
      <c r="AE26" t="n">
        <v>6.457747</v>
      </c>
      <c r="AF26" t="n">
        <v>6.564499</v>
      </c>
      <c r="AG26" s="31" t="n">
        <v>0.013</v>
      </c>
    </row>
    <row r="27">
      <c r="A27" t="inlineStr">
        <is>
          <t>Delivered Energy</t>
        </is>
      </c>
      <c r="B27" t="inlineStr">
        <is>
          <t>Energy Use: Commercial: Delivered Energy: High Zero-Carbon Technology Cost</t>
        </is>
      </c>
      <c r="C27" t="inlineStr">
        <is>
          <t>AEO.2025.HIGHZTC.CNSM_ENU_COMM_NA_DELE_NA_NA_QBTU.A</t>
        </is>
      </c>
      <c r="D27" t="inlineStr">
        <is>
          <t>quads</t>
        </is>
      </c>
      <c r="F27" t="n">
        <v>9.295842</v>
      </c>
      <c r="G27" t="n">
        <v>9.568778</v>
      </c>
      <c r="H27" t="n">
        <v>9.583804000000001</v>
      </c>
      <c r="I27" t="n">
        <v>9.650017</v>
      </c>
      <c r="J27" t="n">
        <v>9.690993000000001</v>
      </c>
      <c r="K27" t="n">
        <v>9.768787</v>
      </c>
      <c r="L27" t="n">
        <v>9.813977</v>
      </c>
      <c r="M27" t="n">
        <v>9.857964000000001</v>
      </c>
      <c r="N27" t="n">
        <v>9.898671999999999</v>
      </c>
      <c r="O27" t="n">
        <v>9.932518</v>
      </c>
      <c r="P27" t="n">
        <v>9.983692</v>
      </c>
      <c r="Q27" t="n">
        <v>10.059537</v>
      </c>
      <c r="R27" t="n">
        <v>10.155337</v>
      </c>
      <c r="S27" t="n">
        <v>10.260563</v>
      </c>
      <c r="T27" t="n">
        <v>10.361356</v>
      </c>
      <c r="U27" t="n">
        <v>10.472172</v>
      </c>
      <c r="V27" t="n">
        <v>10.58023</v>
      </c>
      <c r="W27" t="n">
        <v>10.683596</v>
      </c>
      <c r="X27" t="n">
        <v>10.785473</v>
      </c>
      <c r="Y27" t="n">
        <v>10.888024</v>
      </c>
      <c r="Z27" t="n">
        <v>10.995282</v>
      </c>
      <c r="AA27" t="n">
        <v>11.105772</v>
      </c>
      <c r="AB27" t="n">
        <v>11.216454</v>
      </c>
      <c r="AC27" t="n">
        <v>11.331375</v>
      </c>
      <c r="AD27" t="n">
        <v>11.451575</v>
      </c>
      <c r="AE27" t="n">
        <v>11.573444</v>
      </c>
      <c r="AF27" t="n">
        <v>11.696633</v>
      </c>
      <c r="AG27" s="31" t="n">
        <v>0.008999999999999999</v>
      </c>
    </row>
    <row r="28">
      <c r="A28" t="inlineStr">
        <is>
          <t>Electricity-Related Losses</t>
        </is>
      </c>
      <c r="B28" t="inlineStr">
        <is>
          <t>Energy Use: Commercial: Electricity Related Losses: High Zero-Carbon Technology Cost</t>
        </is>
      </c>
      <c r="C28" t="inlineStr">
        <is>
          <t>AEO.2025.HIGHZTC.CNSM_ENU_COMM_NA_ERL_NA_NA_QBTU.A</t>
        </is>
      </c>
      <c r="D28" t="inlineStr">
        <is>
          <t>quads</t>
        </is>
      </c>
      <c r="F28" t="n">
        <v>6.750439</v>
      </c>
      <c r="G28" t="n">
        <v>6.64538</v>
      </c>
      <c r="H28" t="n">
        <v>6.198627</v>
      </c>
      <c r="I28" t="n">
        <v>6.017033</v>
      </c>
      <c r="J28" t="n">
        <v>5.925594</v>
      </c>
      <c r="K28" t="n">
        <v>5.900803</v>
      </c>
      <c r="L28" t="n">
        <v>5.709422</v>
      </c>
      <c r="M28" t="n">
        <v>5.567525</v>
      </c>
      <c r="N28" t="n">
        <v>5.250836</v>
      </c>
      <c r="O28" t="n">
        <v>5.118978</v>
      </c>
      <c r="P28" t="n">
        <v>4.983905</v>
      </c>
      <c r="Q28" t="n">
        <v>4.827467</v>
      </c>
      <c r="R28" t="n">
        <v>4.691292</v>
      </c>
      <c r="S28" t="n">
        <v>4.515852</v>
      </c>
      <c r="T28" t="n">
        <v>4.43598</v>
      </c>
      <c r="U28" t="n">
        <v>4.234931</v>
      </c>
      <c r="V28" t="n">
        <v>4.222603</v>
      </c>
      <c r="W28" t="n">
        <v>4.277629</v>
      </c>
      <c r="X28" t="n">
        <v>4.334019</v>
      </c>
      <c r="Y28" t="n">
        <v>4.370658</v>
      </c>
      <c r="Z28" t="n">
        <v>4.416029</v>
      </c>
      <c r="AA28" t="n">
        <v>4.435656</v>
      </c>
      <c r="AB28" t="n">
        <v>4.455595</v>
      </c>
      <c r="AC28" t="n">
        <v>4.491035</v>
      </c>
      <c r="AD28" t="n">
        <v>4.540494</v>
      </c>
      <c r="AE28" t="n">
        <v>4.600491</v>
      </c>
      <c r="AF28" t="n">
        <v>4.626578</v>
      </c>
      <c r="AG28" s="31" t="n">
        <v>-0.014</v>
      </c>
    </row>
    <row r="29">
      <c r="A29" t="inlineStr">
        <is>
          <t>Total</t>
        </is>
      </c>
      <c r="B29" t="inlineStr">
        <is>
          <t>Energy Use: Commercial: Total: High Zero-Carbon Technology Cost</t>
        </is>
      </c>
      <c r="C29" t="inlineStr">
        <is>
          <t>AEO.2025.HIGHZTC.CNSM_ENU_COMM_NA_TOT_NA_NA_QBTU.A</t>
        </is>
      </c>
      <c r="D29" t="inlineStr">
        <is>
          <t>quads</t>
        </is>
      </c>
      <c r="F29" t="n">
        <v>16.046282</v>
      </c>
      <c r="G29" t="n">
        <v>16.214157</v>
      </c>
      <c r="H29" t="n">
        <v>15.782431</v>
      </c>
      <c r="I29" t="n">
        <v>15.667049</v>
      </c>
      <c r="J29" t="n">
        <v>15.616587</v>
      </c>
      <c r="K29" t="n">
        <v>15.66959</v>
      </c>
      <c r="L29" t="n">
        <v>15.523399</v>
      </c>
      <c r="M29" t="n">
        <v>15.425488</v>
      </c>
      <c r="N29" t="n">
        <v>15.149508</v>
      </c>
      <c r="O29" t="n">
        <v>15.051496</v>
      </c>
      <c r="P29" t="n">
        <v>14.967597</v>
      </c>
      <c r="Q29" t="n">
        <v>14.887005</v>
      </c>
      <c r="R29" t="n">
        <v>14.84663</v>
      </c>
      <c r="S29" t="n">
        <v>14.776415</v>
      </c>
      <c r="T29" t="n">
        <v>14.797336</v>
      </c>
      <c r="U29" t="n">
        <v>14.707102</v>
      </c>
      <c r="V29" t="n">
        <v>14.802834</v>
      </c>
      <c r="W29" t="n">
        <v>14.961225</v>
      </c>
      <c r="X29" t="n">
        <v>15.119492</v>
      </c>
      <c r="Y29" t="n">
        <v>15.258682</v>
      </c>
      <c r="Z29" t="n">
        <v>15.411311</v>
      </c>
      <c r="AA29" t="n">
        <v>15.541428</v>
      </c>
      <c r="AB29" t="n">
        <v>15.672049</v>
      </c>
      <c r="AC29" t="n">
        <v>15.82241</v>
      </c>
      <c r="AD29" t="n">
        <v>15.992069</v>
      </c>
      <c r="AE29" t="n">
        <v>16.173935</v>
      </c>
      <c r="AF29" t="n">
        <v>16.323212</v>
      </c>
      <c r="AG29" s="31" t="n">
        <v>0.001</v>
      </c>
    </row>
    <row r="30">
      <c r="A30" t="inlineStr">
        <is>
          <t>Industrial</t>
        </is>
      </c>
    </row>
    <row r="31">
      <c r="A31" t="inlineStr">
        <is>
          <t>Hydrocarbon Gas Liquids</t>
        </is>
      </c>
      <c r="B31" t="inlineStr">
        <is>
          <t>Energy Use: Industrial: Hydrocarbon Gas Liquids: High Zero-Carbon Technology Cost</t>
        </is>
      </c>
      <c r="C31" t="inlineStr">
        <is>
          <t>AEO.2025.HIGHZTC.CNSM_ENU_IDAL_NA_LPG_NA_NA_QBTU.A</t>
        </is>
      </c>
      <c r="D31" t="inlineStr">
        <is>
          <t>quads</t>
        </is>
      </c>
      <c r="F31" t="n">
        <v>3.549334</v>
      </c>
      <c r="G31" t="n">
        <v>3.612091</v>
      </c>
      <c r="H31" t="n">
        <v>3.608268</v>
      </c>
      <c r="I31" t="n">
        <v>3.613257</v>
      </c>
      <c r="J31" t="n">
        <v>3.619893</v>
      </c>
      <c r="K31" t="n">
        <v>3.625968</v>
      </c>
      <c r="L31" t="n">
        <v>3.630452</v>
      </c>
      <c r="M31" t="n">
        <v>3.632591</v>
      </c>
      <c r="N31" t="n">
        <v>3.634803</v>
      </c>
      <c r="O31" t="n">
        <v>3.636342</v>
      </c>
      <c r="P31" t="n">
        <v>3.633108</v>
      </c>
      <c r="Q31" t="n">
        <v>3.629704</v>
      </c>
      <c r="R31" t="n">
        <v>3.62797</v>
      </c>
      <c r="S31" t="n">
        <v>3.623356</v>
      </c>
      <c r="T31" t="n">
        <v>3.653424</v>
      </c>
      <c r="U31" t="n">
        <v>3.722283</v>
      </c>
      <c r="V31" t="n">
        <v>3.797693</v>
      </c>
      <c r="W31" t="n">
        <v>3.858349</v>
      </c>
      <c r="X31" t="n">
        <v>3.921485</v>
      </c>
      <c r="Y31" t="n">
        <v>3.966205</v>
      </c>
      <c r="Z31" t="n">
        <v>3.93869</v>
      </c>
      <c r="AA31" t="n">
        <v>3.899894</v>
      </c>
      <c r="AB31" t="n">
        <v>3.9388</v>
      </c>
      <c r="AC31" t="n">
        <v>4.012206</v>
      </c>
      <c r="AD31" t="n">
        <v>4.06568</v>
      </c>
      <c r="AE31" t="n">
        <v>4.039013</v>
      </c>
      <c r="AF31" t="n">
        <v>4.011276</v>
      </c>
      <c r="AG31" s="31" t="n">
        <v>0.005</v>
      </c>
    </row>
    <row r="32">
      <c r="A32" t="inlineStr">
        <is>
          <t>Motor Gasoline</t>
        </is>
      </c>
      <c r="B32" t="inlineStr">
        <is>
          <t>Energy Use: Industrial: Motor Gasoline: High Zero-Carbon Technology Cost</t>
        </is>
      </c>
      <c r="C32" t="inlineStr">
        <is>
          <t>AEO.2025.HIGHZTC.CNSM_ENU_IDAL_NA_MGS_NA_NA_QBTU.A</t>
        </is>
      </c>
      <c r="D32" t="inlineStr">
        <is>
          <t>quads</t>
        </is>
      </c>
      <c r="F32" t="n">
        <v>0.281291</v>
      </c>
      <c r="G32" t="n">
        <v>0.285247</v>
      </c>
      <c r="H32" t="n">
        <v>0.288387</v>
      </c>
      <c r="I32" t="n">
        <v>0.292239</v>
      </c>
      <c r="J32" t="n">
        <v>0.297109</v>
      </c>
      <c r="K32" t="n">
        <v>0.302658</v>
      </c>
      <c r="L32" t="n">
        <v>0.307115</v>
      </c>
      <c r="M32" t="n">
        <v>0.310404</v>
      </c>
      <c r="N32" t="n">
        <v>0.313444</v>
      </c>
      <c r="O32" t="n">
        <v>0.31532</v>
      </c>
      <c r="P32" t="n">
        <v>0.316919</v>
      </c>
      <c r="Q32" t="n">
        <v>0.319351</v>
      </c>
      <c r="R32" t="n">
        <v>0.322235</v>
      </c>
      <c r="S32" t="n">
        <v>0.32399</v>
      </c>
      <c r="T32" t="n">
        <v>0.3259</v>
      </c>
      <c r="U32" t="n">
        <v>0.327691</v>
      </c>
      <c r="V32" t="n">
        <v>0.329586</v>
      </c>
      <c r="W32" t="n">
        <v>0.33104</v>
      </c>
      <c r="X32" t="n">
        <v>0.333046</v>
      </c>
      <c r="Y32" t="n">
        <v>0.334606</v>
      </c>
      <c r="Z32" t="n">
        <v>0.336343</v>
      </c>
      <c r="AA32" t="n">
        <v>0.339079</v>
      </c>
      <c r="AB32" t="n">
        <v>0.342198</v>
      </c>
      <c r="AC32" t="n">
        <v>0.345227</v>
      </c>
      <c r="AD32" t="n">
        <v>0.348264</v>
      </c>
      <c r="AE32" t="n">
        <v>0.351611</v>
      </c>
      <c r="AF32" t="n">
        <v>0.3547</v>
      </c>
      <c r="AG32" s="31" t="n">
        <v>0.008999999999999999</v>
      </c>
    </row>
    <row r="33">
      <c r="A33" t="inlineStr">
        <is>
          <t>Distillate Fuel Oil</t>
        </is>
      </c>
      <c r="B33" t="inlineStr">
        <is>
          <t>Energy Use: Industrial: Distillate Fuel Oil: High Zero-Carbon Technology Cost</t>
        </is>
      </c>
      <c r="C33" t="inlineStr">
        <is>
          <t>AEO.2025.HIGHZTC.CNSM_ENU_IDAL_NA_DFO_NA_NA_QBTU.A</t>
        </is>
      </c>
      <c r="D33" t="inlineStr">
        <is>
          <t>quads</t>
        </is>
      </c>
      <c r="F33" t="n">
        <v>1.140013</v>
      </c>
      <c r="G33" t="n">
        <v>1.15177</v>
      </c>
      <c r="H33" t="n">
        <v>1.163439</v>
      </c>
      <c r="I33" t="n">
        <v>1.177088</v>
      </c>
      <c r="J33" t="n">
        <v>1.195205</v>
      </c>
      <c r="K33" t="n">
        <v>1.216104</v>
      </c>
      <c r="L33" t="n">
        <v>1.23274</v>
      </c>
      <c r="M33" t="n">
        <v>1.246904</v>
      </c>
      <c r="N33" t="n">
        <v>1.260956</v>
      </c>
      <c r="O33" t="n">
        <v>1.269289</v>
      </c>
      <c r="P33" t="n">
        <v>1.277959</v>
      </c>
      <c r="Q33" t="n">
        <v>1.288505</v>
      </c>
      <c r="R33" t="n">
        <v>1.299513</v>
      </c>
      <c r="S33" t="n">
        <v>1.308196</v>
      </c>
      <c r="T33" t="n">
        <v>1.317186</v>
      </c>
      <c r="U33" t="n">
        <v>1.324638</v>
      </c>
      <c r="V33" t="n">
        <v>1.332429</v>
      </c>
      <c r="W33" t="n">
        <v>1.337751</v>
      </c>
      <c r="X33" t="n">
        <v>1.344097</v>
      </c>
      <c r="Y33" t="n">
        <v>1.349923</v>
      </c>
      <c r="Z33" t="n">
        <v>1.356099</v>
      </c>
      <c r="AA33" t="n">
        <v>1.364485</v>
      </c>
      <c r="AB33" t="n">
        <v>1.374968</v>
      </c>
      <c r="AC33" t="n">
        <v>1.385294</v>
      </c>
      <c r="AD33" t="n">
        <v>1.394428</v>
      </c>
      <c r="AE33" t="n">
        <v>1.405687</v>
      </c>
      <c r="AF33" t="n">
        <v>1.41575</v>
      </c>
      <c r="AG33" s="31" t="n">
        <v>0.008</v>
      </c>
    </row>
    <row r="34">
      <c r="A34" t="inlineStr">
        <is>
          <t>Residual Fuel Oil</t>
        </is>
      </c>
      <c r="B34" t="inlineStr">
        <is>
          <t>Energy Use: Industrial: Residual Fuel Oil: High Zero-Carbon Technology Cost</t>
        </is>
      </c>
      <c r="C34" t="inlineStr">
        <is>
          <t>AEO.2025.HIGHZTC.CNSM_ENU_IDAL_NA_RFO_NA_NA_QBTU.A</t>
        </is>
      </c>
      <c r="D34" t="inlineStr">
        <is>
          <t>quads</t>
        </is>
      </c>
      <c r="F34" t="n">
        <v>0.041174</v>
      </c>
      <c r="G34" t="n">
        <v>0.04198</v>
      </c>
      <c r="H34" t="n">
        <v>0.041255</v>
      </c>
      <c r="I34" t="n">
        <v>0.040061</v>
      </c>
      <c r="J34" t="n">
        <v>0.038841</v>
      </c>
      <c r="K34" t="n">
        <v>0.037551</v>
      </c>
      <c r="L34" t="n">
        <v>0.036369</v>
      </c>
      <c r="M34" t="n">
        <v>0.035532</v>
      </c>
      <c r="N34" t="n">
        <v>0.035132</v>
      </c>
      <c r="O34" t="n">
        <v>0.03466</v>
      </c>
      <c r="P34" t="n">
        <v>0.034279</v>
      </c>
      <c r="Q34" t="n">
        <v>0.033786</v>
      </c>
      <c r="R34" t="n">
        <v>0.033265</v>
      </c>
      <c r="S34" t="n">
        <v>0.032701</v>
      </c>
      <c r="T34" t="n">
        <v>0.032198</v>
      </c>
      <c r="U34" t="n">
        <v>0.031759</v>
      </c>
      <c r="V34" t="n">
        <v>0.031438</v>
      </c>
      <c r="W34" t="n">
        <v>0.031172</v>
      </c>
      <c r="X34" t="n">
        <v>0.030896</v>
      </c>
      <c r="Y34" t="n">
        <v>0.030629</v>
      </c>
      <c r="Z34" t="n">
        <v>0.03044</v>
      </c>
      <c r="AA34" t="n">
        <v>0.03024</v>
      </c>
      <c r="AB34" t="n">
        <v>0.029949</v>
      </c>
      <c r="AC34" t="n">
        <v>0.029728</v>
      </c>
      <c r="AD34" t="n">
        <v>0.029473</v>
      </c>
      <c r="AE34" t="n">
        <v>0.029252</v>
      </c>
      <c r="AF34" t="n">
        <v>0.028857</v>
      </c>
      <c r="AG34" s="31" t="n">
        <v>-0.014</v>
      </c>
    </row>
    <row r="35">
      <c r="A35" t="inlineStr">
        <is>
          <t>Petrochemical Feedstocks</t>
        </is>
      </c>
      <c r="B35" t="inlineStr">
        <is>
          <t>Energy Use: Industrial: Petrochemical Feedstocks: High Zero-Carbon Technology Cost</t>
        </is>
      </c>
      <c r="C35" t="inlineStr">
        <is>
          <t>AEO.2025.HIGHZTC.CNSM_ENU_IDAL_NA_PCF_NA_NA_QBTU.A</t>
        </is>
      </c>
      <c r="D35" t="inlineStr">
        <is>
          <t>quads</t>
        </is>
      </c>
      <c r="F35" t="n">
        <v>0.390525</v>
      </c>
      <c r="G35" t="n">
        <v>0.355</v>
      </c>
      <c r="H35" t="n">
        <v>0.55</v>
      </c>
      <c r="I35" t="n">
        <v>0.55</v>
      </c>
      <c r="J35" t="n">
        <v>0.55</v>
      </c>
      <c r="K35" t="n">
        <v>0.55</v>
      </c>
      <c r="L35" t="n">
        <v>0.55</v>
      </c>
      <c r="M35" t="n">
        <v>0.55</v>
      </c>
      <c r="N35" t="n">
        <v>0.55</v>
      </c>
      <c r="O35" t="n">
        <v>0.55</v>
      </c>
      <c r="P35" t="n">
        <v>0.55</v>
      </c>
      <c r="Q35" t="n">
        <v>0.55</v>
      </c>
      <c r="R35" t="n">
        <v>0.55</v>
      </c>
      <c r="S35" t="n">
        <v>0.55</v>
      </c>
      <c r="T35" t="n">
        <v>0.55</v>
      </c>
      <c r="U35" t="n">
        <v>0.55</v>
      </c>
      <c r="V35" t="n">
        <v>0.55</v>
      </c>
      <c r="W35" t="n">
        <v>0.55</v>
      </c>
      <c r="X35" t="n">
        <v>0.55</v>
      </c>
      <c r="Y35" t="n">
        <v>0.55</v>
      </c>
      <c r="Z35" t="n">
        <v>0.69558</v>
      </c>
      <c r="AA35" t="n">
        <v>0.84116</v>
      </c>
      <c r="AB35" t="n">
        <v>0.84116</v>
      </c>
      <c r="AC35" t="n">
        <v>0.84116</v>
      </c>
      <c r="AD35" t="n">
        <v>0.84116</v>
      </c>
      <c r="AE35" t="n">
        <v>0.964095</v>
      </c>
      <c r="AF35" t="n">
        <v>1.087029</v>
      </c>
      <c r="AG35" s="31" t="n">
        <v>0.04</v>
      </c>
    </row>
    <row r="36">
      <c r="A36" t="inlineStr">
        <is>
          <t>Other Petroleum</t>
        </is>
      </c>
      <c r="B36" t="inlineStr">
        <is>
          <t>Energy Use: Industrial: Other Petroleum: High Zero-Carbon Technology Cost</t>
        </is>
      </c>
      <c r="C36" t="inlineStr">
        <is>
          <t>AEO.2025.HIGHZTC.CNSM_ENU_IDAL_NA_ONP_NA_NA_QBTU.A</t>
        </is>
      </c>
      <c r="D36" t="inlineStr">
        <is>
          <t>quads</t>
        </is>
      </c>
      <c r="F36" t="n">
        <v>3.074002</v>
      </c>
      <c r="G36" t="n">
        <v>3.114025</v>
      </c>
      <c r="H36" t="n">
        <v>3.07424</v>
      </c>
      <c r="I36" t="n">
        <v>3.102287</v>
      </c>
      <c r="J36" t="n">
        <v>3.148089</v>
      </c>
      <c r="K36" t="n">
        <v>3.139748</v>
      </c>
      <c r="L36" t="n">
        <v>3.174176</v>
      </c>
      <c r="M36" t="n">
        <v>3.191782</v>
      </c>
      <c r="N36" t="n">
        <v>3.191282</v>
      </c>
      <c r="O36" t="n">
        <v>3.177934</v>
      </c>
      <c r="P36" t="n">
        <v>3.190891</v>
      </c>
      <c r="Q36" t="n">
        <v>3.189156</v>
      </c>
      <c r="R36" t="n">
        <v>3.203246</v>
      </c>
      <c r="S36" t="n">
        <v>3.207888</v>
      </c>
      <c r="T36" t="n">
        <v>3.208309</v>
      </c>
      <c r="U36" t="n">
        <v>3.218726</v>
      </c>
      <c r="V36" t="n">
        <v>3.236173</v>
      </c>
      <c r="W36" t="n">
        <v>3.244213</v>
      </c>
      <c r="X36" t="n">
        <v>3.23302</v>
      </c>
      <c r="Y36" t="n">
        <v>3.249378</v>
      </c>
      <c r="Z36" t="n">
        <v>3.249571</v>
      </c>
      <c r="AA36" t="n">
        <v>3.248773</v>
      </c>
      <c r="AB36" t="n">
        <v>3.261228</v>
      </c>
      <c r="AC36" t="n">
        <v>3.279748</v>
      </c>
      <c r="AD36" t="n">
        <v>3.279907</v>
      </c>
      <c r="AE36" t="n">
        <v>3.276667</v>
      </c>
      <c r="AF36" t="n">
        <v>3.263268</v>
      </c>
      <c r="AG36" s="31" t="n">
        <v>0.002</v>
      </c>
    </row>
    <row r="37" customFormat="1" s="32">
      <c r="A37" s="32" t="inlineStr">
        <is>
          <t>Petroleum and Other Liquids Subtotal</t>
        </is>
      </c>
      <c r="B37" s="32" t="inlineStr">
        <is>
          <t>Energy Use: Industrial: Liquid Fuels Subtotal: High Zero-Carbon Technology Cost</t>
        </is>
      </c>
      <c r="C37" s="32" t="inlineStr">
        <is>
          <t>AEO.2025.HIGHZTC.CNSM_ENU_IDAL_NA_LFL_NA_NA_QBTU.A</t>
        </is>
      </c>
      <c r="D37" s="32" t="inlineStr">
        <is>
          <t>quads</t>
        </is>
      </c>
      <c r="F37" s="32" t="n">
        <v>8.476338999999999</v>
      </c>
      <c r="G37" s="32" t="n">
        <v>8.560112999999999</v>
      </c>
      <c r="H37" s="32" t="n">
        <v>8.72559</v>
      </c>
      <c r="I37" s="32" t="n">
        <v>8.774933000000001</v>
      </c>
      <c r="J37" s="32" t="n">
        <v>8.849136</v>
      </c>
      <c r="K37" s="32" t="n">
        <v>8.872028999999999</v>
      </c>
      <c r="L37" s="32" t="n">
        <v>8.930853000000001</v>
      </c>
      <c r="M37" s="32" t="n">
        <v>8.967214</v>
      </c>
      <c r="N37" s="32" t="n">
        <v>8.985618000000001</v>
      </c>
      <c r="O37" s="32" t="n">
        <v>8.983544</v>
      </c>
      <c r="P37" s="32" t="n">
        <v>9.003156000000001</v>
      </c>
      <c r="Q37" s="32" t="n">
        <v>9.010503</v>
      </c>
      <c r="R37" s="32" t="n">
        <v>9.036229000000001</v>
      </c>
      <c r="S37" s="32" t="n">
        <v>9.046131000000001</v>
      </c>
      <c r="T37" s="32" t="n">
        <v>9.087018</v>
      </c>
      <c r="U37" s="32" t="n">
        <v>9.175098</v>
      </c>
      <c r="V37" s="32" t="n">
        <v>9.277319</v>
      </c>
      <c r="W37" s="32" t="n">
        <v>9.352525</v>
      </c>
      <c r="X37" s="32" t="n">
        <v>9.412545</v>
      </c>
      <c r="Y37" s="32" t="n">
        <v>9.480741999999999</v>
      </c>
      <c r="Z37" s="32" t="n">
        <v>9.606723000000001</v>
      </c>
      <c r="AA37" s="32" t="n">
        <v>9.723632</v>
      </c>
      <c r="AB37" s="32" t="n">
        <v>9.788304</v>
      </c>
      <c r="AC37" s="32" t="n">
        <v>9.893364999999999</v>
      </c>
      <c r="AD37" s="32" t="n">
        <v>9.958912</v>
      </c>
      <c r="AE37" s="32" t="n">
        <v>10.066326</v>
      </c>
      <c r="AF37" s="32" t="n">
        <v>10.16088</v>
      </c>
      <c r="AG37" s="33" t="n">
        <v>0.007</v>
      </c>
    </row>
    <row r="38">
      <c r="A38" t="inlineStr">
        <is>
          <t>Natural Gas</t>
        </is>
      </c>
      <c r="B38" t="inlineStr">
        <is>
          <t>Energy Use: Industrial: Natural Gas: High Zero-Carbon Technology Cost</t>
        </is>
      </c>
      <c r="C38" t="inlineStr">
        <is>
          <t>AEO.2025.HIGHZTC.CNSM_ENU_IDAL_NA_NG_NA_NA_QBTU.A</t>
        </is>
      </c>
      <c r="D38" t="inlineStr">
        <is>
          <t>quads</t>
        </is>
      </c>
      <c r="F38" t="n">
        <v>7.80328</v>
      </c>
      <c r="G38" t="n">
        <v>7.915454</v>
      </c>
      <c r="H38" t="n">
        <v>7.686133</v>
      </c>
      <c r="I38" t="n">
        <v>7.688715</v>
      </c>
      <c r="J38" t="n">
        <v>7.692211</v>
      </c>
      <c r="K38" t="n">
        <v>7.711431</v>
      </c>
      <c r="L38" t="n">
        <v>7.726192</v>
      </c>
      <c r="M38" t="n">
        <v>7.761615</v>
      </c>
      <c r="N38" t="n">
        <v>7.771588</v>
      </c>
      <c r="O38" t="n">
        <v>7.73987</v>
      </c>
      <c r="P38" t="n">
        <v>7.705995</v>
      </c>
      <c r="Q38" t="n">
        <v>7.678161</v>
      </c>
      <c r="R38" t="n">
        <v>7.665715</v>
      </c>
      <c r="S38" t="n">
        <v>7.666882</v>
      </c>
      <c r="T38" t="n">
        <v>7.698881</v>
      </c>
      <c r="U38" t="n">
        <v>7.741982</v>
      </c>
      <c r="V38" t="n">
        <v>7.785161</v>
      </c>
      <c r="W38" t="n">
        <v>7.798125</v>
      </c>
      <c r="X38" t="n">
        <v>7.81503</v>
      </c>
      <c r="Y38" t="n">
        <v>7.852369</v>
      </c>
      <c r="Z38" t="n">
        <v>7.872563</v>
      </c>
      <c r="AA38" t="n">
        <v>7.894576</v>
      </c>
      <c r="AB38" t="n">
        <v>7.920349</v>
      </c>
      <c r="AC38" t="n">
        <v>7.972322</v>
      </c>
      <c r="AD38" t="n">
        <v>8.010198000000001</v>
      </c>
      <c r="AE38" t="n">
        <v>8.04101</v>
      </c>
      <c r="AF38" t="n">
        <v>8.062402000000001</v>
      </c>
      <c r="AG38" s="31" t="n">
        <v>0.001</v>
      </c>
    </row>
    <row r="39">
      <c r="A39" t="inlineStr">
        <is>
          <t>Lease and Plant Fuel</t>
        </is>
      </c>
      <c r="B39" t="inlineStr">
        <is>
          <t>Energy Use: Industrial: Lease and Plant Fuel: High Zero-Carbon Technology Cost</t>
        </is>
      </c>
      <c r="C39" t="inlineStr">
        <is>
          <t>AEO.2025.HIGHZTC.CNSM_ENU_IDAL_NA_LSAPFL_NA_NA_QBTU.A</t>
        </is>
      </c>
      <c r="D39" t="inlineStr">
        <is>
          <t>quads</t>
        </is>
      </c>
      <c r="F39" t="n">
        <v>2.045295</v>
      </c>
      <c r="G39" t="n">
        <v>2.052198</v>
      </c>
      <c r="H39" t="n">
        <v>2.151558</v>
      </c>
      <c r="I39" t="n">
        <v>2.160423</v>
      </c>
      <c r="J39" t="n">
        <v>2.206005</v>
      </c>
      <c r="K39" t="n">
        <v>2.226782</v>
      </c>
      <c r="L39" t="n">
        <v>2.238047</v>
      </c>
      <c r="M39" t="n">
        <v>2.23259</v>
      </c>
      <c r="N39" t="n">
        <v>2.285561</v>
      </c>
      <c r="O39" t="n">
        <v>2.298938</v>
      </c>
      <c r="P39" t="n">
        <v>2.313583</v>
      </c>
      <c r="Q39" t="n">
        <v>2.305008</v>
      </c>
      <c r="R39" t="n">
        <v>2.296317</v>
      </c>
      <c r="S39" t="n">
        <v>2.271652</v>
      </c>
      <c r="T39" t="n">
        <v>2.265647</v>
      </c>
      <c r="U39" t="n">
        <v>2.24652</v>
      </c>
      <c r="V39" t="n">
        <v>2.25015</v>
      </c>
      <c r="W39" t="n">
        <v>2.26053</v>
      </c>
      <c r="X39" t="n">
        <v>2.271182</v>
      </c>
      <c r="Y39" t="n">
        <v>2.275658</v>
      </c>
      <c r="Z39" t="n">
        <v>2.278661</v>
      </c>
      <c r="AA39" t="n">
        <v>2.28227</v>
      </c>
      <c r="AB39" t="n">
        <v>2.29152</v>
      </c>
      <c r="AC39" t="n">
        <v>2.301058</v>
      </c>
      <c r="AD39" t="n">
        <v>2.305694</v>
      </c>
      <c r="AE39" t="n">
        <v>2.311272</v>
      </c>
      <c r="AF39" t="n">
        <v>2.318181</v>
      </c>
      <c r="AG39" s="31" t="n">
        <v>0.005</v>
      </c>
    </row>
    <row r="40">
      <c r="A40" t="inlineStr">
        <is>
          <t>Natural Gas Subtotal</t>
        </is>
      </c>
      <c r="B40" t="inlineStr">
        <is>
          <t>Energy Use: Industrial: Natural Gas Subtotal: High Zero-Carbon Technology Cost</t>
        </is>
      </c>
      <c r="C40" t="inlineStr">
        <is>
          <t>AEO.2025.HIGHZTC.CNSM_ENU_IDAL_NA_NGS_NA_NA_QBTU.A</t>
        </is>
      </c>
      <c r="D40" t="inlineStr">
        <is>
          <t>quads</t>
        </is>
      </c>
      <c r="F40" t="n">
        <v>9.848575</v>
      </c>
      <c r="G40" t="n">
        <v>9.967653</v>
      </c>
      <c r="H40" t="n">
        <v>9.837691</v>
      </c>
      <c r="I40" t="n">
        <v>9.849138</v>
      </c>
      <c r="J40" t="n">
        <v>9.898215</v>
      </c>
      <c r="K40" t="n">
        <v>9.938212</v>
      </c>
      <c r="L40" t="n">
        <v>9.964238999999999</v>
      </c>
      <c r="M40" t="n">
        <v>9.994204999999999</v>
      </c>
      <c r="N40" t="n">
        <v>10.057149</v>
      </c>
      <c r="O40" t="n">
        <v>10.038807</v>
      </c>
      <c r="P40" t="n">
        <v>10.019579</v>
      </c>
      <c r="Q40" t="n">
        <v>9.983169</v>
      </c>
      <c r="R40" t="n">
        <v>9.962032000000001</v>
      </c>
      <c r="S40" t="n">
        <v>9.938534000000001</v>
      </c>
      <c r="T40" t="n">
        <v>9.964528</v>
      </c>
      <c r="U40" t="n">
        <v>9.988503</v>
      </c>
      <c r="V40" t="n">
        <v>10.035312</v>
      </c>
      <c r="W40" t="n">
        <v>10.058655</v>
      </c>
      <c r="X40" t="n">
        <v>10.086212</v>
      </c>
      <c r="Y40" t="n">
        <v>10.128028</v>
      </c>
      <c r="Z40" t="n">
        <v>10.151224</v>
      </c>
      <c r="AA40" t="n">
        <v>10.176846</v>
      </c>
      <c r="AB40" t="n">
        <v>10.211869</v>
      </c>
      <c r="AC40" t="n">
        <v>10.273379</v>
      </c>
      <c r="AD40" t="n">
        <v>10.315892</v>
      </c>
      <c r="AE40" t="n">
        <v>10.352282</v>
      </c>
      <c r="AF40" t="n">
        <v>10.380583</v>
      </c>
      <c r="AG40" s="31" t="n">
        <v>0.002</v>
      </c>
    </row>
    <row r="41">
      <c r="A41" t="inlineStr">
        <is>
          <t>Metallurgical Coal</t>
        </is>
      </c>
      <c r="B41" t="inlineStr">
        <is>
          <t>Energy Use: Industrial: Metallurgical Coal: High Zero-Carbon Technology Cost</t>
        </is>
      </c>
      <c r="C41" t="inlineStr">
        <is>
          <t>AEO.2025.HIGHZTC.CNSM_ENU_IDAL_NA_MTC_NA_NA_QBTU.A</t>
        </is>
      </c>
      <c r="D41" t="inlineStr">
        <is>
          <t>quads</t>
        </is>
      </c>
      <c r="F41" t="n">
        <v>0.439918</v>
      </c>
      <c r="G41" t="n">
        <v>0.435673</v>
      </c>
      <c r="H41" t="n">
        <v>0.438461</v>
      </c>
      <c r="I41" t="n">
        <v>0.428289</v>
      </c>
      <c r="J41" t="n">
        <v>0.411773</v>
      </c>
      <c r="K41" t="n">
        <v>0.397336</v>
      </c>
      <c r="L41" t="n">
        <v>0.389217</v>
      </c>
      <c r="M41" t="n">
        <v>0.383361</v>
      </c>
      <c r="N41" t="n">
        <v>0.377719</v>
      </c>
      <c r="O41" t="n">
        <v>0.365618</v>
      </c>
      <c r="P41" t="n">
        <v>0.35786</v>
      </c>
      <c r="Q41" t="n">
        <v>0.349664</v>
      </c>
      <c r="R41" t="n">
        <v>0.341143</v>
      </c>
      <c r="S41" t="n">
        <v>0.336128</v>
      </c>
      <c r="T41" t="n">
        <v>0.329678</v>
      </c>
      <c r="U41" t="n">
        <v>0.322872</v>
      </c>
      <c r="V41" t="n">
        <v>0.318494</v>
      </c>
      <c r="W41" t="n">
        <v>0.312377</v>
      </c>
      <c r="X41" t="n">
        <v>0.305367</v>
      </c>
      <c r="Y41" t="n">
        <v>0.30015</v>
      </c>
      <c r="Z41" t="n">
        <v>0.294061</v>
      </c>
      <c r="AA41" t="n">
        <v>0.286897</v>
      </c>
      <c r="AB41" t="n">
        <v>0.279237</v>
      </c>
      <c r="AC41" t="n">
        <v>0.272919</v>
      </c>
      <c r="AD41" t="n">
        <v>0.265611</v>
      </c>
      <c r="AE41" t="n">
        <v>0.257843</v>
      </c>
      <c r="AF41" t="n">
        <v>0.249977</v>
      </c>
      <c r="AG41" s="31" t="n">
        <v>-0.022</v>
      </c>
    </row>
    <row r="42">
      <c r="A42" t="inlineStr">
        <is>
          <t>Other Industrial Coal</t>
        </is>
      </c>
      <c r="B42" t="inlineStr">
        <is>
          <t>Energy Use: Industrial: Other Industrial Coal: High Zero-Carbon Technology Cost</t>
        </is>
      </c>
      <c r="C42" t="inlineStr">
        <is>
          <t>AEO.2025.HIGHZTC.CNSM_ENU_IDAL_NA_OIC_NA_NA_QBTU.A</t>
        </is>
      </c>
      <c r="D42" t="inlineStr">
        <is>
          <t>quads</t>
        </is>
      </c>
      <c r="F42" t="n">
        <v>0.346719</v>
      </c>
      <c r="G42" t="n">
        <v>0.359046</v>
      </c>
      <c r="H42" t="n">
        <v>0.366194</v>
      </c>
      <c r="I42" t="n">
        <v>0.371799</v>
      </c>
      <c r="J42" t="n">
        <v>0.377274</v>
      </c>
      <c r="K42" t="n">
        <v>0.379576</v>
      </c>
      <c r="L42" t="n">
        <v>0.382468</v>
      </c>
      <c r="M42" t="n">
        <v>0.38463</v>
      </c>
      <c r="N42" t="n">
        <v>0.388406</v>
      </c>
      <c r="O42" t="n">
        <v>0.388644</v>
      </c>
      <c r="P42" t="n">
        <v>0.387373</v>
      </c>
      <c r="Q42" t="n">
        <v>0.38355</v>
      </c>
      <c r="R42" t="n">
        <v>0.377761</v>
      </c>
      <c r="S42" t="n">
        <v>0.371891</v>
      </c>
      <c r="T42" t="n">
        <v>0.366035</v>
      </c>
      <c r="U42" t="n">
        <v>0.360937</v>
      </c>
      <c r="V42" t="n">
        <v>0.356924</v>
      </c>
      <c r="W42" t="n">
        <v>0.353338</v>
      </c>
      <c r="X42" t="n">
        <v>0.349361</v>
      </c>
      <c r="Y42" t="n">
        <v>0.345152</v>
      </c>
      <c r="Z42" t="n">
        <v>0.340854</v>
      </c>
      <c r="AA42" t="n">
        <v>0.336664</v>
      </c>
      <c r="AB42" t="n">
        <v>0.33276</v>
      </c>
      <c r="AC42" t="n">
        <v>0.328976</v>
      </c>
      <c r="AD42" t="n">
        <v>0.325349</v>
      </c>
      <c r="AE42" t="n">
        <v>0.322</v>
      </c>
      <c r="AF42" t="n">
        <v>0.317922</v>
      </c>
      <c r="AG42" s="31" t="n">
        <v>-0.003</v>
      </c>
    </row>
    <row r="43">
      <c r="A43" t="inlineStr">
        <is>
          <t>Net Coal Coke Imports</t>
        </is>
      </c>
      <c r="B43" t="inlineStr">
        <is>
          <t>Energy Use: Industrial: Net Coal Coke Imports: High Zero-Carbon Technology Cost</t>
        </is>
      </c>
      <c r="C43" t="inlineStr">
        <is>
          <t>AEO.2025.HIGHZTC.CNSM_ENU_IDAL_NA_NCC_NA_NA_QBTU.A</t>
        </is>
      </c>
      <c r="D43" t="inlineStr">
        <is>
          <t>quads</t>
        </is>
      </c>
      <c r="F43" t="n">
        <v>-0.038964</v>
      </c>
      <c r="G43" t="n">
        <v>-0.023891</v>
      </c>
      <c r="H43" t="n">
        <v>-0.023021</v>
      </c>
      <c r="I43" t="n">
        <v>-0.023145</v>
      </c>
      <c r="J43" t="n">
        <v>-0.022817</v>
      </c>
      <c r="K43" t="n">
        <v>-0.02209</v>
      </c>
      <c r="L43" t="n">
        <v>-0.021711</v>
      </c>
      <c r="M43" t="n">
        <v>-0.021406</v>
      </c>
      <c r="N43" t="n">
        <v>-0.021105</v>
      </c>
      <c r="O43" t="n">
        <v>-0.020562</v>
      </c>
      <c r="P43" t="n">
        <v>-0.020175</v>
      </c>
      <c r="Q43" t="n">
        <v>-0.019771</v>
      </c>
      <c r="R43" t="n">
        <v>-0.019343</v>
      </c>
      <c r="S43" t="n">
        <v>-0.018997</v>
      </c>
      <c r="T43" t="n">
        <v>-0.018635</v>
      </c>
      <c r="U43" t="n">
        <v>-0.018258</v>
      </c>
      <c r="V43" t="n">
        <v>-0.01773</v>
      </c>
      <c r="W43" t="n">
        <v>-0.017425</v>
      </c>
      <c r="X43" t="n">
        <v>-0.017122</v>
      </c>
      <c r="Y43" t="n">
        <v>-0.016646</v>
      </c>
      <c r="Z43" t="n">
        <v>-0.016328</v>
      </c>
      <c r="AA43" t="n">
        <v>-0.016051</v>
      </c>
      <c r="AB43" t="n">
        <v>-0.015833</v>
      </c>
      <c r="AC43" t="n">
        <v>-0.015453</v>
      </c>
      <c r="AD43" t="n">
        <v>-0.015294</v>
      </c>
      <c r="AE43" t="n">
        <v>-0.015107</v>
      </c>
      <c r="AF43" t="n">
        <v>-0.014683</v>
      </c>
      <c r="AG43" s="31" t="n">
        <v>-0.037</v>
      </c>
    </row>
    <row r="44">
      <c r="A44" t="inlineStr">
        <is>
          <t>Coal Subtotal</t>
        </is>
      </c>
      <c r="B44" t="inlineStr">
        <is>
          <t>Energy Use: Industrial: Coal Subtotal: High Zero-Carbon Technology Cost</t>
        </is>
      </c>
      <c r="C44" t="inlineStr">
        <is>
          <t>AEO.2025.HIGHZTC.CNSM_ENU_IDAL_NA_COS_NA_NA_QBTU.A</t>
        </is>
      </c>
      <c r="D44" t="inlineStr">
        <is>
          <t>quads</t>
        </is>
      </c>
      <c r="F44" t="n">
        <v>0.747673</v>
      </c>
      <c r="G44" t="n">
        <v>0.770829</v>
      </c>
      <c r="H44" t="n">
        <v>0.7816340000000001</v>
      </c>
      <c r="I44" t="n">
        <v>0.7769430000000001</v>
      </c>
      <c r="J44" t="n">
        <v>0.766231</v>
      </c>
      <c r="K44" t="n">
        <v>0.754822</v>
      </c>
      <c r="L44" t="n">
        <v>0.749973</v>
      </c>
      <c r="M44" t="n">
        <v>0.7465850000000001</v>
      </c>
      <c r="N44" t="n">
        <v>0.745019</v>
      </c>
      <c r="O44" t="n">
        <v>0.7337</v>
      </c>
      <c r="P44" t="n">
        <v>0.725058</v>
      </c>
      <c r="Q44" t="n">
        <v>0.713443</v>
      </c>
      <c r="R44" t="n">
        <v>0.699561</v>
      </c>
      <c r="S44" t="n">
        <v>0.689022</v>
      </c>
      <c r="T44" t="n">
        <v>0.677078</v>
      </c>
      <c r="U44" t="n">
        <v>0.665552</v>
      </c>
      <c r="V44" t="n">
        <v>0.657687</v>
      </c>
      <c r="W44" t="n">
        <v>0.64829</v>
      </c>
      <c r="X44" t="n">
        <v>0.637607</v>
      </c>
      <c r="Y44" t="n">
        <v>0.628656</v>
      </c>
      <c r="Z44" t="n">
        <v>0.618587</v>
      </c>
      <c r="AA44" t="n">
        <v>0.607511</v>
      </c>
      <c r="AB44" t="n">
        <v>0.596164</v>
      </c>
      <c r="AC44" t="n">
        <v>0.586442</v>
      </c>
      <c r="AD44" t="n">
        <v>0.575666</v>
      </c>
      <c r="AE44" t="n">
        <v>0.564736</v>
      </c>
      <c r="AF44" t="n">
        <v>0.553217</v>
      </c>
      <c r="AG44" s="31" t="n">
        <v>-0.012</v>
      </c>
    </row>
    <row r="45">
      <c r="A45" t="inlineStr">
        <is>
          <t>Biofuels Heat and Coproducts</t>
        </is>
      </c>
      <c r="B45" t="inlineStr">
        <is>
          <t>Energy Use: Industrial: Biofuels Heat and Coproducts: High Zero-Carbon Technology Cost</t>
        </is>
      </c>
      <c r="C45" t="inlineStr">
        <is>
          <t>AEO.2025.HIGHZTC.CNSM_ENU_IDAL_NA_BFH_NA_NA_QBTU.A</t>
        </is>
      </c>
      <c r="D45" t="inlineStr">
        <is>
          <t>quads</t>
        </is>
      </c>
      <c r="F45" t="n">
        <v>0.894331</v>
      </c>
      <c r="G45" t="n">
        <v>0.916567</v>
      </c>
      <c r="H45" t="n">
        <v>0.914157</v>
      </c>
      <c r="I45" t="n">
        <v>0.914463</v>
      </c>
      <c r="J45" t="n">
        <v>0.913182</v>
      </c>
      <c r="K45" t="n">
        <v>0.908272</v>
      </c>
      <c r="L45" t="n">
        <v>0.903837</v>
      </c>
      <c r="M45" t="n">
        <v>0.892968</v>
      </c>
      <c r="N45" t="n">
        <v>0.8836889999999999</v>
      </c>
      <c r="O45" t="n">
        <v>0.868351</v>
      </c>
      <c r="P45" t="n">
        <v>0.853619</v>
      </c>
      <c r="Q45" t="n">
        <v>0.83833</v>
      </c>
      <c r="R45" t="n">
        <v>0.828071</v>
      </c>
      <c r="S45" t="n">
        <v>0.811011</v>
      </c>
      <c r="T45" t="n">
        <v>0.79575</v>
      </c>
      <c r="U45" t="n">
        <v>0.784349</v>
      </c>
      <c r="V45" t="n">
        <v>0.782166</v>
      </c>
      <c r="W45" t="n">
        <v>0.771797</v>
      </c>
      <c r="X45" t="n">
        <v>0.761696</v>
      </c>
      <c r="Y45" t="n">
        <v>0.755206</v>
      </c>
      <c r="Z45" t="n">
        <v>0.753325</v>
      </c>
      <c r="AA45" t="n">
        <v>0.75422</v>
      </c>
      <c r="AB45" t="n">
        <v>0.751773</v>
      </c>
      <c r="AC45" t="n">
        <v>0.751815</v>
      </c>
      <c r="AD45" t="n">
        <v>0.75012</v>
      </c>
      <c r="AE45" t="n">
        <v>0.752011</v>
      </c>
      <c r="AF45" t="n">
        <v>0.755675</v>
      </c>
      <c r="AG45" s="31" t="n">
        <v>-0.006</v>
      </c>
    </row>
    <row r="46">
      <c r="A46" t="inlineStr">
        <is>
          <t>Renewable Energy</t>
        </is>
      </c>
      <c r="B46" t="inlineStr">
        <is>
          <t>Energy Use: Industrial: Renewable Energy: High Zero-Carbon Technology Cost</t>
        </is>
      </c>
      <c r="C46" t="inlineStr">
        <is>
          <t>AEO.2025.HIGHZTC.CNSM_ENU_IDAL_NA_REN_NA_NA_QBTU.A</t>
        </is>
      </c>
      <c r="D46" t="inlineStr">
        <is>
          <t>quads</t>
        </is>
      </c>
      <c r="F46" t="n">
        <v>1.404115</v>
      </c>
      <c r="G46" t="n">
        <v>1.424394</v>
      </c>
      <c r="H46" t="n">
        <v>1.446948</v>
      </c>
      <c r="I46" t="n">
        <v>1.44554</v>
      </c>
      <c r="J46" t="n">
        <v>1.452387</v>
      </c>
      <c r="K46" t="n">
        <v>1.474432</v>
      </c>
      <c r="L46" t="n">
        <v>1.495094</v>
      </c>
      <c r="M46" t="n">
        <v>1.518669</v>
      </c>
      <c r="N46" t="n">
        <v>1.536608</v>
      </c>
      <c r="O46" t="n">
        <v>1.543585</v>
      </c>
      <c r="P46" t="n">
        <v>1.562817</v>
      </c>
      <c r="Q46" t="n">
        <v>1.582662</v>
      </c>
      <c r="R46" t="n">
        <v>1.614209</v>
      </c>
      <c r="S46" t="n">
        <v>1.637877</v>
      </c>
      <c r="T46" t="n">
        <v>1.654558</v>
      </c>
      <c r="U46" t="n">
        <v>1.676311</v>
      </c>
      <c r="V46" t="n">
        <v>1.692145</v>
      </c>
      <c r="W46" t="n">
        <v>1.690858</v>
      </c>
      <c r="X46" t="n">
        <v>1.695535</v>
      </c>
      <c r="Y46" t="n">
        <v>1.691259</v>
      </c>
      <c r="Z46" t="n">
        <v>1.696829</v>
      </c>
      <c r="AA46" t="n">
        <v>1.70993</v>
      </c>
      <c r="AB46" t="n">
        <v>1.727659</v>
      </c>
      <c r="AC46" t="n">
        <v>1.750516</v>
      </c>
      <c r="AD46" t="n">
        <v>1.771954</v>
      </c>
      <c r="AE46" t="n">
        <v>1.794454</v>
      </c>
      <c r="AF46" t="n">
        <v>1.813854</v>
      </c>
      <c r="AG46" s="31" t="n">
        <v>0.01</v>
      </c>
    </row>
    <row r="47">
      <c r="A47" t="inlineStr">
        <is>
          <t>Hydrogen</t>
        </is>
      </c>
      <c r="B47" t="inlineStr">
        <is>
          <t>Energy Use: Industrial: Hydrogen: High Zero-Carbon Technology Cost</t>
        </is>
      </c>
      <c r="C47" t="inlineStr">
        <is>
          <t>AEO.2025.HIGHZTC.CNSM_ENU_IDAL_NA_HDG_NA_NA_QBTU.A</t>
        </is>
      </c>
      <c r="D47" t="inlineStr">
        <is>
          <t>quads</t>
        </is>
      </c>
      <c r="F47" t="n">
        <v>1.044613</v>
      </c>
      <c r="G47" t="n">
        <v>1.058959</v>
      </c>
      <c r="H47" t="n">
        <v>1.078447</v>
      </c>
      <c r="I47" t="n">
        <v>1.083585</v>
      </c>
      <c r="J47" t="n">
        <v>1.084128</v>
      </c>
      <c r="K47" t="n">
        <v>1.084455</v>
      </c>
      <c r="L47" t="n">
        <v>1.094904</v>
      </c>
      <c r="M47" t="n">
        <v>1.102462</v>
      </c>
      <c r="N47" t="n">
        <v>1.110392</v>
      </c>
      <c r="O47" t="n">
        <v>1.115382</v>
      </c>
      <c r="P47" t="n">
        <v>1.12495</v>
      </c>
      <c r="Q47" t="n">
        <v>1.132385</v>
      </c>
      <c r="R47" t="n">
        <v>1.139811</v>
      </c>
      <c r="S47" t="n">
        <v>1.147634</v>
      </c>
      <c r="T47" t="n">
        <v>1.154951</v>
      </c>
      <c r="U47" t="n">
        <v>1.16219</v>
      </c>
      <c r="V47" t="n">
        <v>1.16916</v>
      </c>
      <c r="W47" t="n">
        <v>1.175234</v>
      </c>
      <c r="X47" t="n">
        <v>1.181396</v>
      </c>
      <c r="Y47" t="n">
        <v>1.187384</v>
      </c>
      <c r="Z47" t="n">
        <v>1.194237</v>
      </c>
      <c r="AA47" t="n">
        <v>1.199272</v>
      </c>
      <c r="AB47" t="n">
        <v>1.204467</v>
      </c>
      <c r="AC47" t="n">
        <v>1.210037</v>
      </c>
      <c r="AD47" t="n">
        <v>1.214814</v>
      </c>
      <c r="AE47" t="n">
        <v>1.218903</v>
      </c>
      <c r="AF47" t="n">
        <v>1.222868</v>
      </c>
      <c r="AG47" s="31" t="n">
        <v>0.006</v>
      </c>
    </row>
    <row r="48">
      <c r="A48" t="inlineStr">
        <is>
          <t>Purchased Electricity for Industrial Use</t>
        </is>
      </c>
      <c r="B48" t="inlineStr">
        <is>
          <t>Energy Use: Industrial: Electricity: High Zero-Carbon Technology Cost</t>
        </is>
      </c>
      <c r="C48" t="inlineStr">
        <is>
          <t>AEO.2025.HIGHZTC.CNSM_ENU_IDAL_NA_ELC_NA_NA_QBTU.A</t>
        </is>
      </c>
      <c r="D48" t="inlineStr">
        <is>
          <t>quads</t>
        </is>
      </c>
      <c r="F48" t="n">
        <v>3.498546</v>
      </c>
      <c r="G48" t="n">
        <v>3.545369</v>
      </c>
      <c r="H48" t="n">
        <v>3.581859</v>
      </c>
      <c r="I48" t="n">
        <v>3.605855</v>
      </c>
      <c r="J48" t="n">
        <v>3.624472</v>
      </c>
      <c r="K48" t="n">
        <v>3.653465</v>
      </c>
      <c r="L48" t="n">
        <v>3.70237</v>
      </c>
      <c r="M48" t="n">
        <v>3.760042</v>
      </c>
      <c r="N48" t="n">
        <v>3.843564</v>
      </c>
      <c r="O48" t="n">
        <v>3.928631</v>
      </c>
      <c r="P48" t="n">
        <v>4.041822</v>
      </c>
      <c r="Q48" t="n">
        <v>4.153343</v>
      </c>
      <c r="R48" t="n">
        <v>4.251055</v>
      </c>
      <c r="S48" t="n">
        <v>4.331045</v>
      </c>
      <c r="T48" t="n">
        <v>4.393444</v>
      </c>
      <c r="U48" t="n">
        <v>4.453726</v>
      </c>
      <c r="V48" t="n">
        <v>4.524152</v>
      </c>
      <c r="W48" t="n">
        <v>4.58661</v>
      </c>
      <c r="X48" t="n">
        <v>4.643548</v>
      </c>
      <c r="Y48" t="n">
        <v>4.694727</v>
      </c>
      <c r="Z48" t="n">
        <v>4.739877</v>
      </c>
      <c r="AA48" t="n">
        <v>4.785201</v>
      </c>
      <c r="AB48" t="n">
        <v>4.832699</v>
      </c>
      <c r="AC48" t="n">
        <v>4.886508</v>
      </c>
      <c r="AD48" t="n">
        <v>4.929653</v>
      </c>
      <c r="AE48" t="n">
        <v>4.976098</v>
      </c>
      <c r="AF48" t="n">
        <v>5.017397</v>
      </c>
      <c r="AG48" s="31" t="n">
        <v>0.014</v>
      </c>
    </row>
    <row r="49">
      <c r="A49" t="inlineStr">
        <is>
          <t>Delivered Energy</t>
        </is>
      </c>
      <c r="B49" t="inlineStr">
        <is>
          <t>Energy Use: Industrial: Delivered Energy: High Zero-Carbon Technology Cost</t>
        </is>
      </c>
      <c r="C49" t="inlineStr">
        <is>
          <t>AEO.2025.HIGHZTC.CNSM_ENU_IDAL_NA_DELE_NA_NA_QBTU.A</t>
        </is>
      </c>
      <c r="D49" t="inlineStr">
        <is>
          <t>quads</t>
        </is>
      </c>
      <c r="F49" t="n">
        <v>25.914191</v>
      </c>
      <c r="G49" t="n">
        <v>26.243888</v>
      </c>
      <c r="H49" t="n">
        <v>26.366331</v>
      </c>
      <c r="I49" t="n">
        <v>26.450457</v>
      </c>
      <c r="J49" t="n">
        <v>26.587754</v>
      </c>
      <c r="K49" t="n">
        <v>26.685688</v>
      </c>
      <c r="L49" t="n">
        <v>26.841271</v>
      </c>
      <c r="M49" t="n">
        <v>26.982144</v>
      </c>
      <c r="N49" t="n">
        <v>27.162038</v>
      </c>
      <c r="O49" t="n">
        <v>27.212</v>
      </c>
      <c r="P49" t="n">
        <v>27.331002</v>
      </c>
      <c r="Q49" t="n">
        <v>27.413836</v>
      </c>
      <c r="R49" t="n">
        <v>27.530968</v>
      </c>
      <c r="S49" t="n">
        <v>27.601255</v>
      </c>
      <c r="T49" t="n">
        <v>27.727328</v>
      </c>
      <c r="U49" t="n">
        <v>27.905729</v>
      </c>
      <c r="V49" t="n">
        <v>28.137942</v>
      </c>
      <c r="W49" t="n">
        <v>28.283966</v>
      </c>
      <c r="X49" t="n">
        <v>28.418541</v>
      </c>
      <c r="Y49" t="n">
        <v>28.566001</v>
      </c>
      <c r="Z49" t="n">
        <v>28.760802</v>
      </c>
      <c r="AA49" t="n">
        <v>28.956613</v>
      </c>
      <c r="AB49" t="n">
        <v>29.112935</v>
      </c>
      <c r="AC49" t="n">
        <v>29.352064</v>
      </c>
      <c r="AD49" t="n">
        <v>29.51701</v>
      </c>
      <c r="AE49" t="n">
        <v>29.724809</v>
      </c>
      <c r="AF49" t="n">
        <v>29.904473</v>
      </c>
      <c r="AG49" s="31" t="n">
        <v>0.006</v>
      </c>
    </row>
    <row r="50">
      <c r="A50" t="inlineStr">
        <is>
          <t>Electricity-Related Losses</t>
        </is>
      </c>
      <c r="B50" t="inlineStr">
        <is>
          <t>Energy Use: Industrial: Electricity Related Losses: High Zero-Carbon Technology Cost</t>
        </is>
      </c>
      <c r="C50" t="inlineStr">
        <is>
          <t>AEO.2025.HIGHZTC.CNSM_ENU_IDAL_NA_ERL_NA_NA_QBTU.A</t>
        </is>
      </c>
      <c r="D50" t="inlineStr">
        <is>
          <t>quads</t>
        </is>
      </c>
      <c r="F50" t="n">
        <v>4.972634</v>
      </c>
      <c r="G50" t="n">
        <v>4.88626</v>
      </c>
      <c r="H50" t="n">
        <v>4.642624</v>
      </c>
      <c r="I50" t="n">
        <v>4.495185</v>
      </c>
      <c r="J50" t="n">
        <v>4.418169</v>
      </c>
      <c r="K50" t="n">
        <v>4.375261</v>
      </c>
      <c r="L50" t="n">
        <v>4.255652</v>
      </c>
      <c r="M50" t="n">
        <v>4.183742</v>
      </c>
      <c r="N50" t="n">
        <v>4.000007</v>
      </c>
      <c r="O50" t="n">
        <v>3.955487</v>
      </c>
      <c r="P50" t="n">
        <v>3.922301</v>
      </c>
      <c r="Q50" t="n">
        <v>3.853588</v>
      </c>
      <c r="R50" t="n">
        <v>3.77635</v>
      </c>
      <c r="S50" t="n">
        <v>3.646423</v>
      </c>
      <c r="T50" t="n">
        <v>3.581972</v>
      </c>
      <c r="U50" t="n">
        <v>3.413755</v>
      </c>
      <c r="V50" t="n">
        <v>3.405388</v>
      </c>
      <c r="W50" t="n">
        <v>3.444637</v>
      </c>
      <c r="X50" t="n">
        <v>3.480061</v>
      </c>
      <c r="Y50" t="n">
        <v>3.493977</v>
      </c>
      <c r="Z50" t="n">
        <v>3.509079</v>
      </c>
      <c r="AA50" t="n">
        <v>3.503256</v>
      </c>
      <c r="AB50" t="n">
        <v>3.49814</v>
      </c>
      <c r="AC50" t="n">
        <v>3.50947</v>
      </c>
      <c r="AD50" t="n">
        <v>3.522662</v>
      </c>
      <c r="AE50" t="n">
        <v>3.544966</v>
      </c>
      <c r="AF50" t="n">
        <v>3.5362</v>
      </c>
      <c r="AG50" s="31" t="n">
        <v>-0.013</v>
      </c>
    </row>
    <row r="51">
      <c r="A51" t="inlineStr">
        <is>
          <t>Hydrogen-Related Losses</t>
        </is>
      </c>
      <c r="B51" t="inlineStr">
        <is>
          <t>Energy Use: Industrial: Hydrogen Related Losses: High Zero-Carbon Technology Cost</t>
        </is>
      </c>
      <c r="C51" t="inlineStr">
        <is>
          <t>AEO.2025.HIGHZTC.CNSM_ENU_IDAL_NA_H2RELLOS_NA_NA_QBTU.A</t>
        </is>
      </c>
      <c r="D51" t="inlineStr">
        <is>
          <t>quads</t>
        </is>
      </c>
      <c r="F51" t="n">
        <v>0.301305</v>
      </c>
      <c r="G51" t="n">
        <v>0.304803</v>
      </c>
      <c r="H51" t="n">
        <v>0.314676</v>
      </c>
      <c r="I51" t="n">
        <v>0.318345</v>
      </c>
      <c r="J51" t="n">
        <v>0.316876</v>
      </c>
      <c r="K51" t="n">
        <v>0.317754</v>
      </c>
      <c r="L51" t="n">
        <v>0.320949</v>
      </c>
      <c r="M51" t="n">
        <v>0.326095</v>
      </c>
      <c r="N51" t="n">
        <v>0.331423</v>
      </c>
      <c r="O51" t="n">
        <v>0.341312</v>
      </c>
      <c r="P51" t="n">
        <v>0.349414</v>
      </c>
      <c r="Q51" t="n">
        <v>0.357523</v>
      </c>
      <c r="R51" t="n">
        <v>0.362273</v>
      </c>
      <c r="S51" t="n">
        <v>0.362874</v>
      </c>
      <c r="T51" t="n">
        <v>0.3641</v>
      </c>
      <c r="U51" t="n">
        <v>0.365905</v>
      </c>
      <c r="V51" t="n">
        <v>0.368017</v>
      </c>
      <c r="W51" t="n">
        <v>0.370656</v>
      </c>
      <c r="X51" t="n">
        <v>0.372178</v>
      </c>
      <c r="Y51" t="n">
        <v>0.374279</v>
      </c>
      <c r="Z51" t="n">
        <v>0.376717</v>
      </c>
      <c r="AA51" t="n">
        <v>0.378293</v>
      </c>
      <c r="AB51" t="n">
        <v>0.378928</v>
      </c>
      <c r="AC51" t="n">
        <v>0.378519</v>
      </c>
      <c r="AD51" t="n">
        <v>0.380123</v>
      </c>
      <c r="AE51" t="n">
        <v>0.377409</v>
      </c>
      <c r="AF51" t="n">
        <v>0.379246</v>
      </c>
      <c r="AG51" s="31" t="n">
        <v>0.008999999999999999</v>
      </c>
    </row>
    <row r="52">
      <c r="A52" t="inlineStr">
        <is>
          <t>Total</t>
        </is>
      </c>
      <c r="B52" t="inlineStr">
        <is>
          <t>Energy Use: Industrial: Total: High Zero-Carbon Technology Cost</t>
        </is>
      </c>
      <c r="C52" t="inlineStr">
        <is>
          <t>AEO.2025.HIGHZTC.CNSM_ENU_IDAL_NA_TOT_NA_NA_QBTU.A</t>
        </is>
      </c>
      <c r="D52" t="inlineStr">
        <is>
          <t>quads</t>
        </is>
      </c>
      <c r="F52" t="n">
        <v>31.18813</v>
      </c>
      <c r="G52" t="n">
        <v>31.434951</v>
      </c>
      <c r="H52" t="n">
        <v>31.323631</v>
      </c>
      <c r="I52" t="n">
        <v>31.263987</v>
      </c>
      <c r="J52" t="n">
        <v>31.322799</v>
      </c>
      <c r="K52" t="n">
        <v>31.378703</v>
      </c>
      <c r="L52" t="n">
        <v>31.417871</v>
      </c>
      <c r="M52" t="n">
        <v>31.491981</v>
      </c>
      <c r="N52" t="n">
        <v>31.493468</v>
      </c>
      <c r="O52" t="n">
        <v>31.508798</v>
      </c>
      <c r="P52" t="n">
        <v>31.602716</v>
      </c>
      <c r="Q52" t="n">
        <v>31.624946</v>
      </c>
      <c r="R52" t="n">
        <v>31.669591</v>
      </c>
      <c r="S52" t="n">
        <v>31.610552</v>
      </c>
      <c r="T52" t="n">
        <v>31.6734</v>
      </c>
      <c r="U52" t="n">
        <v>31.68539</v>
      </c>
      <c r="V52" t="n">
        <v>31.911348</v>
      </c>
      <c r="W52" t="n">
        <v>32.099259</v>
      </c>
      <c r="X52" t="n">
        <v>32.27078</v>
      </c>
      <c r="Y52" t="n">
        <v>32.434256</v>
      </c>
      <c r="Z52" t="n">
        <v>32.646597</v>
      </c>
      <c r="AA52" t="n">
        <v>32.838162</v>
      </c>
      <c r="AB52" t="n">
        <v>32.990003</v>
      </c>
      <c r="AC52" t="n">
        <v>33.240052</v>
      </c>
      <c r="AD52" t="n">
        <v>33.419795</v>
      </c>
      <c r="AE52" t="n">
        <v>33.647184</v>
      </c>
      <c r="AF52" t="n">
        <v>33.819919</v>
      </c>
      <c r="AG52" s="31" t="n">
        <v>0.003</v>
      </c>
    </row>
    <row r="53">
      <c r="A53" t="inlineStr">
        <is>
          <t>Transportation</t>
        </is>
      </c>
    </row>
    <row r="54">
      <c r="A54" t="inlineStr">
        <is>
          <t>Propane</t>
        </is>
      </c>
      <c r="B54" t="inlineStr">
        <is>
          <t>Energy Use: Transportation: Propane: High Zero-Carbon Technology Cost</t>
        </is>
      </c>
      <c r="C54" t="inlineStr">
        <is>
          <t>AEO.2025.HIGHZTC.CNSM_ENU_TRN_NA_PROP_NA_NA_QBTU.A</t>
        </is>
      </c>
      <c r="D54" t="inlineStr">
        <is>
          <t>quads</t>
        </is>
      </c>
      <c r="F54" t="n">
        <v>0.011195</v>
      </c>
      <c r="G54" t="n">
        <v>0.011326</v>
      </c>
      <c r="H54" t="n">
        <v>0.011342</v>
      </c>
      <c r="I54" t="n">
        <v>0.011297</v>
      </c>
      <c r="J54" t="n">
        <v>0.011205</v>
      </c>
      <c r="K54" t="n">
        <v>0.011043</v>
      </c>
      <c r="L54" t="n">
        <v>0.010857</v>
      </c>
      <c r="M54" t="n">
        <v>0.010561</v>
      </c>
      <c r="N54" t="n">
        <v>0.010184</v>
      </c>
      <c r="O54" t="n">
        <v>0.009804999999999999</v>
      </c>
      <c r="P54" t="n">
        <v>0.009443999999999999</v>
      </c>
      <c r="Q54" t="n">
        <v>0.009081000000000001</v>
      </c>
      <c r="R54" t="n">
        <v>0.008732</v>
      </c>
      <c r="S54" t="n">
        <v>0.008407</v>
      </c>
      <c r="T54" t="n">
        <v>0.008075000000000001</v>
      </c>
      <c r="U54" t="n">
        <v>0.007765</v>
      </c>
      <c r="V54" t="n">
        <v>0.007471</v>
      </c>
      <c r="W54" t="n">
        <v>0.007193</v>
      </c>
      <c r="X54" t="n">
        <v>0.006933</v>
      </c>
      <c r="Y54" t="n">
        <v>0.006679</v>
      </c>
      <c r="Z54" t="n">
        <v>0.006451</v>
      </c>
      <c r="AA54" t="n">
        <v>0.006268</v>
      </c>
      <c r="AB54" t="n">
        <v>0.006127</v>
      </c>
      <c r="AC54" t="n">
        <v>0.006008</v>
      </c>
      <c r="AD54" t="n">
        <v>0.005888</v>
      </c>
      <c r="AE54" t="n">
        <v>0.005772</v>
      </c>
      <c r="AF54" t="n">
        <v>0.005668</v>
      </c>
      <c r="AG54" s="31" t="n">
        <v>-0.026</v>
      </c>
    </row>
    <row r="55">
      <c r="A55" t="inlineStr">
        <is>
          <t>Motor Gasoline</t>
        </is>
      </c>
      <c r="B55" t="inlineStr">
        <is>
          <t>Energy Use: Transportation: Motor Gasoline: High Zero-Carbon Technology Cost</t>
        </is>
      </c>
      <c r="C55" t="inlineStr">
        <is>
          <t>AEO.2025.HIGHZTC.CNSM_ENU_TRN_NA_MGS_NA_NA_QBTU.A</t>
        </is>
      </c>
      <c r="D55" t="inlineStr">
        <is>
          <t>quads</t>
        </is>
      </c>
      <c r="F55" t="n">
        <v>16.210775</v>
      </c>
      <c r="G55" t="n">
        <v>16.221838</v>
      </c>
      <c r="H55" t="n">
        <v>16.069057</v>
      </c>
      <c r="I55" t="n">
        <v>15.822627</v>
      </c>
      <c r="J55" t="n">
        <v>15.572903</v>
      </c>
      <c r="K55" t="n">
        <v>15.260414</v>
      </c>
      <c r="L55" t="n">
        <v>14.868507</v>
      </c>
      <c r="M55" t="n">
        <v>14.476609</v>
      </c>
      <c r="N55" t="n">
        <v>14.007551</v>
      </c>
      <c r="O55" t="n">
        <v>13.530052</v>
      </c>
      <c r="P55" t="n">
        <v>13.070603</v>
      </c>
      <c r="Q55" t="n">
        <v>12.609262</v>
      </c>
      <c r="R55" t="n">
        <v>12.128078</v>
      </c>
      <c r="S55" t="n">
        <v>11.655457</v>
      </c>
      <c r="T55" t="n">
        <v>11.219964</v>
      </c>
      <c r="U55" t="n">
        <v>10.806561</v>
      </c>
      <c r="V55" t="n">
        <v>10.438981</v>
      </c>
      <c r="W55" t="n">
        <v>10.102791</v>
      </c>
      <c r="X55" t="n">
        <v>9.771682999999999</v>
      </c>
      <c r="Y55" t="n">
        <v>9.506667</v>
      </c>
      <c r="Z55" t="n">
        <v>9.242884</v>
      </c>
      <c r="AA55" t="n">
        <v>9.030723</v>
      </c>
      <c r="AB55" t="n">
        <v>8.832698000000001</v>
      </c>
      <c r="AC55" t="n">
        <v>8.677147</v>
      </c>
      <c r="AD55" t="n">
        <v>8.489945000000001</v>
      </c>
      <c r="AE55" t="n">
        <v>8.365769999999999</v>
      </c>
      <c r="AF55" t="n">
        <v>8.268996</v>
      </c>
      <c r="AG55" s="31" t="n">
        <v>-0.026</v>
      </c>
    </row>
    <row r="56">
      <c r="A56" t="inlineStr">
        <is>
          <t>of which: E85</t>
        </is>
      </c>
      <c r="B56" t="inlineStr">
        <is>
          <t>Energy Use: Transportation: E85: High Zero-Carbon Technology Cost</t>
        </is>
      </c>
      <c r="C56" t="inlineStr">
        <is>
          <t>AEO.2025.HIGHZTC.CNSM_ENU_TRN_NA_E85_NA_NA_QBTU.A</t>
        </is>
      </c>
      <c r="D56" t="inlineStr">
        <is>
          <t>quads</t>
        </is>
      </c>
      <c r="F56" t="n">
        <v>0.003743</v>
      </c>
      <c r="G56" t="n">
        <v>0.003468</v>
      </c>
      <c r="H56" t="n">
        <v>0.003093</v>
      </c>
      <c r="I56" t="n">
        <v>0.002897</v>
      </c>
      <c r="J56" t="n">
        <v>0.002811</v>
      </c>
      <c r="K56" t="n">
        <v>0.002914</v>
      </c>
      <c r="L56" t="n">
        <v>0.002762</v>
      </c>
      <c r="M56" t="n">
        <v>0.002552</v>
      </c>
      <c r="N56" t="n">
        <v>0.002375</v>
      </c>
      <c r="O56" t="n">
        <v>0.002227</v>
      </c>
      <c r="P56" t="n">
        <v>0.002109</v>
      </c>
      <c r="Q56" t="n">
        <v>0.001984</v>
      </c>
      <c r="R56" t="n">
        <v>0.001859</v>
      </c>
      <c r="S56" t="n">
        <v>0.001764</v>
      </c>
      <c r="T56" t="n">
        <v>0.001666</v>
      </c>
      <c r="U56" t="n">
        <v>0.001591</v>
      </c>
      <c r="V56" t="n">
        <v>0.001555</v>
      </c>
      <c r="W56" t="n">
        <v>0.001522</v>
      </c>
      <c r="X56" t="n">
        <v>0.001495</v>
      </c>
      <c r="Y56" t="n">
        <v>0.00148</v>
      </c>
      <c r="Z56" t="n">
        <v>0.001502</v>
      </c>
      <c r="AA56" t="n">
        <v>0.001463</v>
      </c>
      <c r="AB56" t="n">
        <v>0.001459</v>
      </c>
      <c r="AC56" t="n">
        <v>0.001492</v>
      </c>
      <c r="AD56" t="n">
        <v>0.001488</v>
      </c>
      <c r="AE56" t="n">
        <v>0.001488</v>
      </c>
      <c r="AF56" t="n">
        <v>0.00148</v>
      </c>
      <c r="AG56" s="31" t="n">
        <v>-0.035</v>
      </c>
    </row>
    <row r="57">
      <c r="A57" t="inlineStr">
        <is>
          <t>Jet Fuel</t>
        </is>
      </c>
      <c r="B57" t="inlineStr">
        <is>
          <t>Energy Use: Transportation: Jet Fuel: High Zero-Carbon Technology Cost</t>
        </is>
      </c>
      <c r="C57" t="inlineStr">
        <is>
          <t>AEO.2025.HIGHZTC.CNSM_ENU_TRN_NA_JFL_NA_NA_QBTU.A</t>
        </is>
      </c>
      <c r="D57" t="inlineStr">
        <is>
          <t>quads</t>
        </is>
      </c>
      <c r="F57" t="n">
        <v>3.58187</v>
      </c>
      <c r="G57" t="n">
        <v>3.579366</v>
      </c>
      <c r="H57" t="n">
        <v>3.586501</v>
      </c>
      <c r="I57" t="n">
        <v>3.600646</v>
      </c>
      <c r="J57" t="n">
        <v>3.628514</v>
      </c>
      <c r="K57" t="n">
        <v>3.662887</v>
      </c>
      <c r="L57" t="n">
        <v>3.692876</v>
      </c>
      <c r="M57" t="n">
        <v>3.713435</v>
      </c>
      <c r="N57" t="n">
        <v>3.737798</v>
      </c>
      <c r="O57" t="n">
        <v>3.761729</v>
      </c>
      <c r="P57" t="n">
        <v>3.78585</v>
      </c>
      <c r="Q57" t="n">
        <v>3.81914</v>
      </c>
      <c r="R57" t="n">
        <v>3.851299</v>
      </c>
      <c r="S57" t="n">
        <v>3.887622</v>
      </c>
      <c r="T57" t="n">
        <v>3.926214</v>
      </c>
      <c r="U57" t="n">
        <v>3.966387</v>
      </c>
      <c r="V57" t="n">
        <v>4.009383</v>
      </c>
      <c r="W57" t="n">
        <v>4.048131</v>
      </c>
      <c r="X57" t="n">
        <v>4.089222</v>
      </c>
      <c r="Y57" t="n">
        <v>4.127379</v>
      </c>
      <c r="Z57" t="n">
        <v>4.165935</v>
      </c>
      <c r="AA57" t="n">
        <v>4.203361</v>
      </c>
      <c r="AB57" t="n">
        <v>4.241859</v>
      </c>
      <c r="AC57" t="n">
        <v>4.280355</v>
      </c>
      <c r="AD57" t="n">
        <v>4.318392</v>
      </c>
      <c r="AE57" t="n">
        <v>4.357455</v>
      </c>
      <c r="AF57" t="n">
        <v>4.396165</v>
      </c>
      <c r="AG57" s="31" t="n">
        <v>0.008</v>
      </c>
    </row>
    <row r="58">
      <c r="A58" t="inlineStr">
        <is>
          <t>Distillate Fuel Oil</t>
        </is>
      </c>
      <c r="B58" t="inlineStr">
        <is>
          <t>Energy Use: Transportation: Distillate Fuel Oil: High Zero-Carbon Technology Cost</t>
        </is>
      </c>
      <c r="C58" t="inlineStr">
        <is>
          <t>AEO.2025.HIGHZTC.CNSM_ENU_TRN_NA_DFO_NA_NA_QBTU.A</t>
        </is>
      </c>
      <c r="D58" t="inlineStr">
        <is>
          <t>quads</t>
        </is>
      </c>
      <c r="F58" t="n">
        <v>6.99791</v>
      </c>
      <c r="G58" t="n">
        <v>7.058537</v>
      </c>
      <c r="H58" t="n">
        <v>6.995649</v>
      </c>
      <c r="I58" t="n">
        <v>6.88976</v>
      </c>
      <c r="J58" t="n">
        <v>6.818944</v>
      </c>
      <c r="K58" t="n">
        <v>6.736662</v>
      </c>
      <c r="L58" t="n">
        <v>6.624677</v>
      </c>
      <c r="M58" t="n">
        <v>6.487075</v>
      </c>
      <c r="N58" t="n">
        <v>6.279246</v>
      </c>
      <c r="O58" t="n">
        <v>6.086525</v>
      </c>
      <c r="P58" t="n">
        <v>5.918643</v>
      </c>
      <c r="Q58" t="n">
        <v>5.760507</v>
      </c>
      <c r="R58" t="n">
        <v>5.620604</v>
      </c>
      <c r="S58" t="n">
        <v>5.494559</v>
      </c>
      <c r="T58" t="n">
        <v>5.380577</v>
      </c>
      <c r="U58" t="n">
        <v>5.268323</v>
      </c>
      <c r="V58" t="n">
        <v>5.179173</v>
      </c>
      <c r="W58" t="n">
        <v>5.090663</v>
      </c>
      <c r="X58" t="n">
        <v>5.017412</v>
      </c>
      <c r="Y58" t="n">
        <v>4.950412</v>
      </c>
      <c r="Z58" t="n">
        <v>4.892042</v>
      </c>
      <c r="AA58" t="n">
        <v>4.846307</v>
      </c>
      <c r="AB58" t="n">
        <v>4.813289</v>
      </c>
      <c r="AC58" t="n">
        <v>4.788403</v>
      </c>
      <c r="AD58" t="n">
        <v>4.763983</v>
      </c>
      <c r="AE58" t="n">
        <v>4.74893</v>
      </c>
      <c r="AF58" t="n">
        <v>4.732318</v>
      </c>
      <c r="AG58" s="31" t="n">
        <v>-0.015</v>
      </c>
    </row>
    <row r="59">
      <c r="A59" t="inlineStr">
        <is>
          <t>Residual Fuel Oil</t>
        </is>
      </c>
      <c r="B59" t="inlineStr">
        <is>
          <t>Energy Use: Transportation: Residual Fuel Oil: High Zero-Carbon Technology Cost</t>
        </is>
      </c>
      <c r="C59" t="inlineStr">
        <is>
          <t>AEO.2025.HIGHZTC.CNSM_ENU_TRN_NA_RFO_NA_NA_QBTU.A</t>
        </is>
      </c>
      <c r="D59" t="inlineStr">
        <is>
          <t>quads</t>
        </is>
      </c>
      <c r="F59" t="n">
        <v>0.551691</v>
      </c>
      <c r="G59" t="n">
        <v>0.515297</v>
      </c>
      <c r="H59" t="n">
        <v>0.511951</v>
      </c>
      <c r="I59" t="n">
        <v>0.520945</v>
      </c>
      <c r="J59" t="n">
        <v>0.527158</v>
      </c>
      <c r="K59" t="n">
        <v>0.535401</v>
      </c>
      <c r="L59" t="n">
        <v>0.5437070000000001</v>
      </c>
      <c r="M59" t="n">
        <v>0.550164</v>
      </c>
      <c r="N59" t="n">
        <v>0.555139</v>
      </c>
      <c r="O59" t="n">
        <v>0.5591970000000001</v>
      </c>
      <c r="P59" t="n">
        <v>0.565728</v>
      </c>
      <c r="Q59" t="n">
        <v>0.571437</v>
      </c>
      <c r="R59" t="n">
        <v>0.575996</v>
      </c>
      <c r="S59" t="n">
        <v>0.582075</v>
      </c>
      <c r="T59" t="n">
        <v>0.586215</v>
      </c>
      <c r="U59" t="n">
        <v>0.591766</v>
      </c>
      <c r="V59" t="n">
        <v>0.596724</v>
      </c>
      <c r="W59" t="n">
        <v>0.600921</v>
      </c>
      <c r="X59" t="n">
        <v>0.605367</v>
      </c>
      <c r="Y59" t="n">
        <v>0.609503</v>
      </c>
      <c r="Z59" t="n">
        <v>0.6170369999999999</v>
      </c>
      <c r="AA59" t="n">
        <v>0.620632</v>
      </c>
      <c r="AB59" t="n">
        <v>0.623818</v>
      </c>
      <c r="AC59" t="n">
        <v>0.628822</v>
      </c>
      <c r="AD59" t="n">
        <v>0.63301</v>
      </c>
      <c r="AE59" t="n">
        <v>0.636594</v>
      </c>
      <c r="AF59" t="n">
        <v>0.638595</v>
      </c>
      <c r="AG59" s="31" t="n">
        <v>0.006</v>
      </c>
    </row>
    <row r="60">
      <c r="A60" t="inlineStr">
        <is>
          <t>Other Petroleum</t>
        </is>
      </c>
      <c r="B60" t="inlineStr">
        <is>
          <t>Energy Use: Transportation: Other Petroleum: High Zero-Carbon Technology Cost</t>
        </is>
      </c>
      <c r="C60" t="inlineStr">
        <is>
          <t>AEO.2025.HIGHZTC.CNSM_ENU_TRN_NA_ONP_NA_NA_QBTU.A</t>
        </is>
      </c>
      <c r="D60" t="inlineStr">
        <is>
          <t>quads</t>
        </is>
      </c>
      <c r="F60" t="n">
        <v>0.156663</v>
      </c>
      <c r="G60" t="n">
        <v>0.157053</v>
      </c>
      <c r="H60" t="n">
        <v>0.157726</v>
      </c>
      <c r="I60" t="n">
        <v>0.158201</v>
      </c>
      <c r="J60" t="n">
        <v>0.158427</v>
      </c>
      <c r="K60" t="n">
        <v>0.158552</v>
      </c>
      <c r="L60" t="n">
        <v>0.158616</v>
      </c>
      <c r="M60" t="n">
        <v>0.158537</v>
      </c>
      <c r="N60" t="n">
        <v>0.158417</v>
      </c>
      <c r="O60" t="n">
        <v>0.158373</v>
      </c>
      <c r="P60" t="n">
        <v>0.158394</v>
      </c>
      <c r="Q60" t="n">
        <v>0.158401</v>
      </c>
      <c r="R60" t="n">
        <v>0.158391</v>
      </c>
      <c r="S60" t="n">
        <v>0.158389</v>
      </c>
      <c r="T60" t="n">
        <v>0.158414</v>
      </c>
      <c r="U60" t="n">
        <v>0.15848</v>
      </c>
      <c r="V60" t="n">
        <v>0.158544</v>
      </c>
      <c r="W60" t="n">
        <v>0.158546</v>
      </c>
      <c r="X60" t="n">
        <v>0.158538</v>
      </c>
      <c r="Y60" t="n">
        <v>0.158515</v>
      </c>
      <c r="Z60" t="n">
        <v>0.15848</v>
      </c>
      <c r="AA60" t="n">
        <v>0.158447</v>
      </c>
      <c r="AB60" t="n">
        <v>0.158414</v>
      </c>
      <c r="AC60" t="n">
        <v>0.15835</v>
      </c>
      <c r="AD60" t="n">
        <v>0.158273</v>
      </c>
      <c r="AE60" t="n">
        <v>0.158182</v>
      </c>
      <c r="AF60" t="n">
        <v>0.158066</v>
      </c>
      <c r="AG60" s="31" t="n">
        <v>0</v>
      </c>
    </row>
    <row r="61">
      <c r="A61" t="inlineStr">
        <is>
          <t>Petroleum and Other Liquids Subtotal</t>
        </is>
      </c>
      <c r="B61" t="inlineStr">
        <is>
          <t>Energy Use: Transportation: Liquid Fuels Subtotal: High Zero-Carbon Technology Cost</t>
        </is>
      </c>
      <c r="C61" t="inlineStr">
        <is>
          <t>AEO.2025.HIGHZTC.CNSM_ENU_TRN_NA_LFL_NA_NA_QBTU.A</t>
        </is>
      </c>
      <c r="D61" t="inlineStr">
        <is>
          <t>quads</t>
        </is>
      </c>
      <c r="F61" t="n">
        <v>27.510107</v>
      </c>
      <c r="G61" t="n">
        <v>27.543419</v>
      </c>
      <c r="H61" t="n">
        <v>27.332226</v>
      </c>
      <c r="I61" t="n">
        <v>27.003475</v>
      </c>
      <c r="J61" t="n">
        <v>26.71715</v>
      </c>
      <c r="K61" t="n">
        <v>26.364956</v>
      </c>
      <c r="L61" t="n">
        <v>25.899239</v>
      </c>
      <c r="M61" t="n">
        <v>25.396381</v>
      </c>
      <c r="N61" t="n">
        <v>24.748335</v>
      </c>
      <c r="O61" t="n">
        <v>24.10568</v>
      </c>
      <c r="P61" t="n">
        <v>23.508663</v>
      </c>
      <c r="Q61" t="n">
        <v>22.927826</v>
      </c>
      <c r="R61" t="n">
        <v>22.343102</v>
      </c>
      <c r="S61" t="n">
        <v>21.786507</v>
      </c>
      <c r="T61" t="n">
        <v>21.279457</v>
      </c>
      <c r="U61" t="n">
        <v>20.799284</v>
      </c>
      <c r="V61" t="n">
        <v>20.390274</v>
      </c>
      <c r="W61" t="n">
        <v>20.008244</v>
      </c>
      <c r="X61" t="n">
        <v>19.649155</v>
      </c>
      <c r="Y61" t="n">
        <v>19.359158</v>
      </c>
      <c r="Z61" t="n">
        <v>19.082829</v>
      </c>
      <c r="AA61" t="n">
        <v>18.865738</v>
      </c>
      <c r="AB61" t="n">
        <v>18.676207</v>
      </c>
      <c r="AC61" t="n">
        <v>18.539085</v>
      </c>
      <c r="AD61" t="n">
        <v>18.36949</v>
      </c>
      <c r="AE61" t="n">
        <v>18.272703</v>
      </c>
      <c r="AF61" t="n">
        <v>18.199812</v>
      </c>
      <c r="AG61" s="31" t="n">
        <v>-0.016</v>
      </c>
    </row>
    <row r="62">
      <c r="A62" t="inlineStr">
        <is>
          <t>Pipeline and Distribution Fuel Natural Gas</t>
        </is>
      </c>
      <c r="B62" t="inlineStr">
        <is>
          <t>Energy Use: Transportation: Pipeline Fuel Natural Gas: High Zero-Carbon Technology Cost</t>
        </is>
      </c>
      <c r="C62" t="inlineStr">
        <is>
          <t>AEO.2025.HIGHZTC.CNSM_ENU_TRN_NA_PFN_NA_NA_QBTU.A</t>
        </is>
      </c>
      <c r="D62" t="inlineStr">
        <is>
          <t>quads</t>
        </is>
      </c>
      <c r="F62" t="n">
        <v>0.924188</v>
      </c>
      <c r="G62" t="n">
        <v>0.870456</v>
      </c>
      <c r="H62" t="n">
        <v>0.8644230000000001</v>
      </c>
      <c r="I62" t="n">
        <v>0.836058</v>
      </c>
      <c r="J62" t="n">
        <v>0.79698</v>
      </c>
      <c r="K62" t="n">
        <v>0.765965</v>
      </c>
      <c r="L62" t="n">
        <v>0.728791</v>
      </c>
      <c r="M62" t="n">
        <v>0.71577</v>
      </c>
      <c r="N62" t="n">
        <v>0.724214</v>
      </c>
      <c r="O62" t="n">
        <v>0.7176630000000001</v>
      </c>
      <c r="P62" t="n">
        <v>0.716695</v>
      </c>
      <c r="Q62" t="n">
        <v>0.718068</v>
      </c>
      <c r="R62" t="n">
        <v>0.719897</v>
      </c>
      <c r="S62" t="n">
        <v>0.7183079999999999</v>
      </c>
      <c r="T62" t="n">
        <v>0.719704</v>
      </c>
      <c r="U62" t="n">
        <v>0.722538</v>
      </c>
      <c r="V62" t="n">
        <v>0.730927</v>
      </c>
      <c r="W62" t="n">
        <v>0.740044</v>
      </c>
      <c r="X62" t="n">
        <v>0.751189</v>
      </c>
      <c r="Y62" t="n">
        <v>0.764559</v>
      </c>
      <c r="Z62" t="n">
        <v>0.780261</v>
      </c>
      <c r="AA62" t="n">
        <v>0.795535</v>
      </c>
      <c r="AB62" t="n">
        <v>0.807068</v>
      </c>
      <c r="AC62" t="n">
        <v>0.819466</v>
      </c>
      <c r="AD62" t="n">
        <v>0.833344</v>
      </c>
      <c r="AE62" t="n">
        <v>0.848647</v>
      </c>
      <c r="AF62" t="n">
        <v>0.866417</v>
      </c>
      <c r="AG62" s="31" t="n">
        <v>-0.002</v>
      </c>
    </row>
    <row r="63">
      <c r="A63" t="inlineStr">
        <is>
          <t>Natural Gas to Liquefy Gas for Export</t>
        </is>
      </c>
      <c r="B63" t="inlineStr">
        <is>
          <t>Energy Use: Transportation: Liquefaction: High Zero-Carbon Technology Cost</t>
        </is>
      </c>
      <c r="C63" t="inlineStr">
        <is>
          <t>AEO.2025.HIGHZTC.CNSM_ENU_IDAL_NA_LQFCT_NA_NA_QBTU.A</t>
        </is>
      </c>
      <c r="D63" t="inlineStr">
        <is>
          <t>quads</t>
        </is>
      </c>
      <c r="F63" t="n">
        <v>0.36799</v>
      </c>
      <c r="G63" t="n">
        <v>0.420411</v>
      </c>
      <c r="H63" t="n">
        <v>0.447693</v>
      </c>
      <c r="I63" t="n">
        <v>0.448493</v>
      </c>
      <c r="J63" t="n">
        <v>0.5349969999999999</v>
      </c>
      <c r="K63" t="n">
        <v>0.595588</v>
      </c>
      <c r="L63" t="n">
        <v>0.658577</v>
      </c>
      <c r="M63" t="n">
        <v>0.675613</v>
      </c>
      <c r="N63" t="n">
        <v>0.693994</v>
      </c>
      <c r="O63" t="n">
        <v>0.709179</v>
      </c>
      <c r="P63" t="n">
        <v>0.725923</v>
      </c>
      <c r="Q63" t="n">
        <v>0.7343150000000001</v>
      </c>
      <c r="R63" t="n">
        <v>0.744344</v>
      </c>
      <c r="S63" t="n">
        <v>0.7511370000000001</v>
      </c>
      <c r="T63" t="n">
        <v>0.7511370000000001</v>
      </c>
      <c r="U63" t="n">
        <v>0.7511370000000001</v>
      </c>
      <c r="V63" t="n">
        <v>0.752735</v>
      </c>
      <c r="W63" t="n">
        <v>0.7511370000000001</v>
      </c>
      <c r="X63" t="n">
        <v>0.751053</v>
      </c>
      <c r="Y63" t="n">
        <v>0.747796</v>
      </c>
      <c r="Z63" t="n">
        <v>0.745887</v>
      </c>
      <c r="AA63" t="n">
        <v>0.744061</v>
      </c>
      <c r="AB63" t="n">
        <v>0.741294</v>
      </c>
      <c r="AC63" t="n">
        <v>0.741682</v>
      </c>
      <c r="AD63" t="n">
        <v>0.740833</v>
      </c>
      <c r="AE63" t="n">
        <v>0.738851</v>
      </c>
      <c r="AF63" t="n">
        <v>0.741926</v>
      </c>
      <c r="AG63" s="31" t="n">
        <v>0.027</v>
      </c>
    </row>
    <row r="64">
      <c r="A64" t="inlineStr">
        <is>
          <t>Compressed / Liquefied Natural Gas</t>
        </is>
      </c>
      <c r="B64" t="inlineStr">
        <is>
          <t>Energy Use: Transportation: Natural Gas: High Zero-Carbon Technology Cost</t>
        </is>
      </c>
      <c r="C64" t="inlineStr">
        <is>
          <t>AEO.2025.HIGHZTC.CNSM_ENU_TRN_NA_NG_NA_NA_QBTU.A</t>
        </is>
      </c>
      <c r="D64" t="inlineStr">
        <is>
          <t>quads</t>
        </is>
      </c>
      <c r="F64" t="n">
        <v>0.08866</v>
      </c>
      <c r="G64" t="n">
        <v>0.096425</v>
      </c>
      <c r="H64" t="n">
        <v>0.10255</v>
      </c>
      <c r="I64" t="n">
        <v>0.107257</v>
      </c>
      <c r="J64" t="n">
        <v>0.110931</v>
      </c>
      <c r="K64" t="n">
        <v>0.114057</v>
      </c>
      <c r="L64" t="n">
        <v>0.116278</v>
      </c>
      <c r="M64" t="n">
        <v>0.11768</v>
      </c>
      <c r="N64" t="n">
        <v>0.117485</v>
      </c>
      <c r="O64" t="n">
        <v>0.116937</v>
      </c>
      <c r="P64" t="n">
        <v>0.116963</v>
      </c>
      <c r="Q64" t="n">
        <v>0.11753</v>
      </c>
      <c r="R64" t="n">
        <v>0.118685</v>
      </c>
      <c r="S64" t="n">
        <v>0.120592</v>
      </c>
      <c r="T64" t="n">
        <v>0.123544</v>
      </c>
      <c r="U64" t="n">
        <v>0.127728</v>
      </c>
      <c r="V64" t="n">
        <v>0.134127</v>
      </c>
      <c r="W64" t="n">
        <v>0.141426</v>
      </c>
      <c r="X64" t="n">
        <v>0.149802</v>
      </c>
      <c r="Y64" t="n">
        <v>0.159253</v>
      </c>
      <c r="Z64" t="n">
        <v>0.16911</v>
      </c>
      <c r="AA64" t="n">
        <v>0.179605</v>
      </c>
      <c r="AB64" t="n">
        <v>0.191033</v>
      </c>
      <c r="AC64" t="n">
        <v>0.202673</v>
      </c>
      <c r="AD64" t="n">
        <v>0.214615</v>
      </c>
      <c r="AE64" t="n">
        <v>0.22709</v>
      </c>
      <c r="AF64" t="n">
        <v>0.239965</v>
      </c>
      <c r="AG64" s="31" t="n">
        <v>0.039</v>
      </c>
    </row>
    <row r="65">
      <c r="A65" t="inlineStr">
        <is>
          <t>Hydrogen</t>
        </is>
      </c>
      <c r="B65" t="inlineStr">
        <is>
          <t>Energy Use: Transportation: Hydrogen: High Zero-Carbon Technology Cost</t>
        </is>
      </c>
      <c r="C65" t="inlineStr">
        <is>
          <t>AEO.2025.HIGHZTC.CNSM_ENU_TRN_NA_HDG_NA_NA_QBTU.A</t>
        </is>
      </c>
      <c r="D65" t="inlineStr">
        <is>
          <t>quads</t>
        </is>
      </c>
      <c r="F65" t="n">
        <v>0.0008140000000000001</v>
      </c>
      <c r="G65" t="n">
        <v>0.002967</v>
      </c>
      <c r="H65" t="n">
        <v>0.006519</v>
      </c>
      <c r="I65" t="n">
        <v>0.011925</v>
      </c>
      <c r="J65" t="n">
        <v>0.020097</v>
      </c>
      <c r="K65" t="n">
        <v>0.029844</v>
      </c>
      <c r="L65" t="n">
        <v>0.041045</v>
      </c>
      <c r="M65" t="n">
        <v>0.06635000000000001</v>
      </c>
      <c r="N65" t="n">
        <v>0.124156</v>
      </c>
      <c r="O65" t="n">
        <v>0.177429</v>
      </c>
      <c r="P65" t="n">
        <v>0.226746</v>
      </c>
      <c r="Q65" t="n">
        <v>0.272239</v>
      </c>
      <c r="R65" t="n">
        <v>0.315546</v>
      </c>
      <c r="S65" t="n">
        <v>0.356881</v>
      </c>
      <c r="T65" t="n">
        <v>0.395804</v>
      </c>
      <c r="U65" t="n">
        <v>0.432659</v>
      </c>
      <c r="V65" t="n">
        <v>0.468641</v>
      </c>
      <c r="W65" t="n">
        <v>0.501854</v>
      </c>
      <c r="X65" t="n">
        <v>0.532824</v>
      </c>
      <c r="Y65" t="n">
        <v>0.560657</v>
      </c>
      <c r="Z65" t="n">
        <v>0.586483</v>
      </c>
      <c r="AA65" t="n">
        <v>0.610152</v>
      </c>
      <c r="AB65" t="n">
        <v>0.631826</v>
      </c>
      <c r="AC65" t="n">
        <v>0.651459</v>
      </c>
      <c r="AD65" t="n">
        <v>0.6684600000000001</v>
      </c>
      <c r="AE65" t="n">
        <v>0.684152</v>
      </c>
      <c r="AF65" t="n">
        <v>0.697325</v>
      </c>
      <c r="AG65" s="31" t="n">
        <v>0.297</v>
      </c>
    </row>
    <row r="66">
      <c r="A66" t="inlineStr">
        <is>
          <t>Purchased Electricity for Transportation Use</t>
        </is>
      </c>
      <c r="B66" t="inlineStr">
        <is>
          <t>Energy Use: Transportation: Electricity: High Zero-Carbon Technology Cost</t>
        </is>
      </c>
      <c r="C66" t="inlineStr">
        <is>
          <t>AEO.2025.HIGHZTC.CNSM_ENU_TRN_NA_ELC_NA_NA_QBTU.A</t>
        </is>
      </c>
      <c r="D66" t="inlineStr">
        <is>
          <t>quads</t>
        </is>
      </c>
      <c r="F66" t="n">
        <v>0.08618099999999999</v>
      </c>
      <c r="G66" t="n">
        <v>0.118743</v>
      </c>
      <c r="H66" t="n">
        <v>0.165942</v>
      </c>
      <c r="I66" t="n">
        <v>0.228496</v>
      </c>
      <c r="J66" t="n">
        <v>0.306012</v>
      </c>
      <c r="K66" t="n">
        <v>0.399955</v>
      </c>
      <c r="L66" t="n">
        <v>0.51867</v>
      </c>
      <c r="M66" t="n">
        <v>0.64985</v>
      </c>
      <c r="N66" t="n">
        <v>0.807648</v>
      </c>
      <c r="O66" t="n">
        <v>0.970206</v>
      </c>
      <c r="P66" t="n">
        <v>1.133487</v>
      </c>
      <c r="Q66" t="n">
        <v>1.291735</v>
      </c>
      <c r="R66" t="n">
        <v>1.444816</v>
      </c>
      <c r="S66" t="n">
        <v>1.592587</v>
      </c>
      <c r="T66" t="n">
        <v>1.732439</v>
      </c>
      <c r="U66" t="n">
        <v>1.863882</v>
      </c>
      <c r="V66" t="n">
        <v>1.986717</v>
      </c>
      <c r="W66" t="n">
        <v>2.099969</v>
      </c>
      <c r="X66" t="n">
        <v>2.202869</v>
      </c>
      <c r="Y66" t="n">
        <v>2.294786</v>
      </c>
      <c r="Z66" t="n">
        <v>2.376256</v>
      </c>
      <c r="AA66" t="n">
        <v>2.449222</v>
      </c>
      <c r="AB66" t="n">
        <v>2.515527</v>
      </c>
      <c r="AC66" t="n">
        <v>2.575677</v>
      </c>
      <c r="AD66" t="n">
        <v>2.628006</v>
      </c>
      <c r="AE66" t="n">
        <v>2.674652</v>
      </c>
      <c r="AF66" t="n">
        <v>2.716368</v>
      </c>
      <c r="AG66" s="31" t="n">
        <v>0.142</v>
      </c>
    </row>
    <row r="67">
      <c r="A67" t="inlineStr">
        <is>
          <t>Electric Vehicle Charging (Residential)</t>
        </is>
      </c>
      <c r="B67" t="inlineStr">
        <is>
          <t>Energy Use: Transportation: EV Charging (Residential): High Zero-Carbon Technology Cost</t>
        </is>
      </c>
      <c r="C67" t="inlineStr">
        <is>
          <t>AEO.2025.HIGHZTC.CNSM_ENU_TRN_NA_EVCHRGRES_NA_NA_QBTU.A</t>
        </is>
      </c>
      <c r="D67" t="inlineStr">
        <is>
          <t>quads</t>
        </is>
      </c>
      <c r="F67" t="n">
        <v>0.044337</v>
      </c>
      <c r="G67" t="n">
        <v>0.066202</v>
      </c>
      <c r="H67" t="n">
        <v>0.098493</v>
      </c>
      <c r="I67" t="n">
        <v>0.141134</v>
      </c>
      <c r="J67" t="n">
        <v>0.193594</v>
      </c>
      <c r="K67" t="n">
        <v>0.256257</v>
      </c>
      <c r="L67" t="n">
        <v>0.332269</v>
      </c>
      <c r="M67" t="n">
        <v>0.409644</v>
      </c>
      <c r="N67" t="n">
        <v>0.496106</v>
      </c>
      <c r="O67" t="n">
        <v>0.582734</v>
      </c>
      <c r="P67" t="n">
        <v>0.671272</v>
      </c>
      <c r="Q67" t="n">
        <v>0.757746</v>
      </c>
      <c r="R67" t="n">
        <v>0.842552</v>
      </c>
      <c r="S67" t="n">
        <v>0.9256180000000001</v>
      </c>
      <c r="T67" t="n">
        <v>1.005299</v>
      </c>
      <c r="U67" t="n">
        <v>1.080718</v>
      </c>
      <c r="V67" t="n">
        <v>1.151586</v>
      </c>
      <c r="W67" t="n">
        <v>1.217442</v>
      </c>
      <c r="X67" t="n">
        <v>1.277585</v>
      </c>
      <c r="Y67" t="n">
        <v>1.331949</v>
      </c>
      <c r="Z67" t="n">
        <v>1.380314</v>
      </c>
      <c r="AA67" t="n">
        <v>1.423876</v>
      </c>
      <c r="AB67" t="n">
        <v>1.4637</v>
      </c>
      <c r="AC67" t="n">
        <v>1.499768</v>
      </c>
      <c r="AD67" t="n">
        <v>1.531489</v>
      </c>
      <c r="AE67" t="n">
        <v>1.559817</v>
      </c>
      <c r="AF67" t="n">
        <v>1.58514</v>
      </c>
      <c r="AG67" s="31" t="n">
        <v>0.147</v>
      </c>
    </row>
    <row r="68">
      <c r="A68" t="inlineStr">
        <is>
          <t>Electric Vehicle Charging (Commercial)</t>
        </is>
      </c>
      <c r="B68" t="inlineStr">
        <is>
          <t>Energy Use: Transportation: EV Charging (Commercial): High Zero-Carbon Technology Cost</t>
        </is>
      </c>
      <c r="C68" t="inlineStr">
        <is>
          <t>AEO.2025.HIGHZTC.CNSM_ENU_TRN_NA_EVCHRGCOM_NA_NA_QBTU.A</t>
        </is>
      </c>
      <c r="D68" t="inlineStr">
        <is>
          <t>quads</t>
        </is>
      </c>
      <c r="F68" t="n">
        <v>0.018762</v>
      </c>
      <c r="G68" t="n">
        <v>0.028121</v>
      </c>
      <c r="H68" t="n">
        <v>0.042235</v>
      </c>
      <c r="I68" t="n">
        <v>0.061641</v>
      </c>
      <c r="J68" t="n">
        <v>0.08624999999999999</v>
      </c>
      <c r="K68" t="n">
        <v>0.117048</v>
      </c>
      <c r="L68" t="n">
        <v>0.159369</v>
      </c>
      <c r="M68" t="n">
        <v>0.212916</v>
      </c>
      <c r="N68" t="n">
        <v>0.284019</v>
      </c>
      <c r="O68" t="n">
        <v>0.359777</v>
      </c>
      <c r="P68" t="n">
        <v>0.434374</v>
      </c>
      <c r="Q68" t="n">
        <v>0.506031</v>
      </c>
      <c r="R68" t="n">
        <v>0.5740960000000001</v>
      </c>
      <c r="S68" t="n">
        <v>0.638567</v>
      </c>
      <c r="T68" t="n">
        <v>0.698516</v>
      </c>
      <c r="U68" t="n">
        <v>0.754337</v>
      </c>
      <c r="V68" t="n">
        <v>0.806113</v>
      </c>
      <c r="W68" t="n">
        <v>0.85333</v>
      </c>
      <c r="X68" t="n">
        <v>0.895904</v>
      </c>
      <c r="Y68" t="n">
        <v>0.933312</v>
      </c>
      <c r="Z68" t="n">
        <v>0.966346</v>
      </c>
      <c r="AA68" t="n">
        <v>0.995626</v>
      </c>
      <c r="AB68" t="n">
        <v>1.021931</v>
      </c>
      <c r="AC68" t="n">
        <v>1.045841</v>
      </c>
      <c r="AD68" t="n">
        <v>1.066279</v>
      </c>
      <c r="AE68" t="n">
        <v>1.084419</v>
      </c>
      <c r="AF68" t="n">
        <v>1.100623</v>
      </c>
      <c r="AG68" s="31" t="n">
        <v>0.17</v>
      </c>
    </row>
    <row r="69">
      <c r="A69" t="inlineStr">
        <is>
          <t>Passenger Rail</t>
        </is>
      </c>
      <c r="B69" t="inlineStr">
        <is>
          <t>Energy Use: Transportation: Passenger Rail: High Zero-Carbon Technology Cost</t>
        </is>
      </c>
      <c r="C69" t="inlineStr">
        <is>
          <t>AEO.2025.HIGHZTC.CNSM_ENU_TRN_NA_PSGRAIL_NA_NA_QBTU.A</t>
        </is>
      </c>
      <c r="D69" t="inlineStr">
        <is>
          <t>quads</t>
        </is>
      </c>
      <c r="F69" t="n">
        <v>0.023083</v>
      </c>
      <c r="G69" t="n">
        <v>0.02442</v>
      </c>
      <c r="H69" t="n">
        <v>0.025214</v>
      </c>
      <c r="I69" t="n">
        <v>0.025721</v>
      </c>
      <c r="J69" t="n">
        <v>0.026169</v>
      </c>
      <c r="K69" t="n">
        <v>0.02665</v>
      </c>
      <c r="L69" t="n">
        <v>0.027033</v>
      </c>
      <c r="M69" t="n">
        <v>0.02729</v>
      </c>
      <c r="N69" t="n">
        <v>0.027522</v>
      </c>
      <c r="O69" t="n">
        <v>0.027695</v>
      </c>
      <c r="P69" t="n">
        <v>0.02784</v>
      </c>
      <c r="Q69" t="n">
        <v>0.027958</v>
      </c>
      <c r="R69" t="n">
        <v>0.028169</v>
      </c>
      <c r="S69" t="n">
        <v>0.028402</v>
      </c>
      <c r="T69" t="n">
        <v>0.028625</v>
      </c>
      <c r="U69" t="n">
        <v>0.028826</v>
      </c>
      <c r="V69" t="n">
        <v>0.029018</v>
      </c>
      <c r="W69" t="n">
        <v>0.029196</v>
      </c>
      <c r="X69" t="n">
        <v>0.02938</v>
      </c>
      <c r="Y69" t="n">
        <v>0.029524</v>
      </c>
      <c r="Z69" t="n">
        <v>0.029595</v>
      </c>
      <c r="AA69" t="n">
        <v>0.029721</v>
      </c>
      <c r="AB69" t="n">
        <v>0.029896</v>
      </c>
      <c r="AC69" t="n">
        <v>0.030068</v>
      </c>
      <c r="AD69" t="n">
        <v>0.030238</v>
      </c>
      <c r="AE69" t="n">
        <v>0.030416</v>
      </c>
      <c r="AF69" t="n">
        <v>0.030606</v>
      </c>
      <c r="AG69" s="31" t="n">
        <v>0.011</v>
      </c>
    </row>
    <row r="70">
      <c r="A70" t="inlineStr">
        <is>
          <t>Delivered Energy</t>
        </is>
      </c>
      <c r="B70" t="inlineStr">
        <is>
          <t>Energy Use: Transportation: Delivered Energy: High Zero-Carbon Technology Cost</t>
        </is>
      </c>
      <c r="C70" t="inlineStr">
        <is>
          <t>AEO.2025.HIGHZTC.CNSM_ENU_TRN_NA_DELE_NA_NA_QBTU.A</t>
        </is>
      </c>
      <c r="D70" t="inlineStr">
        <is>
          <t>quads</t>
        </is>
      </c>
      <c r="F70" t="n">
        <v>28.977942</v>
      </c>
      <c r="G70" t="n">
        <v>29.052418</v>
      </c>
      <c r="H70" t="n">
        <v>28.919353</v>
      </c>
      <c r="I70" t="n">
        <v>28.635706</v>
      </c>
      <c r="J70" t="n">
        <v>28.486168</v>
      </c>
      <c r="K70" t="n">
        <v>28.270367</v>
      </c>
      <c r="L70" t="n">
        <v>27.962599</v>
      </c>
      <c r="M70" t="n">
        <v>27.621645</v>
      </c>
      <c r="N70" t="n">
        <v>27.215834</v>
      </c>
      <c r="O70" t="n">
        <v>26.797094</v>
      </c>
      <c r="P70" t="n">
        <v>26.428474</v>
      </c>
      <c r="Q70" t="n">
        <v>26.06171</v>
      </c>
      <c r="R70" t="n">
        <v>25.686388</v>
      </c>
      <c r="S70" t="n">
        <v>25.32601</v>
      </c>
      <c r="T70" t="n">
        <v>25.002085</v>
      </c>
      <c r="U70" t="n">
        <v>24.697227</v>
      </c>
      <c r="V70" t="n">
        <v>24.463421</v>
      </c>
      <c r="W70" t="n">
        <v>24.242672</v>
      </c>
      <c r="X70" t="n">
        <v>24.036894</v>
      </c>
      <c r="Y70" t="n">
        <v>23.886209</v>
      </c>
      <c r="Z70" t="n">
        <v>23.740824</v>
      </c>
      <c r="AA70" t="n">
        <v>23.644314</v>
      </c>
      <c r="AB70" t="n">
        <v>23.562954</v>
      </c>
      <c r="AC70" t="n">
        <v>23.530043</v>
      </c>
      <c r="AD70" t="n">
        <v>23.454748</v>
      </c>
      <c r="AE70" t="n">
        <v>23.446096</v>
      </c>
      <c r="AF70" t="n">
        <v>23.461813</v>
      </c>
      <c r="AG70" s="31" t="n">
        <v>-0.008</v>
      </c>
    </row>
    <row r="71">
      <c r="A71" t="inlineStr">
        <is>
          <t>Electricity-Related Losses</t>
        </is>
      </c>
      <c r="B71" t="inlineStr">
        <is>
          <t>Energy Use: Transportation: Electricity Related Losses: High Zero-Carbon Technology Cost</t>
        </is>
      </c>
      <c r="C71" t="inlineStr">
        <is>
          <t>AEO.2025.HIGHZTC.CNSM_ENU_TRN_NA_ERL_NA_NA_QBTU.A</t>
        </is>
      </c>
      <c r="D71" t="inlineStr">
        <is>
          <t>quads</t>
        </is>
      </c>
      <c r="F71" t="n">
        <v>0.122493</v>
      </c>
      <c r="G71" t="n">
        <v>0.163653</v>
      </c>
      <c r="H71" t="n">
        <v>0.215085</v>
      </c>
      <c r="I71" t="n">
        <v>0.284852</v>
      </c>
      <c r="J71" t="n">
        <v>0.373024</v>
      </c>
      <c r="K71" t="n">
        <v>0.478973</v>
      </c>
      <c r="L71" t="n">
        <v>0.59618</v>
      </c>
      <c r="M71" t="n">
        <v>0.723078</v>
      </c>
      <c r="N71" t="n">
        <v>0.840521</v>
      </c>
      <c r="O71" t="n">
        <v>0.976838</v>
      </c>
      <c r="P71" t="n">
        <v>1.099968</v>
      </c>
      <c r="Q71" t="n">
        <v>1.198508</v>
      </c>
      <c r="R71" t="n">
        <v>1.283477</v>
      </c>
      <c r="S71" t="n">
        <v>1.340842</v>
      </c>
      <c r="T71" t="n">
        <v>1.412457</v>
      </c>
      <c r="U71" t="n">
        <v>1.428655</v>
      </c>
      <c r="V71" t="n">
        <v>1.495428</v>
      </c>
      <c r="W71" t="n">
        <v>1.577119</v>
      </c>
      <c r="X71" t="n">
        <v>1.650918</v>
      </c>
      <c r="Y71" t="n">
        <v>1.707858</v>
      </c>
      <c r="Z71" t="n">
        <v>1.759217</v>
      </c>
      <c r="AA71" t="n">
        <v>1.793081</v>
      </c>
      <c r="AB71" t="n">
        <v>1.820859</v>
      </c>
      <c r="AC71" t="n">
        <v>1.849841</v>
      </c>
      <c r="AD71" t="n">
        <v>1.877937</v>
      </c>
      <c r="AE71" t="n">
        <v>1.905419</v>
      </c>
      <c r="AF71" t="n">
        <v>1.914463</v>
      </c>
      <c r="AG71" s="31" t="n">
        <v>0.112</v>
      </c>
    </row>
    <row r="72">
      <c r="A72" t="inlineStr">
        <is>
          <t>Hydrogen-Related Losses</t>
        </is>
      </c>
      <c r="B72" t="inlineStr">
        <is>
          <t>Energy Use: Transportation: Hydrogen Related Losses: High Zero-Carbon Technology Cost</t>
        </is>
      </c>
      <c r="C72" t="inlineStr">
        <is>
          <t>AEO.2025.HIGHZTC.CNSM_ENU_TRN_NA_H2RELLOS_NA_NA_QBTU.A</t>
        </is>
      </c>
      <c r="D72" t="inlineStr">
        <is>
          <t>quads</t>
        </is>
      </c>
      <c r="F72" t="n">
        <v>0.000235</v>
      </c>
      <c r="G72" t="n">
        <v>0.000854</v>
      </c>
      <c r="H72" t="n">
        <v>0.001902</v>
      </c>
      <c r="I72" t="n">
        <v>0.003504</v>
      </c>
      <c r="J72" t="n">
        <v>0.005874</v>
      </c>
      <c r="K72" t="n">
        <v>0.008744</v>
      </c>
      <c r="L72" t="n">
        <v>0.012031</v>
      </c>
      <c r="M72" t="n">
        <v>0.019625</v>
      </c>
      <c r="N72" t="n">
        <v>0.037057</v>
      </c>
      <c r="O72" t="n">
        <v>0.054294</v>
      </c>
      <c r="P72" t="n">
        <v>0.070428</v>
      </c>
      <c r="Q72" t="n">
        <v>0.085953</v>
      </c>
      <c r="R72" t="n">
        <v>0.100292</v>
      </c>
      <c r="S72" t="n">
        <v>0.112843</v>
      </c>
      <c r="T72" t="n">
        <v>0.124778</v>
      </c>
      <c r="U72" t="n">
        <v>0.136219</v>
      </c>
      <c r="V72" t="n">
        <v>0.147514</v>
      </c>
      <c r="W72" t="n">
        <v>0.158279</v>
      </c>
      <c r="X72" t="n">
        <v>0.167857</v>
      </c>
      <c r="Y72" t="n">
        <v>0.176726</v>
      </c>
      <c r="Z72" t="n">
        <v>0.185003</v>
      </c>
      <c r="AA72" t="n">
        <v>0.192463</v>
      </c>
      <c r="AB72" t="n">
        <v>0.198774</v>
      </c>
      <c r="AC72" t="n">
        <v>0.203787</v>
      </c>
      <c r="AD72" t="n">
        <v>0.209166</v>
      </c>
      <c r="AE72" t="n">
        <v>0.211834</v>
      </c>
      <c r="AF72" t="n">
        <v>0.21626</v>
      </c>
      <c r="AG72" s="31" t="n">
        <v>0.3</v>
      </c>
    </row>
    <row r="73">
      <c r="A73" t="inlineStr">
        <is>
          <t>Total</t>
        </is>
      </c>
      <c r="B73" t="inlineStr">
        <is>
          <t>Energy Use: Transportation: Total: High Zero-Carbon Technology Cost</t>
        </is>
      </c>
      <c r="C73" t="inlineStr">
        <is>
          <t>AEO.2025.HIGHZTC.CNSM_ENU_TRN_NA_TOT_NA_NA_QBTU.A</t>
        </is>
      </c>
      <c r="D73" t="inlineStr">
        <is>
          <t>quads</t>
        </is>
      </c>
      <c r="F73" t="n">
        <v>29.100668</v>
      </c>
      <c r="G73" t="n">
        <v>29.216925</v>
      </c>
      <c r="H73" t="n">
        <v>29.136339</v>
      </c>
      <c r="I73" t="n">
        <v>28.924061</v>
      </c>
      <c r="J73" t="n">
        <v>28.865067</v>
      </c>
      <c r="K73" t="n">
        <v>28.758085</v>
      </c>
      <c r="L73" t="n">
        <v>28.57081</v>
      </c>
      <c r="M73" t="n">
        <v>28.364347</v>
      </c>
      <c r="N73" t="n">
        <v>28.093412</v>
      </c>
      <c r="O73" t="n">
        <v>27.828226</v>
      </c>
      <c r="P73" t="n">
        <v>27.598871</v>
      </c>
      <c r="Q73" t="n">
        <v>27.34617</v>
      </c>
      <c r="R73" t="n">
        <v>27.070158</v>
      </c>
      <c r="S73" t="n">
        <v>26.779694</v>
      </c>
      <c r="T73" t="n">
        <v>26.539318</v>
      </c>
      <c r="U73" t="n">
        <v>26.2621</v>
      </c>
      <c r="V73" t="n">
        <v>26.106363</v>
      </c>
      <c r="W73" t="n">
        <v>25.978071</v>
      </c>
      <c r="X73" t="n">
        <v>25.855669</v>
      </c>
      <c r="Y73" t="n">
        <v>25.770792</v>
      </c>
      <c r="Z73" t="n">
        <v>25.685043</v>
      </c>
      <c r="AA73" t="n">
        <v>25.629858</v>
      </c>
      <c r="AB73" t="n">
        <v>25.582588</v>
      </c>
      <c r="AC73" t="n">
        <v>25.58367</v>
      </c>
      <c r="AD73" t="n">
        <v>25.541851</v>
      </c>
      <c r="AE73" t="n">
        <v>25.563349</v>
      </c>
      <c r="AF73" t="n">
        <v>25.592537</v>
      </c>
      <c r="AG73" s="31" t="n">
        <v>-0.005</v>
      </c>
    </row>
    <row r="74">
      <c r="A74" t="inlineStr">
        <is>
          <t>Unspecified Sector</t>
        </is>
      </c>
    </row>
    <row r="75">
      <c r="A75" t="inlineStr">
        <is>
          <t>Total</t>
        </is>
      </c>
      <c r="B75" t="inlineStr">
        <is>
          <t>Energy Use: Unspecified: Total: High Zero-Carbon Technology Cost</t>
        </is>
      </c>
      <c r="C75" t="inlineStr">
        <is>
          <t>AEO.2025.HIGHZTC.CNSM_ENU_OTH_NA_TOT_NA_NA_QBTU.A</t>
        </is>
      </c>
      <c r="D75" t="inlineStr">
        <is>
          <t>quads</t>
        </is>
      </c>
      <c r="F75" t="n">
        <v>-0.741691</v>
      </c>
      <c r="G75" t="n">
        <v>-0.534668</v>
      </c>
      <c r="H75" t="n">
        <v>-0.407275</v>
      </c>
      <c r="I75" t="n">
        <v>-0.280571</v>
      </c>
      <c r="J75" t="n">
        <v>-0.276677</v>
      </c>
      <c r="K75" t="n">
        <v>-0.271866</v>
      </c>
      <c r="L75" t="n">
        <v>-0.265723</v>
      </c>
      <c r="M75" t="n">
        <v>-0.259304</v>
      </c>
      <c r="N75" t="n">
        <v>-0.251183</v>
      </c>
      <c r="O75" t="n">
        <v>-0.243105</v>
      </c>
      <c r="P75" t="n">
        <v>-0.235512</v>
      </c>
      <c r="Q75" t="n">
        <v>-0.22801</v>
      </c>
      <c r="R75" t="n">
        <v>-0.220434</v>
      </c>
      <c r="S75" t="n">
        <v>-0.213116</v>
      </c>
      <c r="T75" t="n">
        <v>-0.206405</v>
      </c>
      <c r="U75" t="n">
        <v>-0.199997</v>
      </c>
      <c r="V75" t="n">
        <v>-0.194422</v>
      </c>
      <c r="W75" t="n">
        <v>-0.18925</v>
      </c>
      <c r="X75" t="n">
        <v>-0.184303</v>
      </c>
      <c r="Y75" t="n">
        <v>-0.180268</v>
      </c>
      <c r="Z75" t="n">
        <v>-0.176336</v>
      </c>
      <c r="AA75" t="n">
        <v>-0.173199</v>
      </c>
      <c r="AB75" t="n">
        <v>-0.170374</v>
      </c>
      <c r="AC75" t="n">
        <v>-0.16818</v>
      </c>
      <c r="AD75" t="n">
        <v>-0.165581</v>
      </c>
      <c r="AE75" t="n">
        <v>-0.163894</v>
      </c>
      <c r="AF75" t="n">
        <v>-0.162543</v>
      </c>
      <c r="AG75" s="31" t="n">
        <v>-0.057</v>
      </c>
    </row>
    <row r="76">
      <c r="A76" s="1" t="inlineStr">
        <is>
          <t>Delivered Energy Consumption</t>
        </is>
      </c>
      <c r="B76" t="inlineStr">
        <is>
          <t xml:space="preserve"> All Sectors</t>
        </is>
      </c>
    </row>
    <row r="77">
      <c r="A77" t="inlineStr">
        <is>
          <t>Liquefied Petroleum Gases and Other</t>
        </is>
      </c>
      <c r="B77" t="inlineStr">
        <is>
          <t>Energy Use: Delivered: All Sectors: Liquefied Petroleum Gases: High Zero-Carbon Technology Cost</t>
        </is>
      </c>
      <c r="C77" t="inlineStr">
        <is>
          <t>AEO.2025.HIGHZTC.CNSM_ENU_ALLS_NA_LPG_DELV_NA_QBTU.A</t>
        </is>
      </c>
      <c r="D77" t="inlineStr">
        <is>
          <t>quads</t>
        </is>
      </c>
      <c r="F77" t="n">
        <v>4.209641</v>
      </c>
      <c r="G77" t="n">
        <v>4.311163</v>
      </c>
      <c r="H77" t="n">
        <v>4.308465</v>
      </c>
      <c r="I77" t="n">
        <v>4.314057</v>
      </c>
      <c r="J77" t="n">
        <v>4.321166</v>
      </c>
      <c r="K77" t="n">
        <v>4.326116</v>
      </c>
      <c r="L77" t="n">
        <v>4.328734</v>
      </c>
      <c r="M77" t="n">
        <v>4.328779</v>
      </c>
      <c r="N77" t="n">
        <v>4.328817</v>
      </c>
      <c r="O77" t="n">
        <v>4.328709</v>
      </c>
      <c r="P77" t="n">
        <v>4.323857</v>
      </c>
      <c r="Q77" t="n">
        <v>4.319674</v>
      </c>
      <c r="R77" t="n">
        <v>4.317852</v>
      </c>
      <c r="S77" t="n">
        <v>4.313735</v>
      </c>
      <c r="T77" t="n">
        <v>4.344649</v>
      </c>
      <c r="U77" t="n">
        <v>4.414688</v>
      </c>
      <c r="V77" t="n">
        <v>4.491556</v>
      </c>
      <c r="W77" t="n">
        <v>4.553751</v>
      </c>
      <c r="X77" t="n">
        <v>4.618521</v>
      </c>
      <c r="Y77" t="n">
        <v>4.664883</v>
      </c>
      <c r="Z77" t="n">
        <v>4.6392</v>
      </c>
      <c r="AA77" t="n">
        <v>4.602459</v>
      </c>
      <c r="AB77" t="n">
        <v>4.643802</v>
      </c>
      <c r="AC77" t="n">
        <v>4.719849</v>
      </c>
      <c r="AD77" t="n">
        <v>4.776085</v>
      </c>
      <c r="AE77" t="n">
        <v>4.752143</v>
      </c>
      <c r="AF77" t="n">
        <v>4.726868</v>
      </c>
      <c r="AG77" s="31" t="n">
        <v>0.004</v>
      </c>
    </row>
    <row r="78">
      <c r="A78" t="inlineStr">
        <is>
          <t>Motor Gasoline</t>
        </is>
      </c>
      <c r="B78" t="inlineStr">
        <is>
          <t>Energy Use: Delivered: All Sectors: Motor Gasoline: High Zero-Carbon Technology Cost</t>
        </is>
      </c>
      <c r="C78" t="inlineStr">
        <is>
          <t>AEO.2025.HIGHZTC.CNSM_ENU_ALLS_NA_MGS_DELV_NA_QBTU.A</t>
        </is>
      </c>
      <c r="D78" t="inlineStr">
        <is>
          <t>quads</t>
        </is>
      </c>
      <c r="F78" t="n">
        <v>16.513548</v>
      </c>
      <c r="G78" t="n">
        <v>16.489157</v>
      </c>
      <c r="H78" t="n">
        <v>16.473249</v>
      </c>
      <c r="I78" t="n">
        <v>16.364161</v>
      </c>
      <c r="J78" t="n">
        <v>16.130833</v>
      </c>
      <c r="K78" t="n">
        <v>15.836448</v>
      </c>
      <c r="L78" t="n">
        <v>15.462359</v>
      </c>
      <c r="M78" t="n">
        <v>15.086967</v>
      </c>
      <c r="N78" t="n">
        <v>14.635193</v>
      </c>
      <c r="O78" t="n">
        <v>14.174006</v>
      </c>
      <c r="P78" t="n">
        <v>13.730399</v>
      </c>
      <c r="Q78" t="n">
        <v>13.285722</v>
      </c>
      <c r="R78" t="n">
        <v>12.821792</v>
      </c>
      <c r="S78" t="n">
        <v>12.365026</v>
      </c>
      <c r="T78" t="n">
        <v>11.944914</v>
      </c>
      <c r="U78" t="n">
        <v>11.546367</v>
      </c>
      <c r="V78" t="n">
        <v>11.193057</v>
      </c>
      <c r="W78" t="n">
        <v>10.870225</v>
      </c>
      <c r="X78" t="n">
        <v>10.552912</v>
      </c>
      <c r="Y78" t="n">
        <v>10.300356</v>
      </c>
      <c r="Z78" t="n">
        <v>10.049176</v>
      </c>
      <c r="AA78" t="n">
        <v>9.849957</v>
      </c>
      <c r="AB78" t="n">
        <v>9.665093000000001</v>
      </c>
      <c r="AC78" t="n">
        <v>9.522099000000001</v>
      </c>
      <c r="AD78" t="n">
        <v>9.347912000000001</v>
      </c>
      <c r="AE78" t="n">
        <v>9.236293</v>
      </c>
      <c r="AF78" t="n">
        <v>9.151505</v>
      </c>
      <c r="AG78" s="31" t="n">
        <v>-0.022</v>
      </c>
    </row>
    <row r="79">
      <c r="A79" t="inlineStr">
        <is>
          <t>of which: E85</t>
        </is>
      </c>
      <c r="B79" t="inlineStr">
        <is>
          <t>Energy Use: Delivered: All Sectors: E85: High Zero-Carbon Technology Cost</t>
        </is>
      </c>
      <c r="C79" t="inlineStr">
        <is>
          <t>AEO.2025.HIGHZTC.CNSM_ENU_ALLS_NA_E85_DELV_NA_QBTU.A</t>
        </is>
      </c>
      <c r="D79" t="inlineStr">
        <is>
          <t>quads</t>
        </is>
      </c>
      <c r="F79" t="n">
        <v>0.003743</v>
      </c>
      <c r="G79" t="n">
        <v>0.003468</v>
      </c>
      <c r="H79" t="n">
        <v>0.003093</v>
      </c>
      <c r="I79" t="n">
        <v>0.002897</v>
      </c>
      <c r="J79" t="n">
        <v>0.002811</v>
      </c>
      <c r="K79" t="n">
        <v>0.002914</v>
      </c>
      <c r="L79" t="n">
        <v>0.002762</v>
      </c>
      <c r="M79" t="n">
        <v>0.002552</v>
      </c>
      <c r="N79" t="n">
        <v>0.002375</v>
      </c>
      <c r="O79" t="n">
        <v>0.002227</v>
      </c>
      <c r="P79" t="n">
        <v>0.002109</v>
      </c>
      <c r="Q79" t="n">
        <v>0.001984</v>
      </c>
      <c r="R79" t="n">
        <v>0.001859</v>
      </c>
      <c r="S79" t="n">
        <v>0.001764</v>
      </c>
      <c r="T79" t="n">
        <v>0.001666</v>
      </c>
      <c r="U79" t="n">
        <v>0.001591</v>
      </c>
      <c r="V79" t="n">
        <v>0.001555</v>
      </c>
      <c r="W79" t="n">
        <v>0.001522</v>
      </c>
      <c r="X79" t="n">
        <v>0.001495</v>
      </c>
      <c r="Y79" t="n">
        <v>0.00148</v>
      </c>
      <c r="Z79" t="n">
        <v>0.001502</v>
      </c>
      <c r="AA79" t="n">
        <v>0.001463</v>
      </c>
      <c r="AB79" t="n">
        <v>0.001459</v>
      </c>
      <c r="AC79" t="n">
        <v>0.001492</v>
      </c>
      <c r="AD79" t="n">
        <v>0.001488</v>
      </c>
      <c r="AE79" t="n">
        <v>0.001488</v>
      </c>
      <c r="AF79" t="n">
        <v>0.00148</v>
      </c>
      <c r="AG79" s="31" t="n">
        <v>-0.035</v>
      </c>
    </row>
    <row r="80">
      <c r="A80" t="inlineStr">
        <is>
          <t>Jet Fuel</t>
        </is>
      </c>
      <c r="B80" t="inlineStr">
        <is>
          <t>Energy Use: Delivered: All Sectors: Jet Fuel: High Zero-Carbon Technology Cost</t>
        </is>
      </c>
      <c r="C80" t="inlineStr">
        <is>
          <t>AEO.2025.HIGHZTC.CNSM_ENU_ALLS_NA_JFL_DELV_NA_QBTU.A</t>
        </is>
      </c>
      <c r="D80" t="inlineStr">
        <is>
          <t>quads</t>
        </is>
      </c>
      <c r="F80" t="n">
        <v>3.520226</v>
      </c>
      <c r="G80" t="n">
        <v>3.573043</v>
      </c>
      <c r="H80" t="n">
        <v>3.580164</v>
      </c>
      <c r="I80" t="n">
        <v>3.594285</v>
      </c>
      <c r="J80" t="n">
        <v>3.622104</v>
      </c>
      <c r="K80" t="n">
        <v>3.656416</v>
      </c>
      <c r="L80" t="n">
        <v>3.686351</v>
      </c>
      <c r="M80" t="n">
        <v>3.706875</v>
      </c>
      <c r="N80" t="n">
        <v>3.731194</v>
      </c>
      <c r="O80" t="n">
        <v>3.755083</v>
      </c>
      <c r="P80" t="n">
        <v>3.779161</v>
      </c>
      <c r="Q80" t="n">
        <v>3.812392</v>
      </c>
      <c r="R80" t="n">
        <v>3.844495</v>
      </c>
      <c r="S80" t="n">
        <v>3.880754</v>
      </c>
      <c r="T80" t="n">
        <v>3.919277</v>
      </c>
      <c r="U80" t="n">
        <v>3.959379</v>
      </c>
      <c r="V80" t="n">
        <v>4.002299</v>
      </c>
      <c r="W80" t="n">
        <v>4.040978</v>
      </c>
      <c r="X80" t="n">
        <v>4.081998</v>
      </c>
      <c r="Y80" t="n">
        <v>4.120088</v>
      </c>
      <c r="Z80" t="n">
        <v>4.158575</v>
      </c>
      <c r="AA80" t="n">
        <v>4.195935</v>
      </c>
      <c r="AB80" t="n">
        <v>4.234365</v>
      </c>
      <c r="AC80" t="n">
        <v>4.272793</v>
      </c>
      <c r="AD80" t="n">
        <v>4.310762</v>
      </c>
      <c r="AE80" t="n">
        <v>4.349757</v>
      </c>
      <c r="AF80" t="n">
        <v>4.388399</v>
      </c>
      <c r="AG80" s="31" t="n">
        <v>0.008999999999999999</v>
      </c>
    </row>
    <row r="81">
      <c r="A81" t="inlineStr">
        <is>
          <t>Kerosene</t>
        </is>
      </c>
      <c r="B81" t="inlineStr">
        <is>
          <t>Energy Use: Delivered: All Sectors: Kerosene: High Zero-Carbon Technology Cost</t>
        </is>
      </c>
      <c r="C81" t="inlineStr">
        <is>
          <t>AEO.2025.HIGHZTC.CNSM_ENU_ALLS_NA_KRS_DELV_NA_QBTU.A</t>
        </is>
      </c>
      <c r="D81" t="inlineStr">
        <is>
          <t>quads</t>
        </is>
      </c>
      <c r="F81" t="n">
        <v>0.003189</v>
      </c>
      <c r="G81" t="n">
        <v>0.002751</v>
      </c>
      <c r="H81" t="n">
        <v>0.004171</v>
      </c>
      <c r="I81" t="n">
        <v>0.004188</v>
      </c>
      <c r="J81" t="n">
        <v>0.004048</v>
      </c>
      <c r="K81" t="n">
        <v>0.003585</v>
      </c>
      <c r="L81" t="n">
        <v>0.003193</v>
      </c>
      <c r="M81" t="n">
        <v>0.003121</v>
      </c>
      <c r="N81" t="n">
        <v>0.003153</v>
      </c>
      <c r="O81" t="n">
        <v>0.002978</v>
      </c>
      <c r="P81" t="n">
        <v>0.002906</v>
      </c>
      <c r="Q81" t="n">
        <v>0.002794</v>
      </c>
      <c r="R81" t="n">
        <v>0.002761</v>
      </c>
      <c r="S81" t="n">
        <v>0.002624</v>
      </c>
      <c r="T81" t="n">
        <v>0.002518</v>
      </c>
      <c r="U81" t="n">
        <v>0.002465</v>
      </c>
      <c r="V81" t="n">
        <v>0.002363</v>
      </c>
      <c r="W81" t="n">
        <v>0.00223</v>
      </c>
      <c r="X81" t="n">
        <v>0.002113</v>
      </c>
      <c r="Y81" t="n">
        <v>0.001976</v>
      </c>
      <c r="Z81" t="n">
        <v>0.001776</v>
      </c>
      <c r="AA81" t="n">
        <v>0.001795</v>
      </c>
      <c r="AB81" t="n">
        <v>0.001761</v>
      </c>
      <c r="AC81" t="n">
        <v>0.00175</v>
      </c>
      <c r="AD81" t="n">
        <v>0.001758</v>
      </c>
      <c r="AE81" t="n">
        <v>0.001737</v>
      </c>
      <c r="AF81" t="n">
        <v>0.001698</v>
      </c>
      <c r="AG81" s="31" t="n">
        <v>-0.024</v>
      </c>
    </row>
    <row r="82">
      <c r="A82" t="inlineStr">
        <is>
          <t>Distillate Fuel Oil</t>
        </is>
      </c>
      <c r="B82" t="inlineStr">
        <is>
          <t>Energy Use: Delivered: All Sectors: Distillate Fuel Oil: High Zero-Carbon Technology Cost</t>
        </is>
      </c>
      <c r="C82" t="inlineStr">
        <is>
          <t>AEO.2025.HIGHZTC.CNSM_ENU_ALLS_NA_DFO_DELV_NA_QBTU.A</t>
        </is>
      </c>
      <c r="D82" t="inlineStr">
        <is>
          <t>quads</t>
        </is>
      </c>
      <c r="F82" t="n">
        <v>8.623671999999999</v>
      </c>
      <c r="G82" t="n">
        <v>8.930517</v>
      </c>
      <c r="H82" t="n">
        <v>8.876737</v>
      </c>
      <c r="I82" t="n">
        <v>8.778446000000001</v>
      </c>
      <c r="J82" t="n">
        <v>8.717150999999999</v>
      </c>
      <c r="K82" t="n">
        <v>8.646449</v>
      </c>
      <c r="L82" t="n">
        <v>8.542400000000001</v>
      </c>
      <c r="M82" t="n">
        <v>8.411320999999999</v>
      </c>
      <c r="N82" t="n">
        <v>8.211753</v>
      </c>
      <c r="O82" t="n">
        <v>8.021768</v>
      </c>
      <c r="P82" t="n">
        <v>7.856551</v>
      </c>
      <c r="Q82" t="n">
        <v>7.703047</v>
      </c>
      <c r="R82" t="n">
        <v>7.568524</v>
      </c>
      <c r="S82" t="n">
        <v>7.445202</v>
      </c>
      <c r="T82" t="n">
        <v>7.334461</v>
      </c>
      <c r="U82" t="n">
        <v>7.224154</v>
      </c>
      <c r="V82" t="n">
        <v>7.136977</v>
      </c>
      <c r="W82" t="n">
        <v>7.047919</v>
      </c>
      <c r="X82" t="n">
        <v>6.974985</v>
      </c>
      <c r="Y82" t="n">
        <v>6.907838</v>
      </c>
      <c r="Z82" t="n">
        <v>6.848926</v>
      </c>
      <c r="AA82" t="n">
        <v>6.806139</v>
      </c>
      <c r="AB82" t="n">
        <v>6.778246</v>
      </c>
      <c r="AC82" t="n">
        <v>6.758892</v>
      </c>
      <c r="AD82" t="n">
        <v>6.739182</v>
      </c>
      <c r="AE82" t="n">
        <v>6.730723</v>
      </c>
      <c r="AF82" t="n">
        <v>6.719199</v>
      </c>
      <c r="AG82" s="31" t="n">
        <v>-0.01</v>
      </c>
    </row>
    <row r="83">
      <c r="A83" t="inlineStr">
        <is>
          <t>Residual Fuel Oil</t>
        </is>
      </c>
      <c r="B83" t="inlineStr">
        <is>
          <t>Energy Use: Delivered: All Sectors: Residual Fuel Oil: High Zero-Carbon Technology Cost</t>
        </is>
      </c>
      <c r="C83" t="inlineStr">
        <is>
          <t>AEO.2025.HIGHZTC.CNSM_ENU_ALLS_NA_RFO_DELV_NA_QBTU.A</t>
        </is>
      </c>
      <c r="D83" t="inlineStr">
        <is>
          <t>quads</t>
        </is>
      </c>
      <c r="F83" t="n">
        <v>0.595414</v>
      </c>
      <c r="G83" t="n">
        <v>0.558263</v>
      </c>
      <c r="H83" t="n">
        <v>0.554193</v>
      </c>
      <c r="I83" t="n">
        <v>0.562062</v>
      </c>
      <c r="J83" t="n">
        <v>0.56713</v>
      </c>
      <c r="K83" t="n">
        <v>0.574108</v>
      </c>
      <c r="L83" t="n">
        <v>0.581256</v>
      </c>
      <c r="M83" t="n">
        <v>0.5869</v>
      </c>
      <c r="N83" t="n">
        <v>0.591499</v>
      </c>
      <c r="O83" t="n">
        <v>0.595108</v>
      </c>
      <c r="P83" t="n">
        <v>0.601281</v>
      </c>
      <c r="Q83" t="n">
        <v>0.606521</v>
      </c>
      <c r="R83" t="n">
        <v>0.610582</v>
      </c>
      <c r="S83" t="n">
        <v>0.616119</v>
      </c>
      <c r="T83" t="n">
        <v>0.6197780000000001</v>
      </c>
      <c r="U83" t="n">
        <v>0.624911</v>
      </c>
      <c r="V83" t="n">
        <v>0.629569</v>
      </c>
      <c r="W83" t="n">
        <v>0.6335190000000001</v>
      </c>
      <c r="X83" t="n">
        <v>0.63771</v>
      </c>
      <c r="Y83" t="n">
        <v>0.641599</v>
      </c>
      <c r="Z83" t="n">
        <v>0.648964</v>
      </c>
      <c r="AA83" t="n">
        <v>0.652379</v>
      </c>
      <c r="AB83" t="n">
        <v>0.655293</v>
      </c>
      <c r="AC83" t="n">
        <v>0.660097</v>
      </c>
      <c r="AD83" t="n">
        <v>0.664049</v>
      </c>
      <c r="AE83" t="n">
        <v>0.667432</v>
      </c>
      <c r="AF83" t="n">
        <v>0.669058</v>
      </c>
      <c r="AG83" s="31" t="n">
        <v>0.004</v>
      </c>
    </row>
    <row r="84">
      <c r="A84" t="inlineStr">
        <is>
          <t>Petrochemical Feedstocks</t>
        </is>
      </c>
      <c r="B84" t="inlineStr">
        <is>
          <t>Energy Use: Delivered: All Sectors: Petrochemical Feedstocks: High Zero-Carbon Technology Cost</t>
        </is>
      </c>
      <c r="C84" t="inlineStr">
        <is>
          <t>AEO.2025.HIGHZTC.CNSM_ENU_ALLS_NA_PCF_DELV_NA_QBTU.A</t>
        </is>
      </c>
      <c r="D84" t="inlineStr">
        <is>
          <t>quads</t>
        </is>
      </c>
      <c r="F84" t="n">
        <v>0.390525</v>
      </c>
      <c r="G84" t="n">
        <v>0.355</v>
      </c>
      <c r="H84" t="n">
        <v>0.55</v>
      </c>
      <c r="I84" t="n">
        <v>0.55</v>
      </c>
      <c r="J84" t="n">
        <v>0.55</v>
      </c>
      <c r="K84" t="n">
        <v>0.55</v>
      </c>
      <c r="L84" t="n">
        <v>0.55</v>
      </c>
      <c r="M84" t="n">
        <v>0.55</v>
      </c>
      <c r="N84" t="n">
        <v>0.55</v>
      </c>
      <c r="O84" t="n">
        <v>0.55</v>
      </c>
      <c r="P84" t="n">
        <v>0.55</v>
      </c>
      <c r="Q84" t="n">
        <v>0.55</v>
      </c>
      <c r="R84" t="n">
        <v>0.55</v>
      </c>
      <c r="S84" t="n">
        <v>0.55</v>
      </c>
      <c r="T84" t="n">
        <v>0.55</v>
      </c>
      <c r="U84" t="n">
        <v>0.55</v>
      </c>
      <c r="V84" t="n">
        <v>0.55</v>
      </c>
      <c r="W84" t="n">
        <v>0.55</v>
      </c>
      <c r="X84" t="n">
        <v>0.55</v>
      </c>
      <c r="Y84" t="n">
        <v>0.55</v>
      </c>
      <c r="Z84" t="n">
        <v>0.69558</v>
      </c>
      <c r="AA84" t="n">
        <v>0.84116</v>
      </c>
      <c r="AB84" t="n">
        <v>0.84116</v>
      </c>
      <c r="AC84" t="n">
        <v>0.84116</v>
      </c>
      <c r="AD84" t="n">
        <v>0.84116</v>
      </c>
      <c r="AE84" t="n">
        <v>0.964095</v>
      </c>
      <c r="AF84" t="n">
        <v>1.087029</v>
      </c>
      <c r="AG84" s="31" t="n">
        <v>0.04</v>
      </c>
    </row>
    <row r="85">
      <c r="A85" t="inlineStr">
        <is>
          <t>Other Petroleum</t>
        </is>
      </c>
      <c r="B85" t="inlineStr">
        <is>
          <t>Energy Use: Delivered: All Sectors: Other Petroleum: High Zero-Carbon Technology Cost</t>
        </is>
      </c>
      <c r="C85" t="inlineStr">
        <is>
          <t>AEO.2025.HIGHZTC.CNSM_ENU_ALLS_NA_ONP_DELV_NA_QBTU.A</t>
        </is>
      </c>
      <c r="D85" t="inlineStr">
        <is>
          <t>quads</t>
        </is>
      </c>
      <c r="F85" t="n">
        <v>3.229577</v>
      </c>
      <c r="G85" t="n">
        <v>3.269989</v>
      </c>
      <c r="H85" t="n">
        <v>3.230878</v>
      </c>
      <c r="I85" t="n">
        <v>3.2594</v>
      </c>
      <c r="J85" t="n">
        <v>3.305429</v>
      </c>
      <c r="K85" t="n">
        <v>3.297212</v>
      </c>
      <c r="L85" t="n">
        <v>3.331703</v>
      </c>
      <c r="M85" t="n">
        <v>3.34923</v>
      </c>
      <c r="N85" t="n">
        <v>3.348611</v>
      </c>
      <c r="O85" t="n">
        <v>3.33522</v>
      </c>
      <c r="P85" t="n">
        <v>3.348197</v>
      </c>
      <c r="Q85" t="n">
        <v>3.346469</v>
      </c>
      <c r="R85" t="n">
        <v>3.360548</v>
      </c>
      <c r="S85" t="n">
        <v>3.365189</v>
      </c>
      <c r="T85" t="n">
        <v>3.365635</v>
      </c>
      <c r="U85" t="n">
        <v>3.376118</v>
      </c>
      <c r="V85" t="n">
        <v>3.393629</v>
      </c>
      <c r="W85" t="n">
        <v>3.40167</v>
      </c>
      <c r="X85" t="n">
        <v>3.390471</v>
      </c>
      <c r="Y85" t="n">
        <v>3.406804</v>
      </c>
      <c r="Z85" t="n">
        <v>3.406963</v>
      </c>
      <c r="AA85" t="n">
        <v>3.406132</v>
      </c>
      <c r="AB85" t="n">
        <v>3.418554</v>
      </c>
      <c r="AC85" t="n">
        <v>3.437011</v>
      </c>
      <c r="AD85" t="n">
        <v>3.437091</v>
      </c>
      <c r="AE85" t="n">
        <v>3.433762</v>
      </c>
      <c r="AF85" t="n">
        <v>3.420246</v>
      </c>
      <c r="AG85" s="31" t="n">
        <v>0.002</v>
      </c>
    </row>
    <row r="86" customFormat="1" s="32">
      <c r="A86" s="32" t="inlineStr">
        <is>
          <t>Petroleum and Other Liquids Subtotal</t>
        </is>
      </c>
      <c r="B86" s="32" t="inlineStr">
        <is>
          <t>Energy Use: Delivered: All Sectors: Liquid Fuels Subtotal: High Zero-Carbon Technology Cost</t>
        </is>
      </c>
      <c r="C86" s="32" t="inlineStr">
        <is>
          <t>AEO.2025.HIGHZTC.CNSM_ENU_ALLS_NA_LFL_DELV_NA_QBTU.A</t>
        </is>
      </c>
      <c r="D86" s="32" t="inlineStr">
        <is>
          <t>quads</t>
        </is>
      </c>
      <c r="F86" s="32" t="n">
        <v>37.085793</v>
      </c>
      <c r="G86" s="32" t="n">
        <v>37.489883</v>
      </c>
      <c r="H86" s="32" t="n">
        <v>37.577854</v>
      </c>
      <c r="I86" s="32" t="n">
        <v>37.426598</v>
      </c>
      <c r="J86" s="32" t="n">
        <v>37.217857</v>
      </c>
      <c r="K86" s="32" t="n">
        <v>36.890331</v>
      </c>
      <c r="L86" s="32" t="n">
        <v>36.485996</v>
      </c>
      <c r="M86" s="32" t="n">
        <v>36.023193</v>
      </c>
      <c r="N86" s="32" t="n">
        <v>35.400219</v>
      </c>
      <c r="O86" s="32" t="n">
        <v>34.762871</v>
      </c>
      <c r="P86" s="32" t="n">
        <v>34.192352</v>
      </c>
      <c r="Q86" s="32" t="n">
        <v>33.626617</v>
      </c>
      <c r="R86" s="32" t="n">
        <v>33.076553</v>
      </c>
      <c r="S86" s="32" t="n">
        <v>32.538647</v>
      </c>
      <c r="T86" s="32" t="n">
        <v>32.081234</v>
      </c>
      <c r="U86" s="32" t="n">
        <v>31.69808</v>
      </c>
      <c r="V86" s="32" t="n">
        <v>31.399448</v>
      </c>
      <c r="W86" s="32" t="n">
        <v>31.100292</v>
      </c>
      <c r="X86" s="32" t="n">
        <v>30.808708</v>
      </c>
      <c r="Y86" s="32" t="n">
        <v>30.593544</v>
      </c>
      <c r="Z86" s="32" t="n">
        <v>30.449158</v>
      </c>
      <c r="AA86" s="32" t="n">
        <v>30.355955</v>
      </c>
      <c r="AB86" s="32" t="n">
        <v>30.238276</v>
      </c>
      <c r="AC86" s="32" t="n">
        <v>30.21365</v>
      </c>
      <c r="AD86" s="32" t="n">
        <v>30.118</v>
      </c>
      <c r="AE86" s="32" t="n">
        <v>30.135941</v>
      </c>
      <c r="AF86" s="32" t="n">
        <v>30.164</v>
      </c>
      <c r="AG86" s="33" t="n">
        <v>-0.008</v>
      </c>
    </row>
    <row r="87">
      <c r="A87" t="inlineStr">
        <is>
          <t>Natural Gas</t>
        </is>
      </c>
      <c r="B87" t="inlineStr">
        <is>
          <t>Energy Use: Delivered: All Sectors: Natural Gas: High Zero-Carbon Technology Cost</t>
        </is>
      </c>
      <c r="C87" t="inlineStr">
        <is>
          <t>AEO.2025.HIGHZTC.CNSM_ENU_ALLS_NA_NG_DELV_NA_QBTU.A</t>
        </is>
      </c>
      <c r="D87" t="inlineStr">
        <is>
          <t>quads</t>
        </is>
      </c>
      <c r="F87" t="n">
        <v>15.922085</v>
      </c>
      <c r="G87" t="n">
        <v>16.589268</v>
      </c>
      <c r="H87" t="n">
        <v>16.433655</v>
      </c>
      <c r="I87" t="n">
        <v>16.467926</v>
      </c>
      <c r="J87" t="n">
        <v>16.476635</v>
      </c>
      <c r="K87" t="n">
        <v>16.485569</v>
      </c>
      <c r="L87" t="n">
        <v>16.473749</v>
      </c>
      <c r="M87" t="n">
        <v>16.472303</v>
      </c>
      <c r="N87" t="n">
        <v>16.420673</v>
      </c>
      <c r="O87" t="n">
        <v>16.331055</v>
      </c>
      <c r="P87" t="n">
        <v>16.244268</v>
      </c>
      <c r="Q87" t="n">
        <v>16.183437</v>
      </c>
      <c r="R87" t="n">
        <v>16.155165</v>
      </c>
      <c r="S87" t="n">
        <v>16.150698</v>
      </c>
      <c r="T87" t="n">
        <v>16.180746</v>
      </c>
      <c r="U87" t="n">
        <v>16.226549</v>
      </c>
      <c r="V87" t="n">
        <v>16.269405</v>
      </c>
      <c r="W87" t="n">
        <v>16.272173</v>
      </c>
      <c r="X87" t="n">
        <v>16.274857</v>
      </c>
      <c r="Y87" t="n">
        <v>16.296432</v>
      </c>
      <c r="Z87" t="n">
        <v>16.30525</v>
      </c>
      <c r="AA87" t="n">
        <v>16.318613</v>
      </c>
      <c r="AB87" t="n">
        <v>16.333918</v>
      </c>
      <c r="AC87" t="n">
        <v>16.378664</v>
      </c>
      <c r="AD87" t="n">
        <v>16.412935</v>
      </c>
      <c r="AE87" t="n">
        <v>16.440083</v>
      </c>
      <c r="AF87" t="n">
        <v>16.456854</v>
      </c>
      <c r="AG87" s="31" t="n">
        <v>0.001</v>
      </c>
    </row>
    <row r="88">
      <c r="A88" t="inlineStr">
        <is>
          <t>Lease and Plant Fuel</t>
        </is>
      </c>
      <c r="B88" t="inlineStr">
        <is>
          <t>Energy Use: Delivered: All Sectors: Lease and Plant Fuel: High Zero-Carbon Technology Cost</t>
        </is>
      </c>
      <c r="C88" t="inlineStr">
        <is>
          <t>AEO.2025.HIGHZTC.CNSM_ENU_ALLS_NA_LSAPFL_DELV_NA_QBTU.A</t>
        </is>
      </c>
      <c r="D88" t="inlineStr">
        <is>
          <t>quads</t>
        </is>
      </c>
      <c r="F88" t="n">
        <v>2.045295</v>
      </c>
      <c r="G88" t="n">
        <v>2.052198</v>
      </c>
      <c r="H88" t="n">
        <v>2.151558</v>
      </c>
      <c r="I88" t="n">
        <v>2.160423</v>
      </c>
      <c r="J88" t="n">
        <v>2.206005</v>
      </c>
      <c r="K88" t="n">
        <v>2.226782</v>
      </c>
      <c r="L88" t="n">
        <v>2.238047</v>
      </c>
      <c r="M88" t="n">
        <v>2.23259</v>
      </c>
      <c r="N88" t="n">
        <v>2.285561</v>
      </c>
      <c r="O88" t="n">
        <v>2.298938</v>
      </c>
      <c r="P88" t="n">
        <v>2.313583</v>
      </c>
      <c r="Q88" t="n">
        <v>2.305008</v>
      </c>
      <c r="R88" t="n">
        <v>2.296317</v>
      </c>
      <c r="S88" t="n">
        <v>2.271652</v>
      </c>
      <c r="T88" t="n">
        <v>2.265647</v>
      </c>
      <c r="U88" t="n">
        <v>2.24652</v>
      </c>
      <c r="V88" t="n">
        <v>2.25015</v>
      </c>
      <c r="W88" t="n">
        <v>2.26053</v>
      </c>
      <c r="X88" t="n">
        <v>2.271182</v>
      </c>
      <c r="Y88" t="n">
        <v>2.275658</v>
      </c>
      <c r="Z88" t="n">
        <v>2.278661</v>
      </c>
      <c r="AA88" t="n">
        <v>2.28227</v>
      </c>
      <c r="AB88" t="n">
        <v>2.29152</v>
      </c>
      <c r="AC88" t="n">
        <v>2.301058</v>
      </c>
      <c r="AD88" t="n">
        <v>2.305694</v>
      </c>
      <c r="AE88" t="n">
        <v>2.311272</v>
      </c>
      <c r="AF88" t="n">
        <v>2.318181</v>
      </c>
      <c r="AG88" s="31" t="n">
        <v>0.005</v>
      </c>
    </row>
    <row r="89">
      <c r="A89" t="inlineStr">
        <is>
          <t>Natural Gas to Liquefy Gas for Export</t>
        </is>
      </c>
      <c r="B89" t="inlineStr">
        <is>
          <t>Energy Use: Delivered: All Sectors: Liquefaction: High Zero-Carbon Technology Cost</t>
        </is>
      </c>
      <c r="C89" t="inlineStr">
        <is>
          <t>AEO.2025.HIGHZTC.CNSM_ENU_ALLS_NA_LQFCT_DELV_NA_QBTU.A</t>
        </is>
      </c>
      <c r="D89" t="inlineStr">
        <is>
          <t>quads</t>
        </is>
      </c>
      <c r="F89" t="n">
        <v>0.36799</v>
      </c>
      <c r="G89" t="n">
        <v>0.420411</v>
      </c>
      <c r="H89" t="n">
        <v>0.447693</v>
      </c>
      <c r="I89" t="n">
        <v>0.448493</v>
      </c>
      <c r="J89" t="n">
        <v>0.5349969999999999</v>
      </c>
      <c r="K89" t="n">
        <v>0.595588</v>
      </c>
      <c r="L89" t="n">
        <v>0.658577</v>
      </c>
      <c r="M89" t="n">
        <v>0.675613</v>
      </c>
      <c r="N89" t="n">
        <v>0.693994</v>
      </c>
      <c r="O89" t="n">
        <v>0.709179</v>
      </c>
      <c r="P89" t="n">
        <v>0.725923</v>
      </c>
      <c r="Q89" t="n">
        <v>0.7343150000000001</v>
      </c>
      <c r="R89" t="n">
        <v>0.744344</v>
      </c>
      <c r="S89" t="n">
        <v>0.7511370000000001</v>
      </c>
      <c r="T89" t="n">
        <v>0.7511370000000001</v>
      </c>
      <c r="U89" t="n">
        <v>0.7511370000000001</v>
      </c>
      <c r="V89" t="n">
        <v>0.752735</v>
      </c>
      <c r="W89" t="n">
        <v>0.7511370000000001</v>
      </c>
      <c r="X89" t="n">
        <v>0.751053</v>
      </c>
      <c r="Y89" t="n">
        <v>0.747796</v>
      </c>
      <c r="Z89" t="n">
        <v>0.745887</v>
      </c>
      <c r="AA89" t="n">
        <v>0.744061</v>
      </c>
      <c r="AB89" t="n">
        <v>0.741294</v>
      </c>
      <c r="AC89" t="n">
        <v>0.741682</v>
      </c>
      <c r="AD89" t="n">
        <v>0.740833</v>
      </c>
      <c r="AE89" t="n">
        <v>0.738851</v>
      </c>
      <c r="AF89" t="n">
        <v>0.741926</v>
      </c>
      <c r="AG89" s="31" t="n">
        <v>0.027</v>
      </c>
    </row>
    <row r="90">
      <c r="A90" t="inlineStr">
        <is>
          <t>Pipeline and Distribution Fuel Natural Gas</t>
        </is>
      </c>
      <c r="B90" t="inlineStr">
        <is>
          <t>Energy Use: Delivered: All Sectors: Pipeline Natural Gas: High Zero-Carbon Technology Cost</t>
        </is>
      </c>
      <c r="C90" t="inlineStr">
        <is>
          <t>AEO.2025.HIGHZTC.CNSM_ENU_ALLS_NA_PPN_DELV_NA_QBTU.A</t>
        </is>
      </c>
      <c r="D90" t="inlineStr">
        <is>
          <t>quads</t>
        </is>
      </c>
      <c r="F90" t="n">
        <v>0.924188</v>
      </c>
      <c r="G90" t="n">
        <v>0.870456</v>
      </c>
      <c r="H90" t="n">
        <v>0.8644230000000001</v>
      </c>
      <c r="I90" t="n">
        <v>0.836058</v>
      </c>
      <c r="J90" t="n">
        <v>0.79698</v>
      </c>
      <c r="K90" t="n">
        <v>0.765965</v>
      </c>
      <c r="L90" t="n">
        <v>0.728791</v>
      </c>
      <c r="M90" t="n">
        <v>0.71577</v>
      </c>
      <c r="N90" t="n">
        <v>0.724214</v>
      </c>
      <c r="O90" t="n">
        <v>0.7176630000000001</v>
      </c>
      <c r="P90" t="n">
        <v>0.716695</v>
      </c>
      <c r="Q90" t="n">
        <v>0.718068</v>
      </c>
      <c r="R90" t="n">
        <v>0.719897</v>
      </c>
      <c r="S90" t="n">
        <v>0.7183079999999999</v>
      </c>
      <c r="T90" t="n">
        <v>0.719704</v>
      </c>
      <c r="U90" t="n">
        <v>0.722538</v>
      </c>
      <c r="V90" t="n">
        <v>0.730927</v>
      </c>
      <c r="W90" t="n">
        <v>0.740044</v>
      </c>
      <c r="X90" t="n">
        <v>0.751189</v>
      </c>
      <c r="Y90" t="n">
        <v>0.764559</v>
      </c>
      <c r="Z90" t="n">
        <v>0.780261</v>
      </c>
      <c r="AA90" t="n">
        <v>0.795535</v>
      </c>
      <c r="AB90" t="n">
        <v>0.807068</v>
      </c>
      <c r="AC90" t="n">
        <v>0.819466</v>
      </c>
      <c r="AD90" t="n">
        <v>0.833344</v>
      </c>
      <c r="AE90" t="n">
        <v>0.848647</v>
      </c>
      <c r="AF90" t="n">
        <v>0.866417</v>
      </c>
      <c r="AG90" s="31" t="n">
        <v>-0.002</v>
      </c>
    </row>
    <row r="91">
      <c r="A91" t="inlineStr">
        <is>
          <t>Natural Gas Subtotal</t>
        </is>
      </c>
      <c r="B91" t="inlineStr">
        <is>
          <t>Energy Use: Delivered: All Sectors: Natural Gas Subtotal: High Zero-Carbon Technology Cost</t>
        </is>
      </c>
      <c r="C91" t="inlineStr">
        <is>
          <t>AEO.2025.HIGHZTC.CNSM_ENU_ALLS_NA_NGS_DELV_NA_QBTU.A</t>
        </is>
      </c>
      <c r="D91" t="inlineStr">
        <is>
          <t>quads</t>
        </is>
      </c>
      <c r="F91" t="n">
        <v>19.25956</v>
      </c>
      <c r="G91" t="n">
        <v>19.932333</v>
      </c>
      <c r="H91" t="n">
        <v>19.897329</v>
      </c>
      <c r="I91" t="n">
        <v>19.912901</v>
      </c>
      <c r="J91" t="n">
        <v>20.014618</v>
      </c>
      <c r="K91" t="n">
        <v>20.073904</v>
      </c>
      <c r="L91" t="n">
        <v>20.099163</v>
      </c>
      <c r="M91" t="n">
        <v>20.096277</v>
      </c>
      <c r="N91" t="n">
        <v>20.124443</v>
      </c>
      <c r="O91" t="n">
        <v>20.056835</v>
      </c>
      <c r="P91" t="n">
        <v>20.000469</v>
      </c>
      <c r="Q91" t="n">
        <v>19.940828</v>
      </c>
      <c r="R91" t="n">
        <v>19.91572</v>
      </c>
      <c r="S91" t="n">
        <v>19.891794</v>
      </c>
      <c r="T91" t="n">
        <v>19.917233</v>
      </c>
      <c r="U91" t="n">
        <v>19.946743</v>
      </c>
      <c r="V91" t="n">
        <v>20.00322</v>
      </c>
      <c r="W91" t="n">
        <v>20.023884</v>
      </c>
      <c r="X91" t="n">
        <v>20.048279</v>
      </c>
      <c r="Y91" t="n">
        <v>20.084446</v>
      </c>
      <c r="Z91" t="n">
        <v>20.11006</v>
      </c>
      <c r="AA91" t="n">
        <v>20.14048</v>
      </c>
      <c r="AB91" t="n">
        <v>20.1738</v>
      </c>
      <c r="AC91" t="n">
        <v>20.24087</v>
      </c>
      <c r="AD91" t="n">
        <v>20.292807</v>
      </c>
      <c r="AE91" t="n">
        <v>20.338852</v>
      </c>
      <c r="AF91" t="n">
        <v>20.383377</v>
      </c>
      <c r="AG91" s="31" t="n">
        <v>0.002</v>
      </c>
    </row>
    <row r="92">
      <c r="A92" t="inlineStr">
        <is>
          <t>Metallurgical Coal</t>
        </is>
      </c>
      <c r="B92" t="inlineStr">
        <is>
          <t>Energy Use: Delivered: All Sectors: Metallurgical Coal: High Zero-Carbon Technology Cost</t>
        </is>
      </c>
      <c r="C92" t="inlineStr">
        <is>
          <t>AEO.2025.HIGHZTC.CNSM_ENU_ALLS_NA_MTC_DELV_NA_QBTU.A</t>
        </is>
      </c>
      <c r="D92" t="inlineStr">
        <is>
          <t>quads</t>
        </is>
      </c>
      <c r="F92" t="n">
        <v>0.439918</v>
      </c>
      <c r="G92" t="n">
        <v>0.435673</v>
      </c>
      <c r="H92" t="n">
        <v>0.438461</v>
      </c>
      <c r="I92" t="n">
        <v>0.428289</v>
      </c>
      <c r="J92" t="n">
        <v>0.411773</v>
      </c>
      <c r="K92" t="n">
        <v>0.397336</v>
      </c>
      <c r="L92" t="n">
        <v>0.389217</v>
      </c>
      <c r="M92" t="n">
        <v>0.383361</v>
      </c>
      <c r="N92" t="n">
        <v>0.377719</v>
      </c>
      <c r="O92" t="n">
        <v>0.365618</v>
      </c>
      <c r="P92" t="n">
        <v>0.35786</v>
      </c>
      <c r="Q92" t="n">
        <v>0.349664</v>
      </c>
      <c r="R92" t="n">
        <v>0.341143</v>
      </c>
      <c r="S92" t="n">
        <v>0.336128</v>
      </c>
      <c r="T92" t="n">
        <v>0.329678</v>
      </c>
      <c r="U92" t="n">
        <v>0.322872</v>
      </c>
      <c r="V92" t="n">
        <v>0.318494</v>
      </c>
      <c r="W92" t="n">
        <v>0.312377</v>
      </c>
      <c r="X92" t="n">
        <v>0.305367</v>
      </c>
      <c r="Y92" t="n">
        <v>0.30015</v>
      </c>
      <c r="Z92" t="n">
        <v>0.294061</v>
      </c>
      <c r="AA92" t="n">
        <v>0.286897</v>
      </c>
      <c r="AB92" t="n">
        <v>0.279237</v>
      </c>
      <c r="AC92" t="n">
        <v>0.272919</v>
      </c>
      <c r="AD92" t="n">
        <v>0.265611</v>
      </c>
      <c r="AE92" t="n">
        <v>0.257843</v>
      </c>
      <c r="AF92" t="n">
        <v>0.249977</v>
      </c>
      <c r="AG92" s="31" t="n">
        <v>-0.022</v>
      </c>
    </row>
    <row r="93">
      <c r="A93" t="inlineStr">
        <is>
          <t>Other Coal</t>
        </is>
      </c>
      <c r="B93" t="inlineStr">
        <is>
          <t>Energy Use: Delivered: All Sectors: Other Coal: High Zero-Carbon Technology Cost</t>
        </is>
      </c>
      <c r="C93" t="inlineStr">
        <is>
          <t>AEO.2025.HIGHZTC.CNSM_ENU_ALLS_NA_OCA_DELV_NA_QBTU.A</t>
        </is>
      </c>
      <c r="D93" t="inlineStr">
        <is>
          <t>quads</t>
        </is>
      </c>
      <c r="F93" t="n">
        <v>0.358836</v>
      </c>
      <c r="G93" t="n">
        <v>0.371717</v>
      </c>
      <c r="H93" t="n">
        <v>0.382933</v>
      </c>
      <c r="I93" t="n">
        <v>0.38906</v>
      </c>
      <c r="J93" t="n">
        <v>0.395761</v>
      </c>
      <c r="K93" t="n">
        <v>0.397334</v>
      </c>
      <c r="L93" t="n">
        <v>0.40096</v>
      </c>
      <c r="M93" t="n">
        <v>0.403832</v>
      </c>
      <c r="N93" t="n">
        <v>0.408537</v>
      </c>
      <c r="O93" t="n">
        <v>0.409068</v>
      </c>
      <c r="P93" t="n">
        <v>0.408606</v>
      </c>
      <c r="Q93" t="n">
        <v>0.405451</v>
      </c>
      <c r="R93" t="n">
        <v>0.399772</v>
      </c>
      <c r="S93" t="n">
        <v>0.394068</v>
      </c>
      <c r="T93" t="n">
        <v>0.38788</v>
      </c>
      <c r="U93" t="n">
        <v>0.383198</v>
      </c>
      <c r="V93" t="n">
        <v>0.379415</v>
      </c>
      <c r="W93" t="n">
        <v>0.375627</v>
      </c>
      <c r="X93" t="n">
        <v>0.371659</v>
      </c>
      <c r="Y93" t="n">
        <v>0.367293</v>
      </c>
      <c r="Z93" t="n">
        <v>0.362837</v>
      </c>
      <c r="AA93" t="n">
        <v>0.358532</v>
      </c>
      <c r="AB93" t="n">
        <v>0.354327</v>
      </c>
      <c r="AC93" t="n">
        <v>0.35053</v>
      </c>
      <c r="AD93" t="n">
        <v>0.346893</v>
      </c>
      <c r="AE93" t="n">
        <v>0.343557</v>
      </c>
      <c r="AF93" t="n">
        <v>0.339177</v>
      </c>
      <c r="AG93" s="31" t="n">
        <v>-0.002</v>
      </c>
    </row>
    <row r="94">
      <c r="A94" t="inlineStr">
        <is>
          <t>Net Coal Coke Imports</t>
        </is>
      </c>
      <c r="B94" t="inlineStr">
        <is>
          <t>Energy Use: Delivered: All Sectors: Net Coal Coke Imports: High Zero-Carbon Technology Cost</t>
        </is>
      </c>
      <c r="C94" t="inlineStr">
        <is>
          <t>AEO.2025.HIGHZTC.CNSM_ENU_ALLS_NA_NCC_DELV_NA_QBTU.A</t>
        </is>
      </c>
      <c r="D94" t="inlineStr">
        <is>
          <t>quads</t>
        </is>
      </c>
      <c r="F94" t="n">
        <v>-0.038964</v>
      </c>
      <c r="G94" t="n">
        <v>-0.023891</v>
      </c>
      <c r="H94" t="n">
        <v>-0.023021</v>
      </c>
      <c r="I94" t="n">
        <v>-0.023145</v>
      </c>
      <c r="J94" t="n">
        <v>-0.022817</v>
      </c>
      <c r="K94" t="n">
        <v>-0.02209</v>
      </c>
      <c r="L94" t="n">
        <v>-0.021711</v>
      </c>
      <c r="M94" t="n">
        <v>-0.021406</v>
      </c>
      <c r="N94" t="n">
        <v>-0.021105</v>
      </c>
      <c r="O94" t="n">
        <v>-0.020562</v>
      </c>
      <c r="P94" t="n">
        <v>-0.020175</v>
      </c>
      <c r="Q94" t="n">
        <v>-0.019771</v>
      </c>
      <c r="R94" t="n">
        <v>-0.019343</v>
      </c>
      <c r="S94" t="n">
        <v>-0.018997</v>
      </c>
      <c r="T94" t="n">
        <v>-0.018635</v>
      </c>
      <c r="U94" t="n">
        <v>-0.018258</v>
      </c>
      <c r="V94" t="n">
        <v>-0.01773</v>
      </c>
      <c r="W94" t="n">
        <v>-0.017425</v>
      </c>
      <c r="X94" t="n">
        <v>-0.017122</v>
      </c>
      <c r="Y94" t="n">
        <v>-0.016646</v>
      </c>
      <c r="Z94" t="n">
        <v>-0.016328</v>
      </c>
      <c r="AA94" t="n">
        <v>-0.016051</v>
      </c>
      <c r="AB94" t="n">
        <v>-0.015833</v>
      </c>
      <c r="AC94" t="n">
        <v>-0.015453</v>
      </c>
      <c r="AD94" t="n">
        <v>-0.015294</v>
      </c>
      <c r="AE94" t="n">
        <v>-0.015107</v>
      </c>
      <c r="AF94" t="n">
        <v>-0.014683</v>
      </c>
      <c r="AG94" s="31" t="n">
        <v>-0.037</v>
      </c>
    </row>
    <row r="95">
      <c r="A95" t="inlineStr">
        <is>
          <t>Coal Subtotal</t>
        </is>
      </c>
      <c r="B95" t="inlineStr">
        <is>
          <t>Energy Use: Delivered: All Sectors: Coal Subtotal: High Zero-Carbon Technology Cost</t>
        </is>
      </c>
      <c r="C95" t="inlineStr">
        <is>
          <t>AEO.2025.HIGHZTC.CNSM_ENU_ALLS_NA_COS_DELV_NA_QBTU.A</t>
        </is>
      </c>
      <c r="D95" t="inlineStr">
        <is>
          <t>quads</t>
        </is>
      </c>
      <c r="F95" t="n">
        <v>0.759791</v>
      </c>
      <c r="G95" t="n">
        <v>0.7834989999999999</v>
      </c>
      <c r="H95" t="n">
        <v>0.798373</v>
      </c>
      <c r="I95" t="n">
        <v>0.794204</v>
      </c>
      <c r="J95" t="n">
        <v>0.784717</v>
      </c>
      <c r="K95" t="n">
        <v>0.77258</v>
      </c>
      <c r="L95" t="n">
        <v>0.768466</v>
      </c>
      <c r="M95" t="n">
        <v>0.765787</v>
      </c>
      <c r="N95" t="n">
        <v>0.76515</v>
      </c>
      <c r="O95" t="n">
        <v>0.754123</v>
      </c>
      <c r="P95" t="n">
        <v>0.746292</v>
      </c>
      <c r="Q95" t="n">
        <v>0.735344</v>
      </c>
      <c r="R95" t="n">
        <v>0.721572</v>
      </c>
      <c r="S95" t="n">
        <v>0.711199</v>
      </c>
      <c r="T95" t="n">
        <v>0.698923</v>
      </c>
      <c r="U95" t="n">
        <v>0.687813</v>
      </c>
      <c r="V95" t="n">
        <v>0.680179</v>
      </c>
      <c r="W95" t="n">
        <v>0.670579</v>
      </c>
      <c r="X95" t="n">
        <v>0.659905</v>
      </c>
      <c r="Y95" t="n">
        <v>0.650797</v>
      </c>
      <c r="Z95" t="n">
        <v>0.640571</v>
      </c>
      <c r="AA95" t="n">
        <v>0.629379</v>
      </c>
      <c r="AB95" t="n">
        <v>0.6177319999999999</v>
      </c>
      <c r="AC95" t="n">
        <v>0.607996</v>
      </c>
      <c r="AD95" t="n">
        <v>0.59721</v>
      </c>
      <c r="AE95" t="n">
        <v>0.586293</v>
      </c>
      <c r="AF95" t="n">
        <v>0.574472</v>
      </c>
      <c r="AG95" s="31" t="n">
        <v>-0.011</v>
      </c>
    </row>
    <row r="96">
      <c r="A96" t="inlineStr">
        <is>
          <t>Biofuels Heat and Coproducts</t>
        </is>
      </c>
      <c r="B96" t="inlineStr">
        <is>
          <t>Energy Use: Delivered: All Sectors: Biofuels Heat and Coproducts: High Zero-Carbon Technology Cost</t>
        </is>
      </c>
      <c r="C96" t="inlineStr">
        <is>
          <t>AEO.2025.HIGHZTC.CNSM_ENU_ALLS_NA_BFH_DELV_NA_QBTU.A</t>
        </is>
      </c>
      <c r="D96" t="inlineStr">
        <is>
          <t>quads</t>
        </is>
      </c>
      <c r="F96" t="n">
        <v>0.894331</v>
      </c>
      <c r="G96" t="n">
        <v>0.916567</v>
      </c>
      <c r="H96" t="n">
        <v>0.914157</v>
      </c>
      <c r="I96" t="n">
        <v>0.914463</v>
      </c>
      <c r="J96" t="n">
        <v>0.913182</v>
      </c>
      <c r="K96" t="n">
        <v>0.908272</v>
      </c>
      <c r="L96" t="n">
        <v>0.903837</v>
      </c>
      <c r="M96" t="n">
        <v>0.892968</v>
      </c>
      <c r="N96" t="n">
        <v>0.8836889999999999</v>
      </c>
      <c r="O96" t="n">
        <v>0.868351</v>
      </c>
      <c r="P96" t="n">
        <v>0.853619</v>
      </c>
      <c r="Q96" t="n">
        <v>0.83833</v>
      </c>
      <c r="R96" t="n">
        <v>0.828071</v>
      </c>
      <c r="S96" t="n">
        <v>0.811011</v>
      </c>
      <c r="T96" t="n">
        <v>0.79575</v>
      </c>
      <c r="U96" t="n">
        <v>0.784349</v>
      </c>
      <c r="V96" t="n">
        <v>0.782166</v>
      </c>
      <c r="W96" t="n">
        <v>0.771797</v>
      </c>
      <c r="X96" t="n">
        <v>0.761696</v>
      </c>
      <c r="Y96" t="n">
        <v>0.755206</v>
      </c>
      <c r="Z96" t="n">
        <v>0.753325</v>
      </c>
      <c r="AA96" t="n">
        <v>0.75422</v>
      </c>
      <c r="AB96" t="n">
        <v>0.751773</v>
      </c>
      <c r="AC96" t="n">
        <v>0.751815</v>
      </c>
      <c r="AD96" t="n">
        <v>0.75012</v>
      </c>
      <c r="AE96" t="n">
        <v>0.752011</v>
      </c>
      <c r="AF96" t="n">
        <v>0.755675</v>
      </c>
      <c r="AG96" s="31" t="n">
        <v>-0.006</v>
      </c>
    </row>
    <row r="97">
      <c r="A97" t="inlineStr">
        <is>
          <t>Renewable Energy</t>
        </is>
      </c>
      <c r="B97" t="inlineStr">
        <is>
          <t>Energy Use: Delivered: All Sectors: Renewable Energy: High Zero-Carbon Technology Cost</t>
        </is>
      </c>
      <c r="C97" t="inlineStr">
        <is>
          <t>AEO.2025.HIGHZTC.CNSM_ENU_ALLS_NA_REN_DELV_NA_QBTU.A</t>
        </is>
      </c>
      <c r="D97" t="inlineStr">
        <is>
          <t>quads</t>
        </is>
      </c>
      <c r="F97" t="n">
        <v>1.919802</v>
      </c>
      <c r="G97" t="n">
        <v>1.947592</v>
      </c>
      <c r="H97" t="n">
        <v>1.957706</v>
      </c>
      <c r="I97" t="n">
        <v>1.950939</v>
      </c>
      <c r="J97" t="n">
        <v>1.956208</v>
      </c>
      <c r="K97" t="n">
        <v>1.978039</v>
      </c>
      <c r="L97" t="n">
        <v>1.998489</v>
      </c>
      <c r="M97" t="n">
        <v>2.019272</v>
      </c>
      <c r="N97" t="n">
        <v>2.032007</v>
      </c>
      <c r="O97" t="n">
        <v>2.034527</v>
      </c>
      <c r="P97" t="n">
        <v>2.049155</v>
      </c>
      <c r="Q97" t="n">
        <v>2.064731</v>
      </c>
      <c r="R97" t="n">
        <v>2.091694</v>
      </c>
      <c r="S97" t="n">
        <v>2.111202</v>
      </c>
      <c r="T97" t="n">
        <v>2.12368</v>
      </c>
      <c r="U97" t="n">
        <v>2.14098</v>
      </c>
      <c r="V97" t="n">
        <v>2.152431</v>
      </c>
      <c r="W97" t="n">
        <v>2.147062</v>
      </c>
      <c r="X97" t="n">
        <v>2.148016</v>
      </c>
      <c r="Y97" t="n">
        <v>2.140313</v>
      </c>
      <c r="Z97" t="n">
        <v>2.14347</v>
      </c>
      <c r="AA97" t="n">
        <v>2.152969</v>
      </c>
      <c r="AB97" t="n">
        <v>2.16714</v>
      </c>
      <c r="AC97" t="n">
        <v>2.186312</v>
      </c>
      <c r="AD97" t="n">
        <v>2.203931</v>
      </c>
      <c r="AE97" t="n">
        <v>2.223129</v>
      </c>
      <c r="AF97" t="n">
        <v>2.240008</v>
      </c>
      <c r="AG97" s="31" t="n">
        <v>0.006</v>
      </c>
    </row>
    <row r="98">
      <c r="A98" t="inlineStr">
        <is>
          <t>Hydrogen</t>
        </is>
      </c>
      <c r="B98" t="inlineStr">
        <is>
          <t>Energy Use: Delivered: All Sectors: Hydrogen: High Zero-Carbon Technology Cost</t>
        </is>
      </c>
      <c r="C98" t="inlineStr">
        <is>
          <t>AEO.2025.HIGHZTC.CNSM_ENU_ALLS_NA_HDG_DELV_NA_QBTU.A</t>
        </is>
      </c>
      <c r="D98" t="inlineStr">
        <is>
          <t>quads</t>
        </is>
      </c>
      <c r="F98" t="n">
        <v>1.045427</v>
      </c>
      <c r="G98" t="n">
        <v>1.061926</v>
      </c>
      <c r="H98" t="n">
        <v>1.084966</v>
      </c>
      <c r="I98" t="n">
        <v>1.09551</v>
      </c>
      <c r="J98" t="n">
        <v>1.104225</v>
      </c>
      <c r="K98" t="n">
        <v>1.114298</v>
      </c>
      <c r="L98" t="n">
        <v>1.135949</v>
      </c>
      <c r="M98" t="n">
        <v>1.168811</v>
      </c>
      <c r="N98" t="n">
        <v>1.234549</v>
      </c>
      <c r="O98" t="n">
        <v>1.292812</v>
      </c>
      <c r="P98" t="n">
        <v>1.351697</v>
      </c>
      <c r="Q98" t="n">
        <v>1.404623</v>
      </c>
      <c r="R98" t="n">
        <v>1.455356</v>
      </c>
      <c r="S98" t="n">
        <v>1.504515</v>
      </c>
      <c r="T98" t="n">
        <v>1.550754</v>
      </c>
      <c r="U98" t="n">
        <v>1.59485</v>
      </c>
      <c r="V98" t="n">
        <v>1.637801</v>
      </c>
      <c r="W98" t="n">
        <v>1.677089</v>
      </c>
      <c r="X98" t="n">
        <v>1.71422</v>
      </c>
      <c r="Y98" t="n">
        <v>1.748042</v>
      </c>
      <c r="Z98" t="n">
        <v>1.780721</v>
      </c>
      <c r="AA98" t="n">
        <v>1.809424</v>
      </c>
      <c r="AB98" t="n">
        <v>1.836292</v>
      </c>
      <c r="AC98" t="n">
        <v>1.861495</v>
      </c>
      <c r="AD98" t="n">
        <v>1.883274</v>
      </c>
      <c r="AE98" t="n">
        <v>1.903056</v>
      </c>
      <c r="AF98" t="n">
        <v>1.920193</v>
      </c>
      <c r="AG98" s="31" t="n">
        <v>0.024</v>
      </c>
    </row>
    <row r="99">
      <c r="A99" t="inlineStr">
        <is>
          <t>Purchased Electricity</t>
        </is>
      </c>
      <c r="B99" t="inlineStr">
        <is>
          <t>Energy Use: Delivered: All Sectors: Electricity: High Zero-Carbon Technology Cost</t>
        </is>
      </c>
      <c r="C99" t="inlineStr">
        <is>
          <t>AEO.2025.HIGHZTC.CNSM_ENU_ALLS_NA_ELC_DELV_NA_QBTU.A</t>
        </is>
      </c>
      <c r="D99" t="inlineStr">
        <is>
          <t>quads</t>
        </is>
      </c>
      <c r="F99" t="n">
        <v>13.431459</v>
      </c>
      <c r="G99" t="n">
        <v>13.501211</v>
      </c>
      <c r="H99" t="n">
        <v>13.586451</v>
      </c>
      <c r="I99" t="n">
        <v>13.764796</v>
      </c>
      <c r="J99" t="n">
        <v>13.920503</v>
      </c>
      <c r="K99" t="n">
        <v>14.101128</v>
      </c>
      <c r="L99" t="n">
        <v>14.27896</v>
      </c>
      <c r="M99" t="n">
        <v>14.464703</v>
      </c>
      <c r="N99" t="n">
        <v>14.712594</v>
      </c>
      <c r="O99" t="n">
        <v>14.971063</v>
      </c>
      <c r="P99" t="n">
        <v>15.280151</v>
      </c>
      <c r="Q99" t="n">
        <v>15.618581</v>
      </c>
      <c r="R99" t="n">
        <v>15.963566</v>
      </c>
      <c r="S99" t="n">
        <v>16.298525</v>
      </c>
      <c r="T99" t="n">
        <v>16.600065</v>
      </c>
      <c r="U99" t="n">
        <v>16.902704</v>
      </c>
      <c r="V99" t="n">
        <v>17.207212</v>
      </c>
      <c r="W99" t="n">
        <v>17.495384</v>
      </c>
      <c r="X99" t="n">
        <v>17.770969</v>
      </c>
      <c r="Y99" t="n">
        <v>18.034969</v>
      </c>
      <c r="Z99" t="n">
        <v>18.284517</v>
      </c>
      <c r="AA99" t="n">
        <v>18.52632</v>
      </c>
      <c r="AB99" t="n">
        <v>18.765745</v>
      </c>
      <c r="AC99" t="n">
        <v>19.005995</v>
      </c>
      <c r="AD99" t="n">
        <v>19.230648</v>
      </c>
      <c r="AE99" t="n">
        <v>19.457304</v>
      </c>
      <c r="AF99" t="n">
        <v>19.676811</v>
      </c>
      <c r="AG99" s="31" t="n">
        <v>0.015</v>
      </c>
    </row>
    <row r="100">
      <c r="A100" t="inlineStr">
        <is>
          <t>Delivered Energy</t>
        </is>
      </c>
      <c r="B100" t="inlineStr">
        <is>
          <t>Energy Use: Delivered: All Sectors: Delivered Energy: High Zero-Carbon Technology Cost</t>
        </is>
      </c>
      <c r="C100" t="inlineStr">
        <is>
          <t>AEO.2025.HIGHZTC.CNSM_ENU_ALLS_NA_DELE_DELV_NA_QBTU.A</t>
        </is>
      </c>
      <c r="D100" t="inlineStr">
        <is>
          <t>quads</t>
        </is>
      </c>
      <c r="F100" t="n">
        <v>74.39616599999999</v>
      </c>
      <c r="G100" t="n">
        <v>75.633017</v>
      </c>
      <c r="H100" t="n">
        <v>75.816836</v>
      </c>
      <c r="I100" t="n">
        <v>75.859414</v>
      </c>
      <c r="J100" t="n">
        <v>75.91131</v>
      </c>
      <c r="K100" t="n">
        <v>75.838549</v>
      </c>
      <c r="L100" t="n">
        <v>75.670862</v>
      </c>
      <c r="M100" t="n">
        <v>75.43100800000001</v>
      </c>
      <c r="N100" t="n">
        <v>75.152647</v>
      </c>
      <c r="O100" t="n">
        <v>74.74058100000001</v>
      </c>
      <c r="P100" t="n">
        <v>74.473737</v>
      </c>
      <c r="Q100" t="n">
        <v>74.22905299999999</v>
      </c>
      <c r="R100" t="n">
        <v>74.052532</v>
      </c>
      <c r="S100" t="n">
        <v>73.866893</v>
      </c>
      <c r="T100" t="n">
        <v>73.767641</v>
      </c>
      <c r="U100" t="n">
        <v>73.755517</v>
      </c>
      <c r="V100" t="n">
        <v>73.862459</v>
      </c>
      <c r="W100" t="n">
        <v>73.88608499999999</v>
      </c>
      <c r="X100" t="n">
        <v>73.911795</v>
      </c>
      <c r="Y100" t="n">
        <v>74.00731399999999</v>
      </c>
      <c r="Z100" t="n">
        <v>74.16182499999999</v>
      </c>
      <c r="AA100" t="n">
        <v>74.36874899999999</v>
      </c>
      <c r="AB100" t="n">
        <v>74.550759</v>
      </c>
      <c r="AC100" t="n">
        <v>74.868138</v>
      </c>
      <c r="AD100" t="n">
        <v>75.075987</v>
      </c>
      <c r="AE100" t="n">
        <v>75.396585</v>
      </c>
      <c r="AF100" t="n">
        <v>75.714538</v>
      </c>
      <c r="AG100" s="31" t="n">
        <v>0.001</v>
      </c>
    </row>
    <row r="101">
      <c r="A101" t="inlineStr">
        <is>
          <t>Electricity-Related Losses</t>
        </is>
      </c>
      <c r="B101" t="inlineStr">
        <is>
          <t>Energy Use: Delivered: All Sectors: Electricity Related Losses: High Zero-Carbon Technology Cost</t>
        </is>
      </c>
      <c r="C101" t="inlineStr">
        <is>
          <t>AEO.2025.HIGHZTC.CNSM_ENU_ALLS_NA_ERL_DELV_NA_QBTU.A</t>
        </is>
      </c>
      <c r="D101" t="inlineStr">
        <is>
          <t>quads</t>
        </is>
      </c>
      <c r="F101" t="n">
        <v>19.090714</v>
      </c>
      <c r="G101" t="n">
        <v>18.607494</v>
      </c>
      <c r="H101" t="n">
        <v>17.610065</v>
      </c>
      <c r="I101" t="n">
        <v>17.159681</v>
      </c>
      <c r="J101" t="n">
        <v>16.968851</v>
      </c>
      <c r="K101" t="n">
        <v>16.887016</v>
      </c>
      <c r="L101" t="n">
        <v>16.412807</v>
      </c>
      <c r="M101" t="n">
        <v>16.094652</v>
      </c>
      <c r="N101" t="n">
        <v>15.311437</v>
      </c>
      <c r="O101" t="n">
        <v>15.073403</v>
      </c>
      <c r="P101" t="n">
        <v>14.828298</v>
      </c>
      <c r="Q101" t="n">
        <v>14.491358</v>
      </c>
      <c r="R101" t="n">
        <v>14.180956</v>
      </c>
      <c r="S101" t="n">
        <v>13.722165</v>
      </c>
      <c r="T101" t="n">
        <v>13.53402</v>
      </c>
      <c r="U101" t="n">
        <v>12.955824</v>
      </c>
      <c r="V101" t="n">
        <v>12.952093</v>
      </c>
      <c r="W101" t="n">
        <v>13.139388</v>
      </c>
      <c r="X101" t="n">
        <v>13.318275</v>
      </c>
      <c r="Y101" t="n">
        <v>13.422241</v>
      </c>
      <c r="Z101" t="n">
        <v>13.536598</v>
      </c>
      <c r="AA101" t="n">
        <v>13.563157</v>
      </c>
      <c r="AB101" t="n">
        <v>13.583549</v>
      </c>
      <c r="AC101" t="n">
        <v>13.650024</v>
      </c>
      <c r="AD101" t="n">
        <v>13.741957</v>
      </c>
      <c r="AE101" t="n">
        <v>13.86136</v>
      </c>
      <c r="AF101" t="n">
        <v>13.867974</v>
      </c>
      <c r="AG101" s="31" t="n">
        <v>-0.012</v>
      </c>
    </row>
    <row r="102">
      <c r="A102" t="inlineStr">
        <is>
          <t>Hydrogen-Related Losses</t>
        </is>
      </c>
      <c r="B102" t="inlineStr">
        <is>
          <t>Energy Use: Delivered: All Sectors: Hydrogen Related Losses: High Zero-Carbon Technology Cost</t>
        </is>
      </c>
      <c r="C102" t="inlineStr">
        <is>
          <t>AEO.2025.HIGHZTC.CNSM_ENU_ALLS_NA_H2RELLOS_DELV_NA_QBTU.A</t>
        </is>
      </c>
      <c r="D102" t="inlineStr">
        <is>
          <t>quads</t>
        </is>
      </c>
      <c r="F102" t="n">
        <v>0.301539</v>
      </c>
      <c r="G102" t="n">
        <v>0.305657</v>
      </c>
      <c r="H102" t="n">
        <v>0.316578</v>
      </c>
      <c r="I102" t="n">
        <v>0.321849</v>
      </c>
      <c r="J102" t="n">
        <v>0.32275</v>
      </c>
      <c r="K102" t="n">
        <v>0.326498</v>
      </c>
      <c r="L102" t="n">
        <v>0.33298</v>
      </c>
      <c r="M102" t="n">
        <v>0.345721</v>
      </c>
      <c r="N102" t="n">
        <v>0.36848</v>
      </c>
      <c r="O102" t="n">
        <v>0.395606</v>
      </c>
      <c r="P102" t="n">
        <v>0.419842</v>
      </c>
      <c r="Q102" t="n">
        <v>0.443475</v>
      </c>
      <c r="R102" t="n">
        <v>0.462564</v>
      </c>
      <c r="S102" t="n">
        <v>0.475717</v>
      </c>
      <c r="T102" t="n">
        <v>0.488878</v>
      </c>
      <c r="U102" t="n">
        <v>0.502124</v>
      </c>
      <c r="V102" t="n">
        <v>0.515532</v>
      </c>
      <c r="W102" t="n">
        <v>0.528936</v>
      </c>
      <c r="X102" t="n">
        <v>0.540035</v>
      </c>
      <c r="Y102" t="n">
        <v>0.551005</v>
      </c>
      <c r="Z102" t="n">
        <v>0.56172</v>
      </c>
      <c r="AA102" t="n">
        <v>0.570756</v>
      </c>
      <c r="AB102" t="n">
        <v>0.577701</v>
      </c>
      <c r="AC102" t="n">
        <v>0.582306</v>
      </c>
      <c r="AD102" t="n">
        <v>0.589289</v>
      </c>
      <c r="AE102" t="n">
        <v>0.589243</v>
      </c>
      <c r="AF102" t="n">
        <v>0.595506</v>
      </c>
      <c r="AG102" s="31" t="n">
        <v>0.027</v>
      </c>
    </row>
    <row r="103">
      <c r="A103" t="inlineStr">
        <is>
          <t>Total</t>
        </is>
      </c>
      <c r="B103" t="inlineStr">
        <is>
          <t>Energy Use: Delivered: All Sectors: Total: High Zero-Carbon Technology Cost</t>
        </is>
      </c>
      <c r="C103" t="inlineStr">
        <is>
          <t>AEO.2025.HIGHZTC.CNSM_ENU_ALLS_NA_TOT_NA_NA_QBTU.A</t>
        </is>
      </c>
      <c r="D103" t="inlineStr">
        <is>
          <t>quads</t>
        </is>
      </c>
      <c r="F103" t="n">
        <v>93.788419</v>
      </c>
      <c r="G103" t="n">
        <v>94.54616900000001</v>
      </c>
      <c r="H103" t="n">
        <v>93.74347899999999</v>
      </c>
      <c r="I103" t="n">
        <v>93.34094399999999</v>
      </c>
      <c r="J103" t="n">
        <v>93.20291</v>
      </c>
      <c r="K103" t="n">
        <v>93.052064</v>
      </c>
      <c r="L103" t="n">
        <v>92.41664900000001</v>
      </c>
      <c r="M103" t="n">
        <v>91.871381</v>
      </c>
      <c r="N103" t="n">
        <v>90.832564</v>
      </c>
      <c r="O103" t="n">
        <v>90.209591</v>
      </c>
      <c r="P103" t="n">
        <v>89.72187599999999</v>
      </c>
      <c r="Q103" t="n">
        <v>89.16388600000001</v>
      </c>
      <c r="R103" t="n">
        <v>88.69605199999999</v>
      </c>
      <c r="S103" t="n">
        <v>88.064775</v>
      </c>
      <c r="T103" t="n">
        <v>87.79053999999999</v>
      </c>
      <c r="U103" t="n">
        <v>87.213465</v>
      </c>
      <c r="V103" t="n">
        <v>87.330084</v>
      </c>
      <c r="W103" t="n">
        <v>87.554408</v>
      </c>
      <c r="X103" t="n">
        <v>87.770105</v>
      </c>
      <c r="Y103" t="n">
        <v>87.98056</v>
      </c>
      <c r="Z103" t="n">
        <v>88.260143</v>
      </c>
      <c r="AA103" t="n">
        <v>88.502663</v>
      </c>
      <c r="AB103" t="n">
        <v>88.71200899999999</v>
      </c>
      <c r="AC103" t="n">
        <v>89.100469</v>
      </c>
      <c r="AD103" t="n">
        <v>89.40723199999999</v>
      </c>
      <c r="AE103" t="n">
        <v>89.84718700000001</v>
      </c>
      <c r="AF103" t="n">
        <v>90.17801799999999</v>
      </c>
      <c r="AG103" s="31" t="n">
        <v>-0.002</v>
      </c>
    </row>
    <row r="104">
      <c r="A104" s="1" t="inlineStr">
        <is>
          <t>Electric Power</t>
        </is>
      </c>
    </row>
    <row r="105">
      <c r="A105" t="inlineStr">
        <is>
          <t>Distillate Fuel Oil</t>
        </is>
      </c>
      <c r="B105" t="inlineStr">
        <is>
          <t>Energy Use: Electric Power: Distillate Fuel Oil: High Zero-Carbon Technology Cost</t>
        </is>
      </c>
      <c r="C105" t="inlineStr">
        <is>
          <t>AEO.2025.HIGHZTC.CNSM_ENU_ELEP_NA_DFO_NA_NA_QBTU.A</t>
        </is>
      </c>
      <c r="D105" t="inlineStr">
        <is>
          <t>quads</t>
        </is>
      </c>
      <c r="F105" t="n">
        <v>0.066403</v>
      </c>
      <c r="G105" t="n">
        <v>0.065482</v>
      </c>
      <c r="H105" t="n">
        <v>0.059722</v>
      </c>
      <c r="I105" t="n">
        <v>0.051562</v>
      </c>
      <c r="J105" t="n">
        <v>0.047604</v>
      </c>
      <c r="K105" t="n">
        <v>0.045219</v>
      </c>
      <c r="L105" t="n">
        <v>0.040859</v>
      </c>
      <c r="M105" t="n">
        <v>0.037158</v>
      </c>
      <c r="N105" t="n">
        <v>0.026274</v>
      </c>
      <c r="O105" t="n">
        <v>0.025523</v>
      </c>
      <c r="P105" t="n">
        <v>0.025487</v>
      </c>
      <c r="Q105" t="n">
        <v>0.024426</v>
      </c>
      <c r="R105" t="n">
        <v>0.024424</v>
      </c>
      <c r="S105" t="n">
        <v>0.023857</v>
      </c>
      <c r="T105" t="n">
        <v>0.023149</v>
      </c>
      <c r="U105" t="n">
        <v>0.023078</v>
      </c>
      <c r="V105" t="n">
        <v>0.023018</v>
      </c>
      <c r="W105" t="n">
        <v>0.022389</v>
      </c>
      <c r="X105" t="n">
        <v>0.021226</v>
      </c>
      <c r="Y105" t="n">
        <v>0.020516</v>
      </c>
      <c r="Z105" t="n">
        <v>0.019154</v>
      </c>
      <c r="AA105" t="n">
        <v>0.018159</v>
      </c>
      <c r="AB105" t="n">
        <v>0.017685</v>
      </c>
      <c r="AC105" t="n">
        <v>0.017484</v>
      </c>
      <c r="AD105" t="n">
        <v>0.017671</v>
      </c>
      <c r="AE105" t="n">
        <v>0.017884</v>
      </c>
      <c r="AF105" t="n">
        <v>0.018142</v>
      </c>
      <c r="AG105" s="31" t="n">
        <v>-0.049</v>
      </c>
    </row>
    <row r="106">
      <c r="A106" t="inlineStr">
        <is>
          <t>Residual Fuel Oil</t>
        </is>
      </c>
      <c r="B106" t="inlineStr">
        <is>
          <t>Energy Use: Electric Power: Residual Fuel Oil: High Zero-Carbon Technology Cost</t>
        </is>
      </c>
      <c r="C106" t="inlineStr">
        <is>
          <t>AEO.2025.HIGHZTC.CNSM_ENU_ELEP_NA_RFO_NA_NA_QBTU.A</t>
        </is>
      </c>
      <c r="D106" t="inlineStr">
        <is>
          <t>quads</t>
        </is>
      </c>
      <c r="F106" t="n">
        <v>0.044083</v>
      </c>
      <c r="G106" t="n">
        <v>0.042744</v>
      </c>
      <c r="H106" t="n">
        <v>0.042099</v>
      </c>
      <c r="I106" t="n">
        <v>0.041532</v>
      </c>
      <c r="J106" t="n">
        <v>0.039579</v>
      </c>
      <c r="K106" t="n">
        <v>0.039204</v>
      </c>
      <c r="L106" t="n">
        <v>0.038852</v>
      </c>
      <c r="M106" t="n">
        <v>0.038796</v>
      </c>
      <c r="N106" t="n">
        <v>0.039023</v>
      </c>
      <c r="O106" t="n">
        <v>0.039286</v>
      </c>
      <c r="P106" t="n">
        <v>0.039635</v>
      </c>
      <c r="Q106" t="n">
        <v>0.040089</v>
      </c>
      <c r="R106" t="n">
        <v>0.039733</v>
      </c>
      <c r="S106" t="n">
        <v>0.039333</v>
      </c>
      <c r="T106" t="n">
        <v>0.038802</v>
      </c>
      <c r="U106" t="n">
        <v>0.038284</v>
      </c>
      <c r="V106" t="n">
        <v>0.037614</v>
      </c>
      <c r="W106" t="n">
        <v>0.034838</v>
      </c>
      <c r="X106" t="n">
        <v>0.031878</v>
      </c>
      <c r="Y106" t="n">
        <v>0.028755</v>
      </c>
      <c r="Z106" t="n">
        <v>0.025484</v>
      </c>
      <c r="AA106" t="n">
        <v>0.022106</v>
      </c>
      <c r="AB106" t="n">
        <v>0.022298</v>
      </c>
      <c r="AC106" t="n">
        <v>0.022473</v>
      </c>
      <c r="AD106" t="n">
        <v>0.022656</v>
      </c>
      <c r="AE106" t="n">
        <v>0.022861</v>
      </c>
      <c r="AF106" t="n">
        <v>0.023052</v>
      </c>
      <c r="AG106" s="31" t="n">
        <v>-0.025</v>
      </c>
    </row>
    <row r="107">
      <c r="A107" t="inlineStr">
        <is>
          <t>Petroleum and Other Liquids Subtotal</t>
        </is>
      </c>
      <c r="B107" t="inlineStr">
        <is>
          <t>Energy Use: Electric Power: Liquid Fuels Subtotal: High Zero-Carbon Technology Cost</t>
        </is>
      </c>
      <c r="C107" t="inlineStr">
        <is>
          <t>AEO.2025.HIGHZTC.CNSM_ENU_ELEP_NA_LFL_NA_NA_QBTU.A</t>
        </is>
      </c>
      <c r="D107" t="inlineStr">
        <is>
          <t>quads</t>
        </is>
      </c>
      <c r="F107" t="n">
        <v>0.110486</v>
      </c>
      <c r="G107" t="n">
        <v>0.108227</v>
      </c>
      <c r="H107" t="n">
        <v>0.10182</v>
      </c>
      <c r="I107" t="n">
        <v>0.093094</v>
      </c>
      <c r="J107" t="n">
        <v>0.087183</v>
      </c>
      <c r="K107" t="n">
        <v>0.084423</v>
      </c>
      <c r="L107" t="n">
        <v>0.079711</v>
      </c>
      <c r="M107" t="n">
        <v>0.07595399999999999</v>
      </c>
      <c r="N107" t="n">
        <v>0.06529799999999999</v>
      </c>
      <c r="O107" t="n">
        <v>0.06480900000000001</v>
      </c>
      <c r="P107" t="n">
        <v>0.065122</v>
      </c>
      <c r="Q107" t="n">
        <v>0.064516</v>
      </c>
      <c r="R107" t="n">
        <v>0.06415700000000001</v>
      </c>
      <c r="S107" t="n">
        <v>0.06319</v>
      </c>
      <c r="T107" t="n">
        <v>0.061951</v>
      </c>
      <c r="U107" t="n">
        <v>0.061362</v>
      </c>
      <c r="V107" t="n">
        <v>0.060632</v>
      </c>
      <c r="W107" t="n">
        <v>0.057227</v>
      </c>
      <c r="X107" t="n">
        <v>0.053104</v>
      </c>
      <c r="Y107" t="n">
        <v>0.049271</v>
      </c>
      <c r="Z107" t="n">
        <v>0.044638</v>
      </c>
      <c r="AA107" t="n">
        <v>0.040265</v>
      </c>
      <c r="AB107" t="n">
        <v>0.039983</v>
      </c>
      <c r="AC107" t="n">
        <v>0.039957</v>
      </c>
      <c r="AD107" t="n">
        <v>0.040327</v>
      </c>
      <c r="AE107" t="n">
        <v>0.040745</v>
      </c>
      <c r="AF107" t="n">
        <v>0.041194</v>
      </c>
      <c r="AG107" s="31" t="n">
        <v>-0.037</v>
      </c>
    </row>
    <row r="108">
      <c r="A108" t="inlineStr">
        <is>
          <t>Natural Gas</t>
        </is>
      </c>
      <c r="B108" t="inlineStr">
        <is>
          <t>Energy Use: Electric Power: Natural Gas: High Zero-Carbon Technology Cost</t>
        </is>
      </c>
      <c r="C108" t="inlineStr">
        <is>
          <t>AEO.2025.HIGHZTC.CNSM_ENU_ELEP_NA_NG_NA_NA_QBTU.A</t>
        </is>
      </c>
      <c r="D108" t="inlineStr">
        <is>
          <t>quads</t>
        </is>
      </c>
      <c r="F108" t="n">
        <v>13.928752</v>
      </c>
      <c r="G108" t="n">
        <v>12.961791</v>
      </c>
      <c r="H108" t="n">
        <v>12.332006</v>
      </c>
      <c r="I108" t="n">
        <v>12.814469</v>
      </c>
      <c r="J108" t="n">
        <v>12.775032</v>
      </c>
      <c r="K108" t="n">
        <v>12.874219</v>
      </c>
      <c r="L108" t="n">
        <v>13.066365</v>
      </c>
      <c r="M108" t="n">
        <v>12.920246</v>
      </c>
      <c r="N108" t="n">
        <v>14.43693</v>
      </c>
      <c r="O108" t="n">
        <v>13.99907</v>
      </c>
      <c r="P108" t="n">
        <v>13.549019</v>
      </c>
      <c r="Q108" t="n">
        <v>12.973681</v>
      </c>
      <c r="R108" t="n">
        <v>12.49203</v>
      </c>
      <c r="S108" t="n">
        <v>11.657304</v>
      </c>
      <c r="T108" t="n">
        <v>11.344967</v>
      </c>
      <c r="U108" t="n">
        <v>10.781556</v>
      </c>
      <c r="V108" t="n">
        <v>10.757802</v>
      </c>
      <c r="W108" t="n">
        <v>11.080935</v>
      </c>
      <c r="X108" t="n">
        <v>11.368726</v>
      </c>
      <c r="Y108" t="n">
        <v>11.544607</v>
      </c>
      <c r="Z108" t="n">
        <v>11.729016</v>
      </c>
      <c r="AA108" t="n">
        <v>11.844905</v>
      </c>
      <c r="AB108" t="n">
        <v>12.052026</v>
      </c>
      <c r="AC108" t="n">
        <v>12.196947</v>
      </c>
      <c r="AD108" t="n">
        <v>12.346659</v>
      </c>
      <c r="AE108" t="n">
        <v>12.542368</v>
      </c>
      <c r="AF108" t="n">
        <v>12.544281</v>
      </c>
      <c r="AG108" s="31" t="n">
        <v>-0.004</v>
      </c>
    </row>
    <row r="109">
      <c r="A109" t="inlineStr">
        <is>
          <t>Steam Coal</t>
        </is>
      </c>
      <c r="B109" t="inlineStr">
        <is>
          <t>Energy Use: Electric Power: Steam Coal: High Zero-Carbon Technology Cost</t>
        </is>
      </c>
      <c r="C109" t="inlineStr">
        <is>
          <t>AEO.2025.HIGHZTC.CNSM_ENU_ELEP_NA_STC_NA_NA_QBTU.A</t>
        </is>
      </c>
      <c r="D109" t="inlineStr">
        <is>
          <t>quads</t>
        </is>
      </c>
      <c r="F109" t="n">
        <v>6.771428</v>
      </c>
      <c r="G109" t="n">
        <v>6.757551</v>
      </c>
      <c r="H109" t="n">
        <v>5.814224</v>
      </c>
      <c r="I109" t="n">
        <v>4.703229</v>
      </c>
      <c r="J109" t="n">
        <v>4.521891</v>
      </c>
      <c r="K109" t="n">
        <v>4.283468</v>
      </c>
      <c r="L109" t="n">
        <v>3.519291</v>
      </c>
      <c r="M109" t="n">
        <v>3.239121</v>
      </c>
      <c r="N109" t="n">
        <v>0.761253</v>
      </c>
      <c r="O109" t="n">
        <v>0.765657</v>
      </c>
      <c r="P109" t="n">
        <v>0.743908</v>
      </c>
      <c r="Q109" t="n">
        <v>0.7023160000000001</v>
      </c>
      <c r="R109" t="n">
        <v>0.677316</v>
      </c>
      <c r="S109" t="n">
        <v>0.63364</v>
      </c>
      <c r="T109" t="n">
        <v>0.582054</v>
      </c>
      <c r="U109" t="n">
        <v>0.212819</v>
      </c>
      <c r="V109" t="n">
        <v>0.213328</v>
      </c>
      <c r="W109" t="n">
        <v>0.213855</v>
      </c>
      <c r="X109" t="n">
        <v>0.214184</v>
      </c>
      <c r="Y109" t="n">
        <v>0.21473</v>
      </c>
      <c r="Z109" t="n">
        <v>0.210605</v>
      </c>
      <c r="AA109" t="n">
        <v>0.192386</v>
      </c>
      <c r="AB109" t="n">
        <v>0.047468</v>
      </c>
      <c r="AC109" t="n">
        <v>0.047543</v>
      </c>
      <c r="AD109" t="n">
        <v>0.047598</v>
      </c>
      <c r="AE109" t="n">
        <v>0.044523</v>
      </c>
      <c r="AF109" t="n">
        <v>0.04471</v>
      </c>
      <c r="AG109" s="31" t="n">
        <v>-0.176</v>
      </c>
    </row>
    <row r="110">
      <c r="A110" t="inlineStr">
        <is>
          <t>Nuclear / Uranium</t>
        </is>
      </c>
      <c r="B110" t="inlineStr">
        <is>
          <t>Energy Use: Electric Power: Nuclear: High Zero-Carbon Technology Cost</t>
        </is>
      </c>
      <c r="C110" t="inlineStr">
        <is>
          <t>AEO.2025.HIGHZTC.CNSM_ENU_ELEP_NA_NUC_NA_NA_QBTU.A</t>
        </is>
      </c>
      <c r="D110" t="inlineStr">
        <is>
          <t>quads</t>
        </is>
      </c>
      <c r="F110" t="n">
        <v>8.122566000000001</v>
      </c>
      <c r="G110" t="n">
        <v>8.281053</v>
      </c>
      <c r="H110" t="n">
        <v>8.359650999999999</v>
      </c>
      <c r="I110" t="n">
        <v>8.340638999999999</v>
      </c>
      <c r="J110" t="n">
        <v>8.340502000000001</v>
      </c>
      <c r="K110" t="n">
        <v>8.340389</v>
      </c>
      <c r="L110" t="n">
        <v>8.247139000000001</v>
      </c>
      <c r="M110" t="n">
        <v>8.160346000000001</v>
      </c>
      <c r="N110" t="n">
        <v>8.160302</v>
      </c>
      <c r="O110" t="n">
        <v>8.160461</v>
      </c>
      <c r="P110" t="n">
        <v>8.160461</v>
      </c>
      <c r="Q110" t="n">
        <v>8.139177999999999</v>
      </c>
      <c r="R110" t="n">
        <v>8.087199</v>
      </c>
      <c r="S110" t="n">
        <v>8.127986</v>
      </c>
      <c r="T110" t="n">
        <v>8.12495</v>
      </c>
      <c r="U110" t="n">
        <v>8.1107</v>
      </c>
      <c r="V110" t="n">
        <v>8.109373</v>
      </c>
      <c r="W110" t="n">
        <v>8.110039</v>
      </c>
      <c r="X110" t="n">
        <v>8.110383000000001</v>
      </c>
      <c r="Y110" t="n">
        <v>8.110783</v>
      </c>
      <c r="Z110" t="n">
        <v>8.108737</v>
      </c>
      <c r="AA110" t="n">
        <v>8.110208999999999</v>
      </c>
      <c r="AB110" t="n">
        <v>8.106524</v>
      </c>
      <c r="AC110" t="n">
        <v>8.109944</v>
      </c>
      <c r="AD110" t="n">
        <v>8.109</v>
      </c>
      <c r="AE110" t="n">
        <v>8.107161</v>
      </c>
      <c r="AF110" t="n">
        <v>8.107944</v>
      </c>
      <c r="AG110" s="31" t="n">
        <v>0</v>
      </c>
    </row>
    <row r="111">
      <c r="A111" t="inlineStr">
        <is>
          <t>Renewable Energy</t>
        </is>
      </c>
      <c r="B111" t="inlineStr">
        <is>
          <t>Energy Use: Electric Power: Renewable Energy: High Zero-Carbon Technology Cost</t>
        </is>
      </c>
      <c r="C111" t="inlineStr">
        <is>
          <t>AEO.2025.HIGHZTC.CNSM_ENU_ELEP_NA_REN_NA_NA_QBTU.A</t>
        </is>
      </c>
      <c r="D111" t="inlineStr">
        <is>
          <t>quads</t>
        </is>
      </c>
      <c r="F111" t="n">
        <v>3.409441</v>
      </c>
      <c r="G111" t="n">
        <v>3.802485</v>
      </c>
      <c r="H111" t="n">
        <v>4.36894</v>
      </c>
      <c r="I111" t="n">
        <v>4.692803</v>
      </c>
      <c r="J111" t="n">
        <v>4.844075</v>
      </c>
      <c r="K111" t="n">
        <v>5.067399</v>
      </c>
      <c r="L111" t="n">
        <v>5.415483</v>
      </c>
      <c r="M111" t="n">
        <v>5.793836</v>
      </c>
      <c r="N111" t="n">
        <v>6.225559</v>
      </c>
      <c r="O111" t="n">
        <v>6.674434</v>
      </c>
      <c r="P111" t="n">
        <v>7.210944</v>
      </c>
      <c r="Q111" t="n">
        <v>7.849945</v>
      </c>
      <c r="R111" t="n">
        <v>8.451015999999999</v>
      </c>
      <c r="S111" t="n">
        <v>9.167358999999999</v>
      </c>
      <c r="T111" t="n">
        <v>9.648984</v>
      </c>
      <c r="U111" t="n">
        <v>10.328339</v>
      </c>
      <c r="V111" t="n">
        <v>10.649783</v>
      </c>
      <c r="W111" t="n">
        <v>10.803039</v>
      </c>
      <c r="X111" t="n">
        <v>10.975296</v>
      </c>
      <c r="Y111" t="n">
        <v>11.190047</v>
      </c>
      <c r="Z111" t="n">
        <v>11.380852</v>
      </c>
      <c r="AA111" t="n">
        <v>11.55542</v>
      </c>
      <c r="AB111" t="n">
        <v>11.771945</v>
      </c>
      <c r="AC111" t="n">
        <v>11.940047</v>
      </c>
      <c r="AD111" t="n">
        <v>12.114095</v>
      </c>
      <c r="AE111" t="n">
        <v>12.275303</v>
      </c>
      <c r="AF111" t="n">
        <v>12.507335</v>
      </c>
      <c r="AG111" s="31" t="n">
        <v>0.051</v>
      </c>
    </row>
    <row r="112">
      <c r="A112" t="inlineStr">
        <is>
          <t>Hydrogen</t>
        </is>
      </c>
      <c r="B112" t="inlineStr">
        <is>
          <t>Energy Use: Electric Power: Hydrogen: High Zero-Carbon Technology Cost</t>
        </is>
      </c>
      <c r="C112" t="inlineStr">
        <is>
          <t>AEO.2025.HIGHZTC.CNSM_ENU_ELEP_NA_HDG_NA_NA_QBTU.A</t>
        </is>
      </c>
      <c r="D112" t="inlineStr">
        <is>
          <t>quads</t>
        </is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0.091394</v>
      </c>
      <c r="O112" t="n">
        <v>0.105557</v>
      </c>
      <c r="P112" t="n">
        <v>0.117968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inlineStr">
        <is>
          <t>- -</t>
        </is>
      </c>
    </row>
    <row r="113">
      <c r="A113" t="inlineStr">
        <is>
          <t>Non-biogenic Municipal Waste</t>
        </is>
      </c>
      <c r="B113" t="inlineStr">
        <is>
          <t>Energy Use: Electric Power: Non-biogenic Municipal Waste: High Zero-Carbon Technology Cost</t>
        </is>
      </c>
      <c r="C113" t="inlineStr">
        <is>
          <t>AEO.2025.HIGHZTC.CNSM_ENU_ELEP_NA_NBMSW_NA_NA_QBTU.A</t>
        </is>
      </c>
      <c r="D113" t="inlineStr">
        <is>
          <t>quads</t>
        </is>
      </c>
      <c r="F113" t="n">
        <v>0.08799</v>
      </c>
      <c r="G113" t="n">
        <v>0.08799</v>
      </c>
      <c r="H113" t="n">
        <v>0.08799</v>
      </c>
      <c r="I113" t="n">
        <v>0.08799</v>
      </c>
      <c r="J113" t="n">
        <v>0.08799</v>
      </c>
      <c r="K113" t="n">
        <v>0.08799</v>
      </c>
      <c r="L113" t="n">
        <v>0.08799</v>
      </c>
      <c r="M113" t="n">
        <v>0.08799</v>
      </c>
      <c r="N113" t="n">
        <v>0.08799</v>
      </c>
      <c r="O113" t="n">
        <v>0.08799</v>
      </c>
      <c r="P113" t="n">
        <v>0.08799</v>
      </c>
      <c r="Q113" t="n">
        <v>0.08799</v>
      </c>
      <c r="R113" t="n">
        <v>0.08799</v>
      </c>
      <c r="S113" t="n">
        <v>0.08799</v>
      </c>
      <c r="T113" t="n">
        <v>0.08799</v>
      </c>
      <c r="U113" t="n">
        <v>0.08799</v>
      </c>
      <c r="V113" t="n">
        <v>0.08799</v>
      </c>
      <c r="W113" t="n">
        <v>0.08799</v>
      </c>
      <c r="X113" t="n">
        <v>0.08799</v>
      </c>
      <c r="Y113" t="n">
        <v>0.08799</v>
      </c>
      <c r="Z113" t="n">
        <v>0.08799</v>
      </c>
      <c r="AA113" t="n">
        <v>0.08799</v>
      </c>
      <c r="AB113" t="n">
        <v>0.08799</v>
      </c>
      <c r="AC113" t="n">
        <v>0.08799</v>
      </c>
      <c r="AD113" t="n">
        <v>0.08799</v>
      </c>
      <c r="AE113" t="n">
        <v>0.08799</v>
      </c>
      <c r="AF113" t="n">
        <v>0.08799</v>
      </c>
      <c r="AG113" s="31" t="n">
        <v>0</v>
      </c>
    </row>
    <row r="114">
      <c r="A114" t="inlineStr">
        <is>
          <t>Electricity Imports</t>
        </is>
      </c>
      <c r="B114" t="inlineStr">
        <is>
          <t>Energy Use: Electric Power: Electricity Imports: High Zero-Carbon Technology Cost</t>
        </is>
      </c>
      <c r="C114" t="inlineStr">
        <is>
          <t>AEO.2025.HIGHZTC.CNSM_ENU_ELEP_NA_ELI_NA_NA_QBTU.A</t>
        </is>
      </c>
      <c r="D114" t="inlineStr">
        <is>
          <t>quads</t>
        </is>
      </c>
      <c r="F114" t="n">
        <v>0.100341</v>
      </c>
      <c r="G114" t="n">
        <v>0.118393</v>
      </c>
      <c r="H114" t="n">
        <v>0.142458</v>
      </c>
      <c r="I114" t="n">
        <v>0.202903</v>
      </c>
      <c r="J114" t="n">
        <v>0.243384</v>
      </c>
      <c r="K114" t="n">
        <v>0.261122</v>
      </c>
      <c r="L114" t="n">
        <v>0.286835</v>
      </c>
      <c r="M114" t="n">
        <v>0.29337</v>
      </c>
      <c r="N114" t="n">
        <v>0.299808</v>
      </c>
      <c r="O114" t="n">
        <v>0.308062</v>
      </c>
      <c r="P114" t="n">
        <v>0.309713</v>
      </c>
      <c r="Q114" t="n">
        <v>0.313955</v>
      </c>
      <c r="R114" t="n">
        <v>0.306326</v>
      </c>
      <c r="S114" t="n">
        <v>0.302757</v>
      </c>
      <c r="T114" t="n">
        <v>0.301151</v>
      </c>
      <c r="U114" t="n">
        <v>0.29325</v>
      </c>
      <c r="V114" t="n">
        <v>0.297882</v>
      </c>
      <c r="W114" t="n">
        <v>0.299304</v>
      </c>
      <c r="X114" t="n">
        <v>0.29689</v>
      </c>
      <c r="Y114" t="n">
        <v>0.27687</v>
      </c>
      <c r="Z114" t="n">
        <v>0.275465</v>
      </c>
      <c r="AA114" t="n">
        <v>0.27317</v>
      </c>
      <c r="AB114" t="n">
        <v>0.25715</v>
      </c>
      <c r="AC114" t="n">
        <v>0.246115</v>
      </c>
      <c r="AD114" t="n">
        <v>0.239546</v>
      </c>
      <c r="AE114" t="n">
        <v>0.229535</v>
      </c>
      <c r="AF114" t="n">
        <v>0.22035</v>
      </c>
      <c r="AG114" s="31" t="n">
        <v>0.031</v>
      </c>
    </row>
    <row r="115">
      <c r="A115" t="inlineStr">
        <is>
          <t>Total Energy</t>
        </is>
      </c>
      <c r="B115" t="inlineStr">
        <is>
          <t>Energy Use: Electric Power: Total Energy: High Zero-Carbon Technology Cost</t>
        </is>
      </c>
      <c r="C115" t="inlineStr">
        <is>
          <t>AEO.2025.HIGHZTC.CNSM_ENU_ELEP_NA_TEN_NA_NA_QBTU.A</t>
        </is>
      </c>
      <c r="D115" t="inlineStr">
        <is>
          <t>quads</t>
        </is>
      </c>
      <c r="F115" t="n">
        <v>32.531006</v>
      </c>
      <c r="G115" t="n">
        <v>32.117489</v>
      </c>
      <c r="H115" t="n">
        <v>31.207094</v>
      </c>
      <c r="I115" t="n">
        <v>30.935127</v>
      </c>
      <c r="J115" t="n">
        <v>30.900059</v>
      </c>
      <c r="K115" t="n">
        <v>30.99901</v>
      </c>
      <c r="L115" t="n">
        <v>30.702814</v>
      </c>
      <c r="M115" t="n">
        <v>30.57086</v>
      </c>
      <c r="N115" t="n">
        <v>30.037231</v>
      </c>
      <c r="O115" t="n">
        <v>30.060589</v>
      </c>
      <c r="P115" t="n">
        <v>30.127275</v>
      </c>
      <c r="Q115" t="n">
        <v>30.131582</v>
      </c>
      <c r="R115" t="n">
        <v>30.166039</v>
      </c>
      <c r="S115" t="n">
        <v>30.04023</v>
      </c>
      <c r="T115" t="n">
        <v>30.15205</v>
      </c>
      <c r="U115" t="n">
        <v>29.876017</v>
      </c>
      <c r="V115" t="n">
        <v>30.17679</v>
      </c>
      <c r="W115" t="n">
        <v>30.652388</v>
      </c>
      <c r="X115" t="n">
        <v>31.106575</v>
      </c>
      <c r="Y115" t="n">
        <v>31.474298</v>
      </c>
      <c r="Z115" t="n">
        <v>31.837303</v>
      </c>
      <c r="AA115" t="n">
        <v>32.104343</v>
      </c>
      <c r="AB115" t="n">
        <v>32.363087</v>
      </c>
      <c r="AC115" t="n">
        <v>32.668545</v>
      </c>
      <c r="AD115" t="n">
        <v>32.985218</v>
      </c>
      <c r="AE115" t="n">
        <v>33.327621</v>
      </c>
      <c r="AF115" t="n">
        <v>33.553802</v>
      </c>
      <c r="AG115" s="31" t="n">
        <v>0.001</v>
      </c>
    </row>
    <row r="116">
      <c r="A116" t="inlineStr">
        <is>
          <t>Hydrogen-Related Losses</t>
        </is>
      </c>
      <c r="B116" t="inlineStr">
        <is>
          <t>Energy Use: Electric Power: Hydrogen Related Losses: High Zero-Carbon Technology Cost</t>
        </is>
      </c>
      <c r="C116" t="inlineStr">
        <is>
          <t>AEO.2025.HIGHZTC.CNSM_ENU_ELEP_NA_H2RELLOS_NA_NA_QBTU.A</t>
        </is>
      </c>
      <c r="D116" t="inlineStr">
        <is>
          <t>quads</t>
        </is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3.6e-05</v>
      </c>
      <c r="O116" t="n">
        <v>4.2e-05</v>
      </c>
      <c r="P116" t="n">
        <v>4.7e-05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inlineStr">
        <is>
          <t>- -</t>
        </is>
      </c>
    </row>
    <row r="117">
      <c r="A117" t="inlineStr">
        <is>
          <t>Total</t>
        </is>
      </c>
      <c r="B117" t="inlineStr">
        <is>
          <t>Energy Use: Electric Power: Total: High Zero-Carbon Technology Cost</t>
        </is>
      </c>
      <c r="C117" t="inlineStr">
        <is>
          <t>AEO.2025.HIGHZTC.CNSM_ENU_ELEP_NA_TOT_NA_NA_QBTU.A</t>
        </is>
      </c>
      <c r="D117" t="inlineStr">
        <is>
          <t>quads</t>
        </is>
      </c>
      <c r="F117" t="n">
        <v>32.531006</v>
      </c>
      <c r="G117" t="n">
        <v>32.117489</v>
      </c>
      <c r="H117" t="n">
        <v>31.207094</v>
      </c>
      <c r="I117" t="n">
        <v>30.935127</v>
      </c>
      <c r="J117" t="n">
        <v>30.900059</v>
      </c>
      <c r="K117" t="n">
        <v>30.99901</v>
      </c>
      <c r="L117" t="n">
        <v>30.702814</v>
      </c>
      <c r="M117" t="n">
        <v>30.57086</v>
      </c>
      <c r="N117" t="n">
        <v>30.037268</v>
      </c>
      <c r="O117" t="n">
        <v>30.060631</v>
      </c>
      <c r="P117" t="n">
        <v>30.127323</v>
      </c>
      <c r="Q117" t="n">
        <v>30.131582</v>
      </c>
      <c r="R117" t="n">
        <v>30.166039</v>
      </c>
      <c r="S117" t="n">
        <v>30.04023</v>
      </c>
      <c r="T117" t="n">
        <v>30.15205</v>
      </c>
      <c r="U117" t="n">
        <v>29.876017</v>
      </c>
      <c r="V117" t="n">
        <v>30.17679</v>
      </c>
      <c r="W117" t="n">
        <v>30.652388</v>
      </c>
      <c r="X117" t="n">
        <v>31.106575</v>
      </c>
      <c r="Y117" t="n">
        <v>31.474298</v>
      </c>
      <c r="Z117" t="n">
        <v>31.837303</v>
      </c>
      <c r="AA117" t="n">
        <v>32.104343</v>
      </c>
      <c r="AB117" t="n">
        <v>32.363087</v>
      </c>
      <c r="AC117" t="n">
        <v>32.668545</v>
      </c>
      <c r="AD117" t="n">
        <v>32.985218</v>
      </c>
      <c r="AE117" t="n">
        <v>33.327621</v>
      </c>
      <c r="AF117" t="n">
        <v>33.553802</v>
      </c>
      <c r="AG117" s="31" t="n">
        <v>0.001</v>
      </c>
    </row>
    <row r="118">
      <c r="A118" s="1" t="inlineStr">
        <is>
          <t>Industrial: Hydrogen Production</t>
        </is>
      </c>
    </row>
    <row r="119">
      <c r="A119" t="inlineStr">
        <is>
          <t>Natural Gas</t>
        </is>
      </c>
      <c r="B119" t="inlineStr">
        <is>
          <t>Energy Use: Industrial: Hydrogen Production: Natural Gas: High Zero-Carbon Technology Cost</t>
        </is>
      </c>
      <c r="C119" t="inlineStr">
        <is>
          <t>AEO.2025.HIGHZTC.INDH2_ENU_TEN_NA_NGAS_NA_NA_QBTU.A</t>
        </is>
      </c>
      <c r="D119" t="inlineStr">
        <is>
          <t>quads</t>
        </is>
      </c>
      <c r="F119" t="n">
        <v>1.060482</v>
      </c>
      <c r="G119" t="n">
        <v>1.078702</v>
      </c>
      <c r="H119" t="n">
        <v>1.109975</v>
      </c>
      <c r="I119" t="n">
        <v>1.125627</v>
      </c>
      <c r="J119" t="n">
        <v>1.134902</v>
      </c>
      <c r="K119" t="n">
        <v>1.148471</v>
      </c>
      <c r="L119" t="n">
        <v>1.176577</v>
      </c>
      <c r="M119" t="n">
        <v>1.222061</v>
      </c>
      <c r="N119" t="n">
        <v>1.309051</v>
      </c>
      <c r="O119" t="n">
        <v>1.392089</v>
      </c>
      <c r="P119" t="n">
        <v>1.470061</v>
      </c>
      <c r="Q119" t="n">
        <v>1.543265</v>
      </c>
      <c r="R119" t="n">
        <v>1.61245</v>
      </c>
      <c r="S119" t="n">
        <v>1.673084</v>
      </c>
      <c r="T119" t="n">
        <v>1.73002</v>
      </c>
      <c r="U119" t="n">
        <v>1.78201</v>
      </c>
      <c r="V119" t="n">
        <v>1.831471</v>
      </c>
      <c r="W119" t="n">
        <v>1.879031</v>
      </c>
      <c r="X119" t="n">
        <v>1.921309</v>
      </c>
      <c r="Y119" t="n">
        <v>1.963548</v>
      </c>
      <c r="Z119" t="n">
        <v>2.008058</v>
      </c>
      <c r="AA119" t="n">
        <v>2.04883</v>
      </c>
      <c r="AB119" t="n">
        <v>2.080037</v>
      </c>
      <c r="AC119" t="n">
        <v>2.103617</v>
      </c>
      <c r="AD119" t="n">
        <v>2.127657</v>
      </c>
      <c r="AE119" t="n">
        <v>2.147919</v>
      </c>
      <c r="AF119" t="n">
        <v>2.171506</v>
      </c>
      <c r="AG119" s="31" t="n">
        <v>0.028</v>
      </c>
    </row>
    <row r="120">
      <c r="A120" t="inlineStr">
        <is>
          <t>Purchased Electricity</t>
        </is>
      </c>
      <c r="B120" t="inlineStr">
        <is>
          <t>Energy Use: Industrial: Hydrogen Production: Purchased Electricity: High Zero-Carbon Technology Cost</t>
        </is>
      </c>
      <c r="C120" t="inlineStr">
        <is>
          <t>AEO.2025.HIGHZTC.INDH2_ENU_TEN_NA_PURCHELEC_NA_NA_QBTU.A</t>
        </is>
      </c>
      <c r="D120" t="inlineStr">
        <is>
          <t>quads</t>
        </is>
      </c>
      <c r="F120" t="n">
        <v>0.003649</v>
      </c>
      <c r="G120" t="n">
        <v>0.003693</v>
      </c>
      <c r="H120" t="n">
        <v>0.004606</v>
      </c>
      <c r="I120" t="n">
        <v>0.00474</v>
      </c>
      <c r="J120" t="n">
        <v>0.004824</v>
      </c>
      <c r="K120" t="n">
        <v>0.004945</v>
      </c>
      <c r="L120" t="n">
        <v>0.00514</v>
      </c>
      <c r="M120" t="n">
        <v>0.005446</v>
      </c>
      <c r="N120" t="n">
        <v>0.006487</v>
      </c>
      <c r="O120" t="n">
        <v>0.008055</v>
      </c>
      <c r="P120" t="n">
        <v>0.009578</v>
      </c>
      <c r="Q120" t="n">
        <v>0.011226</v>
      </c>
      <c r="R120" t="n">
        <v>0.011394</v>
      </c>
      <c r="S120" t="n">
        <v>0.010609</v>
      </c>
      <c r="T120" t="n">
        <v>0.009896</v>
      </c>
      <c r="U120" t="n">
        <v>0.009901</v>
      </c>
      <c r="V120" t="n">
        <v>0.009976</v>
      </c>
      <c r="W120" t="n">
        <v>0.010061</v>
      </c>
      <c r="X120" t="n">
        <v>0.009906999999999999</v>
      </c>
      <c r="Y120" t="n">
        <v>0.009795999999999999</v>
      </c>
      <c r="Z120" t="n">
        <v>0.009301</v>
      </c>
      <c r="AA120" t="n">
        <v>0.008584</v>
      </c>
      <c r="AB120" t="n">
        <v>0.008000999999999999</v>
      </c>
      <c r="AC120" t="n">
        <v>0.007289</v>
      </c>
      <c r="AD120" t="n">
        <v>0.007356</v>
      </c>
      <c r="AE120" t="n">
        <v>0.005232</v>
      </c>
      <c r="AF120" t="n">
        <v>0.00529</v>
      </c>
      <c r="AG120" s="31" t="n">
        <v>0.014</v>
      </c>
    </row>
    <row r="121">
      <c r="A121" t="inlineStr">
        <is>
          <t>Byproduct Hydrogen</t>
        </is>
      </c>
      <c r="B121" t="inlineStr">
        <is>
          <t>Energy Use: High Zero-Carbon Technology Cost</t>
        </is>
      </c>
      <c r="C121" t="inlineStr">
        <is>
          <t>AEO.2025.HIGHZTC.INDH2_ENU_TEN_NA_NA_NA_NA_NA.A</t>
        </is>
      </c>
      <c r="D121" t="inlineStr">
        <is>
          <t>quads</t>
        </is>
      </c>
      <c r="F121" t="n">
        <v>0.281298</v>
      </c>
      <c r="G121" t="n">
        <v>0.283792</v>
      </c>
      <c r="H121" t="n">
        <v>0.285599</v>
      </c>
      <c r="I121" t="n">
        <v>0.285823</v>
      </c>
      <c r="J121" t="n">
        <v>0.286192</v>
      </c>
      <c r="K121" t="n">
        <v>0.286404</v>
      </c>
      <c r="L121" t="n">
        <v>0.286444</v>
      </c>
      <c r="M121" t="n">
        <v>0.286411</v>
      </c>
      <c r="N121" t="n">
        <v>0.287263</v>
      </c>
      <c r="O121" t="n">
        <v>0.28826</v>
      </c>
      <c r="P121" t="n">
        <v>0.29223</v>
      </c>
      <c r="Q121" t="n">
        <v>0.294417</v>
      </c>
      <c r="R121" t="n">
        <v>0.295349</v>
      </c>
      <c r="S121" t="n">
        <v>0.298215</v>
      </c>
      <c r="T121" t="n">
        <v>0.301544</v>
      </c>
      <c r="U121" t="n">
        <v>0.307375</v>
      </c>
      <c r="V121" t="n">
        <v>0.314352</v>
      </c>
      <c r="W121" t="n">
        <v>0.319438</v>
      </c>
      <c r="X121" t="n">
        <v>0.325521</v>
      </c>
      <c r="Y121" t="n">
        <v>0.328208</v>
      </c>
      <c r="Z121" t="n">
        <v>0.327497</v>
      </c>
      <c r="AA121" t="n">
        <v>0.325066</v>
      </c>
      <c r="AB121" t="n">
        <v>0.328165</v>
      </c>
      <c r="AC121" t="n">
        <v>0.334948</v>
      </c>
      <c r="AD121" t="n">
        <v>0.339649</v>
      </c>
      <c r="AE121" t="n">
        <v>0.340652</v>
      </c>
      <c r="AF121" t="n">
        <v>0.340464</v>
      </c>
      <c r="AG121" s="31" t="n">
        <v>0.007</v>
      </c>
    </row>
    <row r="122">
      <c r="A122" t="inlineStr">
        <is>
          <t>Total Energy</t>
        </is>
      </c>
      <c r="B122" t="inlineStr">
        <is>
          <t>Energy Use: Industrial: Hydrogen Production: Total Energy: High Zero-Carbon Technology Cost</t>
        </is>
      </c>
      <c r="C122" t="inlineStr">
        <is>
          <t>AEO.2025.HIGHZTC.INDH2_ENU_TEN_NA_TEN_NA_NA_QBTU.A</t>
        </is>
      </c>
      <c r="D122" t="inlineStr">
        <is>
          <t>quads</t>
        </is>
      </c>
      <c r="F122" t="n">
        <v>1.345429</v>
      </c>
      <c r="G122" t="n">
        <v>1.366186</v>
      </c>
      <c r="H122" t="n">
        <v>1.40018</v>
      </c>
      <c r="I122" t="n">
        <v>1.41619</v>
      </c>
      <c r="J122" t="n">
        <v>1.425918</v>
      </c>
      <c r="K122" t="n">
        <v>1.43982</v>
      </c>
      <c r="L122" t="n">
        <v>1.468161</v>
      </c>
      <c r="M122" t="n">
        <v>1.513918</v>
      </c>
      <c r="N122" t="n">
        <v>1.602801</v>
      </c>
      <c r="O122" t="n">
        <v>1.688404</v>
      </c>
      <c r="P122" t="n">
        <v>1.771869</v>
      </c>
      <c r="Q122" t="n">
        <v>1.848909</v>
      </c>
      <c r="R122" t="n">
        <v>1.919193</v>
      </c>
      <c r="S122" t="n">
        <v>1.981908</v>
      </c>
      <c r="T122" t="n">
        <v>2.04146</v>
      </c>
      <c r="U122" t="n">
        <v>2.099286</v>
      </c>
      <c r="V122" t="n">
        <v>2.155799</v>
      </c>
      <c r="W122" t="n">
        <v>2.208529</v>
      </c>
      <c r="X122" t="n">
        <v>2.256737</v>
      </c>
      <c r="Y122" t="n">
        <v>2.301552</v>
      </c>
      <c r="Z122" t="n">
        <v>2.344856</v>
      </c>
      <c r="AA122" t="n">
        <v>2.38248</v>
      </c>
      <c r="AB122" t="n">
        <v>2.416203</v>
      </c>
      <c r="AC122" t="n">
        <v>2.445855</v>
      </c>
      <c r="AD122" t="n">
        <v>2.474662</v>
      </c>
      <c r="AE122" t="n">
        <v>2.493803</v>
      </c>
      <c r="AF122" t="n">
        <v>2.51726</v>
      </c>
      <c r="AG122" s="31" t="n">
        <v>0.024</v>
      </c>
    </row>
    <row r="123">
      <c r="A123" t="inlineStr">
        <is>
          <t>Electricity-Related Losses</t>
        </is>
      </c>
      <c r="B123" t="inlineStr">
        <is>
          <t>Energy Use: Industrial: Hydrogen Production: Electricity Related Losses: High Zero-Carbon Technology Cost</t>
        </is>
      </c>
      <c r="C123" t="inlineStr">
        <is>
          <t>AEO.2025.HIGHZTC.INDH2_ENU_TEN_NA_ELC_NA_NA_QBTU.A</t>
        </is>
      </c>
      <c r="D123" t="inlineStr">
        <is>
          <t>quads</t>
        </is>
      </c>
      <c r="F123" t="n">
        <v>0.005186</v>
      </c>
      <c r="G123" t="n">
        <v>0.00509</v>
      </c>
      <c r="H123" t="n">
        <v>0.00597</v>
      </c>
      <c r="I123" t="n">
        <v>0.005909</v>
      </c>
      <c r="J123" t="n">
        <v>0.005881</v>
      </c>
      <c r="K123" t="n">
        <v>0.005922</v>
      </c>
      <c r="L123" t="n">
        <v>0.005908</v>
      </c>
      <c r="M123" t="n">
        <v>0.00606</v>
      </c>
      <c r="N123" t="n">
        <v>0.006751</v>
      </c>
      <c r="O123" t="n">
        <v>0.008109999999999999</v>
      </c>
      <c r="P123" t="n">
        <v>0.009294</v>
      </c>
      <c r="Q123" t="n">
        <v>0.010416</v>
      </c>
      <c r="R123" t="n">
        <v>0.010122</v>
      </c>
      <c r="S123" t="n">
        <v>0.008932000000000001</v>
      </c>
      <c r="T123" t="n">
        <v>0.008069</v>
      </c>
      <c r="U123" t="n">
        <v>0.007589</v>
      </c>
      <c r="V123" t="n">
        <v>0.007509</v>
      </c>
      <c r="W123" t="n">
        <v>0.007556</v>
      </c>
      <c r="X123" t="n">
        <v>0.007424</v>
      </c>
      <c r="Y123" t="n">
        <v>0.007291</v>
      </c>
      <c r="Z123" t="n">
        <v>0.006886</v>
      </c>
      <c r="AA123" t="n">
        <v>0.006285</v>
      </c>
      <c r="AB123" t="n">
        <v>0.005792</v>
      </c>
      <c r="AC123" t="n">
        <v>0.005235</v>
      </c>
      <c r="AD123" t="n">
        <v>0.005256</v>
      </c>
      <c r="AE123" t="n">
        <v>0.003727</v>
      </c>
      <c r="AF123" t="n">
        <v>0.003728</v>
      </c>
      <c r="AG123" s="31" t="n">
        <v>-0.013</v>
      </c>
    </row>
    <row r="124">
      <c r="A124" t="inlineStr">
        <is>
          <t>Total</t>
        </is>
      </c>
      <c r="B124" t="inlineStr">
        <is>
          <t>Energy Use: Industrial: Hydrogen Production: Total: High Zero-Carbon Technology Cost</t>
        </is>
      </c>
      <c r="C124" t="inlineStr">
        <is>
          <t>AEO.2025.HIGHZTC.INDH2_ENU_TEN_NA_TOT_NA_NA_QBTU.A</t>
        </is>
      </c>
      <c r="D124" t="inlineStr">
        <is>
          <t>quads</t>
        </is>
      </c>
      <c r="F124" t="n">
        <v>1.350615</v>
      </c>
      <c r="G124" t="n">
        <v>1.371276</v>
      </c>
      <c r="H124" t="n">
        <v>1.406149</v>
      </c>
      <c r="I124" t="n">
        <v>1.422099</v>
      </c>
      <c r="J124" t="n">
        <v>1.431799</v>
      </c>
      <c r="K124" t="n">
        <v>1.445741</v>
      </c>
      <c r="L124" t="n">
        <v>1.474069</v>
      </c>
      <c r="M124" t="n">
        <v>1.519978</v>
      </c>
      <c r="N124" t="n">
        <v>1.609552</v>
      </c>
      <c r="O124" t="n">
        <v>1.696515</v>
      </c>
      <c r="P124" t="n">
        <v>1.781163</v>
      </c>
      <c r="Q124" t="n">
        <v>1.859325</v>
      </c>
      <c r="R124" t="n">
        <v>1.929315</v>
      </c>
      <c r="S124" t="n">
        <v>1.99084</v>
      </c>
      <c r="T124" t="n">
        <v>2.049528</v>
      </c>
      <c r="U124" t="n">
        <v>2.106875</v>
      </c>
      <c r="V124" t="n">
        <v>2.163309</v>
      </c>
      <c r="W124" t="n">
        <v>2.216085</v>
      </c>
      <c r="X124" t="n">
        <v>2.264161</v>
      </c>
      <c r="Y124" t="n">
        <v>2.308843</v>
      </c>
      <c r="Z124" t="n">
        <v>2.351742</v>
      </c>
      <c r="AA124" t="n">
        <v>2.388765</v>
      </c>
      <c r="AB124" t="n">
        <v>2.421995</v>
      </c>
      <c r="AC124" t="n">
        <v>2.451091</v>
      </c>
      <c r="AD124" t="n">
        <v>2.479919</v>
      </c>
      <c r="AE124" t="n">
        <v>2.49753</v>
      </c>
      <c r="AF124" t="n">
        <v>2.520988</v>
      </c>
      <c r="AG124" s="31" t="n">
        <v>0.024</v>
      </c>
    </row>
    <row r="125">
      <c r="A125" s="1" t="inlineStr">
        <is>
          <t>Total Energy Consumption</t>
        </is>
      </c>
    </row>
    <row r="126">
      <c r="A126" t="inlineStr">
        <is>
          <t>Liquefied Petroleum Gases and Other</t>
        </is>
      </c>
      <c r="B126" t="inlineStr">
        <is>
          <t>Energy Use: Total: Liquefied Petroleum Gases: High Zero-Carbon Technology Cost</t>
        </is>
      </c>
      <c r="C126" t="inlineStr">
        <is>
          <t>AEO.2025.HIGHZTC.CNSM_ENU_TEN_NA_LPG_NA_NA_QBTU.A</t>
        </is>
      </c>
      <c r="D126" t="inlineStr">
        <is>
          <t>quads</t>
        </is>
      </c>
      <c r="F126" t="n">
        <v>4.209641</v>
      </c>
      <c r="G126" t="n">
        <v>4.311163</v>
      </c>
      <c r="H126" t="n">
        <v>4.308465</v>
      </c>
      <c r="I126" t="n">
        <v>4.314057</v>
      </c>
      <c r="J126" t="n">
        <v>4.321166</v>
      </c>
      <c r="K126" t="n">
        <v>4.326116</v>
      </c>
      <c r="L126" t="n">
        <v>4.328734</v>
      </c>
      <c r="M126" t="n">
        <v>4.328779</v>
      </c>
      <c r="N126" t="n">
        <v>4.328817</v>
      </c>
      <c r="O126" t="n">
        <v>4.328709</v>
      </c>
      <c r="P126" t="n">
        <v>4.323857</v>
      </c>
      <c r="Q126" t="n">
        <v>4.319674</v>
      </c>
      <c r="R126" t="n">
        <v>4.317852</v>
      </c>
      <c r="S126" t="n">
        <v>4.313735</v>
      </c>
      <c r="T126" t="n">
        <v>4.344649</v>
      </c>
      <c r="U126" t="n">
        <v>4.414688</v>
      </c>
      <c r="V126" t="n">
        <v>4.491556</v>
      </c>
      <c r="W126" t="n">
        <v>4.553751</v>
      </c>
      <c r="X126" t="n">
        <v>4.618521</v>
      </c>
      <c r="Y126" t="n">
        <v>4.664883</v>
      </c>
      <c r="Z126" t="n">
        <v>4.6392</v>
      </c>
      <c r="AA126" t="n">
        <v>4.602459</v>
      </c>
      <c r="AB126" t="n">
        <v>4.643802</v>
      </c>
      <c r="AC126" t="n">
        <v>4.719849</v>
      </c>
      <c r="AD126" t="n">
        <v>4.776085</v>
      </c>
      <c r="AE126" t="n">
        <v>4.752143</v>
      </c>
      <c r="AF126" t="n">
        <v>4.726868</v>
      </c>
      <c r="AG126" s="31" t="n">
        <v>0.004</v>
      </c>
    </row>
    <row r="127">
      <c r="A127" t="inlineStr">
        <is>
          <t>Motor Gasoline</t>
        </is>
      </c>
      <c r="B127" t="inlineStr">
        <is>
          <t>Energy Use: Total: Motor Gasoline: High Zero-Carbon Technology Cost</t>
        </is>
      </c>
      <c r="C127" t="inlineStr">
        <is>
          <t>AEO.2025.HIGHZTC.CNSM_ENU_TEN_NA_MGS_NA_NA_QBTU.A</t>
        </is>
      </c>
      <c r="D127" t="inlineStr">
        <is>
          <t>quads</t>
        </is>
      </c>
      <c r="F127" t="n">
        <v>16.513548</v>
      </c>
      <c r="G127" t="n">
        <v>16.489157</v>
      </c>
      <c r="H127" t="n">
        <v>16.473249</v>
      </c>
      <c r="I127" t="n">
        <v>16.364161</v>
      </c>
      <c r="J127" t="n">
        <v>16.130833</v>
      </c>
      <c r="K127" t="n">
        <v>15.836448</v>
      </c>
      <c r="L127" t="n">
        <v>15.462359</v>
      </c>
      <c r="M127" t="n">
        <v>15.086967</v>
      </c>
      <c r="N127" t="n">
        <v>14.635193</v>
      </c>
      <c r="O127" t="n">
        <v>14.174006</v>
      </c>
      <c r="P127" t="n">
        <v>13.730399</v>
      </c>
      <c r="Q127" t="n">
        <v>13.285722</v>
      </c>
      <c r="R127" t="n">
        <v>12.821792</v>
      </c>
      <c r="S127" t="n">
        <v>12.365026</v>
      </c>
      <c r="T127" t="n">
        <v>11.944914</v>
      </c>
      <c r="U127" t="n">
        <v>11.546367</v>
      </c>
      <c r="V127" t="n">
        <v>11.193057</v>
      </c>
      <c r="W127" t="n">
        <v>10.870225</v>
      </c>
      <c r="X127" t="n">
        <v>10.552912</v>
      </c>
      <c r="Y127" t="n">
        <v>10.300356</v>
      </c>
      <c r="Z127" t="n">
        <v>10.049176</v>
      </c>
      <c r="AA127" t="n">
        <v>9.849957</v>
      </c>
      <c r="AB127" t="n">
        <v>9.665093000000001</v>
      </c>
      <c r="AC127" t="n">
        <v>9.522099000000001</v>
      </c>
      <c r="AD127" t="n">
        <v>9.347912000000001</v>
      </c>
      <c r="AE127" t="n">
        <v>9.236293</v>
      </c>
      <c r="AF127" t="n">
        <v>9.151505</v>
      </c>
      <c r="AG127" s="31" t="n">
        <v>-0.022</v>
      </c>
    </row>
    <row r="128">
      <c r="A128" t="inlineStr">
        <is>
          <t>of which: E85</t>
        </is>
      </c>
      <c r="B128" t="inlineStr">
        <is>
          <t>Energy Use: Total: E85: High Zero-Carbon Technology Cost</t>
        </is>
      </c>
      <c r="C128" t="inlineStr">
        <is>
          <t>AEO.2025.HIGHZTC.CNSM_ENU_TEN_NA_E85_NA_NA_QBTU.A</t>
        </is>
      </c>
      <c r="D128" t="inlineStr">
        <is>
          <t>quads</t>
        </is>
      </c>
      <c r="F128" t="n">
        <v>0.003743</v>
      </c>
      <c r="G128" t="n">
        <v>0.003468</v>
      </c>
      <c r="H128" t="n">
        <v>0.003093</v>
      </c>
      <c r="I128" t="n">
        <v>0.002897</v>
      </c>
      <c r="J128" t="n">
        <v>0.002811</v>
      </c>
      <c r="K128" t="n">
        <v>0.002914</v>
      </c>
      <c r="L128" t="n">
        <v>0.002762</v>
      </c>
      <c r="M128" t="n">
        <v>0.002552</v>
      </c>
      <c r="N128" t="n">
        <v>0.002375</v>
      </c>
      <c r="O128" t="n">
        <v>0.002227</v>
      </c>
      <c r="P128" t="n">
        <v>0.002109</v>
      </c>
      <c r="Q128" t="n">
        <v>0.001984</v>
      </c>
      <c r="R128" t="n">
        <v>0.001859</v>
      </c>
      <c r="S128" t="n">
        <v>0.001764</v>
      </c>
      <c r="T128" t="n">
        <v>0.001666</v>
      </c>
      <c r="U128" t="n">
        <v>0.001591</v>
      </c>
      <c r="V128" t="n">
        <v>0.001555</v>
      </c>
      <c r="W128" t="n">
        <v>0.001522</v>
      </c>
      <c r="X128" t="n">
        <v>0.001495</v>
      </c>
      <c r="Y128" t="n">
        <v>0.00148</v>
      </c>
      <c r="Z128" t="n">
        <v>0.001502</v>
      </c>
      <c r="AA128" t="n">
        <v>0.001463</v>
      </c>
      <c r="AB128" t="n">
        <v>0.001459</v>
      </c>
      <c r="AC128" t="n">
        <v>0.001492</v>
      </c>
      <c r="AD128" t="n">
        <v>0.001488</v>
      </c>
      <c r="AE128" t="n">
        <v>0.001488</v>
      </c>
      <c r="AF128" t="n">
        <v>0.00148</v>
      </c>
      <c r="AG128" s="31" t="n">
        <v>-0.035</v>
      </c>
    </row>
    <row r="129">
      <c r="A129" t="inlineStr">
        <is>
          <t>Jet Fuel</t>
        </is>
      </c>
      <c r="B129" t="inlineStr">
        <is>
          <t>Energy Use: Total: Jet Fuel: High Zero-Carbon Technology Cost</t>
        </is>
      </c>
      <c r="C129" t="inlineStr">
        <is>
          <t>AEO.2025.HIGHZTC.CNSM_ENU_TEN_NA_JFL_NA_NA_QBTU.A</t>
        </is>
      </c>
      <c r="D129" t="inlineStr">
        <is>
          <t>quads</t>
        </is>
      </c>
      <c r="F129" t="n">
        <v>3.520226</v>
      </c>
      <c r="G129" t="n">
        <v>3.573043</v>
      </c>
      <c r="H129" t="n">
        <v>3.580164</v>
      </c>
      <c r="I129" t="n">
        <v>3.594285</v>
      </c>
      <c r="J129" t="n">
        <v>3.622104</v>
      </c>
      <c r="K129" t="n">
        <v>3.656416</v>
      </c>
      <c r="L129" t="n">
        <v>3.686351</v>
      </c>
      <c r="M129" t="n">
        <v>3.706875</v>
      </c>
      <c r="N129" t="n">
        <v>3.731194</v>
      </c>
      <c r="O129" t="n">
        <v>3.755083</v>
      </c>
      <c r="P129" t="n">
        <v>3.779161</v>
      </c>
      <c r="Q129" t="n">
        <v>3.812392</v>
      </c>
      <c r="R129" t="n">
        <v>3.844495</v>
      </c>
      <c r="S129" t="n">
        <v>3.880754</v>
      </c>
      <c r="T129" t="n">
        <v>3.919277</v>
      </c>
      <c r="U129" t="n">
        <v>3.959379</v>
      </c>
      <c r="V129" t="n">
        <v>4.002299</v>
      </c>
      <c r="W129" t="n">
        <v>4.040978</v>
      </c>
      <c r="X129" t="n">
        <v>4.081998</v>
      </c>
      <c r="Y129" t="n">
        <v>4.120088</v>
      </c>
      <c r="Z129" t="n">
        <v>4.158575</v>
      </c>
      <c r="AA129" t="n">
        <v>4.195935</v>
      </c>
      <c r="AB129" t="n">
        <v>4.234365</v>
      </c>
      <c r="AC129" t="n">
        <v>4.272793</v>
      </c>
      <c r="AD129" t="n">
        <v>4.310762</v>
      </c>
      <c r="AE129" t="n">
        <v>4.349757</v>
      </c>
      <c r="AF129" t="n">
        <v>4.388399</v>
      </c>
      <c r="AG129" s="31" t="n">
        <v>0.008999999999999999</v>
      </c>
    </row>
    <row r="130">
      <c r="A130" t="inlineStr">
        <is>
          <t>Kerosene</t>
        </is>
      </c>
      <c r="B130" t="inlineStr">
        <is>
          <t>Energy Use: Total: Kerosene: High Zero-Carbon Technology Cost</t>
        </is>
      </c>
      <c r="C130" t="inlineStr">
        <is>
          <t>AEO.2025.HIGHZTC.CNSM_ENU_TEN_NA_KRS_NA_NA_QBTU.A</t>
        </is>
      </c>
      <c r="D130" t="inlineStr">
        <is>
          <t>quads</t>
        </is>
      </c>
      <c r="F130" t="n">
        <v>0.003189</v>
      </c>
      <c r="G130" t="n">
        <v>0.002751</v>
      </c>
      <c r="H130" t="n">
        <v>0.004171</v>
      </c>
      <c r="I130" t="n">
        <v>0.004188</v>
      </c>
      <c r="J130" t="n">
        <v>0.004048</v>
      </c>
      <c r="K130" t="n">
        <v>0.003585</v>
      </c>
      <c r="L130" t="n">
        <v>0.003193</v>
      </c>
      <c r="M130" t="n">
        <v>0.003121</v>
      </c>
      <c r="N130" t="n">
        <v>0.003153</v>
      </c>
      <c r="O130" t="n">
        <v>0.002978</v>
      </c>
      <c r="P130" t="n">
        <v>0.002906</v>
      </c>
      <c r="Q130" t="n">
        <v>0.002794</v>
      </c>
      <c r="R130" t="n">
        <v>0.002761</v>
      </c>
      <c r="S130" t="n">
        <v>0.002624</v>
      </c>
      <c r="T130" t="n">
        <v>0.002518</v>
      </c>
      <c r="U130" t="n">
        <v>0.002465</v>
      </c>
      <c r="V130" t="n">
        <v>0.002363</v>
      </c>
      <c r="W130" t="n">
        <v>0.00223</v>
      </c>
      <c r="X130" t="n">
        <v>0.002113</v>
      </c>
      <c r="Y130" t="n">
        <v>0.001976</v>
      </c>
      <c r="Z130" t="n">
        <v>0.001776</v>
      </c>
      <c r="AA130" t="n">
        <v>0.001795</v>
      </c>
      <c r="AB130" t="n">
        <v>0.001761</v>
      </c>
      <c r="AC130" t="n">
        <v>0.00175</v>
      </c>
      <c r="AD130" t="n">
        <v>0.001758</v>
      </c>
      <c r="AE130" t="n">
        <v>0.001737</v>
      </c>
      <c r="AF130" t="n">
        <v>0.001698</v>
      </c>
      <c r="AG130" s="31" t="n">
        <v>-0.024</v>
      </c>
    </row>
    <row r="131">
      <c r="A131" t="inlineStr">
        <is>
          <t>Distillate Fuel Oil</t>
        </is>
      </c>
      <c r="B131" t="inlineStr">
        <is>
          <t>Energy Use: Total: Distillate Fuel Oil: High Zero-Carbon Technology Cost</t>
        </is>
      </c>
      <c r="C131" t="inlineStr">
        <is>
          <t>AEO.2025.HIGHZTC.CNSM_ENU_TEN_NA_DFO_NA_NA_QBTU.A</t>
        </is>
      </c>
      <c r="D131" t="inlineStr">
        <is>
          <t>quads</t>
        </is>
      </c>
      <c r="F131" t="n">
        <v>8.690075999999999</v>
      </c>
      <c r="G131" t="n">
        <v>8.995998999999999</v>
      </c>
      <c r="H131" t="n">
        <v>8.936458999999999</v>
      </c>
      <c r="I131" t="n">
        <v>8.830009</v>
      </c>
      <c r="J131" t="n">
        <v>8.764754</v>
      </c>
      <c r="K131" t="n">
        <v>8.691668</v>
      </c>
      <c r="L131" t="n">
        <v>8.583261</v>
      </c>
      <c r="M131" t="n">
        <v>8.448479000000001</v>
      </c>
      <c r="N131" t="n">
        <v>8.238028</v>
      </c>
      <c r="O131" t="n">
        <v>8.047291</v>
      </c>
      <c r="P131" t="n">
        <v>7.882038</v>
      </c>
      <c r="Q131" t="n">
        <v>7.727474</v>
      </c>
      <c r="R131" t="n">
        <v>7.592948</v>
      </c>
      <c r="S131" t="n">
        <v>7.46906</v>
      </c>
      <c r="T131" t="n">
        <v>7.35761</v>
      </c>
      <c r="U131" t="n">
        <v>7.247232</v>
      </c>
      <c r="V131" t="n">
        <v>7.159995</v>
      </c>
      <c r="W131" t="n">
        <v>7.070308</v>
      </c>
      <c r="X131" t="n">
        <v>6.99621</v>
      </c>
      <c r="Y131" t="n">
        <v>6.928354</v>
      </c>
      <c r="Z131" t="n">
        <v>6.86808</v>
      </c>
      <c r="AA131" t="n">
        <v>6.824298</v>
      </c>
      <c r="AB131" t="n">
        <v>6.795931</v>
      </c>
      <c r="AC131" t="n">
        <v>6.776376</v>
      </c>
      <c r="AD131" t="n">
        <v>6.756852</v>
      </c>
      <c r="AE131" t="n">
        <v>6.748607</v>
      </c>
      <c r="AF131" t="n">
        <v>6.737341</v>
      </c>
      <c r="AG131" s="31" t="n">
        <v>-0.01</v>
      </c>
    </row>
    <row r="132">
      <c r="A132" t="inlineStr">
        <is>
          <t>Residual Fuel Oil</t>
        </is>
      </c>
      <c r="B132" t="inlineStr">
        <is>
          <t>Energy Use: Total: Residual Fuel Oil: High Zero-Carbon Technology Cost</t>
        </is>
      </c>
      <c r="C132" t="inlineStr">
        <is>
          <t>AEO.2025.HIGHZTC.CNSM_ENU_TEN_NA_RFO_NA_NA_QBTU.A</t>
        </is>
      </c>
      <c r="D132" t="inlineStr">
        <is>
          <t>quads</t>
        </is>
      </c>
      <c r="F132" t="n">
        <v>0.639497</v>
      </c>
      <c r="G132" t="n">
        <v>0.601008</v>
      </c>
      <c r="H132" t="n">
        <v>0.596291</v>
      </c>
      <c r="I132" t="n">
        <v>0.603594</v>
      </c>
      <c r="J132" t="n">
        <v>0.6067090000000001</v>
      </c>
      <c r="K132" t="n">
        <v>0.613312</v>
      </c>
      <c r="L132" t="n">
        <v>0.620107</v>
      </c>
      <c r="M132" t="n">
        <v>0.625696</v>
      </c>
      <c r="N132" t="n">
        <v>0.630522</v>
      </c>
      <c r="O132" t="n">
        <v>0.634394</v>
      </c>
      <c r="P132" t="n">
        <v>0.640916</v>
      </c>
      <c r="Q132" t="n">
        <v>0.64661</v>
      </c>
      <c r="R132" t="n">
        <v>0.650316</v>
      </c>
      <c r="S132" t="n">
        <v>0.655452</v>
      </c>
      <c r="T132" t="n">
        <v>0.6585800000000001</v>
      </c>
      <c r="U132" t="n">
        <v>0.663195</v>
      </c>
      <c r="V132" t="n">
        <v>0.667183</v>
      </c>
      <c r="W132" t="n">
        <v>0.668357</v>
      </c>
      <c r="X132" t="n">
        <v>0.669589</v>
      </c>
      <c r="Y132" t="n">
        <v>0.670354</v>
      </c>
      <c r="Z132" t="n">
        <v>0.674448</v>
      </c>
      <c r="AA132" t="n">
        <v>0.674484</v>
      </c>
      <c r="AB132" t="n">
        <v>0.6775910000000001</v>
      </c>
      <c r="AC132" t="n">
        <v>0.682569</v>
      </c>
      <c r="AD132" t="n">
        <v>0.686706</v>
      </c>
      <c r="AE132" t="n">
        <v>0.690294</v>
      </c>
      <c r="AF132" t="n">
        <v>0.69211</v>
      </c>
      <c r="AG132" s="31" t="n">
        <v>0.003</v>
      </c>
    </row>
    <row r="133">
      <c r="A133" t="inlineStr">
        <is>
          <t>Petrochemical Feedstocks</t>
        </is>
      </c>
      <c r="B133" t="inlineStr">
        <is>
          <t>Energy Use: Total: Petrochemical Feedstocks: High Zero-Carbon Technology Cost</t>
        </is>
      </c>
      <c r="C133" t="inlineStr">
        <is>
          <t>AEO.2025.HIGHZTC.CNSM_ENU_TEN_NA_PCF_NA_NA_QBTU.A</t>
        </is>
      </c>
      <c r="D133" t="inlineStr">
        <is>
          <t>quads</t>
        </is>
      </c>
      <c r="F133" t="n">
        <v>0.390525</v>
      </c>
      <c r="G133" t="n">
        <v>0.355</v>
      </c>
      <c r="H133" t="n">
        <v>0.55</v>
      </c>
      <c r="I133" t="n">
        <v>0.55</v>
      </c>
      <c r="J133" t="n">
        <v>0.55</v>
      </c>
      <c r="K133" t="n">
        <v>0.55</v>
      </c>
      <c r="L133" t="n">
        <v>0.55</v>
      </c>
      <c r="M133" t="n">
        <v>0.55</v>
      </c>
      <c r="N133" t="n">
        <v>0.55</v>
      </c>
      <c r="O133" t="n">
        <v>0.55</v>
      </c>
      <c r="P133" t="n">
        <v>0.55</v>
      </c>
      <c r="Q133" t="n">
        <v>0.55</v>
      </c>
      <c r="R133" t="n">
        <v>0.55</v>
      </c>
      <c r="S133" t="n">
        <v>0.55</v>
      </c>
      <c r="T133" t="n">
        <v>0.55</v>
      </c>
      <c r="U133" t="n">
        <v>0.55</v>
      </c>
      <c r="V133" t="n">
        <v>0.55</v>
      </c>
      <c r="W133" t="n">
        <v>0.55</v>
      </c>
      <c r="X133" t="n">
        <v>0.55</v>
      </c>
      <c r="Y133" t="n">
        <v>0.55</v>
      </c>
      <c r="Z133" t="n">
        <v>0.69558</v>
      </c>
      <c r="AA133" t="n">
        <v>0.84116</v>
      </c>
      <c r="AB133" t="n">
        <v>0.84116</v>
      </c>
      <c r="AC133" t="n">
        <v>0.84116</v>
      </c>
      <c r="AD133" t="n">
        <v>0.84116</v>
      </c>
      <c r="AE133" t="n">
        <v>0.964095</v>
      </c>
      <c r="AF133" t="n">
        <v>1.087029</v>
      </c>
      <c r="AG133" s="31" t="n">
        <v>0.04</v>
      </c>
    </row>
    <row r="134">
      <c r="A134" t="inlineStr">
        <is>
          <t>Other Petroleum</t>
        </is>
      </c>
      <c r="B134" t="inlineStr">
        <is>
          <t>Energy Use: Total: Other Petroleum: High Zero-Carbon Technology Cost</t>
        </is>
      </c>
      <c r="C134" t="inlineStr">
        <is>
          <t>AEO.2025.HIGHZTC.CNSM_ENU_TEN_NA_ONP_NA_NA_QBTU.A</t>
        </is>
      </c>
      <c r="D134" t="inlineStr">
        <is>
          <t>quads</t>
        </is>
      </c>
      <c r="F134" t="n">
        <v>3.229577</v>
      </c>
      <c r="G134" t="n">
        <v>3.269989</v>
      </c>
      <c r="H134" t="n">
        <v>3.230878</v>
      </c>
      <c r="I134" t="n">
        <v>3.2594</v>
      </c>
      <c r="J134" t="n">
        <v>3.305429</v>
      </c>
      <c r="K134" t="n">
        <v>3.297212</v>
      </c>
      <c r="L134" t="n">
        <v>3.331703</v>
      </c>
      <c r="M134" t="n">
        <v>3.34923</v>
      </c>
      <c r="N134" t="n">
        <v>3.348611</v>
      </c>
      <c r="O134" t="n">
        <v>3.33522</v>
      </c>
      <c r="P134" t="n">
        <v>3.348197</v>
      </c>
      <c r="Q134" t="n">
        <v>3.346469</v>
      </c>
      <c r="R134" t="n">
        <v>3.360548</v>
      </c>
      <c r="S134" t="n">
        <v>3.365189</v>
      </c>
      <c r="T134" t="n">
        <v>3.365635</v>
      </c>
      <c r="U134" t="n">
        <v>3.376118</v>
      </c>
      <c r="V134" t="n">
        <v>3.393629</v>
      </c>
      <c r="W134" t="n">
        <v>3.40167</v>
      </c>
      <c r="X134" t="n">
        <v>3.390471</v>
      </c>
      <c r="Y134" t="n">
        <v>3.406804</v>
      </c>
      <c r="Z134" t="n">
        <v>3.406963</v>
      </c>
      <c r="AA134" t="n">
        <v>3.406132</v>
      </c>
      <c r="AB134" t="n">
        <v>3.418554</v>
      </c>
      <c r="AC134" t="n">
        <v>3.437011</v>
      </c>
      <c r="AD134" t="n">
        <v>3.437091</v>
      </c>
      <c r="AE134" t="n">
        <v>3.433762</v>
      </c>
      <c r="AF134" t="n">
        <v>3.420246</v>
      </c>
      <c r="AG134" s="31" t="n">
        <v>0.002</v>
      </c>
    </row>
    <row r="135">
      <c r="A135" t="inlineStr">
        <is>
          <t>Petroleum and Other Liquids Subtotal</t>
        </is>
      </c>
      <c r="B135" t="inlineStr">
        <is>
          <t>Energy Use: Total: Liquid Fuels Subtotal: High Zero-Carbon Technology Cost</t>
        </is>
      </c>
      <c r="C135" t="inlineStr">
        <is>
          <t>AEO.2025.HIGHZTC.CNSM_ENU_TEN_NA_LFL_NA_NA_QBTU.A</t>
        </is>
      </c>
      <c r="D135" t="inlineStr">
        <is>
          <t>quads</t>
        </is>
      </c>
      <c r="F135" t="n">
        <v>37.196278</v>
      </c>
      <c r="G135" t="n">
        <v>37.59811</v>
      </c>
      <c r="H135" t="n">
        <v>37.679672</v>
      </c>
      <c r="I135" t="n">
        <v>37.519691</v>
      </c>
      <c r="J135" t="n">
        <v>37.305038</v>
      </c>
      <c r="K135" t="n">
        <v>36.974754</v>
      </c>
      <c r="L135" t="n">
        <v>36.565704</v>
      </c>
      <c r="M135" t="n">
        <v>36.099148</v>
      </c>
      <c r="N135" t="n">
        <v>35.465519</v>
      </c>
      <c r="O135" t="n">
        <v>34.827679</v>
      </c>
      <c r="P135" t="n">
        <v>34.257473</v>
      </c>
      <c r="Q135" t="n">
        <v>33.691135</v>
      </c>
      <c r="R135" t="n">
        <v>33.140709</v>
      </c>
      <c r="S135" t="n">
        <v>32.601837</v>
      </c>
      <c r="T135" t="n">
        <v>32.143185</v>
      </c>
      <c r="U135" t="n">
        <v>31.759443</v>
      </c>
      <c r="V135" t="n">
        <v>31.460081</v>
      </c>
      <c r="W135" t="n">
        <v>31.157518</v>
      </c>
      <c r="X135" t="n">
        <v>30.861811</v>
      </c>
      <c r="Y135" t="n">
        <v>30.642815</v>
      </c>
      <c r="Z135" t="n">
        <v>30.493799</v>
      </c>
      <c r="AA135" t="n">
        <v>30.396219</v>
      </c>
      <c r="AB135" t="n">
        <v>30.278259</v>
      </c>
      <c r="AC135" t="n">
        <v>30.253605</v>
      </c>
      <c r="AD135" t="n">
        <v>30.158325</v>
      </c>
      <c r="AE135" t="n">
        <v>30.176685</v>
      </c>
      <c r="AF135" t="n">
        <v>30.205194</v>
      </c>
      <c r="AG135" s="31" t="n">
        <v>-0.008</v>
      </c>
    </row>
    <row r="136">
      <c r="A136" t="inlineStr">
        <is>
          <t>Natural Gas</t>
        </is>
      </c>
      <c r="B136" t="inlineStr">
        <is>
          <t>Energy Use: Total: Natural Gas: High Zero-Carbon Technology Cost</t>
        </is>
      </c>
      <c r="C136" t="inlineStr">
        <is>
          <t>AEO.2025.HIGHZTC.CNSM_ENU_TEN_NA_NG_NA_NA_QBTU.A</t>
        </is>
      </c>
      <c r="D136" t="inlineStr">
        <is>
          <t>quads</t>
        </is>
      </c>
      <c r="F136" t="n">
        <v>30.911318</v>
      </c>
      <c r="G136" t="n">
        <v>30.629759</v>
      </c>
      <c r="H136" t="n">
        <v>29.875637</v>
      </c>
      <c r="I136" t="n">
        <v>30.408024</v>
      </c>
      <c r="J136" t="n">
        <v>30.38657</v>
      </c>
      <c r="K136" t="n">
        <v>30.508259</v>
      </c>
      <c r="L136" t="n">
        <v>30.716688</v>
      </c>
      <c r="M136" t="n">
        <v>30.614611</v>
      </c>
      <c r="N136" t="n">
        <v>32.166653</v>
      </c>
      <c r="O136" t="n">
        <v>31.722216</v>
      </c>
      <c r="P136" t="n">
        <v>31.26335</v>
      </c>
      <c r="Q136" t="n">
        <v>30.700384</v>
      </c>
      <c r="R136" t="n">
        <v>30.259644</v>
      </c>
      <c r="S136" t="n">
        <v>29.481087</v>
      </c>
      <c r="T136" t="n">
        <v>29.255733</v>
      </c>
      <c r="U136" t="n">
        <v>28.790115</v>
      </c>
      <c r="V136" t="n">
        <v>28.858677</v>
      </c>
      <c r="W136" t="n">
        <v>29.232138</v>
      </c>
      <c r="X136" t="n">
        <v>29.564892</v>
      </c>
      <c r="Y136" t="n">
        <v>29.804586</v>
      </c>
      <c r="Z136" t="n">
        <v>30.042324</v>
      </c>
      <c r="AA136" t="n">
        <v>30.212347</v>
      </c>
      <c r="AB136" t="n">
        <v>30.465981</v>
      </c>
      <c r="AC136" t="n">
        <v>30.679228</v>
      </c>
      <c r="AD136" t="n">
        <v>30.887251</v>
      </c>
      <c r="AE136" t="n">
        <v>31.130369</v>
      </c>
      <c r="AF136" t="n">
        <v>31.172642</v>
      </c>
      <c r="AG136" s="31" t="n">
        <v>0</v>
      </c>
    </row>
    <row r="137">
      <c r="A137" t="inlineStr">
        <is>
          <t>Lease and Plant Fuel</t>
        </is>
      </c>
      <c r="B137" t="inlineStr">
        <is>
          <t>Energy Use: Total: Lease and Plant Fuel: High Zero-Carbon Technology Cost</t>
        </is>
      </c>
      <c r="C137" t="inlineStr">
        <is>
          <t>AEO.2025.HIGHZTC.CNSM_ENU_TEN_NA_LSAPFL_NA_NA_QBTU.A</t>
        </is>
      </c>
      <c r="D137" t="inlineStr">
        <is>
          <t>quads</t>
        </is>
      </c>
      <c r="F137" t="n">
        <v>2.045295</v>
      </c>
      <c r="G137" t="n">
        <v>2.052198</v>
      </c>
      <c r="H137" t="n">
        <v>2.151558</v>
      </c>
      <c r="I137" t="n">
        <v>2.160423</v>
      </c>
      <c r="J137" t="n">
        <v>2.206005</v>
      </c>
      <c r="K137" t="n">
        <v>2.226782</v>
      </c>
      <c r="L137" t="n">
        <v>2.238047</v>
      </c>
      <c r="M137" t="n">
        <v>2.23259</v>
      </c>
      <c r="N137" t="n">
        <v>2.285561</v>
      </c>
      <c r="O137" t="n">
        <v>2.298938</v>
      </c>
      <c r="P137" t="n">
        <v>2.313583</v>
      </c>
      <c r="Q137" t="n">
        <v>2.305008</v>
      </c>
      <c r="R137" t="n">
        <v>2.296317</v>
      </c>
      <c r="S137" t="n">
        <v>2.271652</v>
      </c>
      <c r="T137" t="n">
        <v>2.265647</v>
      </c>
      <c r="U137" t="n">
        <v>2.24652</v>
      </c>
      <c r="V137" t="n">
        <v>2.25015</v>
      </c>
      <c r="W137" t="n">
        <v>2.26053</v>
      </c>
      <c r="X137" t="n">
        <v>2.271182</v>
      </c>
      <c r="Y137" t="n">
        <v>2.275658</v>
      </c>
      <c r="Z137" t="n">
        <v>2.278661</v>
      </c>
      <c r="AA137" t="n">
        <v>2.28227</v>
      </c>
      <c r="AB137" t="n">
        <v>2.29152</v>
      </c>
      <c r="AC137" t="n">
        <v>2.301058</v>
      </c>
      <c r="AD137" t="n">
        <v>2.305694</v>
      </c>
      <c r="AE137" t="n">
        <v>2.311272</v>
      </c>
      <c r="AF137" t="n">
        <v>2.318181</v>
      </c>
      <c r="AG137" s="31" t="n">
        <v>0.005</v>
      </c>
    </row>
    <row r="138">
      <c r="A138" t="inlineStr">
        <is>
          <t>Natural Gas to Liquefy Gas for Export</t>
        </is>
      </c>
      <c r="B138" t="inlineStr">
        <is>
          <t>Energy Use: Total: Liquefaction: High Zero-Carbon Technology Cost</t>
        </is>
      </c>
      <c r="C138" t="inlineStr">
        <is>
          <t>AEO.2025.HIGHZTC.CNSM_ENU_TEN_NA_LQFCT_NA_NA_QBTU.A</t>
        </is>
      </c>
      <c r="D138" t="inlineStr">
        <is>
          <t>quads</t>
        </is>
      </c>
      <c r="F138" t="n">
        <v>0.36799</v>
      </c>
      <c r="G138" t="n">
        <v>0.420411</v>
      </c>
      <c r="H138" t="n">
        <v>0.447693</v>
      </c>
      <c r="I138" t="n">
        <v>0.448493</v>
      </c>
      <c r="J138" t="n">
        <v>0.5349969999999999</v>
      </c>
      <c r="K138" t="n">
        <v>0.595588</v>
      </c>
      <c r="L138" t="n">
        <v>0.658577</v>
      </c>
      <c r="M138" t="n">
        <v>0.675613</v>
      </c>
      <c r="N138" t="n">
        <v>0.693994</v>
      </c>
      <c r="O138" t="n">
        <v>0.709179</v>
      </c>
      <c r="P138" t="n">
        <v>0.725923</v>
      </c>
      <c r="Q138" t="n">
        <v>0.7343150000000001</v>
      </c>
      <c r="R138" t="n">
        <v>0.744344</v>
      </c>
      <c r="S138" t="n">
        <v>0.7511370000000001</v>
      </c>
      <c r="T138" t="n">
        <v>0.7511370000000001</v>
      </c>
      <c r="U138" t="n">
        <v>0.7511370000000001</v>
      </c>
      <c r="V138" t="n">
        <v>0.752735</v>
      </c>
      <c r="W138" t="n">
        <v>0.7511370000000001</v>
      </c>
      <c r="X138" t="n">
        <v>0.751053</v>
      </c>
      <c r="Y138" t="n">
        <v>0.747796</v>
      </c>
      <c r="Z138" t="n">
        <v>0.745887</v>
      </c>
      <c r="AA138" t="n">
        <v>0.744061</v>
      </c>
      <c r="AB138" t="n">
        <v>0.741294</v>
      </c>
      <c r="AC138" t="n">
        <v>0.741682</v>
      </c>
      <c r="AD138" t="n">
        <v>0.740833</v>
      </c>
      <c r="AE138" t="n">
        <v>0.738851</v>
      </c>
      <c r="AF138" t="n">
        <v>0.741926</v>
      </c>
      <c r="AG138" s="31" t="n">
        <v>0.027</v>
      </c>
    </row>
    <row r="139">
      <c r="A139" t="inlineStr">
        <is>
          <t>Pipeline and Distribution Fuel Natural Gas</t>
        </is>
      </c>
      <c r="B139" t="inlineStr">
        <is>
          <t>Energy Use: Total: Pipeline Natural Gas: High Zero-Carbon Technology Cost</t>
        </is>
      </c>
      <c r="C139" t="inlineStr">
        <is>
          <t>AEO.2025.HIGHZTC.CNSM_ENU_TEN_NA_PPN_NA_NA_QBTU.A</t>
        </is>
      </c>
      <c r="D139" t="inlineStr">
        <is>
          <t>quads</t>
        </is>
      </c>
      <c r="F139" t="n">
        <v>0.924188</v>
      </c>
      <c r="G139" t="n">
        <v>0.870456</v>
      </c>
      <c r="H139" t="n">
        <v>0.8644230000000001</v>
      </c>
      <c r="I139" t="n">
        <v>0.836058</v>
      </c>
      <c r="J139" t="n">
        <v>0.79698</v>
      </c>
      <c r="K139" t="n">
        <v>0.765965</v>
      </c>
      <c r="L139" t="n">
        <v>0.728791</v>
      </c>
      <c r="M139" t="n">
        <v>0.71577</v>
      </c>
      <c r="N139" t="n">
        <v>0.724214</v>
      </c>
      <c r="O139" t="n">
        <v>0.7176630000000001</v>
      </c>
      <c r="P139" t="n">
        <v>0.716695</v>
      </c>
      <c r="Q139" t="n">
        <v>0.718068</v>
      </c>
      <c r="R139" t="n">
        <v>0.719897</v>
      </c>
      <c r="S139" t="n">
        <v>0.7183079999999999</v>
      </c>
      <c r="T139" t="n">
        <v>0.719704</v>
      </c>
      <c r="U139" t="n">
        <v>0.722538</v>
      </c>
      <c r="V139" t="n">
        <v>0.730927</v>
      </c>
      <c r="W139" t="n">
        <v>0.740044</v>
      </c>
      <c r="X139" t="n">
        <v>0.751189</v>
      </c>
      <c r="Y139" t="n">
        <v>0.764559</v>
      </c>
      <c r="Z139" t="n">
        <v>0.780261</v>
      </c>
      <c r="AA139" t="n">
        <v>0.795535</v>
      </c>
      <c r="AB139" t="n">
        <v>0.807068</v>
      </c>
      <c r="AC139" t="n">
        <v>0.819466</v>
      </c>
      <c r="AD139" t="n">
        <v>0.833344</v>
      </c>
      <c r="AE139" t="n">
        <v>0.848647</v>
      </c>
      <c r="AF139" t="n">
        <v>0.866417</v>
      </c>
      <c r="AG139" s="31" t="n">
        <v>-0.002</v>
      </c>
    </row>
    <row r="140">
      <c r="A140" t="inlineStr">
        <is>
          <t>Natural Gas Subtotal</t>
        </is>
      </c>
      <c r="B140" t="inlineStr">
        <is>
          <t>Energy Use: Total: Natural Gas Subtotal: High Zero-Carbon Technology Cost</t>
        </is>
      </c>
      <c r="C140" t="inlineStr">
        <is>
          <t>AEO.2025.HIGHZTC.CNSM_ENU_TEN_NA_NGS_NA_NA_QBTU.A</t>
        </is>
      </c>
      <c r="D140" t="inlineStr">
        <is>
          <t>quads</t>
        </is>
      </c>
      <c r="F140" t="n">
        <v>34.248791</v>
      </c>
      <c r="G140" t="n">
        <v>33.972824</v>
      </c>
      <c r="H140" t="n">
        <v>33.33931</v>
      </c>
      <c r="I140" t="n">
        <v>33.853001</v>
      </c>
      <c r="J140" t="n">
        <v>33.924557</v>
      </c>
      <c r="K140" t="n">
        <v>34.096596</v>
      </c>
      <c r="L140" t="n">
        <v>34.342102</v>
      </c>
      <c r="M140" t="n">
        <v>34.238583</v>
      </c>
      <c r="N140" t="n">
        <v>35.870419</v>
      </c>
      <c r="O140" t="n">
        <v>35.447998</v>
      </c>
      <c r="P140" t="n">
        <v>35.01955</v>
      </c>
      <c r="Q140" t="n">
        <v>34.457775</v>
      </c>
      <c r="R140" t="n">
        <v>34.020203</v>
      </c>
      <c r="S140" t="n">
        <v>33.222183</v>
      </c>
      <c r="T140" t="n">
        <v>32.992222</v>
      </c>
      <c r="U140" t="n">
        <v>32.510311</v>
      </c>
      <c r="V140" t="n">
        <v>32.592491</v>
      </c>
      <c r="W140" t="n">
        <v>32.983849</v>
      </c>
      <c r="X140" t="n">
        <v>33.338318</v>
      </c>
      <c r="Y140" t="n">
        <v>33.592598</v>
      </c>
      <c r="Z140" t="n">
        <v>33.847134</v>
      </c>
      <c r="AA140" t="n">
        <v>34.034214</v>
      </c>
      <c r="AB140" t="n">
        <v>34.305862</v>
      </c>
      <c r="AC140" t="n">
        <v>34.541431</v>
      </c>
      <c r="AD140" t="n">
        <v>34.76712</v>
      </c>
      <c r="AE140" t="n">
        <v>35.02914</v>
      </c>
      <c r="AF140" t="n">
        <v>35.099167</v>
      </c>
      <c r="AG140" s="31" t="n">
        <v>0.001</v>
      </c>
    </row>
    <row r="141">
      <c r="A141" t="inlineStr">
        <is>
          <t>Metallurgical Coal</t>
        </is>
      </c>
      <c r="B141" t="inlineStr">
        <is>
          <t>Energy Use: Total: Metallurgical Coal: High Zero-Carbon Technology Cost</t>
        </is>
      </c>
      <c r="C141" t="inlineStr">
        <is>
          <t>AEO.2025.HIGHZTC.CNSM_ENU_TEN_NA_MTC_NA_NA_QBTU.A</t>
        </is>
      </c>
      <c r="D141" t="inlineStr">
        <is>
          <t>quads</t>
        </is>
      </c>
      <c r="F141" t="n">
        <v>0.439918</v>
      </c>
      <c r="G141" t="n">
        <v>0.435673</v>
      </c>
      <c r="H141" t="n">
        <v>0.438461</v>
      </c>
      <c r="I141" t="n">
        <v>0.428289</v>
      </c>
      <c r="J141" t="n">
        <v>0.411773</v>
      </c>
      <c r="K141" t="n">
        <v>0.397336</v>
      </c>
      <c r="L141" t="n">
        <v>0.389217</v>
      </c>
      <c r="M141" t="n">
        <v>0.383361</v>
      </c>
      <c r="N141" t="n">
        <v>0.377719</v>
      </c>
      <c r="O141" t="n">
        <v>0.365618</v>
      </c>
      <c r="P141" t="n">
        <v>0.35786</v>
      </c>
      <c r="Q141" t="n">
        <v>0.349664</v>
      </c>
      <c r="R141" t="n">
        <v>0.341143</v>
      </c>
      <c r="S141" t="n">
        <v>0.336128</v>
      </c>
      <c r="T141" t="n">
        <v>0.329678</v>
      </c>
      <c r="U141" t="n">
        <v>0.322872</v>
      </c>
      <c r="V141" t="n">
        <v>0.318494</v>
      </c>
      <c r="W141" t="n">
        <v>0.312377</v>
      </c>
      <c r="X141" t="n">
        <v>0.305367</v>
      </c>
      <c r="Y141" t="n">
        <v>0.30015</v>
      </c>
      <c r="Z141" t="n">
        <v>0.294061</v>
      </c>
      <c r="AA141" t="n">
        <v>0.286897</v>
      </c>
      <c r="AB141" t="n">
        <v>0.279237</v>
      </c>
      <c r="AC141" t="n">
        <v>0.272919</v>
      </c>
      <c r="AD141" t="n">
        <v>0.265611</v>
      </c>
      <c r="AE141" t="n">
        <v>0.257843</v>
      </c>
      <c r="AF141" t="n">
        <v>0.249977</v>
      </c>
      <c r="AG141" s="31" t="n">
        <v>-0.022</v>
      </c>
    </row>
    <row r="142">
      <c r="A142" t="inlineStr">
        <is>
          <t>Other Coal</t>
        </is>
      </c>
      <c r="B142" t="inlineStr">
        <is>
          <t>Energy Use: Total: Other Coal: High Zero-Carbon Technology Cost</t>
        </is>
      </c>
      <c r="C142" t="inlineStr">
        <is>
          <t>AEO.2025.HIGHZTC.CNSM_ENU_TEN_NA_OCA_NA_NA_QBTU.A</t>
        </is>
      </c>
      <c r="D142" t="inlineStr">
        <is>
          <t>quads</t>
        </is>
      </c>
      <c r="F142" t="n">
        <v>7.130264</v>
      </c>
      <c r="G142" t="n">
        <v>7.129268</v>
      </c>
      <c r="H142" t="n">
        <v>6.197157</v>
      </c>
      <c r="I142" t="n">
        <v>5.092289</v>
      </c>
      <c r="J142" t="n">
        <v>4.917652</v>
      </c>
      <c r="K142" t="n">
        <v>4.680802</v>
      </c>
      <c r="L142" t="n">
        <v>3.920251</v>
      </c>
      <c r="M142" t="n">
        <v>3.642952</v>
      </c>
      <c r="N142" t="n">
        <v>1.169789</v>
      </c>
      <c r="O142" t="n">
        <v>1.174724</v>
      </c>
      <c r="P142" t="n">
        <v>1.152515</v>
      </c>
      <c r="Q142" t="n">
        <v>1.107767</v>
      </c>
      <c r="R142" t="n">
        <v>1.077088</v>
      </c>
      <c r="S142" t="n">
        <v>1.027708</v>
      </c>
      <c r="T142" t="n">
        <v>0.969934</v>
      </c>
      <c r="U142" t="n">
        <v>0.596018</v>
      </c>
      <c r="V142" t="n">
        <v>0.592743</v>
      </c>
      <c r="W142" t="n">
        <v>0.589483</v>
      </c>
      <c r="X142" t="n">
        <v>0.585844</v>
      </c>
      <c r="Y142" t="n">
        <v>0.582023</v>
      </c>
      <c r="Z142" t="n">
        <v>0.573442</v>
      </c>
      <c r="AA142" t="n">
        <v>0.550918</v>
      </c>
      <c r="AB142" t="n">
        <v>0.401796</v>
      </c>
      <c r="AC142" t="n">
        <v>0.398073</v>
      </c>
      <c r="AD142" t="n">
        <v>0.394491</v>
      </c>
      <c r="AE142" t="n">
        <v>0.38808</v>
      </c>
      <c r="AF142" t="n">
        <v>0.383887</v>
      </c>
      <c r="AG142" s="31" t="n">
        <v>-0.106</v>
      </c>
    </row>
    <row r="143">
      <c r="A143" t="inlineStr">
        <is>
          <t>Net Coal Coke Imports</t>
        </is>
      </c>
      <c r="B143" t="inlineStr">
        <is>
          <t>Energy Use: Total: Net Coal Coke Imports: High Zero-Carbon Technology Cost</t>
        </is>
      </c>
      <c r="C143" t="inlineStr">
        <is>
          <t>AEO.2025.HIGHZTC.CNSM_ENU_TEN_NA_NCC_NA_NA_QBTU.A</t>
        </is>
      </c>
      <c r="D143" t="inlineStr">
        <is>
          <t>quads</t>
        </is>
      </c>
      <c r="F143" t="n">
        <v>-0.038964</v>
      </c>
      <c r="G143" t="n">
        <v>-0.023891</v>
      </c>
      <c r="H143" t="n">
        <v>-0.023021</v>
      </c>
      <c r="I143" t="n">
        <v>-0.023145</v>
      </c>
      <c r="J143" t="n">
        <v>-0.022817</v>
      </c>
      <c r="K143" t="n">
        <v>-0.02209</v>
      </c>
      <c r="L143" t="n">
        <v>-0.021711</v>
      </c>
      <c r="M143" t="n">
        <v>-0.021406</v>
      </c>
      <c r="N143" t="n">
        <v>-0.021105</v>
      </c>
      <c r="O143" t="n">
        <v>-0.020562</v>
      </c>
      <c r="P143" t="n">
        <v>-0.020175</v>
      </c>
      <c r="Q143" t="n">
        <v>-0.019771</v>
      </c>
      <c r="R143" t="n">
        <v>-0.019343</v>
      </c>
      <c r="S143" t="n">
        <v>-0.018997</v>
      </c>
      <c r="T143" t="n">
        <v>-0.018635</v>
      </c>
      <c r="U143" t="n">
        <v>-0.018258</v>
      </c>
      <c r="V143" t="n">
        <v>-0.01773</v>
      </c>
      <c r="W143" t="n">
        <v>-0.017425</v>
      </c>
      <c r="X143" t="n">
        <v>-0.017122</v>
      </c>
      <c r="Y143" t="n">
        <v>-0.016646</v>
      </c>
      <c r="Z143" t="n">
        <v>-0.016328</v>
      </c>
      <c r="AA143" t="n">
        <v>-0.016051</v>
      </c>
      <c r="AB143" t="n">
        <v>-0.015833</v>
      </c>
      <c r="AC143" t="n">
        <v>-0.015453</v>
      </c>
      <c r="AD143" t="n">
        <v>-0.015294</v>
      </c>
      <c r="AE143" t="n">
        <v>-0.015107</v>
      </c>
      <c r="AF143" t="n">
        <v>-0.014683</v>
      </c>
      <c r="AG143" s="31" t="n">
        <v>-0.037</v>
      </c>
    </row>
    <row r="144">
      <c r="A144" t="inlineStr">
        <is>
          <t>Coal Subtotal</t>
        </is>
      </c>
      <c r="B144" t="inlineStr">
        <is>
          <t>Energy Use: Total: Coal Subtotal: High Zero-Carbon Technology Cost</t>
        </is>
      </c>
      <c r="C144" t="inlineStr">
        <is>
          <t>AEO.2025.HIGHZTC.CNSM_ENU_TEN_NA_COS_NA_NA_QBTU.A</t>
        </is>
      </c>
      <c r="D144" t="inlineStr">
        <is>
          <t>quads</t>
        </is>
      </c>
      <c r="F144" t="n">
        <v>7.531219</v>
      </c>
      <c r="G144" t="n">
        <v>7.54105</v>
      </c>
      <c r="H144" t="n">
        <v>6.612597</v>
      </c>
      <c r="I144" t="n">
        <v>5.497433</v>
      </c>
      <c r="J144" t="n">
        <v>5.306608</v>
      </c>
      <c r="K144" t="n">
        <v>5.056048</v>
      </c>
      <c r="L144" t="n">
        <v>4.287757</v>
      </c>
      <c r="M144" t="n">
        <v>4.004908</v>
      </c>
      <c r="N144" t="n">
        <v>1.526403</v>
      </c>
      <c r="O144" t="n">
        <v>1.51978</v>
      </c>
      <c r="P144" t="n">
        <v>1.4902</v>
      </c>
      <c r="Q144" t="n">
        <v>1.437659</v>
      </c>
      <c r="R144" t="n">
        <v>1.398888</v>
      </c>
      <c r="S144" t="n">
        <v>1.344839</v>
      </c>
      <c r="T144" t="n">
        <v>1.280977</v>
      </c>
      <c r="U144" t="n">
        <v>0.900632</v>
      </c>
      <c r="V144" t="n">
        <v>0.8935070000000001</v>
      </c>
      <c r="W144" t="n">
        <v>0.8844340000000001</v>
      </c>
      <c r="X144" t="n">
        <v>0.874089</v>
      </c>
      <c r="Y144" t="n">
        <v>0.865527</v>
      </c>
      <c r="Z144" t="n">
        <v>0.851176</v>
      </c>
      <c r="AA144" t="n">
        <v>0.821765</v>
      </c>
      <c r="AB144" t="n">
        <v>0.6652</v>
      </c>
      <c r="AC144" t="n">
        <v>0.655539</v>
      </c>
      <c r="AD144" t="n">
        <v>0.644808</v>
      </c>
      <c r="AE144" t="n">
        <v>0.630816</v>
      </c>
      <c r="AF144" t="n">
        <v>0.619182</v>
      </c>
      <c r="AG144" s="31" t="n">
        <v>-0.092</v>
      </c>
    </row>
    <row r="145" customFormat="1" s="34">
      <c r="A145" s="34" t="inlineStr">
        <is>
          <t>Nuclear / Uranium</t>
        </is>
      </c>
      <c r="B145" s="34" t="inlineStr">
        <is>
          <t>Energy Use: Total: Nuclear: High Zero-Carbon Technology Cost</t>
        </is>
      </c>
      <c r="C145" s="34" t="inlineStr">
        <is>
          <t>AEO.2025.HIGHZTC.CNSM_ENU_TEN_NA_NUC_NA_NA_QBTU.A</t>
        </is>
      </c>
      <c r="D145" s="34" t="inlineStr">
        <is>
          <t>quads</t>
        </is>
      </c>
      <c r="F145" s="34" t="n">
        <v>8.122566000000001</v>
      </c>
      <c r="G145" s="34" t="n">
        <v>8.281053</v>
      </c>
      <c r="H145" s="34" t="n">
        <v>8.359650999999999</v>
      </c>
      <c r="I145" s="34" t="n">
        <v>8.340638999999999</v>
      </c>
      <c r="J145" s="34" t="n">
        <v>8.340502000000001</v>
      </c>
      <c r="K145" s="34" t="n">
        <v>8.340389</v>
      </c>
      <c r="L145" s="34" t="n">
        <v>8.247139000000001</v>
      </c>
      <c r="M145" s="34" t="n">
        <v>8.160346000000001</v>
      </c>
      <c r="N145" s="34" t="n">
        <v>8.160302</v>
      </c>
      <c r="O145" s="34" t="n">
        <v>8.160461</v>
      </c>
      <c r="P145" s="34" t="n">
        <v>8.160461</v>
      </c>
      <c r="Q145" s="34" t="n">
        <v>8.139177999999999</v>
      </c>
      <c r="R145" s="34" t="n">
        <v>8.087199</v>
      </c>
      <c r="S145" s="34" t="n">
        <v>8.127986</v>
      </c>
      <c r="T145" s="34" t="n">
        <v>8.12495</v>
      </c>
      <c r="U145" s="34" t="n">
        <v>8.1107</v>
      </c>
      <c r="V145" s="34" t="n">
        <v>8.109373</v>
      </c>
      <c r="W145" s="34" t="n">
        <v>8.110039</v>
      </c>
      <c r="X145" s="34" t="n">
        <v>8.110383000000001</v>
      </c>
      <c r="Y145" s="34" t="n">
        <v>8.110783</v>
      </c>
      <c r="Z145" s="34" t="n">
        <v>8.108737</v>
      </c>
      <c r="AA145" s="34" t="n">
        <v>8.110208999999999</v>
      </c>
      <c r="AB145" s="34" t="n">
        <v>8.106524</v>
      </c>
      <c r="AC145" s="34" t="n">
        <v>8.109944</v>
      </c>
      <c r="AD145" s="34" t="n">
        <v>8.109</v>
      </c>
      <c r="AE145" s="34" t="n">
        <v>8.107161</v>
      </c>
      <c r="AF145" s="34" t="n">
        <v>8.107944</v>
      </c>
      <c r="AG145" s="35" t="n">
        <v>0</v>
      </c>
    </row>
    <row r="146">
      <c r="A146" t="inlineStr">
        <is>
          <t>Biofuels Heat and Coproducts</t>
        </is>
      </c>
      <c r="B146" t="inlineStr">
        <is>
          <t>Energy Use: Total: Biofuels Heat and Coproducts: High Zero-Carbon Technology Cost</t>
        </is>
      </c>
      <c r="C146" t="inlineStr">
        <is>
          <t>AEO.2025.HIGHZTC.CNSM_ENU_TEN_NA_BFH_NA_NA_QBTU.A</t>
        </is>
      </c>
      <c r="D146" t="inlineStr">
        <is>
          <t>quads</t>
        </is>
      </c>
      <c r="F146" t="n">
        <v>0.894331</v>
      </c>
      <c r="G146" t="n">
        <v>0.916567</v>
      </c>
      <c r="H146" t="n">
        <v>0.914157</v>
      </c>
      <c r="I146" t="n">
        <v>0.914463</v>
      </c>
      <c r="J146" t="n">
        <v>0.913182</v>
      </c>
      <c r="K146" t="n">
        <v>0.908272</v>
      </c>
      <c r="L146" t="n">
        <v>0.903837</v>
      </c>
      <c r="M146" t="n">
        <v>0.892968</v>
      </c>
      <c r="N146" t="n">
        <v>0.8836889999999999</v>
      </c>
      <c r="O146" t="n">
        <v>0.868351</v>
      </c>
      <c r="P146" t="n">
        <v>0.853619</v>
      </c>
      <c r="Q146" t="n">
        <v>0.83833</v>
      </c>
      <c r="R146" t="n">
        <v>0.828071</v>
      </c>
      <c r="S146" t="n">
        <v>0.811011</v>
      </c>
      <c r="T146" t="n">
        <v>0.79575</v>
      </c>
      <c r="U146" t="n">
        <v>0.784349</v>
      </c>
      <c r="V146" t="n">
        <v>0.782166</v>
      </c>
      <c r="W146" t="n">
        <v>0.771797</v>
      </c>
      <c r="X146" t="n">
        <v>0.761696</v>
      </c>
      <c r="Y146" t="n">
        <v>0.755206</v>
      </c>
      <c r="Z146" t="n">
        <v>0.753325</v>
      </c>
      <c r="AA146" t="n">
        <v>0.75422</v>
      </c>
      <c r="AB146" t="n">
        <v>0.751773</v>
      </c>
      <c r="AC146" t="n">
        <v>0.751815</v>
      </c>
      <c r="AD146" t="n">
        <v>0.75012</v>
      </c>
      <c r="AE146" t="n">
        <v>0.752011</v>
      </c>
      <c r="AF146" t="n">
        <v>0.755675</v>
      </c>
      <c r="AG146" s="31" t="n">
        <v>-0.006</v>
      </c>
    </row>
    <row r="147">
      <c r="A147" t="inlineStr">
        <is>
          <t>Renewable Energy</t>
        </is>
      </c>
      <c r="B147" t="inlineStr">
        <is>
          <t>Energy Use: Total: Renewable Energy: High Zero-Carbon Technology Cost</t>
        </is>
      </c>
      <c r="C147" t="inlineStr">
        <is>
          <t>AEO.2025.HIGHZTC.CNSM_ENU_TEN_NA_REN_NA_NA_QBTU.A</t>
        </is>
      </c>
      <c r="D147" t="inlineStr">
        <is>
          <t>quads</t>
        </is>
      </c>
      <c r="F147" t="n">
        <v>5.329244</v>
      </c>
      <c r="G147" t="n">
        <v>5.750078</v>
      </c>
      <c r="H147" t="n">
        <v>6.326646</v>
      </c>
      <c r="I147" t="n">
        <v>6.643743</v>
      </c>
      <c r="J147" t="n">
        <v>6.800283</v>
      </c>
      <c r="K147" t="n">
        <v>7.045437</v>
      </c>
      <c r="L147" t="n">
        <v>7.413971</v>
      </c>
      <c r="M147" t="n">
        <v>7.813108</v>
      </c>
      <c r="N147" t="n">
        <v>8.257565</v>
      </c>
      <c r="O147" t="n">
        <v>8.708961</v>
      </c>
      <c r="P147" t="n">
        <v>9.260097999999999</v>
      </c>
      <c r="Q147" t="n">
        <v>9.914675000000001</v>
      </c>
      <c r="R147" t="n">
        <v>10.542711</v>
      </c>
      <c r="S147" t="n">
        <v>11.278561</v>
      </c>
      <c r="T147" t="n">
        <v>11.772664</v>
      </c>
      <c r="U147" t="n">
        <v>12.469318</v>
      </c>
      <c r="V147" t="n">
        <v>12.802214</v>
      </c>
      <c r="W147" t="n">
        <v>12.950101</v>
      </c>
      <c r="X147" t="n">
        <v>13.123313</v>
      </c>
      <c r="Y147" t="n">
        <v>13.330359</v>
      </c>
      <c r="Z147" t="n">
        <v>13.524322</v>
      </c>
      <c r="AA147" t="n">
        <v>13.708388</v>
      </c>
      <c r="AB147" t="n">
        <v>13.939086</v>
      </c>
      <c r="AC147" t="n">
        <v>14.12636</v>
      </c>
      <c r="AD147" t="n">
        <v>14.318026</v>
      </c>
      <c r="AE147" t="n">
        <v>14.498432</v>
      </c>
      <c r="AF147" t="n">
        <v>14.747343</v>
      </c>
      <c r="AG147" s="31" t="n">
        <v>0.04</v>
      </c>
    </row>
    <row r="148">
      <c r="A148" t="inlineStr">
        <is>
          <t>Non-biogenic Municipal Waste</t>
        </is>
      </c>
      <c r="B148" t="inlineStr">
        <is>
          <t>Energy Use: Total: Non-biogenic Municipal Waste: High Zero-Carbon Technology Cost</t>
        </is>
      </c>
      <c r="C148" t="inlineStr">
        <is>
          <t>AEO.2025.HIGHZTC.CNSM_ENU_TEN_NA_NBMSW_NA_NA_QBTU.A</t>
        </is>
      </c>
      <c r="D148" t="inlineStr">
        <is>
          <t>quads</t>
        </is>
      </c>
      <c r="F148" t="n">
        <v>0.08799</v>
      </c>
      <c r="G148" t="n">
        <v>0.08799</v>
      </c>
      <c r="H148" t="n">
        <v>0.08799</v>
      </c>
      <c r="I148" t="n">
        <v>0.08799</v>
      </c>
      <c r="J148" t="n">
        <v>0.08799</v>
      </c>
      <c r="K148" t="n">
        <v>0.08799</v>
      </c>
      <c r="L148" t="n">
        <v>0.08799</v>
      </c>
      <c r="M148" t="n">
        <v>0.08799</v>
      </c>
      <c r="N148" t="n">
        <v>0.08799</v>
      </c>
      <c r="O148" t="n">
        <v>0.08799</v>
      </c>
      <c r="P148" t="n">
        <v>0.08799</v>
      </c>
      <c r="Q148" t="n">
        <v>0.08799</v>
      </c>
      <c r="R148" t="n">
        <v>0.08799</v>
      </c>
      <c r="S148" t="n">
        <v>0.08799</v>
      </c>
      <c r="T148" t="n">
        <v>0.08799</v>
      </c>
      <c r="U148" t="n">
        <v>0.08799</v>
      </c>
      <c r="V148" t="n">
        <v>0.08799</v>
      </c>
      <c r="W148" t="n">
        <v>0.08799</v>
      </c>
      <c r="X148" t="n">
        <v>0.08799</v>
      </c>
      <c r="Y148" t="n">
        <v>0.08799</v>
      </c>
      <c r="Z148" t="n">
        <v>0.08799</v>
      </c>
      <c r="AA148" t="n">
        <v>0.08799</v>
      </c>
      <c r="AB148" t="n">
        <v>0.08799</v>
      </c>
      <c r="AC148" t="n">
        <v>0.08799</v>
      </c>
      <c r="AD148" t="n">
        <v>0.08799</v>
      </c>
      <c r="AE148" t="n">
        <v>0.08799</v>
      </c>
      <c r="AF148" t="n">
        <v>0.08799</v>
      </c>
      <c r="AG148" s="31" t="n">
        <v>0</v>
      </c>
    </row>
    <row r="149">
      <c r="A149" t="inlineStr">
        <is>
          <t>Electricity Imports</t>
        </is>
      </c>
      <c r="B149" t="inlineStr">
        <is>
          <t>Energy Use: Total: Electricity Imports: High Zero-Carbon Technology Cost</t>
        </is>
      </c>
      <c r="C149" t="inlineStr">
        <is>
          <t>AEO.2025.HIGHZTC.CNSM_ENU_TEN_NA_ELI_NA_NA_QBTU.A</t>
        </is>
      </c>
      <c r="D149" t="inlineStr">
        <is>
          <t>quads</t>
        </is>
      </c>
      <c r="F149" t="n">
        <v>0.100341</v>
      </c>
      <c r="G149" t="n">
        <v>0.118393</v>
      </c>
      <c r="H149" t="n">
        <v>0.142458</v>
      </c>
      <c r="I149" t="n">
        <v>0.202903</v>
      </c>
      <c r="J149" t="n">
        <v>0.243384</v>
      </c>
      <c r="K149" t="n">
        <v>0.261122</v>
      </c>
      <c r="L149" t="n">
        <v>0.286835</v>
      </c>
      <c r="M149" t="n">
        <v>0.29337</v>
      </c>
      <c r="N149" t="n">
        <v>0.299808</v>
      </c>
      <c r="O149" t="n">
        <v>0.308062</v>
      </c>
      <c r="P149" t="n">
        <v>0.309713</v>
      </c>
      <c r="Q149" t="n">
        <v>0.313955</v>
      </c>
      <c r="R149" t="n">
        <v>0.306326</v>
      </c>
      <c r="S149" t="n">
        <v>0.302757</v>
      </c>
      <c r="T149" t="n">
        <v>0.301151</v>
      </c>
      <c r="U149" t="n">
        <v>0.29325</v>
      </c>
      <c r="V149" t="n">
        <v>0.297882</v>
      </c>
      <c r="W149" t="n">
        <v>0.299304</v>
      </c>
      <c r="X149" t="n">
        <v>0.29689</v>
      </c>
      <c r="Y149" t="n">
        <v>0.27687</v>
      </c>
      <c r="Z149" t="n">
        <v>0.275465</v>
      </c>
      <c r="AA149" t="n">
        <v>0.27317</v>
      </c>
      <c r="AB149" t="n">
        <v>0.25715</v>
      </c>
      <c r="AC149" t="n">
        <v>0.246115</v>
      </c>
      <c r="AD149" t="n">
        <v>0.239546</v>
      </c>
      <c r="AE149" t="n">
        <v>0.229535</v>
      </c>
      <c r="AF149" t="n">
        <v>0.22035</v>
      </c>
      <c r="AG149" s="31" t="n">
        <v>0.031</v>
      </c>
    </row>
    <row r="150">
      <c r="A150" t="inlineStr">
        <is>
          <t>Byproduct Hydrogen</t>
        </is>
      </c>
      <c r="B150" t="inlineStr">
        <is>
          <t>Energy Use: Total: Electricity Imports: High Zero-Carbon Technology Cost</t>
        </is>
      </c>
      <c r="C150" t="inlineStr">
        <is>
          <t>AEO.2025.HIGHZTC.CNSM_ENU_BYPRDH2_NA_ELI_NA_NA_QBTU.A</t>
        </is>
      </c>
      <c r="D150" t="inlineStr">
        <is>
          <t>quads</t>
        </is>
      </c>
      <c r="F150" t="n">
        <v>0.281298</v>
      </c>
      <c r="G150" t="n">
        <v>0.283792</v>
      </c>
      <c r="H150" t="n">
        <v>0.285599</v>
      </c>
      <c r="I150" t="n">
        <v>0.285823</v>
      </c>
      <c r="J150" t="n">
        <v>0.286192</v>
      </c>
      <c r="K150" t="n">
        <v>0.286404</v>
      </c>
      <c r="L150" t="n">
        <v>0.286444</v>
      </c>
      <c r="M150" t="n">
        <v>0.286411</v>
      </c>
      <c r="N150" t="n">
        <v>0.287263</v>
      </c>
      <c r="O150" t="n">
        <v>0.28826</v>
      </c>
      <c r="P150" t="n">
        <v>0.29223</v>
      </c>
      <c r="Q150" t="n">
        <v>0.294417</v>
      </c>
      <c r="R150" t="n">
        <v>0.295349</v>
      </c>
      <c r="S150" t="n">
        <v>0.298215</v>
      </c>
      <c r="T150" t="n">
        <v>0.301544</v>
      </c>
      <c r="U150" t="n">
        <v>0.307375</v>
      </c>
      <c r="V150" t="n">
        <v>0.314352</v>
      </c>
      <c r="W150" t="n">
        <v>0.319438</v>
      </c>
      <c r="X150" t="n">
        <v>0.325521</v>
      </c>
      <c r="Y150" t="n">
        <v>0.328208</v>
      </c>
      <c r="Z150" t="n">
        <v>0.327497</v>
      </c>
      <c r="AA150" t="n">
        <v>0.325066</v>
      </c>
      <c r="AB150" t="n">
        <v>0.328165</v>
      </c>
      <c r="AC150" t="n">
        <v>0.334948</v>
      </c>
      <c r="AD150" t="n">
        <v>0.339649</v>
      </c>
      <c r="AE150" t="n">
        <v>0.340652</v>
      </c>
      <c r="AF150" t="n">
        <v>0.340464</v>
      </c>
      <c r="AG150" s="31" t="n">
        <v>0.007</v>
      </c>
    </row>
    <row r="151">
      <c r="A151" t="inlineStr">
        <is>
          <t>Total</t>
        </is>
      </c>
      <c r="B151" t="inlineStr">
        <is>
          <t>Energy Use: Total: Total: High Zero-Carbon Technology Cost</t>
        </is>
      </c>
      <c r="C151" t="inlineStr">
        <is>
          <t>AEO.2025.HIGHZTC.CNSM_ENU_TEN_NA_TOT_NA_NA_QBTU.A</t>
        </is>
      </c>
      <c r="D151" t="inlineStr">
        <is>
          <t>quads</t>
        </is>
      </c>
      <c r="F151" t="n">
        <v>93.792062</v>
      </c>
      <c r="G151" t="n">
        <v>94.549862</v>
      </c>
      <c r="H151" t="n">
        <v>93.748074</v>
      </c>
      <c r="I151" t="n">
        <v>93.34569500000001</v>
      </c>
      <c r="J151" t="n">
        <v>93.20774400000001</v>
      </c>
      <c r="K151" t="n">
        <v>93.057019</v>
      </c>
      <c r="L151" t="n">
        <v>92.421781</v>
      </c>
      <c r="M151" t="n">
        <v>91.87683699999999</v>
      </c>
      <c r="N151" t="n">
        <v>90.83896</v>
      </c>
      <c r="O151" t="n">
        <v>90.217547</v>
      </c>
      <c r="P151" t="n">
        <v>89.73134400000001</v>
      </c>
      <c r="Q151" t="n">
        <v>89.175113</v>
      </c>
      <c r="R151" t="n">
        <v>88.707443</v>
      </c>
      <c r="S151" t="n">
        <v>88.075383</v>
      </c>
      <c r="T151" t="n">
        <v>87.800443</v>
      </c>
      <c r="U151" t="n">
        <v>87.223378</v>
      </c>
      <c r="V151" t="n">
        <v>87.340065</v>
      </c>
      <c r="W151" t="n">
        <v>87.56447199999999</v>
      </c>
      <c r="X151" t="n">
        <v>87.780013</v>
      </c>
      <c r="Y151" t="n">
        <v>87.990351</v>
      </c>
      <c r="Z151" t="n">
        <v>88.26944399999999</v>
      </c>
      <c r="AA151" t="n">
        <v>88.51124</v>
      </c>
      <c r="AB151" t="n">
        <v>88.720007</v>
      </c>
      <c r="AC151" t="n">
        <v>89.107753</v>
      </c>
      <c r="AD151" t="n">
        <v>89.414584</v>
      </c>
      <c r="AE151" t="n">
        <v>89.852422</v>
      </c>
      <c r="AF151" t="n">
        <v>90.183306</v>
      </c>
      <c r="AG151" s="31" t="n">
        <v>-0.002</v>
      </c>
    </row>
    <row r="152">
      <c r="A152" s="1" t="inlineStr">
        <is>
          <t>Energy Use &amp; Related Statistics</t>
        </is>
      </c>
    </row>
    <row r="153">
      <c r="A153" t="inlineStr">
        <is>
          <t>Delivered Energy Use</t>
        </is>
      </c>
      <c r="B153" t="inlineStr">
        <is>
          <t>Energy Use &amp; Related Statistics: Delivered Energy Use: High Zero-Carbon Technology Cost</t>
        </is>
      </c>
      <c r="C153" t="inlineStr">
        <is>
          <t>AEO.2025.HIGHZTC.CNSM_DEU_TOTD_NA_DEU_NA_NA_QBTU.A</t>
        </is>
      </c>
      <c r="D153" t="inlineStr">
        <is>
          <t>quads</t>
        </is>
      </c>
      <c r="F153" t="n">
        <v>74.39616599999999</v>
      </c>
      <c r="G153" t="n">
        <v>75.633017</v>
      </c>
      <c r="H153" t="n">
        <v>75.816836</v>
      </c>
      <c r="I153" t="n">
        <v>75.859414</v>
      </c>
      <c r="J153" t="n">
        <v>75.91131</v>
      </c>
      <c r="K153" t="n">
        <v>75.838549</v>
      </c>
      <c r="L153" t="n">
        <v>75.670862</v>
      </c>
      <c r="M153" t="n">
        <v>75.43100800000001</v>
      </c>
      <c r="N153" t="n">
        <v>75.152647</v>
      </c>
      <c r="O153" t="n">
        <v>74.74058100000001</v>
      </c>
      <c r="P153" t="n">
        <v>74.473737</v>
      </c>
      <c r="Q153" t="n">
        <v>74.22905299999999</v>
      </c>
      <c r="R153" t="n">
        <v>74.052532</v>
      </c>
      <c r="S153" t="n">
        <v>73.866893</v>
      </c>
      <c r="T153" t="n">
        <v>73.767641</v>
      </c>
      <c r="U153" t="n">
        <v>73.755517</v>
      </c>
      <c r="V153" t="n">
        <v>73.862459</v>
      </c>
      <c r="W153" t="n">
        <v>73.88608499999999</v>
      </c>
      <c r="X153" t="n">
        <v>73.911795</v>
      </c>
      <c r="Y153" t="n">
        <v>74.00731399999999</v>
      </c>
      <c r="Z153" t="n">
        <v>74.16182499999999</v>
      </c>
      <c r="AA153" t="n">
        <v>74.36874899999999</v>
      </c>
      <c r="AB153" t="n">
        <v>74.550759</v>
      </c>
      <c r="AC153" t="n">
        <v>74.868138</v>
      </c>
      <c r="AD153" t="n">
        <v>75.075987</v>
      </c>
      <c r="AE153" t="n">
        <v>75.396585</v>
      </c>
      <c r="AF153" t="n">
        <v>75.714538</v>
      </c>
      <c r="AG153" s="31" t="n">
        <v>0.001</v>
      </c>
    </row>
    <row r="154">
      <c r="A154" t="inlineStr">
        <is>
          <t>Total Energy Use</t>
        </is>
      </c>
      <c r="B154" t="inlineStr">
        <is>
          <t>Energy Use &amp; Related Statistics: Total Energy Use: High Zero-Carbon Technology Cost</t>
        </is>
      </c>
      <c r="C154" t="inlineStr">
        <is>
          <t>AEO.2025.HIGHZTC.CNSM_ENU_TEN_NA_TEU_NA_NA_QBTU.A</t>
        </is>
      </c>
      <c r="D154" t="inlineStr">
        <is>
          <t>quads</t>
        </is>
      </c>
      <c r="F154" t="n">
        <v>93.792062</v>
      </c>
      <c r="G154" t="n">
        <v>94.549862</v>
      </c>
      <c r="H154" t="n">
        <v>93.748074</v>
      </c>
      <c r="I154" t="n">
        <v>93.34569500000001</v>
      </c>
      <c r="J154" t="n">
        <v>93.20774400000001</v>
      </c>
      <c r="K154" t="n">
        <v>93.057019</v>
      </c>
      <c r="L154" t="n">
        <v>92.421781</v>
      </c>
      <c r="M154" t="n">
        <v>91.87683699999999</v>
      </c>
      <c r="N154" t="n">
        <v>90.83896</v>
      </c>
      <c r="O154" t="n">
        <v>90.217547</v>
      </c>
      <c r="P154" t="n">
        <v>89.73134400000001</v>
      </c>
      <c r="Q154" t="n">
        <v>89.175113</v>
      </c>
      <c r="R154" t="n">
        <v>88.707443</v>
      </c>
      <c r="S154" t="n">
        <v>88.075383</v>
      </c>
      <c r="T154" t="n">
        <v>87.800443</v>
      </c>
      <c r="U154" t="n">
        <v>87.223378</v>
      </c>
      <c r="V154" t="n">
        <v>87.340065</v>
      </c>
      <c r="W154" t="n">
        <v>87.56447199999999</v>
      </c>
      <c r="X154" t="n">
        <v>87.780013</v>
      </c>
      <c r="Y154" t="n">
        <v>87.990351</v>
      </c>
      <c r="Z154" t="n">
        <v>88.26944399999999</v>
      </c>
      <c r="AA154" t="n">
        <v>88.51124</v>
      </c>
      <c r="AB154" t="n">
        <v>88.720007</v>
      </c>
      <c r="AC154" t="n">
        <v>89.107753</v>
      </c>
      <c r="AD154" t="n">
        <v>89.414584</v>
      </c>
      <c r="AE154" t="n">
        <v>89.852422</v>
      </c>
      <c r="AF154" t="n">
        <v>90.183306</v>
      </c>
      <c r="AG154" s="31" t="n">
        <v>-0.002</v>
      </c>
    </row>
    <row r="155">
      <c r="A155" t="inlineStr">
        <is>
          <t>Ethanol (denatured) Consumed in Motor Gasoline and E85</t>
        </is>
      </c>
      <c r="B155" t="inlineStr">
        <is>
          <t>Energy Use &amp; Related Statistics: Ethanol Consumed in Motor Gasoline and E85: High Zero-Carbon Technology Cost</t>
        </is>
      </c>
      <c r="C155" t="inlineStr">
        <is>
          <t>AEO.2025.HIGHZTC.CNSM_ENU_NA_NA_EM1_NA_NA_QBTU.A</t>
        </is>
      </c>
      <c r="D155" t="inlineStr">
        <is>
          <t>quads</t>
        </is>
      </c>
      <c r="F155" t="n">
        <v>1.202958</v>
      </c>
      <c r="G155" t="n">
        <v>1.20816</v>
      </c>
      <c r="H155" t="n">
        <v>1.232792</v>
      </c>
      <c r="I155" t="n">
        <v>1.233204</v>
      </c>
      <c r="J155" t="n">
        <v>1.224221</v>
      </c>
      <c r="K155" t="n">
        <v>1.210443</v>
      </c>
      <c r="L155" t="n">
        <v>1.190165</v>
      </c>
      <c r="M155" t="n">
        <v>1.169349</v>
      </c>
      <c r="N155" t="n">
        <v>1.142235</v>
      </c>
      <c r="O155" t="n">
        <v>1.113947</v>
      </c>
      <c r="P155" t="n">
        <v>1.086572</v>
      </c>
      <c r="Q155" t="n">
        <v>1.058643</v>
      </c>
      <c r="R155" t="n">
        <v>1.027658</v>
      </c>
      <c r="S155" t="n">
        <v>0.996818</v>
      </c>
      <c r="T155" t="n">
        <v>0.968319</v>
      </c>
      <c r="U155" t="n">
        <v>0.941165</v>
      </c>
      <c r="V155" t="n">
        <v>0.917371</v>
      </c>
      <c r="W155" t="n">
        <v>0.8953179999999999</v>
      </c>
      <c r="X155" t="n">
        <v>0.873519</v>
      </c>
      <c r="Y155" t="n">
        <v>0.85682</v>
      </c>
      <c r="Z155" t="n">
        <v>0.840015</v>
      </c>
      <c r="AA155" t="n">
        <v>0.827329</v>
      </c>
      <c r="AB155" t="n">
        <v>0.815684</v>
      </c>
      <c r="AC155" t="n">
        <v>0.807474</v>
      </c>
      <c r="AD155" t="n">
        <v>0.796536</v>
      </c>
      <c r="AE155" t="n">
        <v>0.790798</v>
      </c>
      <c r="AF155" t="n">
        <v>0.7872400000000001</v>
      </c>
      <c r="AG155" s="31" t="n">
        <v>-0.016</v>
      </c>
    </row>
    <row r="156">
      <c r="A156" t="inlineStr">
        <is>
          <t>Population (millions)</t>
        </is>
      </c>
      <c r="B156" t="inlineStr">
        <is>
          <t>Energy Use &amp; Related Statistics: Population: High Zero-Carbon Technology Cost</t>
        </is>
      </c>
      <c r="C156" t="inlineStr">
        <is>
          <t>AEO.2025.HIGHZTC.DMG_POP_NA_NA_NA_NA_NA_MILL.A</t>
        </is>
      </c>
      <c r="D156" t="inlineStr">
        <is>
          <t>millions</t>
        </is>
      </c>
      <c r="F156" t="n">
        <v>342.001984</v>
      </c>
      <c r="G156" t="n">
        <v>344.850769</v>
      </c>
      <c r="H156" t="n">
        <v>346.964233</v>
      </c>
      <c r="I156" t="n">
        <v>348.437408</v>
      </c>
      <c r="J156" t="n">
        <v>349.878052</v>
      </c>
      <c r="K156" t="n">
        <v>351.281189</v>
      </c>
      <c r="L156" t="n">
        <v>352.641785</v>
      </c>
      <c r="M156" t="n">
        <v>353.957397</v>
      </c>
      <c r="N156" t="n">
        <v>355.230469</v>
      </c>
      <c r="O156" t="n">
        <v>356.458527</v>
      </c>
      <c r="P156" t="n">
        <v>357.634064</v>
      </c>
      <c r="Q156" t="n">
        <v>358.735931</v>
      </c>
      <c r="R156" t="n">
        <v>359.772827</v>
      </c>
      <c r="S156" t="n">
        <v>360.751251</v>
      </c>
      <c r="T156" t="n">
        <v>361.672638</v>
      </c>
      <c r="U156" t="n">
        <v>362.535645</v>
      </c>
      <c r="V156" t="n">
        <v>363.343536</v>
      </c>
      <c r="W156" t="n">
        <v>364.095734</v>
      </c>
      <c r="X156" t="n">
        <v>364.791321</v>
      </c>
      <c r="Y156" t="n">
        <v>365.436127</v>
      </c>
      <c r="Z156" t="n">
        <v>366.034454</v>
      </c>
      <c r="AA156" t="n">
        <v>366.590668</v>
      </c>
      <c r="AB156" t="n">
        <v>367.106476</v>
      </c>
      <c r="AC156" t="n">
        <v>367.587921</v>
      </c>
      <c r="AD156" t="n">
        <v>368.039459</v>
      </c>
      <c r="AE156" t="n">
        <v>368.46582</v>
      </c>
      <c r="AF156" t="n">
        <v>368.870575</v>
      </c>
      <c r="AG156" s="31" t="n">
        <v>0.003</v>
      </c>
    </row>
    <row r="157">
      <c r="A157" t="inlineStr">
        <is>
          <t>Gross Domestic Product (billion 2012 dollars)</t>
        </is>
      </c>
      <c r="B157" t="inlineStr">
        <is>
          <t>Energy Use &amp; Related Statistics: Gross Domestic Product: High Zero-Carbon Technology Cost</t>
        </is>
      </c>
      <c r="C157" t="inlineStr">
        <is>
          <t>AEO.2025.HIGHZTC.KEI_GDP_NA_NA_NA_NA_NA_BLNY09DLR.A</t>
        </is>
      </c>
      <c r="D157" t="inlineStr">
        <is>
          <t>billion 2012 $</t>
        </is>
      </c>
      <c r="F157" t="n">
        <v>21699.671875</v>
      </c>
      <c r="G157" t="n">
        <v>22171.929688</v>
      </c>
      <c r="H157" t="n">
        <v>22685.953125</v>
      </c>
      <c r="I157" t="n">
        <v>23162.595703</v>
      </c>
      <c r="J157" t="n">
        <v>23590.015625</v>
      </c>
      <c r="K157" t="n">
        <v>24042.869141</v>
      </c>
      <c r="L157" t="n">
        <v>24479.318359</v>
      </c>
      <c r="M157" t="n">
        <v>24877.939453</v>
      </c>
      <c r="N157" t="n">
        <v>25299.824219</v>
      </c>
      <c r="O157" t="n">
        <v>25731.902344</v>
      </c>
      <c r="P157" t="n">
        <v>26166.296875</v>
      </c>
      <c r="Q157" t="n">
        <v>26621.835938</v>
      </c>
      <c r="R157" t="n">
        <v>27077.875</v>
      </c>
      <c r="S157" t="n">
        <v>27546.341797</v>
      </c>
      <c r="T157" t="n">
        <v>28018.710938</v>
      </c>
      <c r="U157" t="n">
        <v>28503.035156</v>
      </c>
      <c r="V157" t="n">
        <v>29003.939453</v>
      </c>
      <c r="W157" t="n">
        <v>29486.919922</v>
      </c>
      <c r="X157" t="n">
        <v>29991.914062</v>
      </c>
      <c r="Y157" t="n">
        <v>30494.671875</v>
      </c>
      <c r="Z157" t="n">
        <v>30998.292969</v>
      </c>
      <c r="AA157" t="n">
        <v>31501.849609</v>
      </c>
      <c r="AB157" t="n">
        <v>32021.367188</v>
      </c>
      <c r="AC157" t="n">
        <v>32546.509766</v>
      </c>
      <c r="AD157" t="n">
        <v>33074.625</v>
      </c>
      <c r="AE157" t="n">
        <v>33617.65625</v>
      </c>
      <c r="AF157" t="n">
        <v>34162.722656</v>
      </c>
      <c r="AG157" s="31" t="n">
        <v>0.018</v>
      </c>
    </row>
    <row r="158">
      <c r="A158" t="inlineStr">
        <is>
          <t>Carbon Dioxide Emissions (million metric</t>
        </is>
      </c>
    </row>
    <row r="159">
      <c r="A159" t="inlineStr">
        <is>
          <t>tons CO2)</t>
        </is>
      </c>
      <c r="B159" t="inlineStr">
        <is>
          <t>Energy Use &amp; Related Statistics: Carbon Dioxide Emissions: High Zero-Carbon Technology Cost</t>
        </is>
      </c>
      <c r="C159" t="inlineStr">
        <is>
          <t>AEO.2025.HIGHZTC.EMI_CO2_NA_NA_NA_NA_NA_MILLMTCO2EQ.A</t>
        </is>
      </c>
      <c r="D159" t="inlineStr">
        <is>
          <t>MMmtcarbon dioxide</t>
        </is>
      </c>
      <c r="F159" t="n">
        <v>4773.288086</v>
      </c>
      <c r="G159" t="n">
        <v>4786.674805</v>
      </c>
      <c r="H159" t="n">
        <v>4654.725586</v>
      </c>
      <c r="I159" t="n">
        <v>4559.281738</v>
      </c>
      <c r="J159" t="n">
        <v>4539.911621</v>
      </c>
      <c r="K159" t="n">
        <v>4499.933105</v>
      </c>
      <c r="L159" t="n">
        <v>4406.708496</v>
      </c>
      <c r="M159" t="n">
        <v>4338.095215</v>
      </c>
      <c r="N159" t="n">
        <v>4123.137207</v>
      </c>
      <c r="O159" t="n">
        <v>4050.2229</v>
      </c>
      <c r="P159" t="n">
        <v>3978.540527</v>
      </c>
      <c r="Q159" t="n">
        <v>3896.340088</v>
      </c>
      <c r="R159" t="n">
        <v>3825.867432</v>
      </c>
      <c r="S159" t="n">
        <v>3736.340576</v>
      </c>
      <c r="T159" t="n">
        <v>3682.385742</v>
      </c>
      <c r="U159" t="n">
        <v>3587.518066</v>
      </c>
      <c r="V159" t="n">
        <v>3564.895996</v>
      </c>
      <c r="W159" t="n">
        <v>3559.025635</v>
      </c>
      <c r="X159" t="n">
        <v>3552.818115</v>
      </c>
      <c r="Y159" t="n">
        <v>3549.12085</v>
      </c>
      <c r="Z159" t="n">
        <v>3547.375977</v>
      </c>
      <c r="AA159" t="n">
        <v>3546.011475</v>
      </c>
      <c r="AB159" t="n">
        <v>3549.165283</v>
      </c>
      <c r="AC159" t="n">
        <v>3557.210693</v>
      </c>
      <c r="AD159" t="n">
        <v>3559.408203</v>
      </c>
      <c r="AE159" t="n">
        <v>3575.618164</v>
      </c>
      <c r="AF159" t="n">
        <v>3576.766602</v>
      </c>
      <c r="AG159" s="31" t="n">
        <v>-0.011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121"/>
  <sheetViews>
    <sheetView topLeftCell="A13" workbookViewId="0">
      <selection activeCell="A41" sqref="A41:XFD41"/>
    </sheetView>
  </sheetViews>
  <sheetFormatPr baseColWidth="8" defaultRowHeight="14.25"/>
  <cols>
    <col width="25.1328125" customWidth="1" min="1" max="1"/>
    <col width="24.86328125" customWidth="1" min="2" max="2"/>
  </cols>
  <sheetData>
    <row r="1">
      <c r="A1" t="inlineStr">
        <is>
          <t>Table 3.  Energy Prices by Sector and Source</t>
        </is>
      </c>
    </row>
    <row r="2">
      <c r="A2" t="inlineStr">
        <is>
          <t>https://www.eia.gov/outlooks/aeo/data/browser/#/?id=3-AEO2025&amp;cases=highZTC&amp;sourcekey=0</t>
        </is>
      </c>
    </row>
    <row r="3">
      <c r="A3" t="inlineStr">
        <is>
          <t>Tue Dec 02 2025 13:12:56 GMT-0800 (Pacific Standard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2023</v>
      </c>
      <c r="F5" t="n">
        <v>2024</v>
      </c>
      <c r="G5" t="n">
        <v>2025</v>
      </c>
      <c r="H5" t="n">
        <v>2026</v>
      </c>
      <c r="I5" t="n">
        <v>2027</v>
      </c>
      <c r="J5" t="n">
        <v>2028</v>
      </c>
      <c r="K5" t="n">
        <v>2029</v>
      </c>
      <c r="L5" t="n">
        <v>2030</v>
      </c>
      <c r="M5" t="n">
        <v>2031</v>
      </c>
      <c r="N5" t="n">
        <v>2032</v>
      </c>
      <c r="O5" t="n">
        <v>2033</v>
      </c>
      <c r="P5" t="n">
        <v>2034</v>
      </c>
      <c r="Q5" t="n">
        <v>2035</v>
      </c>
      <c r="R5" t="n">
        <v>2036</v>
      </c>
      <c r="S5" t="n">
        <v>2037</v>
      </c>
      <c r="T5" t="n">
        <v>2038</v>
      </c>
      <c r="U5" t="n">
        <v>2039</v>
      </c>
      <c r="V5" t="n">
        <v>2040</v>
      </c>
      <c r="W5" t="n">
        <v>2041</v>
      </c>
      <c r="X5" t="n">
        <v>2042</v>
      </c>
      <c r="Y5" t="n">
        <v>2043</v>
      </c>
      <c r="Z5" t="n">
        <v>2044</v>
      </c>
      <c r="AA5" t="n">
        <v>2045</v>
      </c>
      <c r="AB5" t="n">
        <v>2046</v>
      </c>
      <c r="AC5" t="n">
        <v>2047</v>
      </c>
      <c r="AD5" t="n">
        <v>2048</v>
      </c>
      <c r="AE5" t="n">
        <v>2049</v>
      </c>
      <c r="AF5" t="n">
        <v>2050</v>
      </c>
      <c r="AG5" t="inlineStr">
        <is>
          <t>Growth (2024-2050)</t>
        </is>
      </c>
    </row>
    <row r="6">
      <c r="A6" t="inlineStr">
        <is>
          <t>Residential</t>
        </is>
      </c>
    </row>
    <row r="7">
      <c r="A7" t="inlineStr">
        <is>
          <t>Propane</t>
        </is>
      </c>
      <c r="B7" t="inlineStr">
        <is>
          <t>Energy Prices: Residential: Propane: High Zero-Carbon Technology Cost</t>
        </is>
      </c>
      <c r="C7" t="inlineStr">
        <is>
          <t>AEO.2025.HIGHZTC.PRCE_REAL_RESD_NA_PROP_NA_NA_Y13DLRPMMBTU.A</t>
        </is>
      </c>
      <c r="D7" t="inlineStr">
        <is>
          <t>2024 $/MMBtu</t>
        </is>
      </c>
      <c r="F7" t="n">
        <v>26.593981</v>
      </c>
      <c r="G7" t="n">
        <v>25.690693</v>
      </c>
      <c r="H7" t="n">
        <v>25.882023</v>
      </c>
      <c r="I7" t="n">
        <v>25.734011</v>
      </c>
      <c r="J7" t="n">
        <v>25.761881</v>
      </c>
      <c r="K7" t="n">
        <v>25.984186</v>
      </c>
      <c r="L7" t="n">
        <v>26.494528</v>
      </c>
      <c r="M7" t="n">
        <v>27.035074</v>
      </c>
      <c r="N7" t="n">
        <v>27.848438</v>
      </c>
      <c r="O7" t="n">
        <v>28.895929</v>
      </c>
      <c r="P7" t="n">
        <v>29.836832</v>
      </c>
      <c r="Q7" t="n">
        <v>30.497536</v>
      </c>
      <c r="R7" t="n">
        <v>30.975727</v>
      </c>
      <c r="S7" t="n">
        <v>31.295523</v>
      </c>
      <c r="T7" t="n">
        <v>31.443632</v>
      </c>
      <c r="U7" t="n">
        <v>31.521713</v>
      </c>
      <c r="V7" t="n">
        <v>31.634783</v>
      </c>
      <c r="W7" t="n">
        <v>31.863678</v>
      </c>
      <c r="X7" t="n">
        <v>32.095478</v>
      </c>
      <c r="Y7" t="n">
        <v>32.443432</v>
      </c>
      <c r="Z7" t="n">
        <v>32.908676</v>
      </c>
      <c r="AA7" t="n">
        <v>33.216011</v>
      </c>
      <c r="AB7" t="n">
        <v>33.459888</v>
      </c>
      <c r="AC7" t="n">
        <v>33.58733</v>
      </c>
      <c r="AD7" t="n">
        <v>33.707253</v>
      </c>
      <c r="AE7" t="n">
        <v>33.953312</v>
      </c>
      <c r="AF7" t="n">
        <v>34.455376</v>
      </c>
      <c r="AG7" s="31" t="n">
        <v>0.01</v>
      </c>
    </row>
    <row r="8">
      <c r="A8" t="inlineStr">
        <is>
          <t>Distillate Fuel Oil</t>
        </is>
      </c>
      <c r="B8" t="inlineStr">
        <is>
          <t>Energy Prices: Residential: Distillate Fuel Oil: High Zero-Carbon Technology Cost</t>
        </is>
      </c>
      <c r="C8" t="inlineStr">
        <is>
          <t>AEO.2025.HIGHZTC.PRCE_REAL_RESD_NA_DFO_NA_NA_Y13DLRPMMBTU.A</t>
        </is>
      </c>
      <c r="D8" t="inlineStr">
        <is>
          <t>2024 $/MMBtu</t>
        </is>
      </c>
      <c r="F8" t="n">
        <v>26.158379</v>
      </c>
      <c r="G8" t="n">
        <v>24.617764</v>
      </c>
      <c r="H8" t="n">
        <v>24.643763</v>
      </c>
      <c r="I8" t="n">
        <v>25.310112</v>
      </c>
      <c r="J8" t="n">
        <v>26.17977</v>
      </c>
      <c r="K8" t="n">
        <v>27.100401</v>
      </c>
      <c r="L8" t="n">
        <v>28.068832</v>
      </c>
      <c r="M8" t="n">
        <v>28.11725</v>
      </c>
      <c r="N8" t="n">
        <v>28.0326</v>
      </c>
      <c r="O8" t="n">
        <v>28.357315</v>
      </c>
      <c r="P8" t="n">
        <v>28.466999</v>
      </c>
      <c r="Q8" t="n">
        <v>28.689667</v>
      </c>
      <c r="R8" t="n">
        <v>28.809559</v>
      </c>
      <c r="S8" t="n">
        <v>29.071898</v>
      </c>
      <c r="T8" t="n">
        <v>29.171333</v>
      </c>
      <c r="U8" t="n">
        <v>29.291199</v>
      </c>
      <c r="V8" t="n">
        <v>29.469152</v>
      </c>
      <c r="W8" t="n">
        <v>29.758438</v>
      </c>
      <c r="X8" t="n">
        <v>29.994083</v>
      </c>
      <c r="Y8" t="n">
        <v>30.294477</v>
      </c>
      <c r="Z8" t="n">
        <v>30.955036</v>
      </c>
      <c r="AA8" t="n">
        <v>30.868721</v>
      </c>
      <c r="AB8" t="n">
        <v>30.956972</v>
      </c>
      <c r="AC8" t="n">
        <v>30.914091</v>
      </c>
      <c r="AD8" t="n">
        <v>30.902479</v>
      </c>
      <c r="AE8" t="n">
        <v>30.934729</v>
      </c>
      <c r="AF8" t="n">
        <v>31.279491</v>
      </c>
      <c r="AG8" s="31" t="n">
        <v>0.007</v>
      </c>
    </row>
    <row r="9">
      <c r="A9" t="inlineStr">
        <is>
          <t>Natural Gas</t>
        </is>
      </c>
      <c r="B9" t="inlineStr">
        <is>
          <t>Energy Prices: Residential: Natural Gas: High Zero-Carbon Technology Cost</t>
        </is>
      </c>
      <c r="C9" t="inlineStr">
        <is>
          <t>AEO.2025.HIGHZTC.PRCE_REAL_RESD_NA_NG_NA_NA_Y13DLRPMMBTU.A</t>
        </is>
      </c>
      <c r="D9" t="inlineStr">
        <is>
          <t>2024 $/MMBtu</t>
        </is>
      </c>
      <c r="F9" t="n">
        <v>13.932205</v>
      </c>
      <c r="G9" t="n">
        <v>12.694278</v>
      </c>
      <c r="H9" t="n">
        <v>12.476946</v>
      </c>
      <c r="I9" t="n">
        <v>12.0713</v>
      </c>
      <c r="J9" t="n">
        <v>11.825522</v>
      </c>
      <c r="K9" t="n">
        <v>11.708606</v>
      </c>
      <c r="L9" t="n">
        <v>11.628035</v>
      </c>
      <c r="M9" t="n">
        <v>11.829365</v>
      </c>
      <c r="N9" t="n">
        <v>12.259671</v>
      </c>
      <c r="O9" t="n">
        <v>12.641685</v>
      </c>
      <c r="P9" t="n">
        <v>12.901601</v>
      </c>
      <c r="Q9" t="n">
        <v>13.046376</v>
      </c>
      <c r="R9" t="n">
        <v>13.061166</v>
      </c>
      <c r="S9" t="n">
        <v>13.048336</v>
      </c>
      <c r="T9" t="n">
        <v>13.026576</v>
      </c>
      <c r="U9" t="n">
        <v>12.968637</v>
      </c>
      <c r="V9" t="n">
        <v>13.000326</v>
      </c>
      <c r="W9" t="n">
        <v>13.125381</v>
      </c>
      <c r="X9" t="n">
        <v>13.234643</v>
      </c>
      <c r="Y9" t="n">
        <v>13.327177</v>
      </c>
      <c r="Z9" t="n">
        <v>13.385166</v>
      </c>
      <c r="AA9" t="n">
        <v>13.471466</v>
      </c>
      <c r="AB9" t="n">
        <v>13.568365</v>
      </c>
      <c r="AC9" t="n">
        <v>13.612545</v>
      </c>
      <c r="AD9" t="n">
        <v>13.641063</v>
      </c>
      <c r="AE9" t="n">
        <v>13.722773</v>
      </c>
      <c r="AF9" t="n">
        <v>13.794634</v>
      </c>
      <c r="AG9" s="31" t="n">
        <v>0</v>
      </c>
    </row>
    <row r="10">
      <c r="A10" t="inlineStr">
        <is>
          <t>Electricity</t>
        </is>
      </c>
      <c r="B10" t="inlineStr">
        <is>
          <t>Energy Prices: Residential: Electricity: High Zero-Carbon Technology Cost</t>
        </is>
      </c>
      <c r="C10" t="inlineStr">
        <is>
          <t>AEO.2025.HIGHZTC.PRCE_REAL_RESD_NA_ELC_NA_NA_Y13DLRPMMBTU.A</t>
        </is>
      </c>
      <c r="D10" t="inlineStr">
        <is>
          <t>2024 $/MMBtu</t>
        </is>
      </c>
      <c r="F10" t="n">
        <v>45.553139</v>
      </c>
      <c r="G10" t="n">
        <v>45.024025</v>
      </c>
      <c r="H10" t="n">
        <v>42.541679</v>
      </c>
      <c r="I10" t="n">
        <v>40.45982</v>
      </c>
      <c r="J10" t="n">
        <v>40.182793</v>
      </c>
      <c r="K10" t="n">
        <v>40.569782</v>
      </c>
      <c r="L10" t="n">
        <v>41.046375</v>
      </c>
      <c r="M10" t="n">
        <v>41.716888</v>
      </c>
      <c r="N10" t="n">
        <v>42.268425</v>
      </c>
      <c r="O10" t="n">
        <v>43.117485</v>
      </c>
      <c r="P10" t="n">
        <v>43.465755</v>
      </c>
      <c r="Q10" t="n">
        <v>43.342434</v>
      </c>
      <c r="R10" t="n">
        <v>43.037926</v>
      </c>
      <c r="S10" t="n">
        <v>42.73064</v>
      </c>
      <c r="T10" t="n">
        <v>42.891632</v>
      </c>
      <c r="U10" t="n">
        <v>42.628983</v>
      </c>
      <c r="V10" t="n">
        <v>42.525494</v>
      </c>
      <c r="W10" t="n">
        <v>42.545128</v>
      </c>
      <c r="X10" t="n">
        <v>42.731728</v>
      </c>
      <c r="Y10" t="n">
        <v>42.921192</v>
      </c>
      <c r="Z10" t="n">
        <v>43.168861</v>
      </c>
      <c r="AA10" t="n">
        <v>43.377872</v>
      </c>
      <c r="AB10" t="n">
        <v>43.621025</v>
      </c>
      <c r="AC10" t="n">
        <v>43.79406</v>
      </c>
      <c r="AD10" t="n">
        <v>44.126114</v>
      </c>
      <c r="AE10" t="n">
        <v>44.423275</v>
      </c>
      <c r="AF10" t="n">
        <v>44.787258</v>
      </c>
      <c r="AG10" s="31" t="n">
        <v>-0.001</v>
      </c>
    </row>
    <row r="11">
      <c r="A11" t="inlineStr">
        <is>
          <t>Commercial</t>
        </is>
      </c>
    </row>
    <row r="12">
      <c r="A12" t="inlineStr">
        <is>
          <t>Propane</t>
        </is>
      </c>
      <c r="B12" t="inlineStr">
        <is>
          <t>Energy Prices: Commercial: Propane: High Zero-Carbon Technology Cost</t>
        </is>
      </c>
      <c r="C12" t="inlineStr">
        <is>
          <t>AEO.2025.HIGHZTC.PRCE_REAL_COMM_NA_PROP_NA_NA_Y13DLRPMMBTU.A</t>
        </is>
      </c>
      <c r="D12" t="inlineStr">
        <is>
          <t>2024 $/MMBtu</t>
        </is>
      </c>
      <c r="F12" t="n">
        <v>19.0868</v>
      </c>
      <c r="G12" t="n">
        <v>19.071598</v>
      </c>
      <c r="H12" t="n">
        <v>19.969246</v>
      </c>
      <c r="I12" t="n">
        <v>19.804914</v>
      </c>
      <c r="J12" t="n">
        <v>19.920181</v>
      </c>
      <c r="K12" t="n">
        <v>20.219919</v>
      </c>
      <c r="L12" t="n">
        <v>20.798326</v>
      </c>
      <c r="M12" t="n">
        <v>21.250935</v>
      </c>
      <c r="N12" t="n">
        <v>22.027008</v>
      </c>
      <c r="O12" t="n">
        <v>22.973885</v>
      </c>
      <c r="P12" t="n">
        <v>23.6208</v>
      </c>
      <c r="Q12" t="n">
        <v>23.91017</v>
      </c>
      <c r="R12" t="n">
        <v>24.102671</v>
      </c>
      <c r="S12" t="n">
        <v>24.204554</v>
      </c>
      <c r="T12" t="n">
        <v>24.180492</v>
      </c>
      <c r="U12" t="n">
        <v>24.168512</v>
      </c>
      <c r="V12" t="n">
        <v>24.257711</v>
      </c>
      <c r="W12" t="n">
        <v>24.494383</v>
      </c>
      <c r="X12" t="n">
        <v>24.6768</v>
      </c>
      <c r="Y12" t="n">
        <v>25.001261</v>
      </c>
      <c r="Z12" t="n">
        <v>25.422537</v>
      </c>
      <c r="AA12" t="n">
        <v>25.562656</v>
      </c>
      <c r="AB12" t="n">
        <v>25.683006</v>
      </c>
      <c r="AC12" t="n">
        <v>25.692684</v>
      </c>
      <c r="AD12" t="n">
        <v>25.758125</v>
      </c>
      <c r="AE12" t="n">
        <v>26.007099</v>
      </c>
      <c r="AF12" t="n">
        <v>26.538202</v>
      </c>
      <c r="AG12" s="31" t="n">
        <v>0.013</v>
      </c>
    </row>
    <row r="13">
      <c r="A13" t="inlineStr">
        <is>
          <t>Distillate Fuel Oil</t>
        </is>
      </c>
      <c r="B13" t="inlineStr">
        <is>
          <t>Energy Prices: Commercial: Distillate Fuel Oil: High Zero-Carbon Technology Cost</t>
        </is>
      </c>
      <c r="C13" t="inlineStr">
        <is>
          <t>AEO.2025.HIGHZTC.PRCE_REAL_COMM_NA_DFO_NA_NA_Y13DLRPMMBTU.A</t>
        </is>
      </c>
      <c r="D13" t="inlineStr">
        <is>
          <t>2024 $/MMBtu</t>
        </is>
      </c>
      <c r="F13" t="n">
        <v>26.207932</v>
      </c>
      <c r="G13" t="n">
        <v>24.707527</v>
      </c>
      <c r="H13" t="n">
        <v>23.565269</v>
      </c>
      <c r="I13" t="n">
        <v>23.058794</v>
      </c>
      <c r="J13" t="n">
        <v>22.754671</v>
      </c>
      <c r="K13" t="n">
        <v>22.501291</v>
      </c>
      <c r="L13" t="n">
        <v>22.297827</v>
      </c>
      <c r="M13" t="n">
        <v>22.340889</v>
      </c>
      <c r="N13" t="n">
        <v>22.216309</v>
      </c>
      <c r="O13" t="n">
        <v>22.527172</v>
      </c>
      <c r="P13" t="n">
        <v>22.633039</v>
      </c>
      <c r="Q13" t="n">
        <v>22.83795</v>
      </c>
      <c r="R13" t="n">
        <v>22.942883</v>
      </c>
      <c r="S13" t="n">
        <v>23.194223</v>
      </c>
      <c r="T13" t="n">
        <v>23.297205</v>
      </c>
      <c r="U13" t="n">
        <v>23.403837</v>
      </c>
      <c r="V13" t="n">
        <v>23.570314</v>
      </c>
      <c r="W13" t="n">
        <v>23.852497</v>
      </c>
      <c r="X13" t="n">
        <v>24.078636</v>
      </c>
      <c r="Y13" t="n">
        <v>24.381926</v>
      </c>
      <c r="Z13" t="n">
        <v>25.030125</v>
      </c>
      <c r="AA13" t="n">
        <v>24.942905</v>
      </c>
      <c r="AB13" t="n">
        <v>25.028816</v>
      </c>
      <c r="AC13" t="n">
        <v>24.984297</v>
      </c>
      <c r="AD13" t="n">
        <v>24.964209</v>
      </c>
      <c r="AE13" t="n">
        <v>25.003876</v>
      </c>
      <c r="AF13" t="n">
        <v>25.3452</v>
      </c>
      <c r="AG13" s="31" t="n">
        <v>-0.001</v>
      </c>
    </row>
    <row r="14">
      <c r="A14" t="inlineStr">
        <is>
          <t>Residual Fuel Oil</t>
        </is>
      </c>
      <c r="B14" t="inlineStr">
        <is>
          <t>Energy Prices: Commercial: Residual Fuel: High Zero-Carbon Technology Cost</t>
        </is>
      </c>
      <c r="C14" t="inlineStr">
        <is>
          <t>AEO.2025.HIGHZTC.PRCE_REAL_COMM_NA_RFL_NA_NA_Y13DLRPMMBTU.A</t>
        </is>
      </c>
      <c r="D14" t="inlineStr">
        <is>
          <t>2024 $/MMBtu</t>
        </is>
      </c>
      <c r="F14" t="n">
        <v>6.746078</v>
      </c>
      <c r="G14" t="n">
        <v>7.471698</v>
      </c>
      <c r="H14" t="n">
        <v>7.841193</v>
      </c>
      <c r="I14" t="n">
        <v>8.831597</v>
      </c>
      <c r="J14" t="n">
        <v>9.914908</v>
      </c>
      <c r="K14" t="n">
        <v>11.015342</v>
      </c>
      <c r="L14" t="n">
        <v>12.183045</v>
      </c>
      <c r="M14" t="n">
        <v>12.244162</v>
      </c>
      <c r="N14" t="n">
        <v>12.208694</v>
      </c>
      <c r="O14" t="n">
        <v>12.446174</v>
      </c>
      <c r="P14" t="n">
        <v>12.544676</v>
      </c>
      <c r="Q14" t="n">
        <v>12.678741</v>
      </c>
      <c r="R14" t="n">
        <v>12.753716</v>
      </c>
      <c r="S14" t="n">
        <v>12.87225</v>
      </c>
      <c r="T14" t="n">
        <v>12.979047</v>
      </c>
      <c r="U14" t="n">
        <v>12.997785</v>
      </c>
      <c r="V14" t="n">
        <v>13.118733</v>
      </c>
      <c r="W14" t="n">
        <v>13.235469</v>
      </c>
      <c r="X14" t="n">
        <v>13.365701</v>
      </c>
      <c r="Y14" t="n">
        <v>13.416109</v>
      </c>
      <c r="Z14" t="n">
        <v>13.347304</v>
      </c>
      <c r="AA14" t="n">
        <v>13.387928</v>
      </c>
      <c r="AB14" t="n">
        <v>13.678938</v>
      </c>
      <c r="AC14" t="n">
        <v>13.632569</v>
      </c>
      <c r="AD14" t="n">
        <v>13.671235</v>
      </c>
      <c r="AE14" t="n">
        <v>13.775191</v>
      </c>
      <c r="AF14" t="n">
        <v>14.322314</v>
      </c>
      <c r="AG14" s="31" t="n">
        <v>0.029</v>
      </c>
    </row>
    <row r="15">
      <c r="A15" t="inlineStr">
        <is>
          <t>Natural Gas</t>
        </is>
      </c>
      <c r="B15" t="inlineStr">
        <is>
          <t>Energy Prices: Commercial: Natural Gas: High Zero-Carbon Technology Cost</t>
        </is>
      </c>
      <c r="C15" t="inlineStr">
        <is>
          <t>AEO.2025.HIGHZTC.PRCE_REAL_COMM_NA_NG_NA_NA_Y13DLRPMMBTU.A</t>
        </is>
      </c>
      <c r="D15" t="inlineStr">
        <is>
          <t>2024 $/MMBtu</t>
        </is>
      </c>
      <c r="F15" t="n">
        <v>9.555858000000001</v>
      </c>
      <c r="G15" t="n">
        <v>8.473628</v>
      </c>
      <c r="H15" t="n">
        <v>8.571372</v>
      </c>
      <c r="I15" t="n">
        <v>8.513054</v>
      </c>
      <c r="J15" t="n">
        <v>8.593106000000001</v>
      </c>
      <c r="K15" t="n">
        <v>8.767466000000001</v>
      </c>
      <c r="L15" t="n">
        <v>8.976198999999999</v>
      </c>
      <c r="M15" t="n">
        <v>9.121283999999999</v>
      </c>
      <c r="N15" t="n">
        <v>9.472503</v>
      </c>
      <c r="O15" t="n">
        <v>9.787832999999999</v>
      </c>
      <c r="P15" t="n">
        <v>9.988474999999999</v>
      </c>
      <c r="Q15" t="n">
        <v>10.085086</v>
      </c>
      <c r="R15" t="n">
        <v>10.067373</v>
      </c>
      <c r="S15" t="n">
        <v>10.026683</v>
      </c>
      <c r="T15" t="n">
        <v>9.977905</v>
      </c>
      <c r="U15" t="n">
        <v>9.894558</v>
      </c>
      <c r="V15" t="n">
        <v>9.894806000000001</v>
      </c>
      <c r="W15" t="n">
        <v>9.981339</v>
      </c>
      <c r="X15" t="n">
        <v>10.052937</v>
      </c>
      <c r="Y15" t="n">
        <v>10.11166</v>
      </c>
      <c r="Z15" t="n">
        <v>10.137436</v>
      </c>
      <c r="AA15" t="n">
        <v>10.191541</v>
      </c>
      <c r="AB15" t="n">
        <v>10.258538</v>
      </c>
      <c r="AC15" t="n">
        <v>10.274831</v>
      </c>
      <c r="AD15" t="n">
        <v>10.279621</v>
      </c>
      <c r="AE15" t="n">
        <v>10.336456</v>
      </c>
      <c r="AF15" t="n">
        <v>10.384078</v>
      </c>
      <c r="AG15" s="31" t="n">
        <v>0.003</v>
      </c>
    </row>
    <row r="16">
      <c r="A16" t="inlineStr">
        <is>
          <t>Electricity</t>
        </is>
      </c>
      <c r="B16" t="inlineStr">
        <is>
          <t>Energy Prices: Commercial: Electricity: High Zero-Carbon Technology Cost</t>
        </is>
      </c>
      <c r="C16" t="inlineStr">
        <is>
          <t>AEO.2025.HIGHZTC.PRCE_REAL_COMM_NA_ELC_NA_NA_Y13DLRPMMBTU.A</t>
        </is>
      </c>
      <c r="D16" t="inlineStr">
        <is>
          <t>2024 $/MMBtu</t>
        </is>
      </c>
      <c r="F16" t="n">
        <v>38.551605</v>
      </c>
      <c r="G16" t="n">
        <v>37.602798</v>
      </c>
      <c r="H16" t="n">
        <v>35.105431</v>
      </c>
      <c r="I16" t="n">
        <v>33.124508</v>
      </c>
      <c r="J16" t="n">
        <v>32.965439</v>
      </c>
      <c r="K16" t="n">
        <v>33.32024</v>
      </c>
      <c r="L16" t="n">
        <v>33.809681</v>
      </c>
      <c r="M16" t="n">
        <v>34.413387</v>
      </c>
      <c r="N16" t="n">
        <v>34.929173</v>
      </c>
      <c r="O16" t="n">
        <v>35.701324</v>
      </c>
      <c r="P16" t="n">
        <v>35.979614</v>
      </c>
      <c r="Q16" t="n">
        <v>35.811676</v>
      </c>
      <c r="R16" t="n">
        <v>35.482807</v>
      </c>
      <c r="S16" t="n">
        <v>35.191898</v>
      </c>
      <c r="T16" t="n">
        <v>35.411739</v>
      </c>
      <c r="U16" t="n">
        <v>35.115093</v>
      </c>
      <c r="V16" t="n">
        <v>34.986004</v>
      </c>
      <c r="W16" t="n">
        <v>34.99255</v>
      </c>
      <c r="X16" t="n">
        <v>35.154461</v>
      </c>
      <c r="Y16" t="n">
        <v>35.305714</v>
      </c>
      <c r="Z16" t="n">
        <v>35.501835</v>
      </c>
      <c r="AA16" t="n">
        <v>35.64677</v>
      </c>
      <c r="AB16" t="n">
        <v>35.79763</v>
      </c>
      <c r="AC16" t="n">
        <v>35.841282</v>
      </c>
      <c r="AD16" t="n">
        <v>36.080368</v>
      </c>
      <c r="AE16" t="n">
        <v>36.286304</v>
      </c>
      <c r="AF16" t="n">
        <v>36.524944</v>
      </c>
      <c r="AG16" s="31" t="n">
        <v>-0.002</v>
      </c>
    </row>
    <row r="17">
      <c r="A17" t="inlineStr">
        <is>
          <t>Industrial</t>
        </is>
      </c>
    </row>
    <row r="18">
      <c r="A18" t="inlineStr">
        <is>
          <t>Propane</t>
        </is>
      </c>
      <c r="B18" t="inlineStr">
        <is>
          <t>Energy Prices: Industrial: Propane: High Zero-Carbon Technology Cost</t>
        </is>
      </c>
      <c r="C18" t="inlineStr">
        <is>
          <t>AEO.2025.HIGHZTC.PRCE_REAL_IDAL_NA_PROP_NA_NA_Y13DLRPMMBTU.A</t>
        </is>
      </c>
      <c r="D18" t="inlineStr">
        <is>
          <t>2024 $/MMBtu</t>
        </is>
      </c>
      <c r="F18" t="n">
        <v>12.66026</v>
      </c>
      <c r="G18" t="n">
        <v>12.605674</v>
      </c>
      <c r="H18" t="n">
        <v>13.465074</v>
      </c>
      <c r="I18" t="n">
        <v>13.314802</v>
      </c>
      <c r="J18" t="n">
        <v>13.427592</v>
      </c>
      <c r="K18" t="n">
        <v>13.72262</v>
      </c>
      <c r="L18" t="n">
        <v>14.298682</v>
      </c>
      <c r="M18" t="n">
        <v>14.759735</v>
      </c>
      <c r="N18" t="n">
        <v>15.554036</v>
      </c>
      <c r="O18" t="n">
        <v>16.543209</v>
      </c>
      <c r="P18" t="n">
        <v>17.23724</v>
      </c>
      <c r="Q18" t="n">
        <v>17.555822</v>
      </c>
      <c r="R18" t="n">
        <v>17.767212</v>
      </c>
      <c r="S18" t="n">
        <v>17.880009</v>
      </c>
      <c r="T18" t="n">
        <v>17.856604</v>
      </c>
      <c r="U18" t="n">
        <v>17.844084</v>
      </c>
      <c r="V18" t="n">
        <v>17.93939</v>
      </c>
      <c r="W18" t="n">
        <v>18.19438</v>
      </c>
      <c r="X18" t="n">
        <v>18.394274</v>
      </c>
      <c r="Y18" t="n">
        <v>18.748419</v>
      </c>
      <c r="Z18" t="n">
        <v>19.21232</v>
      </c>
      <c r="AA18" t="n">
        <v>19.372681</v>
      </c>
      <c r="AB18" t="n">
        <v>19.508192</v>
      </c>
      <c r="AC18" t="n">
        <v>19.52129</v>
      </c>
      <c r="AD18" t="n">
        <v>19.593958</v>
      </c>
      <c r="AE18" t="n">
        <v>19.869528</v>
      </c>
      <c r="AF18" t="n">
        <v>20.462763</v>
      </c>
      <c r="AG18" s="31" t="n">
        <v>0.019</v>
      </c>
    </row>
    <row r="19">
      <c r="A19" t="inlineStr">
        <is>
          <t>Distillate Fuel Oil</t>
        </is>
      </c>
      <c r="B19" t="inlineStr">
        <is>
          <t>Energy Prices: Industrial: Distillate Fuel Oil: High Zero-Carbon Technology Cost</t>
        </is>
      </c>
      <c r="C19" t="inlineStr">
        <is>
          <t>AEO.2025.HIGHZTC.PRCE_REAL_IDAL_NA_DFO_NA_NA_Y13DLRPMMBTU.A</t>
        </is>
      </c>
      <c r="D19" t="inlineStr">
        <is>
          <t>2024 $/MMBtu</t>
        </is>
      </c>
      <c r="F19" t="n">
        <v>26.091763</v>
      </c>
      <c r="G19" t="n">
        <v>24.600626</v>
      </c>
      <c r="H19" t="n">
        <v>23.425852</v>
      </c>
      <c r="I19" t="n">
        <v>22.88941</v>
      </c>
      <c r="J19" t="n">
        <v>22.557371</v>
      </c>
      <c r="K19" t="n">
        <v>22.274755</v>
      </c>
      <c r="L19" t="n">
        <v>22.032902</v>
      </c>
      <c r="M19" t="n">
        <v>22.079994</v>
      </c>
      <c r="N19" t="n">
        <v>21.943752</v>
      </c>
      <c r="O19" t="n">
        <v>22.273958</v>
      </c>
      <c r="P19" t="n">
        <v>22.39349</v>
      </c>
      <c r="Q19" t="n">
        <v>22.623447</v>
      </c>
      <c r="R19" t="n">
        <v>22.746523</v>
      </c>
      <c r="S19" t="n">
        <v>23.008989</v>
      </c>
      <c r="T19" t="n">
        <v>23.10652</v>
      </c>
      <c r="U19" t="n">
        <v>23.218241</v>
      </c>
      <c r="V19" t="n">
        <v>23.399351</v>
      </c>
      <c r="W19" t="n">
        <v>23.679426</v>
      </c>
      <c r="X19" t="n">
        <v>23.916767</v>
      </c>
      <c r="Y19" t="n">
        <v>24.223963</v>
      </c>
      <c r="Z19" t="n">
        <v>24.880014</v>
      </c>
      <c r="AA19" t="n">
        <v>24.792429</v>
      </c>
      <c r="AB19" t="n">
        <v>24.880751</v>
      </c>
      <c r="AC19" t="n">
        <v>24.838329</v>
      </c>
      <c r="AD19" t="n">
        <v>24.82336</v>
      </c>
      <c r="AE19" t="n">
        <v>24.858402</v>
      </c>
      <c r="AF19" t="n">
        <v>25.202454</v>
      </c>
      <c r="AG19" s="31" t="n">
        <v>-0.001</v>
      </c>
    </row>
    <row r="20">
      <c r="A20" t="inlineStr">
        <is>
          <t>Residual Fuel Oil</t>
        </is>
      </c>
      <c r="B20" t="inlineStr">
        <is>
          <t>Energy Prices: Industrial: Residual Fuel Oil: High Zero-Carbon Technology Cost</t>
        </is>
      </c>
      <c r="C20" t="inlineStr">
        <is>
          <t>AEO.2025.HIGHZTC.PRCE_REAL_IDAL_NA_RFO_NA_NA_Y13DLRPMMBTU.A</t>
        </is>
      </c>
      <c r="D20" t="inlineStr">
        <is>
          <t>2024 $/MMBtu</t>
        </is>
      </c>
      <c r="F20" t="n">
        <v>7.83466</v>
      </c>
      <c r="G20" t="n">
        <v>8.848094</v>
      </c>
      <c r="H20" t="n">
        <v>9.435161000000001</v>
      </c>
      <c r="I20" t="n">
        <v>10.629246</v>
      </c>
      <c r="J20" t="n">
        <v>11.88067</v>
      </c>
      <c r="K20" t="n">
        <v>13.214781</v>
      </c>
      <c r="L20" t="n">
        <v>14.622335</v>
      </c>
      <c r="M20" t="n">
        <v>14.725853</v>
      </c>
      <c r="N20" t="n">
        <v>14.700524</v>
      </c>
      <c r="O20" t="n">
        <v>14.992572</v>
      </c>
      <c r="P20" t="n">
        <v>15.113938</v>
      </c>
      <c r="Q20" t="n">
        <v>15.285793</v>
      </c>
      <c r="R20" t="n">
        <v>15.383565</v>
      </c>
      <c r="S20" t="n">
        <v>15.518867</v>
      </c>
      <c r="T20" t="n">
        <v>15.634306</v>
      </c>
      <c r="U20" t="n">
        <v>15.663942</v>
      </c>
      <c r="V20" t="n">
        <v>15.779115</v>
      </c>
      <c r="W20" t="n">
        <v>15.889836</v>
      </c>
      <c r="X20" t="n">
        <v>16.038828</v>
      </c>
      <c r="Y20" t="n">
        <v>16.101131</v>
      </c>
      <c r="Z20" t="n">
        <v>16.053886</v>
      </c>
      <c r="AA20" t="n">
        <v>16.051018</v>
      </c>
      <c r="AB20" t="n">
        <v>16.34535</v>
      </c>
      <c r="AC20" t="n">
        <v>16.306047</v>
      </c>
      <c r="AD20" t="n">
        <v>16.344069</v>
      </c>
      <c r="AE20" t="n">
        <v>16.451635</v>
      </c>
      <c r="AF20" t="n">
        <v>16.998318</v>
      </c>
      <c r="AG20" s="31" t="n">
        <v>0.03</v>
      </c>
    </row>
    <row r="21">
      <c r="A21" t="inlineStr">
        <is>
          <t>Natural Gas</t>
        </is>
      </c>
      <c r="B21" t="inlineStr">
        <is>
          <t>Energy Prices: Industrial: Natural Gas: High Zero-Carbon Technology Cost</t>
        </is>
      </c>
      <c r="C21" t="inlineStr">
        <is>
          <t>AEO.2025.HIGHZTC.PRCE_REAL_IDAL_NA_NG_NA_NA_Y13DLRPMMBTU.A</t>
        </is>
      </c>
      <c r="D21" t="inlineStr">
        <is>
          <t>2024 $/MMBtu</t>
        </is>
      </c>
      <c r="F21" t="n">
        <v>3.33707</v>
      </c>
      <c r="G21" t="n">
        <v>4.010599</v>
      </c>
      <c r="H21" t="n">
        <v>3.911485</v>
      </c>
      <c r="I21" t="n">
        <v>3.791521</v>
      </c>
      <c r="J21" t="n">
        <v>3.869612</v>
      </c>
      <c r="K21" t="n">
        <v>4.020249</v>
      </c>
      <c r="L21" t="n">
        <v>4.230658</v>
      </c>
      <c r="M21" t="n">
        <v>4.390093</v>
      </c>
      <c r="N21" t="n">
        <v>4.830755</v>
      </c>
      <c r="O21" t="n">
        <v>5.179088</v>
      </c>
      <c r="P21" t="n">
        <v>5.412342</v>
      </c>
      <c r="Q21" t="n">
        <v>5.494054</v>
      </c>
      <c r="R21" t="n">
        <v>5.481412</v>
      </c>
      <c r="S21" t="n">
        <v>5.430798</v>
      </c>
      <c r="T21" t="n">
        <v>5.370685</v>
      </c>
      <c r="U21" t="n">
        <v>5.290253</v>
      </c>
      <c r="V21" t="n">
        <v>5.310672</v>
      </c>
      <c r="W21" t="n">
        <v>5.403639</v>
      </c>
      <c r="X21" t="n">
        <v>5.486475</v>
      </c>
      <c r="Y21" t="n">
        <v>5.561241</v>
      </c>
      <c r="Z21" t="n">
        <v>5.615677</v>
      </c>
      <c r="AA21" t="n">
        <v>5.665632</v>
      </c>
      <c r="AB21" t="n">
        <v>5.71713</v>
      </c>
      <c r="AC21" t="n">
        <v>5.72265</v>
      </c>
      <c r="AD21" t="n">
        <v>5.7369</v>
      </c>
      <c r="AE21" t="n">
        <v>5.797705</v>
      </c>
      <c r="AF21" t="n">
        <v>5.862935</v>
      </c>
      <c r="AG21" s="31" t="n">
        <v>0.022</v>
      </c>
    </row>
    <row r="22">
      <c r="A22" t="inlineStr">
        <is>
          <t>Metallurgical Coal</t>
        </is>
      </c>
      <c r="B22" t="inlineStr">
        <is>
          <t>Energy Prices: Industrial: Metallurgical Coal: High Zero-Carbon Technology Cost</t>
        </is>
      </c>
      <c r="C22" t="inlineStr">
        <is>
          <t>AEO.2025.HIGHZTC.PRCE_REAL_IDAL_NA_MTC_NA_NA_Y13DLRPMMBTU.A</t>
        </is>
      </c>
      <c r="D22" t="inlineStr">
        <is>
          <t>2024 $/MMBtu</t>
        </is>
      </c>
      <c r="F22" t="n">
        <v>7.767755</v>
      </c>
      <c r="G22" t="n">
        <v>7.639748</v>
      </c>
      <c r="H22" t="n">
        <v>7.585148</v>
      </c>
      <c r="I22" t="n">
        <v>7.555212</v>
      </c>
      <c r="J22" t="n">
        <v>7.520931</v>
      </c>
      <c r="K22" t="n">
        <v>7.512826</v>
      </c>
      <c r="L22" t="n">
        <v>7.510444</v>
      </c>
      <c r="M22" t="n">
        <v>7.515949</v>
      </c>
      <c r="N22" t="n">
        <v>7.537591</v>
      </c>
      <c r="O22" t="n">
        <v>7.537167</v>
      </c>
      <c r="P22" t="n">
        <v>7.49989</v>
      </c>
      <c r="Q22" t="n">
        <v>7.518089</v>
      </c>
      <c r="R22" t="n">
        <v>7.517967</v>
      </c>
      <c r="S22" t="n">
        <v>7.515557</v>
      </c>
      <c r="T22" t="n">
        <v>7.51727</v>
      </c>
      <c r="U22" t="n">
        <v>7.498265</v>
      </c>
      <c r="V22" t="n">
        <v>7.496222</v>
      </c>
      <c r="W22" t="n">
        <v>7.466915</v>
      </c>
      <c r="X22" t="n">
        <v>7.461041</v>
      </c>
      <c r="Y22" t="n">
        <v>7.453232</v>
      </c>
      <c r="Z22" t="n">
        <v>7.458103</v>
      </c>
      <c r="AA22" t="n">
        <v>7.471511</v>
      </c>
      <c r="AB22" t="n">
        <v>7.467525</v>
      </c>
      <c r="AC22" t="n">
        <v>7.46251</v>
      </c>
      <c r="AD22" t="n">
        <v>7.461265</v>
      </c>
      <c r="AE22" t="n">
        <v>7.469367</v>
      </c>
      <c r="AF22" t="n">
        <v>7.466943</v>
      </c>
      <c r="AG22" s="31" t="n">
        <v>-0.002</v>
      </c>
    </row>
    <row r="23">
      <c r="A23" t="inlineStr">
        <is>
          <t>Other Industrial Coal</t>
        </is>
      </c>
      <c r="B23" t="inlineStr">
        <is>
          <t>Energy Prices: Industrial: Other Industrial Coal: High Zero-Carbon Technology Cost</t>
        </is>
      </c>
      <c r="C23" t="inlineStr">
        <is>
          <t>AEO.2025.HIGHZTC.PRCE_REAL_IDAL_NA_OIC_NA_NA_Y13DLRPMMBTU.A</t>
        </is>
      </c>
      <c r="D23" t="inlineStr">
        <is>
          <t>2024 $/MMBtu</t>
        </is>
      </c>
      <c r="F23" t="n">
        <v>3.572155</v>
      </c>
      <c r="G23" t="n">
        <v>3.624099</v>
      </c>
      <c r="H23" t="n">
        <v>3.618806</v>
      </c>
      <c r="I23" t="n">
        <v>3.601768</v>
      </c>
      <c r="J23" t="n">
        <v>3.571336</v>
      </c>
      <c r="K23" t="n">
        <v>3.55915</v>
      </c>
      <c r="L23" t="n">
        <v>3.533537</v>
      </c>
      <c r="M23" t="n">
        <v>3.497851</v>
      </c>
      <c r="N23" t="n">
        <v>3.464142</v>
      </c>
      <c r="O23" t="n">
        <v>3.459587</v>
      </c>
      <c r="P23" t="n">
        <v>3.441433</v>
      </c>
      <c r="Q23" t="n">
        <v>3.415449</v>
      </c>
      <c r="R23" t="n">
        <v>3.421638</v>
      </c>
      <c r="S23" t="n">
        <v>3.423545</v>
      </c>
      <c r="T23" t="n">
        <v>3.432421</v>
      </c>
      <c r="U23" t="n">
        <v>3.428609</v>
      </c>
      <c r="V23" t="n">
        <v>3.430913</v>
      </c>
      <c r="W23" t="n">
        <v>3.425192</v>
      </c>
      <c r="X23" t="n">
        <v>3.418891</v>
      </c>
      <c r="Y23" t="n">
        <v>3.422088</v>
      </c>
      <c r="Z23" t="n">
        <v>3.426063</v>
      </c>
      <c r="AA23" t="n">
        <v>3.434236</v>
      </c>
      <c r="AB23" t="n">
        <v>3.444175</v>
      </c>
      <c r="AC23" t="n">
        <v>3.448749</v>
      </c>
      <c r="AD23" t="n">
        <v>3.448136</v>
      </c>
      <c r="AE23" t="n">
        <v>3.449347</v>
      </c>
      <c r="AF23" t="n">
        <v>3.454516</v>
      </c>
      <c r="AG23" s="31" t="n">
        <v>-0.001</v>
      </c>
    </row>
    <row r="24">
      <c r="A24" t="inlineStr">
        <is>
          <t>Hydrogen</t>
        </is>
      </c>
      <c r="B24" t="inlineStr">
        <is>
          <t>Energy Prices: Industrial: Hydrogen: High Zero-Carbon Technology Cost</t>
        </is>
      </c>
      <c r="C24" t="inlineStr">
        <is>
          <t>AEO.2025.HIGHZTC.PRCE_REAL_IDAL_NA_HDG_NA_NA_Y13DLRPMMBTU.A</t>
        </is>
      </c>
      <c r="D24" t="inlineStr">
        <is>
          <t>2024 $/MMBtu</t>
        </is>
      </c>
      <c r="F24" t="n">
        <v>9.533875</v>
      </c>
      <c r="G24" t="n">
        <v>10.619709</v>
      </c>
      <c r="H24" t="n">
        <v>10.514131</v>
      </c>
      <c r="I24" t="n">
        <v>10.426125</v>
      </c>
      <c r="J24" t="n">
        <v>10.55792</v>
      </c>
      <c r="K24" t="n">
        <v>10.787679</v>
      </c>
      <c r="L24" t="n">
        <v>11.065716</v>
      </c>
      <c r="M24" t="n">
        <v>11.319676</v>
      </c>
      <c r="N24" t="n">
        <v>11.63994</v>
      </c>
      <c r="O24" t="n">
        <v>12.155972</v>
      </c>
      <c r="P24" t="n">
        <v>12.524699</v>
      </c>
      <c r="Q24" t="n">
        <v>12.666781</v>
      </c>
      <c r="R24" t="n">
        <v>12.616203</v>
      </c>
      <c r="S24" t="n">
        <v>12.533028</v>
      </c>
      <c r="T24" t="n">
        <v>12.742199</v>
      </c>
      <c r="U24" t="n">
        <v>12.81229</v>
      </c>
      <c r="V24" t="n">
        <v>12.800771</v>
      </c>
      <c r="W24" t="n">
        <v>12.675635</v>
      </c>
      <c r="X24" t="n">
        <v>12.587033</v>
      </c>
      <c r="Y24" t="n">
        <v>12.651853</v>
      </c>
      <c r="Z24" t="n">
        <v>12.824852</v>
      </c>
      <c r="AA24" t="n">
        <v>12.7927</v>
      </c>
      <c r="AB24" t="n">
        <v>12.813029</v>
      </c>
      <c r="AC24" t="n">
        <v>12.789708</v>
      </c>
      <c r="AD24" t="n">
        <v>12.823941</v>
      </c>
      <c r="AE24" t="n">
        <v>12.685263</v>
      </c>
      <c r="AF24" t="n">
        <v>12.783066</v>
      </c>
      <c r="AG24" s="31" t="n">
        <v>0.011</v>
      </c>
    </row>
    <row r="25">
      <c r="A25" t="inlineStr">
        <is>
          <t>Electricity</t>
        </is>
      </c>
      <c r="B25" t="inlineStr">
        <is>
          <t>Energy Prices: Industrial: Electricity: High Zero-Carbon Technology Cost</t>
        </is>
      </c>
      <c r="C25" t="inlineStr">
        <is>
          <t>AEO.2025.HIGHZTC.PRCE_REAL_IDAL_NA_ELC_NA_NA_Y13DLRPMMBTU.A</t>
        </is>
      </c>
      <c r="D25" t="inlineStr">
        <is>
          <t>2024 $/MMBtu</t>
        </is>
      </c>
      <c r="F25" t="n">
        <v>26.507746</v>
      </c>
      <c r="G25" t="n">
        <v>25.922054</v>
      </c>
      <c r="H25" t="n">
        <v>23.537739</v>
      </c>
      <c r="I25" t="n">
        <v>22.156487</v>
      </c>
      <c r="J25" t="n">
        <v>22.004316</v>
      </c>
      <c r="K25" t="n">
        <v>22.322678</v>
      </c>
      <c r="L25" t="n">
        <v>22.749052</v>
      </c>
      <c r="M25" t="n">
        <v>23.346399</v>
      </c>
      <c r="N25" t="n">
        <v>23.998974</v>
      </c>
      <c r="O25" t="n">
        <v>24.751463</v>
      </c>
      <c r="P25" t="n">
        <v>24.95269</v>
      </c>
      <c r="Q25" t="n">
        <v>24.768763</v>
      </c>
      <c r="R25" t="n">
        <v>24.45256</v>
      </c>
      <c r="S25" t="n">
        <v>24.243956</v>
      </c>
      <c r="T25" t="n">
        <v>24.34145</v>
      </c>
      <c r="U25" t="n">
        <v>24.228069</v>
      </c>
      <c r="V25" t="n">
        <v>24.145441</v>
      </c>
      <c r="W25" t="n">
        <v>24.157953</v>
      </c>
      <c r="X25" t="n">
        <v>24.287434</v>
      </c>
      <c r="Y25" t="n">
        <v>24.39603</v>
      </c>
      <c r="Z25" t="n">
        <v>24.534168</v>
      </c>
      <c r="AA25" t="n">
        <v>24.641457</v>
      </c>
      <c r="AB25" t="n">
        <v>24.755726</v>
      </c>
      <c r="AC25" t="n">
        <v>24.854349</v>
      </c>
      <c r="AD25" t="n">
        <v>25.022724</v>
      </c>
      <c r="AE25" t="n">
        <v>25.199516</v>
      </c>
      <c r="AF25" t="n">
        <v>25.411121</v>
      </c>
      <c r="AG25" s="31" t="n">
        <v>-0.002</v>
      </c>
    </row>
    <row r="26">
      <c r="A26" t="inlineStr">
        <is>
          <t>Transportation</t>
        </is>
      </c>
    </row>
    <row r="27">
      <c r="A27" t="inlineStr">
        <is>
          <t>Propane</t>
        </is>
      </c>
      <c r="B27" t="inlineStr">
        <is>
          <t>Energy Prices: Transportation: Propane: High Zero-Carbon Technology Cost</t>
        </is>
      </c>
      <c r="C27" t="inlineStr">
        <is>
          <t>AEO.2025.HIGHZTC.PRCE_REAL_TRN_NA_PROP_NA_NA_Y13DLRPMMBTU.A</t>
        </is>
      </c>
      <c r="D27" t="inlineStr">
        <is>
          <t>2024 $/MMBtu</t>
        </is>
      </c>
      <c r="F27" t="n">
        <v>17.589245</v>
      </c>
      <c r="G27" t="n">
        <v>17.749908</v>
      </c>
      <c r="H27" t="n">
        <v>18.586613</v>
      </c>
      <c r="I27" t="n">
        <v>18.389212</v>
      </c>
      <c r="J27" t="n">
        <v>18.496126</v>
      </c>
      <c r="K27" t="n">
        <v>18.760077</v>
      </c>
      <c r="L27" t="n">
        <v>19.2631</v>
      </c>
      <c r="M27" t="n">
        <v>19.634487</v>
      </c>
      <c r="N27" t="n">
        <v>20.300226</v>
      </c>
      <c r="O27" t="n">
        <v>21.098251</v>
      </c>
      <c r="P27" t="n">
        <v>21.613922</v>
      </c>
      <c r="Q27" t="n">
        <v>21.826738</v>
      </c>
      <c r="R27" t="n">
        <v>21.975828</v>
      </c>
      <c r="S27" t="n">
        <v>22.052736</v>
      </c>
      <c r="T27" t="n">
        <v>22.024448</v>
      </c>
      <c r="U27" t="n">
        <v>22.014761</v>
      </c>
      <c r="V27" t="n">
        <v>22.09473</v>
      </c>
      <c r="W27" t="n">
        <v>22.299959</v>
      </c>
      <c r="X27" t="n">
        <v>22.448139</v>
      </c>
      <c r="Y27" t="n">
        <v>22.723597</v>
      </c>
      <c r="Z27" t="n">
        <v>23.076363</v>
      </c>
      <c r="AA27" t="n">
        <v>23.174244</v>
      </c>
      <c r="AB27" t="n">
        <v>23.269659</v>
      </c>
      <c r="AC27" t="n">
        <v>23.270405</v>
      </c>
      <c r="AD27" t="n">
        <v>23.326803</v>
      </c>
      <c r="AE27" t="n">
        <v>23.542395</v>
      </c>
      <c r="AF27" t="n">
        <v>23.995331</v>
      </c>
      <c r="AG27" s="31" t="n">
        <v>0.012</v>
      </c>
    </row>
    <row r="28">
      <c r="A28" t="inlineStr">
        <is>
          <t>E85</t>
        </is>
      </c>
      <c r="B28" t="inlineStr">
        <is>
          <t>Energy Prices: Transportation: E85: High Zero-Carbon Technology Cost</t>
        </is>
      </c>
      <c r="C28" t="inlineStr">
        <is>
          <t>AEO.2025.HIGHZTC.PRCE_REAL_TRN_NA_E85_NA_NA_Y13DLRPMMBTU.A</t>
        </is>
      </c>
      <c r="D28" t="inlineStr">
        <is>
          <t>2024 $/MMBtu</t>
        </is>
      </c>
      <c r="F28" t="n">
        <v>28.823729</v>
      </c>
      <c r="G28" t="n">
        <v>28.93619</v>
      </c>
      <c r="H28" t="n">
        <v>30.221819</v>
      </c>
      <c r="I28" t="n">
        <v>29.874352</v>
      </c>
      <c r="J28" t="n">
        <v>29.356659</v>
      </c>
      <c r="K28" t="n">
        <v>28.412943</v>
      </c>
      <c r="L28" t="n">
        <v>28.414833</v>
      </c>
      <c r="M28" t="n">
        <v>28.528875</v>
      </c>
      <c r="N28" t="n">
        <v>28.297775</v>
      </c>
      <c r="O28" t="n">
        <v>28.022879</v>
      </c>
      <c r="P28" t="n">
        <v>27.970562</v>
      </c>
      <c r="Q28" t="n">
        <v>27.737436</v>
      </c>
      <c r="R28" t="n">
        <v>27.879841</v>
      </c>
      <c r="S28" t="n">
        <v>27.706806</v>
      </c>
      <c r="T28" t="n">
        <v>27.335274</v>
      </c>
      <c r="U28" t="n">
        <v>27.221582</v>
      </c>
      <c r="V28" t="n">
        <v>26.936087</v>
      </c>
      <c r="W28" t="n">
        <v>26.624407</v>
      </c>
      <c r="X28" t="n">
        <v>26.243464</v>
      </c>
      <c r="Y28" t="n">
        <v>26.249161</v>
      </c>
      <c r="Z28" t="n">
        <v>24.929926</v>
      </c>
      <c r="AA28" t="n">
        <v>24.592495</v>
      </c>
      <c r="AB28" t="n">
        <v>24.79623</v>
      </c>
      <c r="AC28" t="n">
        <v>24.925064</v>
      </c>
      <c r="AD28" t="n">
        <v>24.988291</v>
      </c>
      <c r="AE28" t="n">
        <v>25.141323</v>
      </c>
      <c r="AF28" t="n">
        <v>25.433138</v>
      </c>
      <c r="AG28" s="31" t="n">
        <v>-0.005</v>
      </c>
    </row>
    <row r="29">
      <c r="A29" t="inlineStr">
        <is>
          <t>Motor Gasoline</t>
        </is>
      </c>
      <c r="B29" t="inlineStr">
        <is>
          <t>Energy Prices: Transportation: Motor Gasoline: High Zero-Carbon Technology Cost</t>
        </is>
      </c>
      <c r="C29" t="inlineStr">
        <is>
          <t>AEO.2025.HIGHZTC.PRCE_REAL_TRN_NA_MGS_NA_NA_Y13DLRPMMBTU.A</t>
        </is>
      </c>
      <c r="D29" t="inlineStr">
        <is>
          <t>2024 $/MMBtu</t>
        </is>
      </c>
      <c r="F29" t="n">
        <v>28.679842</v>
      </c>
      <c r="G29" t="n">
        <v>27.094545</v>
      </c>
      <c r="H29" t="n">
        <v>25.485424</v>
      </c>
      <c r="I29" t="n">
        <v>24.986969</v>
      </c>
      <c r="J29" t="n">
        <v>24.719851</v>
      </c>
      <c r="K29" t="n">
        <v>24.436867</v>
      </c>
      <c r="L29" t="n">
        <v>24.474363</v>
      </c>
      <c r="M29" t="n">
        <v>24.48147</v>
      </c>
      <c r="N29" t="n">
        <v>24.300167</v>
      </c>
      <c r="O29" t="n">
        <v>24.154732</v>
      </c>
      <c r="P29" t="n">
        <v>24.09795</v>
      </c>
      <c r="Q29" t="n">
        <v>23.894083</v>
      </c>
      <c r="R29" t="n">
        <v>24.019566</v>
      </c>
      <c r="S29" t="n">
        <v>23.870735</v>
      </c>
      <c r="T29" t="n">
        <v>23.556276</v>
      </c>
      <c r="U29" t="n">
        <v>23.430714</v>
      </c>
      <c r="V29" t="n">
        <v>23.173237</v>
      </c>
      <c r="W29" t="n">
        <v>22.909204</v>
      </c>
      <c r="X29" t="n">
        <v>22.57633</v>
      </c>
      <c r="Y29" t="n">
        <v>22.596951</v>
      </c>
      <c r="Z29" t="n">
        <v>21.468903</v>
      </c>
      <c r="AA29" t="n">
        <v>21.182211</v>
      </c>
      <c r="AB29" t="n">
        <v>21.356647</v>
      </c>
      <c r="AC29" t="n">
        <v>21.464962</v>
      </c>
      <c r="AD29" t="n">
        <v>21.509295</v>
      </c>
      <c r="AE29" t="n">
        <v>21.631233</v>
      </c>
      <c r="AF29" t="n">
        <v>21.869665</v>
      </c>
      <c r="AG29" s="31" t="n">
        <v>-0.01</v>
      </c>
    </row>
    <row r="30">
      <c r="A30" t="inlineStr">
        <is>
          <t>Jet Fuel</t>
        </is>
      </c>
      <c r="B30" t="inlineStr">
        <is>
          <t>Energy Prices: Transportation: Jet Fuel: High Zero-Carbon Technology Cost</t>
        </is>
      </c>
      <c r="C30" t="inlineStr">
        <is>
          <t>AEO.2025.HIGHZTC.PRCE_REAL_TRN_NA_JFL_NA_NA_Y13DLRPMMBTU.A</t>
        </is>
      </c>
      <c r="D30" t="inlineStr">
        <is>
          <t>2024 $/MMBtu</t>
        </is>
      </c>
      <c r="F30" t="n">
        <v>17.638924</v>
      </c>
      <c r="G30" t="n">
        <v>16.395</v>
      </c>
      <c r="H30" t="n">
        <v>16.197346</v>
      </c>
      <c r="I30" t="n">
        <v>16.576864</v>
      </c>
      <c r="J30" t="n">
        <v>17.167725</v>
      </c>
      <c r="K30" t="n">
        <v>17.774681</v>
      </c>
      <c r="L30" t="n">
        <v>18.432444</v>
      </c>
      <c r="M30" t="n">
        <v>18.550699</v>
      </c>
      <c r="N30" t="n">
        <v>18.432102</v>
      </c>
      <c r="O30" t="n">
        <v>18.750156</v>
      </c>
      <c r="P30" t="n">
        <v>18.878136</v>
      </c>
      <c r="Q30" t="n">
        <v>19.088032</v>
      </c>
      <c r="R30" t="n">
        <v>19.162302</v>
      </c>
      <c r="S30" t="n">
        <v>19.413189</v>
      </c>
      <c r="T30" t="n">
        <v>19.636925</v>
      </c>
      <c r="U30" t="n">
        <v>19.743242</v>
      </c>
      <c r="V30" t="n">
        <v>19.910463</v>
      </c>
      <c r="W30" t="n">
        <v>20.238554</v>
      </c>
      <c r="X30" t="n">
        <v>20.505775</v>
      </c>
      <c r="Y30" t="n">
        <v>20.876812</v>
      </c>
      <c r="Z30" t="n">
        <v>21.614872</v>
      </c>
      <c r="AA30" t="n">
        <v>21.580616</v>
      </c>
      <c r="AB30" t="n">
        <v>21.698483</v>
      </c>
      <c r="AC30" t="n">
        <v>21.705061</v>
      </c>
      <c r="AD30" t="n">
        <v>21.706541</v>
      </c>
      <c r="AE30" t="n">
        <v>21.788584</v>
      </c>
      <c r="AF30" t="n">
        <v>22.195864</v>
      </c>
      <c r="AG30" s="31" t="n">
        <v>0.008999999999999999</v>
      </c>
    </row>
    <row r="31">
      <c r="A31" t="inlineStr">
        <is>
          <t>Diesel Fuel (distillate fuel oil)</t>
        </is>
      </c>
      <c r="B31" t="inlineStr">
        <is>
          <t>Energy Prices: Transportation: Diesel Fuel: High Zero-Carbon Technology Cost</t>
        </is>
      </c>
      <c r="C31" t="inlineStr">
        <is>
          <t>AEO.2025.HIGHZTC.PRCE_REAL_TRN_NA_DFU_NA_NA_Y13DLRPMMBTU.A</t>
        </is>
      </c>
      <c r="D31" t="inlineStr">
        <is>
          <t>2024 $/MMBtu</t>
        </is>
      </c>
      <c r="F31" t="n">
        <v>27.283649</v>
      </c>
      <c r="G31" t="n">
        <v>25.591213</v>
      </c>
      <c r="H31" t="n">
        <v>25.016569</v>
      </c>
      <c r="I31" t="n">
        <v>25.029736</v>
      </c>
      <c r="J31" t="n">
        <v>25.250086</v>
      </c>
      <c r="K31" t="n">
        <v>25.481937</v>
      </c>
      <c r="L31" t="n">
        <v>25.837044</v>
      </c>
      <c r="M31" t="n">
        <v>25.879503</v>
      </c>
      <c r="N31" t="n">
        <v>25.733622</v>
      </c>
      <c r="O31" t="n">
        <v>26.102192</v>
      </c>
      <c r="P31" t="n">
        <v>26.219612</v>
      </c>
      <c r="Q31" t="n">
        <v>26.457941</v>
      </c>
      <c r="R31" t="n">
        <v>26.618042</v>
      </c>
      <c r="S31" t="n">
        <v>26.882929</v>
      </c>
      <c r="T31" t="n">
        <v>26.978115</v>
      </c>
      <c r="U31" t="n">
        <v>27.113096</v>
      </c>
      <c r="V31" t="n">
        <v>27.266804</v>
      </c>
      <c r="W31" t="n">
        <v>27.578503</v>
      </c>
      <c r="X31" t="n">
        <v>27.813025</v>
      </c>
      <c r="Y31" t="n">
        <v>28.145802</v>
      </c>
      <c r="Z31" t="n">
        <v>28.854143</v>
      </c>
      <c r="AA31" t="n">
        <v>28.858868</v>
      </c>
      <c r="AB31" t="n">
        <v>28.825182</v>
      </c>
      <c r="AC31" t="n">
        <v>28.706501</v>
      </c>
      <c r="AD31" t="n">
        <v>28.759977</v>
      </c>
      <c r="AE31" t="n">
        <v>28.70521</v>
      </c>
      <c r="AF31" t="n">
        <v>29.126087</v>
      </c>
      <c r="AG31" s="31" t="n">
        <v>0.003</v>
      </c>
    </row>
    <row r="32">
      <c r="A32" t="inlineStr">
        <is>
          <t>Residual Fuel Oil</t>
        </is>
      </c>
      <c r="B32" t="inlineStr">
        <is>
          <t>Energy Prices: Transportation: Residual Fuel Oil: High Zero-Carbon Technology Cost</t>
        </is>
      </c>
      <c r="C32" t="inlineStr">
        <is>
          <t>AEO.2025.HIGHZTC.PRCE_REAL_TRN_NA_RFO_NA_NA_Y13DLRPMMBTU.A</t>
        </is>
      </c>
      <c r="D32" t="inlineStr">
        <is>
          <t>2024 $/MMBtu</t>
        </is>
      </c>
      <c r="F32" t="n">
        <v>13.401297</v>
      </c>
      <c r="G32" t="n">
        <v>11.843807</v>
      </c>
      <c r="H32" t="n">
        <v>12.665238</v>
      </c>
      <c r="I32" t="n">
        <v>12.576532</v>
      </c>
      <c r="J32" t="n">
        <v>12.510175</v>
      </c>
      <c r="K32" t="n">
        <v>12.503057</v>
      </c>
      <c r="L32" t="n">
        <v>12.525302</v>
      </c>
      <c r="M32" t="n">
        <v>12.597067</v>
      </c>
      <c r="N32" t="n">
        <v>12.550599</v>
      </c>
      <c r="O32" t="n">
        <v>12.745926</v>
      </c>
      <c r="P32" t="n">
        <v>12.831242</v>
      </c>
      <c r="Q32" t="n">
        <v>12.954171</v>
      </c>
      <c r="R32" t="n">
        <v>13.008114</v>
      </c>
      <c r="S32" t="n">
        <v>13.096881</v>
      </c>
      <c r="T32" t="n">
        <v>13.191089</v>
      </c>
      <c r="U32" t="n">
        <v>13.218472</v>
      </c>
      <c r="V32" t="n">
        <v>13.301097</v>
      </c>
      <c r="W32" t="n">
        <v>13.406687</v>
      </c>
      <c r="X32" t="n">
        <v>13.509968</v>
      </c>
      <c r="Y32" t="n">
        <v>13.614932</v>
      </c>
      <c r="Z32" t="n">
        <v>13.650314</v>
      </c>
      <c r="AA32" t="n">
        <v>13.473039</v>
      </c>
      <c r="AB32" t="n">
        <v>13.708124</v>
      </c>
      <c r="AC32" t="n">
        <v>13.688977</v>
      </c>
      <c r="AD32" t="n">
        <v>13.7072</v>
      </c>
      <c r="AE32" t="n">
        <v>13.794828</v>
      </c>
      <c r="AF32" t="n">
        <v>14.231298</v>
      </c>
      <c r="AG32" s="31" t="n">
        <v>0.002</v>
      </c>
    </row>
    <row r="33">
      <c r="A33" t="inlineStr">
        <is>
          <t>Natural Gas</t>
        </is>
      </c>
      <c r="B33" t="inlineStr">
        <is>
          <t>Energy Prices: Transportation: Natural Gas: High Zero-Carbon Technology Cost</t>
        </is>
      </c>
      <c r="C33" t="inlineStr">
        <is>
          <t>AEO.2025.HIGHZTC.PRCE_REAL_TRN_NA_NG_NA_NA_Y13DLRPMMBTU.A</t>
        </is>
      </c>
      <c r="D33" t="inlineStr">
        <is>
          <t>2024 $/MMBtu</t>
        </is>
      </c>
      <c r="F33" t="n">
        <v>14.514303</v>
      </c>
      <c r="G33" t="n">
        <v>15.045484</v>
      </c>
      <c r="H33" t="n">
        <v>14.977668</v>
      </c>
      <c r="I33" t="n">
        <v>14.858115</v>
      </c>
      <c r="J33" t="n">
        <v>14.908598</v>
      </c>
      <c r="K33" t="n">
        <v>15.040533</v>
      </c>
      <c r="L33" t="n">
        <v>15.186421</v>
      </c>
      <c r="M33" t="n">
        <v>15.299401</v>
      </c>
      <c r="N33" t="n">
        <v>15.666859</v>
      </c>
      <c r="O33" t="n">
        <v>15.903211</v>
      </c>
      <c r="P33" t="n">
        <v>16.017698</v>
      </c>
      <c r="Q33" t="n">
        <v>16.016142</v>
      </c>
      <c r="R33" t="n">
        <v>15.907859</v>
      </c>
      <c r="S33" t="n">
        <v>15.77169</v>
      </c>
      <c r="T33" t="n">
        <v>15.650945</v>
      </c>
      <c r="U33" t="n">
        <v>15.47576</v>
      </c>
      <c r="V33" t="n">
        <v>15.403385</v>
      </c>
      <c r="W33" t="n">
        <v>15.417639</v>
      </c>
      <c r="X33" t="n">
        <v>15.41606</v>
      </c>
      <c r="Y33" t="n">
        <v>15.414666</v>
      </c>
      <c r="Z33" t="n">
        <v>15.384685</v>
      </c>
      <c r="AA33" t="n">
        <v>15.361653</v>
      </c>
      <c r="AB33" t="n">
        <v>15.353804</v>
      </c>
      <c r="AC33" t="n">
        <v>15.281762</v>
      </c>
      <c r="AD33" t="n">
        <v>15.215751</v>
      </c>
      <c r="AE33" t="n">
        <v>15.207031</v>
      </c>
      <c r="AF33" t="n">
        <v>15.19101</v>
      </c>
      <c r="AG33" s="31" t="n">
        <v>0.002</v>
      </c>
    </row>
    <row r="34">
      <c r="A34" t="inlineStr">
        <is>
          <t>Hydrogen</t>
        </is>
      </c>
      <c r="B34" t="inlineStr">
        <is>
          <t>Energy Prices: Transportation: Hydrogen: High Zero-Carbon Technology Cost</t>
        </is>
      </c>
      <c r="C34" t="inlineStr">
        <is>
          <t>AEO.2025.HIGHZTC.PRCE_REAL_TRN_NA_HDG_NA_NA_Y13DLRPMMBTU.A</t>
        </is>
      </c>
      <c r="D34" t="inlineStr">
        <is>
          <t>2024 $/MMBtu</t>
        </is>
      </c>
      <c r="F34" t="n">
        <v>60.468231</v>
      </c>
      <c r="G34" t="n">
        <v>60.745255</v>
      </c>
      <c r="H34" t="n">
        <v>60.549759</v>
      </c>
      <c r="I34" t="n">
        <v>60.44437</v>
      </c>
      <c r="J34" t="n">
        <v>60.531708</v>
      </c>
      <c r="K34" t="n">
        <v>60.737736</v>
      </c>
      <c r="L34" t="n">
        <v>60.991833</v>
      </c>
      <c r="M34" t="n">
        <v>61.818279</v>
      </c>
      <c r="N34" t="n">
        <v>62.04599</v>
      </c>
      <c r="O34" t="n">
        <v>62.676136</v>
      </c>
      <c r="P34" t="n">
        <v>63.049198</v>
      </c>
      <c r="Q34" t="n">
        <v>63.198536</v>
      </c>
      <c r="R34" t="n">
        <v>63.044495</v>
      </c>
      <c r="S34" t="n">
        <v>62.949413</v>
      </c>
      <c r="T34" t="n">
        <v>63.204426</v>
      </c>
      <c r="U34" t="n">
        <v>63.33548</v>
      </c>
      <c r="V34" t="n">
        <v>63.306995</v>
      </c>
      <c r="W34" t="n">
        <v>63.132828</v>
      </c>
      <c r="X34" t="n">
        <v>62.969875</v>
      </c>
      <c r="Y34" t="n">
        <v>63.022812</v>
      </c>
      <c r="Z34" t="n">
        <v>63.25135</v>
      </c>
      <c r="AA34" t="n">
        <v>63.215389</v>
      </c>
      <c r="AB34" t="n">
        <v>63.382431</v>
      </c>
      <c r="AC34" t="n">
        <v>63.355698</v>
      </c>
      <c r="AD34" t="n">
        <v>63.409069</v>
      </c>
      <c r="AE34" t="n">
        <v>63.016552</v>
      </c>
      <c r="AF34" t="n">
        <v>63.101322</v>
      </c>
      <c r="AG34" s="31" t="n">
        <v>0.002</v>
      </c>
    </row>
    <row r="35">
      <c r="A35" t="inlineStr">
        <is>
          <t>Electricity</t>
        </is>
      </c>
      <c r="B35" t="inlineStr">
        <is>
          <t>Energy Prices: Transportation: Electricity: High Zero-Carbon Technology Cost</t>
        </is>
      </c>
      <c r="C35" t="inlineStr">
        <is>
          <t>AEO.2025.HIGHZTC.PRCE_REAL_TRN_NA_ELC_NA_NA_Y13DLRPMMBTU.A</t>
        </is>
      </c>
      <c r="D35" t="inlineStr">
        <is>
          <t>2024 $/MMBtu</t>
        </is>
      </c>
      <c r="F35" t="n">
        <v>42.609589</v>
      </c>
      <c r="G35" t="n">
        <v>42.26667</v>
      </c>
      <c r="H35" t="n">
        <v>39.670399</v>
      </c>
      <c r="I35" t="n">
        <v>36.717178</v>
      </c>
      <c r="J35" t="n">
        <v>36.535248</v>
      </c>
      <c r="K35" t="n">
        <v>36.81496</v>
      </c>
      <c r="L35" t="n">
        <v>37.285934</v>
      </c>
      <c r="M35" t="n">
        <v>38.057724</v>
      </c>
      <c r="N35" t="n">
        <v>38.70388</v>
      </c>
      <c r="O35" t="n">
        <v>39.740459</v>
      </c>
      <c r="P35" t="n">
        <v>40.09803</v>
      </c>
      <c r="Q35" t="n">
        <v>40.153744</v>
      </c>
      <c r="R35" t="n">
        <v>40.057587</v>
      </c>
      <c r="S35" t="n">
        <v>39.782898</v>
      </c>
      <c r="T35" t="n">
        <v>40.15593</v>
      </c>
      <c r="U35" t="n">
        <v>39.589664</v>
      </c>
      <c r="V35" t="n">
        <v>39.300087</v>
      </c>
      <c r="W35" t="n">
        <v>39.269657</v>
      </c>
      <c r="X35" t="n">
        <v>39.614471</v>
      </c>
      <c r="Y35" t="n">
        <v>39.822304</v>
      </c>
      <c r="Z35" t="n">
        <v>40.184521</v>
      </c>
      <c r="AA35" t="n">
        <v>40.37289</v>
      </c>
      <c r="AB35" t="n">
        <v>40.537704</v>
      </c>
      <c r="AC35" t="n">
        <v>40.4916</v>
      </c>
      <c r="AD35" t="n">
        <v>41.027618</v>
      </c>
      <c r="AE35" t="n">
        <v>41.285618</v>
      </c>
      <c r="AF35" t="n">
        <v>41.592472</v>
      </c>
      <c r="AG35" s="31" t="n">
        <v>-0.001</v>
      </c>
    </row>
    <row r="36">
      <c r="A36" t="inlineStr">
        <is>
          <t>Electric Power</t>
        </is>
      </c>
    </row>
    <row r="37">
      <c r="A37" t="inlineStr">
        <is>
          <t>Distillate Fuel Oil</t>
        </is>
      </c>
      <c r="B37" t="inlineStr">
        <is>
          <t>Energy Prices: Electric Power: Distillate Fuel Oil: High Zero-Carbon Technology Cost</t>
        </is>
      </c>
      <c r="C37" t="inlineStr">
        <is>
          <t>AEO.2025.HIGHZTC.PRCE_REAL_ELEP_NA_DFO_NA_NA_Y13DLRPMMBTU.A</t>
        </is>
      </c>
      <c r="D37" t="inlineStr">
        <is>
          <t>2024 $/MMBtu</t>
        </is>
      </c>
      <c r="F37" t="n">
        <v>26.137505</v>
      </c>
      <c r="G37" t="n">
        <v>24.653458</v>
      </c>
      <c r="H37" t="n">
        <v>23.463963</v>
      </c>
      <c r="I37" t="n">
        <v>22.977613</v>
      </c>
      <c r="J37" t="n">
        <v>22.593882</v>
      </c>
      <c r="K37" t="n">
        <v>22.342915</v>
      </c>
      <c r="L37" t="n">
        <v>22.213257</v>
      </c>
      <c r="M37" t="n">
        <v>22.156206</v>
      </c>
      <c r="N37" t="n">
        <v>22.726322</v>
      </c>
      <c r="O37" t="n">
        <v>23.003592</v>
      </c>
      <c r="P37" t="n">
        <v>23.077461</v>
      </c>
      <c r="Q37" t="n">
        <v>23.249807</v>
      </c>
      <c r="R37" t="n">
        <v>23.28072</v>
      </c>
      <c r="S37" t="n">
        <v>23.52141</v>
      </c>
      <c r="T37" t="n">
        <v>23.668085</v>
      </c>
      <c r="U37" t="n">
        <v>23.751266</v>
      </c>
      <c r="V37" t="n">
        <v>23.886726</v>
      </c>
      <c r="W37" t="n">
        <v>24.176956</v>
      </c>
      <c r="X37" t="n">
        <v>24.404095</v>
      </c>
      <c r="Y37" t="n">
        <v>24.709991</v>
      </c>
      <c r="Z37" t="n">
        <v>25.257483</v>
      </c>
      <c r="AA37" t="n">
        <v>25.158951</v>
      </c>
      <c r="AB37" t="n">
        <v>25.341908</v>
      </c>
      <c r="AC37" t="n">
        <v>25.316826</v>
      </c>
      <c r="AD37" t="n">
        <v>25.294249</v>
      </c>
      <c r="AE37" t="n">
        <v>25.372868</v>
      </c>
      <c r="AF37" t="n">
        <v>25.729799</v>
      </c>
      <c r="AG37" s="31" t="n">
        <v>-0.001</v>
      </c>
    </row>
    <row r="38">
      <c r="A38" t="inlineStr">
        <is>
          <t>Residual Fuel Oil</t>
        </is>
      </c>
      <c r="B38" t="inlineStr">
        <is>
          <t>Energy Prices: Electric Power: Residual Fuel Oil: High Zero-Carbon Technology Cost</t>
        </is>
      </c>
      <c r="C38" t="inlineStr">
        <is>
          <t>AEO.2025.HIGHZTC.PRCE_REAL_ELEP_NA_RFO_NA_NA_Y13DLRPMMBTU.A</t>
        </is>
      </c>
      <c r="D38" t="inlineStr">
        <is>
          <t>2024 $/MMBtu</t>
        </is>
      </c>
      <c r="F38" t="n">
        <v>17.394409</v>
      </c>
      <c r="G38" t="n">
        <v>13.672506</v>
      </c>
      <c r="H38" t="n">
        <v>13.615168</v>
      </c>
      <c r="I38" t="n">
        <v>14.296899</v>
      </c>
      <c r="J38" t="n">
        <v>15.031581</v>
      </c>
      <c r="K38" t="n">
        <v>15.753065</v>
      </c>
      <c r="L38" t="n">
        <v>16.474405</v>
      </c>
      <c r="M38" t="n">
        <v>16.627272</v>
      </c>
      <c r="N38" t="n">
        <v>16.536289</v>
      </c>
      <c r="O38" t="n">
        <v>16.771885</v>
      </c>
      <c r="P38" t="n">
        <v>16.909727</v>
      </c>
      <c r="Q38" t="n">
        <v>17.088612</v>
      </c>
      <c r="R38" t="n">
        <v>17.157686</v>
      </c>
      <c r="S38" t="n">
        <v>17.269447</v>
      </c>
      <c r="T38" t="n">
        <v>17.398418</v>
      </c>
      <c r="U38" t="n">
        <v>17.408293</v>
      </c>
      <c r="V38" t="n">
        <v>17.490879</v>
      </c>
      <c r="W38" t="n">
        <v>17.551632</v>
      </c>
      <c r="X38" t="n">
        <v>17.536398</v>
      </c>
      <c r="Y38" t="n">
        <v>17.589537</v>
      </c>
      <c r="Z38" t="n">
        <v>17.510019</v>
      </c>
      <c r="AA38" t="n">
        <v>16.884666</v>
      </c>
      <c r="AB38" t="n">
        <v>17.201757</v>
      </c>
      <c r="AC38" t="n">
        <v>17.213936</v>
      </c>
      <c r="AD38" t="n">
        <v>17.253027</v>
      </c>
      <c r="AE38" t="n">
        <v>17.380194</v>
      </c>
      <c r="AF38" t="n">
        <v>17.916069</v>
      </c>
      <c r="AG38" s="31" t="n">
        <v>0.001</v>
      </c>
    </row>
    <row r="39">
      <c r="A39" t="inlineStr">
        <is>
          <t>Natural Gas</t>
        </is>
      </c>
      <c r="B39" t="inlineStr">
        <is>
          <t>Energy Prices: Electric Power: Natural Gas: High Zero-Carbon Technology Cost</t>
        </is>
      </c>
      <c r="C39" t="inlineStr">
        <is>
          <t>AEO.2025.HIGHZTC.PRCE_REAL_ELEP_NA_NG_NA_NA_Y13DLRPMMBTU.A</t>
        </is>
      </c>
      <c r="D39" t="inlineStr">
        <is>
          <t>2024 $/MMBtu</t>
        </is>
      </c>
      <c r="F39" t="n">
        <v>2.719399</v>
      </c>
      <c r="G39" t="n">
        <v>3.131506</v>
      </c>
      <c r="H39" t="n">
        <v>3.068464</v>
      </c>
      <c r="I39" t="n">
        <v>2.996603</v>
      </c>
      <c r="J39" t="n">
        <v>3.12604</v>
      </c>
      <c r="K39" t="n">
        <v>3.327426</v>
      </c>
      <c r="L39" t="n">
        <v>3.603756</v>
      </c>
      <c r="M39" t="n">
        <v>3.695694</v>
      </c>
      <c r="N39" t="n">
        <v>4.197338</v>
      </c>
      <c r="O39" t="n">
        <v>4.507975</v>
      </c>
      <c r="P39" t="n">
        <v>4.717876</v>
      </c>
      <c r="Q39" t="n">
        <v>4.789361</v>
      </c>
      <c r="R39" t="n">
        <v>4.78448</v>
      </c>
      <c r="S39" t="n">
        <v>4.749629</v>
      </c>
      <c r="T39" t="n">
        <v>4.715602</v>
      </c>
      <c r="U39" t="n">
        <v>4.659969</v>
      </c>
      <c r="V39" t="n">
        <v>4.690855</v>
      </c>
      <c r="W39" t="n">
        <v>4.769531</v>
      </c>
      <c r="X39" t="n">
        <v>4.842232</v>
      </c>
      <c r="Y39" t="n">
        <v>4.929382</v>
      </c>
      <c r="Z39" t="n">
        <v>5.014789</v>
      </c>
      <c r="AA39" t="n">
        <v>5.059572</v>
      </c>
      <c r="AB39" t="n">
        <v>5.116513</v>
      </c>
      <c r="AC39" t="n">
        <v>5.124822</v>
      </c>
      <c r="AD39" t="n">
        <v>5.147723</v>
      </c>
      <c r="AE39" t="n">
        <v>5.21766</v>
      </c>
      <c r="AF39" t="n">
        <v>5.297616</v>
      </c>
      <c r="AG39" s="31" t="n">
        <v>0.026</v>
      </c>
    </row>
    <row r="40">
      <c r="A40" t="inlineStr">
        <is>
          <t>Steam Coal</t>
        </is>
      </c>
      <c r="B40" t="inlineStr">
        <is>
          <t>Energy Prices: Electric Power: Steam Coal: High Zero-Carbon Technology Cost</t>
        </is>
      </c>
      <c r="C40" t="inlineStr">
        <is>
          <t>AEO.2025.HIGHZTC.PRCE_REAL_ELEP_NA_STC_NA_NA_Y13DLRPMMBTU.A</t>
        </is>
      </c>
      <c r="D40" t="inlineStr">
        <is>
          <t>2024 $/MMBtu</t>
        </is>
      </c>
      <c r="F40" t="n">
        <v>2.489397</v>
      </c>
      <c r="G40" t="n">
        <v>2.427415</v>
      </c>
      <c r="H40" t="n">
        <v>2.375483</v>
      </c>
      <c r="I40" t="n">
        <v>2.326139</v>
      </c>
      <c r="J40" t="n">
        <v>2.226495</v>
      </c>
      <c r="K40" t="n">
        <v>2.226722</v>
      </c>
      <c r="L40" t="n">
        <v>2.247866</v>
      </c>
      <c r="M40" t="n">
        <v>2.217924</v>
      </c>
      <c r="N40" t="n">
        <v>2.149103</v>
      </c>
      <c r="O40" t="n">
        <v>2.152961</v>
      </c>
      <c r="P40" t="n">
        <v>2.139093</v>
      </c>
      <c r="Q40" t="n">
        <v>2.125588</v>
      </c>
      <c r="R40" t="n">
        <v>2.125613</v>
      </c>
      <c r="S40" t="n">
        <v>2.15652</v>
      </c>
      <c r="T40" t="n">
        <v>2.152304</v>
      </c>
      <c r="U40" t="n">
        <v>2.213794</v>
      </c>
      <c r="V40" t="n">
        <v>2.210829</v>
      </c>
      <c r="W40" t="n">
        <v>2.208087</v>
      </c>
      <c r="X40" t="n">
        <v>2.206623</v>
      </c>
      <c r="Y40" t="n">
        <v>2.207428</v>
      </c>
      <c r="Z40" t="n">
        <v>2.207163</v>
      </c>
      <c r="AA40" t="n">
        <v>2.196095</v>
      </c>
      <c r="AB40" t="n">
        <v>1.887973</v>
      </c>
      <c r="AC40" t="n">
        <v>2.178344</v>
      </c>
      <c r="AD40" t="n">
        <v>2.178153</v>
      </c>
      <c r="AE40" t="n">
        <v>2.195496</v>
      </c>
      <c r="AF40" t="n">
        <v>2.192112</v>
      </c>
      <c r="AG40" s="31" t="n">
        <v>-0.005</v>
      </c>
    </row>
    <row r="41" customFormat="1" s="34">
      <c r="A41" s="34" t="inlineStr">
        <is>
          <t>Uranium</t>
        </is>
      </c>
      <c r="B41" s="34" t="inlineStr">
        <is>
          <t>Energy Prices: Electric Power: Uranium: High Zero-Carbon Technology Cost</t>
        </is>
      </c>
      <c r="C41" s="34" t="inlineStr">
        <is>
          <t>AEO.2025.HIGHZTC.PRCE_REAL_ELEP_NA_U_NA_NA_Y13DLRPMMBTU.A</t>
        </is>
      </c>
      <c r="D41" s="34" t="inlineStr">
        <is>
          <t>2024 $/MMBtu</t>
        </is>
      </c>
      <c r="F41" s="34" t="n">
        <v>0.753328</v>
      </c>
      <c r="G41" s="34" t="n">
        <v>0.753262</v>
      </c>
      <c r="H41" s="34" t="n">
        <v>0.753186</v>
      </c>
      <c r="I41" s="34" t="n">
        <v>0.753121</v>
      </c>
      <c r="J41" s="34" t="n">
        <v>0.7530559999999999</v>
      </c>
      <c r="K41" s="34" t="n">
        <v>0.75298</v>
      </c>
      <c r="L41" s="34" t="n">
        <v>0.752915</v>
      </c>
      <c r="M41" s="34" t="n">
        <v>0.752838</v>
      </c>
      <c r="N41" s="34" t="n">
        <v>0.752773</v>
      </c>
      <c r="O41" s="34" t="n">
        <v>0.752708</v>
      </c>
      <c r="P41" s="34" t="n">
        <v>0.752632</v>
      </c>
      <c r="Q41" s="34" t="n">
        <v>0.752567</v>
      </c>
      <c r="R41" s="34" t="n">
        <v>0.752491</v>
      </c>
      <c r="S41" s="34" t="n">
        <v>0.752425</v>
      </c>
      <c r="T41" s="34" t="n">
        <v>0.75236</v>
      </c>
      <c r="U41" s="34" t="n">
        <v>0.752284</v>
      </c>
      <c r="V41" s="34" t="n">
        <v>0.752219</v>
      </c>
      <c r="W41" s="34" t="n">
        <v>0.752154</v>
      </c>
      <c r="X41" s="34" t="n">
        <v>0.752078</v>
      </c>
      <c r="Y41" s="34" t="n">
        <v>0.752012</v>
      </c>
      <c r="Z41" s="34" t="n">
        <v>0.751936</v>
      </c>
      <c r="AA41" s="34" t="n">
        <v>0.751871</v>
      </c>
      <c r="AB41" s="34" t="n">
        <v>0.751806</v>
      </c>
      <c r="AC41" s="34" t="n">
        <v>0.75173</v>
      </c>
      <c r="AD41" s="34" t="n">
        <v>0.751665</v>
      </c>
      <c r="AE41" s="34" t="n">
        <v>0.751599</v>
      </c>
      <c r="AF41" s="34" t="n">
        <v>0.7515230000000001</v>
      </c>
      <c r="AG41" s="35" t="n">
        <v>0</v>
      </c>
    </row>
    <row r="42">
      <c r="A42" t="inlineStr">
        <is>
          <t>Hydrogen</t>
        </is>
      </c>
      <c r="B42" t="inlineStr">
        <is>
          <t>Energy Prices: Electric Power: Hydrogen: High Zero-Carbon Technology Cost</t>
        </is>
      </c>
      <c r="C42" t="inlineStr">
        <is>
          <t>AEO.2025.HIGHZTC.PRCE_REAL_ELEP_NA_HDG_NA_NA_Y13DLRPMMBTU.A</t>
        </is>
      </c>
      <c r="D42" t="inlineStr">
        <is>
          <t>2024 $/MMBtu</t>
        </is>
      </c>
      <c r="F42" t="n">
        <v>9.533875</v>
      </c>
      <c r="G42" t="n">
        <v>10.619709</v>
      </c>
      <c r="H42" t="n">
        <v>10.514131</v>
      </c>
      <c r="I42" t="n">
        <v>10.426125</v>
      </c>
      <c r="J42" t="n">
        <v>10.55792</v>
      </c>
      <c r="K42" t="n">
        <v>10.787679</v>
      </c>
      <c r="L42" t="n">
        <v>11.065716</v>
      </c>
      <c r="M42" t="n">
        <v>11.319676</v>
      </c>
      <c r="N42" t="n">
        <v>13.51875</v>
      </c>
      <c r="O42" t="n">
        <v>13.970348</v>
      </c>
      <c r="P42" t="n">
        <v>14.314136</v>
      </c>
      <c r="Q42" t="n">
        <v>12.666781</v>
      </c>
      <c r="R42" t="n">
        <v>12.616203</v>
      </c>
      <c r="S42" t="n">
        <v>12.533028</v>
      </c>
      <c r="T42" t="n">
        <v>12.742199</v>
      </c>
      <c r="U42" t="n">
        <v>12.81229</v>
      </c>
      <c r="V42" t="n">
        <v>12.800771</v>
      </c>
      <c r="W42" t="n">
        <v>12.675635</v>
      </c>
      <c r="X42" t="n">
        <v>12.587033</v>
      </c>
      <c r="Y42" t="n">
        <v>12.651853</v>
      </c>
      <c r="Z42" t="n">
        <v>12.824852</v>
      </c>
      <c r="AA42" t="n">
        <v>12.7927</v>
      </c>
      <c r="AB42" t="n">
        <v>12.813029</v>
      </c>
      <c r="AC42" t="n">
        <v>12.789708</v>
      </c>
      <c r="AD42" t="n">
        <v>12.823941</v>
      </c>
      <c r="AE42" t="n">
        <v>12.685263</v>
      </c>
      <c r="AF42" t="n">
        <v>12.783066</v>
      </c>
      <c r="AG42" s="31" t="n">
        <v>0.011</v>
      </c>
    </row>
    <row r="43">
      <c r="A43" t="inlineStr">
        <is>
          <t>Average Price to All Users</t>
        </is>
      </c>
    </row>
    <row r="44">
      <c r="A44" t="inlineStr">
        <is>
          <t>Propane</t>
        </is>
      </c>
      <c r="B44" t="inlineStr">
        <is>
          <t>Energy Prices: Average Price to All Users: Propane: High Zero-Carbon Technology Cost</t>
        </is>
      </c>
      <c r="C44" t="inlineStr">
        <is>
          <t>AEO.2025.HIGHZTC.PRCE_REAL_TEN_NA_PROP_NA_NA_Y13DLRPMMBTU.A</t>
        </is>
      </c>
      <c r="D44" t="inlineStr">
        <is>
          <t>2024 $/MMBtu</t>
        </is>
      </c>
      <c r="F44" t="n">
        <v>23.10931</v>
      </c>
      <c r="G44" t="n">
        <v>21.964592</v>
      </c>
      <c r="H44" t="n">
        <v>22.480608</v>
      </c>
      <c r="I44" t="n">
        <v>22.283079</v>
      </c>
      <c r="J44" t="n">
        <v>22.302742</v>
      </c>
      <c r="K44" t="n">
        <v>22.505547</v>
      </c>
      <c r="L44" t="n">
        <v>22.995274</v>
      </c>
      <c r="M44" t="n">
        <v>23.450838</v>
      </c>
      <c r="N44" t="n">
        <v>24.190058</v>
      </c>
      <c r="O44" t="n">
        <v>25.158035</v>
      </c>
      <c r="P44" t="n">
        <v>25.926409</v>
      </c>
      <c r="Q44" t="n">
        <v>26.374306</v>
      </c>
      <c r="R44" t="n">
        <v>26.676216</v>
      </c>
      <c r="S44" t="n">
        <v>26.850521</v>
      </c>
      <c r="T44" t="n">
        <v>26.875446</v>
      </c>
      <c r="U44" t="n">
        <v>26.872549</v>
      </c>
      <c r="V44" t="n">
        <v>26.942244</v>
      </c>
      <c r="W44" t="n">
        <v>27.150986</v>
      </c>
      <c r="X44" t="n">
        <v>27.332554</v>
      </c>
      <c r="Y44" t="n">
        <v>27.645765</v>
      </c>
      <c r="Z44" t="n">
        <v>28.068441</v>
      </c>
      <c r="AA44" t="n">
        <v>28.264816</v>
      </c>
      <c r="AB44" t="n">
        <v>28.419424</v>
      </c>
      <c r="AC44" t="n">
        <v>28.45838</v>
      </c>
      <c r="AD44" t="n">
        <v>28.523825</v>
      </c>
      <c r="AE44" t="n">
        <v>28.746887</v>
      </c>
      <c r="AF44" t="n">
        <v>29.245407</v>
      </c>
      <c r="AG44" s="31" t="n">
        <v>0.008999999999999999</v>
      </c>
    </row>
    <row r="45">
      <c r="A45" t="inlineStr">
        <is>
          <t>E85</t>
        </is>
      </c>
      <c r="B45" t="inlineStr">
        <is>
          <t>Energy Prices: Average Price to All Users: E85: High Zero-Carbon Technology Cost</t>
        </is>
      </c>
      <c r="C45" t="inlineStr">
        <is>
          <t>AEO.2025.HIGHZTC.PRCE_REAL_TEN_NA_E85_NA_NA_Y13DLRPMMBTU.A</t>
        </is>
      </c>
      <c r="D45" t="inlineStr">
        <is>
          <t>2024 $/MMBtu</t>
        </is>
      </c>
      <c r="F45" t="n">
        <v>28.823729</v>
      </c>
      <c r="G45" t="n">
        <v>28.93619</v>
      </c>
      <c r="H45" t="n">
        <v>30.221819</v>
      </c>
      <c r="I45" t="n">
        <v>29.874352</v>
      </c>
      <c r="J45" t="n">
        <v>29.356659</v>
      </c>
      <c r="K45" t="n">
        <v>28.412943</v>
      </c>
      <c r="L45" t="n">
        <v>28.414833</v>
      </c>
      <c r="M45" t="n">
        <v>28.528875</v>
      </c>
      <c r="N45" t="n">
        <v>28.297775</v>
      </c>
      <c r="O45" t="n">
        <v>28.022879</v>
      </c>
      <c r="P45" t="n">
        <v>27.970562</v>
      </c>
      <c r="Q45" t="n">
        <v>27.737436</v>
      </c>
      <c r="R45" t="n">
        <v>27.879841</v>
      </c>
      <c r="S45" t="n">
        <v>27.706806</v>
      </c>
      <c r="T45" t="n">
        <v>27.335274</v>
      </c>
      <c r="U45" t="n">
        <v>27.221582</v>
      </c>
      <c r="V45" t="n">
        <v>26.936087</v>
      </c>
      <c r="W45" t="n">
        <v>26.624407</v>
      </c>
      <c r="X45" t="n">
        <v>26.243464</v>
      </c>
      <c r="Y45" t="n">
        <v>26.249161</v>
      </c>
      <c r="Z45" t="n">
        <v>24.929926</v>
      </c>
      <c r="AA45" t="n">
        <v>24.592495</v>
      </c>
      <c r="AB45" t="n">
        <v>24.79623</v>
      </c>
      <c r="AC45" t="n">
        <v>24.925064</v>
      </c>
      <c r="AD45" t="n">
        <v>24.988291</v>
      </c>
      <c r="AE45" t="n">
        <v>25.141323</v>
      </c>
      <c r="AF45" t="n">
        <v>25.433138</v>
      </c>
      <c r="AG45" s="31" t="n">
        <v>-0.005</v>
      </c>
    </row>
    <row r="46">
      <c r="A46" t="inlineStr">
        <is>
          <t>Motor Gasoline</t>
        </is>
      </c>
      <c r="B46" t="inlineStr">
        <is>
          <t>Energy Prices: Average Price to All Users: Motor Gasoline: High Zero-Carbon Technology Cost</t>
        </is>
      </c>
      <c r="C46" t="inlineStr">
        <is>
          <t>AEO.2025.HIGHZTC.PRCE_REAL_TEN_NA_MGS_NA_NA_Y13DLRPMMBTU.A</t>
        </is>
      </c>
      <c r="D46" t="inlineStr">
        <is>
          <t>2024 $/MMBtu</t>
        </is>
      </c>
      <c r="F46" t="n">
        <v>28.684216</v>
      </c>
      <c r="G46" t="n">
        <v>27.125784</v>
      </c>
      <c r="H46" t="n">
        <v>25.527933</v>
      </c>
      <c r="I46" t="n">
        <v>25.03182</v>
      </c>
      <c r="J46" t="n">
        <v>24.761021</v>
      </c>
      <c r="K46" t="n">
        <v>24.469919</v>
      </c>
      <c r="L46" t="n">
        <v>24.496487</v>
      </c>
      <c r="M46" t="n">
        <v>24.505796</v>
      </c>
      <c r="N46" t="n">
        <v>24.326532</v>
      </c>
      <c r="O46" t="n">
        <v>24.183601</v>
      </c>
      <c r="P46" t="n">
        <v>24.129673</v>
      </c>
      <c r="Q46" t="n">
        <v>23.928679</v>
      </c>
      <c r="R46" t="n">
        <v>24.05728</v>
      </c>
      <c r="S46" t="n">
        <v>23.911495</v>
      </c>
      <c r="T46" t="n">
        <v>23.60075</v>
      </c>
      <c r="U46" t="n">
        <v>23.475494</v>
      </c>
      <c r="V46" t="n">
        <v>23.218733</v>
      </c>
      <c r="W46" t="n">
        <v>22.958654</v>
      </c>
      <c r="X46" t="n">
        <v>22.629124</v>
      </c>
      <c r="Y46" t="n">
        <v>22.653288</v>
      </c>
      <c r="Z46" t="n">
        <v>21.528265</v>
      </c>
      <c r="AA46" t="n">
        <v>21.244183</v>
      </c>
      <c r="AB46" t="n">
        <v>21.421278</v>
      </c>
      <c r="AC46" t="n">
        <v>21.532545</v>
      </c>
      <c r="AD46" t="n">
        <v>21.580334</v>
      </c>
      <c r="AE46" t="n">
        <v>21.704536</v>
      </c>
      <c r="AF46" t="n">
        <v>21.945274</v>
      </c>
      <c r="AG46" s="31" t="n">
        <v>-0.01</v>
      </c>
    </row>
    <row r="47">
      <c r="A47" t="inlineStr">
        <is>
          <t>Jet Fuel</t>
        </is>
      </c>
      <c r="B47" t="inlineStr">
        <is>
          <t>Energy Prices: Average Price to All Users: Jet Fuel: High Zero-Carbon Technology Cost</t>
        </is>
      </c>
      <c r="C47" t="inlineStr">
        <is>
          <t>AEO.2025.HIGHZTC.PRCE_REAL_TEN_NA_JFL_NA_NA_Y13DLRPMMBTU.A</t>
        </is>
      </c>
      <c r="D47" t="inlineStr">
        <is>
          <t>2024 $/MMBtu</t>
        </is>
      </c>
      <c r="F47" t="n">
        <v>17.638924</v>
      </c>
      <c r="G47" t="n">
        <v>16.395</v>
      </c>
      <c r="H47" t="n">
        <v>16.197346</v>
      </c>
      <c r="I47" t="n">
        <v>16.576864</v>
      </c>
      <c r="J47" t="n">
        <v>17.167725</v>
      </c>
      <c r="K47" t="n">
        <v>17.774681</v>
      </c>
      <c r="L47" t="n">
        <v>18.432444</v>
      </c>
      <c r="M47" t="n">
        <v>18.550699</v>
      </c>
      <c r="N47" t="n">
        <v>18.432102</v>
      </c>
      <c r="O47" t="n">
        <v>18.750156</v>
      </c>
      <c r="P47" t="n">
        <v>18.878136</v>
      </c>
      <c r="Q47" t="n">
        <v>19.088032</v>
      </c>
      <c r="R47" t="n">
        <v>19.162302</v>
      </c>
      <c r="S47" t="n">
        <v>19.413189</v>
      </c>
      <c r="T47" t="n">
        <v>19.636925</v>
      </c>
      <c r="U47" t="n">
        <v>19.743242</v>
      </c>
      <c r="V47" t="n">
        <v>19.910463</v>
      </c>
      <c r="W47" t="n">
        <v>20.238554</v>
      </c>
      <c r="X47" t="n">
        <v>20.505775</v>
      </c>
      <c r="Y47" t="n">
        <v>20.876812</v>
      </c>
      <c r="Z47" t="n">
        <v>21.614872</v>
      </c>
      <c r="AA47" t="n">
        <v>21.580616</v>
      </c>
      <c r="AB47" t="n">
        <v>21.698483</v>
      </c>
      <c r="AC47" t="n">
        <v>21.705061</v>
      </c>
      <c r="AD47" t="n">
        <v>21.706541</v>
      </c>
      <c r="AE47" t="n">
        <v>21.788584</v>
      </c>
      <c r="AF47" t="n">
        <v>22.195864</v>
      </c>
      <c r="AG47" s="31" t="n">
        <v>0.008999999999999999</v>
      </c>
    </row>
    <row r="48">
      <c r="A48" t="inlineStr">
        <is>
          <t>Distillate Fuel Oil</t>
        </is>
      </c>
      <c r="B48" t="inlineStr">
        <is>
          <t>Energy Prices: Average Price to All Users: Distillate Fuel Oil: High Zero-Carbon Technology Cost</t>
        </is>
      </c>
      <c r="C48" t="inlineStr">
        <is>
          <t>AEO.2025.HIGHZTC.PRCE_REAL_TEN_NA_DFO_NA_NA_Y13DLRPMMBTU.A</t>
        </is>
      </c>
      <c r="D48" t="inlineStr">
        <is>
          <t>2024 $/MMBtu</t>
        </is>
      </c>
      <c r="F48" t="n">
        <v>27.012424</v>
      </c>
      <c r="G48" t="n">
        <v>25.364977</v>
      </c>
      <c r="H48" t="n">
        <v>24.694891</v>
      </c>
      <c r="I48" t="n">
        <v>24.642532</v>
      </c>
      <c r="J48" t="n">
        <v>24.802452</v>
      </c>
      <c r="K48" t="n">
        <v>24.99939</v>
      </c>
      <c r="L48" t="n">
        <v>25.230318</v>
      </c>
      <c r="M48" t="n">
        <v>25.263414</v>
      </c>
      <c r="N48" t="n">
        <v>25.13209</v>
      </c>
      <c r="O48" t="n">
        <v>25.445631</v>
      </c>
      <c r="P48" t="n">
        <v>25.545443</v>
      </c>
      <c r="Q48" t="n">
        <v>25.775818</v>
      </c>
      <c r="R48" t="n">
        <v>25.891037</v>
      </c>
      <c r="S48" t="n">
        <v>26.145451</v>
      </c>
      <c r="T48" t="n">
        <v>26.220837</v>
      </c>
      <c r="U48" t="n">
        <v>26.325562</v>
      </c>
      <c r="V48" t="n">
        <v>26.498985</v>
      </c>
      <c r="W48" t="n">
        <v>26.760344</v>
      </c>
      <c r="X48" t="n">
        <v>26.992342</v>
      </c>
      <c r="Y48" t="n">
        <v>27.287764</v>
      </c>
      <c r="Z48" t="n">
        <v>27.935396</v>
      </c>
      <c r="AA48" t="n">
        <v>27.83683</v>
      </c>
      <c r="AB48" t="n">
        <v>27.914089</v>
      </c>
      <c r="AC48" t="n">
        <v>27.861572</v>
      </c>
      <c r="AD48" t="n">
        <v>27.845043</v>
      </c>
      <c r="AE48" t="n">
        <v>27.8617</v>
      </c>
      <c r="AF48" t="n">
        <v>28.192116</v>
      </c>
      <c r="AG48" s="31" t="n">
        <v>0.002</v>
      </c>
    </row>
    <row r="49">
      <c r="A49" t="inlineStr">
        <is>
          <t>Residual Fuel Oil</t>
        </is>
      </c>
      <c r="B49" t="inlineStr">
        <is>
          <t>Energy Prices: Average Price to All Users: Residual Fuel Oil: High Zero-Carbon Technology Cost</t>
        </is>
      </c>
      <c r="C49" t="inlineStr">
        <is>
          <t>AEO.2025.HIGHZTC.PRCE_REAL_TEN_NA_RFO_NA_NA_Y13DLRPMMBTU.A</t>
        </is>
      </c>
      <c r="D49" t="inlineStr">
        <is>
          <t>2024 $/MMBtu</t>
        </is>
      </c>
      <c r="F49" t="n">
        <v>13.291615</v>
      </c>
      <c r="G49" t="n">
        <v>11.757444</v>
      </c>
      <c r="H49" t="n">
        <v>12.500851</v>
      </c>
      <c r="I49" t="n">
        <v>12.559112</v>
      </c>
      <c r="J49" t="n">
        <v>12.62952</v>
      </c>
      <c r="K49" t="n">
        <v>12.751574</v>
      </c>
      <c r="L49" t="n">
        <v>12.895062</v>
      </c>
      <c r="M49" t="n">
        <v>12.967169</v>
      </c>
      <c r="N49" t="n">
        <v>12.916404</v>
      </c>
      <c r="O49" t="n">
        <v>13.117395</v>
      </c>
      <c r="P49" t="n">
        <v>13.204977</v>
      </c>
      <c r="Q49" t="n">
        <v>13.33178</v>
      </c>
      <c r="R49" t="n">
        <v>13.382641</v>
      </c>
      <c r="S49" t="n">
        <v>13.467647</v>
      </c>
      <c r="T49" t="n">
        <v>13.557985</v>
      </c>
      <c r="U49" t="n">
        <v>13.576984</v>
      </c>
      <c r="V49" t="n">
        <v>13.653687</v>
      </c>
      <c r="W49" t="n">
        <v>13.73819</v>
      </c>
      <c r="X49" t="n">
        <v>13.818034</v>
      </c>
      <c r="Y49" t="n">
        <v>13.898582</v>
      </c>
      <c r="Z49" t="n">
        <v>13.903964</v>
      </c>
      <c r="AA49" t="n">
        <v>13.700245</v>
      </c>
      <c r="AB49" t="n">
        <v>13.939589</v>
      </c>
      <c r="AC49" t="n">
        <v>13.918885</v>
      </c>
      <c r="AD49" t="n">
        <v>13.937278</v>
      </c>
      <c r="AE49" t="n">
        <v>14.026111</v>
      </c>
      <c r="AF49" t="n">
        <v>14.469603</v>
      </c>
      <c r="AG49" s="31" t="n">
        <v>0.003</v>
      </c>
    </row>
    <row r="50">
      <c r="A50" t="inlineStr">
        <is>
          <t>Natural Gas</t>
        </is>
      </c>
      <c r="B50" t="inlineStr">
        <is>
          <t>Energy Prices: Average Price to All Users: Natural Gas: High Zero-Carbon Technology Cost</t>
        </is>
      </c>
      <c r="C50" t="inlineStr">
        <is>
          <t>AEO.2025.HIGHZTC.PRCE_REAL_TEN_NA_NG_NA_NA_Y13DLRPMMBTU.A</t>
        </is>
      </c>
      <c r="D50" t="inlineStr">
        <is>
          <t>2024 $/MMBtu</t>
        </is>
      </c>
      <c r="F50" t="n">
        <v>5.358065</v>
      </c>
      <c r="G50" t="n">
        <v>5.60745</v>
      </c>
      <c r="H50" t="n">
        <v>5.603475</v>
      </c>
      <c r="I50" t="n">
        <v>5.429448</v>
      </c>
      <c r="J50" t="n">
        <v>5.4806</v>
      </c>
      <c r="K50" t="n">
        <v>5.600207</v>
      </c>
      <c r="L50" t="n">
        <v>5.770124</v>
      </c>
      <c r="M50" t="n">
        <v>5.905769</v>
      </c>
      <c r="N50" t="n">
        <v>6.242887</v>
      </c>
      <c r="O50" t="n">
        <v>6.591919</v>
      </c>
      <c r="P50" t="n">
        <v>6.833857</v>
      </c>
      <c r="Q50" t="n">
        <v>6.953874</v>
      </c>
      <c r="R50" t="n">
        <v>6.975764</v>
      </c>
      <c r="S50" t="n">
        <v>6.995045</v>
      </c>
      <c r="T50" t="n">
        <v>6.970082</v>
      </c>
      <c r="U50" t="n">
        <v>6.939922</v>
      </c>
      <c r="V50" t="n">
        <v>6.958767</v>
      </c>
      <c r="W50" t="n">
        <v>7.01943</v>
      </c>
      <c r="X50" t="n">
        <v>7.072737</v>
      </c>
      <c r="Y50" t="n">
        <v>7.132324</v>
      </c>
      <c r="Z50" t="n">
        <v>7.176168</v>
      </c>
      <c r="AA50" t="n">
        <v>7.216303</v>
      </c>
      <c r="AB50" t="n">
        <v>7.258737</v>
      </c>
      <c r="AC50" t="n">
        <v>7.256385</v>
      </c>
      <c r="AD50" t="n">
        <v>7.26004</v>
      </c>
      <c r="AE50" t="n">
        <v>7.309826</v>
      </c>
      <c r="AF50" t="n">
        <v>7.375858</v>
      </c>
      <c r="AG50" s="31" t="n">
        <v>0.012</v>
      </c>
    </row>
    <row r="51">
      <c r="A51" t="inlineStr">
        <is>
          <t>Metallurgical Coal</t>
        </is>
      </c>
      <c r="B51" t="inlineStr">
        <is>
          <t>Energy Prices: Average Price to All Users: Metallurgical Coal: High Zero-Carbon Technology Cost</t>
        </is>
      </c>
      <c r="C51" t="inlineStr">
        <is>
          <t>AEO.2025.HIGHZTC.PRCE_REAL_TEN_NA_MTC_NA_NA_Y13DLRPMMBTU.A</t>
        </is>
      </c>
      <c r="D51" t="inlineStr">
        <is>
          <t>2024 $/MMBtu</t>
        </is>
      </c>
      <c r="F51" t="n">
        <v>7.767755</v>
      </c>
      <c r="G51" t="n">
        <v>7.639748</v>
      </c>
      <c r="H51" t="n">
        <v>7.585148</v>
      </c>
      <c r="I51" t="n">
        <v>7.555212</v>
      </c>
      <c r="J51" t="n">
        <v>7.520931</v>
      </c>
      <c r="K51" t="n">
        <v>7.512826</v>
      </c>
      <c r="L51" t="n">
        <v>7.510444</v>
      </c>
      <c r="M51" t="n">
        <v>7.515949</v>
      </c>
      <c r="N51" t="n">
        <v>7.537591</v>
      </c>
      <c r="O51" t="n">
        <v>7.537167</v>
      </c>
      <c r="P51" t="n">
        <v>7.49989</v>
      </c>
      <c r="Q51" t="n">
        <v>7.518089</v>
      </c>
      <c r="R51" t="n">
        <v>7.517967</v>
      </c>
      <c r="S51" t="n">
        <v>7.515557</v>
      </c>
      <c r="T51" t="n">
        <v>7.51727</v>
      </c>
      <c r="U51" t="n">
        <v>7.498265</v>
      </c>
      <c r="V51" t="n">
        <v>7.496222</v>
      </c>
      <c r="W51" t="n">
        <v>7.466915</v>
      </c>
      <c r="X51" t="n">
        <v>7.461041</v>
      </c>
      <c r="Y51" t="n">
        <v>7.453232</v>
      </c>
      <c r="Z51" t="n">
        <v>7.458103</v>
      </c>
      <c r="AA51" t="n">
        <v>7.471511</v>
      </c>
      <c r="AB51" t="n">
        <v>7.467525</v>
      </c>
      <c r="AC51" t="n">
        <v>7.46251</v>
      </c>
      <c r="AD51" t="n">
        <v>7.461265</v>
      </c>
      <c r="AE51" t="n">
        <v>7.469367</v>
      </c>
      <c r="AF51" t="n">
        <v>7.466943</v>
      </c>
      <c r="AG51" s="31" t="n">
        <v>-0.002</v>
      </c>
    </row>
    <row r="52">
      <c r="A52" t="inlineStr">
        <is>
          <t>Other Coal</t>
        </is>
      </c>
      <c r="B52" t="inlineStr">
        <is>
          <t>Energy Prices: Average Price to All Users: Other Coal: High Zero-Carbon Technology Cost</t>
        </is>
      </c>
      <c r="C52" t="inlineStr">
        <is>
          <t>AEO.2025.HIGHZTC.PRCE_REAL_TEN_NA_OCA_NA_NA_Y13DLRPMMBTU.A</t>
        </is>
      </c>
      <c r="D52" t="inlineStr">
        <is>
          <t>2024 $/MMBtu</t>
        </is>
      </c>
      <c r="F52" t="n">
        <v>2.544647</v>
      </c>
      <c r="G52" t="n">
        <v>2.490408</v>
      </c>
      <c r="H52" t="n">
        <v>2.452668</v>
      </c>
      <c r="I52" t="n">
        <v>2.423937</v>
      </c>
      <c r="J52" t="n">
        <v>2.334863</v>
      </c>
      <c r="K52" t="n">
        <v>2.340178</v>
      </c>
      <c r="L52" t="n">
        <v>2.379634</v>
      </c>
      <c r="M52" t="n">
        <v>2.359969</v>
      </c>
      <c r="N52" t="n">
        <v>2.608159</v>
      </c>
      <c r="O52" t="n">
        <v>2.607483</v>
      </c>
      <c r="P52" t="n">
        <v>2.600178</v>
      </c>
      <c r="Q52" t="n">
        <v>2.596767</v>
      </c>
      <c r="R52" t="n">
        <v>2.605588</v>
      </c>
      <c r="S52" t="n">
        <v>2.64105</v>
      </c>
      <c r="T52" t="n">
        <v>2.662963</v>
      </c>
      <c r="U52" t="n">
        <v>2.99238</v>
      </c>
      <c r="V52" t="n">
        <v>2.989484</v>
      </c>
      <c r="W52" t="n">
        <v>2.980852</v>
      </c>
      <c r="X52" t="n">
        <v>2.973089</v>
      </c>
      <c r="Y52" t="n">
        <v>2.971414</v>
      </c>
      <c r="Z52" t="n">
        <v>2.976025</v>
      </c>
      <c r="AA52" t="n">
        <v>2.999393</v>
      </c>
      <c r="AB52" t="n">
        <v>3.257445</v>
      </c>
      <c r="AC52" t="n">
        <v>3.293746</v>
      </c>
      <c r="AD52" t="n">
        <v>3.29155</v>
      </c>
      <c r="AE52" t="n">
        <v>3.301926</v>
      </c>
      <c r="AF52" t="n">
        <v>3.304214</v>
      </c>
      <c r="AG52" s="31" t="n">
        <v>0.01</v>
      </c>
    </row>
    <row r="53">
      <c r="A53" t="inlineStr">
        <is>
          <t>Hydrogen</t>
        </is>
      </c>
      <c r="B53" t="inlineStr">
        <is>
          <t>Energy Prices: Average Price to All Users: Hydrogen: High Zero-Carbon Technology Cost</t>
        </is>
      </c>
      <c r="C53" t="inlineStr">
        <is>
          <t>AEO.2025.HIGHZTC.PRCE_REAL_TEN_NA_HDG_NA_NA_Y13DLRPMMBTU.A</t>
        </is>
      </c>
      <c r="D53" t="inlineStr">
        <is>
          <t>2024 $/MMBtu</t>
        </is>
      </c>
      <c r="F53" t="n">
        <v>9.573513</v>
      </c>
      <c r="G53" t="n">
        <v>10.759744</v>
      </c>
      <c r="H53" t="n">
        <v>10.814753</v>
      </c>
      <c r="I53" t="n">
        <v>10.970607</v>
      </c>
      <c r="J53" t="n">
        <v>11.467427</v>
      </c>
      <c r="K53" t="n">
        <v>12.125462</v>
      </c>
      <c r="L53" t="n">
        <v>12.869673</v>
      </c>
      <c r="M53" t="n">
        <v>14.186323</v>
      </c>
      <c r="N53" t="n">
        <v>16.70895</v>
      </c>
      <c r="O53" t="n">
        <v>19.089088</v>
      </c>
      <c r="P53" t="n">
        <v>20.999569</v>
      </c>
      <c r="Q53" t="n">
        <v>22.460648</v>
      </c>
      <c r="R53" t="n">
        <v>23.549911</v>
      </c>
      <c r="S53" t="n">
        <v>24.492126</v>
      </c>
      <c r="T53" t="n">
        <v>25.62182</v>
      </c>
      <c r="U53" t="n">
        <v>26.518492</v>
      </c>
      <c r="V53" t="n">
        <v>27.252636</v>
      </c>
      <c r="W53" t="n">
        <v>27.774517</v>
      </c>
      <c r="X53" t="n">
        <v>28.24732</v>
      </c>
      <c r="Y53" t="n">
        <v>28.807552</v>
      </c>
      <c r="Z53" t="n">
        <v>29.432905</v>
      </c>
      <c r="AA53" t="n">
        <v>29.795622</v>
      </c>
      <c r="AB53" t="n">
        <v>30.212788</v>
      </c>
      <c r="AC53" t="n">
        <v>30.48605</v>
      </c>
      <c r="AD53" t="n">
        <v>30.778925</v>
      </c>
      <c r="AE53" t="n">
        <v>30.779465</v>
      </c>
      <c r="AF53" t="n">
        <v>31.056328</v>
      </c>
      <c r="AG53" s="31" t="n">
        <v>0.046</v>
      </c>
    </row>
    <row r="54">
      <c r="A54" t="inlineStr">
        <is>
          <t>Electricity</t>
        </is>
      </c>
      <c r="B54" t="inlineStr">
        <is>
          <t>Energy Prices: Average Price to All Users: Electricity: High Zero-Carbon Technology Cost</t>
        </is>
      </c>
      <c r="C54" t="inlineStr">
        <is>
          <t>AEO.2025.HIGHZTC.PRCE_REAL_TEN_NA_ELC_NA_NA_Y13DLRPMMBTU.A</t>
        </is>
      </c>
      <c r="D54" t="inlineStr">
        <is>
          <t>2024 $/MMBtu</t>
        </is>
      </c>
      <c r="F54" t="n">
        <v>38.098598</v>
      </c>
      <c r="G54" t="n">
        <v>37.333973</v>
      </c>
      <c r="H54" t="n">
        <v>34.881783</v>
      </c>
      <c r="I54" t="n">
        <v>33.049328</v>
      </c>
      <c r="J54" t="n">
        <v>32.874008</v>
      </c>
      <c r="K54" t="n">
        <v>33.237839</v>
      </c>
      <c r="L54" t="n">
        <v>33.692875</v>
      </c>
      <c r="M54" t="n">
        <v>34.296566</v>
      </c>
      <c r="N54" t="n">
        <v>34.825642</v>
      </c>
      <c r="O54" t="n">
        <v>35.589108</v>
      </c>
      <c r="P54" t="n">
        <v>35.82687</v>
      </c>
      <c r="Q54" t="n">
        <v>35.637054</v>
      </c>
      <c r="R54" t="n">
        <v>35.304626</v>
      </c>
      <c r="S54" t="n">
        <v>35.029667</v>
      </c>
      <c r="T54" t="n">
        <v>35.204475</v>
      </c>
      <c r="U54" t="n">
        <v>34.977581</v>
      </c>
      <c r="V54" t="n">
        <v>34.87011</v>
      </c>
      <c r="W54" t="n">
        <v>34.885918</v>
      </c>
      <c r="X54" t="n">
        <v>35.053295</v>
      </c>
      <c r="Y54" t="n">
        <v>35.213997</v>
      </c>
      <c r="Z54" t="n">
        <v>35.421429</v>
      </c>
      <c r="AA54" t="n">
        <v>35.584679</v>
      </c>
      <c r="AB54" t="n">
        <v>35.760864</v>
      </c>
      <c r="AC54" t="n">
        <v>35.86097</v>
      </c>
      <c r="AD54" t="n">
        <v>36.115452</v>
      </c>
      <c r="AE54" t="n">
        <v>36.344898</v>
      </c>
      <c r="AF54" t="n">
        <v>36.619953</v>
      </c>
      <c r="AG54" s="31" t="n">
        <v>-0.002</v>
      </c>
    </row>
    <row r="55">
      <c r="A55" t="inlineStr">
        <is>
          <t>Non-Renewable Energy Expenditures by Sector</t>
        </is>
      </c>
    </row>
    <row r="56">
      <c r="A56" t="inlineStr">
        <is>
          <t>(billion 2024 dollars)</t>
        </is>
      </c>
    </row>
    <row r="57">
      <c r="A57" t="inlineStr">
        <is>
          <t>Residential</t>
        </is>
      </c>
      <c r="B57" t="inlineStr">
        <is>
          <t>Energy Expenditures: Non-Renewable Residential: High Zero-Carbon Technology Cost</t>
        </is>
      </c>
      <c r="C57" t="inlineStr">
        <is>
          <t>AEO.2025.HIGHZTC.EXPD_REAL_RESD_NA_NRN_NA_NA_BLNY13DLR.A</t>
        </is>
      </c>
      <c r="D57" t="inlineStr">
        <is>
          <t>billion 2024 $</t>
        </is>
      </c>
      <c r="F57" t="n">
        <v>321.871338</v>
      </c>
      <c r="G57" t="n">
        <v>315.883423</v>
      </c>
      <c r="H57" t="n">
        <v>305.580658</v>
      </c>
      <c r="I57" t="n">
        <v>296.621582</v>
      </c>
      <c r="J57" t="n">
        <v>297.209778</v>
      </c>
      <c r="K57" t="n">
        <v>300.829529</v>
      </c>
      <c r="L57" t="n">
        <v>304.879822</v>
      </c>
      <c r="M57" t="n">
        <v>310.57489</v>
      </c>
      <c r="N57" t="n">
        <v>317.270935</v>
      </c>
      <c r="O57" t="n">
        <v>326.109741</v>
      </c>
      <c r="P57" t="n">
        <v>331.937531</v>
      </c>
      <c r="Q57" t="n">
        <v>335.421143</v>
      </c>
      <c r="R57" t="n">
        <v>337.755829</v>
      </c>
      <c r="S57" t="n">
        <v>340.220459</v>
      </c>
      <c r="T57" t="n">
        <v>345.051575</v>
      </c>
      <c r="U57" t="n">
        <v>347.168732</v>
      </c>
      <c r="V57" t="n">
        <v>350.457489</v>
      </c>
      <c r="W57" t="n">
        <v>354.748962</v>
      </c>
      <c r="X57" t="n">
        <v>359.830963</v>
      </c>
      <c r="Y57" t="n">
        <v>364.808167</v>
      </c>
      <c r="Z57" t="n">
        <v>369.941711</v>
      </c>
      <c r="AA57" t="n">
        <v>374.447327</v>
      </c>
      <c r="AB57" t="n">
        <v>379.109009</v>
      </c>
      <c r="AC57" t="n">
        <v>382.828217</v>
      </c>
      <c r="AD57" t="n">
        <v>387.423889</v>
      </c>
      <c r="AE57" t="n">
        <v>392.041443</v>
      </c>
      <c r="AF57" t="n">
        <v>397.161255</v>
      </c>
      <c r="AG57" s="31" t="n">
        <v>0.008</v>
      </c>
    </row>
    <row r="58">
      <c r="A58" t="inlineStr">
        <is>
          <t>Commercial</t>
        </is>
      </c>
      <c r="B58" t="inlineStr">
        <is>
          <t>Energy Expenditures: Non-Renewable Commercial: High Zero-Carbon Technology Cost</t>
        </is>
      </c>
      <c r="C58" t="inlineStr">
        <is>
          <t>AEO.2025.HIGHZTC.EXPD_REAL_COMM_NA_NRN_NA_NA_BLNY13DLR.A</t>
        </is>
      </c>
      <c r="D58" t="inlineStr">
        <is>
          <t>billion 2024 $</t>
        </is>
      </c>
      <c r="F58" t="n">
        <v>241.127884</v>
      </c>
      <c r="G58" t="n">
        <v>237.064636</v>
      </c>
      <c r="H58" t="n">
        <v>224.326843</v>
      </c>
      <c r="I58" t="n">
        <v>216.670441</v>
      </c>
      <c r="J58" t="n">
        <v>218.153397</v>
      </c>
      <c r="K58" t="n">
        <v>223.837677</v>
      </c>
      <c r="L58" t="n">
        <v>230.040207</v>
      </c>
      <c r="M58" t="n">
        <v>237.12822</v>
      </c>
      <c r="N58" t="n">
        <v>245.249008</v>
      </c>
      <c r="O58" t="n">
        <v>254.966461</v>
      </c>
      <c r="P58" t="n">
        <v>262.066772</v>
      </c>
      <c r="Q58" t="n">
        <v>266.730194</v>
      </c>
      <c r="R58" t="n">
        <v>270.466217</v>
      </c>
      <c r="S58" t="n">
        <v>274.206329</v>
      </c>
      <c r="T58" t="n">
        <v>280.463226</v>
      </c>
      <c r="U58" t="n">
        <v>283.609741</v>
      </c>
      <c r="V58" t="n">
        <v>287.870758</v>
      </c>
      <c r="W58" t="n">
        <v>293.215729</v>
      </c>
      <c r="X58" t="n">
        <v>299.318542</v>
      </c>
      <c r="Y58" t="n">
        <v>305.496796</v>
      </c>
      <c r="Z58" t="n">
        <v>311.305481</v>
      </c>
      <c r="AA58" t="n">
        <v>317.04187</v>
      </c>
      <c r="AB58" t="n">
        <v>323.196228</v>
      </c>
      <c r="AC58" t="n">
        <v>328.304657</v>
      </c>
      <c r="AD58" t="n">
        <v>334.830048</v>
      </c>
      <c r="AE58" t="n">
        <v>341.480957</v>
      </c>
      <c r="AF58" t="n">
        <v>348.676666</v>
      </c>
      <c r="AG58" s="31" t="n">
        <v>0.014</v>
      </c>
    </row>
    <row r="59">
      <c r="A59" t="inlineStr">
        <is>
          <t>Industrial</t>
        </is>
      </c>
      <c r="B59" t="inlineStr">
        <is>
          <t>Energy Expenditures: Non-Renewable Industrial: High Zero-Carbon Technology Cost</t>
        </is>
      </c>
      <c r="C59" t="inlineStr">
        <is>
          <t>AEO.2025.HIGHZTC.EXPD_REAL_IDAL_NA_NRN_NA_NA_BLNY13DLR.A</t>
        </is>
      </c>
      <c r="D59" t="inlineStr">
        <is>
          <t>billion 2024 $</t>
        </is>
      </c>
      <c r="F59" t="n">
        <v>225.607498</v>
      </c>
      <c r="G59" t="n">
        <v>228.663712</v>
      </c>
      <c r="H59" t="n">
        <v>224.172241</v>
      </c>
      <c r="I59" t="n">
        <v>218.504013</v>
      </c>
      <c r="J59" t="n">
        <v>219.973053</v>
      </c>
      <c r="K59" t="n">
        <v>224.779404</v>
      </c>
      <c r="L59" t="n">
        <v>232.185333</v>
      </c>
      <c r="M59" t="n">
        <v>239.677048</v>
      </c>
      <c r="N59" t="n">
        <v>251.390091</v>
      </c>
      <c r="O59" t="n">
        <v>263.950745</v>
      </c>
      <c r="P59" t="n">
        <v>272.885925</v>
      </c>
      <c r="Q59" t="n">
        <v>277.752747</v>
      </c>
      <c r="R59" t="n">
        <v>280.541412</v>
      </c>
      <c r="S59" t="n">
        <v>282.8479</v>
      </c>
      <c r="T59" t="n">
        <v>285.523651</v>
      </c>
      <c r="U59" t="n">
        <v>287.853333</v>
      </c>
      <c r="V59" t="n">
        <v>292.143738</v>
      </c>
      <c r="W59" t="n">
        <v>297.649719</v>
      </c>
      <c r="X59" t="n">
        <v>303.51181</v>
      </c>
      <c r="Y59" t="n">
        <v>308.796417</v>
      </c>
      <c r="Z59" t="n">
        <v>314.980469</v>
      </c>
      <c r="AA59" t="n">
        <v>319.064026</v>
      </c>
      <c r="AB59" t="n">
        <v>323.777679</v>
      </c>
      <c r="AC59" t="n">
        <v>327.830505</v>
      </c>
      <c r="AD59" t="n">
        <v>331.765167</v>
      </c>
      <c r="AE59" t="n">
        <v>337.71106</v>
      </c>
      <c r="AF59" t="n">
        <v>345.768585</v>
      </c>
      <c r="AG59" s="31" t="n">
        <v>0.017</v>
      </c>
    </row>
    <row r="60">
      <c r="A60" t="inlineStr">
        <is>
          <t>Transportation</t>
        </is>
      </c>
      <c r="B60" t="inlineStr">
        <is>
          <t>Energy Expenditures: Non-Renewable Transportation: High Zero-Carbon Technology Cost</t>
        </is>
      </c>
      <c r="C60" t="inlineStr">
        <is>
          <t>AEO.2025.HIGHZTC.EXPD_REAL_TRN_NA_NRN_NA_NA_BLNY13DLR.A</t>
        </is>
      </c>
      <c r="D60" t="inlineStr">
        <is>
          <t>billion 2024 $</t>
        </is>
      </c>
      <c r="F60" t="n">
        <v>714.841614</v>
      </c>
      <c r="G60" t="n">
        <v>676.346436</v>
      </c>
      <c r="H60" t="n">
        <v>644.133179</v>
      </c>
      <c r="I60" t="n">
        <v>632.3838500000001</v>
      </c>
      <c r="J60" t="n">
        <v>624.66571</v>
      </c>
      <c r="K60" t="n">
        <v>615.550781</v>
      </c>
      <c r="L60" t="n">
        <v>609.02887</v>
      </c>
      <c r="M60" t="n">
        <v>597.487488</v>
      </c>
      <c r="N60" t="n">
        <v>577.684875</v>
      </c>
      <c r="O60" t="n">
        <v>563.210266</v>
      </c>
      <c r="P60" t="n">
        <v>548.963379</v>
      </c>
      <c r="Q60" t="n">
        <v>534.356628</v>
      </c>
      <c r="R60" t="n">
        <v>522.667114</v>
      </c>
      <c r="S60" t="n">
        <v>509.74472</v>
      </c>
      <c r="T60" t="n">
        <v>495.170349</v>
      </c>
      <c r="U60" t="n">
        <v>483.189026</v>
      </c>
      <c r="V60" t="n">
        <v>472.336884</v>
      </c>
      <c r="W60" t="n">
        <v>463.278107</v>
      </c>
      <c r="X60" t="n">
        <v>453.938141</v>
      </c>
      <c r="Y60" t="n">
        <v>450.51828</v>
      </c>
      <c r="Z60" t="n">
        <v>439.835449</v>
      </c>
      <c r="AA60" t="n">
        <v>431.820557</v>
      </c>
      <c r="AB60" t="n">
        <v>430.396088</v>
      </c>
      <c r="AC60" t="n">
        <v>428.292847</v>
      </c>
      <c r="AD60" t="n">
        <v>425.137939</v>
      </c>
      <c r="AE60" t="n">
        <v>424.653168</v>
      </c>
      <c r="AF60" t="n">
        <v>428.825165</v>
      </c>
      <c r="AG60" s="31" t="n">
        <v>-0.019</v>
      </c>
    </row>
    <row r="61">
      <c r="A61" t="inlineStr">
        <is>
          <t>Total Non-Renewable Expenditures</t>
        </is>
      </c>
      <c r="B61" t="inlineStr">
        <is>
          <t>Energy Expenditures: Total Non-Renewable: High Zero-Carbon Technology Cost</t>
        </is>
      </c>
      <c r="C61" t="inlineStr">
        <is>
          <t>AEO.2025.HIGHZTC.EXPD_REAL_TEN_NA_NRN_NA_NA_BLNY13DLR.A</t>
        </is>
      </c>
      <c r="D61" t="inlineStr">
        <is>
          <t>billion 2024 $</t>
        </is>
      </c>
      <c r="F61" t="n">
        <v>1503.448242</v>
      </c>
      <c r="G61" t="n">
        <v>1457.958252</v>
      </c>
      <c r="H61" t="n">
        <v>1398.212891</v>
      </c>
      <c r="I61" t="n">
        <v>1364.179932</v>
      </c>
      <c r="J61" t="n">
        <v>1360.001953</v>
      </c>
      <c r="K61" t="n">
        <v>1364.997437</v>
      </c>
      <c r="L61" t="n">
        <v>1376.134277</v>
      </c>
      <c r="M61" t="n">
        <v>1384.867676</v>
      </c>
      <c r="N61" t="n">
        <v>1391.594971</v>
      </c>
      <c r="O61" t="n">
        <v>1408.237183</v>
      </c>
      <c r="P61" t="n">
        <v>1415.853516</v>
      </c>
      <c r="Q61" t="n">
        <v>1414.260742</v>
      </c>
      <c r="R61" t="n">
        <v>1411.430542</v>
      </c>
      <c r="S61" t="n">
        <v>1407.019409</v>
      </c>
      <c r="T61" t="n">
        <v>1406.20874</v>
      </c>
      <c r="U61" t="n">
        <v>1401.820801</v>
      </c>
      <c r="V61" t="n">
        <v>1402.808838</v>
      </c>
      <c r="W61" t="n">
        <v>1408.892578</v>
      </c>
      <c r="X61" t="n">
        <v>1416.599487</v>
      </c>
      <c r="Y61" t="n">
        <v>1429.619629</v>
      </c>
      <c r="Z61" t="n">
        <v>1436.06311</v>
      </c>
      <c r="AA61" t="n">
        <v>1442.373779</v>
      </c>
      <c r="AB61" t="n">
        <v>1456.479004</v>
      </c>
      <c r="AC61" t="n">
        <v>1467.256226</v>
      </c>
      <c r="AD61" t="n">
        <v>1479.156982</v>
      </c>
      <c r="AE61" t="n">
        <v>1495.886597</v>
      </c>
      <c r="AF61" t="n">
        <v>1520.431641</v>
      </c>
      <c r="AG61" s="31" t="n">
        <v>0</v>
      </c>
    </row>
    <row r="62">
      <c r="A62" t="inlineStr">
        <is>
          <t>Transportation Renewable Expenditures</t>
        </is>
      </c>
      <c r="B62" t="inlineStr">
        <is>
          <t>Energy Expenditures: Renewable Transportation: High Zero-Carbon Technology Cost</t>
        </is>
      </c>
      <c r="C62" t="inlineStr">
        <is>
          <t>AEO.2025.HIGHZTC.EXPD_REAL_TRN_NA_RNW_NA_NA_BLNY13DLR.A</t>
        </is>
      </c>
      <c r="D62" t="inlineStr">
        <is>
          <t>billion 2024 $</t>
        </is>
      </c>
      <c r="F62" t="n">
        <v>0.107875</v>
      </c>
      <c r="G62" t="n">
        <v>0.100345</v>
      </c>
      <c r="H62" t="n">
        <v>0.093489</v>
      </c>
      <c r="I62" t="n">
        <v>0.08655400000000001</v>
      </c>
      <c r="J62" t="n">
        <v>0.08253000000000001</v>
      </c>
      <c r="K62" t="n">
        <v>0.082791</v>
      </c>
      <c r="L62" t="n">
        <v>0.078487</v>
      </c>
      <c r="M62" t="n">
        <v>0.072793</v>
      </c>
      <c r="N62" t="n">
        <v>0.06721100000000001</v>
      </c>
      <c r="O62" t="n">
        <v>0.062402</v>
      </c>
      <c r="P62" t="n">
        <v>0.058996</v>
      </c>
      <c r="Q62" t="n">
        <v>0.055041</v>
      </c>
      <c r="R62" t="n">
        <v>0.051815</v>
      </c>
      <c r="S62" t="n">
        <v>0.048885</v>
      </c>
      <c r="T62" t="n">
        <v>0.045543</v>
      </c>
      <c r="U62" t="n">
        <v>0.043307</v>
      </c>
      <c r="V62" t="n">
        <v>0.041884</v>
      </c>
      <c r="W62" t="n">
        <v>0.04052</v>
      </c>
      <c r="X62" t="n">
        <v>0.039222</v>
      </c>
      <c r="Y62" t="n">
        <v>0.03885</v>
      </c>
      <c r="Z62" t="n">
        <v>0.037436</v>
      </c>
      <c r="AA62" t="n">
        <v>0.035974</v>
      </c>
      <c r="AB62" t="n">
        <v>0.036186</v>
      </c>
      <c r="AC62" t="n">
        <v>0.037198</v>
      </c>
      <c r="AD62" t="n">
        <v>0.037176</v>
      </c>
      <c r="AE62" t="n">
        <v>0.037423</v>
      </c>
      <c r="AF62" t="n">
        <v>0.037653</v>
      </c>
      <c r="AG62" s="31" t="n">
        <v>-0.04</v>
      </c>
    </row>
    <row r="63">
      <c r="A63" t="inlineStr">
        <is>
          <t>Total Expenditures</t>
        </is>
      </c>
      <c r="B63" t="inlineStr">
        <is>
          <t>Energy Expenditures: High Zero-Carbon Technology Cost</t>
        </is>
      </c>
      <c r="C63" t="inlineStr">
        <is>
          <t>AEO.2025.HIGHZTC.EXPD_REAL_TEN_NA_NA_NA_NA_BLNY13DLR.A</t>
        </is>
      </c>
      <c r="D63" t="inlineStr">
        <is>
          <t>billion 2024 $</t>
        </is>
      </c>
      <c r="F63" t="n">
        <v>1503.556152</v>
      </c>
      <c r="G63" t="n">
        <v>1458.058594</v>
      </c>
      <c r="H63" t="n">
        <v>1398.306396</v>
      </c>
      <c r="I63" t="n">
        <v>1364.266479</v>
      </c>
      <c r="J63" t="n">
        <v>1360.084473</v>
      </c>
      <c r="K63" t="n">
        <v>1365.0802</v>
      </c>
      <c r="L63" t="n">
        <v>1376.212769</v>
      </c>
      <c r="M63" t="n">
        <v>1384.94043</v>
      </c>
      <c r="N63" t="n">
        <v>1391.662231</v>
      </c>
      <c r="O63" t="n">
        <v>1408.299561</v>
      </c>
      <c r="P63" t="n">
        <v>1415.912476</v>
      </c>
      <c r="Q63" t="n">
        <v>1414.315796</v>
      </c>
      <c r="R63" t="n">
        <v>1411.4823</v>
      </c>
      <c r="S63" t="n">
        <v>1407.068237</v>
      </c>
      <c r="T63" t="n">
        <v>1406.254272</v>
      </c>
      <c r="U63" t="n">
        <v>1401.864136</v>
      </c>
      <c r="V63" t="n">
        <v>1402.850708</v>
      </c>
      <c r="W63" t="n">
        <v>1408.933105</v>
      </c>
      <c r="X63" t="n">
        <v>1416.638672</v>
      </c>
      <c r="Y63" t="n">
        <v>1429.658447</v>
      </c>
      <c r="Z63" t="n">
        <v>1436.100586</v>
      </c>
      <c r="AA63" t="n">
        <v>1442.40979</v>
      </c>
      <c r="AB63" t="n">
        <v>1456.515137</v>
      </c>
      <c r="AC63" t="n">
        <v>1467.293457</v>
      </c>
      <c r="AD63" t="n">
        <v>1479.194214</v>
      </c>
      <c r="AE63" t="n">
        <v>1495.924072</v>
      </c>
      <c r="AF63" t="n">
        <v>1520.469238</v>
      </c>
      <c r="AG63" s="31" t="n">
        <v>0</v>
      </c>
    </row>
    <row r="64">
      <c r="A64" t="inlineStr">
        <is>
          <t>Prices in Nominal Dollars</t>
        </is>
      </c>
    </row>
    <row r="65">
      <c r="A65" t="inlineStr">
        <is>
          <t>Residential</t>
        </is>
      </c>
    </row>
    <row r="66">
      <c r="A66" t="inlineStr">
        <is>
          <t>Propane</t>
        </is>
      </c>
      <c r="B66" t="inlineStr">
        <is>
          <t>Energy Prices: Nominal: Residential: Propane: High Zero-Carbon Technology Cost</t>
        </is>
      </c>
      <c r="C66" t="inlineStr">
        <is>
          <t>AEO.2025.HIGHZTC.PRCE_NOM_RESD_NA_PROP_NA_NA_NDLRPMBTU.A</t>
        </is>
      </c>
      <c r="D66" t="inlineStr">
        <is>
          <t>nom $/MMBtu</t>
        </is>
      </c>
      <c r="F66" t="n">
        <v>26.593981</v>
      </c>
      <c r="G66" t="n">
        <v>26.216951</v>
      </c>
      <c r="H66" t="n">
        <v>26.858906</v>
      </c>
      <c r="I66" t="n">
        <v>27.152178</v>
      </c>
      <c r="J66" t="n">
        <v>27.696188</v>
      </c>
      <c r="K66" t="n">
        <v>28.433746</v>
      </c>
      <c r="L66" t="n">
        <v>29.537058</v>
      </c>
      <c r="M66" t="n">
        <v>30.762877</v>
      </c>
      <c r="N66" t="n">
        <v>32.364796</v>
      </c>
      <c r="O66" t="n">
        <v>34.319061</v>
      </c>
      <c r="P66" t="n">
        <v>36.227283</v>
      </c>
      <c r="Q66" t="n">
        <v>37.835377</v>
      </c>
      <c r="R66" t="n">
        <v>39.225212</v>
      </c>
      <c r="S66" t="n">
        <v>40.455105</v>
      </c>
      <c r="T66" t="n">
        <v>41.493401</v>
      </c>
      <c r="U66" t="n">
        <v>42.453186</v>
      </c>
      <c r="V66" t="n">
        <v>43.498753</v>
      </c>
      <c r="W66" t="n">
        <v>44.748333</v>
      </c>
      <c r="X66" t="n">
        <v>46.046326</v>
      </c>
      <c r="Y66" t="n">
        <v>47.565804</v>
      </c>
      <c r="Z66" t="n">
        <v>49.313976</v>
      </c>
      <c r="AA66" t="n">
        <v>50.883286</v>
      </c>
      <c r="AB66" t="n">
        <v>52.401012</v>
      </c>
      <c r="AC66" t="n">
        <v>53.792717</v>
      </c>
      <c r="AD66" t="n">
        <v>55.213657</v>
      </c>
      <c r="AE66" t="n">
        <v>56.888172</v>
      </c>
      <c r="AF66" t="n">
        <v>59.05526</v>
      </c>
      <c r="AG66" s="31" t="n">
        <v>0.031</v>
      </c>
    </row>
    <row r="67">
      <c r="A67" t="inlineStr">
        <is>
          <t>Distillate Fuel Oil</t>
        </is>
      </c>
      <c r="B67" t="inlineStr">
        <is>
          <t>Energy Prices: Nominal: Residential: Distillate Fuel Oil: High Zero-Carbon Technology Cost</t>
        </is>
      </c>
      <c r="C67" t="inlineStr">
        <is>
          <t>AEO.2025.HIGHZTC.PRCE_NOM_RESD_NA_DFO_NA_NA_NDLRPMBTU.A</t>
        </is>
      </c>
      <c r="D67" t="inlineStr">
        <is>
          <t>nom $/MMBtu</t>
        </is>
      </c>
      <c r="F67" t="n">
        <v>26.158379</v>
      </c>
      <c r="G67" t="n">
        <v>25.122044</v>
      </c>
      <c r="H67" t="n">
        <v>25.57391</v>
      </c>
      <c r="I67" t="n">
        <v>26.70492</v>
      </c>
      <c r="J67" t="n">
        <v>28.145452</v>
      </c>
      <c r="K67" t="n">
        <v>29.655188</v>
      </c>
      <c r="L67" t="n">
        <v>31.292149</v>
      </c>
      <c r="M67" t="n">
        <v>31.994268</v>
      </c>
      <c r="N67" t="n">
        <v>32.578827</v>
      </c>
      <c r="O67" t="n">
        <v>33.679363</v>
      </c>
      <c r="P67" t="n">
        <v>34.56406</v>
      </c>
      <c r="Q67" t="n">
        <v>35.592525</v>
      </c>
      <c r="R67" t="n">
        <v>36.482147</v>
      </c>
      <c r="S67" t="n">
        <v>37.580669</v>
      </c>
      <c r="T67" t="n">
        <v>38.49485</v>
      </c>
      <c r="U67" t="n">
        <v>39.449146</v>
      </c>
      <c r="V67" t="n">
        <v>40.520947</v>
      </c>
      <c r="W67" t="n">
        <v>41.791801</v>
      </c>
      <c r="X67" t="n">
        <v>43.031525</v>
      </c>
      <c r="Y67" t="n">
        <v>44.415188</v>
      </c>
      <c r="Z67" t="n">
        <v>46.386429</v>
      </c>
      <c r="AA67" t="n">
        <v>47.287495</v>
      </c>
      <c r="AB67" t="n">
        <v>48.481236</v>
      </c>
      <c r="AC67" t="n">
        <v>49.511318</v>
      </c>
      <c r="AD67" t="n">
        <v>50.619339</v>
      </c>
      <c r="AE67" t="n">
        <v>51.830589</v>
      </c>
      <c r="AF67" t="n">
        <v>53.611908</v>
      </c>
      <c r="AG67" s="31" t="n">
        <v>0.028</v>
      </c>
    </row>
    <row r="68">
      <c r="A68" t="inlineStr">
        <is>
          <t>Natural Gas</t>
        </is>
      </c>
      <c r="B68" t="inlineStr">
        <is>
          <t>Energy Prices: Nominal: Residential: Natural Gas: High Zero-Carbon Technology Cost</t>
        </is>
      </c>
      <c r="C68" t="inlineStr">
        <is>
          <t>AEO.2025.HIGHZTC.PRCE_NOM_RESD_NA_NG_NA_NA_NDLRPMBTU.A</t>
        </is>
      </c>
      <c r="D68" t="inlineStr">
        <is>
          <t>nom $/MMBtu</t>
        </is>
      </c>
      <c r="F68" t="n">
        <v>13.932205</v>
      </c>
      <c r="G68" t="n">
        <v>12.954311</v>
      </c>
      <c r="H68" t="n">
        <v>12.947871</v>
      </c>
      <c r="I68" t="n">
        <v>12.736533</v>
      </c>
      <c r="J68" t="n">
        <v>12.713431</v>
      </c>
      <c r="K68" t="n">
        <v>12.812389</v>
      </c>
      <c r="L68" t="n">
        <v>12.963352</v>
      </c>
      <c r="M68" t="n">
        <v>13.460487</v>
      </c>
      <c r="N68" t="n">
        <v>14.2479</v>
      </c>
      <c r="O68" t="n">
        <v>15.014253</v>
      </c>
      <c r="P68" t="n">
        <v>15.664865</v>
      </c>
      <c r="Q68" t="n">
        <v>16.185392</v>
      </c>
      <c r="R68" t="n">
        <v>16.539627</v>
      </c>
      <c r="S68" t="n">
        <v>16.867327</v>
      </c>
      <c r="T68" t="n">
        <v>17.190029</v>
      </c>
      <c r="U68" t="n">
        <v>17.466055</v>
      </c>
      <c r="V68" t="n">
        <v>17.87583</v>
      </c>
      <c r="W68" t="n">
        <v>18.432865</v>
      </c>
      <c r="X68" t="n">
        <v>18.987307</v>
      </c>
      <c r="Y68" t="n">
        <v>19.539175</v>
      </c>
      <c r="Z68" t="n">
        <v>20.057804</v>
      </c>
      <c r="AA68" t="n">
        <v>20.636808</v>
      </c>
      <c r="AB68" t="n">
        <v>21.249207</v>
      </c>
      <c r="AC68" t="n">
        <v>21.801548</v>
      </c>
      <c r="AD68" t="n">
        <v>22.344536</v>
      </c>
      <c r="AE68" t="n">
        <v>22.992262</v>
      </c>
      <c r="AF68" t="n">
        <v>23.643501</v>
      </c>
      <c r="AG68" s="31" t="n">
        <v>0.021</v>
      </c>
    </row>
    <row r="69">
      <c r="A69" t="inlineStr">
        <is>
          <t>Electricity</t>
        </is>
      </c>
      <c r="B69" t="inlineStr">
        <is>
          <t>Energy Prices: Nominal: Residential: Electricity: High Zero-Carbon Technology Cost</t>
        </is>
      </c>
      <c r="C69" t="inlineStr">
        <is>
          <t>AEO.2025.HIGHZTC.PRCE_NOM_RESD_NA_ELC_NA_NA_NDLRPMBTU.A</t>
        </is>
      </c>
      <c r="D69" t="inlineStr">
        <is>
          <t>nom $/MMBtu</t>
        </is>
      </c>
      <c r="F69" t="n">
        <v>45.553139</v>
      </c>
      <c r="G69" t="n">
        <v>45.946316</v>
      </c>
      <c r="H69" t="n">
        <v>44.147362</v>
      </c>
      <c r="I69" t="n">
        <v>42.68951</v>
      </c>
      <c r="J69" t="n">
        <v>43.199879</v>
      </c>
      <c r="K69" t="n">
        <v>44.394344</v>
      </c>
      <c r="L69" t="n">
        <v>45.759983</v>
      </c>
      <c r="M69" t="n">
        <v>47.469128</v>
      </c>
      <c r="N69" t="n">
        <v>49.123363</v>
      </c>
      <c r="O69" t="n">
        <v>51.20969</v>
      </c>
      <c r="P69" t="n">
        <v>52.775246</v>
      </c>
      <c r="Q69" t="n">
        <v>53.770809</v>
      </c>
      <c r="R69" t="n">
        <v>54.499828</v>
      </c>
      <c r="S69" t="n">
        <v>55.237061</v>
      </c>
      <c r="T69" t="n">
        <v>56.600323</v>
      </c>
      <c r="U69" t="n">
        <v>57.412365</v>
      </c>
      <c r="V69" t="n">
        <v>58.473801</v>
      </c>
      <c r="W69" t="n">
        <v>59.749023</v>
      </c>
      <c r="X69" t="n">
        <v>61.305805</v>
      </c>
      <c r="Y69" t="n">
        <v>62.927402</v>
      </c>
      <c r="Z69" t="n">
        <v>64.688965</v>
      </c>
      <c r="AA69" t="n">
        <v>66.450142</v>
      </c>
      <c r="AB69" t="n">
        <v>68.31420900000001</v>
      </c>
      <c r="AC69" t="n">
        <v>70.13958700000001</v>
      </c>
      <c r="AD69" t="n">
        <v>72.280113</v>
      </c>
      <c r="AE69" t="n">
        <v>74.430412</v>
      </c>
      <c r="AF69" t="n">
        <v>76.76372499999999</v>
      </c>
      <c r="AG69" s="31" t="n">
        <v>0.02</v>
      </c>
    </row>
    <row r="70">
      <c r="A70" t="inlineStr">
        <is>
          <t>Commercial</t>
        </is>
      </c>
    </row>
    <row r="71">
      <c r="A71" t="inlineStr">
        <is>
          <t>Propane</t>
        </is>
      </c>
      <c r="B71" t="inlineStr">
        <is>
          <t>Energy Prices: Nominal: Commercial: Propane: High Zero-Carbon Technology Cost</t>
        </is>
      </c>
      <c r="C71" t="inlineStr">
        <is>
          <t>AEO.2025.HIGHZTC.PRCE_NOM_COMM_NA_PROP_NA_NA_NDLRPMBTU.A</t>
        </is>
      </c>
      <c r="D71" t="inlineStr">
        <is>
          <t>nom $/MMBtu</t>
        </is>
      </c>
      <c r="F71" t="n">
        <v>19.0868</v>
      </c>
      <c r="G71" t="n">
        <v>19.462267</v>
      </c>
      <c r="H71" t="n">
        <v>20.722958</v>
      </c>
      <c r="I71" t="n">
        <v>20.896338</v>
      </c>
      <c r="J71" t="n">
        <v>21.415871</v>
      </c>
      <c r="K71" t="n">
        <v>22.126076</v>
      </c>
      <c r="L71" t="n">
        <v>23.186728</v>
      </c>
      <c r="M71" t="n">
        <v>24.181175</v>
      </c>
      <c r="N71" t="n">
        <v>25.599268</v>
      </c>
      <c r="O71" t="n">
        <v>27.285578</v>
      </c>
      <c r="P71" t="n">
        <v>28.679901</v>
      </c>
      <c r="Q71" t="n">
        <v>29.663061</v>
      </c>
      <c r="R71" t="n">
        <v>30.521715</v>
      </c>
      <c r="S71" t="n">
        <v>31.288752</v>
      </c>
      <c r="T71" t="n">
        <v>31.908875</v>
      </c>
      <c r="U71" t="n">
        <v>32.549953</v>
      </c>
      <c r="V71" t="n">
        <v>33.355064</v>
      </c>
      <c r="W71" t="n">
        <v>34.399128</v>
      </c>
      <c r="X71" t="n">
        <v>35.402992</v>
      </c>
      <c r="Y71" t="n">
        <v>36.654724</v>
      </c>
      <c r="Z71" t="n">
        <v>38.095921</v>
      </c>
      <c r="AA71" t="n">
        <v>39.159187</v>
      </c>
      <c r="AB71" t="n">
        <v>40.22176</v>
      </c>
      <c r="AC71" t="n">
        <v>41.14883</v>
      </c>
      <c r="AD71" t="n">
        <v>42.192711</v>
      </c>
      <c r="AE71" t="n">
        <v>43.574436</v>
      </c>
      <c r="AF71" t="n">
        <v>45.485512</v>
      </c>
      <c r="AG71" s="31" t="n">
        <v>0.034</v>
      </c>
    </row>
    <row r="72">
      <c r="A72" t="inlineStr">
        <is>
          <t>Distillate Fuel Oil</t>
        </is>
      </c>
      <c r="B72" t="inlineStr">
        <is>
          <t>Energy Prices: Nominal: Commercial: Distillate Fuel Oil: High Zero-Carbon Technology Cost</t>
        </is>
      </c>
      <c r="C72" t="inlineStr">
        <is>
          <t>AEO.2025.HIGHZTC.PRCE_NOM_COMM_NA_DFO_NA_NA_NDLRPMBTU.A</t>
        </is>
      </c>
      <c r="D72" t="inlineStr">
        <is>
          <t>nom $/MMBtu</t>
        </is>
      </c>
      <c r="F72" t="n">
        <v>26.207932</v>
      </c>
      <c r="G72" t="n">
        <v>25.213644</v>
      </c>
      <c r="H72" t="n">
        <v>24.45471</v>
      </c>
      <c r="I72" t="n">
        <v>24.329535</v>
      </c>
      <c r="J72" t="n">
        <v>24.463184</v>
      </c>
      <c r="K72" t="n">
        <v>24.622513</v>
      </c>
      <c r="L72" t="n">
        <v>24.858423</v>
      </c>
      <c r="M72" t="n">
        <v>25.421419</v>
      </c>
      <c r="N72" t="n">
        <v>25.819269</v>
      </c>
      <c r="O72" t="n">
        <v>26.75503</v>
      </c>
      <c r="P72" t="n">
        <v>27.480581</v>
      </c>
      <c r="Q72" t="n">
        <v>28.332861</v>
      </c>
      <c r="R72" t="n">
        <v>29.053051</v>
      </c>
      <c r="S72" t="n">
        <v>29.982716</v>
      </c>
      <c r="T72" t="n">
        <v>30.743277</v>
      </c>
      <c r="U72" t="n">
        <v>31.520094</v>
      </c>
      <c r="V72" t="n">
        <v>32.409874</v>
      </c>
      <c r="W72" t="n">
        <v>33.497684</v>
      </c>
      <c r="X72" t="n">
        <v>34.544827</v>
      </c>
      <c r="Y72" t="n">
        <v>35.746708</v>
      </c>
      <c r="Z72" t="n">
        <v>37.507889</v>
      </c>
      <c r="AA72" t="n">
        <v>38.209797</v>
      </c>
      <c r="AB72" t="n">
        <v>39.197243</v>
      </c>
      <c r="AC72" t="n">
        <v>40.01429</v>
      </c>
      <c r="AD72" t="n">
        <v>40.892246</v>
      </c>
      <c r="AE72" t="n">
        <v>41.893551</v>
      </c>
      <c r="AF72" t="n">
        <v>43.440746</v>
      </c>
      <c r="AG72" s="31" t="n">
        <v>0.02</v>
      </c>
    </row>
    <row r="73">
      <c r="A73" t="inlineStr">
        <is>
          <t>Residual Fuel Oil</t>
        </is>
      </c>
      <c r="B73" t="inlineStr">
        <is>
          <t>Energy Prices: Nominal: Commercial: Residual Fuel: High Zero-Carbon Technology Cost</t>
        </is>
      </c>
      <c r="C73" t="inlineStr">
        <is>
          <t>AEO.2025.HIGHZTC.PRCE_NOM_COMM_NA_RFL_NA_NA_NDLRPMBTU.A</t>
        </is>
      </c>
      <c r="D73" t="inlineStr">
        <is>
          <t>nom $/MMBtu</t>
        </is>
      </c>
      <c r="F73" t="n">
        <v>6.746078</v>
      </c>
      <c r="G73" t="n">
        <v>7.624751</v>
      </c>
      <c r="H73" t="n">
        <v>8.137149000000001</v>
      </c>
      <c r="I73" t="n">
        <v>9.318295000000001</v>
      </c>
      <c r="J73" t="n">
        <v>10.659361</v>
      </c>
      <c r="K73" t="n">
        <v>12.053771</v>
      </c>
      <c r="L73" t="n">
        <v>13.582099</v>
      </c>
      <c r="M73" t="n">
        <v>13.93248</v>
      </c>
      <c r="N73" t="n">
        <v>14.188656</v>
      </c>
      <c r="O73" t="n">
        <v>14.782047</v>
      </c>
      <c r="P73" t="n">
        <v>15.231493</v>
      </c>
      <c r="Q73" t="n">
        <v>15.7293</v>
      </c>
      <c r="R73" t="n">
        <v>16.150297</v>
      </c>
      <c r="S73" t="n">
        <v>16.639704</v>
      </c>
      <c r="T73" t="n">
        <v>17.12731</v>
      </c>
      <c r="U73" t="n">
        <v>17.50531</v>
      </c>
      <c r="V73" t="n">
        <v>18.038643</v>
      </c>
      <c r="W73" t="n">
        <v>18.587471</v>
      </c>
      <c r="X73" t="n">
        <v>19.175329</v>
      </c>
      <c r="Y73" t="n">
        <v>19.669559</v>
      </c>
      <c r="Z73" t="n">
        <v>20.001068</v>
      </c>
      <c r="AA73" t="n">
        <v>20.508837</v>
      </c>
      <c r="AB73" t="n">
        <v>21.422373</v>
      </c>
      <c r="AC73" t="n">
        <v>21.833618</v>
      </c>
      <c r="AD73" t="n">
        <v>22.393961</v>
      </c>
      <c r="AE73" t="n">
        <v>23.08009</v>
      </c>
      <c r="AF73" t="n">
        <v>24.547924</v>
      </c>
      <c r="AG73" s="31" t="n">
        <v>0.051</v>
      </c>
    </row>
    <row r="74">
      <c r="A74" t="inlineStr">
        <is>
          <t>Natural Gas</t>
        </is>
      </c>
      <c r="B74" t="inlineStr">
        <is>
          <t>Energy Prices: Nominal: Commercial: Natural Gas: High Zero-Carbon Technology Cost</t>
        </is>
      </c>
      <c r="C74" t="inlineStr">
        <is>
          <t>AEO.2025.HIGHZTC.PRCE_NOM_COMM_NA_NG_NA_NA_NDLRPMBTU.A</t>
        </is>
      </c>
      <c r="D74" t="inlineStr">
        <is>
          <t>nom $/MMBtu</t>
        </is>
      </c>
      <c r="F74" t="n">
        <v>9.555858000000001</v>
      </c>
      <c r="G74" t="n">
        <v>8.647205</v>
      </c>
      <c r="H74" t="n">
        <v>8.894887000000001</v>
      </c>
      <c r="I74" t="n">
        <v>8.982198</v>
      </c>
      <c r="J74" t="n">
        <v>9.238312000000001</v>
      </c>
      <c r="K74" t="n">
        <v>9.593985</v>
      </c>
      <c r="L74" t="n">
        <v>10.006991</v>
      </c>
      <c r="M74" t="n">
        <v>10.378997</v>
      </c>
      <c r="N74" t="n">
        <v>11.008718</v>
      </c>
      <c r="O74" t="n">
        <v>11.624795</v>
      </c>
      <c r="P74" t="n">
        <v>12.127806</v>
      </c>
      <c r="Q74" t="n">
        <v>12.511601</v>
      </c>
      <c r="R74" t="n">
        <v>12.748526</v>
      </c>
      <c r="S74" t="n">
        <v>12.961295</v>
      </c>
      <c r="T74" t="n">
        <v>13.166965</v>
      </c>
      <c r="U74" t="n">
        <v>13.32591</v>
      </c>
      <c r="V74" t="n">
        <v>13.605648</v>
      </c>
      <c r="W74" t="n">
        <v>14.017473</v>
      </c>
      <c r="X74" t="n">
        <v>14.422617</v>
      </c>
      <c r="Y74" t="n">
        <v>14.824856</v>
      </c>
      <c r="Z74" t="n">
        <v>15.191047</v>
      </c>
      <c r="AA74" t="n">
        <v>15.612323</v>
      </c>
      <c r="AB74" t="n">
        <v>16.065739</v>
      </c>
      <c r="AC74" t="n">
        <v>16.455938</v>
      </c>
      <c r="AD74" t="n">
        <v>16.838379</v>
      </c>
      <c r="AE74" t="n">
        <v>17.31855</v>
      </c>
      <c r="AF74" t="n">
        <v>17.797932</v>
      </c>
      <c r="AG74" s="31" t="n">
        <v>0.024</v>
      </c>
    </row>
    <row r="75">
      <c r="A75" t="inlineStr">
        <is>
          <t>Electricity</t>
        </is>
      </c>
      <c r="B75" t="inlineStr">
        <is>
          <t>Energy Prices: Nominal: Commercial: Electricity: High Zero-Carbon Technology Cost</t>
        </is>
      </c>
      <c r="C75" t="inlineStr">
        <is>
          <t>AEO.2025.HIGHZTC.PRCE_NOM_COMM_NA_ELC_NA_NA_NDLRPMBTU.A</t>
        </is>
      </c>
      <c r="D75" t="inlineStr">
        <is>
          <t>nom $/MMBtu</t>
        </is>
      </c>
      <c r="F75" t="n">
        <v>38.551605</v>
      </c>
      <c r="G75" t="n">
        <v>38.373066</v>
      </c>
      <c r="H75" t="n">
        <v>36.430439</v>
      </c>
      <c r="I75" t="n">
        <v>34.949959</v>
      </c>
      <c r="J75" t="n">
        <v>35.440617</v>
      </c>
      <c r="K75" t="n">
        <v>36.461376</v>
      </c>
      <c r="L75" t="n">
        <v>37.692257</v>
      </c>
      <c r="M75" t="n">
        <v>39.158566</v>
      </c>
      <c r="N75" t="n">
        <v>40.593861</v>
      </c>
      <c r="O75" t="n">
        <v>42.40168</v>
      </c>
      <c r="P75" t="n">
        <v>43.685726</v>
      </c>
      <c r="Q75" t="n">
        <v>44.42812</v>
      </c>
      <c r="R75" t="n">
        <v>44.932621</v>
      </c>
      <c r="S75" t="n">
        <v>45.491875</v>
      </c>
      <c r="T75" t="n">
        <v>46.729763</v>
      </c>
      <c r="U75" t="n">
        <v>47.292721</v>
      </c>
      <c r="V75" t="n">
        <v>48.106781</v>
      </c>
      <c r="W75" t="n">
        <v>49.142422</v>
      </c>
      <c r="X75" t="n">
        <v>50.434948</v>
      </c>
      <c r="Y75" t="n">
        <v>51.762238</v>
      </c>
      <c r="Z75" t="n">
        <v>53.199848</v>
      </c>
      <c r="AA75" t="n">
        <v>54.606941</v>
      </c>
      <c r="AB75" t="n">
        <v>56.062115</v>
      </c>
      <c r="AC75" t="n">
        <v>57.402596</v>
      </c>
      <c r="AD75" t="n">
        <v>59.100903</v>
      </c>
      <c r="AE75" t="n">
        <v>60.797062</v>
      </c>
      <c r="AF75" t="n">
        <v>62.602421</v>
      </c>
      <c r="AG75" s="31" t="n">
        <v>0.019</v>
      </c>
    </row>
    <row r="76">
      <c r="A76" t="inlineStr">
        <is>
          <t>Industrial</t>
        </is>
      </c>
    </row>
    <row r="77">
      <c r="A77" t="inlineStr">
        <is>
          <t>Propane</t>
        </is>
      </c>
      <c r="B77" t="inlineStr">
        <is>
          <t>Energy Prices: Nominal: Industrial: Propane: High Zero-Carbon Technology Cost</t>
        </is>
      </c>
      <c r="C77" t="inlineStr">
        <is>
          <t>AEO.2025.HIGHZTC.PRCE_NOM_IDAL_NA_PROP_NA_NA_NDLRPMBTU.A</t>
        </is>
      </c>
      <c r="D77" t="inlineStr">
        <is>
          <t>nom $/MMBtu</t>
        </is>
      </c>
      <c r="F77" t="n">
        <v>12.66026</v>
      </c>
      <c r="G77" t="n">
        <v>12.863893</v>
      </c>
      <c r="H77" t="n">
        <v>13.973295</v>
      </c>
      <c r="I77" t="n">
        <v>14.048564</v>
      </c>
      <c r="J77" t="n">
        <v>14.43579</v>
      </c>
      <c r="K77" t="n">
        <v>15.016267</v>
      </c>
      <c r="L77" t="n">
        <v>15.940687</v>
      </c>
      <c r="M77" t="n">
        <v>16.79492</v>
      </c>
      <c r="N77" t="n">
        <v>18.076534</v>
      </c>
      <c r="O77" t="n">
        <v>19.648006</v>
      </c>
      <c r="P77" t="n">
        <v>20.92911</v>
      </c>
      <c r="Q77" t="n">
        <v>21.779829</v>
      </c>
      <c r="R77" t="n">
        <v>22.498993</v>
      </c>
      <c r="S77" t="n">
        <v>23.113136</v>
      </c>
      <c r="T77" t="n">
        <v>23.563791</v>
      </c>
      <c r="U77" t="n">
        <v>24.032267</v>
      </c>
      <c r="V77" t="n">
        <v>24.667187</v>
      </c>
      <c r="W77" t="n">
        <v>25.551607</v>
      </c>
      <c r="X77" t="n">
        <v>26.38966</v>
      </c>
      <c r="Y77" t="n">
        <v>27.487337</v>
      </c>
      <c r="Z77" t="n">
        <v>28.789852</v>
      </c>
      <c r="AA77" t="n">
        <v>29.676821</v>
      </c>
      <c r="AB77" t="n">
        <v>30.551477</v>
      </c>
      <c r="AC77" t="n">
        <v>31.264862</v>
      </c>
      <c r="AD77" t="n">
        <v>32.095585</v>
      </c>
      <c r="AE77" t="n">
        <v>33.291042</v>
      </c>
      <c r="AF77" t="n">
        <v>35.07243</v>
      </c>
      <c r="AG77" s="31" t="n">
        <v>0.04</v>
      </c>
    </row>
    <row r="78">
      <c r="A78" t="inlineStr">
        <is>
          <t>Distillate Fuel Oil</t>
        </is>
      </c>
      <c r="B78" t="inlineStr">
        <is>
          <t>Energy Prices: Nominal: Industrial: Distillate Fuel Oil: High Zero-Carbon Technology Cost</t>
        </is>
      </c>
      <c r="C78" t="inlineStr">
        <is>
          <t>AEO.2025.HIGHZTC.PRCE_NOM_IDAL_NA_DFO_NA_NA_NDLRPMBTU.A</t>
        </is>
      </c>
      <c r="D78" t="inlineStr">
        <is>
          <t>nom $/MMBtu</t>
        </is>
      </c>
      <c r="F78" t="n">
        <v>26.091763</v>
      </c>
      <c r="G78" t="n">
        <v>25.104553</v>
      </c>
      <c r="H78" t="n">
        <v>24.31003</v>
      </c>
      <c r="I78" t="n">
        <v>24.150816</v>
      </c>
      <c r="J78" t="n">
        <v>24.251072</v>
      </c>
      <c r="K78" t="n">
        <v>24.374624</v>
      </c>
      <c r="L78" t="n">
        <v>24.563076</v>
      </c>
      <c r="M78" t="n">
        <v>25.124552</v>
      </c>
      <c r="N78" t="n">
        <v>25.502512</v>
      </c>
      <c r="O78" t="n">
        <v>26.454292</v>
      </c>
      <c r="P78" t="n">
        <v>27.189726</v>
      </c>
      <c r="Q78" t="n">
        <v>28.066748</v>
      </c>
      <c r="R78" t="n">
        <v>28.804398</v>
      </c>
      <c r="S78" t="n">
        <v>29.743267</v>
      </c>
      <c r="T78" t="n">
        <v>30.491646</v>
      </c>
      <c r="U78" t="n">
        <v>31.270138</v>
      </c>
      <c r="V78" t="n">
        <v>32.174793</v>
      </c>
      <c r="W78" t="n">
        <v>33.254627</v>
      </c>
      <c r="X78" t="n">
        <v>34.312599</v>
      </c>
      <c r="Y78" t="n">
        <v>35.515114</v>
      </c>
      <c r="Z78" t="n">
        <v>37.282944</v>
      </c>
      <c r="AA78" t="n">
        <v>37.979282</v>
      </c>
      <c r="AB78" t="n">
        <v>38.965359</v>
      </c>
      <c r="AC78" t="n">
        <v>39.780514</v>
      </c>
      <c r="AD78" t="n">
        <v>40.66153</v>
      </c>
      <c r="AE78" t="n">
        <v>41.649815</v>
      </c>
      <c r="AF78" t="n">
        <v>43.196087</v>
      </c>
      <c r="AG78" s="31" t="n">
        <v>0.02</v>
      </c>
    </row>
    <row r="79">
      <c r="A79" t="inlineStr">
        <is>
          <t>Residual Fuel Oil</t>
        </is>
      </c>
      <c r="B79" t="inlineStr">
        <is>
          <t>Energy Prices: Nominal: Industrial: Residual Fuel Oil: High Zero-Carbon Technology Cost</t>
        </is>
      </c>
      <c r="C79" t="inlineStr">
        <is>
          <t>AEO.2025.HIGHZTC.PRCE_NOM_IDAL_NA_RFO_NA_NA_NDLRPMBTU.A</t>
        </is>
      </c>
      <c r="D79" t="inlineStr">
        <is>
          <t>nom $/MMBtu</t>
        </is>
      </c>
      <c r="F79" t="n">
        <v>7.83466</v>
      </c>
      <c r="G79" t="n">
        <v>9.029342</v>
      </c>
      <c r="H79" t="n">
        <v>9.791278999999999</v>
      </c>
      <c r="I79" t="n">
        <v>11.21501</v>
      </c>
      <c r="J79" t="n">
        <v>12.772719</v>
      </c>
      <c r="K79" t="n">
        <v>14.460553</v>
      </c>
      <c r="L79" t="n">
        <v>16.301508</v>
      </c>
      <c r="M79" t="n">
        <v>16.756365</v>
      </c>
      <c r="N79" t="n">
        <v>17.084602</v>
      </c>
      <c r="O79" t="n">
        <v>17.806349</v>
      </c>
      <c r="P79" t="n">
        <v>18.351042</v>
      </c>
      <c r="Q79" t="n">
        <v>18.963621</v>
      </c>
      <c r="R79" t="n">
        <v>19.48053</v>
      </c>
      <c r="S79" t="n">
        <v>20.060932</v>
      </c>
      <c r="T79" t="n">
        <v>20.631222</v>
      </c>
      <c r="U79" t="n">
        <v>21.096069</v>
      </c>
      <c r="V79" t="n">
        <v>21.696745</v>
      </c>
      <c r="W79" t="n">
        <v>22.315178</v>
      </c>
      <c r="X79" t="n">
        <v>23.010378</v>
      </c>
      <c r="Y79" t="n">
        <v>23.606112</v>
      </c>
      <c r="Z79" t="n">
        <v>24.056906</v>
      </c>
      <c r="AA79" t="n">
        <v>24.588398</v>
      </c>
      <c r="AB79" t="n">
        <v>25.5982</v>
      </c>
      <c r="AC79" t="n">
        <v>26.115402</v>
      </c>
      <c r="AD79" t="n">
        <v>26.772156</v>
      </c>
      <c r="AE79" t="n">
        <v>27.564425</v>
      </c>
      <c r="AF79" t="n">
        <v>29.134497</v>
      </c>
      <c r="AG79" s="31" t="n">
        <v>0.052</v>
      </c>
    </row>
    <row r="80">
      <c r="A80" t="inlineStr">
        <is>
          <t>Natural Gas</t>
        </is>
      </c>
      <c r="B80" t="inlineStr">
        <is>
          <t>Energy Prices: Nominal: Industrial: Natural Gas: High Zero-Carbon Technology Cost</t>
        </is>
      </c>
      <c r="C80" t="inlineStr">
        <is>
          <t>AEO.2025.HIGHZTC.PRCE_NOM_IDAL_NA_NG_NA_NA_NDLRPMBTU.A</t>
        </is>
      </c>
      <c r="D80" t="inlineStr">
        <is>
          <t>nom $/MMBtu</t>
        </is>
      </c>
      <c r="F80" t="n">
        <v>3.33707</v>
      </c>
      <c r="G80" t="n">
        <v>4.092753</v>
      </c>
      <c r="H80" t="n">
        <v>4.059119</v>
      </c>
      <c r="I80" t="n">
        <v>4.000466</v>
      </c>
      <c r="J80" t="n">
        <v>4.160158</v>
      </c>
      <c r="K80" t="n">
        <v>4.399243</v>
      </c>
      <c r="L80" t="n">
        <v>4.716491</v>
      </c>
      <c r="M80" t="n">
        <v>4.995432</v>
      </c>
      <c r="N80" t="n">
        <v>5.614189</v>
      </c>
      <c r="O80" t="n">
        <v>6.151089</v>
      </c>
      <c r="P80" t="n">
        <v>6.571557</v>
      </c>
      <c r="Q80" t="n">
        <v>6.815947</v>
      </c>
      <c r="R80" t="n">
        <v>6.941227</v>
      </c>
      <c r="S80" t="n">
        <v>7.020285</v>
      </c>
      <c r="T80" t="n">
        <v>7.087222</v>
      </c>
      <c r="U80" t="n">
        <v>7.124869</v>
      </c>
      <c r="V80" t="n">
        <v>7.302329</v>
      </c>
      <c r="W80" t="n">
        <v>7.588699</v>
      </c>
      <c r="X80" t="n">
        <v>7.871264</v>
      </c>
      <c r="Y80" t="n">
        <v>8.153418</v>
      </c>
      <c r="Z80" t="n">
        <v>8.415148</v>
      </c>
      <c r="AA80" t="n">
        <v>8.679128</v>
      </c>
      <c r="AB80" t="n">
        <v>8.953509</v>
      </c>
      <c r="AC80" t="n">
        <v>9.165267999999999</v>
      </c>
      <c r="AD80" t="n">
        <v>9.397243</v>
      </c>
      <c r="AE80" t="n">
        <v>9.713953</v>
      </c>
      <c r="AF80" t="n">
        <v>10.048857</v>
      </c>
      <c r="AG80" s="31" t="n">
        <v>0.043</v>
      </c>
    </row>
    <row r="81">
      <c r="A81" t="inlineStr">
        <is>
          <t>Metallurgical Coal</t>
        </is>
      </c>
      <c r="B81" t="inlineStr">
        <is>
          <t>Energy Prices: Nominal: Industrial: Metallurgical Coal: High Zero-Carbon Technology Cost</t>
        </is>
      </c>
      <c r="C81" t="inlineStr">
        <is>
          <t>AEO.2025.HIGHZTC.PRCE_NOM_IDAL_NA_MTC_NA_NA_NDLRPMBTU.A</t>
        </is>
      </c>
      <c r="D81" t="inlineStr">
        <is>
          <t>nom $/MMBtu</t>
        </is>
      </c>
      <c r="F81" t="n">
        <v>7.767755</v>
      </c>
      <c r="G81" t="n">
        <v>7.796243</v>
      </c>
      <c r="H81" t="n">
        <v>7.871439</v>
      </c>
      <c r="I81" t="n">
        <v>7.97157</v>
      </c>
      <c r="J81" t="n">
        <v>8.085632</v>
      </c>
      <c r="K81" t="n">
        <v>8.221068000000001</v>
      </c>
      <c r="L81" t="n">
        <v>8.372914</v>
      </c>
      <c r="M81" t="n">
        <v>8.552305</v>
      </c>
      <c r="N81" t="n">
        <v>8.760009999999999</v>
      </c>
      <c r="O81" t="n">
        <v>8.951727999999999</v>
      </c>
      <c r="P81" t="n">
        <v>9.106216</v>
      </c>
      <c r="Q81" t="n">
        <v>9.326974999999999</v>
      </c>
      <c r="R81" t="n">
        <v>9.520159</v>
      </c>
      <c r="S81" t="n">
        <v>9.715213</v>
      </c>
      <c r="T81" t="n">
        <v>9.919881999999999</v>
      </c>
      <c r="U81" t="n">
        <v>10.098601</v>
      </c>
      <c r="V81" t="n">
        <v>10.307525</v>
      </c>
      <c r="W81" t="n">
        <v>10.486297</v>
      </c>
      <c r="X81" t="n">
        <v>10.70411</v>
      </c>
      <c r="Y81" t="n">
        <v>10.927295</v>
      </c>
      <c r="Z81" t="n">
        <v>11.176041</v>
      </c>
      <c r="AA81" t="n">
        <v>11.445536</v>
      </c>
      <c r="AB81" t="n">
        <v>11.694777</v>
      </c>
      <c r="AC81" t="n">
        <v>11.95179</v>
      </c>
      <c r="AD81" t="n">
        <v>12.221812</v>
      </c>
      <c r="AE81" t="n">
        <v>12.514791</v>
      </c>
      <c r="AF81" t="n">
        <v>12.798068</v>
      </c>
      <c r="AG81" s="31" t="n">
        <v>0.019</v>
      </c>
    </row>
    <row r="82">
      <c r="A82" t="inlineStr">
        <is>
          <t>Other Industrial Coal</t>
        </is>
      </c>
      <c r="B82" t="inlineStr">
        <is>
          <t>Energy Prices: Nominal: Industrial: Other Industrial Coal: High Zero-Carbon Technology Cost</t>
        </is>
      </c>
      <c r="C82" t="inlineStr">
        <is>
          <t>AEO.2025.HIGHZTC.PRCE_NOM_IDAL_NA_OIC_NA_NA_NDLRPMBTU.A</t>
        </is>
      </c>
      <c r="D82" t="inlineStr">
        <is>
          <t>nom $/MMBtu</t>
        </is>
      </c>
      <c r="F82" t="n">
        <v>3.572155</v>
      </c>
      <c r="G82" t="n">
        <v>3.698336</v>
      </c>
      <c r="H82" t="n">
        <v>3.755393</v>
      </c>
      <c r="I82" t="n">
        <v>3.800257</v>
      </c>
      <c r="J82" t="n">
        <v>3.839487</v>
      </c>
      <c r="K82" t="n">
        <v>3.894675</v>
      </c>
      <c r="L82" t="n">
        <v>3.939315</v>
      </c>
      <c r="M82" t="n">
        <v>3.980161</v>
      </c>
      <c r="N82" t="n">
        <v>4.025944</v>
      </c>
      <c r="O82" t="n">
        <v>4.108876</v>
      </c>
      <c r="P82" t="n">
        <v>4.178519</v>
      </c>
      <c r="Q82" t="n">
        <v>4.237221</v>
      </c>
      <c r="R82" t="n">
        <v>4.332891</v>
      </c>
      <c r="S82" t="n">
        <v>4.425549</v>
      </c>
      <c r="T82" t="n">
        <v>4.529464</v>
      </c>
      <c r="U82" t="n">
        <v>4.617622</v>
      </c>
      <c r="V82" t="n">
        <v>4.717606</v>
      </c>
      <c r="W82" t="n">
        <v>4.81023</v>
      </c>
      <c r="X82" t="n">
        <v>4.90497</v>
      </c>
      <c r="Y82" t="n">
        <v>5.017175</v>
      </c>
      <c r="Z82" t="n">
        <v>5.133989</v>
      </c>
      <c r="AA82" t="n">
        <v>5.260872</v>
      </c>
      <c r="AB82" t="n">
        <v>5.393869</v>
      </c>
      <c r="AC82" t="n">
        <v>5.523439</v>
      </c>
      <c r="AD82" t="n">
        <v>5.648167</v>
      </c>
      <c r="AE82" t="n">
        <v>5.779319</v>
      </c>
      <c r="AF82" t="n">
        <v>5.920915</v>
      </c>
      <c r="AG82" s="31" t="n">
        <v>0.02</v>
      </c>
    </row>
    <row r="83">
      <c r="A83" t="inlineStr">
        <is>
          <t>Hydrogen</t>
        </is>
      </c>
      <c r="B83" t="inlineStr">
        <is>
          <t>Energy Prices: Nominal: Industrial: Hydrogen: High Zero-Carbon Technology Cost</t>
        </is>
      </c>
      <c r="C83" t="inlineStr">
        <is>
          <t>AEO.2025.HIGHZTC.PRCE_NOM_IDAL_NA_HDG_NA_NA_NDLRPMBTU.A</t>
        </is>
      </c>
      <c r="D83" t="inlineStr">
        <is>
          <t>nom $/MMBtu</t>
        </is>
      </c>
      <c r="F83" t="n">
        <v>9.533875</v>
      </c>
      <c r="G83" t="n">
        <v>10.837247</v>
      </c>
      <c r="H83" t="n">
        <v>10.910973</v>
      </c>
      <c r="I83" t="n">
        <v>11.000694</v>
      </c>
      <c r="J83" t="n">
        <v>11.350653</v>
      </c>
      <c r="K83" t="n">
        <v>11.804646</v>
      </c>
      <c r="L83" t="n">
        <v>12.33646</v>
      </c>
      <c r="M83" t="n">
        <v>12.88052</v>
      </c>
      <c r="N83" t="n">
        <v>13.527663</v>
      </c>
      <c r="O83" t="n">
        <v>14.437382</v>
      </c>
      <c r="P83" t="n">
        <v>15.207238</v>
      </c>
      <c r="Q83" t="n">
        <v>15.714464</v>
      </c>
      <c r="R83" t="n">
        <v>15.976162</v>
      </c>
      <c r="S83" t="n">
        <v>16.201199</v>
      </c>
      <c r="T83" t="n">
        <v>16.814762</v>
      </c>
      <c r="U83" t="n">
        <v>17.255487</v>
      </c>
      <c r="V83" t="n">
        <v>17.601435</v>
      </c>
      <c r="W83" t="n">
        <v>17.801258</v>
      </c>
      <c r="X83" t="n">
        <v>18.058201</v>
      </c>
      <c r="Y83" t="n">
        <v>18.54907</v>
      </c>
      <c r="Z83" t="n">
        <v>19.218168</v>
      </c>
      <c r="AA83" t="n">
        <v>19.597013</v>
      </c>
      <c r="AB83" t="n">
        <v>20.066286</v>
      </c>
      <c r="AC83" t="n">
        <v>20.483709</v>
      </c>
      <c r="AD83" t="n">
        <v>21.006063</v>
      </c>
      <c r="AE83" t="n">
        <v>21.253933</v>
      </c>
      <c r="AF83" t="n">
        <v>21.909708</v>
      </c>
      <c r="AG83" s="31" t="n">
        <v>0.033</v>
      </c>
    </row>
    <row r="84">
      <c r="A84" t="inlineStr">
        <is>
          <t>Electricity</t>
        </is>
      </c>
      <c r="B84" t="inlineStr">
        <is>
          <t>Energy Prices: Nominal: Industrial: Electricity: High Zero-Carbon Technology Cost</t>
        </is>
      </c>
      <c r="C84" t="inlineStr">
        <is>
          <t>AEO.2025.HIGHZTC.PRCE_NOM_IDAL_NA_ELC_NA_NA_NDLRPMBTU.A</t>
        </is>
      </c>
      <c r="D84" t="inlineStr">
        <is>
          <t>nom $/MMBtu</t>
        </is>
      </c>
      <c r="F84" t="n">
        <v>26.507746</v>
      </c>
      <c r="G84" t="n">
        <v>26.453053</v>
      </c>
      <c r="H84" t="n">
        <v>24.42614</v>
      </c>
      <c r="I84" t="n">
        <v>23.377502</v>
      </c>
      <c r="J84" t="n">
        <v>23.65649</v>
      </c>
      <c r="K84" t="n">
        <v>24.427061</v>
      </c>
      <c r="L84" t="n">
        <v>25.361465</v>
      </c>
      <c r="M84" t="n">
        <v>26.565578</v>
      </c>
      <c r="N84" t="n">
        <v>27.891041</v>
      </c>
      <c r="O84" t="n">
        <v>29.39677</v>
      </c>
      <c r="P84" t="n">
        <v>30.297054</v>
      </c>
      <c r="Q84" t="n">
        <v>30.728235</v>
      </c>
      <c r="R84" t="n">
        <v>30.964788</v>
      </c>
      <c r="S84" t="n">
        <v>31.339684</v>
      </c>
      <c r="T84" t="n">
        <v>32.121273</v>
      </c>
      <c r="U84" t="n">
        <v>32.630165</v>
      </c>
      <c r="V84" t="n">
        <v>33.200687</v>
      </c>
      <c r="W84" t="n">
        <v>33.926659</v>
      </c>
      <c r="X84" t="n">
        <v>34.844383</v>
      </c>
      <c r="Y84" t="n">
        <v>35.767387</v>
      </c>
      <c r="Z84" t="n">
        <v>36.76469</v>
      </c>
      <c r="AA84" t="n">
        <v>37.748009</v>
      </c>
      <c r="AB84" t="n">
        <v>38.769558</v>
      </c>
      <c r="AC84" t="n">
        <v>39.806171</v>
      </c>
      <c r="AD84" t="n">
        <v>40.988098</v>
      </c>
      <c r="AE84" t="n">
        <v>42.221344</v>
      </c>
      <c r="AF84" t="n">
        <v>43.553734</v>
      </c>
      <c r="AG84" s="31" t="n">
        <v>0.019</v>
      </c>
    </row>
    <row r="85">
      <c r="A85" t="inlineStr">
        <is>
          <t>Transportation</t>
        </is>
      </c>
    </row>
    <row r="86">
      <c r="A86" t="inlineStr">
        <is>
          <t>Propane</t>
        </is>
      </c>
      <c r="B86" t="inlineStr">
        <is>
          <t>Energy Prices: Nominal: Transportation: Propane: High Zero-Carbon Technology Cost</t>
        </is>
      </c>
      <c r="C86" t="inlineStr">
        <is>
          <t>AEO.2025.HIGHZTC.PRCE_NOM_TRN_NA_PROP_NA_NA_NDLRPMBTU.A</t>
        </is>
      </c>
      <c r="D86" t="inlineStr">
        <is>
          <t>nom $/MMBtu</t>
        </is>
      </c>
      <c r="F86" t="n">
        <v>17.589245</v>
      </c>
      <c r="G86" t="n">
        <v>18.113504</v>
      </c>
      <c r="H86" t="n">
        <v>19.288139</v>
      </c>
      <c r="I86" t="n">
        <v>19.402617</v>
      </c>
      <c r="J86" t="n">
        <v>19.884892</v>
      </c>
      <c r="K86" t="n">
        <v>20.528612</v>
      </c>
      <c r="L86" t="n">
        <v>21.475201</v>
      </c>
      <c r="M86" t="n">
        <v>22.341841</v>
      </c>
      <c r="N86" t="n">
        <v>23.592443</v>
      </c>
      <c r="O86" t="n">
        <v>25.05793</v>
      </c>
      <c r="P86" t="n">
        <v>26.243191</v>
      </c>
      <c r="Q86" t="n">
        <v>27.078346</v>
      </c>
      <c r="R86" t="n">
        <v>27.828451</v>
      </c>
      <c r="S86" t="n">
        <v>28.507137</v>
      </c>
      <c r="T86" t="n">
        <v>29.06373</v>
      </c>
      <c r="U86" t="n">
        <v>29.6493</v>
      </c>
      <c r="V86" t="n">
        <v>30.380901</v>
      </c>
      <c r="W86" t="n">
        <v>31.31735</v>
      </c>
      <c r="X86" t="n">
        <v>32.205608</v>
      </c>
      <c r="Y86" t="n">
        <v>33.315407</v>
      </c>
      <c r="Z86" t="n">
        <v>34.580158</v>
      </c>
      <c r="AA86" t="n">
        <v>35.500401</v>
      </c>
      <c r="AB86" t="n">
        <v>36.442253</v>
      </c>
      <c r="AC86" t="n">
        <v>37.26936</v>
      </c>
      <c r="AD86" t="n">
        <v>38.210121</v>
      </c>
      <c r="AE86" t="n">
        <v>39.444866</v>
      </c>
      <c r="AF86" t="n">
        <v>41.127125</v>
      </c>
      <c r="AG86" s="31" t="n">
        <v>0.033</v>
      </c>
    </row>
    <row r="87">
      <c r="A87" t="inlineStr">
        <is>
          <t>E85</t>
        </is>
      </c>
      <c r="B87" t="inlineStr">
        <is>
          <t>Energy Prices: Nominal: Transportation: E85: High Zero-Carbon Technology Cost</t>
        </is>
      </c>
      <c r="C87" t="inlineStr">
        <is>
          <t>AEO.2025.HIGHZTC.PRCE_NOM_TRN_NA_E85_NA_NA_NDLRPMBTU.A</t>
        </is>
      </c>
      <c r="D87" t="inlineStr">
        <is>
          <t>nom $/MMBtu</t>
        </is>
      </c>
      <c r="F87" t="n">
        <v>28.823729</v>
      </c>
      <c r="G87" t="n">
        <v>29.528929</v>
      </c>
      <c r="H87" t="n">
        <v>31.362501</v>
      </c>
      <c r="I87" t="n">
        <v>31.520689</v>
      </c>
      <c r="J87" t="n">
        <v>31.560877</v>
      </c>
      <c r="K87" t="n">
        <v>31.091465</v>
      </c>
      <c r="L87" t="n">
        <v>31.677883</v>
      </c>
      <c r="M87" t="n">
        <v>32.462654</v>
      </c>
      <c r="N87" t="n">
        <v>32.887005</v>
      </c>
      <c r="O87" t="n">
        <v>33.282158</v>
      </c>
      <c r="P87" t="n">
        <v>33.961296</v>
      </c>
      <c r="Q87" t="n">
        <v>34.411186</v>
      </c>
      <c r="R87" t="n">
        <v>35.304825</v>
      </c>
      <c r="S87" t="n">
        <v>35.816044</v>
      </c>
      <c r="T87" t="n">
        <v>36.07196</v>
      </c>
      <c r="U87" t="n">
        <v>36.661804</v>
      </c>
      <c r="V87" t="n">
        <v>37.03791</v>
      </c>
      <c r="W87" t="n">
        <v>37.390469</v>
      </c>
      <c r="X87" t="n">
        <v>37.650631</v>
      </c>
      <c r="Y87" t="n">
        <v>38.484287</v>
      </c>
      <c r="Z87" t="n">
        <v>37.357738</v>
      </c>
      <c r="AA87" t="n">
        <v>37.673004</v>
      </c>
      <c r="AB87" t="n">
        <v>38.832993</v>
      </c>
      <c r="AC87" t="n">
        <v>39.919426</v>
      </c>
      <c r="AD87" t="n">
        <v>40.931694</v>
      </c>
      <c r="AE87" t="n">
        <v>42.123844</v>
      </c>
      <c r="AF87" t="n">
        <v>43.591473</v>
      </c>
      <c r="AG87" s="31" t="n">
        <v>0.016</v>
      </c>
    </row>
    <row r="88">
      <c r="A88" t="inlineStr">
        <is>
          <t>Motor Gasoline</t>
        </is>
      </c>
      <c r="B88" t="inlineStr">
        <is>
          <t>Energy Prices: Nominal: Transportation: Motor Gasoline: High Zero-Carbon Technology Cost</t>
        </is>
      </c>
      <c r="C88" t="inlineStr">
        <is>
          <t>AEO.2025.HIGHZTC.PRCE_NOM_TRN_NA_MGS_NA_NA_NDLRPMBTU.A</t>
        </is>
      </c>
      <c r="D88" t="inlineStr">
        <is>
          <t>nom $/MMBtu</t>
        </is>
      </c>
      <c r="F88" t="n">
        <v>28.679842</v>
      </c>
      <c r="G88" t="n">
        <v>27.649559</v>
      </c>
      <c r="H88" t="n">
        <v>26.447338</v>
      </c>
      <c r="I88" t="n">
        <v>26.363968</v>
      </c>
      <c r="J88" t="n">
        <v>26.575916</v>
      </c>
      <c r="K88" t="n">
        <v>26.740559</v>
      </c>
      <c r="L88" t="n">
        <v>27.284904</v>
      </c>
      <c r="M88" t="n">
        <v>27.857161</v>
      </c>
      <c r="N88" t="n">
        <v>28.241079</v>
      </c>
      <c r="O88" t="n">
        <v>28.688046</v>
      </c>
      <c r="P88" t="n">
        <v>29.259247</v>
      </c>
      <c r="Q88" t="n">
        <v>29.643103</v>
      </c>
      <c r="R88" t="n">
        <v>30.416477</v>
      </c>
      <c r="S88" t="n">
        <v>30.857229</v>
      </c>
      <c r="T88" t="n">
        <v>31.08515</v>
      </c>
      <c r="U88" t="n">
        <v>31.556293</v>
      </c>
      <c r="V88" t="n">
        <v>31.86388</v>
      </c>
      <c r="W88" t="n">
        <v>32.172955</v>
      </c>
      <c r="X88" t="n">
        <v>32.389519</v>
      </c>
      <c r="Y88" t="n">
        <v>33.129726</v>
      </c>
      <c r="Z88" t="n">
        <v>32.171364</v>
      </c>
      <c r="AA88" t="n">
        <v>32.448826</v>
      </c>
      <c r="AB88" t="n">
        <v>33.446316</v>
      </c>
      <c r="AC88" t="n">
        <v>34.377804</v>
      </c>
      <c r="AD88" t="n">
        <v>35.232975</v>
      </c>
      <c r="AE88" t="n">
        <v>36.242748</v>
      </c>
      <c r="AF88" t="n">
        <v>37.483807</v>
      </c>
      <c r="AG88" s="31" t="n">
        <v>0.01</v>
      </c>
    </row>
    <row r="89">
      <c r="A89" t="inlineStr">
        <is>
          <t>Jet Fuel</t>
        </is>
      </c>
      <c r="B89" t="inlineStr">
        <is>
          <t>Energy Prices: Nominal: Transportation: Jet Fuel: High Zero-Carbon Technology Cost</t>
        </is>
      </c>
      <c r="C89" t="inlineStr">
        <is>
          <t>AEO.2025.HIGHZTC.PRCE_NOM_TRN_NA_JFL_NA_NA_NDLRPMBTU.A</t>
        </is>
      </c>
      <c r="D89" t="inlineStr">
        <is>
          <t>nom $/MMBtu</t>
        </is>
      </c>
      <c r="F89" t="n">
        <v>17.638924</v>
      </c>
      <c r="G89" t="n">
        <v>16.730843</v>
      </c>
      <c r="H89" t="n">
        <v>16.808693</v>
      </c>
      <c r="I89" t="n">
        <v>17.490393</v>
      </c>
      <c r="J89" t="n">
        <v>18.456747</v>
      </c>
      <c r="K89" t="n">
        <v>19.450321</v>
      </c>
      <c r="L89" t="n">
        <v>20.549154</v>
      </c>
      <c r="M89" t="n">
        <v>21.10861</v>
      </c>
      <c r="N89" t="n">
        <v>21.421352</v>
      </c>
      <c r="O89" t="n">
        <v>22.26915</v>
      </c>
      <c r="P89" t="n">
        <v>22.921453</v>
      </c>
      <c r="Q89" t="n">
        <v>23.680696</v>
      </c>
      <c r="R89" t="n">
        <v>24.265625</v>
      </c>
      <c r="S89" t="n">
        <v>25.095047</v>
      </c>
      <c r="T89" t="n">
        <v>25.913126</v>
      </c>
      <c r="U89" t="n">
        <v>26.590034</v>
      </c>
      <c r="V89" t="n">
        <v>27.37747</v>
      </c>
      <c r="W89" t="n">
        <v>28.422379</v>
      </c>
      <c r="X89" t="n">
        <v>29.418961</v>
      </c>
      <c r="Y89" t="n">
        <v>30.607809</v>
      </c>
      <c r="Z89" t="n">
        <v>32.390099</v>
      </c>
      <c r="AA89" t="n">
        <v>33.059135</v>
      </c>
      <c r="AB89" t="n">
        <v>33.981655</v>
      </c>
      <c r="AC89" t="n">
        <v>34.762341</v>
      </c>
      <c r="AD89" t="n">
        <v>35.556072</v>
      </c>
      <c r="AE89" t="n">
        <v>36.506386</v>
      </c>
      <c r="AF89" t="n">
        <v>38.042904</v>
      </c>
      <c r="AG89" s="31" t="n">
        <v>0.03</v>
      </c>
    </row>
    <row r="90">
      <c r="A90" t="inlineStr">
        <is>
          <t>Diesel Fuel (distillate fuel oil)</t>
        </is>
      </c>
      <c r="B90" t="inlineStr">
        <is>
          <t>Energy Prices: Nominal: Transportation: Diesel Fuel: High Zero-Carbon Technology Cost</t>
        </is>
      </c>
      <c r="C90" t="inlineStr">
        <is>
          <t>AEO.2025.HIGHZTC.PRCE_NOM_TRN_NA_DFU_NA_NA_NDLRPMBTU.A</t>
        </is>
      </c>
      <c r="D90" t="inlineStr">
        <is>
          <t>nom $/MMBtu</t>
        </is>
      </c>
      <c r="F90" t="n">
        <v>27.283649</v>
      </c>
      <c r="G90" t="n">
        <v>26.115433</v>
      </c>
      <c r="H90" t="n">
        <v>25.960787</v>
      </c>
      <c r="I90" t="n">
        <v>26.409092</v>
      </c>
      <c r="J90" t="n">
        <v>27.145966</v>
      </c>
      <c r="K90" t="n">
        <v>27.88415</v>
      </c>
      <c r="L90" t="n">
        <v>28.804071</v>
      </c>
      <c r="M90" t="n">
        <v>29.447966</v>
      </c>
      <c r="N90" t="n">
        <v>29.907007</v>
      </c>
      <c r="O90" t="n">
        <v>31.000999</v>
      </c>
      <c r="P90" t="n">
        <v>31.835327</v>
      </c>
      <c r="Q90" t="n">
        <v>32.823837</v>
      </c>
      <c r="R90" t="n">
        <v>33.706982</v>
      </c>
      <c r="S90" t="n">
        <v>34.75103</v>
      </c>
      <c r="T90" t="n">
        <v>35.600651</v>
      </c>
      <c r="U90" t="n">
        <v>36.515694</v>
      </c>
      <c r="V90" t="n">
        <v>37.492653</v>
      </c>
      <c r="W90" t="n">
        <v>38.73037</v>
      </c>
      <c r="X90" t="n">
        <v>39.902431</v>
      </c>
      <c r="Y90" t="n">
        <v>41.264984</v>
      </c>
      <c r="Z90" t="n">
        <v>43.238216</v>
      </c>
      <c r="AA90" t="n">
        <v>44.208622</v>
      </c>
      <c r="AB90" t="n">
        <v>45.142673</v>
      </c>
      <c r="AC90" t="n">
        <v>45.975689</v>
      </c>
      <c r="AD90" t="n">
        <v>47.109848</v>
      </c>
      <c r="AE90" t="n">
        <v>48.095074</v>
      </c>
      <c r="AF90" t="n">
        <v>49.921055</v>
      </c>
      <c r="AG90" s="31" t="n">
        <v>0.024</v>
      </c>
    </row>
    <row r="91">
      <c r="A91" t="inlineStr">
        <is>
          <t>Residual Fuel Oil</t>
        </is>
      </c>
      <c r="B91" t="inlineStr">
        <is>
          <t>Energy Prices: Nominal: Transportation: Residual Fuel Oil: High Zero-Carbon Technology Cost</t>
        </is>
      </c>
      <c r="C91" t="inlineStr">
        <is>
          <t>AEO.2025.HIGHZTC.PRCE_NOM_TRN_NA_RFO_NA_NA_NDLRPMBTU.A</t>
        </is>
      </c>
      <c r="D91" t="inlineStr">
        <is>
          <t>nom $/MMBtu</t>
        </is>
      </c>
      <c r="F91" t="n">
        <v>13.401297</v>
      </c>
      <c r="G91" t="n">
        <v>12.08642</v>
      </c>
      <c r="H91" t="n">
        <v>13.143271</v>
      </c>
      <c r="I91" t="n">
        <v>13.269609</v>
      </c>
      <c r="J91" t="n">
        <v>13.44949</v>
      </c>
      <c r="K91" t="n">
        <v>13.681735</v>
      </c>
      <c r="L91" t="n">
        <v>13.963659</v>
      </c>
      <c r="M91" t="n">
        <v>14.334046</v>
      </c>
      <c r="N91" t="n">
        <v>14.58601</v>
      </c>
      <c r="O91" t="n">
        <v>15.138056</v>
      </c>
      <c r="P91" t="n">
        <v>15.579436</v>
      </c>
      <c r="Q91" t="n">
        <v>16.071001</v>
      </c>
      <c r="R91" t="n">
        <v>16.472446</v>
      </c>
      <c r="S91" t="n">
        <v>16.93008</v>
      </c>
      <c r="T91" t="n">
        <v>17.407122</v>
      </c>
      <c r="U91" t="n">
        <v>17.802528</v>
      </c>
      <c r="V91" t="n">
        <v>18.289398</v>
      </c>
      <c r="W91" t="n">
        <v>18.827923</v>
      </c>
      <c r="X91" t="n">
        <v>19.382305</v>
      </c>
      <c r="Y91" t="n">
        <v>19.961056</v>
      </c>
      <c r="Z91" t="n">
        <v>20.45513</v>
      </c>
      <c r="AA91" t="n">
        <v>20.639217</v>
      </c>
      <c r="AB91" t="n">
        <v>21.468082</v>
      </c>
      <c r="AC91" t="n">
        <v>21.92396</v>
      </c>
      <c r="AD91" t="n">
        <v>22.452873</v>
      </c>
      <c r="AE91" t="n">
        <v>23.112991</v>
      </c>
      <c r="AF91" t="n">
        <v>24.391928</v>
      </c>
      <c r="AG91" s="31" t="n">
        <v>0.023</v>
      </c>
    </row>
    <row r="92">
      <c r="A92" t="inlineStr">
        <is>
          <t>Natural Gas</t>
        </is>
      </c>
      <c r="B92" t="inlineStr">
        <is>
          <t>Energy Prices: Nominal: Transportation: Natural Gas: High Zero-Carbon Technology Cost</t>
        </is>
      </c>
      <c r="C92" t="inlineStr">
        <is>
          <t>AEO.2025.HIGHZTC.PRCE_NOM_TRN_NA_NG_NA_NA_NDLRPMBTU.A</t>
        </is>
      </c>
      <c r="D92" t="inlineStr">
        <is>
          <t>nom $/MMBtu</t>
        </is>
      </c>
      <c r="F92" t="n">
        <v>14.514303</v>
      </c>
      <c r="G92" t="n">
        <v>15.353681</v>
      </c>
      <c r="H92" t="n">
        <v>15.54298</v>
      </c>
      <c r="I92" t="n">
        <v>15.676928</v>
      </c>
      <c r="J92" t="n">
        <v>16.027996</v>
      </c>
      <c r="K92" t="n">
        <v>16.458422</v>
      </c>
      <c r="L92" t="n">
        <v>16.930372</v>
      </c>
      <c r="M92" t="n">
        <v>17.408998</v>
      </c>
      <c r="N92" t="n">
        <v>18.207653</v>
      </c>
      <c r="O92" t="n">
        <v>18.887894</v>
      </c>
      <c r="P92" t="n">
        <v>19.448368</v>
      </c>
      <c r="Q92" t="n">
        <v>19.869696</v>
      </c>
      <c r="R92" t="n">
        <v>20.144455</v>
      </c>
      <c r="S92" t="n">
        <v>20.387754</v>
      </c>
      <c r="T92" t="n">
        <v>20.653177</v>
      </c>
      <c r="U92" t="n">
        <v>20.842625</v>
      </c>
      <c r="V92" t="n">
        <v>21.180105</v>
      </c>
      <c r="W92" t="n">
        <v>21.65204</v>
      </c>
      <c r="X92" t="n">
        <v>22.116915</v>
      </c>
      <c r="Y92" t="n">
        <v>22.599672</v>
      </c>
      <c r="Z92" t="n">
        <v>23.054102</v>
      </c>
      <c r="AA92" t="n">
        <v>23.532368</v>
      </c>
      <c r="AB92" t="n">
        <v>24.045355</v>
      </c>
      <c r="AC92" t="n">
        <v>24.47493</v>
      </c>
      <c r="AD92" t="n">
        <v>24.923931</v>
      </c>
      <c r="AE92" t="n">
        <v>25.479113</v>
      </c>
      <c r="AF92" t="n">
        <v>26.036837</v>
      </c>
      <c r="AG92" s="31" t="n">
        <v>0.023</v>
      </c>
    </row>
    <row r="93">
      <c r="A93" t="inlineStr">
        <is>
          <t>Electricity</t>
        </is>
      </c>
      <c r="B93" t="inlineStr">
        <is>
          <t>Energy Prices: Nominal: Transportation: Electricity: High Zero-Carbon Technology Cost</t>
        </is>
      </c>
      <c r="C93" t="inlineStr">
        <is>
          <t>AEO.2025.HIGHZTC.PRCE_NOM_TRN_NA_ELC_NA_NA_NDLRPMBTU.A</t>
        </is>
      </c>
      <c r="D93" t="inlineStr">
        <is>
          <t>nom $/MMBtu</t>
        </is>
      </c>
      <c r="F93" t="n">
        <v>42.609589</v>
      </c>
      <c r="G93" t="n">
        <v>43.132473</v>
      </c>
      <c r="H93" t="n">
        <v>41.167706</v>
      </c>
      <c r="I93" t="n">
        <v>38.740616</v>
      </c>
      <c r="J93" t="n">
        <v>39.278465</v>
      </c>
      <c r="K93" t="n">
        <v>40.285549</v>
      </c>
      <c r="L93" t="n">
        <v>41.567707</v>
      </c>
      <c r="M93" t="n">
        <v>43.305412</v>
      </c>
      <c r="N93" t="n">
        <v>44.980736</v>
      </c>
      <c r="O93" t="n">
        <v>47.198868</v>
      </c>
      <c r="P93" t="n">
        <v>48.686226</v>
      </c>
      <c r="Q93" t="n">
        <v>49.814907</v>
      </c>
      <c r="R93" t="n">
        <v>50.725761</v>
      </c>
      <c r="S93" t="n">
        <v>51.426571</v>
      </c>
      <c r="T93" t="n">
        <v>52.990257</v>
      </c>
      <c r="U93" t="n">
        <v>53.319035</v>
      </c>
      <c r="V93" t="n">
        <v>54.038769</v>
      </c>
      <c r="W93" t="n">
        <v>55.149055</v>
      </c>
      <c r="X93" t="n">
        <v>56.83358</v>
      </c>
      <c r="Y93" t="n">
        <v>58.384079</v>
      </c>
      <c r="Z93" t="n">
        <v>60.2169</v>
      </c>
      <c r="AA93" t="n">
        <v>61.84684</v>
      </c>
      <c r="AB93" t="n">
        <v>63.485474</v>
      </c>
      <c r="AC93" t="n">
        <v>64.850441</v>
      </c>
      <c r="AD93" t="n">
        <v>67.204674</v>
      </c>
      <c r="AE93" t="n">
        <v>69.17332500000001</v>
      </c>
      <c r="AF93" t="n">
        <v>71.287987</v>
      </c>
      <c r="AG93" s="31" t="n">
        <v>0.02</v>
      </c>
    </row>
    <row r="94">
      <c r="A94" t="inlineStr">
        <is>
          <t>Electric Power</t>
        </is>
      </c>
    </row>
    <row r="95">
      <c r="A95" t="inlineStr">
        <is>
          <t>Distillate Fuel Oil</t>
        </is>
      </c>
      <c r="B95" t="inlineStr">
        <is>
          <t>Energy Prices: Nominal: Electric Power: Distillate Fuel Oil: High Zero-Carbon Technology Cost</t>
        </is>
      </c>
      <c r="C95" t="inlineStr">
        <is>
          <t>AEO.2025.HIGHZTC.PRCE_NOM_ELEP_NA_DFO_NA_NA_NDLRPMBTU.A</t>
        </is>
      </c>
      <c r="D95" t="inlineStr">
        <is>
          <t>nom $/MMBtu</t>
        </is>
      </c>
      <c r="F95" t="n">
        <v>26.137505</v>
      </c>
      <c r="G95" t="n">
        <v>25.158468</v>
      </c>
      <c r="H95" t="n">
        <v>24.349579</v>
      </c>
      <c r="I95" t="n">
        <v>24.243881</v>
      </c>
      <c r="J95" t="n">
        <v>24.290323</v>
      </c>
      <c r="K95" t="n">
        <v>24.449207</v>
      </c>
      <c r="L95" t="n">
        <v>24.764141</v>
      </c>
      <c r="M95" t="n">
        <v>25.211271</v>
      </c>
      <c r="N95" t="n">
        <v>26.411995</v>
      </c>
      <c r="O95" t="n">
        <v>27.32086</v>
      </c>
      <c r="P95" t="n">
        <v>28.020191</v>
      </c>
      <c r="Q95" t="n">
        <v>28.843813</v>
      </c>
      <c r="R95" t="n">
        <v>29.480864</v>
      </c>
      <c r="S95" t="n">
        <v>30.405664</v>
      </c>
      <c r="T95" t="n">
        <v>31.232695</v>
      </c>
      <c r="U95" t="n">
        <v>31.98801</v>
      </c>
      <c r="V95" t="n">
        <v>32.844948</v>
      </c>
      <c r="W95" t="n">
        <v>33.953346</v>
      </c>
      <c r="X95" t="n">
        <v>35.011749</v>
      </c>
      <c r="Y95" t="n">
        <v>36.227688</v>
      </c>
      <c r="Z95" t="n">
        <v>37.848587</v>
      </c>
      <c r="AA95" t="n">
        <v>38.540752</v>
      </c>
      <c r="AB95" t="n">
        <v>39.687569</v>
      </c>
      <c r="AC95" t="n">
        <v>40.546864</v>
      </c>
      <c r="AD95" t="n">
        <v>41.432865</v>
      </c>
      <c r="AE95" t="n">
        <v>42.511791</v>
      </c>
      <c r="AF95" t="n">
        <v>44.099937</v>
      </c>
      <c r="AG95" s="31" t="n">
        <v>0.02</v>
      </c>
    </row>
    <row r="96">
      <c r="A96" t="inlineStr">
        <is>
          <t>Residual Fuel Oil</t>
        </is>
      </c>
      <c r="B96" t="inlineStr">
        <is>
          <t>Energy Prices: Nominal: Electric Power: Residual Fuel Oil: High Zero-Carbon Technology Cost</t>
        </is>
      </c>
      <c r="C96" t="inlineStr">
        <is>
          <t>AEO.2025.HIGHZTC.PRCE_NOM_ELEP_NA_RFO_NA_NA_NDLRPMBTU.A</t>
        </is>
      </c>
      <c r="D96" t="inlineStr">
        <is>
          <t>nom $/MMBtu</t>
        </is>
      </c>
      <c r="F96" t="n">
        <v>17.394409</v>
      </c>
      <c r="G96" t="n">
        <v>13.952579</v>
      </c>
      <c r="H96" t="n">
        <v>14.129054</v>
      </c>
      <c r="I96" t="n">
        <v>15.084783</v>
      </c>
      <c r="J96" t="n">
        <v>16.160213</v>
      </c>
      <c r="K96" t="n">
        <v>17.238125</v>
      </c>
      <c r="L96" t="n">
        <v>18.366262</v>
      </c>
      <c r="M96" t="n">
        <v>18.919966</v>
      </c>
      <c r="N96" t="n">
        <v>19.218084</v>
      </c>
      <c r="O96" t="n">
        <v>19.9196</v>
      </c>
      <c r="P96" t="n">
        <v>20.531452</v>
      </c>
      <c r="Q96" t="n">
        <v>21.200205</v>
      </c>
      <c r="R96" t="n">
        <v>21.727137</v>
      </c>
      <c r="S96" t="n">
        <v>22.323874</v>
      </c>
      <c r="T96" t="n">
        <v>22.959166</v>
      </c>
      <c r="U96" t="n">
        <v>23.445345</v>
      </c>
      <c r="V96" t="n">
        <v>24.05047</v>
      </c>
      <c r="W96" t="n">
        <v>24.648952</v>
      </c>
      <c r="X96" t="n">
        <v>25.158894</v>
      </c>
      <c r="Y96" t="n">
        <v>25.788282</v>
      </c>
      <c r="Z96" t="n">
        <v>26.238935</v>
      </c>
      <c r="AA96" t="n">
        <v>25.865458</v>
      </c>
      <c r="AB96" t="n">
        <v>26.939405</v>
      </c>
      <c r="AC96" t="n">
        <v>27.569456</v>
      </c>
      <c r="AD96" t="n">
        <v>28.261061</v>
      </c>
      <c r="AE96" t="n">
        <v>29.120207</v>
      </c>
      <c r="AF96" t="n">
        <v>30.707489</v>
      </c>
      <c r="AG96" s="31" t="n">
        <v>0.022</v>
      </c>
    </row>
    <row r="97">
      <c r="A97" t="inlineStr">
        <is>
          <t>Natural Gas</t>
        </is>
      </c>
      <c r="B97" t="inlineStr">
        <is>
          <t>Energy Prices: Nominal: Electric Power: Natural Gas: High Zero-Carbon Technology Cost</t>
        </is>
      </c>
      <c r="C97" t="inlineStr">
        <is>
          <t>AEO.2025.HIGHZTC.PRCE_NOM_ELEP_NA_NG_NA_NA_NDLRPMBTU.A</t>
        </is>
      </c>
      <c r="D97" t="inlineStr">
        <is>
          <t>nom $/MMBtu</t>
        </is>
      </c>
      <c r="F97" t="n">
        <v>2.719399</v>
      </c>
      <c r="G97" t="n">
        <v>3.195652</v>
      </c>
      <c r="H97" t="n">
        <v>3.184279</v>
      </c>
      <c r="I97" t="n">
        <v>3.161742</v>
      </c>
      <c r="J97" t="n">
        <v>3.360756</v>
      </c>
      <c r="K97" t="n">
        <v>3.641106</v>
      </c>
      <c r="L97" t="n">
        <v>4.017598</v>
      </c>
      <c r="M97" t="n">
        <v>4.205285</v>
      </c>
      <c r="N97" t="n">
        <v>4.878047</v>
      </c>
      <c r="O97" t="n">
        <v>5.354023</v>
      </c>
      <c r="P97" t="n">
        <v>5.728351</v>
      </c>
      <c r="Q97" t="n">
        <v>5.941702</v>
      </c>
      <c r="R97" t="n">
        <v>6.058687</v>
      </c>
      <c r="S97" t="n">
        <v>6.139751</v>
      </c>
      <c r="T97" t="n">
        <v>6.222767</v>
      </c>
      <c r="U97" t="n">
        <v>6.276008</v>
      </c>
      <c r="V97" t="n">
        <v>6.450063</v>
      </c>
      <c r="W97" t="n">
        <v>6.698177</v>
      </c>
      <c r="X97" t="n">
        <v>6.94699</v>
      </c>
      <c r="Y97" t="n">
        <v>7.227041</v>
      </c>
      <c r="Z97" t="n">
        <v>7.51471</v>
      </c>
      <c r="AA97" t="n">
        <v>7.75071</v>
      </c>
      <c r="AB97" t="n">
        <v>8.012893</v>
      </c>
      <c r="AC97" t="n">
        <v>8.207800000000001</v>
      </c>
      <c r="AD97" t="n">
        <v>8.43215</v>
      </c>
      <c r="AE97" t="n">
        <v>8.742098</v>
      </c>
      <c r="AF97" t="n">
        <v>9.07992</v>
      </c>
      <c r="AG97" s="31" t="n">
        <v>0.047</v>
      </c>
    </row>
    <row r="98">
      <c r="A98" t="inlineStr">
        <is>
          <t>Steam Coal</t>
        </is>
      </c>
      <c r="B98" t="inlineStr">
        <is>
          <t>Energy Prices: Nominal: Electric Power: Steam Coal: High Zero-Carbon Technology Cost</t>
        </is>
      </c>
      <c r="C98" t="inlineStr">
        <is>
          <t>AEO.2025.HIGHZTC.PRCE_NOM_ELEP_NA_STC_NA_NA_NDLRPMBTU.A</t>
        </is>
      </c>
      <c r="D98" t="inlineStr">
        <is>
          <t>nom $/MMBtu</t>
        </is>
      </c>
      <c r="F98" t="n">
        <v>2.489397</v>
      </c>
      <c r="G98" t="n">
        <v>2.477139</v>
      </c>
      <c r="H98" t="n">
        <v>2.465143</v>
      </c>
      <c r="I98" t="n">
        <v>2.45433</v>
      </c>
      <c r="J98" t="n">
        <v>2.393669</v>
      </c>
      <c r="K98" t="n">
        <v>2.436637</v>
      </c>
      <c r="L98" t="n">
        <v>2.506002</v>
      </c>
      <c r="M98" t="n">
        <v>2.523748</v>
      </c>
      <c r="N98" t="n">
        <v>2.497636</v>
      </c>
      <c r="O98" t="n">
        <v>2.557025</v>
      </c>
      <c r="P98" t="n">
        <v>2.597243</v>
      </c>
      <c r="Q98" t="n">
        <v>2.637013</v>
      </c>
      <c r="R98" t="n">
        <v>2.691709</v>
      </c>
      <c r="S98" t="n">
        <v>2.787691</v>
      </c>
      <c r="T98" t="n">
        <v>2.840207</v>
      </c>
      <c r="U98" t="n">
        <v>2.981519</v>
      </c>
      <c r="V98" t="n">
        <v>3.039955</v>
      </c>
      <c r="W98" t="n">
        <v>3.100967</v>
      </c>
      <c r="X98" t="n">
        <v>3.165769</v>
      </c>
      <c r="Y98" t="n">
        <v>3.236343</v>
      </c>
      <c r="Z98" t="n">
        <v>3.307455</v>
      </c>
      <c r="AA98" t="n">
        <v>3.364176</v>
      </c>
      <c r="AB98" t="n">
        <v>2.956725</v>
      </c>
      <c r="AC98" t="n">
        <v>3.488788</v>
      </c>
      <c r="AD98" t="n">
        <v>3.567891</v>
      </c>
      <c r="AE98" t="n">
        <v>3.678514</v>
      </c>
      <c r="AF98" t="n">
        <v>3.757201</v>
      </c>
      <c r="AG98" s="31" t="n">
        <v>0.016</v>
      </c>
    </row>
    <row r="99">
      <c r="A99" t="inlineStr">
        <is>
          <t>Uranium</t>
        </is>
      </c>
      <c r="B99" t="inlineStr">
        <is>
          <t>Energy Prices: Nominal: Electric Power: Uranium: High Zero-Carbon Technology Cost</t>
        </is>
      </c>
      <c r="C99" t="inlineStr">
        <is>
          <t>AEO.2025.HIGHZTC.PRCE_NOM_ELEP_NA_U_NA_NA_NDLRPMBTU.A</t>
        </is>
      </c>
      <c r="D99" t="inlineStr">
        <is>
          <t>nom $/MMBtu</t>
        </is>
      </c>
      <c r="F99" t="n">
        <v>0.753328</v>
      </c>
      <c r="G99" t="n">
        <v>0.768692</v>
      </c>
      <c r="H99" t="n">
        <v>0.781614</v>
      </c>
      <c r="I99" t="n">
        <v>0.794625</v>
      </c>
      <c r="J99" t="n">
        <v>0.809598</v>
      </c>
      <c r="K99" t="n">
        <v>0.823964</v>
      </c>
      <c r="L99" t="n">
        <v>0.839376</v>
      </c>
      <c r="M99" t="n">
        <v>0.856646</v>
      </c>
      <c r="N99" t="n">
        <v>0.874855</v>
      </c>
      <c r="O99" t="n">
        <v>0.893975</v>
      </c>
      <c r="P99" t="n">
        <v>0.9138309999999999</v>
      </c>
      <c r="Q99" t="n">
        <v>0.9336370000000001</v>
      </c>
      <c r="R99" t="n">
        <v>0.952895</v>
      </c>
      <c r="S99" t="n">
        <v>0.972646</v>
      </c>
      <c r="T99" t="n">
        <v>0.992824</v>
      </c>
      <c r="U99" t="n">
        <v>1.01317</v>
      </c>
      <c r="V99" t="n">
        <v>1.034323</v>
      </c>
      <c r="W99" t="n">
        <v>1.056301</v>
      </c>
      <c r="X99" t="n">
        <v>1.078981</v>
      </c>
      <c r="Y99" t="n">
        <v>1.102537</v>
      </c>
      <c r="Z99" t="n">
        <v>1.126784</v>
      </c>
      <c r="AA99" t="n">
        <v>1.151784</v>
      </c>
      <c r="AB99" t="n">
        <v>1.177392</v>
      </c>
      <c r="AC99" t="n">
        <v>1.203954</v>
      </c>
      <c r="AD99" t="n">
        <v>1.231253</v>
      </c>
      <c r="AE99" t="n">
        <v>1.259292</v>
      </c>
      <c r="AF99" t="n">
        <v>1.288084</v>
      </c>
      <c r="AG99" s="31" t="n">
        <v>0.021</v>
      </c>
    </row>
    <row r="100">
      <c r="A100" t="inlineStr">
        <is>
          <t>Hydrogen</t>
        </is>
      </c>
      <c r="B100" t="inlineStr">
        <is>
          <t>Energy Prices: Nominal: Electric Power: Uranium: High Zero-Carbon Technology Cost</t>
        </is>
      </c>
      <c r="C100" t="inlineStr">
        <is>
          <t>AEO.2025.HIGHZTC.NA_NOM_ELEP_NA_HDG_NA_NA_NDLRPMBTU.A</t>
        </is>
      </c>
      <c r="D100" t="inlineStr">
        <is>
          <t>nom $/MMBtu</t>
        </is>
      </c>
      <c r="F100" t="n">
        <v>9.533875</v>
      </c>
      <c r="G100" t="n">
        <v>10.837247</v>
      </c>
      <c r="H100" t="n">
        <v>10.910973</v>
      </c>
      <c r="I100" t="n">
        <v>11.000694</v>
      </c>
      <c r="J100" t="n">
        <v>11.350653</v>
      </c>
      <c r="K100" t="n">
        <v>11.804646</v>
      </c>
      <c r="L100" t="n">
        <v>12.33646</v>
      </c>
      <c r="M100" t="n">
        <v>12.88052</v>
      </c>
      <c r="N100" t="n">
        <v>15.711172</v>
      </c>
      <c r="O100" t="n">
        <v>16.592278</v>
      </c>
      <c r="P100" t="n">
        <v>17.379936</v>
      </c>
      <c r="Q100" t="n">
        <v>15.714464</v>
      </c>
      <c r="R100" t="n">
        <v>15.976162</v>
      </c>
      <c r="S100" t="n">
        <v>16.201199</v>
      </c>
      <c r="T100" t="n">
        <v>16.814762</v>
      </c>
      <c r="U100" t="n">
        <v>17.255487</v>
      </c>
      <c r="V100" t="n">
        <v>17.601435</v>
      </c>
      <c r="W100" t="n">
        <v>17.801258</v>
      </c>
      <c r="X100" t="n">
        <v>18.058201</v>
      </c>
      <c r="Y100" t="n">
        <v>18.54907</v>
      </c>
      <c r="Z100" t="n">
        <v>19.218168</v>
      </c>
      <c r="AA100" t="n">
        <v>19.597013</v>
      </c>
      <c r="AB100" t="n">
        <v>20.066286</v>
      </c>
      <c r="AC100" t="n">
        <v>20.483709</v>
      </c>
      <c r="AD100" t="n">
        <v>21.006063</v>
      </c>
      <c r="AE100" t="n">
        <v>21.253933</v>
      </c>
      <c r="AF100" t="n">
        <v>21.909708</v>
      </c>
      <c r="AG100" s="31" t="n">
        <v>0.033</v>
      </c>
    </row>
    <row r="101">
      <c r="A101" t="inlineStr">
        <is>
          <t>Average Price to All Users</t>
        </is>
      </c>
    </row>
    <row r="102">
      <c r="A102" t="inlineStr">
        <is>
          <t>Propane</t>
        </is>
      </c>
      <c r="B102" t="inlineStr">
        <is>
          <t>Energy Prices: Nominal: Average Price to All Users: Propane: High Zero-Carbon Technology Cost</t>
        </is>
      </c>
      <c r="C102" t="inlineStr">
        <is>
          <t>AEO.2025.HIGHZTC.PRCE_NOM_TEN_NA_PROP_NA_NA_NDLRPMBTU.A</t>
        </is>
      </c>
      <c r="D102" t="inlineStr">
        <is>
          <t>nom $/MMBtu</t>
        </is>
      </c>
      <c r="F102" t="n">
        <v>23.10931</v>
      </c>
      <c r="G102" t="n">
        <v>22.414522</v>
      </c>
      <c r="H102" t="n">
        <v>23.329109</v>
      </c>
      <c r="I102" t="n">
        <v>23.51107</v>
      </c>
      <c r="J102" t="n">
        <v>23.977324</v>
      </c>
      <c r="K102" t="n">
        <v>24.627171</v>
      </c>
      <c r="L102" t="n">
        <v>25.635962</v>
      </c>
      <c r="M102" t="n">
        <v>26.684418</v>
      </c>
      <c r="N102" t="n">
        <v>28.113111</v>
      </c>
      <c r="O102" t="n">
        <v>29.879646</v>
      </c>
      <c r="P102" t="n">
        <v>31.479326</v>
      </c>
      <c r="Q102" t="n">
        <v>32.720078</v>
      </c>
      <c r="R102" t="n">
        <v>33.780651</v>
      </c>
      <c r="S102" t="n">
        <v>34.709141</v>
      </c>
      <c r="T102" t="n">
        <v>35.465168</v>
      </c>
      <c r="U102" t="n">
        <v>36.191727</v>
      </c>
      <c r="V102" t="n">
        <v>37.046371</v>
      </c>
      <c r="W102" t="n">
        <v>38.129978</v>
      </c>
      <c r="X102" t="n">
        <v>39.213116</v>
      </c>
      <c r="Y102" t="n">
        <v>40.531872</v>
      </c>
      <c r="Z102" t="n">
        <v>42.060837</v>
      </c>
      <c r="AA102" t="n">
        <v>43.298595</v>
      </c>
      <c r="AB102" t="n">
        <v>44.507221</v>
      </c>
      <c r="AC102" t="n">
        <v>45.578304</v>
      </c>
      <c r="AD102" t="n">
        <v>46.723022</v>
      </c>
      <c r="AE102" t="n">
        <v>48.164902</v>
      </c>
      <c r="AF102" t="n">
        <v>50.125561</v>
      </c>
      <c r="AG102" s="31" t="n">
        <v>0.03</v>
      </c>
    </row>
    <row r="103">
      <c r="A103" t="inlineStr">
        <is>
          <t>E85</t>
        </is>
      </c>
      <c r="B103" t="inlineStr">
        <is>
          <t>Energy Prices: Nominal: Average Price to All Users: E85: High Zero-Carbon Technology Cost</t>
        </is>
      </c>
      <c r="C103" t="inlineStr">
        <is>
          <t>AEO.2025.HIGHZTC.PRCE_NOM_TEN_NA_E85_NA_NA_NDLRPMBTU.A</t>
        </is>
      </c>
      <c r="D103" t="inlineStr">
        <is>
          <t>nom $/MMBtu</t>
        </is>
      </c>
      <c r="F103" t="n">
        <v>28.823729</v>
      </c>
      <c r="G103" t="n">
        <v>29.528929</v>
      </c>
      <c r="H103" t="n">
        <v>31.362501</v>
      </c>
      <c r="I103" t="n">
        <v>31.520689</v>
      </c>
      <c r="J103" t="n">
        <v>31.560877</v>
      </c>
      <c r="K103" t="n">
        <v>31.091465</v>
      </c>
      <c r="L103" t="n">
        <v>31.677883</v>
      </c>
      <c r="M103" t="n">
        <v>32.462654</v>
      </c>
      <c r="N103" t="n">
        <v>32.887005</v>
      </c>
      <c r="O103" t="n">
        <v>33.282158</v>
      </c>
      <c r="P103" t="n">
        <v>33.961296</v>
      </c>
      <c r="Q103" t="n">
        <v>34.411186</v>
      </c>
      <c r="R103" t="n">
        <v>35.304825</v>
      </c>
      <c r="S103" t="n">
        <v>35.816044</v>
      </c>
      <c r="T103" t="n">
        <v>36.07196</v>
      </c>
      <c r="U103" t="n">
        <v>36.661804</v>
      </c>
      <c r="V103" t="n">
        <v>37.03791</v>
      </c>
      <c r="W103" t="n">
        <v>37.390469</v>
      </c>
      <c r="X103" t="n">
        <v>37.650631</v>
      </c>
      <c r="Y103" t="n">
        <v>38.484287</v>
      </c>
      <c r="Z103" t="n">
        <v>37.357738</v>
      </c>
      <c r="AA103" t="n">
        <v>37.673004</v>
      </c>
      <c r="AB103" t="n">
        <v>38.832993</v>
      </c>
      <c r="AC103" t="n">
        <v>39.919426</v>
      </c>
      <c r="AD103" t="n">
        <v>40.931694</v>
      </c>
      <c r="AE103" t="n">
        <v>42.123844</v>
      </c>
      <c r="AF103" t="n">
        <v>43.591473</v>
      </c>
      <c r="AG103" s="31" t="n">
        <v>0.016</v>
      </c>
    </row>
    <row r="104">
      <c r="A104" t="inlineStr">
        <is>
          <t>Motor Gasoline</t>
        </is>
      </c>
      <c r="B104" t="inlineStr">
        <is>
          <t>Energy Prices: Nominal: Average Price to All Users: Motor Gasoline: High Zero-Carbon Technology Cost</t>
        </is>
      </c>
      <c r="C104" t="inlineStr">
        <is>
          <t>AEO.2025.HIGHZTC.PRCE_NOM_TEN_NA_MGS_NA_NA_NDLRPMBTU.A</t>
        </is>
      </c>
      <c r="D104" t="inlineStr">
        <is>
          <t>nom $/MMBtu</t>
        </is>
      </c>
      <c r="F104" t="n">
        <v>28.684216</v>
      </c>
      <c r="G104" t="n">
        <v>27.681437</v>
      </c>
      <c r="H104" t="n">
        <v>26.491451</v>
      </c>
      <c r="I104" t="n">
        <v>26.411291</v>
      </c>
      <c r="J104" t="n">
        <v>26.620178</v>
      </c>
      <c r="K104" t="n">
        <v>26.776728</v>
      </c>
      <c r="L104" t="n">
        <v>27.309568</v>
      </c>
      <c r="M104" t="n">
        <v>27.884842</v>
      </c>
      <c r="N104" t="n">
        <v>28.271721</v>
      </c>
      <c r="O104" t="n">
        <v>28.722332</v>
      </c>
      <c r="P104" t="n">
        <v>29.297766</v>
      </c>
      <c r="Q104" t="n">
        <v>29.686022</v>
      </c>
      <c r="R104" t="n">
        <v>30.464237</v>
      </c>
      <c r="S104" t="n">
        <v>30.909918</v>
      </c>
      <c r="T104" t="n">
        <v>31.143837</v>
      </c>
      <c r="U104" t="n">
        <v>31.616604</v>
      </c>
      <c r="V104" t="n">
        <v>31.926437</v>
      </c>
      <c r="W104" t="n">
        <v>32.242401</v>
      </c>
      <c r="X104" t="n">
        <v>32.46526</v>
      </c>
      <c r="Y104" t="n">
        <v>33.212322</v>
      </c>
      <c r="Z104" t="n">
        <v>32.260315</v>
      </c>
      <c r="AA104" t="n">
        <v>32.543758</v>
      </c>
      <c r="AB104" t="n">
        <v>33.547531</v>
      </c>
      <c r="AC104" t="n">
        <v>34.486042</v>
      </c>
      <c r="AD104" t="n">
        <v>35.349339</v>
      </c>
      <c r="AE104" t="n">
        <v>36.365566</v>
      </c>
      <c r="AF104" t="n">
        <v>37.6134</v>
      </c>
      <c r="AG104" s="31" t="n">
        <v>0.01</v>
      </c>
    </row>
    <row r="105">
      <c r="A105" t="inlineStr">
        <is>
          <t>Jet Fuel</t>
        </is>
      </c>
      <c r="B105" t="inlineStr">
        <is>
          <t>Energy Prices: Nominal: Average Price to All Users: Jet Fuel: High Zero-Carbon Technology Cost</t>
        </is>
      </c>
      <c r="C105" t="inlineStr">
        <is>
          <t>AEO.2025.HIGHZTC.PRCE_NOM_TEN_NA_JFL_NA_NA_NDLRPMBTU.A</t>
        </is>
      </c>
      <c r="D105" t="inlineStr">
        <is>
          <t>nom $/MMBtu</t>
        </is>
      </c>
      <c r="F105" t="n">
        <v>17.638924</v>
      </c>
      <c r="G105" t="n">
        <v>16.730843</v>
      </c>
      <c r="H105" t="n">
        <v>16.808693</v>
      </c>
      <c r="I105" t="n">
        <v>17.490393</v>
      </c>
      <c r="J105" t="n">
        <v>18.456747</v>
      </c>
      <c r="K105" t="n">
        <v>19.450321</v>
      </c>
      <c r="L105" t="n">
        <v>20.549154</v>
      </c>
      <c r="M105" t="n">
        <v>21.10861</v>
      </c>
      <c r="N105" t="n">
        <v>21.421352</v>
      </c>
      <c r="O105" t="n">
        <v>22.26915</v>
      </c>
      <c r="P105" t="n">
        <v>22.921453</v>
      </c>
      <c r="Q105" t="n">
        <v>23.680696</v>
      </c>
      <c r="R105" t="n">
        <v>24.265625</v>
      </c>
      <c r="S105" t="n">
        <v>25.095047</v>
      </c>
      <c r="T105" t="n">
        <v>25.913126</v>
      </c>
      <c r="U105" t="n">
        <v>26.590034</v>
      </c>
      <c r="V105" t="n">
        <v>27.37747</v>
      </c>
      <c r="W105" t="n">
        <v>28.422379</v>
      </c>
      <c r="X105" t="n">
        <v>29.418961</v>
      </c>
      <c r="Y105" t="n">
        <v>30.607809</v>
      </c>
      <c r="Z105" t="n">
        <v>32.390099</v>
      </c>
      <c r="AA105" t="n">
        <v>33.059135</v>
      </c>
      <c r="AB105" t="n">
        <v>33.981655</v>
      </c>
      <c r="AC105" t="n">
        <v>34.762341</v>
      </c>
      <c r="AD105" t="n">
        <v>35.556072</v>
      </c>
      <c r="AE105" t="n">
        <v>36.506386</v>
      </c>
      <c r="AF105" t="n">
        <v>38.042904</v>
      </c>
      <c r="AG105" s="31" t="n">
        <v>0.03</v>
      </c>
    </row>
    <row r="106">
      <c r="A106" t="inlineStr">
        <is>
          <t>Distillate Fuel Oil</t>
        </is>
      </c>
      <c r="B106" t="inlineStr">
        <is>
          <t>Energy Prices: Nominal: Average Price to All Users: Distillate Fuel Oil: High Zero-Carbon Technology Cost</t>
        </is>
      </c>
      <c r="C106" t="inlineStr">
        <is>
          <t>AEO.2025.HIGHZTC.PRCE_NOM_TEN_NA_DFO_NA_NA_NDLRPMBTU.A</t>
        </is>
      </c>
      <c r="D106" t="inlineStr">
        <is>
          <t>nom $/MMBtu</t>
        </is>
      </c>
      <c r="F106" t="n">
        <v>27.012424</v>
      </c>
      <c r="G106" t="n">
        <v>25.884562</v>
      </c>
      <c r="H106" t="n">
        <v>25.626966</v>
      </c>
      <c r="I106" t="n">
        <v>26.000551</v>
      </c>
      <c r="J106" t="n">
        <v>26.664721</v>
      </c>
      <c r="K106" t="n">
        <v>27.356112</v>
      </c>
      <c r="L106" t="n">
        <v>28.12767</v>
      </c>
      <c r="M106" t="n">
        <v>28.746927</v>
      </c>
      <c r="N106" t="n">
        <v>29.20792</v>
      </c>
      <c r="O106" t="n">
        <v>30.221216</v>
      </c>
      <c r="P106" t="n">
        <v>31.016764</v>
      </c>
      <c r="Q106" t="n">
        <v>31.977592</v>
      </c>
      <c r="R106" t="n">
        <v>32.786362</v>
      </c>
      <c r="S106" t="n">
        <v>33.79771</v>
      </c>
      <c r="T106" t="n">
        <v>34.601337</v>
      </c>
      <c r="U106" t="n">
        <v>35.455051</v>
      </c>
      <c r="V106" t="n">
        <v>36.436882</v>
      </c>
      <c r="W106" t="n">
        <v>37.581371</v>
      </c>
      <c r="X106" t="n">
        <v>38.725025</v>
      </c>
      <c r="Y106" t="n">
        <v>40.007</v>
      </c>
      <c r="Z106" t="n">
        <v>41.861465</v>
      </c>
      <c r="AA106" t="n">
        <v>42.642971</v>
      </c>
      <c r="AB106" t="n">
        <v>43.715824</v>
      </c>
      <c r="AC106" t="n">
        <v>44.622471</v>
      </c>
      <c r="AD106" t="n">
        <v>45.611153</v>
      </c>
      <c r="AE106" t="n">
        <v>46.681786</v>
      </c>
      <c r="AF106" t="n">
        <v>48.320259</v>
      </c>
      <c r="AG106" s="31" t="n">
        <v>0.023</v>
      </c>
    </row>
    <row r="107">
      <c r="A107" t="inlineStr">
        <is>
          <t>Residual Fuel Oil</t>
        </is>
      </c>
      <c r="B107" t="inlineStr">
        <is>
          <t>Energy Prices: Nominal: Average Price to All Users: Residual Fuel Oil: High Zero-Carbon Technology Cost</t>
        </is>
      </c>
      <c r="C107" t="inlineStr">
        <is>
          <t>AEO.2025.HIGHZTC.PRCE_NOM_TEN_NA_RFO_NA_NA_NDLRPMBTU.A</t>
        </is>
      </c>
      <c r="D107" t="inlineStr">
        <is>
          <t>nom $/MMBtu</t>
        </is>
      </c>
      <c r="F107" t="n">
        <v>13.291615</v>
      </c>
      <c r="G107" t="n">
        <v>11.998288</v>
      </c>
      <c r="H107" t="n">
        <v>12.972679</v>
      </c>
      <c r="I107" t="n">
        <v>13.251228</v>
      </c>
      <c r="J107" t="n">
        <v>13.577796</v>
      </c>
      <c r="K107" t="n">
        <v>13.953679</v>
      </c>
      <c r="L107" t="n">
        <v>14.375882</v>
      </c>
      <c r="M107" t="n">
        <v>14.755181</v>
      </c>
      <c r="N107" t="n">
        <v>15.011139</v>
      </c>
      <c r="O107" t="n">
        <v>15.579243</v>
      </c>
      <c r="P107" t="n">
        <v>16.033218</v>
      </c>
      <c r="Q107" t="n">
        <v>16.539465</v>
      </c>
      <c r="R107" t="n">
        <v>16.946718</v>
      </c>
      <c r="S107" t="n">
        <v>17.409361</v>
      </c>
      <c r="T107" t="n">
        <v>17.891283</v>
      </c>
      <c r="U107" t="n">
        <v>18.285372</v>
      </c>
      <c r="V107" t="n">
        <v>18.77422</v>
      </c>
      <c r="W107" t="n">
        <v>19.293474</v>
      </c>
      <c r="X107" t="n">
        <v>19.82428</v>
      </c>
      <c r="Y107" t="n">
        <v>20.376919</v>
      </c>
      <c r="Z107" t="n">
        <v>20.835226</v>
      </c>
      <c r="AA107" t="n">
        <v>20.987272</v>
      </c>
      <c r="AB107" t="n">
        <v>21.830574</v>
      </c>
      <c r="AC107" t="n">
        <v>22.292175</v>
      </c>
      <c r="AD107" t="n">
        <v>22.829748</v>
      </c>
      <c r="AE107" t="n">
        <v>23.500502</v>
      </c>
      <c r="AF107" t="n">
        <v>24.800373</v>
      </c>
      <c r="AG107" s="31" t="n">
        <v>0.024</v>
      </c>
    </row>
    <row r="108">
      <c r="A108" t="inlineStr">
        <is>
          <t>Natural Gas</t>
        </is>
      </c>
      <c r="B108" t="inlineStr">
        <is>
          <t>Energy Prices: Nominal: Average Price to All Users: Natural Gas: High Zero-Carbon Technology Cost</t>
        </is>
      </c>
      <c r="C108" t="inlineStr">
        <is>
          <t>AEO.2025.HIGHZTC.PRCE_NOM_TEN_NA_NG_NA_NA_NDLRPMBTU.A</t>
        </is>
      </c>
      <c r="D108" t="inlineStr">
        <is>
          <t>nom $/MMBtu</t>
        </is>
      </c>
      <c r="F108" t="n">
        <v>5.358065</v>
      </c>
      <c r="G108" t="n">
        <v>5.722315</v>
      </c>
      <c r="H108" t="n">
        <v>5.81497</v>
      </c>
      <c r="I108" t="n">
        <v>5.728658</v>
      </c>
      <c r="J108" t="n">
        <v>5.892106</v>
      </c>
      <c r="K108" t="n">
        <v>6.128145</v>
      </c>
      <c r="L108" t="n">
        <v>6.432743</v>
      </c>
      <c r="M108" t="n">
        <v>6.720101</v>
      </c>
      <c r="N108" t="n">
        <v>7.255335</v>
      </c>
      <c r="O108" t="n">
        <v>7.829077</v>
      </c>
      <c r="P108" t="n">
        <v>8.297530999999999</v>
      </c>
      <c r="Q108" t="n">
        <v>8.627007000000001</v>
      </c>
      <c r="R108" t="n">
        <v>8.833555</v>
      </c>
      <c r="S108" t="n">
        <v>9.042356</v>
      </c>
      <c r="T108" t="n">
        <v>9.197805000000001</v>
      </c>
      <c r="U108" t="n">
        <v>9.346629999999999</v>
      </c>
      <c r="V108" t="n">
        <v>9.568508</v>
      </c>
      <c r="W108" t="n">
        <v>9.857862000000001</v>
      </c>
      <c r="X108" t="n">
        <v>10.147022</v>
      </c>
      <c r="Y108" t="n">
        <v>10.456808</v>
      </c>
      <c r="Z108" t="n">
        <v>10.753558</v>
      </c>
      <c r="AA108" t="n">
        <v>11.054585</v>
      </c>
      <c r="AB108" t="n">
        <v>11.367796</v>
      </c>
      <c r="AC108" t="n">
        <v>11.621665</v>
      </c>
      <c r="AD108" t="n">
        <v>11.892199</v>
      </c>
      <c r="AE108" t="n">
        <v>12.247484</v>
      </c>
      <c r="AF108" t="n">
        <v>12.641952</v>
      </c>
      <c r="AG108" s="31" t="n">
        <v>0.034</v>
      </c>
    </row>
    <row r="109">
      <c r="A109" t="inlineStr">
        <is>
          <t>Metallurgical Coal</t>
        </is>
      </c>
      <c r="B109" t="inlineStr">
        <is>
          <t>Energy Prices: Nominal: Average Price to All Users: Metallurgical Coal: High Zero-Carbon Technology Cost</t>
        </is>
      </c>
      <c r="C109" t="inlineStr">
        <is>
          <t>AEO.2025.HIGHZTC.PRCE_NOM_TEN_NA_MTC_NA_NA_NDLRPMBTU.A</t>
        </is>
      </c>
      <c r="D109" t="inlineStr">
        <is>
          <t>nom $/MMBtu</t>
        </is>
      </c>
      <c r="F109" t="n">
        <v>7.767755</v>
      </c>
      <c r="G109" t="n">
        <v>7.796243</v>
      </c>
      <c r="H109" t="n">
        <v>7.871439</v>
      </c>
      <c r="I109" t="n">
        <v>7.97157</v>
      </c>
      <c r="J109" t="n">
        <v>8.085632</v>
      </c>
      <c r="K109" t="n">
        <v>8.221068000000001</v>
      </c>
      <c r="L109" t="n">
        <v>8.372914</v>
      </c>
      <c r="M109" t="n">
        <v>8.552305</v>
      </c>
      <c r="N109" t="n">
        <v>8.760009999999999</v>
      </c>
      <c r="O109" t="n">
        <v>8.951727999999999</v>
      </c>
      <c r="P109" t="n">
        <v>9.106216</v>
      </c>
      <c r="Q109" t="n">
        <v>9.326974999999999</v>
      </c>
      <c r="R109" t="n">
        <v>9.520159</v>
      </c>
      <c r="S109" t="n">
        <v>9.715213</v>
      </c>
      <c r="T109" t="n">
        <v>9.919881999999999</v>
      </c>
      <c r="U109" t="n">
        <v>10.098601</v>
      </c>
      <c r="V109" t="n">
        <v>10.307525</v>
      </c>
      <c r="W109" t="n">
        <v>10.486297</v>
      </c>
      <c r="X109" t="n">
        <v>10.70411</v>
      </c>
      <c r="Y109" t="n">
        <v>10.927295</v>
      </c>
      <c r="Z109" t="n">
        <v>11.176041</v>
      </c>
      <c r="AA109" t="n">
        <v>11.445536</v>
      </c>
      <c r="AB109" t="n">
        <v>11.694777</v>
      </c>
      <c r="AC109" t="n">
        <v>11.95179</v>
      </c>
      <c r="AD109" t="n">
        <v>12.221812</v>
      </c>
      <c r="AE109" t="n">
        <v>12.514791</v>
      </c>
      <c r="AF109" t="n">
        <v>12.798068</v>
      </c>
      <c r="AG109" s="31" t="n">
        <v>0.019</v>
      </c>
    </row>
    <row r="110">
      <c r="A110" t="inlineStr">
        <is>
          <t>Other Coal</t>
        </is>
      </c>
      <c r="B110" t="inlineStr">
        <is>
          <t>Energy Prices: Nominal: Average Price to All Users: Other Coal: High Zero-Carbon Technology Cost</t>
        </is>
      </c>
      <c r="C110" t="inlineStr">
        <is>
          <t>AEO.2025.HIGHZTC.PRCE_NOM_TEN_NA_OCA_NA_NA_NDLRPMBTU.A</t>
        </is>
      </c>
      <c r="D110" t="inlineStr">
        <is>
          <t>nom $/MMBtu</t>
        </is>
      </c>
      <c r="F110" t="n">
        <v>2.544647</v>
      </c>
      <c r="G110" t="n">
        <v>2.541422</v>
      </c>
      <c r="H110" t="n">
        <v>2.54524</v>
      </c>
      <c r="I110" t="n">
        <v>2.557517</v>
      </c>
      <c r="J110" t="n">
        <v>2.510175</v>
      </c>
      <c r="K110" t="n">
        <v>2.560789</v>
      </c>
      <c r="L110" t="n">
        <v>2.652902</v>
      </c>
      <c r="M110" t="n">
        <v>2.68538</v>
      </c>
      <c r="N110" t="n">
        <v>3.031141</v>
      </c>
      <c r="O110" t="n">
        <v>3.096851</v>
      </c>
      <c r="P110" t="n">
        <v>3.157085</v>
      </c>
      <c r="Q110" t="n">
        <v>3.22156</v>
      </c>
      <c r="R110" t="n">
        <v>3.29951</v>
      </c>
      <c r="S110" t="n">
        <v>3.414034</v>
      </c>
      <c r="T110" t="n">
        <v>3.514079</v>
      </c>
      <c r="U110" t="n">
        <v>4.030113</v>
      </c>
      <c r="V110" t="n">
        <v>4.110628</v>
      </c>
      <c r="W110" t="n">
        <v>4.186213</v>
      </c>
      <c r="X110" t="n">
        <v>4.265393</v>
      </c>
      <c r="Y110" t="n">
        <v>4.356435</v>
      </c>
      <c r="Z110" t="n">
        <v>4.459603</v>
      </c>
      <c r="AA110" t="n">
        <v>4.594742</v>
      </c>
      <c r="AB110" t="n">
        <v>5.101434</v>
      </c>
      <c r="AC110" t="n">
        <v>5.27519</v>
      </c>
      <c r="AD110" t="n">
        <v>5.391674</v>
      </c>
      <c r="AE110" t="n">
        <v>5.532319</v>
      </c>
      <c r="AF110" t="n">
        <v>5.663301</v>
      </c>
      <c r="AG110" s="31" t="n">
        <v>0.031</v>
      </c>
    </row>
    <row r="111">
      <c r="A111" t="inlineStr">
        <is>
          <t>Hydrogen</t>
        </is>
      </c>
      <c r="B111" t="inlineStr">
        <is>
          <t>Energy Prices: Nominal: Average Price to All Users: Other Coal: High Zero-Carbon Technology Cost</t>
        </is>
      </c>
      <c r="C111" t="inlineStr">
        <is>
          <t>AEO.2025.HIGHZTC.PRCE_NOM_TEN_NA_HDG_NA_NA_NDLRPMBTU.A</t>
        </is>
      </c>
      <c r="D111" t="inlineStr">
        <is>
          <t>nom $/MMBtu</t>
        </is>
      </c>
      <c r="F111" t="n">
        <v>9.573513</v>
      </c>
      <c r="G111" t="n">
        <v>10.98015</v>
      </c>
      <c r="H111" t="n">
        <v>11.22294</v>
      </c>
      <c r="I111" t="n">
        <v>11.575183</v>
      </c>
      <c r="J111" t="n">
        <v>12.328448</v>
      </c>
      <c r="K111" t="n">
        <v>13.268543</v>
      </c>
      <c r="L111" t="n">
        <v>14.347576</v>
      </c>
      <c r="M111" t="n">
        <v>16.142441</v>
      </c>
      <c r="N111" t="n">
        <v>19.418747</v>
      </c>
      <c r="O111" t="n">
        <v>22.67169</v>
      </c>
      <c r="P111" t="n">
        <v>25.497255</v>
      </c>
      <c r="Q111" t="n">
        <v>27.864777</v>
      </c>
      <c r="R111" t="n">
        <v>29.821745</v>
      </c>
      <c r="S111" t="n">
        <v>31.660488</v>
      </c>
      <c r="T111" t="n">
        <v>33.810867</v>
      </c>
      <c r="U111" t="n">
        <v>35.71489</v>
      </c>
      <c r="V111" t="n">
        <v>37.473171</v>
      </c>
      <c r="W111" t="n">
        <v>39.005646</v>
      </c>
      <c r="X111" t="n">
        <v>40.525501</v>
      </c>
      <c r="Y111" t="n">
        <v>42.235184</v>
      </c>
      <c r="Z111" t="n">
        <v>44.105499</v>
      </c>
      <c r="AA111" t="n">
        <v>45.643623</v>
      </c>
      <c r="AB111" t="n">
        <v>47.315781</v>
      </c>
      <c r="AC111" t="n">
        <v>48.825775</v>
      </c>
      <c r="AD111" t="n">
        <v>50.416954</v>
      </c>
      <c r="AE111" t="n">
        <v>51.57045</v>
      </c>
      <c r="AF111" t="n">
        <v>53.229416</v>
      </c>
      <c r="AG111" s="31" t="n">
        <v>0.068</v>
      </c>
    </row>
    <row r="112">
      <c r="A112" t="inlineStr">
        <is>
          <t>Electricity</t>
        </is>
      </c>
      <c r="B112" t="inlineStr">
        <is>
          <t>Energy Prices: Nominal: Average Price to All Users: Electricity: High Zero-Carbon Technology Cost</t>
        </is>
      </c>
      <c r="C112" t="inlineStr">
        <is>
          <t>AEO.2025.HIGHZTC.PRCE_NOM_TEN_NA_ELC_NA_NA_NDLRPMBTU.A</t>
        </is>
      </c>
      <c r="D112" t="inlineStr">
        <is>
          <t>nom $/MMBtu</t>
        </is>
      </c>
      <c r="F112" t="n">
        <v>38.098598</v>
      </c>
      <c r="G112" t="n">
        <v>38.098736</v>
      </c>
      <c r="H112" t="n">
        <v>36.198349</v>
      </c>
      <c r="I112" t="n">
        <v>34.870636</v>
      </c>
      <c r="J112" t="n">
        <v>35.342323</v>
      </c>
      <c r="K112" t="n">
        <v>36.371208</v>
      </c>
      <c r="L112" t="n">
        <v>37.562035</v>
      </c>
      <c r="M112" t="n">
        <v>39.025639</v>
      </c>
      <c r="N112" t="n">
        <v>40.473537</v>
      </c>
      <c r="O112" t="n">
        <v>42.268402</v>
      </c>
      <c r="P112" t="n">
        <v>43.500267</v>
      </c>
      <c r="Q112" t="n">
        <v>44.211487</v>
      </c>
      <c r="R112" t="n">
        <v>44.706985</v>
      </c>
      <c r="S112" t="n">
        <v>45.282162</v>
      </c>
      <c r="T112" t="n">
        <v>46.456257</v>
      </c>
      <c r="U112" t="n">
        <v>47.107521</v>
      </c>
      <c r="V112" t="n">
        <v>47.947422</v>
      </c>
      <c r="W112" t="n">
        <v>48.992668</v>
      </c>
      <c r="X112" t="n">
        <v>50.28981</v>
      </c>
      <c r="Y112" t="n">
        <v>51.627769</v>
      </c>
      <c r="Z112" t="n">
        <v>53.079361</v>
      </c>
      <c r="AA112" t="n">
        <v>54.511826</v>
      </c>
      <c r="AB112" t="n">
        <v>56.004536</v>
      </c>
      <c r="AC112" t="n">
        <v>57.434128</v>
      </c>
      <c r="AD112" t="n">
        <v>59.158371</v>
      </c>
      <c r="AE112" t="n">
        <v>60.895233</v>
      </c>
      <c r="AF112" t="n">
        <v>62.765266</v>
      </c>
      <c r="AG112" s="31" t="n">
        <v>0.019</v>
      </c>
    </row>
    <row r="113">
      <c r="A113" t="inlineStr">
        <is>
          <t>Non-Renewable Energy Expenditures by Sector</t>
        </is>
      </c>
    </row>
    <row r="114">
      <c r="A114" t="inlineStr">
        <is>
          <t>(billion nominal dollars)</t>
        </is>
      </c>
    </row>
    <row r="115">
      <c r="A115" t="inlineStr">
        <is>
          <t>Residential</t>
        </is>
      </c>
      <c r="B115" t="inlineStr">
        <is>
          <t>Energy Expenditures: Nominal: Non-Renewable Residential: High Zero-Carbon Technology Cost</t>
        </is>
      </c>
      <c r="C115" t="inlineStr">
        <is>
          <t>AEO.2025.HIGHZTC.EXPD_NOM_RESD_NA_NRN_NA_NA_BLNNOMDLR.A</t>
        </is>
      </c>
      <c r="D115" t="inlineStr">
        <is>
          <t>billion nom $</t>
        </is>
      </c>
      <c r="F115" t="n">
        <v>321.871307</v>
      </c>
      <c r="G115" t="n">
        <v>322.354095</v>
      </c>
      <c r="H115" t="n">
        <v>317.11441</v>
      </c>
      <c r="I115" t="n">
        <v>312.968018</v>
      </c>
      <c r="J115" t="n">
        <v>319.525513</v>
      </c>
      <c r="K115" t="n">
        <v>329.189087</v>
      </c>
      <c r="L115" t="n">
        <v>339.891052</v>
      </c>
      <c r="M115" t="n">
        <v>353.399323</v>
      </c>
      <c r="N115" t="n">
        <v>368.724792</v>
      </c>
      <c r="O115" t="n">
        <v>387.313416</v>
      </c>
      <c r="P115" t="n">
        <v>403.031891</v>
      </c>
      <c r="Q115" t="n">
        <v>416.124939</v>
      </c>
      <c r="R115" t="n">
        <v>427.707275</v>
      </c>
      <c r="S115" t="n">
        <v>439.796265</v>
      </c>
      <c r="T115" t="n">
        <v>455.334259</v>
      </c>
      <c r="U115" t="n">
        <v>467.563995</v>
      </c>
      <c r="V115" t="n">
        <v>481.889313</v>
      </c>
      <c r="W115" t="n">
        <v>498.19812</v>
      </c>
      <c r="X115" t="n">
        <v>516.237671</v>
      </c>
      <c r="Y115" t="n">
        <v>534.8507080000001</v>
      </c>
      <c r="Z115" t="n">
        <v>554.361267</v>
      </c>
      <c r="AA115" t="n">
        <v>573.612244</v>
      </c>
      <c r="AB115" t="n">
        <v>593.716797</v>
      </c>
      <c r="AC115" t="n">
        <v>613.129089</v>
      </c>
      <c r="AD115" t="n">
        <v>634.613831</v>
      </c>
      <c r="AE115" t="n">
        <v>656.858521</v>
      </c>
      <c r="AF115" t="n">
        <v>680.71991</v>
      </c>
      <c r="AG115" s="31" t="n">
        <v>0.029</v>
      </c>
    </row>
    <row r="116">
      <c r="A116" t="inlineStr">
        <is>
          <t>Commercial</t>
        </is>
      </c>
      <c r="B116" t="inlineStr">
        <is>
          <t>Energy Expenditures: Nominal: Non-Renewable Commercial: High Zero-Carbon Technology Cost</t>
        </is>
      </c>
      <c r="C116" t="inlineStr">
        <is>
          <t>AEO.2025.HIGHZTC.EXPD_NOM_COMM_NA_NRN_NA_NA_BLNNOMDLR.A</t>
        </is>
      </c>
      <c r="D116" t="inlineStr">
        <is>
          <t>billion nom $</t>
        </is>
      </c>
      <c r="F116" t="n">
        <v>241.127884</v>
      </c>
      <c r="G116" t="n">
        <v>241.920746</v>
      </c>
      <c r="H116" t="n">
        <v>232.793762</v>
      </c>
      <c r="I116" t="n">
        <v>228.61087</v>
      </c>
      <c r="J116" t="n">
        <v>234.533249</v>
      </c>
      <c r="K116" t="n">
        <v>244.939117</v>
      </c>
      <c r="L116" t="n">
        <v>256.457123</v>
      </c>
      <c r="M116" t="n">
        <v>269.825256</v>
      </c>
      <c r="N116" t="n">
        <v>285.022583</v>
      </c>
      <c r="O116" t="n">
        <v>302.818054</v>
      </c>
      <c r="P116" t="n">
        <v>318.196198</v>
      </c>
      <c r="Q116" t="n">
        <v>330.906647</v>
      </c>
      <c r="R116" t="n">
        <v>342.497009</v>
      </c>
      <c r="S116" t="n">
        <v>354.461121</v>
      </c>
      <c r="T116" t="n">
        <v>370.102692</v>
      </c>
      <c r="U116" t="n">
        <v>381.963257</v>
      </c>
      <c r="V116" t="n">
        <v>395.830719</v>
      </c>
      <c r="W116" t="n">
        <v>411.782806</v>
      </c>
      <c r="X116" t="n">
        <v>429.422455</v>
      </c>
      <c r="Y116" t="n">
        <v>447.893433</v>
      </c>
      <c r="Z116" t="n">
        <v>466.494324</v>
      </c>
      <c r="AA116" t="n">
        <v>485.673401</v>
      </c>
      <c r="AB116" t="n">
        <v>506.152588</v>
      </c>
      <c r="AC116" t="n">
        <v>525.805359</v>
      </c>
      <c r="AD116" t="n">
        <v>548.463318</v>
      </c>
      <c r="AE116" t="n">
        <v>572.145325</v>
      </c>
      <c r="AF116" t="n">
        <v>597.6190800000001</v>
      </c>
      <c r="AG116" s="31" t="n">
        <v>0.036</v>
      </c>
    </row>
    <row r="117">
      <c r="A117" t="inlineStr">
        <is>
          <t>Industrial</t>
        </is>
      </c>
      <c r="B117" t="inlineStr">
        <is>
          <t>Energy Expenditures: Nominal: Non-Renewable Industrial: High Zero-Carbon Technology Cost</t>
        </is>
      </c>
      <c r="C117" t="inlineStr">
        <is>
          <t>AEO.2025.HIGHZTC.EXPD_NOM_IDAL_NA_NRN_NA_NA_BLNNOMDLR.A</t>
        </is>
      </c>
      <c r="D117" t="inlineStr">
        <is>
          <t>billion nom $</t>
        </is>
      </c>
      <c r="F117" t="n">
        <v>225.607498</v>
      </c>
      <c r="G117" t="n">
        <v>233.347748</v>
      </c>
      <c r="H117" t="n">
        <v>232.633316</v>
      </c>
      <c r="I117" t="n">
        <v>230.545486</v>
      </c>
      <c r="J117" t="n">
        <v>236.489532</v>
      </c>
      <c r="K117" t="n">
        <v>245.96962</v>
      </c>
      <c r="L117" t="n">
        <v>258.848602</v>
      </c>
      <c r="M117" t="n">
        <v>272.725555</v>
      </c>
      <c r="N117" t="n">
        <v>292.159607</v>
      </c>
      <c r="O117" t="n">
        <v>313.488495</v>
      </c>
      <c r="P117" t="n">
        <v>331.332611</v>
      </c>
      <c r="Q117" t="n">
        <v>344.581268</v>
      </c>
      <c r="R117" t="n">
        <v>355.255463</v>
      </c>
      <c r="S117" t="n">
        <v>365.631927</v>
      </c>
      <c r="T117" t="n">
        <v>376.780518</v>
      </c>
      <c r="U117" t="n">
        <v>387.678497</v>
      </c>
      <c r="V117" t="n">
        <v>401.706177</v>
      </c>
      <c r="W117" t="n">
        <v>418.009766</v>
      </c>
      <c r="X117" t="n">
        <v>435.438416</v>
      </c>
      <c r="Y117" t="n">
        <v>452.731049</v>
      </c>
      <c r="Z117" t="n">
        <v>472.001343</v>
      </c>
      <c r="AA117" t="n">
        <v>488.771088</v>
      </c>
      <c r="AB117" t="n">
        <v>507.063232</v>
      </c>
      <c r="AC117" t="n">
        <v>525.046021</v>
      </c>
      <c r="AD117" t="n">
        <v>543.442932</v>
      </c>
      <c r="AE117" t="n">
        <v>565.828918</v>
      </c>
      <c r="AF117" t="n">
        <v>592.634766</v>
      </c>
      <c r="AG117" s="31" t="n">
        <v>0.038</v>
      </c>
    </row>
    <row r="118">
      <c r="A118" t="inlineStr">
        <is>
          <t>Transportation</t>
        </is>
      </c>
      <c r="B118" t="inlineStr">
        <is>
          <t>Energy Expenditures: Nominal: Non-Renewable Transportation: High Zero-Carbon Technology Cost</t>
        </is>
      </c>
      <c r="C118" t="inlineStr">
        <is>
          <t>AEO.2025.HIGHZTC.EXPD_NOM_TRN_NA_NRN_NA_NA_BLNNOMDLR.A</t>
        </is>
      </c>
      <c r="D118" t="inlineStr">
        <is>
          <t>billion nom $</t>
        </is>
      </c>
      <c r="F118" t="n">
        <v>714.841614</v>
      </c>
      <c r="G118" t="n">
        <v>690.200989</v>
      </c>
      <c r="H118" t="n">
        <v>668.445129</v>
      </c>
      <c r="I118" t="n">
        <v>667.2337649999999</v>
      </c>
      <c r="J118" t="n">
        <v>671.568176</v>
      </c>
      <c r="K118" t="n">
        <v>673.579468</v>
      </c>
      <c r="L118" t="n">
        <v>678.967346</v>
      </c>
      <c r="M118" t="n">
        <v>679.873596</v>
      </c>
      <c r="N118" t="n">
        <v>671.371704</v>
      </c>
      <c r="O118" t="n">
        <v>668.912476</v>
      </c>
      <c r="P118" t="n">
        <v>666.540283</v>
      </c>
      <c r="Q118" t="n">
        <v>662.925171</v>
      </c>
      <c r="R118" t="n">
        <v>661.864319</v>
      </c>
      <c r="S118" t="n">
        <v>658.936951</v>
      </c>
      <c r="T118" t="n">
        <v>653.432861</v>
      </c>
      <c r="U118" t="n">
        <v>650.755005</v>
      </c>
      <c r="V118" t="n">
        <v>649.477051</v>
      </c>
      <c r="W118" t="n">
        <v>650.612976</v>
      </c>
      <c r="X118" t="n">
        <v>651.250122</v>
      </c>
      <c r="Y118" t="n">
        <v>660.5115970000001</v>
      </c>
      <c r="Z118" t="n">
        <v>659.097717</v>
      </c>
      <c r="AA118" t="n">
        <v>661.501709</v>
      </c>
      <c r="AB118" t="n">
        <v>674.036682</v>
      </c>
      <c r="AC118" t="n">
        <v>685.944214</v>
      </c>
      <c r="AD118" t="n">
        <v>696.390808</v>
      </c>
      <c r="AE118" t="n">
        <v>711.498901</v>
      </c>
      <c r="AF118" t="n">
        <v>734.990723</v>
      </c>
      <c r="AG118" s="31" t="n">
        <v>0.001</v>
      </c>
    </row>
    <row r="119">
      <c r="A119" t="inlineStr">
        <is>
          <t>Total Non-Renewable Expenditures</t>
        </is>
      </c>
      <c r="B119" t="inlineStr">
        <is>
          <t>Energy Expenditures: Nominal: Total Non-Renewable: High Zero-Carbon Technology Cost</t>
        </is>
      </c>
      <c r="C119" t="inlineStr">
        <is>
          <t>AEO.2025.HIGHZTC.EXPD_NOM_TEN_NA_NRN_NA_NA_BLNNOMDLR.A</t>
        </is>
      </c>
      <c r="D119" t="inlineStr">
        <is>
          <t>billion nom $</t>
        </is>
      </c>
      <c r="F119" t="n">
        <v>1503.448242</v>
      </c>
      <c r="G119" t="n">
        <v>1487.823608</v>
      </c>
      <c r="H119" t="n">
        <v>1450.986572</v>
      </c>
      <c r="I119" t="n">
        <v>1439.358154</v>
      </c>
      <c r="J119" t="n">
        <v>1462.116455</v>
      </c>
      <c r="K119" t="n">
        <v>1493.677368</v>
      </c>
      <c r="L119" t="n">
        <v>1534.164307</v>
      </c>
      <c r="M119" t="n">
        <v>1575.823853</v>
      </c>
      <c r="N119" t="n">
        <v>1617.278809</v>
      </c>
      <c r="O119" t="n">
        <v>1672.532349</v>
      </c>
      <c r="P119" t="n">
        <v>1719.10083</v>
      </c>
      <c r="Q119" t="n">
        <v>1754.538086</v>
      </c>
      <c r="R119" t="n">
        <v>1787.323975</v>
      </c>
      <c r="S119" t="n">
        <v>1818.826294</v>
      </c>
      <c r="T119" t="n">
        <v>1855.650269</v>
      </c>
      <c r="U119" t="n">
        <v>1887.960693</v>
      </c>
      <c r="V119" t="n">
        <v>1928.903198</v>
      </c>
      <c r="W119" t="n">
        <v>1978.603638</v>
      </c>
      <c r="X119" t="n">
        <v>2032.348633</v>
      </c>
      <c r="Y119" t="n">
        <v>2095.986816</v>
      </c>
      <c r="Z119" t="n">
        <v>2151.95459</v>
      </c>
      <c r="AA119" t="n">
        <v>2209.55835</v>
      </c>
      <c r="AB119" t="n">
        <v>2280.969238</v>
      </c>
      <c r="AC119" t="n">
        <v>2349.924805</v>
      </c>
      <c r="AD119" t="n">
        <v>2422.910889</v>
      </c>
      <c r="AE119" t="n">
        <v>2506.331787</v>
      </c>
      <c r="AF119" t="n">
        <v>2605.9646</v>
      </c>
      <c r="AG119" s="31" t="n">
        <v>0.021</v>
      </c>
    </row>
    <row r="120">
      <c r="A120" t="inlineStr">
        <is>
          <t>Transportation Renewable Expenditures</t>
        </is>
      </c>
      <c r="B120" t="inlineStr">
        <is>
          <t>Energy Expenditures: Nominal: Renewable Transportation: High Zero-Carbon Technology Cost</t>
        </is>
      </c>
      <c r="C120" t="inlineStr">
        <is>
          <t>AEO.2025.HIGHZTC.EXPD_NOM_TRN_NA_RNW_NA_NA_BLNNOMDLR.A</t>
        </is>
      </c>
      <c r="D120" t="inlineStr">
        <is>
          <t>billion nom $</t>
        </is>
      </c>
      <c r="F120" t="n">
        <v>0.107875</v>
      </c>
      <c r="G120" t="n">
        <v>0.102401</v>
      </c>
      <c r="H120" t="n">
        <v>0.09701799999999999</v>
      </c>
      <c r="I120" t="n">
        <v>0.091324</v>
      </c>
      <c r="J120" t="n">
        <v>0.088726</v>
      </c>
      <c r="K120" t="n">
        <v>0.090596</v>
      </c>
      <c r="L120" t="n">
        <v>0.08749999999999999</v>
      </c>
      <c r="M120" t="n">
        <v>0.08283</v>
      </c>
      <c r="N120" t="n">
        <v>0.078111</v>
      </c>
      <c r="O120" t="n">
        <v>0.074114</v>
      </c>
      <c r="P120" t="n">
        <v>0.071632</v>
      </c>
      <c r="Q120" t="n">
        <v>0.068284</v>
      </c>
      <c r="R120" t="n">
        <v>0.06561400000000001</v>
      </c>
      <c r="S120" t="n">
        <v>0.063193</v>
      </c>
      <c r="T120" t="n">
        <v>0.060099</v>
      </c>
      <c r="U120" t="n">
        <v>0.058325</v>
      </c>
      <c r="V120" t="n">
        <v>0.057592</v>
      </c>
      <c r="W120" t="n">
        <v>0.056904</v>
      </c>
      <c r="X120" t="n">
        <v>0.056271</v>
      </c>
      <c r="Y120" t="n">
        <v>0.056958</v>
      </c>
      <c r="Z120" t="n">
        <v>0.056099</v>
      </c>
      <c r="AA120" t="n">
        <v>0.055108</v>
      </c>
      <c r="AB120" t="n">
        <v>0.056671</v>
      </c>
      <c r="AC120" t="n">
        <v>0.059576</v>
      </c>
      <c r="AD120" t="n">
        <v>0.060896</v>
      </c>
      <c r="AE120" t="n">
        <v>0.06270100000000001</v>
      </c>
      <c r="AF120" t="n">
        <v>0.064536</v>
      </c>
      <c r="AG120" s="31" t="n">
        <v>-0.02</v>
      </c>
    </row>
    <row r="121">
      <c r="A121" t="inlineStr">
        <is>
          <t>Total Expenditures</t>
        </is>
      </c>
      <c r="B121" t="inlineStr">
        <is>
          <t>Energy Expenditures: Nominal: High Zero-Carbon Technology Cost</t>
        </is>
      </c>
      <c r="C121" t="inlineStr">
        <is>
          <t>AEO.2025.HIGHZTC.EXPD_NOM_TEN_NA_NA_NA_NA_BLNNOMDLR.A</t>
        </is>
      </c>
      <c r="D121" t="inlineStr">
        <is>
          <t>billion nom $</t>
        </is>
      </c>
      <c r="F121" t="n">
        <v>1503.556152</v>
      </c>
      <c r="G121" t="n">
        <v>1487.926025</v>
      </c>
      <c r="H121" t="n">
        <v>1451.08374</v>
      </c>
      <c r="I121" t="n">
        <v>1439.449463</v>
      </c>
      <c r="J121" t="n">
        <v>1462.205078</v>
      </c>
      <c r="K121" t="n">
        <v>1493.767944</v>
      </c>
      <c r="L121" t="n">
        <v>1534.251831</v>
      </c>
      <c r="M121" t="n">
        <v>1575.906616</v>
      </c>
      <c r="N121" t="n">
        <v>1617.356934</v>
      </c>
      <c r="O121" t="n">
        <v>1672.606445</v>
      </c>
      <c r="P121" t="n">
        <v>1719.172607</v>
      </c>
      <c r="Q121" t="n">
        <v>1754.606323</v>
      </c>
      <c r="R121" t="n">
        <v>1787.389526</v>
      </c>
      <c r="S121" t="n">
        <v>1818.889282</v>
      </c>
      <c r="T121" t="n">
        <v>1855.710327</v>
      </c>
      <c r="U121" t="n">
        <v>1888.019165</v>
      </c>
      <c r="V121" t="n">
        <v>1928.960693</v>
      </c>
      <c r="W121" t="n">
        <v>1978.660522</v>
      </c>
      <c r="X121" t="n">
        <v>2032.404907</v>
      </c>
      <c r="Y121" t="n">
        <v>2096.043701</v>
      </c>
      <c r="Z121" t="n">
        <v>2152.010986</v>
      </c>
      <c r="AA121" t="n">
        <v>2209.613525</v>
      </c>
      <c r="AB121" t="n">
        <v>2281.025879</v>
      </c>
      <c r="AC121" t="n">
        <v>2349.984375</v>
      </c>
      <c r="AD121" t="n">
        <v>2422.97168</v>
      </c>
      <c r="AE121" t="n">
        <v>2506.394287</v>
      </c>
      <c r="AF121" t="n">
        <v>2606.028809</v>
      </c>
      <c r="AG121" s="31" t="n">
        <v>0.021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70"/>
  <sheetViews>
    <sheetView workbookViewId="0">
      <selection activeCell="A1" sqref="A1"/>
    </sheetView>
  </sheetViews>
  <sheetFormatPr baseColWidth="8" defaultRowHeight="14.25"/>
  <cols>
    <col width="25.3984375" customWidth="1" min="1" max="1"/>
    <col width="30.265625" customWidth="1" min="2" max="2"/>
  </cols>
  <sheetData>
    <row r="1">
      <c r="A1" t="inlineStr">
        <is>
          <t>Table 6.  Industrial Sector Key Indicators and Consumption</t>
        </is>
      </c>
    </row>
    <row r="2">
      <c r="A2" t="inlineStr">
        <is>
          <t>https://www.eia.gov/outlooks/aeo/data/browser/#/?id=6-AEO2025&amp;cases=highZTC&amp;sourcekey=0</t>
        </is>
      </c>
    </row>
    <row r="3">
      <c r="A3" t="inlineStr">
        <is>
          <t>Tue Dec 02 2025 13:18:59 GMT-0800 (Pacific Standard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2023</v>
      </c>
      <c r="F5" t="n">
        <v>2024</v>
      </c>
      <c r="G5" t="n">
        <v>2025</v>
      </c>
      <c r="H5" t="n">
        <v>2026</v>
      </c>
      <c r="I5" t="n">
        <v>2027</v>
      </c>
      <c r="J5" t="n">
        <v>2028</v>
      </c>
      <c r="K5" t="n">
        <v>2029</v>
      </c>
      <c r="L5" t="n">
        <v>2030</v>
      </c>
      <c r="M5" t="n">
        <v>2031</v>
      </c>
      <c r="N5" t="n">
        <v>2032</v>
      </c>
      <c r="O5" t="n">
        <v>2033</v>
      </c>
      <c r="P5" t="n">
        <v>2034</v>
      </c>
      <c r="Q5" t="n">
        <v>2035</v>
      </c>
      <c r="R5" t="n">
        <v>2036</v>
      </c>
      <c r="S5" t="n">
        <v>2037</v>
      </c>
      <c r="T5" t="n">
        <v>2038</v>
      </c>
      <c r="U5" t="n">
        <v>2039</v>
      </c>
      <c r="V5" t="n">
        <v>2040</v>
      </c>
      <c r="W5" t="n">
        <v>2041</v>
      </c>
      <c r="X5" t="n">
        <v>2042</v>
      </c>
      <c r="Y5" t="n">
        <v>2043</v>
      </c>
      <c r="Z5" t="n">
        <v>2044</v>
      </c>
      <c r="AA5" t="n">
        <v>2045</v>
      </c>
      <c r="AB5" t="n">
        <v>2046</v>
      </c>
      <c r="AC5" t="n">
        <v>2047</v>
      </c>
      <c r="AD5" t="n">
        <v>2048</v>
      </c>
      <c r="AE5" t="n">
        <v>2049</v>
      </c>
      <c r="AF5" t="n">
        <v>2050</v>
      </c>
      <c r="AG5" t="inlineStr">
        <is>
          <t>Growth (2024-2050)</t>
        </is>
      </c>
    </row>
    <row r="6">
      <c r="A6" t="inlineStr">
        <is>
          <t>Value of Shipments</t>
        </is>
      </c>
    </row>
    <row r="7">
      <c r="A7" t="inlineStr">
        <is>
          <t>(billion 2012 dollars)</t>
        </is>
      </c>
    </row>
    <row r="8">
      <c r="A8" t="inlineStr">
        <is>
          <t>Manufacturing</t>
        </is>
      </c>
      <c r="B8" t="inlineStr">
        <is>
          <t>Industrial: Value of Shipments: Manufacturing: High Zero-Carbon Technology Cost</t>
        </is>
      </c>
      <c r="C8" t="inlineStr">
        <is>
          <t>AEO.2025.HIGHZTC.ECI_NA_IDAL_MANF_VOS_NA_USA_BLNY09DLR.A</t>
        </is>
      </c>
      <c r="D8" t="inlineStr">
        <is>
          <t>billion 2012 $</t>
        </is>
      </c>
      <c r="F8" t="n">
        <v>5974.963867</v>
      </c>
      <c r="G8" t="n">
        <v>6102.103516</v>
      </c>
      <c r="H8" t="n">
        <v>6220.381836</v>
      </c>
      <c r="I8" t="n">
        <v>6297.688965</v>
      </c>
      <c r="J8" t="n">
        <v>6359.107422</v>
      </c>
      <c r="K8" t="n">
        <v>6419.726562</v>
      </c>
      <c r="L8" t="n">
        <v>6479.292969</v>
      </c>
      <c r="M8" t="n">
        <v>6523.987305</v>
      </c>
      <c r="N8" t="n">
        <v>6577.88916</v>
      </c>
      <c r="O8" t="n">
        <v>6614.630859</v>
      </c>
      <c r="P8" t="n">
        <v>6684.337891</v>
      </c>
      <c r="Q8" t="n">
        <v>6740.089844</v>
      </c>
      <c r="R8" t="n">
        <v>6793.68457</v>
      </c>
      <c r="S8" t="n">
        <v>6856.650391</v>
      </c>
      <c r="T8" t="n">
        <v>6918.300293</v>
      </c>
      <c r="U8" t="n">
        <v>6987.395996</v>
      </c>
      <c r="V8" t="n">
        <v>7063.019043</v>
      </c>
      <c r="W8" t="n">
        <v>7128.462891</v>
      </c>
      <c r="X8" t="n">
        <v>7196.864258</v>
      </c>
      <c r="Y8" t="n">
        <v>7256.60791</v>
      </c>
      <c r="Z8" t="n">
        <v>7322.870117</v>
      </c>
      <c r="AA8" t="n">
        <v>7384.331055</v>
      </c>
      <c r="AB8" t="n">
        <v>7454.550293</v>
      </c>
      <c r="AC8" t="n">
        <v>7535.256348</v>
      </c>
      <c r="AD8" t="n">
        <v>7606.237305</v>
      </c>
      <c r="AE8" t="n">
        <v>7681.527344</v>
      </c>
      <c r="AF8" t="n">
        <v>7743.604492</v>
      </c>
      <c r="AG8" s="31" t="n">
        <v>0.01</v>
      </c>
    </row>
    <row r="9">
      <c r="A9" t="inlineStr">
        <is>
          <t>Agriculture</t>
        </is>
      </c>
      <c r="B9" t="inlineStr">
        <is>
          <t xml:space="preserve"> Mining</t>
        </is>
      </c>
      <c r="C9" t="inlineStr">
        <is>
          <t xml:space="preserve"> and Construction</t>
        </is>
      </c>
      <c r="D9" t="inlineStr">
        <is>
          <t>Industrial: Value of Shipments: Agriculture, Mining, and Construction: High Zero-Carbon Technology Cost</t>
        </is>
      </c>
      <c r="E9" t="inlineStr">
        <is>
          <t>AEO.2025.HIGHZTC.ECI_NA_IDAL_NMFG_VOS_NA_USA_BLNY09DLR.A</t>
        </is>
      </c>
      <c r="F9" t="inlineStr">
        <is>
          <t>billion 2012 $</t>
        </is>
      </c>
      <c r="H9" t="n">
        <v>2718.250488</v>
      </c>
      <c r="I9" t="n">
        <v>2777.917969</v>
      </c>
      <c r="J9" t="n">
        <v>2803.508545</v>
      </c>
      <c r="K9" t="n">
        <v>2839.277832</v>
      </c>
      <c r="L9" t="n">
        <v>2891.1875</v>
      </c>
      <c r="M9" t="n">
        <v>2948.479492</v>
      </c>
      <c r="N9" t="n">
        <v>2992.109863</v>
      </c>
      <c r="O9" t="n">
        <v>3020.339844</v>
      </c>
      <c r="P9" t="n">
        <v>3053.486084</v>
      </c>
      <c r="Q9" t="n">
        <v>3066.199951</v>
      </c>
      <c r="R9" t="n">
        <v>3074.731445</v>
      </c>
      <c r="S9" t="n">
        <v>3093.089844</v>
      </c>
      <c r="T9" t="n">
        <v>3117.248047</v>
      </c>
      <c r="U9" t="n">
        <v>3128.845215</v>
      </c>
      <c r="V9" t="n">
        <v>3144.9646</v>
      </c>
      <c r="W9" t="n">
        <v>3159.154297</v>
      </c>
      <c r="X9" t="n">
        <v>3177.171387</v>
      </c>
      <c r="Y9" t="n">
        <v>3191.807617</v>
      </c>
      <c r="Z9" t="n">
        <v>3212.519531</v>
      </c>
      <c r="AA9" t="n">
        <v>3226.170898</v>
      </c>
      <c r="AB9" t="n">
        <v>3241.981445</v>
      </c>
      <c r="AC9" t="n">
        <v>3269.150391</v>
      </c>
      <c r="AD9" t="n">
        <v>3302.412109</v>
      </c>
      <c r="AE9" t="n">
        <v>3332.982422</v>
      </c>
      <c r="AF9" t="n">
        <v>3363.429443</v>
      </c>
      <c r="AG9" t="n">
        <v>3398.200684</v>
      </c>
      <c r="AH9" t="n">
        <v>3430.172119</v>
      </c>
      <c r="AI9" s="31" t="n">
        <v>0.008999999999999999</v>
      </c>
    </row>
    <row r="10">
      <c r="A10" t="inlineStr">
        <is>
          <t>Total</t>
        </is>
      </c>
      <c r="B10" t="inlineStr">
        <is>
          <t>Industrial: Value of Shipments: Total: High Zero-Carbon Technology Cost</t>
        </is>
      </c>
      <c r="C10" t="inlineStr">
        <is>
          <t>AEO.2025.HIGHZTC.ECI_NA_IDAL_NA_VOS_NA_USA_BLNY09DLR.A</t>
        </is>
      </c>
      <c r="D10" t="inlineStr">
        <is>
          <t>billion 2012 $</t>
        </is>
      </c>
      <c r="F10" t="n">
        <v>8693.214844</v>
      </c>
      <c r="G10" t="n">
        <v>8880.021484000001</v>
      </c>
      <c r="H10" t="n">
        <v>9023.890625</v>
      </c>
      <c r="I10" t="n">
        <v>9136.966796999999</v>
      </c>
      <c r="J10" t="n">
        <v>9250.294921999999</v>
      </c>
      <c r="K10" t="n">
        <v>9368.206055000001</v>
      </c>
      <c r="L10" t="n">
        <v>9471.402344</v>
      </c>
      <c r="M10" t="n">
        <v>9544.327148</v>
      </c>
      <c r="N10" t="n">
        <v>9631.375</v>
      </c>
      <c r="O10" t="n">
        <v>9680.831055000001</v>
      </c>
      <c r="P10" t="n">
        <v>9759.069336</v>
      </c>
      <c r="Q10" t="n">
        <v>9833.179688</v>
      </c>
      <c r="R10" t="n">
        <v>9910.932617</v>
      </c>
      <c r="S10" t="n">
        <v>9985.496094</v>
      </c>
      <c r="T10" t="n">
        <v>10063.264648</v>
      </c>
      <c r="U10" t="n">
        <v>10146.550781</v>
      </c>
      <c r="V10" t="n">
        <v>10240.19043</v>
      </c>
      <c r="W10" t="n">
        <v>10320.270508</v>
      </c>
      <c r="X10" t="n">
        <v>10409.383789</v>
      </c>
      <c r="Y10" t="n">
        <v>10482.779297</v>
      </c>
      <c r="Z10" t="n">
        <v>10564.851562</v>
      </c>
      <c r="AA10" t="n">
        <v>10653.481445</v>
      </c>
      <c r="AB10" t="n">
        <v>10756.962891</v>
      </c>
      <c r="AC10" t="n">
        <v>10868.238281</v>
      </c>
      <c r="AD10" t="n">
        <v>10969.666992</v>
      </c>
      <c r="AE10" t="n">
        <v>11079.728516</v>
      </c>
      <c r="AF10" t="n">
        <v>11173.776367</v>
      </c>
      <c r="AG10" s="31" t="n">
        <v>0.01</v>
      </c>
    </row>
    <row r="11">
      <c r="A11" t="inlineStr">
        <is>
          <t>Energy Prices</t>
        </is>
      </c>
    </row>
    <row r="12">
      <c r="A12" t="inlineStr">
        <is>
          <t>(2024 dollars per MMBtu)</t>
        </is>
      </c>
    </row>
    <row r="13">
      <c r="A13" t="inlineStr">
        <is>
          <t>Propane</t>
        </is>
      </c>
      <c r="B13" t="inlineStr">
        <is>
          <t>Industrial: Energy Prices: Propane: High Zero-Carbon Technology Cost</t>
        </is>
      </c>
      <c r="C13" t="inlineStr">
        <is>
          <t>AEO.2025.HIGHZTC.PRCE_NA_IDAL_HAP_PROP_NA_USA_Y13DLRPMMBTU.A</t>
        </is>
      </c>
      <c r="D13" t="inlineStr">
        <is>
          <t>2024 $/MMBtu</t>
        </is>
      </c>
      <c r="F13" t="n">
        <v>12.66026</v>
      </c>
      <c r="G13" t="n">
        <v>12.605674</v>
      </c>
      <c r="H13" t="n">
        <v>13.465074</v>
      </c>
      <c r="I13" t="n">
        <v>13.314802</v>
      </c>
      <c r="J13" t="n">
        <v>13.427592</v>
      </c>
      <c r="K13" t="n">
        <v>13.72262</v>
      </c>
      <c r="L13" t="n">
        <v>14.298682</v>
      </c>
      <c r="M13" t="n">
        <v>14.759735</v>
      </c>
      <c r="N13" t="n">
        <v>15.554036</v>
      </c>
      <c r="O13" t="n">
        <v>16.543209</v>
      </c>
      <c r="P13" t="n">
        <v>17.23724</v>
      </c>
      <c r="Q13" t="n">
        <v>17.555822</v>
      </c>
      <c r="R13" t="n">
        <v>17.767212</v>
      </c>
      <c r="S13" t="n">
        <v>17.880009</v>
      </c>
      <c r="T13" t="n">
        <v>17.856604</v>
      </c>
      <c r="U13" t="n">
        <v>17.844084</v>
      </c>
      <c r="V13" t="n">
        <v>17.93939</v>
      </c>
      <c r="W13" t="n">
        <v>18.19438</v>
      </c>
      <c r="X13" t="n">
        <v>18.394274</v>
      </c>
      <c r="Y13" t="n">
        <v>18.748419</v>
      </c>
      <c r="Z13" t="n">
        <v>19.21232</v>
      </c>
      <c r="AA13" t="n">
        <v>19.372681</v>
      </c>
      <c r="AB13" t="n">
        <v>19.508192</v>
      </c>
      <c r="AC13" t="n">
        <v>19.52129</v>
      </c>
      <c r="AD13" t="n">
        <v>19.593958</v>
      </c>
      <c r="AE13" t="n">
        <v>19.869528</v>
      </c>
      <c r="AF13" t="n">
        <v>20.462763</v>
      </c>
      <c r="AG13" s="31" t="n">
        <v>0.019</v>
      </c>
    </row>
    <row r="14">
      <c r="A14" t="inlineStr">
        <is>
          <t>Motor Gasoline</t>
        </is>
      </c>
      <c r="B14" t="inlineStr">
        <is>
          <t>Industrial: Energy Prices: Motor Gasoline: High Zero-Carbon Technology Cost</t>
        </is>
      </c>
      <c r="C14" t="inlineStr">
        <is>
          <t>AEO.2025.HIGHZTC.PRCE_NA_IDAL_NA_MGS_NA_USA_Y13DLRPMMBTU.A</t>
        </is>
      </c>
      <c r="D14" t="inlineStr">
        <is>
          <t>2024 $/MMBtu</t>
        </is>
      </c>
      <c r="F14" t="n">
        <v>28.673464</v>
      </c>
      <c r="G14" t="n">
        <v>27.674664</v>
      </c>
      <c r="H14" t="n">
        <v>26.287764</v>
      </c>
      <c r="I14" t="n">
        <v>25.797014</v>
      </c>
      <c r="J14" t="n">
        <v>25.399086</v>
      </c>
      <c r="K14" t="n">
        <v>24.899</v>
      </c>
      <c r="L14" t="n">
        <v>24.675621</v>
      </c>
      <c r="M14" t="n">
        <v>24.706846</v>
      </c>
      <c r="N14" t="n">
        <v>24.538458</v>
      </c>
      <c r="O14" t="n">
        <v>24.413212</v>
      </c>
      <c r="P14" t="n">
        <v>24.381813</v>
      </c>
      <c r="Q14" t="n">
        <v>24.200912</v>
      </c>
      <c r="R14" t="n">
        <v>24.348745</v>
      </c>
      <c r="S14" t="n">
        <v>24.217527</v>
      </c>
      <c r="T14" t="n">
        <v>23.927593</v>
      </c>
      <c r="U14" t="n">
        <v>23.785702</v>
      </c>
      <c r="V14" t="n">
        <v>23.517384</v>
      </c>
      <c r="W14" t="n">
        <v>23.278688</v>
      </c>
      <c r="X14" t="n">
        <v>22.960827</v>
      </c>
      <c r="Y14" t="n">
        <v>23.000324</v>
      </c>
      <c r="Z14" t="n">
        <v>21.883543</v>
      </c>
      <c r="AA14" t="n">
        <v>21.605103</v>
      </c>
      <c r="AB14" t="n">
        <v>21.787703</v>
      </c>
      <c r="AC14" t="n">
        <v>21.908485</v>
      </c>
      <c r="AD14" t="n">
        <v>21.966629</v>
      </c>
      <c r="AE14" t="n">
        <v>22.09486</v>
      </c>
      <c r="AF14" t="n">
        <v>22.340118</v>
      </c>
      <c r="AG14" s="31" t="n">
        <v>-0.01</v>
      </c>
    </row>
    <row r="15">
      <c r="A15" t="inlineStr">
        <is>
          <t>Distillate Fuel Oil</t>
        </is>
      </c>
      <c r="B15" t="inlineStr">
        <is>
          <t>Industrial: Energy Prices: Distillate Fuel Oil: High Zero-Carbon Technology Cost</t>
        </is>
      </c>
      <c r="C15" t="inlineStr">
        <is>
          <t>AEO.2025.HIGHZTC.PRCE_NA_IDAL_NA_DFO_NA_USA_Y13DLRPMMBTU.A</t>
        </is>
      </c>
      <c r="D15" t="inlineStr">
        <is>
          <t>2024 $/MMBtu</t>
        </is>
      </c>
      <c r="F15" t="n">
        <v>26.091763</v>
      </c>
      <c r="G15" t="n">
        <v>24.600626</v>
      </c>
      <c r="H15" t="n">
        <v>23.425852</v>
      </c>
      <c r="I15" t="n">
        <v>22.88941</v>
      </c>
      <c r="J15" t="n">
        <v>22.557371</v>
      </c>
      <c r="K15" t="n">
        <v>22.274755</v>
      </c>
      <c r="L15" t="n">
        <v>22.032902</v>
      </c>
      <c r="M15" t="n">
        <v>22.079994</v>
      </c>
      <c r="N15" t="n">
        <v>21.943752</v>
      </c>
      <c r="O15" t="n">
        <v>22.273958</v>
      </c>
      <c r="P15" t="n">
        <v>22.39349</v>
      </c>
      <c r="Q15" t="n">
        <v>22.623447</v>
      </c>
      <c r="R15" t="n">
        <v>22.746523</v>
      </c>
      <c r="S15" t="n">
        <v>23.008989</v>
      </c>
      <c r="T15" t="n">
        <v>23.10652</v>
      </c>
      <c r="U15" t="n">
        <v>23.218241</v>
      </c>
      <c r="V15" t="n">
        <v>23.399351</v>
      </c>
      <c r="W15" t="n">
        <v>23.679426</v>
      </c>
      <c r="X15" t="n">
        <v>23.916767</v>
      </c>
      <c r="Y15" t="n">
        <v>24.223963</v>
      </c>
      <c r="Z15" t="n">
        <v>24.880014</v>
      </c>
      <c r="AA15" t="n">
        <v>24.792429</v>
      </c>
      <c r="AB15" t="n">
        <v>24.880751</v>
      </c>
      <c r="AC15" t="n">
        <v>24.838329</v>
      </c>
      <c r="AD15" t="n">
        <v>24.82336</v>
      </c>
      <c r="AE15" t="n">
        <v>24.858402</v>
      </c>
      <c r="AF15" t="n">
        <v>25.202454</v>
      </c>
      <c r="AG15" s="31" t="n">
        <v>-0.001</v>
      </c>
    </row>
    <row r="16">
      <c r="A16" t="inlineStr">
        <is>
          <t>Residual Fuel Oil</t>
        </is>
      </c>
      <c r="B16" t="inlineStr">
        <is>
          <t>Industrial: Energy Prices: Residual Fuel Oil: High Zero-Carbon Technology Cost</t>
        </is>
      </c>
      <c r="C16" t="inlineStr">
        <is>
          <t>AEO.2025.HIGHZTC.PRCE_NA_IDAL_NA_RFO_NA_USA_Y13DLRPMMBTU.A</t>
        </is>
      </c>
      <c r="D16" t="inlineStr">
        <is>
          <t>2024 $/MMBtu</t>
        </is>
      </c>
      <c r="F16" t="n">
        <v>7.83466</v>
      </c>
      <c r="G16" t="n">
        <v>8.848094</v>
      </c>
      <c r="H16" t="n">
        <v>9.435161000000001</v>
      </c>
      <c r="I16" t="n">
        <v>10.629246</v>
      </c>
      <c r="J16" t="n">
        <v>11.88067</v>
      </c>
      <c r="K16" t="n">
        <v>13.214781</v>
      </c>
      <c r="L16" t="n">
        <v>14.622335</v>
      </c>
      <c r="M16" t="n">
        <v>14.725853</v>
      </c>
      <c r="N16" t="n">
        <v>14.700524</v>
      </c>
      <c r="O16" t="n">
        <v>14.992572</v>
      </c>
      <c r="P16" t="n">
        <v>15.113938</v>
      </c>
      <c r="Q16" t="n">
        <v>15.285793</v>
      </c>
      <c r="R16" t="n">
        <v>15.383565</v>
      </c>
      <c r="S16" t="n">
        <v>15.518867</v>
      </c>
      <c r="T16" t="n">
        <v>15.634306</v>
      </c>
      <c r="U16" t="n">
        <v>15.663942</v>
      </c>
      <c r="V16" t="n">
        <v>15.779115</v>
      </c>
      <c r="W16" t="n">
        <v>15.889836</v>
      </c>
      <c r="X16" t="n">
        <v>16.038828</v>
      </c>
      <c r="Y16" t="n">
        <v>16.101131</v>
      </c>
      <c r="Z16" t="n">
        <v>16.053886</v>
      </c>
      <c r="AA16" t="n">
        <v>16.051018</v>
      </c>
      <c r="AB16" t="n">
        <v>16.34535</v>
      </c>
      <c r="AC16" t="n">
        <v>16.306047</v>
      </c>
      <c r="AD16" t="n">
        <v>16.344069</v>
      </c>
      <c r="AE16" t="n">
        <v>16.451635</v>
      </c>
      <c r="AF16" t="n">
        <v>16.998318</v>
      </c>
      <c r="AG16" s="31" t="n">
        <v>0.03</v>
      </c>
    </row>
    <row r="17">
      <c r="A17" t="inlineStr">
        <is>
          <t>Asphalt and Road Oil</t>
        </is>
      </c>
      <c r="B17" t="inlineStr">
        <is>
          <t>Industrial: Energy Prices: Asphalt and Road Oil: High Zero-Carbon Technology Cost</t>
        </is>
      </c>
      <c r="C17" t="inlineStr">
        <is>
          <t>AEO.2025.HIGHZTC.PRCE_NA_IDAL_NA_ARO_NA_USA_Y13DLRPMMBTU.A</t>
        </is>
      </c>
      <c r="D17" t="inlineStr">
        <is>
          <t>2024 $/MMBtu</t>
        </is>
      </c>
      <c r="F17" t="n">
        <v>7.535996</v>
      </c>
      <c r="G17" t="n">
        <v>8.807060999999999</v>
      </c>
      <c r="H17" t="n">
        <v>8.571714</v>
      </c>
      <c r="I17" t="n">
        <v>8.758927</v>
      </c>
      <c r="J17" t="n">
        <v>8.982862000000001</v>
      </c>
      <c r="K17" t="n">
        <v>9.272328999999999</v>
      </c>
      <c r="L17" t="n">
        <v>9.597788</v>
      </c>
      <c r="M17" t="n">
        <v>9.626868999999999</v>
      </c>
      <c r="N17" t="n">
        <v>9.576499</v>
      </c>
      <c r="O17" t="n">
        <v>9.736337000000001</v>
      </c>
      <c r="P17" t="n">
        <v>9.803224</v>
      </c>
      <c r="Q17" t="n">
        <v>9.889682000000001</v>
      </c>
      <c r="R17" t="n">
        <v>9.944660000000001</v>
      </c>
      <c r="S17" t="n">
        <v>10.012337</v>
      </c>
      <c r="T17" t="n">
        <v>10.073389</v>
      </c>
      <c r="U17" t="n">
        <v>10.068779</v>
      </c>
      <c r="V17" t="n">
        <v>10.152576</v>
      </c>
      <c r="W17" t="n">
        <v>10.247764</v>
      </c>
      <c r="X17" t="n">
        <v>10.325734</v>
      </c>
      <c r="Y17" t="n">
        <v>10.296822</v>
      </c>
      <c r="Z17" t="n">
        <v>10.155124</v>
      </c>
      <c r="AA17" t="n">
        <v>10.215075</v>
      </c>
      <c r="AB17" t="n">
        <v>10.342485</v>
      </c>
      <c r="AC17" t="n">
        <v>10.290125</v>
      </c>
      <c r="AD17" t="n">
        <v>10.252983</v>
      </c>
      <c r="AE17" t="n">
        <v>10.41711</v>
      </c>
      <c r="AF17" t="n">
        <v>10.703161</v>
      </c>
      <c r="AG17" s="31" t="n">
        <v>0.014</v>
      </c>
    </row>
    <row r="18">
      <c r="A18" t="inlineStr">
        <is>
          <t>Natural Gas</t>
        </is>
      </c>
      <c r="B18" t="inlineStr">
        <is>
          <t>Industrial: Energy Prices: Natural Gas: High Zero-Carbon Technology Cost</t>
        </is>
      </c>
      <c r="C18" t="inlineStr">
        <is>
          <t>AEO.2025.HIGHZTC.PRCE_NA_IDAL_NA_NG_NA_USA_Y13DLRPMMBTU.A</t>
        </is>
      </c>
      <c r="D18" t="inlineStr">
        <is>
          <t>2024 $/MMBtu</t>
        </is>
      </c>
      <c r="F18" t="n">
        <v>3.36092</v>
      </c>
      <c r="G18" t="n">
        <v>4.039081</v>
      </c>
      <c r="H18" t="n">
        <v>3.947378</v>
      </c>
      <c r="I18" t="n">
        <v>3.823099</v>
      </c>
      <c r="J18" t="n">
        <v>3.901809</v>
      </c>
      <c r="K18" t="n">
        <v>4.050515</v>
      </c>
      <c r="L18" t="n">
        <v>4.267354</v>
      </c>
      <c r="M18" t="n">
        <v>4.432152</v>
      </c>
      <c r="N18" t="n">
        <v>4.875979</v>
      </c>
      <c r="O18" t="n">
        <v>5.225038</v>
      </c>
      <c r="P18" t="n">
        <v>5.456037</v>
      </c>
      <c r="Q18" t="n">
        <v>5.537374</v>
      </c>
      <c r="R18" t="n">
        <v>5.522622</v>
      </c>
      <c r="S18" t="n">
        <v>5.471223</v>
      </c>
      <c r="T18" t="n">
        <v>5.405282</v>
      </c>
      <c r="U18" t="n">
        <v>5.327897</v>
      </c>
      <c r="V18" t="n">
        <v>5.350899</v>
      </c>
      <c r="W18" t="n">
        <v>5.447668</v>
      </c>
      <c r="X18" t="n">
        <v>5.53614</v>
      </c>
      <c r="Y18" t="n">
        <v>5.607039</v>
      </c>
      <c r="Z18" t="n">
        <v>5.661417</v>
      </c>
      <c r="AA18" t="n">
        <v>5.721578</v>
      </c>
      <c r="AB18" t="n">
        <v>5.771735</v>
      </c>
      <c r="AC18" t="n">
        <v>5.777755</v>
      </c>
      <c r="AD18" t="n">
        <v>5.79364</v>
      </c>
      <c r="AE18" t="n">
        <v>5.855846</v>
      </c>
      <c r="AF18" t="n">
        <v>5.927567</v>
      </c>
      <c r="AG18" s="31" t="n">
        <v>0.022</v>
      </c>
    </row>
    <row r="19">
      <c r="A19" t="inlineStr">
        <is>
          <t>Hydrogen</t>
        </is>
      </c>
      <c r="B19" t="inlineStr">
        <is>
          <t>Industrial: Energy Prices: Hydrogen: High Zero-Carbon Technology Cost</t>
        </is>
      </c>
      <c r="C19" t="inlineStr">
        <is>
          <t>AEO.2025.HIGHZTC.PRCE_NA_IDAL_NA_HDG_NA_USA_Y13DLRPMMBTU.A</t>
        </is>
      </c>
      <c r="D19" t="inlineStr">
        <is>
          <t>2024 $/MMBtu</t>
        </is>
      </c>
      <c r="F19" t="n">
        <v>9.533875</v>
      </c>
      <c r="G19" t="n">
        <v>10.619709</v>
      </c>
      <c r="H19" t="n">
        <v>10.514131</v>
      </c>
      <c r="I19" t="n">
        <v>10.426125</v>
      </c>
      <c r="J19" t="n">
        <v>10.55792</v>
      </c>
      <c r="K19" t="n">
        <v>10.787679</v>
      </c>
      <c r="L19" t="n">
        <v>11.065716</v>
      </c>
      <c r="M19" t="n">
        <v>11.319676</v>
      </c>
      <c r="N19" t="n">
        <v>11.63994</v>
      </c>
      <c r="O19" t="n">
        <v>12.155972</v>
      </c>
      <c r="P19" t="n">
        <v>12.524699</v>
      </c>
      <c r="Q19" t="n">
        <v>12.666781</v>
      </c>
      <c r="R19" t="n">
        <v>12.616203</v>
      </c>
      <c r="S19" t="n">
        <v>12.533028</v>
      </c>
      <c r="T19" t="n">
        <v>12.742199</v>
      </c>
      <c r="U19" t="n">
        <v>12.81229</v>
      </c>
      <c r="V19" t="n">
        <v>12.800771</v>
      </c>
      <c r="W19" t="n">
        <v>12.675635</v>
      </c>
      <c r="X19" t="n">
        <v>12.587033</v>
      </c>
      <c r="Y19" t="n">
        <v>12.651853</v>
      </c>
      <c r="Z19" t="n">
        <v>12.824852</v>
      </c>
      <c r="AA19" t="n">
        <v>12.7927</v>
      </c>
      <c r="AB19" t="n">
        <v>12.813029</v>
      </c>
      <c r="AC19" t="n">
        <v>12.789708</v>
      </c>
      <c r="AD19" t="n">
        <v>12.823941</v>
      </c>
      <c r="AE19" t="n">
        <v>12.685263</v>
      </c>
      <c r="AF19" t="n">
        <v>12.783066</v>
      </c>
      <c r="AG19" s="31" t="n">
        <v>0.011</v>
      </c>
    </row>
    <row r="20">
      <c r="A20" t="inlineStr">
        <is>
          <t>Metallurgical Coal</t>
        </is>
      </c>
      <c r="B20" t="inlineStr">
        <is>
          <t>Industrial: Energy Prices: Metallurgical Coal: High Zero-Carbon Technology Cost</t>
        </is>
      </c>
      <c r="C20" t="inlineStr">
        <is>
          <t>AEO.2025.HIGHZTC.PRCE_NA_IDAL_NA_MTC_NA_USA_Y13DLRPMMBTU.A</t>
        </is>
      </c>
      <c r="D20" t="inlineStr">
        <is>
          <t>2024 $/MMBtu</t>
        </is>
      </c>
      <c r="F20" t="n">
        <v>7.767755</v>
      </c>
      <c r="G20" t="n">
        <v>7.639748</v>
      </c>
      <c r="H20" t="n">
        <v>7.585148</v>
      </c>
      <c r="I20" t="n">
        <v>7.555212</v>
      </c>
      <c r="J20" t="n">
        <v>7.520931</v>
      </c>
      <c r="K20" t="n">
        <v>7.512826</v>
      </c>
      <c r="L20" t="n">
        <v>7.510444</v>
      </c>
      <c r="M20" t="n">
        <v>7.515949</v>
      </c>
      <c r="N20" t="n">
        <v>7.537591</v>
      </c>
      <c r="O20" t="n">
        <v>7.537167</v>
      </c>
      <c r="P20" t="n">
        <v>7.49989</v>
      </c>
      <c r="Q20" t="n">
        <v>7.518089</v>
      </c>
      <c r="R20" t="n">
        <v>7.517967</v>
      </c>
      <c r="S20" t="n">
        <v>7.515557</v>
      </c>
      <c r="T20" t="n">
        <v>7.51727</v>
      </c>
      <c r="U20" t="n">
        <v>7.498265</v>
      </c>
      <c r="V20" t="n">
        <v>7.496222</v>
      </c>
      <c r="W20" t="n">
        <v>7.466915</v>
      </c>
      <c r="X20" t="n">
        <v>7.461041</v>
      </c>
      <c r="Y20" t="n">
        <v>7.453232</v>
      </c>
      <c r="Z20" t="n">
        <v>7.458103</v>
      </c>
      <c r="AA20" t="n">
        <v>7.471511</v>
      </c>
      <c r="AB20" t="n">
        <v>7.467525</v>
      </c>
      <c r="AC20" t="n">
        <v>7.46251</v>
      </c>
      <c r="AD20" t="n">
        <v>7.461265</v>
      </c>
      <c r="AE20" t="n">
        <v>7.469367</v>
      </c>
      <c r="AF20" t="n">
        <v>7.466943</v>
      </c>
      <c r="AG20" s="31" t="n">
        <v>-0.002</v>
      </c>
    </row>
    <row r="21">
      <c r="A21" t="inlineStr">
        <is>
          <t>Steam Coal</t>
        </is>
      </c>
      <c r="B21" t="inlineStr">
        <is>
          <t>Industrial: Energy Prices: Other Industrial Coal: High Zero-Carbon Technology Cost</t>
        </is>
      </c>
      <c r="C21" t="inlineStr">
        <is>
          <t>AEO.2025.HIGHZTC.PRCE_NA_IDAL_NA_STC_NA_USA_Y13DLRPMMBTU.A</t>
        </is>
      </c>
      <c r="D21" t="inlineStr">
        <is>
          <t>2024 $/MMBtu</t>
        </is>
      </c>
      <c r="F21" t="n">
        <v>3.572155</v>
      </c>
      <c r="G21" t="n">
        <v>3.624099</v>
      </c>
      <c r="H21" t="n">
        <v>3.618806</v>
      </c>
      <c r="I21" t="n">
        <v>3.601768</v>
      </c>
      <c r="J21" t="n">
        <v>3.571336</v>
      </c>
      <c r="K21" t="n">
        <v>3.55915</v>
      </c>
      <c r="L21" t="n">
        <v>3.533537</v>
      </c>
      <c r="M21" t="n">
        <v>3.497851</v>
      </c>
      <c r="N21" t="n">
        <v>3.464142</v>
      </c>
      <c r="O21" t="n">
        <v>3.459587</v>
      </c>
      <c r="P21" t="n">
        <v>3.441433</v>
      </c>
      <c r="Q21" t="n">
        <v>3.415449</v>
      </c>
      <c r="R21" t="n">
        <v>3.421638</v>
      </c>
      <c r="S21" t="n">
        <v>3.423545</v>
      </c>
      <c r="T21" t="n">
        <v>3.432421</v>
      </c>
      <c r="U21" t="n">
        <v>3.428609</v>
      </c>
      <c r="V21" t="n">
        <v>3.430913</v>
      </c>
      <c r="W21" t="n">
        <v>3.425192</v>
      </c>
      <c r="X21" t="n">
        <v>3.418891</v>
      </c>
      <c r="Y21" t="n">
        <v>3.422088</v>
      </c>
      <c r="Z21" t="n">
        <v>3.426063</v>
      </c>
      <c r="AA21" t="n">
        <v>3.434236</v>
      </c>
      <c r="AB21" t="n">
        <v>3.444175</v>
      </c>
      <c r="AC21" t="n">
        <v>3.448749</v>
      </c>
      <c r="AD21" t="n">
        <v>3.448136</v>
      </c>
      <c r="AE21" t="n">
        <v>3.449347</v>
      </c>
      <c r="AF21" t="n">
        <v>3.454516</v>
      </c>
      <c r="AG21" s="31" t="n">
        <v>-0.001</v>
      </c>
    </row>
    <row r="22">
      <c r="A22" t="inlineStr">
        <is>
          <t>Electricity</t>
        </is>
      </c>
      <c r="B22" t="inlineStr">
        <is>
          <t>Industrial: Energy Prices: Electricity: High Zero-Carbon Technology Cost</t>
        </is>
      </c>
      <c r="C22" t="inlineStr">
        <is>
          <t>AEO.2025.HIGHZTC.PRCE_NA_IDAL_NA_ELC_NA_USA_Y13DLRPMMBTU.A</t>
        </is>
      </c>
      <c r="D22" t="inlineStr">
        <is>
          <t>2024 $/MMBtu</t>
        </is>
      </c>
      <c r="F22" t="n">
        <v>26.507746</v>
      </c>
      <c r="G22" t="n">
        <v>25.922054</v>
      </c>
      <c r="H22" t="n">
        <v>23.537739</v>
      </c>
      <c r="I22" t="n">
        <v>22.156487</v>
      </c>
      <c r="J22" t="n">
        <v>22.004316</v>
      </c>
      <c r="K22" t="n">
        <v>22.322678</v>
      </c>
      <c r="L22" t="n">
        <v>22.749052</v>
      </c>
      <c r="M22" t="n">
        <v>23.346399</v>
      </c>
      <c r="N22" t="n">
        <v>23.998974</v>
      </c>
      <c r="O22" t="n">
        <v>24.751463</v>
      </c>
      <c r="P22" t="n">
        <v>24.95269</v>
      </c>
      <c r="Q22" t="n">
        <v>24.768763</v>
      </c>
      <c r="R22" t="n">
        <v>24.45256</v>
      </c>
      <c r="S22" t="n">
        <v>24.243956</v>
      </c>
      <c r="T22" t="n">
        <v>24.34145</v>
      </c>
      <c r="U22" t="n">
        <v>24.228069</v>
      </c>
      <c r="V22" t="n">
        <v>24.145441</v>
      </c>
      <c r="W22" t="n">
        <v>24.157953</v>
      </c>
      <c r="X22" t="n">
        <v>24.287434</v>
      </c>
      <c r="Y22" t="n">
        <v>24.39603</v>
      </c>
      <c r="Z22" t="n">
        <v>24.534168</v>
      </c>
      <c r="AA22" t="n">
        <v>24.641457</v>
      </c>
      <c r="AB22" t="n">
        <v>24.755726</v>
      </c>
      <c r="AC22" t="n">
        <v>24.854349</v>
      </c>
      <c r="AD22" t="n">
        <v>25.022724</v>
      </c>
      <c r="AE22" t="n">
        <v>25.199516</v>
      </c>
      <c r="AF22" t="n">
        <v>25.411121</v>
      </c>
      <c r="AG22" s="31" t="n">
        <v>-0.002</v>
      </c>
    </row>
    <row r="23">
      <c r="A23" t="inlineStr">
        <is>
          <t>(nominal dollars per MMBtu)</t>
        </is>
      </c>
    </row>
    <row r="24">
      <c r="A24" t="inlineStr">
        <is>
          <t>Propane</t>
        </is>
      </c>
      <c r="B24" t="inlineStr">
        <is>
          <t>Industrial: Energy Prices: Nominal: Propane: High Zero-Carbon Technology Cost</t>
        </is>
      </c>
      <c r="C24" t="inlineStr">
        <is>
          <t>AEO.2025.HIGHZTC.PRCE_NA_IDAL_HAP_PROP_NA_USA_NDLRPMBTU.A</t>
        </is>
      </c>
      <c r="D24" t="inlineStr">
        <is>
          <t>nom $/MMBtu</t>
        </is>
      </c>
      <c r="F24" t="n">
        <v>12.66026</v>
      </c>
      <c r="G24" t="n">
        <v>12.863893</v>
      </c>
      <c r="H24" t="n">
        <v>13.973295</v>
      </c>
      <c r="I24" t="n">
        <v>14.048564</v>
      </c>
      <c r="J24" t="n">
        <v>14.43579</v>
      </c>
      <c r="K24" t="n">
        <v>15.016267</v>
      </c>
      <c r="L24" t="n">
        <v>15.940687</v>
      </c>
      <c r="M24" t="n">
        <v>16.79492</v>
      </c>
      <c r="N24" t="n">
        <v>18.076534</v>
      </c>
      <c r="O24" t="n">
        <v>19.648006</v>
      </c>
      <c r="P24" t="n">
        <v>20.92911</v>
      </c>
      <c r="Q24" t="n">
        <v>21.779829</v>
      </c>
      <c r="R24" t="n">
        <v>22.498993</v>
      </c>
      <c r="S24" t="n">
        <v>23.113136</v>
      </c>
      <c r="T24" t="n">
        <v>23.563791</v>
      </c>
      <c r="U24" t="n">
        <v>24.032267</v>
      </c>
      <c r="V24" t="n">
        <v>24.667187</v>
      </c>
      <c r="W24" t="n">
        <v>25.551607</v>
      </c>
      <c r="X24" t="n">
        <v>26.38966</v>
      </c>
      <c r="Y24" t="n">
        <v>27.487337</v>
      </c>
      <c r="Z24" t="n">
        <v>28.789852</v>
      </c>
      <c r="AA24" t="n">
        <v>29.676821</v>
      </c>
      <c r="AB24" t="n">
        <v>30.551477</v>
      </c>
      <c r="AC24" t="n">
        <v>31.264862</v>
      </c>
      <c r="AD24" t="n">
        <v>32.095585</v>
      </c>
      <c r="AE24" t="n">
        <v>33.291042</v>
      </c>
      <c r="AF24" t="n">
        <v>35.07243</v>
      </c>
      <c r="AG24" s="31" t="n">
        <v>0.04</v>
      </c>
    </row>
    <row r="25">
      <c r="A25" t="inlineStr">
        <is>
          <t>Motor Gasoline</t>
        </is>
      </c>
      <c r="B25" t="inlineStr">
        <is>
          <t>Industrial: Energy Prices: Nominal: Motor Gasoline: High Zero-Carbon Technology Cost</t>
        </is>
      </c>
      <c r="C25" t="inlineStr">
        <is>
          <t>AEO.2025.HIGHZTC.PRCE_NA_IDAL_NA_MGS_NA_USA_NDLRPMBTU.A</t>
        </is>
      </c>
      <c r="D25" t="inlineStr">
        <is>
          <t>nom $/MMBtu</t>
        </is>
      </c>
      <c r="F25" t="n">
        <v>28.673464</v>
      </c>
      <c r="G25" t="n">
        <v>28.241562</v>
      </c>
      <c r="H25" t="n">
        <v>27.279961</v>
      </c>
      <c r="I25" t="n">
        <v>27.218655</v>
      </c>
      <c r="J25" t="n">
        <v>27.306154</v>
      </c>
      <c r="K25" t="n">
        <v>27.246258</v>
      </c>
      <c r="L25" t="n">
        <v>27.509274</v>
      </c>
      <c r="M25" t="n">
        <v>28.113613</v>
      </c>
      <c r="N25" t="n">
        <v>28.518017</v>
      </c>
      <c r="O25" t="n">
        <v>28.995035</v>
      </c>
      <c r="P25" t="n">
        <v>29.603909</v>
      </c>
      <c r="Q25" t="n">
        <v>30.023756</v>
      </c>
      <c r="R25" t="n">
        <v>30.833324</v>
      </c>
      <c r="S25" t="n">
        <v>31.305521</v>
      </c>
      <c r="T25" t="n">
        <v>31.575144</v>
      </c>
      <c r="U25" t="n">
        <v>32.034389</v>
      </c>
      <c r="V25" t="n">
        <v>32.337093</v>
      </c>
      <c r="W25" t="n">
        <v>32.691845</v>
      </c>
      <c r="X25" t="n">
        <v>32.941139</v>
      </c>
      <c r="Y25" t="n">
        <v>33.721119</v>
      </c>
      <c r="Z25" t="n">
        <v>32.792706</v>
      </c>
      <c r="AA25" t="n">
        <v>33.096645</v>
      </c>
      <c r="AB25" t="n">
        <v>34.121384</v>
      </c>
      <c r="AC25" t="n">
        <v>35.088142</v>
      </c>
      <c r="AD25" t="n">
        <v>35.982105</v>
      </c>
      <c r="AE25" t="n">
        <v>37.01955</v>
      </c>
      <c r="AF25" t="n">
        <v>38.29015</v>
      </c>
      <c r="AG25" s="31" t="n">
        <v>0.011</v>
      </c>
    </row>
    <row r="26">
      <c r="A26" t="inlineStr">
        <is>
          <t>Distillate Fuel Oil</t>
        </is>
      </c>
      <c r="B26" t="inlineStr">
        <is>
          <t>Industrial: Energy Prices: Nominal: Distillate Fuel Oil: High Zero-Carbon Technology Cost</t>
        </is>
      </c>
      <c r="C26" t="inlineStr">
        <is>
          <t>AEO.2025.HIGHZTC.PRCE_NA_IDAL_NA_DFO_NA_USA_NDLRPMBTU.A</t>
        </is>
      </c>
      <c r="D26" t="inlineStr">
        <is>
          <t>nom $/MMBtu</t>
        </is>
      </c>
      <c r="F26" t="n">
        <v>26.091763</v>
      </c>
      <c r="G26" t="n">
        <v>25.104553</v>
      </c>
      <c r="H26" t="n">
        <v>24.31003</v>
      </c>
      <c r="I26" t="n">
        <v>24.150816</v>
      </c>
      <c r="J26" t="n">
        <v>24.251072</v>
      </c>
      <c r="K26" t="n">
        <v>24.374624</v>
      </c>
      <c r="L26" t="n">
        <v>24.563076</v>
      </c>
      <c r="M26" t="n">
        <v>25.124552</v>
      </c>
      <c r="N26" t="n">
        <v>25.502512</v>
      </c>
      <c r="O26" t="n">
        <v>26.454292</v>
      </c>
      <c r="P26" t="n">
        <v>27.189726</v>
      </c>
      <c r="Q26" t="n">
        <v>28.066748</v>
      </c>
      <c r="R26" t="n">
        <v>28.804398</v>
      </c>
      <c r="S26" t="n">
        <v>29.743267</v>
      </c>
      <c r="T26" t="n">
        <v>30.491646</v>
      </c>
      <c r="U26" t="n">
        <v>31.270138</v>
      </c>
      <c r="V26" t="n">
        <v>32.174793</v>
      </c>
      <c r="W26" t="n">
        <v>33.254627</v>
      </c>
      <c r="X26" t="n">
        <v>34.312599</v>
      </c>
      <c r="Y26" t="n">
        <v>35.515114</v>
      </c>
      <c r="Z26" t="n">
        <v>37.282944</v>
      </c>
      <c r="AA26" t="n">
        <v>37.979282</v>
      </c>
      <c r="AB26" t="n">
        <v>38.965359</v>
      </c>
      <c r="AC26" t="n">
        <v>39.780514</v>
      </c>
      <c r="AD26" t="n">
        <v>40.66153</v>
      </c>
      <c r="AE26" t="n">
        <v>41.649815</v>
      </c>
      <c r="AF26" t="n">
        <v>43.196087</v>
      </c>
      <c r="AG26" s="31" t="n">
        <v>0.02</v>
      </c>
    </row>
    <row r="27">
      <c r="A27" t="inlineStr">
        <is>
          <t>Residual Fuel Oil</t>
        </is>
      </c>
      <c r="B27" t="inlineStr">
        <is>
          <t>Industrial: Energy Prices: Nominal: Residual Fuel Oil: High Zero-Carbon Technology Cost</t>
        </is>
      </c>
      <c r="C27" t="inlineStr">
        <is>
          <t>AEO.2025.HIGHZTC.PRCE_NA_IDAL_NA_RFO_NA_USA_NDLRPMBTU.A</t>
        </is>
      </c>
      <c r="D27" t="inlineStr">
        <is>
          <t>nom $/MMBtu</t>
        </is>
      </c>
      <c r="F27" t="n">
        <v>7.83466</v>
      </c>
      <c r="G27" t="n">
        <v>9.029342</v>
      </c>
      <c r="H27" t="n">
        <v>9.791278999999999</v>
      </c>
      <c r="I27" t="n">
        <v>11.21501</v>
      </c>
      <c r="J27" t="n">
        <v>12.772719</v>
      </c>
      <c r="K27" t="n">
        <v>14.460553</v>
      </c>
      <c r="L27" t="n">
        <v>16.301508</v>
      </c>
      <c r="M27" t="n">
        <v>16.756365</v>
      </c>
      <c r="N27" t="n">
        <v>17.084602</v>
      </c>
      <c r="O27" t="n">
        <v>17.806349</v>
      </c>
      <c r="P27" t="n">
        <v>18.351042</v>
      </c>
      <c r="Q27" t="n">
        <v>18.963621</v>
      </c>
      <c r="R27" t="n">
        <v>19.48053</v>
      </c>
      <c r="S27" t="n">
        <v>20.060932</v>
      </c>
      <c r="T27" t="n">
        <v>20.631222</v>
      </c>
      <c r="U27" t="n">
        <v>21.096069</v>
      </c>
      <c r="V27" t="n">
        <v>21.696745</v>
      </c>
      <c r="W27" t="n">
        <v>22.315178</v>
      </c>
      <c r="X27" t="n">
        <v>23.010378</v>
      </c>
      <c r="Y27" t="n">
        <v>23.606112</v>
      </c>
      <c r="Z27" t="n">
        <v>24.056906</v>
      </c>
      <c r="AA27" t="n">
        <v>24.588398</v>
      </c>
      <c r="AB27" t="n">
        <v>25.5982</v>
      </c>
      <c r="AC27" t="n">
        <v>26.115402</v>
      </c>
      <c r="AD27" t="n">
        <v>26.772156</v>
      </c>
      <c r="AE27" t="n">
        <v>27.564425</v>
      </c>
      <c r="AF27" t="n">
        <v>29.134497</v>
      </c>
      <c r="AG27" s="31" t="n">
        <v>0.052</v>
      </c>
    </row>
    <row r="28">
      <c r="A28" t="inlineStr">
        <is>
          <t>Asphalt and Road Oil</t>
        </is>
      </c>
      <c r="B28" t="inlineStr">
        <is>
          <t>Industrial: Energy Prices: Nominal: Asphalt and Road Oil: High Zero-Carbon Technology Cost</t>
        </is>
      </c>
      <c r="C28" t="inlineStr">
        <is>
          <t>AEO.2025.HIGHZTC.PRCE_NA_IDAL_NA_ARO_NA_USA_NDLRPMBTU.A</t>
        </is>
      </c>
      <c r="D28" t="inlineStr">
        <is>
          <t>nom $/MMBtu</t>
        </is>
      </c>
      <c r="F28" t="n">
        <v>7.535996</v>
      </c>
      <c r="G28" t="n">
        <v>8.987468</v>
      </c>
      <c r="H28" t="n">
        <v>8.895243000000001</v>
      </c>
      <c r="I28" t="n">
        <v>9.241621</v>
      </c>
      <c r="J28" t="n">
        <v>9.657330999999999</v>
      </c>
      <c r="K28" t="n">
        <v>10.146442</v>
      </c>
      <c r="L28" t="n">
        <v>10.699961</v>
      </c>
      <c r="M28" t="n">
        <v>10.954295</v>
      </c>
      <c r="N28" t="n">
        <v>11.12958</v>
      </c>
      <c r="O28" t="n">
        <v>11.563634</v>
      </c>
      <c r="P28" t="n">
        <v>11.902878</v>
      </c>
      <c r="Q28" t="n">
        <v>12.269182</v>
      </c>
      <c r="R28" t="n">
        <v>12.593131</v>
      </c>
      <c r="S28" t="n">
        <v>12.942751</v>
      </c>
      <c r="T28" t="n">
        <v>13.292968</v>
      </c>
      <c r="U28" t="n">
        <v>13.56055</v>
      </c>
      <c r="V28" t="n">
        <v>13.96009</v>
      </c>
      <c r="W28" t="n">
        <v>14.391631</v>
      </c>
      <c r="X28" t="n">
        <v>14.813991</v>
      </c>
      <c r="Y28" t="n">
        <v>15.096324</v>
      </c>
      <c r="Z28" t="n">
        <v>15.217553</v>
      </c>
      <c r="AA28" t="n">
        <v>15.648374</v>
      </c>
      <c r="AB28" t="n">
        <v>16.197206</v>
      </c>
      <c r="AC28" t="n">
        <v>16.480434</v>
      </c>
      <c r="AD28" t="n">
        <v>16.794744</v>
      </c>
      <c r="AE28" t="n">
        <v>17.453684</v>
      </c>
      <c r="AF28" t="n">
        <v>18.344828</v>
      </c>
      <c r="AG28" s="31" t="n">
        <v>0.035</v>
      </c>
    </row>
    <row r="29">
      <c r="A29" t="inlineStr">
        <is>
          <t>Natural Gas</t>
        </is>
      </c>
      <c r="B29" t="inlineStr">
        <is>
          <t>Industrial: Energy Prices: Nominal: Natural Gas Heat: High Zero-Carbon Technology Cost</t>
        </is>
      </c>
      <c r="C29" t="inlineStr">
        <is>
          <t>AEO.2025.HIGHZTC.PRCE_NA_IDAL_NA_NG_NA_USA_NDLRPMBTU.A</t>
        </is>
      </c>
      <c r="D29" t="inlineStr">
        <is>
          <t>nom $/MMBtu</t>
        </is>
      </c>
      <c r="F29" t="n">
        <v>3.36092</v>
      </c>
      <c r="G29" t="n">
        <v>4.121819</v>
      </c>
      <c r="H29" t="n">
        <v>4.096367</v>
      </c>
      <c r="I29" t="n">
        <v>4.033785</v>
      </c>
      <c r="J29" t="n">
        <v>4.194773</v>
      </c>
      <c r="K29" t="n">
        <v>4.432362</v>
      </c>
      <c r="L29" t="n">
        <v>4.7574</v>
      </c>
      <c r="M29" t="n">
        <v>5.043291</v>
      </c>
      <c r="N29" t="n">
        <v>5.666748</v>
      </c>
      <c r="O29" t="n">
        <v>6.205663</v>
      </c>
      <c r="P29" t="n">
        <v>6.62461</v>
      </c>
      <c r="Q29" t="n">
        <v>6.86969</v>
      </c>
      <c r="R29" t="n">
        <v>6.993411</v>
      </c>
      <c r="S29" t="n">
        <v>7.072542</v>
      </c>
      <c r="T29" t="n">
        <v>7.132877</v>
      </c>
      <c r="U29" t="n">
        <v>7.175567</v>
      </c>
      <c r="V29" t="n">
        <v>7.357642</v>
      </c>
      <c r="W29" t="n">
        <v>7.65053</v>
      </c>
      <c r="X29" t="n">
        <v>7.942518</v>
      </c>
      <c r="Y29" t="n">
        <v>8.220565000000001</v>
      </c>
      <c r="Z29" t="n">
        <v>8.483688000000001</v>
      </c>
      <c r="AA29" t="n">
        <v>8.76483</v>
      </c>
      <c r="AB29" t="n">
        <v>9.039025000000001</v>
      </c>
      <c r="AC29" t="n">
        <v>9.253522999999999</v>
      </c>
      <c r="AD29" t="n">
        <v>9.490183999999999</v>
      </c>
      <c r="AE29" t="n">
        <v>9.811368</v>
      </c>
      <c r="AF29" t="n">
        <v>10.159634</v>
      </c>
      <c r="AG29" s="31" t="n">
        <v>0.043</v>
      </c>
    </row>
    <row r="30">
      <c r="A30" t="inlineStr">
        <is>
          <t>Hydrogen</t>
        </is>
      </c>
      <c r="B30" t="inlineStr">
        <is>
          <t>Industrial: Energy Prices: Nominal: Hydrogen: High Zero-Carbon Technology Cost</t>
        </is>
      </c>
      <c r="C30" t="inlineStr">
        <is>
          <t>AEO.2025.HIGHZTC.PRCE_NA_IDAL_NA_HDG_NA_USA_NDLRPMBTU.A</t>
        </is>
      </c>
      <c r="D30" t="inlineStr">
        <is>
          <t>nom $/MMBtu</t>
        </is>
      </c>
      <c r="F30" t="n">
        <v>9.533875</v>
      </c>
      <c r="G30" t="n">
        <v>10.837247</v>
      </c>
      <c r="H30" t="n">
        <v>10.910973</v>
      </c>
      <c r="I30" t="n">
        <v>11.000694</v>
      </c>
      <c r="J30" t="n">
        <v>11.350653</v>
      </c>
      <c r="K30" t="n">
        <v>11.804646</v>
      </c>
      <c r="L30" t="n">
        <v>12.33646</v>
      </c>
      <c r="M30" t="n">
        <v>12.88052</v>
      </c>
      <c r="N30" t="n">
        <v>13.527663</v>
      </c>
      <c r="O30" t="n">
        <v>14.437382</v>
      </c>
      <c r="P30" t="n">
        <v>15.207238</v>
      </c>
      <c r="Q30" t="n">
        <v>15.714464</v>
      </c>
      <c r="R30" t="n">
        <v>15.976162</v>
      </c>
      <c r="S30" t="n">
        <v>16.201199</v>
      </c>
      <c r="T30" t="n">
        <v>16.814762</v>
      </c>
      <c r="U30" t="n">
        <v>17.255487</v>
      </c>
      <c r="V30" t="n">
        <v>17.601435</v>
      </c>
      <c r="W30" t="n">
        <v>17.801258</v>
      </c>
      <c r="X30" t="n">
        <v>18.058201</v>
      </c>
      <c r="Y30" t="n">
        <v>18.54907</v>
      </c>
      <c r="Z30" t="n">
        <v>19.218168</v>
      </c>
      <c r="AA30" t="n">
        <v>19.597013</v>
      </c>
      <c r="AB30" t="n">
        <v>20.066286</v>
      </c>
      <c r="AC30" t="n">
        <v>20.483709</v>
      </c>
      <c r="AD30" t="n">
        <v>21.006063</v>
      </c>
      <c r="AE30" t="n">
        <v>21.253933</v>
      </c>
      <c r="AF30" t="n">
        <v>21.909708</v>
      </c>
      <c r="AG30" s="31" t="n">
        <v>0.033</v>
      </c>
    </row>
    <row r="31">
      <c r="A31" t="inlineStr">
        <is>
          <t>Metallurgical Coal</t>
        </is>
      </c>
      <c r="B31" t="inlineStr">
        <is>
          <t>Industrial: Energy Prices: Nominal: Metallurgical Coal: High Zero-Carbon Technology Cost</t>
        </is>
      </c>
      <c r="C31" t="inlineStr">
        <is>
          <t>AEO.2025.HIGHZTC.PRCE_NA_IDAL_NA_MTC_NA_USA_NDLRPMBTU.A</t>
        </is>
      </c>
      <c r="D31" t="inlineStr">
        <is>
          <t>nom $/MMBtu</t>
        </is>
      </c>
      <c r="F31" t="n">
        <v>7.767755</v>
      </c>
      <c r="G31" t="n">
        <v>7.796243</v>
      </c>
      <c r="H31" t="n">
        <v>7.871439</v>
      </c>
      <c r="I31" t="n">
        <v>7.97157</v>
      </c>
      <c r="J31" t="n">
        <v>8.085632</v>
      </c>
      <c r="K31" t="n">
        <v>8.221068000000001</v>
      </c>
      <c r="L31" t="n">
        <v>8.372914</v>
      </c>
      <c r="M31" t="n">
        <v>8.552305</v>
      </c>
      <c r="N31" t="n">
        <v>8.760009999999999</v>
      </c>
      <c r="O31" t="n">
        <v>8.951727999999999</v>
      </c>
      <c r="P31" t="n">
        <v>9.106216</v>
      </c>
      <c r="Q31" t="n">
        <v>9.326974999999999</v>
      </c>
      <c r="R31" t="n">
        <v>9.520159</v>
      </c>
      <c r="S31" t="n">
        <v>9.715213</v>
      </c>
      <c r="T31" t="n">
        <v>9.919881999999999</v>
      </c>
      <c r="U31" t="n">
        <v>10.098601</v>
      </c>
      <c r="V31" t="n">
        <v>10.307525</v>
      </c>
      <c r="W31" t="n">
        <v>10.486297</v>
      </c>
      <c r="X31" t="n">
        <v>10.70411</v>
      </c>
      <c r="Y31" t="n">
        <v>10.927295</v>
      </c>
      <c r="Z31" t="n">
        <v>11.176041</v>
      </c>
      <c r="AA31" t="n">
        <v>11.445536</v>
      </c>
      <c r="AB31" t="n">
        <v>11.694777</v>
      </c>
      <c r="AC31" t="n">
        <v>11.95179</v>
      </c>
      <c r="AD31" t="n">
        <v>12.221812</v>
      </c>
      <c r="AE31" t="n">
        <v>12.514791</v>
      </c>
      <c r="AF31" t="n">
        <v>12.798068</v>
      </c>
      <c r="AG31" s="31" t="n">
        <v>0.019</v>
      </c>
    </row>
    <row r="32">
      <c r="A32" t="inlineStr">
        <is>
          <t>Steam Coal</t>
        </is>
      </c>
      <c r="B32" t="inlineStr">
        <is>
          <t>Industrial: Energy Prices: Nominal: Other Industrial Coal: High Zero-Carbon Technology Cost</t>
        </is>
      </c>
      <c r="C32" t="inlineStr">
        <is>
          <t>AEO.2025.HIGHZTC.PRCE_NA_IDAL_NA_STC_NA_USA_NDLRPMBTU.A</t>
        </is>
      </c>
      <c r="D32" t="inlineStr">
        <is>
          <t>nom $/MMBtu</t>
        </is>
      </c>
      <c r="F32" t="n">
        <v>3.572155</v>
      </c>
      <c r="G32" t="n">
        <v>3.698336</v>
      </c>
      <c r="H32" t="n">
        <v>3.755393</v>
      </c>
      <c r="I32" t="n">
        <v>3.800257</v>
      </c>
      <c r="J32" t="n">
        <v>3.839487</v>
      </c>
      <c r="K32" t="n">
        <v>3.894675</v>
      </c>
      <c r="L32" t="n">
        <v>3.939315</v>
      </c>
      <c r="M32" t="n">
        <v>3.980161</v>
      </c>
      <c r="N32" t="n">
        <v>4.025944</v>
      </c>
      <c r="O32" t="n">
        <v>4.108876</v>
      </c>
      <c r="P32" t="n">
        <v>4.178519</v>
      </c>
      <c r="Q32" t="n">
        <v>4.237221</v>
      </c>
      <c r="R32" t="n">
        <v>4.332891</v>
      </c>
      <c r="S32" t="n">
        <v>4.425549</v>
      </c>
      <c r="T32" t="n">
        <v>4.529464</v>
      </c>
      <c r="U32" t="n">
        <v>4.617622</v>
      </c>
      <c r="V32" t="n">
        <v>4.717606</v>
      </c>
      <c r="W32" t="n">
        <v>4.81023</v>
      </c>
      <c r="X32" t="n">
        <v>4.90497</v>
      </c>
      <c r="Y32" t="n">
        <v>5.017175</v>
      </c>
      <c r="Z32" t="n">
        <v>5.133989</v>
      </c>
      <c r="AA32" t="n">
        <v>5.260872</v>
      </c>
      <c r="AB32" t="n">
        <v>5.393869</v>
      </c>
      <c r="AC32" t="n">
        <v>5.523439</v>
      </c>
      <c r="AD32" t="n">
        <v>5.648167</v>
      </c>
      <c r="AE32" t="n">
        <v>5.779319</v>
      </c>
      <c r="AF32" t="n">
        <v>5.920915</v>
      </c>
      <c r="AG32" s="31" t="n">
        <v>0.02</v>
      </c>
    </row>
    <row r="33">
      <c r="A33" t="inlineStr">
        <is>
          <t>Electricity</t>
        </is>
      </c>
      <c r="B33" t="inlineStr">
        <is>
          <t>Industrial: Energy Prices: Nominal: Electricity: High Zero-Carbon Technology Cost</t>
        </is>
      </c>
      <c r="C33" t="inlineStr">
        <is>
          <t>AEO.2025.HIGHZTC.PRCE_NA_IDAL_NA_ELC_NA_USA_NDLRPMBTU.A</t>
        </is>
      </c>
      <c r="D33" t="inlineStr">
        <is>
          <t>nom $/MMBtu</t>
        </is>
      </c>
      <c r="F33" t="n">
        <v>26.507746</v>
      </c>
      <c r="G33" t="n">
        <v>26.453053</v>
      </c>
      <c r="H33" t="n">
        <v>24.42614</v>
      </c>
      <c r="I33" t="n">
        <v>23.377502</v>
      </c>
      <c r="J33" t="n">
        <v>23.65649</v>
      </c>
      <c r="K33" t="n">
        <v>24.427061</v>
      </c>
      <c r="L33" t="n">
        <v>25.361465</v>
      </c>
      <c r="M33" t="n">
        <v>26.565578</v>
      </c>
      <c r="N33" t="n">
        <v>27.891041</v>
      </c>
      <c r="O33" t="n">
        <v>29.39677</v>
      </c>
      <c r="P33" t="n">
        <v>30.297054</v>
      </c>
      <c r="Q33" t="n">
        <v>30.728235</v>
      </c>
      <c r="R33" t="n">
        <v>30.964788</v>
      </c>
      <c r="S33" t="n">
        <v>31.339684</v>
      </c>
      <c r="T33" t="n">
        <v>32.121273</v>
      </c>
      <c r="U33" t="n">
        <v>32.630165</v>
      </c>
      <c r="V33" t="n">
        <v>33.200687</v>
      </c>
      <c r="W33" t="n">
        <v>33.926659</v>
      </c>
      <c r="X33" t="n">
        <v>34.844383</v>
      </c>
      <c r="Y33" t="n">
        <v>35.767387</v>
      </c>
      <c r="Z33" t="n">
        <v>36.76469</v>
      </c>
      <c r="AA33" t="n">
        <v>37.748009</v>
      </c>
      <c r="AB33" t="n">
        <v>38.769558</v>
      </c>
      <c r="AC33" t="n">
        <v>39.806171</v>
      </c>
      <c r="AD33" t="n">
        <v>40.988098</v>
      </c>
      <c r="AE33" t="n">
        <v>42.221344</v>
      </c>
      <c r="AF33" t="n">
        <v>43.553734</v>
      </c>
      <c r="AG33" s="31" t="n">
        <v>0.019</v>
      </c>
    </row>
    <row r="34">
      <c r="A34" t="inlineStr">
        <is>
          <t>Energy Consumption (quadrillion Btu)</t>
        </is>
      </c>
    </row>
    <row r="35">
      <c r="A35" s="1" t="inlineStr">
        <is>
          <t>Industrial End-Use Consumption Excluding Refining and Hydrogen Production</t>
        </is>
      </c>
    </row>
    <row r="36">
      <c r="A36" t="inlineStr">
        <is>
          <t>Propane Heat and Power</t>
        </is>
      </c>
      <c r="B36" t="inlineStr">
        <is>
          <t>Industrial: Energy Use: Excluding Refining: Propane Heat and Power: High Zero-Carbon Technology Cost</t>
        </is>
      </c>
      <c r="C36" t="inlineStr">
        <is>
          <t>AEO.2025.HIGHZTC.CNSM_NA_IDAL_IDEI_LPGHP_NA_USA_QBTU.A</t>
        </is>
      </c>
      <c r="D36" t="inlineStr">
        <is>
          <t>quads</t>
        </is>
      </c>
      <c r="F36" t="n">
        <v>0.057545</v>
      </c>
      <c r="G36" t="n">
        <v>0.1155</v>
      </c>
      <c r="H36" t="n">
        <v>0.116488</v>
      </c>
      <c r="I36" t="n">
        <v>0.117768</v>
      </c>
      <c r="J36" t="n">
        <v>0.118981</v>
      </c>
      <c r="K36" t="n">
        <v>0.120806</v>
      </c>
      <c r="L36" t="n">
        <v>0.122225</v>
      </c>
      <c r="M36" t="n">
        <v>0.123407</v>
      </c>
      <c r="N36" t="n">
        <v>0.125766</v>
      </c>
      <c r="O36" t="n">
        <v>0.126346</v>
      </c>
      <c r="P36" t="n">
        <v>0.127184</v>
      </c>
      <c r="Q36" t="n">
        <v>0.128271</v>
      </c>
      <c r="R36" t="n">
        <v>0.129641</v>
      </c>
      <c r="S36" t="n">
        <v>0.131156</v>
      </c>
      <c r="T36" t="n">
        <v>0.132603</v>
      </c>
      <c r="U36" t="n">
        <v>0.133936</v>
      </c>
      <c r="V36" t="n">
        <v>0.135029</v>
      </c>
      <c r="W36" t="n">
        <v>0.135651</v>
      </c>
      <c r="X36" t="n">
        <v>0.136466</v>
      </c>
      <c r="Y36" t="n">
        <v>0.13723</v>
      </c>
      <c r="Z36" t="n">
        <v>0.138026</v>
      </c>
      <c r="AA36" t="n">
        <v>0.139073</v>
      </c>
      <c r="AB36" t="n">
        <v>0.140203</v>
      </c>
      <c r="AC36" t="n">
        <v>0.141396</v>
      </c>
      <c r="AD36" t="n">
        <v>0.142557</v>
      </c>
      <c r="AE36" t="n">
        <v>0.143824</v>
      </c>
      <c r="AF36" t="n">
        <v>0.144934</v>
      </c>
      <c r="AG36" s="31" t="n">
        <v>0.036</v>
      </c>
    </row>
    <row r="37">
      <c r="A37" t="inlineStr">
        <is>
          <t>Hydrocarbon Gas Liquid Feedstocks</t>
        </is>
      </c>
      <c r="B37" t="inlineStr">
        <is>
          <t>Industrial: Energy Use: Excluding Refining: LPG and Other Feedstocks: High Zero-Carbon Technology Cost</t>
        </is>
      </c>
      <c r="C37" t="inlineStr">
        <is>
          <t>AEO.2025.HIGHZTC.CNSM_NA_IDAL_IDEI_LPGF_NA_USA_QBTU.A</t>
        </is>
      </c>
      <c r="D37" t="inlineStr">
        <is>
          <t>quads</t>
        </is>
      </c>
      <c r="F37" t="n">
        <v>3.485</v>
      </c>
      <c r="G37" t="n">
        <v>3.489802</v>
      </c>
      <c r="H37" t="n">
        <v>3.49178</v>
      </c>
      <c r="I37" t="n">
        <v>3.495489</v>
      </c>
      <c r="J37" t="n">
        <v>3.500911</v>
      </c>
      <c r="K37" t="n">
        <v>3.505162</v>
      </c>
      <c r="L37" t="n">
        <v>3.508227</v>
      </c>
      <c r="M37" t="n">
        <v>3.509183</v>
      </c>
      <c r="N37" t="n">
        <v>3.509037</v>
      </c>
      <c r="O37" t="n">
        <v>3.509996</v>
      </c>
      <c r="P37" t="n">
        <v>3.505924</v>
      </c>
      <c r="Q37" t="n">
        <v>3.501432</v>
      </c>
      <c r="R37" t="n">
        <v>3.498329</v>
      </c>
      <c r="S37" t="n">
        <v>3.492201</v>
      </c>
      <c r="T37" t="n">
        <v>3.520821</v>
      </c>
      <c r="U37" t="n">
        <v>3.588347</v>
      </c>
      <c r="V37" t="n">
        <v>3.662664</v>
      </c>
      <c r="W37" t="n">
        <v>3.722698</v>
      </c>
      <c r="X37" t="n">
        <v>3.785018</v>
      </c>
      <c r="Y37" t="n">
        <v>3.828975</v>
      </c>
      <c r="Z37" t="n">
        <v>3.800663</v>
      </c>
      <c r="AA37" t="n">
        <v>3.760822</v>
      </c>
      <c r="AB37" t="n">
        <v>3.798597</v>
      </c>
      <c r="AC37" t="n">
        <v>3.870811</v>
      </c>
      <c r="AD37" t="n">
        <v>3.923123</v>
      </c>
      <c r="AE37" t="n">
        <v>3.895189</v>
      </c>
      <c r="AF37" t="n">
        <v>3.866342</v>
      </c>
      <c r="AG37" s="31" t="n">
        <v>0.004</v>
      </c>
    </row>
    <row r="38">
      <c r="A38" t="inlineStr">
        <is>
          <t>Ethane</t>
        </is>
      </c>
      <c r="B38" t="inlineStr">
        <is>
          <t>Industrial: Energy Use: Excluding Refining: Ethane: High Zero-Carbon Technology Cost</t>
        </is>
      </c>
      <c r="C38" t="inlineStr">
        <is>
          <t>AEO.2025.HIGHZTC.CNSM_NA_IDAL_IDEI_C2H6_NA_USA_QBTU.A</t>
        </is>
      </c>
      <c r="D38" t="inlineStr">
        <is>
          <t>quads</t>
        </is>
      </c>
      <c r="F38" t="n">
        <v>2.2998</v>
      </c>
      <c r="G38" t="n">
        <v>2.288902</v>
      </c>
      <c r="H38" t="n">
        <v>2.283691</v>
      </c>
      <c r="I38" t="n">
        <v>2.285511</v>
      </c>
      <c r="J38" t="n">
        <v>2.28945</v>
      </c>
      <c r="K38" t="n">
        <v>2.290154</v>
      </c>
      <c r="L38" t="n">
        <v>2.287243</v>
      </c>
      <c r="M38" t="n">
        <v>2.28496</v>
      </c>
      <c r="N38" t="n">
        <v>2.311105</v>
      </c>
      <c r="O38" t="n">
        <v>2.340163</v>
      </c>
      <c r="P38" t="n">
        <v>2.466583</v>
      </c>
      <c r="Q38" t="n">
        <v>2.539263</v>
      </c>
      <c r="R38" t="n">
        <v>2.57182</v>
      </c>
      <c r="S38" t="n">
        <v>2.667409</v>
      </c>
      <c r="T38" t="n">
        <v>2.730169</v>
      </c>
      <c r="U38" t="n">
        <v>2.816665</v>
      </c>
      <c r="V38" t="n">
        <v>2.928883</v>
      </c>
      <c r="W38" t="n">
        <v>3.002764</v>
      </c>
      <c r="X38" t="n">
        <v>3.103962</v>
      </c>
      <c r="Y38" t="n">
        <v>3.126492</v>
      </c>
      <c r="Z38" t="n">
        <v>3.08027</v>
      </c>
      <c r="AA38" t="n">
        <v>2.997216</v>
      </c>
      <c r="AB38" t="n">
        <v>3.040648</v>
      </c>
      <c r="AC38" t="n">
        <v>3.1498</v>
      </c>
      <c r="AD38" t="n">
        <v>3.222384</v>
      </c>
      <c r="AE38" t="n">
        <v>3.237635</v>
      </c>
      <c r="AF38" t="n">
        <v>3.217825</v>
      </c>
      <c r="AG38" s="31" t="n">
        <v>0.013</v>
      </c>
    </row>
    <row r="39">
      <c r="A39" t="inlineStr">
        <is>
          <t>Propane</t>
        </is>
      </c>
      <c r="B39" t="inlineStr">
        <is>
          <t>Industrial: Energy Use: Excluding Refining: Propane: High Zero-Carbon Technology Cost</t>
        </is>
      </c>
      <c r="C39" t="inlineStr">
        <is>
          <t>AEO.2025.HIGHZTC.CNSM_NA_IDAL_IDEI_PROP_NA_USA_QBTU.A</t>
        </is>
      </c>
      <c r="D39" t="inlineStr">
        <is>
          <t>quads</t>
        </is>
      </c>
      <c r="F39" t="n">
        <v>0.3216</v>
      </c>
      <c r="G39" t="n">
        <v>0.3929</v>
      </c>
      <c r="H39" t="n">
        <v>0.386771</v>
      </c>
      <c r="I39" t="n">
        <v>0.387701</v>
      </c>
      <c r="J39" t="n">
        <v>0.388432</v>
      </c>
      <c r="K39" t="n">
        <v>0.390179</v>
      </c>
      <c r="L39" t="n">
        <v>0.393122</v>
      </c>
      <c r="M39" t="n">
        <v>0.394717</v>
      </c>
      <c r="N39" t="n">
        <v>0.381769</v>
      </c>
      <c r="O39" t="n">
        <v>0.367931</v>
      </c>
      <c r="P39" t="n">
        <v>0.303667</v>
      </c>
      <c r="Q39" t="n">
        <v>0.265661</v>
      </c>
      <c r="R39" t="n">
        <v>0.248099</v>
      </c>
      <c r="S39" t="n">
        <v>0.198006</v>
      </c>
      <c r="T39" t="n">
        <v>0.181193</v>
      </c>
      <c r="U39" t="n">
        <v>0.17185</v>
      </c>
      <c r="V39" t="n">
        <v>0.153185</v>
      </c>
      <c r="W39" t="n">
        <v>0.146365</v>
      </c>
      <c r="X39" t="n">
        <v>0.127219</v>
      </c>
      <c r="Y39" t="n">
        <v>0.137771</v>
      </c>
      <c r="Z39" t="n">
        <v>0.146592</v>
      </c>
      <c r="AA39" t="n">
        <v>0.167873</v>
      </c>
      <c r="AB39" t="n">
        <v>0.165087</v>
      </c>
      <c r="AC39" t="n">
        <v>0.146896</v>
      </c>
      <c r="AD39" t="n">
        <v>0.136912</v>
      </c>
      <c r="AE39" t="n">
        <v>0.115645</v>
      </c>
      <c r="AF39" t="n">
        <v>0.111194</v>
      </c>
      <c r="AG39" s="31" t="n">
        <v>-0.04</v>
      </c>
    </row>
    <row r="40">
      <c r="A40" t="inlineStr">
        <is>
          <t>Propylene</t>
        </is>
      </c>
      <c r="B40" t="inlineStr">
        <is>
          <t>Industrial: Energy Use: Excluding Refining: Propylene: High Zero-Carbon Technology Cost</t>
        </is>
      </c>
      <c r="C40" t="inlineStr">
        <is>
          <t>AEO.2025.HIGHZTC.CNSM_NA_IDAL_IDEI_PPL_NA_USA_QBTU.A</t>
        </is>
      </c>
      <c r="D40" t="inlineStr">
        <is>
          <t>quads</t>
        </is>
      </c>
      <c r="F40" t="n">
        <v>0.3857</v>
      </c>
      <c r="G40" t="n">
        <v>0.4031</v>
      </c>
      <c r="H40" t="n">
        <v>0.422732</v>
      </c>
      <c r="I40" t="n">
        <v>0.422732</v>
      </c>
      <c r="J40" t="n">
        <v>0.422732</v>
      </c>
      <c r="K40" t="n">
        <v>0.422732</v>
      </c>
      <c r="L40" t="n">
        <v>0.422732</v>
      </c>
      <c r="M40" t="n">
        <v>0.422732</v>
      </c>
      <c r="N40" t="n">
        <v>0.422732</v>
      </c>
      <c r="O40" t="n">
        <v>0.422732</v>
      </c>
      <c r="P40" t="n">
        <v>0.422732</v>
      </c>
      <c r="Q40" t="n">
        <v>0.422732</v>
      </c>
      <c r="R40" t="n">
        <v>0.422732</v>
      </c>
      <c r="S40" t="n">
        <v>0.422732</v>
      </c>
      <c r="T40" t="n">
        <v>0.422732</v>
      </c>
      <c r="U40" t="n">
        <v>0.422732</v>
      </c>
      <c r="V40" t="n">
        <v>0.422732</v>
      </c>
      <c r="W40" t="n">
        <v>0.422732</v>
      </c>
      <c r="X40" t="n">
        <v>0.422732</v>
      </c>
      <c r="Y40" t="n">
        <v>0.422732</v>
      </c>
      <c r="Z40" t="n">
        <v>0.422732</v>
      </c>
      <c r="AA40" t="n">
        <v>0.422732</v>
      </c>
      <c r="AB40" t="n">
        <v>0.422732</v>
      </c>
      <c r="AC40" t="n">
        <v>0.422732</v>
      </c>
      <c r="AD40" t="n">
        <v>0.422732</v>
      </c>
      <c r="AE40" t="n">
        <v>0.422732</v>
      </c>
      <c r="AF40" t="n">
        <v>0.422732</v>
      </c>
      <c r="AG40" s="31" t="n">
        <v>0.004</v>
      </c>
    </row>
    <row r="41">
      <c r="A41" t="inlineStr">
        <is>
          <t>Butane</t>
        </is>
      </c>
      <c r="B41" t="inlineStr">
        <is>
          <t>Industrial: Energy Use: Excluding Refining: Butane: High Zero-Carbon Technology Cost</t>
        </is>
      </c>
      <c r="C41" t="inlineStr">
        <is>
          <t>AEO.2025.HIGHZTC.CNSM_NA_IDAL_IDEI_NBTN_NA_USA_QBTU.A</t>
        </is>
      </c>
      <c r="D41" t="inlineStr">
        <is>
          <t>quads</t>
        </is>
      </c>
      <c r="F41" t="n">
        <v>0.4779</v>
      </c>
      <c r="G41" t="n">
        <v>0.4049</v>
      </c>
      <c r="H41" t="n">
        <v>0.398585</v>
      </c>
      <c r="I41" t="n">
        <v>0.399544</v>
      </c>
      <c r="J41" t="n">
        <v>0.400297</v>
      </c>
      <c r="K41" t="n">
        <v>0.402097</v>
      </c>
      <c r="L41" t="n">
        <v>0.40513</v>
      </c>
      <c r="M41" t="n">
        <v>0.406774</v>
      </c>
      <c r="N41" t="n">
        <v>0.39343</v>
      </c>
      <c r="O41" t="n">
        <v>0.379169</v>
      </c>
      <c r="P41" t="n">
        <v>0.312942</v>
      </c>
      <c r="Q41" t="n">
        <v>0.273775</v>
      </c>
      <c r="R41" t="n">
        <v>0.255677</v>
      </c>
      <c r="S41" t="n">
        <v>0.204053</v>
      </c>
      <c r="T41" t="n">
        <v>0.186727</v>
      </c>
      <c r="U41" t="n">
        <v>0.177099</v>
      </c>
      <c r="V41" t="n">
        <v>0.157864</v>
      </c>
      <c r="W41" t="n">
        <v>0.150836</v>
      </c>
      <c r="X41" t="n">
        <v>0.131105</v>
      </c>
      <c r="Y41" t="n">
        <v>0.14198</v>
      </c>
      <c r="Z41" t="n">
        <v>0.15107</v>
      </c>
      <c r="AA41" t="n">
        <v>0.173001</v>
      </c>
      <c r="AB41" t="n">
        <v>0.17013</v>
      </c>
      <c r="AC41" t="n">
        <v>0.151383</v>
      </c>
      <c r="AD41" t="n">
        <v>0.141094</v>
      </c>
      <c r="AE41" t="n">
        <v>0.119177</v>
      </c>
      <c r="AF41" t="n">
        <v>0.114591</v>
      </c>
      <c r="AG41" s="31" t="n">
        <v>-0.053</v>
      </c>
    </row>
    <row r="42">
      <c r="A42" t="inlineStr">
        <is>
          <t>Natural Gasoline</t>
        </is>
      </c>
      <c r="B42" t="inlineStr">
        <is>
          <t>Industrial: Energy Use: Excluding Refining: Natural Gas: High Zero-Carbon Technology Cost</t>
        </is>
      </c>
      <c r="C42" t="inlineStr">
        <is>
          <t>AEO.2025.HIGHZTC.CNSM_NA_IDAL_IDEI_NG_NA_USA_QBTU.A</t>
        </is>
      </c>
      <c r="D42" t="inlineStr">
        <is>
          <t>quads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inlineStr">
        <is>
          <t>- -</t>
        </is>
      </c>
    </row>
    <row r="43">
      <c r="A43" t="inlineStr">
        <is>
          <t>Motor Gasoline</t>
        </is>
      </c>
      <c r="B43" t="inlineStr">
        <is>
          <t>Industrial: Energy Use: Excluding Refining: Motor Gasoline: High Zero-Carbon Technology Cost</t>
        </is>
      </c>
      <c r="C43" t="inlineStr">
        <is>
          <t>AEO.2025.HIGHZTC.CNSM_NA_IDAL_IDEI_MGS_NA_USA_QBTU.A</t>
        </is>
      </c>
      <c r="D43" t="inlineStr">
        <is>
          <t>quads</t>
        </is>
      </c>
      <c r="F43" t="n">
        <v>0.281291</v>
      </c>
      <c r="G43" t="n">
        <v>0.285247</v>
      </c>
      <c r="H43" t="n">
        <v>0.288387</v>
      </c>
      <c r="I43" t="n">
        <v>0.292239</v>
      </c>
      <c r="J43" t="n">
        <v>0.297109</v>
      </c>
      <c r="K43" t="n">
        <v>0.302658</v>
      </c>
      <c r="L43" t="n">
        <v>0.307115</v>
      </c>
      <c r="M43" t="n">
        <v>0.310404</v>
      </c>
      <c r="N43" t="n">
        <v>0.313444</v>
      </c>
      <c r="O43" t="n">
        <v>0.31532</v>
      </c>
      <c r="P43" t="n">
        <v>0.316919</v>
      </c>
      <c r="Q43" t="n">
        <v>0.319351</v>
      </c>
      <c r="R43" t="n">
        <v>0.322235</v>
      </c>
      <c r="S43" t="n">
        <v>0.32399</v>
      </c>
      <c r="T43" t="n">
        <v>0.3259</v>
      </c>
      <c r="U43" t="n">
        <v>0.327691</v>
      </c>
      <c r="V43" t="n">
        <v>0.329586</v>
      </c>
      <c r="W43" t="n">
        <v>0.33104</v>
      </c>
      <c r="X43" t="n">
        <v>0.333046</v>
      </c>
      <c r="Y43" t="n">
        <v>0.334606</v>
      </c>
      <c r="Z43" t="n">
        <v>0.336343</v>
      </c>
      <c r="AA43" t="n">
        <v>0.339079</v>
      </c>
      <c r="AB43" t="n">
        <v>0.342198</v>
      </c>
      <c r="AC43" t="n">
        <v>0.345227</v>
      </c>
      <c r="AD43" t="n">
        <v>0.348264</v>
      </c>
      <c r="AE43" t="n">
        <v>0.351611</v>
      </c>
      <c r="AF43" t="n">
        <v>0.3547</v>
      </c>
      <c r="AG43" s="31" t="n">
        <v>0.008999999999999999</v>
      </c>
    </row>
    <row r="44">
      <c r="A44" t="inlineStr">
        <is>
          <t>Distillate Fuel Oil</t>
        </is>
      </c>
      <c r="B44" t="inlineStr">
        <is>
          <t>Industrial: Energy Use: Excluding Refining: Distillate Fuel Oil: High Zero-Carbon Technology Cost</t>
        </is>
      </c>
      <c r="C44" t="inlineStr">
        <is>
          <t>AEO.2025.HIGHZTC.CNSM_NA_IDAL_IDEI_DFO_NA_USA_QBTU.A</t>
        </is>
      </c>
      <c r="D44" t="inlineStr">
        <is>
          <t>quads</t>
        </is>
      </c>
      <c r="F44" t="n">
        <v>1.138439</v>
      </c>
      <c r="G44" t="n">
        <v>1.150196</v>
      </c>
      <c r="H44" t="n">
        <v>1.163439</v>
      </c>
      <c r="I44" t="n">
        <v>1.177088</v>
      </c>
      <c r="J44" t="n">
        <v>1.195205</v>
      </c>
      <c r="K44" t="n">
        <v>1.216104</v>
      </c>
      <c r="L44" t="n">
        <v>1.23274</v>
      </c>
      <c r="M44" t="n">
        <v>1.246904</v>
      </c>
      <c r="N44" t="n">
        <v>1.260956</v>
      </c>
      <c r="O44" t="n">
        <v>1.269289</v>
      </c>
      <c r="P44" t="n">
        <v>1.277959</v>
      </c>
      <c r="Q44" t="n">
        <v>1.288505</v>
      </c>
      <c r="R44" t="n">
        <v>1.299513</v>
      </c>
      <c r="S44" t="n">
        <v>1.308196</v>
      </c>
      <c r="T44" t="n">
        <v>1.317186</v>
      </c>
      <c r="U44" t="n">
        <v>1.324638</v>
      </c>
      <c r="V44" t="n">
        <v>1.332429</v>
      </c>
      <c r="W44" t="n">
        <v>1.337751</v>
      </c>
      <c r="X44" t="n">
        <v>1.344097</v>
      </c>
      <c r="Y44" t="n">
        <v>1.349923</v>
      </c>
      <c r="Z44" t="n">
        <v>1.356099</v>
      </c>
      <c r="AA44" t="n">
        <v>1.364485</v>
      </c>
      <c r="AB44" t="n">
        <v>1.374968</v>
      </c>
      <c r="AC44" t="n">
        <v>1.385294</v>
      </c>
      <c r="AD44" t="n">
        <v>1.394428</v>
      </c>
      <c r="AE44" t="n">
        <v>1.405687</v>
      </c>
      <c r="AF44" t="n">
        <v>1.41575</v>
      </c>
      <c r="AG44" s="31" t="n">
        <v>0.008</v>
      </c>
    </row>
    <row r="45">
      <c r="A45" t="inlineStr">
        <is>
          <t>Residual Fuel Oil</t>
        </is>
      </c>
      <c r="B45" t="inlineStr">
        <is>
          <t>Industrial: Energy Use: Excluding Refining: Residual Fuel Oil: High Zero-Carbon Technology Cost</t>
        </is>
      </c>
      <c r="C45" t="inlineStr">
        <is>
          <t>AEO.2025.HIGHZTC.CNSM_NA_IDAL_IDEI_RFO_NA_USA_QBTU.A</t>
        </is>
      </c>
      <c r="D45" t="inlineStr">
        <is>
          <t>quads</t>
        </is>
      </c>
      <c r="F45" t="n">
        <v>0.040886</v>
      </c>
      <c r="G45" t="n">
        <v>0.041692</v>
      </c>
      <c r="H45" t="n">
        <v>0.041255</v>
      </c>
      <c r="I45" t="n">
        <v>0.040061</v>
      </c>
      <c r="J45" t="n">
        <v>0.038841</v>
      </c>
      <c r="K45" t="n">
        <v>0.037551</v>
      </c>
      <c r="L45" t="n">
        <v>0.036369</v>
      </c>
      <c r="M45" t="n">
        <v>0.035532</v>
      </c>
      <c r="N45" t="n">
        <v>0.035132</v>
      </c>
      <c r="O45" t="n">
        <v>0.03466</v>
      </c>
      <c r="P45" t="n">
        <v>0.034279</v>
      </c>
      <c r="Q45" t="n">
        <v>0.033786</v>
      </c>
      <c r="R45" t="n">
        <v>0.033265</v>
      </c>
      <c r="S45" t="n">
        <v>0.032701</v>
      </c>
      <c r="T45" t="n">
        <v>0.032198</v>
      </c>
      <c r="U45" t="n">
        <v>0.031759</v>
      </c>
      <c r="V45" t="n">
        <v>0.031438</v>
      </c>
      <c r="W45" t="n">
        <v>0.031172</v>
      </c>
      <c r="X45" t="n">
        <v>0.030896</v>
      </c>
      <c r="Y45" t="n">
        <v>0.030629</v>
      </c>
      <c r="Z45" t="n">
        <v>0.03044</v>
      </c>
      <c r="AA45" t="n">
        <v>0.03024</v>
      </c>
      <c r="AB45" t="n">
        <v>0.029949</v>
      </c>
      <c r="AC45" t="n">
        <v>0.029728</v>
      </c>
      <c r="AD45" t="n">
        <v>0.029473</v>
      </c>
      <c r="AE45" t="n">
        <v>0.029252</v>
      </c>
      <c r="AF45" t="n">
        <v>0.028857</v>
      </c>
      <c r="AG45" s="31" t="n">
        <v>-0.013</v>
      </c>
    </row>
    <row r="46">
      <c r="A46" t="inlineStr">
        <is>
          <t>Petrochemical Feedstocks</t>
        </is>
      </c>
      <c r="B46" t="inlineStr">
        <is>
          <t>Industrial: Energy Use: Excluding Refining: Petrochemical Feedstocks: High Zero-Carbon Technology Cost</t>
        </is>
      </c>
      <c r="C46" t="inlineStr">
        <is>
          <t>AEO.2025.HIGHZTC.CNSM_NA_IDAL_IDEI_PCF_NA_USA_QBTU.A</t>
        </is>
      </c>
      <c r="D46" t="inlineStr">
        <is>
          <t>quads</t>
        </is>
      </c>
      <c r="F46" t="n">
        <v>0.390525</v>
      </c>
      <c r="G46" t="n">
        <v>0.355</v>
      </c>
      <c r="H46" t="n">
        <v>0.55</v>
      </c>
      <c r="I46" t="n">
        <v>0.55</v>
      </c>
      <c r="J46" t="n">
        <v>0.55</v>
      </c>
      <c r="K46" t="n">
        <v>0.55</v>
      </c>
      <c r="L46" t="n">
        <v>0.55</v>
      </c>
      <c r="M46" t="n">
        <v>0.55</v>
      </c>
      <c r="N46" t="n">
        <v>0.55</v>
      </c>
      <c r="O46" t="n">
        <v>0.55</v>
      </c>
      <c r="P46" t="n">
        <v>0.55</v>
      </c>
      <c r="Q46" t="n">
        <v>0.55</v>
      </c>
      <c r="R46" t="n">
        <v>0.55</v>
      </c>
      <c r="S46" t="n">
        <v>0.55</v>
      </c>
      <c r="T46" t="n">
        <v>0.55</v>
      </c>
      <c r="U46" t="n">
        <v>0.55</v>
      </c>
      <c r="V46" t="n">
        <v>0.55</v>
      </c>
      <c r="W46" t="n">
        <v>0.55</v>
      </c>
      <c r="X46" t="n">
        <v>0.55</v>
      </c>
      <c r="Y46" t="n">
        <v>0.55</v>
      </c>
      <c r="Z46" t="n">
        <v>0.69558</v>
      </c>
      <c r="AA46" t="n">
        <v>0.84116</v>
      </c>
      <c r="AB46" t="n">
        <v>0.84116</v>
      </c>
      <c r="AC46" t="n">
        <v>0.84116</v>
      </c>
      <c r="AD46" t="n">
        <v>0.84116</v>
      </c>
      <c r="AE46" t="n">
        <v>0.964095</v>
      </c>
      <c r="AF46" t="n">
        <v>1.087029</v>
      </c>
      <c r="AG46" s="31" t="n">
        <v>0.04</v>
      </c>
    </row>
    <row r="47">
      <c r="A47" t="inlineStr">
        <is>
          <t>Petroleum Coke</t>
        </is>
      </c>
      <c r="B47" t="inlineStr">
        <is>
          <t>Industrial: Energy Use: Excluding Refining: Petroleum Coke: High Zero-Carbon Technology Cost</t>
        </is>
      </c>
      <c r="C47" t="inlineStr">
        <is>
          <t>AEO.2025.HIGHZTC.CNSM_NA_IDAL_IDEI_PCK_NA_USA_QBTU.A</t>
        </is>
      </c>
      <c r="D47" t="inlineStr">
        <is>
          <t>quads</t>
        </is>
      </c>
      <c r="F47" t="n">
        <v>0.038646</v>
      </c>
      <c r="G47" t="n">
        <v>0.036</v>
      </c>
      <c r="H47" t="n">
        <v>0.032849</v>
      </c>
      <c r="I47" t="n">
        <v>0.029931</v>
      </c>
      <c r="J47" t="n">
        <v>0.027424</v>
      </c>
      <c r="K47" t="n">
        <v>0.02518</v>
      </c>
      <c r="L47" t="n">
        <v>0.023056</v>
      </c>
      <c r="M47" t="n">
        <v>0.021245</v>
      </c>
      <c r="N47" t="n">
        <v>0.019763</v>
      </c>
      <c r="O47" t="n">
        <v>0.018299</v>
      </c>
      <c r="P47" t="n">
        <v>0.016906</v>
      </c>
      <c r="Q47" t="n">
        <v>0.015416</v>
      </c>
      <c r="R47" t="n">
        <v>0.013953</v>
      </c>
      <c r="S47" t="n">
        <v>0.012476</v>
      </c>
      <c r="T47" t="n">
        <v>0.010969</v>
      </c>
      <c r="U47" t="n">
        <v>0.011109</v>
      </c>
      <c r="V47" t="n">
        <v>0.0113</v>
      </c>
      <c r="W47" t="n">
        <v>0.011536</v>
      </c>
      <c r="X47" t="n">
        <v>0.011763</v>
      </c>
      <c r="Y47" t="n">
        <v>0.011997</v>
      </c>
      <c r="Z47" t="n">
        <v>0.012281</v>
      </c>
      <c r="AA47" t="n">
        <v>0.012526</v>
      </c>
      <c r="AB47" t="n">
        <v>0.012661</v>
      </c>
      <c r="AC47" t="n">
        <v>0.012856</v>
      </c>
      <c r="AD47" t="n">
        <v>0.013039</v>
      </c>
      <c r="AE47" t="n">
        <v>0.013234</v>
      </c>
      <c r="AF47" t="n">
        <v>0.01327</v>
      </c>
      <c r="AG47" s="31" t="n">
        <v>-0.04</v>
      </c>
    </row>
    <row r="48">
      <c r="A48" t="inlineStr">
        <is>
          <t>Asphalt and Road Oil</t>
        </is>
      </c>
      <c r="B48" t="inlineStr">
        <is>
          <t>Industrial: Energy Use: Excluding Refining: Asphalt and Road Oil: High Zero-Carbon Technology Cost</t>
        </is>
      </c>
      <c r="C48" t="inlineStr">
        <is>
          <t>AEO.2025.HIGHZTC.CNSM_NA_IDAL_IDEI_ARO_NA_USA_QBTU.A</t>
        </is>
      </c>
      <c r="D48" t="inlineStr">
        <is>
          <t>quads</t>
        </is>
      </c>
      <c r="F48" t="n">
        <v>0.877838</v>
      </c>
      <c r="G48" t="n">
        <v>0.878262</v>
      </c>
      <c r="H48" t="n">
        <v>0.886157</v>
      </c>
      <c r="I48" t="n">
        <v>0.903224</v>
      </c>
      <c r="J48" t="n">
        <v>0.905428</v>
      </c>
      <c r="K48" t="n">
        <v>0.911496</v>
      </c>
      <c r="L48" t="n">
        <v>0.918598</v>
      </c>
      <c r="M48" t="n">
        <v>0.924407</v>
      </c>
      <c r="N48" t="n">
        <v>0.921001</v>
      </c>
      <c r="O48" t="n">
        <v>0.922841</v>
      </c>
      <c r="P48" t="n">
        <v>0.924252</v>
      </c>
      <c r="Q48" t="n">
        <v>0.928084</v>
      </c>
      <c r="R48" t="n">
        <v>0.931994</v>
      </c>
      <c r="S48" t="n">
        <v>0.934567</v>
      </c>
      <c r="T48" t="n">
        <v>0.937317</v>
      </c>
      <c r="U48" t="n">
        <v>0.940415</v>
      </c>
      <c r="V48" t="n">
        <v>0.9434709999999999</v>
      </c>
      <c r="W48" t="n">
        <v>0.945335</v>
      </c>
      <c r="X48" t="n">
        <v>0.945887</v>
      </c>
      <c r="Y48" t="n">
        <v>0.947661</v>
      </c>
      <c r="Z48" t="n">
        <v>0.948485</v>
      </c>
      <c r="AA48" t="n">
        <v>0.950643</v>
      </c>
      <c r="AB48" t="n">
        <v>0.954573</v>
      </c>
      <c r="AC48" t="n">
        <v>0.955311</v>
      </c>
      <c r="AD48" t="n">
        <v>0.955716</v>
      </c>
      <c r="AE48" t="n">
        <v>0.956251</v>
      </c>
      <c r="AF48" t="n">
        <v>0.9557099999999999</v>
      </c>
      <c r="AG48" s="31" t="n">
        <v>0.003</v>
      </c>
    </row>
    <row r="49">
      <c r="A49" t="inlineStr">
        <is>
          <t>Miscellaneous Petroleum</t>
        </is>
      </c>
      <c r="B49" t="inlineStr">
        <is>
          <t>Industrial: Energy Use: Excluding Refining: Miscellaneous Petroleum: High Zero-Carbon Technology Cost</t>
        </is>
      </c>
      <c r="C49" t="inlineStr">
        <is>
          <t>AEO.2025.HIGHZTC.CNSM_NA_IDAL_IDEI_MPET_NA_USA_QBTU.A</t>
        </is>
      </c>
      <c r="D49" t="inlineStr">
        <is>
          <t>quads</t>
        </is>
      </c>
      <c r="F49" t="n">
        <v>0.309378</v>
      </c>
      <c r="G49" t="n">
        <v>0.328623</v>
      </c>
      <c r="H49" t="n">
        <v>0.342637</v>
      </c>
      <c r="I49" t="n">
        <v>0.357038</v>
      </c>
      <c r="J49" t="n">
        <v>0.370456</v>
      </c>
      <c r="K49" t="n">
        <v>0.383074</v>
      </c>
      <c r="L49" t="n">
        <v>0.396238</v>
      </c>
      <c r="M49" t="n">
        <v>0.409119</v>
      </c>
      <c r="N49" t="n">
        <v>0.420807</v>
      </c>
      <c r="O49" t="n">
        <v>0.43005</v>
      </c>
      <c r="P49" t="n">
        <v>0.439309</v>
      </c>
      <c r="Q49" t="n">
        <v>0.446838</v>
      </c>
      <c r="R49" t="n">
        <v>0.451958</v>
      </c>
      <c r="S49" t="n">
        <v>0.456283</v>
      </c>
      <c r="T49" t="n">
        <v>0.460827</v>
      </c>
      <c r="U49" t="n">
        <v>0.465389</v>
      </c>
      <c r="V49" t="n">
        <v>0.470238</v>
      </c>
      <c r="W49" t="n">
        <v>0.474359</v>
      </c>
      <c r="X49" t="n">
        <v>0.478482</v>
      </c>
      <c r="Y49" t="n">
        <v>0.481599</v>
      </c>
      <c r="Z49" t="n">
        <v>0.484916</v>
      </c>
      <c r="AA49" t="n">
        <v>0.488158</v>
      </c>
      <c r="AB49" t="n">
        <v>0.491589</v>
      </c>
      <c r="AC49" t="n">
        <v>0.496293</v>
      </c>
      <c r="AD49" t="n">
        <v>0.50039</v>
      </c>
      <c r="AE49" t="n">
        <v>0.504026</v>
      </c>
      <c r="AF49" t="n">
        <v>0.5069129999999999</v>
      </c>
      <c r="AG49" s="31" t="n">
        <v>0.019</v>
      </c>
    </row>
    <row r="50">
      <c r="A50" t="inlineStr">
        <is>
          <t>Petroleum and Other Liquids Subtotal</t>
        </is>
      </c>
      <c r="B50" t="inlineStr">
        <is>
          <t>Industrial: Energy Use: Excluding Refining: Petroleum Subtotal: High Zero-Carbon Technology Cost</t>
        </is>
      </c>
      <c r="C50" t="inlineStr">
        <is>
          <t>AEO.2025.HIGHZTC.CNSM_NA_IDAL_IDEI_PET_NA_USA_QBTU.A</t>
        </is>
      </c>
      <c r="D50" t="inlineStr">
        <is>
          <t>quads</t>
        </is>
      </c>
      <c r="F50" t="n">
        <v>6.619549</v>
      </c>
      <c r="G50" t="n">
        <v>6.680323</v>
      </c>
      <c r="H50" t="n">
        <v>6.912992</v>
      </c>
      <c r="I50" t="n">
        <v>6.962838</v>
      </c>
      <c r="J50" t="n">
        <v>7.004356</v>
      </c>
      <c r="K50" t="n">
        <v>7.052031</v>
      </c>
      <c r="L50" t="n">
        <v>7.09457</v>
      </c>
      <c r="M50" t="n">
        <v>7.130203</v>
      </c>
      <c r="N50" t="n">
        <v>7.155908</v>
      </c>
      <c r="O50" t="n">
        <v>7.1768</v>
      </c>
      <c r="P50" t="n">
        <v>7.192731</v>
      </c>
      <c r="Q50" t="n">
        <v>7.211684</v>
      </c>
      <c r="R50" t="n">
        <v>7.230889</v>
      </c>
      <c r="S50" t="n">
        <v>7.24157</v>
      </c>
      <c r="T50" t="n">
        <v>7.287822</v>
      </c>
      <c r="U50" t="n">
        <v>7.373284</v>
      </c>
      <c r="V50" t="n">
        <v>7.466155</v>
      </c>
      <c r="W50" t="n">
        <v>7.539543</v>
      </c>
      <c r="X50" t="n">
        <v>7.615656</v>
      </c>
      <c r="Y50" t="n">
        <v>7.672621</v>
      </c>
      <c r="Z50" t="n">
        <v>7.802835</v>
      </c>
      <c r="AA50" t="n">
        <v>7.926186</v>
      </c>
      <c r="AB50" t="n">
        <v>7.985898</v>
      </c>
      <c r="AC50" t="n">
        <v>8.078075</v>
      </c>
      <c r="AD50" t="n">
        <v>8.148149999999999</v>
      </c>
      <c r="AE50" t="n">
        <v>8.263169</v>
      </c>
      <c r="AF50" t="n">
        <v>8.373507</v>
      </c>
      <c r="AG50" s="31" t="n">
        <v>0.008999999999999999</v>
      </c>
    </row>
    <row r="51">
      <c r="A51" t="inlineStr">
        <is>
          <t>Natural Gas Heat and Power</t>
        </is>
      </c>
      <c r="B51" t="inlineStr">
        <is>
          <t>Industrial: Energy Use: Excluding Refining: Natural Gas Heat and Power: High Zero-Carbon Technology Cost</t>
        </is>
      </c>
      <c r="C51" t="inlineStr">
        <is>
          <t>AEO.2025.HIGHZTC.CNSM_NA_IDAL_IDEI_NHP_NA_USA_QBTU.A</t>
        </is>
      </c>
      <c r="D51" t="inlineStr">
        <is>
          <t>quads</t>
        </is>
      </c>
      <c r="F51" t="n">
        <v>6.213014</v>
      </c>
      <c r="G51" t="n">
        <v>6.289489</v>
      </c>
      <c r="H51" t="n">
        <v>6.332743</v>
      </c>
      <c r="I51" t="n">
        <v>6.344821</v>
      </c>
      <c r="J51" t="n">
        <v>6.37491</v>
      </c>
      <c r="K51" t="n">
        <v>6.392155</v>
      </c>
      <c r="L51" t="n">
        <v>6.42648</v>
      </c>
      <c r="M51" t="n">
        <v>6.458994</v>
      </c>
      <c r="N51" t="n">
        <v>6.465123</v>
      </c>
      <c r="O51" t="n">
        <v>6.435061</v>
      </c>
      <c r="P51" t="n">
        <v>6.419324</v>
      </c>
      <c r="Q51" t="n">
        <v>6.403265</v>
      </c>
      <c r="R51" t="n">
        <v>6.3917</v>
      </c>
      <c r="S51" t="n">
        <v>6.399674</v>
      </c>
      <c r="T51" t="n">
        <v>6.425906</v>
      </c>
      <c r="U51" t="n">
        <v>6.460387</v>
      </c>
      <c r="V51" t="n">
        <v>6.495418</v>
      </c>
      <c r="W51" t="n">
        <v>6.515205</v>
      </c>
      <c r="X51" t="n">
        <v>6.535622</v>
      </c>
      <c r="Y51" t="n">
        <v>6.554292</v>
      </c>
      <c r="Z51" t="n">
        <v>6.579194</v>
      </c>
      <c r="AA51" t="n">
        <v>6.598233</v>
      </c>
      <c r="AB51" t="n">
        <v>6.619295</v>
      </c>
      <c r="AC51" t="n">
        <v>6.656179</v>
      </c>
      <c r="AD51" t="n">
        <v>6.685795</v>
      </c>
      <c r="AE51" t="n">
        <v>6.706171</v>
      </c>
      <c r="AF51" t="n">
        <v>6.72133</v>
      </c>
      <c r="AG51" s="31" t="n">
        <v>0.003</v>
      </c>
    </row>
    <row r="52">
      <c r="A52" t="inlineStr">
        <is>
          <t>Natural Gas Feedstocks</t>
        </is>
      </c>
      <c r="B52" t="inlineStr">
        <is>
          <t>Industrial: Energy Use: Excluding Refining: Natural Gas Feedstocks: High Zero-Carbon Technology Cost</t>
        </is>
      </c>
      <c r="C52" t="inlineStr">
        <is>
          <t>AEO.2025.HIGHZTC.CNSM_NA_IDAL_IDEI_NGF_NA_USA_QBTU.A</t>
        </is>
      </c>
      <c r="D52" t="inlineStr">
        <is>
          <t>quads</t>
        </is>
      </c>
      <c r="F52" t="n">
        <v>0.2663</v>
      </c>
      <c r="G52" t="n">
        <v>0.302</v>
      </c>
      <c r="H52" t="n">
        <v>0.282443</v>
      </c>
      <c r="I52" t="n">
        <v>0.274513</v>
      </c>
      <c r="J52" t="n">
        <v>0.266967</v>
      </c>
      <c r="K52" t="n">
        <v>0.264995</v>
      </c>
      <c r="L52" t="n">
        <v>0.262831</v>
      </c>
      <c r="M52" t="n">
        <v>0.267202</v>
      </c>
      <c r="N52" t="n">
        <v>0.289189</v>
      </c>
      <c r="O52" t="n">
        <v>0.287614</v>
      </c>
      <c r="P52" t="n">
        <v>0.29199</v>
      </c>
      <c r="Q52" t="n">
        <v>0.297377</v>
      </c>
      <c r="R52" t="n">
        <v>0.301545</v>
      </c>
      <c r="S52" t="n">
        <v>0.31213</v>
      </c>
      <c r="T52" t="n">
        <v>0.323549</v>
      </c>
      <c r="U52" t="n">
        <v>0.334959</v>
      </c>
      <c r="V52" t="n">
        <v>0.34501</v>
      </c>
      <c r="W52" t="n">
        <v>0.350901</v>
      </c>
      <c r="X52" t="n">
        <v>0.356068</v>
      </c>
      <c r="Y52" t="n">
        <v>0.361999</v>
      </c>
      <c r="Z52" t="n">
        <v>0.368496</v>
      </c>
      <c r="AA52" t="n">
        <v>0.374646</v>
      </c>
      <c r="AB52" t="n">
        <v>0.378679</v>
      </c>
      <c r="AC52" t="n">
        <v>0.384896</v>
      </c>
      <c r="AD52" t="n">
        <v>0.389878</v>
      </c>
      <c r="AE52" t="n">
        <v>0.392776</v>
      </c>
      <c r="AF52" t="n">
        <v>0.39716</v>
      </c>
      <c r="AG52" s="31" t="n">
        <v>0.015</v>
      </c>
    </row>
    <row r="53">
      <c r="A53" t="inlineStr">
        <is>
          <t>Lease and Plant Fuel</t>
        </is>
      </c>
      <c r="B53" t="inlineStr">
        <is>
          <t>Industrial: Energy Use: Excluding Refining: Lease and Plant Fuel: High Zero-Carbon Technology Cost</t>
        </is>
      </c>
      <c r="C53" t="inlineStr">
        <is>
          <t>AEO.2025.HIGHZTC.CNSM_NA_IDAL_IDEI_LSAPFL_NA_USA_QBTU.A</t>
        </is>
      </c>
      <c r="D53" t="inlineStr">
        <is>
          <t>quads</t>
        </is>
      </c>
      <c r="F53" t="n">
        <v>2.045295</v>
      </c>
      <c r="G53" t="n">
        <v>2.052198</v>
      </c>
      <c r="H53" t="n">
        <v>2.151558</v>
      </c>
      <c r="I53" t="n">
        <v>2.160423</v>
      </c>
      <c r="J53" t="n">
        <v>2.206005</v>
      </c>
      <c r="K53" t="n">
        <v>2.226782</v>
      </c>
      <c r="L53" t="n">
        <v>2.238047</v>
      </c>
      <c r="M53" t="n">
        <v>2.23259</v>
      </c>
      <c r="N53" t="n">
        <v>2.285561</v>
      </c>
      <c r="O53" t="n">
        <v>2.298938</v>
      </c>
      <c r="P53" t="n">
        <v>2.313583</v>
      </c>
      <c r="Q53" t="n">
        <v>2.305008</v>
      </c>
      <c r="R53" t="n">
        <v>2.296317</v>
      </c>
      <c r="S53" t="n">
        <v>2.271652</v>
      </c>
      <c r="T53" t="n">
        <v>2.265647</v>
      </c>
      <c r="U53" t="n">
        <v>2.24652</v>
      </c>
      <c r="V53" t="n">
        <v>2.25015</v>
      </c>
      <c r="W53" t="n">
        <v>2.26053</v>
      </c>
      <c r="X53" t="n">
        <v>2.271182</v>
      </c>
      <c r="Y53" t="n">
        <v>2.275658</v>
      </c>
      <c r="Z53" t="n">
        <v>2.278661</v>
      </c>
      <c r="AA53" t="n">
        <v>2.28227</v>
      </c>
      <c r="AB53" t="n">
        <v>2.29152</v>
      </c>
      <c r="AC53" t="n">
        <v>2.301058</v>
      </c>
      <c r="AD53" t="n">
        <v>2.305694</v>
      </c>
      <c r="AE53" t="n">
        <v>2.311272</v>
      </c>
      <c r="AF53" t="n">
        <v>2.318181</v>
      </c>
      <c r="AG53" s="31" t="n">
        <v>0.005</v>
      </c>
    </row>
    <row r="54">
      <c r="A54" t="inlineStr">
        <is>
          <t>Natural Gas Subtotal</t>
        </is>
      </c>
      <c r="B54" t="inlineStr">
        <is>
          <t>Industrial: Energy Use: Excluding Refining: Natural Gas Subtotal: High Zero-Carbon Technology Cost</t>
        </is>
      </c>
      <c r="C54" t="inlineStr">
        <is>
          <t>AEO.2025.HIGHZTC.CNSM_NA_IDAL_IDEI_NGS_NA_USA_QBTU.A</t>
        </is>
      </c>
      <c r="D54" t="inlineStr">
        <is>
          <t>quads</t>
        </is>
      </c>
      <c r="F54" t="n">
        <v>8.524609999999999</v>
      </c>
      <c r="G54" t="n">
        <v>8.643687</v>
      </c>
      <c r="H54" t="n">
        <v>8.766745</v>
      </c>
      <c r="I54" t="n">
        <v>8.779757</v>
      </c>
      <c r="J54" t="n">
        <v>8.847880999999999</v>
      </c>
      <c r="K54" t="n">
        <v>8.883932</v>
      </c>
      <c r="L54" t="n">
        <v>8.927358</v>
      </c>
      <c r="M54" t="n">
        <v>8.958786</v>
      </c>
      <c r="N54" t="n">
        <v>9.039873</v>
      </c>
      <c r="O54" t="n">
        <v>9.021611999999999</v>
      </c>
      <c r="P54" t="n">
        <v>9.024898</v>
      </c>
      <c r="Q54" t="n">
        <v>9.005649999999999</v>
      </c>
      <c r="R54" t="n">
        <v>8.989561999999999</v>
      </c>
      <c r="S54" t="n">
        <v>8.983457</v>
      </c>
      <c r="T54" t="n">
        <v>9.015101</v>
      </c>
      <c r="U54" t="n">
        <v>9.041866000000001</v>
      </c>
      <c r="V54" t="n">
        <v>9.090578000000001</v>
      </c>
      <c r="W54" t="n">
        <v>9.126637000000001</v>
      </c>
      <c r="X54" t="n">
        <v>9.162871000000001</v>
      </c>
      <c r="Y54" t="n">
        <v>9.19195</v>
      </c>
      <c r="Z54" t="n">
        <v>9.226350999999999</v>
      </c>
      <c r="AA54" t="n">
        <v>9.255148</v>
      </c>
      <c r="AB54" t="n">
        <v>9.289493999999999</v>
      </c>
      <c r="AC54" t="n">
        <v>9.342133</v>
      </c>
      <c r="AD54" t="n">
        <v>9.381366999999999</v>
      </c>
      <c r="AE54" t="n">
        <v>9.410219</v>
      </c>
      <c r="AF54" t="n">
        <v>9.436669999999999</v>
      </c>
      <c r="AG54" s="31" t="n">
        <v>0.004</v>
      </c>
    </row>
    <row r="55">
      <c r="A55" t="inlineStr">
        <is>
          <t>Hydrogen Consumed as Feedstocks</t>
        </is>
      </c>
      <c r="B55" t="inlineStr">
        <is>
          <t>Industrial: Energy Use: Excluding Refining: Hydrogen Feedstocks: High Zero-Carbon Technology Cost</t>
        </is>
      </c>
      <c r="C55" t="inlineStr">
        <is>
          <t>AEO.2025.HIGHZTC.CNSM_NA_IDAL_IDEI_H2FEEDSTK_NA_USA_QBTU.A</t>
        </is>
      </c>
      <c r="D55" t="inlineStr">
        <is>
          <t>quads</t>
        </is>
      </c>
      <c r="F55" t="n">
        <v>0.527613</v>
      </c>
      <c r="G55" t="n">
        <v>0.54196</v>
      </c>
      <c r="H55" t="n">
        <v>0.561447</v>
      </c>
      <c r="I55" t="n">
        <v>0.566586</v>
      </c>
      <c r="J55" t="n">
        <v>0.567129</v>
      </c>
      <c r="K55" t="n">
        <v>0.570601</v>
      </c>
      <c r="L55" t="n">
        <v>0.577905</v>
      </c>
      <c r="M55" t="n">
        <v>0.585462</v>
      </c>
      <c r="N55" t="n">
        <v>0.5933929999999999</v>
      </c>
      <c r="O55" t="n">
        <v>0.598383</v>
      </c>
      <c r="P55" t="n">
        <v>0.607951</v>
      </c>
      <c r="Q55" t="n">
        <v>0.615385</v>
      </c>
      <c r="R55" t="n">
        <v>0.622811</v>
      </c>
      <c r="S55" t="n">
        <v>0.630634</v>
      </c>
      <c r="T55" t="n">
        <v>0.637951</v>
      </c>
      <c r="U55" t="n">
        <v>0.645191</v>
      </c>
      <c r="V55" t="n">
        <v>0.65216</v>
      </c>
      <c r="W55" t="n">
        <v>0.658235</v>
      </c>
      <c r="X55" t="n">
        <v>0.664396</v>
      </c>
      <c r="Y55" t="n">
        <v>0.670385</v>
      </c>
      <c r="Z55" t="n">
        <v>0.677238</v>
      </c>
      <c r="AA55" t="n">
        <v>0.682273</v>
      </c>
      <c r="AB55" t="n">
        <v>0.6874670000000001</v>
      </c>
      <c r="AC55" t="n">
        <v>0.693037</v>
      </c>
      <c r="AD55" t="n">
        <v>0.697814</v>
      </c>
      <c r="AE55" t="n">
        <v>0.701904</v>
      </c>
      <c r="AF55" t="n">
        <v>0.7058680000000001</v>
      </c>
      <c r="AG55" s="31" t="n">
        <v>0.011</v>
      </c>
    </row>
    <row r="56">
      <c r="A56" t="inlineStr">
        <is>
          <t>Metallurgical Coal and Coke</t>
        </is>
      </c>
      <c r="B56" t="inlineStr">
        <is>
          <t>Industrial: Energy Use: Excluding Refining: Metallurgical Coal and Coke: High Zero-Carbon Technology Cost</t>
        </is>
      </c>
      <c r="C56" t="inlineStr">
        <is>
          <t>AEO.2025.HIGHZTC.CNSM_NA_IDAL_IDEI_MCC_NA_USA_QBTU.A</t>
        </is>
      </c>
      <c r="D56" t="inlineStr">
        <is>
          <t>quads</t>
        </is>
      </c>
      <c r="F56" t="n">
        <v>0.400954</v>
      </c>
      <c r="G56" t="n">
        <v>0.411782</v>
      </c>
      <c r="H56" t="n">
        <v>0.41544</v>
      </c>
      <c r="I56" t="n">
        <v>0.405144</v>
      </c>
      <c r="J56" t="n">
        <v>0.388956</v>
      </c>
      <c r="K56" t="n">
        <v>0.375246</v>
      </c>
      <c r="L56" t="n">
        <v>0.367505</v>
      </c>
      <c r="M56" t="n">
        <v>0.361955</v>
      </c>
      <c r="N56" t="n">
        <v>0.356614</v>
      </c>
      <c r="O56" t="n">
        <v>0.345056</v>
      </c>
      <c r="P56" t="n">
        <v>0.337685</v>
      </c>
      <c r="Q56" t="n">
        <v>0.329893</v>
      </c>
      <c r="R56" t="n">
        <v>0.3218</v>
      </c>
      <c r="S56" t="n">
        <v>0.317131</v>
      </c>
      <c r="T56" t="n">
        <v>0.311043</v>
      </c>
      <c r="U56" t="n">
        <v>0.304614</v>
      </c>
      <c r="V56" t="n">
        <v>0.300764</v>
      </c>
      <c r="W56" t="n">
        <v>0.294951</v>
      </c>
      <c r="X56" t="n">
        <v>0.288246</v>
      </c>
      <c r="Y56" t="n">
        <v>0.283503</v>
      </c>
      <c r="Z56" t="n">
        <v>0.277733</v>
      </c>
      <c r="AA56" t="n">
        <v>0.270846</v>
      </c>
      <c r="AB56" t="n">
        <v>0.263404</v>
      </c>
      <c r="AC56" t="n">
        <v>0.257466</v>
      </c>
      <c r="AD56" t="n">
        <v>0.250317</v>
      </c>
      <c r="AE56" t="n">
        <v>0.242736</v>
      </c>
      <c r="AF56" t="n">
        <v>0.235295</v>
      </c>
      <c r="AG56" s="31" t="n">
        <v>-0.02</v>
      </c>
    </row>
    <row r="57">
      <c r="A57" t="inlineStr">
        <is>
          <t>Other Industrial Coal</t>
        </is>
      </c>
      <c r="B57" t="inlineStr">
        <is>
          <t>Industrial: Energy Use: Excluding Refining: Other Industrial Coal: High Zero-Carbon Technology Cost</t>
        </is>
      </c>
      <c r="C57" t="inlineStr">
        <is>
          <t>AEO.2025.HIGHZTC.CNSM_NA_IDAL_IDEI_OIC_NA_USA_QBTU.A</t>
        </is>
      </c>
      <c r="D57" t="inlineStr">
        <is>
          <t>quads</t>
        </is>
      </c>
      <c r="F57" t="n">
        <v>0.222008</v>
      </c>
      <c r="G57" t="n">
        <v>0.234335</v>
      </c>
      <c r="H57" t="n">
        <v>0.241483</v>
      </c>
      <c r="I57" t="n">
        <v>0.247088</v>
      </c>
      <c r="J57" t="n">
        <v>0.252563</v>
      </c>
      <c r="K57" t="n">
        <v>0.254865</v>
      </c>
      <c r="L57" t="n">
        <v>0.257757</v>
      </c>
      <c r="M57" t="n">
        <v>0.259919</v>
      </c>
      <c r="N57" t="n">
        <v>0.263695</v>
      </c>
      <c r="O57" t="n">
        <v>0.263933</v>
      </c>
      <c r="P57" t="n">
        <v>0.262662</v>
      </c>
      <c r="Q57" t="n">
        <v>0.258839</v>
      </c>
      <c r="R57" t="n">
        <v>0.25305</v>
      </c>
      <c r="S57" t="n">
        <v>0.24718</v>
      </c>
      <c r="T57" t="n">
        <v>0.241324</v>
      </c>
      <c r="U57" t="n">
        <v>0.236226</v>
      </c>
      <c r="V57" t="n">
        <v>0.232213</v>
      </c>
      <c r="W57" t="n">
        <v>0.228627</v>
      </c>
      <c r="X57" t="n">
        <v>0.22465</v>
      </c>
      <c r="Y57" t="n">
        <v>0.220441</v>
      </c>
      <c r="Z57" t="n">
        <v>0.216143</v>
      </c>
      <c r="AA57" t="n">
        <v>0.211953</v>
      </c>
      <c r="AB57" t="n">
        <v>0.208049</v>
      </c>
      <c r="AC57" t="n">
        <v>0.204265</v>
      </c>
      <c r="AD57" t="n">
        <v>0.200638</v>
      </c>
      <c r="AE57" t="n">
        <v>0.197289</v>
      </c>
      <c r="AF57" t="n">
        <v>0.193211</v>
      </c>
      <c r="AG57" s="31" t="n">
        <v>-0.005</v>
      </c>
    </row>
    <row r="58">
      <c r="A58" t="inlineStr">
        <is>
          <t>Coal Subtotal</t>
        </is>
      </c>
      <c r="B58" t="inlineStr">
        <is>
          <t>Industrial: Energy Use: Excluding Refining: Coal Subtotal: High Zero-Carbon Technology Cost</t>
        </is>
      </c>
      <c r="C58" t="inlineStr">
        <is>
          <t>AEO.2025.HIGHZTC.CNSM_NA_IDAL_IDEI_COS_NA_USA_QBTU.A</t>
        </is>
      </c>
      <c r="D58" t="inlineStr">
        <is>
          <t>quads</t>
        </is>
      </c>
      <c r="F58" t="n">
        <v>0.622962</v>
      </c>
      <c r="G58" t="n">
        <v>0.646118</v>
      </c>
      <c r="H58" t="n">
        <v>0.656923</v>
      </c>
      <c r="I58" t="n">
        <v>0.652232</v>
      </c>
      <c r="J58" t="n">
        <v>0.64152</v>
      </c>
      <c r="K58" t="n">
        <v>0.630111</v>
      </c>
      <c r="L58" t="n">
        <v>0.625262</v>
      </c>
      <c r="M58" t="n">
        <v>0.621874</v>
      </c>
      <c r="N58" t="n">
        <v>0.620308</v>
      </c>
      <c r="O58" t="n">
        <v>0.608989</v>
      </c>
      <c r="P58" t="n">
        <v>0.600347</v>
      </c>
      <c r="Q58" t="n">
        <v>0.588732</v>
      </c>
      <c r="R58" t="n">
        <v>0.57485</v>
      </c>
      <c r="S58" t="n">
        <v>0.564312</v>
      </c>
      <c r="T58" t="n">
        <v>0.5523670000000001</v>
      </c>
      <c r="U58" t="n">
        <v>0.540841</v>
      </c>
      <c r="V58" t="n">
        <v>0.532977</v>
      </c>
      <c r="W58" t="n">
        <v>0.523579</v>
      </c>
      <c r="X58" t="n">
        <v>0.512896</v>
      </c>
      <c r="Y58" t="n">
        <v>0.503945</v>
      </c>
      <c r="Z58" t="n">
        <v>0.493876</v>
      </c>
      <c r="AA58" t="n">
        <v>0.4828</v>
      </c>
      <c r="AB58" t="n">
        <v>0.471453</v>
      </c>
      <c r="AC58" t="n">
        <v>0.461731</v>
      </c>
      <c r="AD58" t="n">
        <v>0.450955</v>
      </c>
      <c r="AE58" t="n">
        <v>0.440025</v>
      </c>
      <c r="AF58" t="n">
        <v>0.428506</v>
      </c>
      <c r="AG58" s="31" t="n">
        <v>-0.014</v>
      </c>
    </row>
    <row r="59">
      <c r="A59" t="inlineStr">
        <is>
          <t>Renewables</t>
        </is>
      </c>
      <c r="B59" t="inlineStr">
        <is>
          <t>Industrial: Energy Use: Excluding Refining: Renewables: High Zero-Carbon Technology Cost</t>
        </is>
      </c>
      <c r="C59" t="inlineStr">
        <is>
          <t>AEO.2025.HIGHZTC.CNSM_NA_IDAL_IDEI_REB_NA_USA_QBTU.A</t>
        </is>
      </c>
      <c r="D59" t="inlineStr">
        <is>
          <t>quads</t>
        </is>
      </c>
      <c r="F59" t="n">
        <v>1.404115</v>
      </c>
      <c r="G59" t="n">
        <v>1.424394</v>
      </c>
      <c r="H59" t="n">
        <v>1.446948</v>
      </c>
      <c r="I59" t="n">
        <v>1.44554</v>
      </c>
      <c r="J59" t="n">
        <v>1.452387</v>
      </c>
      <c r="K59" t="n">
        <v>1.474432</v>
      </c>
      <c r="L59" t="n">
        <v>1.495094</v>
      </c>
      <c r="M59" t="n">
        <v>1.518669</v>
      </c>
      <c r="N59" t="n">
        <v>1.536608</v>
      </c>
      <c r="O59" t="n">
        <v>1.543585</v>
      </c>
      <c r="P59" t="n">
        <v>1.562817</v>
      </c>
      <c r="Q59" t="n">
        <v>1.582662</v>
      </c>
      <c r="R59" t="n">
        <v>1.614209</v>
      </c>
      <c r="S59" t="n">
        <v>1.637877</v>
      </c>
      <c r="T59" t="n">
        <v>1.654558</v>
      </c>
      <c r="U59" t="n">
        <v>1.676311</v>
      </c>
      <c r="V59" t="n">
        <v>1.692145</v>
      </c>
      <c r="W59" t="n">
        <v>1.690858</v>
      </c>
      <c r="X59" t="n">
        <v>1.695535</v>
      </c>
      <c r="Y59" t="n">
        <v>1.691259</v>
      </c>
      <c r="Z59" t="n">
        <v>1.696829</v>
      </c>
      <c r="AA59" t="n">
        <v>1.70993</v>
      </c>
      <c r="AB59" t="n">
        <v>1.727659</v>
      </c>
      <c r="AC59" t="n">
        <v>1.750516</v>
      </c>
      <c r="AD59" t="n">
        <v>1.771954</v>
      </c>
      <c r="AE59" t="n">
        <v>1.794454</v>
      </c>
      <c r="AF59" t="n">
        <v>1.813854</v>
      </c>
      <c r="AG59" s="31" t="n">
        <v>0.01</v>
      </c>
    </row>
    <row r="60">
      <c r="A60" t="inlineStr">
        <is>
          <t>Purchased Electricity</t>
        </is>
      </c>
      <c r="B60" t="inlineStr">
        <is>
          <t>Industrial: Energy Use: Excluding Refining: Purchased Electricity: High Zero-Carbon Technology Cost</t>
        </is>
      </c>
      <c r="C60" t="inlineStr">
        <is>
          <t>AEO.2025.HIGHZTC.CNSM_NA_IDAL_IDEI_PRC_NA_USA_QBTU.A</t>
        </is>
      </c>
      <c r="D60" t="inlineStr">
        <is>
          <t>quads</t>
        </is>
      </c>
      <c r="F60" t="n">
        <v>3.32003</v>
      </c>
      <c r="G60" t="n">
        <v>3.366853</v>
      </c>
      <c r="H60" t="n">
        <v>3.405705</v>
      </c>
      <c r="I60" t="n">
        <v>3.429742</v>
      </c>
      <c r="J60" t="n">
        <v>3.448365</v>
      </c>
      <c r="K60" t="n">
        <v>3.47835</v>
      </c>
      <c r="L60" t="n">
        <v>3.527543</v>
      </c>
      <c r="M60" t="n">
        <v>3.586272</v>
      </c>
      <c r="N60" t="n">
        <v>3.671618</v>
      </c>
      <c r="O60" t="n">
        <v>3.758209</v>
      </c>
      <c r="P60" t="n">
        <v>3.873114</v>
      </c>
      <c r="Q60" t="n">
        <v>3.987486</v>
      </c>
      <c r="R60" t="n">
        <v>4.085528</v>
      </c>
      <c r="S60" t="n">
        <v>4.167979</v>
      </c>
      <c r="T60" t="n">
        <v>4.23292</v>
      </c>
      <c r="U60" t="n">
        <v>4.293134</v>
      </c>
      <c r="V60" t="n">
        <v>4.364089</v>
      </c>
      <c r="W60" t="n">
        <v>4.42852</v>
      </c>
      <c r="X60" t="n">
        <v>4.487017</v>
      </c>
      <c r="Y60" t="n">
        <v>4.535841</v>
      </c>
      <c r="Z60" t="n">
        <v>4.583194</v>
      </c>
      <c r="AA60" t="n">
        <v>4.629389</v>
      </c>
      <c r="AB60" t="n">
        <v>4.677041</v>
      </c>
      <c r="AC60" t="n">
        <v>4.729218</v>
      </c>
      <c r="AD60" t="n">
        <v>4.772338</v>
      </c>
      <c r="AE60" t="n">
        <v>4.819368</v>
      </c>
      <c r="AF60" t="n">
        <v>4.861369</v>
      </c>
      <c r="AG60" s="31" t="n">
        <v>0.015</v>
      </c>
    </row>
    <row r="61">
      <c r="A61" t="inlineStr">
        <is>
          <t>Delivered Energy</t>
        </is>
      </c>
      <c r="B61" t="inlineStr">
        <is>
          <t>Industrial: Energy Use: Excluding Refining: Delivered Energy: High Zero-Carbon Technology Cost</t>
        </is>
      </c>
      <c r="C61" t="inlineStr">
        <is>
          <t>AEO.2025.HIGHZTC.CNSM_NA_IDAL_IDEI_DELE_NA_USA_QBTU.A</t>
        </is>
      </c>
      <c r="D61" t="inlineStr">
        <is>
          <t>quads</t>
        </is>
      </c>
      <c r="F61" t="n">
        <v>21.018877</v>
      </c>
      <c r="G61" t="n">
        <v>21.303335</v>
      </c>
      <c r="H61" t="n">
        <v>21.750759</v>
      </c>
      <c r="I61" t="n">
        <v>21.836695</v>
      </c>
      <c r="J61" t="n">
        <v>21.961637</v>
      </c>
      <c r="K61" t="n">
        <v>22.089458</v>
      </c>
      <c r="L61" t="n">
        <v>22.247728</v>
      </c>
      <c r="M61" t="n">
        <v>22.401266</v>
      </c>
      <c r="N61" t="n">
        <v>22.617708</v>
      </c>
      <c r="O61" t="n">
        <v>22.707579</v>
      </c>
      <c r="P61" t="n">
        <v>22.861856</v>
      </c>
      <c r="Q61" t="n">
        <v>22.991598</v>
      </c>
      <c r="R61" t="n">
        <v>23.117851</v>
      </c>
      <c r="S61" t="n">
        <v>23.225828</v>
      </c>
      <c r="T61" t="n">
        <v>23.38072</v>
      </c>
      <c r="U61" t="n">
        <v>23.570627</v>
      </c>
      <c r="V61" t="n">
        <v>23.798103</v>
      </c>
      <c r="W61" t="n">
        <v>23.967371</v>
      </c>
      <c r="X61" t="n">
        <v>24.138372</v>
      </c>
      <c r="Y61" t="n">
        <v>24.266001</v>
      </c>
      <c r="Z61" t="n">
        <v>24.480324</v>
      </c>
      <c r="AA61" t="n">
        <v>24.685724</v>
      </c>
      <c r="AB61" t="n">
        <v>24.83901</v>
      </c>
      <c r="AC61" t="n">
        <v>25.05471</v>
      </c>
      <c r="AD61" t="n">
        <v>25.222578</v>
      </c>
      <c r="AE61" t="n">
        <v>25.42914</v>
      </c>
      <c r="AF61" t="n">
        <v>25.619772</v>
      </c>
      <c r="AG61" s="31" t="n">
        <v>0.008</v>
      </c>
    </row>
    <row r="62">
      <c r="A62" t="inlineStr">
        <is>
          <t>Electricity-Related Losses</t>
        </is>
      </c>
      <c r="B62" t="inlineStr">
        <is>
          <t>Industrial: Energy Use: Excluding Refining: Electricity-Related Losses: High Zero-Carbon Technology Cost</t>
        </is>
      </c>
      <c r="C62" t="inlineStr">
        <is>
          <t>AEO.2025.HIGHZTC.CNSM_NA_IDAL_IDEI_ELECRELOS_NA_USA_QBTU.A</t>
        </is>
      </c>
      <c r="D62" t="inlineStr">
        <is>
          <t>quads</t>
        </is>
      </c>
      <c r="F62" t="n">
        <v>4.718902</v>
      </c>
      <c r="G62" t="n">
        <v>4.640227</v>
      </c>
      <c r="H62" t="n">
        <v>4.414301</v>
      </c>
      <c r="I62" t="n">
        <v>4.275638</v>
      </c>
      <c r="J62" t="n">
        <v>4.203497</v>
      </c>
      <c r="K62" t="n">
        <v>4.165551</v>
      </c>
      <c r="L62" t="n">
        <v>4.054698</v>
      </c>
      <c r="M62" t="n">
        <v>3.99039</v>
      </c>
      <c r="N62" t="n">
        <v>3.821063</v>
      </c>
      <c r="O62" t="n">
        <v>3.7839</v>
      </c>
      <c r="P62" t="n">
        <v>3.758581</v>
      </c>
      <c r="Q62" t="n">
        <v>3.699702</v>
      </c>
      <c r="R62" t="n">
        <v>3.629308</v>
      </c>
      <c r="S62" t="n">
        <v>3.509133</v>
      </c>
      <c r="T62" t="n">
        <v>3.451096</v>
      </c>
      <c r="U62" t="n">
        <v>3.290662</v>
      </c>
      <c r="V62" t="n">
        <v>3.284907</v>
      </c>
      <c r="W62" t="n">
        <v>3.325909</v>
      </c>
      <c r="X62" t="n">
        <v>3.36275</v>
      </c>
      <c r="Y62" t="n">
        <v>3.375728</v>
      </c>
      <c r="Z62" t="n">
        <v>3.393082</v>
      </c>
      <c r="AA62" t="n">
        <v>3.389186</v>
      </c>
      <c r="AB62" t="n">
        <v>3.385467</v>
      </c>
      <c r="AC62" t="n">
        <v>3.396504</v>
      </c>
      <c r="AD62" t="n">
        <v>3.410248</v>
      </c>
      <c r="AE62" t="n">
        <v>3.433312</v>
      </c>
      <c r="AF62" t="n">
        <v>3.426233</v>
      </c>
      <c r="AG62" s="31" t="n">
        <v>-0.012</v>
      </c>
    </row>
    <row r="63">
      <c r="A63" t="inlineStr">
        <is>
          <t>Hydrogen-Related Losses</t>
        </is>
      </c>
      <c r="B63" t="inlineStr">
        <is>
          <t>Industrial: Energy Use: Excluding Refining: Hydrogen-Related Losses: High Zero-Carbon Technology Cost</t>
        </is>
      </c>
      <c r="C63" t="inlineStr">
        <is>
          <t>AEO.2025.HIGHZTC.CNSM_NA_IDAL_IDEI_H2RELLOS_NA_USA_QBTU.A</t>
        </is>
      </c>
      <c r="D63" t="inlineStr">
        <is>
          <t>quads</t>
        </is>
      </c>
      <c r="F63" t="n">
        <v>0.151295</v>
      </c>
      <c r="G63" t="n">
        <v>0.155205</v>
      </c>
      <c r="H63" t="n">
        <v>0.163025</v>
      </c>
      <c r="I63" t="n">
        <v>0.16552</v>
      </c>
      <c r="J63" t="n">
        <v>0.165093</v>
      </c>
      <c r="K63" t="n">
        <v>0.166543</v>
      </c>
      <c r="L63" t="n">
        <v>0.168963</v>
      </c>
      <c r="M63" t="n">
        <v>0.17276</v>
      </c>
      <c r="N63" t="n">
        <v>0.177163</v>
      </c>
      <c r="O63" t="n">
        <v>0.183083</v>
      </c>
      <c r="P63" t="n">
        <v>0.18891</v>
      </c>
      <c r="Q63" t="n">
        <v>0.194412</v>
      </c>
      <c r="R63" t="n">
        <v>0.197989</v>
      </c>
      <c r="S63" t="n">
        <v>0.199479</v>
      </c>
      <c r="T63" t="n">
        <v>0.201161</v>
      </c>
      <c r="U63" t="n">
        <v>0.203196</v>
      </c>
      <c r="V63" t="n">
        <v>0.205326</v>
      </c>
      <c r="W63" t="n">
        <v>0.207583</v>
      </c>
      <c r="X63" t="n">
        <v>0.209259</v>
      </c>
      <c r="Y63" t="n">
        <v>0.211261</v>
      </c>
      <c r="Z63" t="n">
        <v>0.213553</v>
      </c>
      <c r="AA63" t="n">
        <v>0.215116</v>
      </c>
      <c r="AB63" t="n">
        <v>0.216154</v>
      </c>
      <c r="AC63" t="n">
        <v>0.216639</v>
      </c>
      <c r="AD63" t="n">
        <v>0.218149</v>
      </c>
      <c r="AE63" t="n">
        <v>0.217105</v>
      </c>
      <c r="AF63" t="n">
        <v>0.218702</v>
      </c>
      <c r="AG63" s="31" t="n">
        <v>0.014</v>
      </c>
    </row>
    <row r="64">
      <c r="A64" t="inlineStr">
        <is>
          <t>Total</t>
        </is>
      </c>
      <c r="B64" t="inlineStr">
        <is>
          <t>Industrial: Energy Use: Excluding Refining: Total: High Zero-Carbon Technology Cost</t>
        </is>
      </c>
      <c r="C64" t="inlineStr">
        <is>
          <t>AEO.2025.HIGHZTC.CNSM_NA_IDAL_IDEI_TOT_NA_USA_QBTU.A</t>
        </is>
      </c>
      <c r="D64" t="inlineStr">
        <is>
          <t>quads</t>
        </is>
      </c>
      <c r="F64" t="n">
        <v>25.889074</v>
      </c>
      <c r="G64" t="n">
        <v>26.098766</v>
      </c>
      <c r="H64" t="n">
        <v>26.328085</v>
      </c>
      <c r="I64" t="n">
        <v>26.277851</v>
      </c>
      <c r="J64" t="n">
        <v>26.330227</v>
      </c>
      <c r="K64" t="n">
        <v>26.421551</v>
      </c>
      <c r="L64" t="n">
        <v>26.471388</v>
      </c>
      <c r="M64" t="n">
        <v>26.564415</v>
      </c>
      <c r="N64" t="n">
        <v>26.615934</v>
      </c>
      <c r="O64" t="n">
        <v>26.674561</v>
      </c>
      <c r="P64" t="n">
        <v>26.809347</v>
      </c>
      <c r="Q64" t="n">
        <v>26.885712</v>
      </c>
      <c r="R64" t="n">
        <v>26.945147</v>
      </c>
      <c r="S64" t="n">
        <v>26.934441</v>
      </c>
      <c r="T64" t="n">
        <v>27.032976</v>
      </c>
      <c r="U64" t="n">
        <v>27.064486</v>
      </c>
      <c r="V64" t="n">
        <v>27.288336</v>
      </c>
      <c r="W64" t="n">
        <v>27.500862</v>
      </c>
      <c r="X64" t="n">
        <v>27.710382</v>
      </c>
      <c r="Y64" t="n">
        <v>27.852989</v>
      </c>
      <c r="Z64" t="n">
        <v>28.086958</v>
      </c>
      <c r="AA64" t="n">
        <v>28.290026</v>
      </c>
      <c r="AB64" t="n">
        <v>28.440632</v>
      </c>
      <c r="AC64" t="n">
        <v>28.667852</v>
      </c>
      <c r="AD64" t="n">
        <v>28.850975</v>
      </c>
      <c r="AE64" t="n">
        <v>29.079557</v>
      </c>
      <c r="AF64" t="n">
        <v>29.264708</v>
      </c>
      <c r="AG64" s="31" t="n">
        <v>0.005</v>
      </c>
    </row>
    <row r="65">
      <c r="A65" s="1" t="inlineStr">
        <is>
          <t>Refining Consumption</t>
        </is>
      </c>
    </row>
    <row r="66">
      <c r="A66" t="inlineStr">
        <is>
          <t>Propane Heat and Power</t>
        </is>
      </c>
      <c r="B66" t="inlineStr">
        <is>
          <t>Industrial: Refining Use: Propane Heat and Power: High Zero-Carbon Technology Cost</t>
        </is>
      </c>
      <c r="C66" t="inlineStr">
        <is>
          <t>AEO.2025.HIGHZTC.CNSM_NA_IDAL_REFU_LPGHP_NA_USA_QBTU.A</t>
        </is>
      </c>
      <c r="D66" t="inlineStr">
        <is>
          <t>quads</t>
        </is>
      </c>
      <c r="F66" t="n">
        <v>0.006789</v>
      </c>
      <c r="G66" t="n">
        <v>0.006789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s="31" t="n">
        <v>-1</v>
      </c>
    </row>
    <row r="67">
      <c r="A67" t="inlineStr">
        <is>
          <t>Distillate Fuel Oil</t>
        </is>
      </c>
      <c r="B67" t="inlineStr">
        <is>
          <t>Industrial: Refining Use: Distillate Fuel Oil: High Zero-Carbon Technology Cost</t>
        </is>
      </c>
      <c r="C67" t="inlineStr">
        <is>
          <t>AEO.2025.HIGHZTC.CNSM_NA_IDAL_REFU_DFO_NA_USA_QBTU.A</t>
        </is>
      </c>
      <c r="D67" t="inlineStr">
        <is>
          <t>quads</t>
        </is>
      </c>
      <c r="F67" t="n">
        <v>0.001574</v>
      </c>
      <c r="G67" t="n">
        <v>0.001574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s="31" t="n">
        <v>-1</v>
      </c>
    </row>
    <row r="68">
      <c r="A68" t="inlineStr">
        <is>
          <t>Residual Fuel Oil</t>
        </is>
      </c>
      <c r="B68" t="inlineStr">
        <is>
          <t>Industrial: Refining Use: Residual Fuel Oil: High Zero-Carbon Technology Cost</t>
        </is>
      </c>
      <c r="C68" t="inlineStr">
        <is>
          <t>AEO.2025.HIGHZTC.CNSM_NA_IDAL_REFU_RFO_NA_USA_QBTU.A</t>
        </is>
      </c>
      <c r="D68" t="inlineStr">
        <is>
          <t>quads</t>
        </is>
      </c>
      <c r="F68" t="n">
        <v>0.000288</v>
      </c>
      <c r="G68" t="n">
        <v>0.000288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s="31" t="n">
        <v>-1</v>
      </c>
    </row>
    <row r="69">
      <c r="A69" t="inlineStr">
        <is>
          <t>Petroleum Coke</t>
        </is>
      </c>
      <c r="B69" t="inlineStr">
        <is>
          <t>Industrial: Refining Use: Petroleum Coke: High Zero-Carbon Technology Cost</t>
        </is>
      </c>
      <c r="C69" t="inlineStr">
        <is>
          <t>AEO.2025.HIGHZTC.CNSM_NA_IDAL_REFU_PCK_NA_USA_QBTU.A</t>
        </is>
      </c>
      <c r="D69" t="inlineStr">
        <is>
          <t>quads</t>
        </is>
      </c>
      <c r="F69" t="n">
        <v>0.451</v>
      </c>
      <c r="G69" t="n">
        <v>0.474</v>
      </c>
      <c r="H69" t="n">
        <v>0.484495</v>
      </c>
      <c r="I69" t="n">
        <v>0.487048</v>
      </c>
      <c r="J69" t="n">
        <v>0.48873</v>
      </c>
      <c r="K69" t="n">
        <v>0.488317</v>
      </c>
      <c r="L69" t="n">
        <v>0.488519</v>
      </c>
      <c r="M69" t="n">
        <v>0.486516</v>
      </c>
      <c r="N69" t="n">
        <v>0.478378</v>
      </c>
      <c r="O69" t="n">
        <v>0.477729</v>
      </c>
      <c r="P69" t="n">
        <v>0.476476</v>
      </c>
      <c r="Q69" t="n">
        <v>0.471355</v>
      </c>
      <c r="R69" t="n">
        <v>0.471853</v>
      </c>
      <c r="S69" t="n">
        <v>0.470069</v>
      </c>
      <c r="T69" t="n">
        <v>0.462492</v>
      </c>
      <c r="U69" t="n">
        <v>0.460415</v>
      </c>
      <c r="V69" t="n">
        <v>0.463848</v>
      </c>
      <c r="W69" t="n">
        <v>0.457426</v>
      </c>
      <c r="X69" t="n">
        <v>0.449132</v>
      </c>
      <c r="Y69" t="n">
        <v>0.455471</v>
      </c>
      <c r="Z69" t="n">
        <v>0.453882</v>
      </c>
      <c r="AA69" t="n">
        <v>0.451971</v>
      </c>
      <c r="AB69" t="n">
        <v>0.451586</v>
      </c>
      <c r="AC69" t="n">
        <v>0.455616</v>
      </c>
      <c r="AD69" t="n">
        <v>0.456846</v>
      </c>
      <c r="AE69" t="n">
        <v>0.451523</v>
      </c>
      <c r="AF69" t="n">
        <v>0.449541</v>
      </c>
      <c r="AG69" s="31" t="n">
        <v>0</v>
      </c>
    </row>
    <row r="70">
      <c r="A70" t="inlineStr">
        <is>
          <t>Still Gas</t>
        </is>
      </c>
      <c r="B70" t="inlineStr">
        <is>
          <t>Industrial: Refining Use: Still Gas: High Zero-Carbon Technology Cost</t>
        </is>
      </c>
      <c r="C70" t="inlineStr">
        <is>
          <t>AEO.2025.HIGHZTC.CNSM_NA_IDAL_REFU_SLG_NA_USA_QBTU.A</t>
        </is>
      </c>
      <c r="D70" t="inlineStr">
        <is>
          <t>quads</t>
        </is>
      </c>
      <c r="F70" t="n">
        <v>1.391026</v>
      </c>
      <c r="G70" t="n">
        <v>1.391026</v>
      </c>
      <c r="H70" t="n">
        <v>1.321003</v>
      </c>
      <c r="I70" t="n">
        <v>1.31785</v>
      </c>
      <c r="J70" t="n">
        <v>1.348322</v>
      </c>
      <c r="K70" t="n">
        <v>1.323102</v>
      </c>
      <c r="L70" t="n">
        <v>1.339976</v>
      </c>
      <c r="M70" t="n">
        <v>1.343422</v>
      </c>
      <c r="N70" t="n">
        <v>1.344145</v>
      </c>
      <c r="O70" t="n">
        <v>1.321252</v>
      </c>
      <c r="P70" t="n">
        <v>1.322574</v>
      </c>
      <c r="Q70" t="n">
        <v>1.309428</v>
      </c>
      <c r="R70" t="n">
        <v>1.321005</v>
      </c>
      <c r="S70" t="n">
        <v>1.322053</v>
      </c>
      <c r="T70" t="n">
        <v>1.322975</v>
      </c>
      <c r="U70" t="n">
        <v>1.327446</v>
      </c>
      <c r="V70" t="n">
        <v>1.332115</v>
      </c>
      <c r="W70" t="n">
        <v>1.334623</v>
      </c>
      <c r="X70" t="n">
        <v>1.318845</v>
      </c>
      <c r="Y70" t="n">
        <v>1.333938</v>
      </c>
      <c r="Z70" t="n">
        <v>1.330232</v>
      </c>
      <c r="AA70" t="n">
        <v>1.329636</v>
      </c>
      <c r="AB70" t="n">
        <v>1.334931</v>
      </c>
      <c r="AC70" t="n">
        <v>1.344992</v>
      </c>
      <c r="AD70" t="n">
        <v>1.33997</v>
      </c>
      <c r="AE70" t="n">
        <v>1.337579</v>
      </c>
      <c r="AF70" t="n">
        <v>1.324381</v>
      </c>
      <c r="AG70" s="31" t="n">
        <v>-0.002</v>
      </c>
    </row>
    <row r="71">
      <c r="A71" t="inlineStr">
        <is>
          <t>Miscellaneous Petroleum</t>
        </is>
      </c>
      <c r="B71" t="inlineStr">
        <is>
          <t>Industrial: Refining Use: Miscellaneous Petroleum: High Zero-Carbon Technology Cost</t>
        </is>
      </c>
      <c r="C71" t="inlineStr">
        <is>
          <t>AEO.2025.HIGHZTC.CNSM_NA_IDAL_REFU_MPET_NA_USA_QBTU.A</t>
        </is>
      </c>
      <c r="D71" t="inlineStr">
        <is>
          <t>quads</t>
        </is>
      </c>
      <c r="F71" t="n">
        <v>0.006113</v>
      </c>
      <c r="G71" t="n">
        <v>0.006113</v>
      </c>
      <c r="H71" t="n">
        <v>0.0071</v>
      </c>
      <c r="I71" t="n">
        <v>0.007196</v>
      </c>
      <c r="J71" t="n">
        <v>0.007729</v>
      </c>
      <c r="K71" t="n">
        <v>0.008580000000000001</v>
      </c>
      <c r="L71" t="n">
        <v>0.007789</v>
      </c>
      <c r="M71" t="n">
        <v>0.007072</v>
      </c>
      <c r="N71" t="n">
        <v>0.007187</v>
      </c>
      <c r="O71" t="n">
        <v>0.007764</v>
      </c>
      <c r="P71" t="n">
        <v>0.011374</v>
      </c>
      <c r="Q71" t="n">
        <v>0.018034</v>
      </c>
      <c r="R71" t="n">
        <v>0.012482</v>
      </c>
      <c r="S71" t="n">
        <v>0.012439</v>
      </c>
      <c r="T71" t="n">
        <v>0.013728</v>
      </c>
      <c r="U71" t="n">
        <v>0.013953</v>
      </c>
      <c r="V71" t="n">
        <v>0.015202</v>
      </c>
      <c r="W71" t="n">
        <v>0.020933</v>
      </c>
      <c r="X71" t="n">
        <v>0.028912</v>
      </c>
      <c r="Y71" t="n">
        <v>0.018712</v>
      </c>
      <c r="Z71" t="n">
        <v>0.019775</v>
      </c>
      <c r="AA71" t="n">
        <v>0.01584</v>
      </c>
      <c r="AB71" t="n">
        <v>0.015888</v>
      </c>
      <c r="AC71" t="n">
        <v>0.01468</v>
      </c>
      <c r="AD71" t="n">
        <v>0.013945</v>
      </c>
      <c r="AE71" t="n">
        <v>0.014054</v>
      </c>
      <c r="AF71" t="n">
        <v>0.013451</v>
      </c>
      <c r="AG71" s="31" t="n">
        <v>0.031</v>
      </c>
    </row>
    <row r="72">
      <c r="A72" t="inlineStr">
        <is>
          <t>Petroleum and Other Liquids Subtotal</t>
        </is>
      </c>
      <c r="B72" t="inlineStr">
        <is>
          <t>Industrial: Refining Use: Petroleum Subtotal: High Zero-Carbon Technology Cost</t>
        </is>
      </c>
      <c r="C72" t="inlineStr">
        <is>
          <t>AEO.2025.HIGHZTC.CNSM_NA_IDAL_REFU_PET_NA_USA_QBTU.A</t>
        </is>
      </c>
      <c r="D72" t="inlineStr">
        <is>
          <t>quads</t>
        </is>
      </c>
      <c r="F72" t="n">
        <v>1.85679</v>
      </c>
      <c r="G72" t="n">
        <v>1.87979</v>
      </c>
      <c r="H72" t="n">
        <v>1.812598</v>
      </c>
      <c r="I72" t="n">
        <v>1.812094</v>
      </c>
      <c r="J72" t="n">
        <v>1.844781</v>
      </c>
      <c r="K72" t="n">
        <v>1.819998</v>
      </c>
      <c r="L72" t="n">
        <v>1.836284</v>
      </c>
      <c r="M72" t="n">
        <v>1.83701</v>
      </c>
      <c r="N72" t="n">
        <v>1.82971</v>
      </c>
      <c r="O72" t="n">
        <v>1.806744</v>
      </c>
      <c r="P72" t="n">
        <v>1.810424</v>
      </c>
      <c r="Q72" t="n">
        <v>1.798818</v>
      </c>
      <c r="R72" t="n">
        <v>1.80534</v>
      </c>
      <c r="S72" t="n">
        <v>1.804562</v>
      </c>
      <c r="T72" t="n">
        <v>1.799196</v>
      </c>
      <c r="U72" t="n">
        <v>1.801813</v>
      </c>
      <c r="V72" t="n">
        <v>1.811164</v>
      </c>
      <c r="W72" t="n">
        <v>1.812983</v>
      </c>
      <c r="X72" t="n">
        <v>1.796888</v>
      </c>
      <c r="Y72" t="n">
        <v>1.808121</v>
      </c>
      <c r="Z72" t="n">
        <v>1.803889</v>
      </c>
      <c r="AA72" t="n">
        <v>1.797447</v>
      </c>
      <c r="AB72" t="n">
        <v>1.802406</v>
      </c>
      <c r="AC72" t="n">
        <v>1.815288</v>
      </c>
      <c r="AD72" t="n">
        <v>1.810762</v>
      </c>
      <c r="AE72" t="n">
        <v>1.803156</v>
      </c>
      <c r="AF72" t="n">
        <v>1.787373</v>
      </c>
      <c r="AG72" s="31" t="n">
        <v>-0.001</v>
      </c>
    </row>
    <row r="73">
      <c r="A73" t="inlineStr">
        <is>
          <t>Natural Gas Heat and Power</t>
        </is>
      </c>
      <c r="B73" t="inlineStr">
        <is>
          <t>Industrial: Refining Use: Natural Gas Heat and Power: High Zero-Carbon Technology Cost</t>
        </is>
      </c>
      <c r="C73" t="inlineStr">
        <is>
          <t>AEO.2025.HIGHZTC.CNSM_NA_IDAL_REFU_NHP_NA_USA_QBTU.A</t>
        </is>
      </c>
      <c r="D73" t="inlineStr">
        <is>
          <t>quads</t>
        </is>
      </c>
      <c r="F73" t="n">
        <v>1.323966</v>
      </c>
      <c r="G73" t="n">
        <v>1.323966</v>
      </c>
      <c r="H73" t="n">
        <v>1.070948</v>
      </c>
      <c r="I73" t="n">
        <v>1.06938</v>
      </c>
      <c r="J73" t="n">
        <v>1.050334</v>
      </c>
      <c r="K73" t="n">
        <v>1.054281</v>
      </c>
      <c r="L73" t="n">
        <v>1.036882</v>
      </c>
      <c r="M73" t="n">
        <v>1.035419</v>
      </c>
      <c r="N73" t="n">
        <v>1.017276</v>
      </c>
      <c r="O73" t="n">
        <v>1.017196</v>
      </c>
      <c r="P73" t="n">
        <v>0.994681</v>
      </c>
      <c r="Q73" t="n">
        <v>0.9775199999999999</v>
      </c>
      <c r="R73" t="n">
        <v>0.972469</v>
      </c>
      <c r="S73" t="n">
        <v>0.955077</v>
      </c>
      <c r="T73" t="n">
        <v>0.949427</v>
      </c>
      <c r="U73" t="n">
        <v>0.946635</v>
      </c>
      <c r="V73" t="n">
        <v>0.944733</v>
      </c>
      <c r="W73" t="n">
        <v>0.932018</v>
      </c>
      <c r="X73" t="n">
        <v>0.92334</v>
      </c>
      <c r="Y73" t="n">
        <v>0.936078</v>
      </c>
      <c r="Z73" t="n">
        <v>0.9248729999999999</v>
      </c>
      <c r="AA73" t="n">
        <v>0.921697</v>
      </c>
      <c r="AB73" t="n">
        <v>0.9223749999999999</v>
      </c>
      <c r="AC73" t="n">
        <v>0.931246</v>
      </c>
      <c r="AD73" t="n">
        <v>0.934524</v>
      </c>
      <c r="AE73" t="n">
        <v>0.942062</v>
      </c>
      <c r="AF73" t="n">
        <v>0.943912</v>
      </c>
      <c r="AG73" s="31" t="n">
        <v>-0.013</v>
      </c>
    </row>
    <row r="74">
      <c r="A74" t="inlineStr">
        <is>
          <t>Hydrogen Consumed as Feedstocks</t>
        </is>
      </c>
      <c r="B74" t="inlineStr">
        <is>
          <t>Industrial: Refining Use: Hydrogen Feedstocks: High Zero-Carbon Technology Cost</t>
        </is>
      </c>
      <c r="C74" t="inlineStr">
        <is>
          <t>AEO.2025.HIGHZTC.CNSM_NA_IDAL_REFU_H2FEEDSTK_NA_USA_QBTU.A</t>
        </is>
      </c>
      <c r="D74" t="inlineStr">
        <is>
          <t>quads</t>
        </is>
      </c>
      <c r="F74" t="n">
        <v>0.517</v>
      </c>
      <c r="G74" t="n">
        <v>0.517</v>
      </c>
      <c r="H74" t="n">
        <v>0.517</v>
      </c>
      <c r="I74" t="n">
        <v>0.517</v>
      </c>
      <c r="J74" t="n">
        <v>0.517</v>
      </c>
      <c r="K74" t="n">
        <v>0.513853</v>
      </c>
      <c r="L74" t="n">
        <v>0.517</v>
      </c>
      <c r="M74" t="n">
        <v>0.517</v>
      </c>
      <c r="N74" t="n">
        <v>0.517</v>
      </c>
      <c r="O74" t="n">
        <v>0.517</v>
      </c>
      <c r="P74" t="n">
        <v>0.517</v>
      </c>
      <c r="Q74" t="n">
        <v>0.517</v>
      </c>
      <c r="R74" t="n">
        <v>0.517</v>
      </c>
      <c r="S74" t="n">
        <v>0.517</v>
      </c>
      <c r="T74" t="n">
        <v>0.517</v>
      </c>
      <c r="U74" t="n">
        <v>0.517</v>
      </c>
      <c r="V74" t="n">
        <v>0.517</v>
      </c>
      <c r="W74" t="n">
        <v>0.517</v>
      </c>
      <c r="X74" t="n">
        <v>0.517</v>
      </c>
      <c r="Y74" t="n">
        <v>0.517</v>
      </c>
      <c r="Z74" t="n">
        <v>0.517</v>
      </c>
      <c r="AA74" t="n">
        <v>0.517</v>
      </c>
      <c r="AB74" t="n">
        <v>0.517</v>
      </c>
      <c r="AC74" t="n">
        <v>0.517</v>
      </c>
      <c r="AD74" t="n">
        <v>0.517</v>
      </c>
      <c r="AE74" t="n">
        <v>0.517</v>
      </c>
      <c r="AF74" t="n">
        <v>0.517</v>
      </c>
      <c r="AG74" s="31" t="n">
        <v>0</v>
      </c>
    </row>
    <row r="75">
      <c r="A75" t="inlineStr">
        <is>
          <t>Steam Coal</t>
        </is>
      </c>
      <c r="B75" t="inlineStr">
        <is>
          <t>Industrial: Refining Use: Other Industrial Coal: High Zero-Carbon Technology Cost</t>
        </is>
      </c>
      <c r="C75" t="inlineStr">
        <is>
          <t>AEO.2025.HIGHZTC.CNSM_NA_IDAL_REFU_OIC_NA_USA_QBTU.A</t>
        </is>
      </c>
      <c r="D75" t="inlineStr">
        <is>
          <t>quads</t>
        </is>
      </c>
      <c r="F75" t="n">
        <v>0.124711</v>
      </c>
      <c r="G75" t="n">
        <v>0.124711</v>
      </c>
      <c r="H75" t="n">
        <v>0.124711</v>
      </c>
      <c r="I75" t="n">
        <v>0.124711</v>
      </c>
      <c r="J75" t="n">
        <v>0.124711</v>
      </c>
      <c r="K75" t="n">
        <v>0.124711</v>
      </c>
      <c r="L75" t="n">
        <v>0.124711</v>
      </c>
      <c r="M75" t="n">
        <v>0.124711</v>
      </c>
      <c r="N75" t="n">
        <v>0.124711</v>
      </c>
      <c r="O75" t="n">
        <v>0.124711</v>
      </c>
      <c r="P75" t="n">
        <v>0.124711</v>
      </c>
      <c r="Q75" t="n">
        <v>0.124711</v>
      </c>
      <c r="R75" t="n">
        <v>0.124711</v>
      </c>
      <c r="S75" t="n">
        <v>0.124711</v>
      </c>
      <c r="T75" t="n">
        <v>0.124711</v>
      </c>
      <c r="U75" t="n">
        <v>0.124711</v>
      </c>
      <c r="V75" t="n">
        <v>0.124711</v>
      </c>
      <c r="W75" t="n">
        <v>0.124711</v>
      </c>
      <c r="X75" t="n">
        <v>0.124711</v>
      </c>
      <c r="Y75" t="n">
        <v>0.124711</v>
      </c>
      <c r="Z75" t="n">
        <v>0.124711</v>
      </c>
      <c r="AA75" t="n">
        <v>0.124711</v>
      </c>
      <c r="AB75" t="n">
        <v>0.124711</v>
      </c>
      <c r="AC75" t="n">
        <v>0.124711</v>
      </c>
      <c r="AD75" t="n">
        <v>0.124711</v>
      </c>
      <c r="AE75" t="n">
        <v>0.124711</v>
      </c>
      <c r="AF75" t="n">
        <v>0.124711</v>
      </c>
      <c r="AG75" s="31" t="n">
        <v>0</v>
      </c>
    </row>
    <row r="76">
      <c r="A76" t="inlineStr">
        <is>
          <t>Biofuels Heat and Coproducts</t>
        </is>
      </c>
      <c r="B76" t="inlineStr">
        <is>
          <t>Industrial: Refining Use: Biofuels Heat and Coproducts: High Zero-Carbon Technology Cost</t>
        </is>
      </c>
      <c r="C76" t="inlineStr">
        <is>
          <t>AEO.2025.HIGHZTC.CNSM_NA_IDAL_REFU_BFH_NA_USA_QBTU.A</t>
        </is>
      </c>
      <c r="D76" t="inlineStr">
        <is>
          <t>quads</t>
        </is>
      </c>
      <c r="F76" t="n">
        <v>0.894331</v>
      </c>
      <c r="G76" t="n">
        <v>0.916568</v>
      </c>
      <c r="H76" t="n">
        <v>0.914158</v>
      </c>
      <c r="I76" t="n">
        <v>0.914463</v>
      </c>
      <c r="J76" t="n">
        <v>0.913182</v>
      </c>
      <c r="K76" t="n">
        <v>0.908272</v>
      </c>
      <c r="L76" t="n">
        <v>0.903837</v>
      </c>
      <c r="M76" t="n">
        <v>0.892968</v>
      </c>
      <c r="N76" t="n">
        <v>0.8836889999999999</v>
      </c>
      <c r="O76" t="n">
        <v>0.868351</v>
      </c>
      <c r="P76" t="n">
        <v>0.853619</v>
      </c>
      <c r="Q76" t="n">
        <v>0.83833</v>
      </c>
      <c r="R76" t="n">
        <v>0.828071</v>
      </c>
      <c r="S76" t="n">
        <v>0.811011</v>
      </c>
      <c r="T76" t="n">
        <v>0.79575</v>
      </c>
      <c r="U76" t="n">
        <v>0.784349</v>
      </c>
      <c r="V76" t="n">
        <v>0.782166</v>
      </c>
      <c r="W76" t="n">
        <v>0.771797</v>
      </c>
      <c r="X76" t="n">
        <v>0.761696</v>
      </c>
      <c r="Y76" t="n">
        <v>0.755206</v>
      </c>
      <c r="Z76" t="n">
        <v>0.753325</v>
      </c>
      <c r="AA76" t="n">
        <v>0.75422</v>
      </c>
      <c r="AB76" t="n">
        <v>0.751773</v>
      </c>
      <c r="AC76" t="n">
        <v>0.751816</v>
      </c>
      <c r="AD76" t="n">
        <v>0.75012</v>
      </c>
      <c r="AE76" t="n">
        <v>0.752011</v>
      </c>
      <c r="AF76" t="n">
        <v>0.755675</v>
      </c>
      <c r="AG76" s="31" t="n">
        <v>-0.006</v>
      </c>
    </row>
    <row r="77">
      <c r="A77" t="inlineStr">
        <is>
          <t>Purchased Electricity</t>
        </is>
      </c>
      <c r="B77" t="inlineStr">
        <is>
          <t>Industrial: Refining Use: Purchased Electricity: High Zero-Carbon Technology Cost</t>
        </is>
      </c>
      <c r="C77" t="inlineStr">
        <is>
          <t>AEO.2025.HIGHZTC.CNSM_NA_IDAL_REFU_PRC_NA_USA_QBTU.A</t>
        </is>
      </c>
      <c r="D77" t="inlineStr">
        <is>
          <t>quads</t>
        </is>
      </c>
      <c r="F77" t="n">
        <v>0.178516</v>
      </c>
      <c r="G77" t="n">
        <v>0.178516</v>
      </c>
      <c r="H77" t="n">
        <v>0.176154</v>
      </c>
      <c r="I77" t="n">
        <v>0.176112</v>
      </c>
      <c r="J77" t="n">
        <v>0.176107</v>
      </c>
      <c r="K77" t="n">
        <v>0.175114</v>
      </c>
      <c r="L77" t="n">
        <v>0.174827</v>
      </c>
      <c r="M77" t="n">
        <v>0.17377</v>
      </c>
      <c r="N77" t="n">
        <v>0.171946</v>
      </c>
      <c r="O77" t="n">
        <v>0.170422</v>
      </c>
      <c r="P77" t="n">
        <v>0.168709</v>
      </c>
      <c r="Q77" t="n">
        <v>0.165856</v>
      </c>
      <c r="R77" t="n">
        <v>0.165527</v>
      </c>
      <c r="S77" t="n">
        <v>0.163066</v>
      </c>
      <c r="T77" t="n">
        <v>0.160524</v>
      </c>
      <c r="U77" t="n">
        <v>0.160592</v>
      </c>
      <c r="V77" t="n">
        <v>0.160063</v>
      </c>
      <c r="W77" t="n">
        <v>0.15809</v>
      </c>
      <c r="X77" t="n">
        <v>0.156531</v>
      </c>
      <c r="Y77" t="n">
        <v>0.158886</v>
      </c>
      <c r="Z77" t="n">
        <v>0.156683</v>
      </c>
      <c r="AA77" t="n">
        <v>0.155812</v>
      </c>
      <c r="AB77" t="n">
        <v>0.155658</v>
      </c>
      <c r="AC77" t="n">
        <v>0.15729</v>
      </c>
      <c r="AD77" t="n">
        <v>0.157314</v>
      </c>
      <c r="AE77" t="n">
        <v>0.15673</v>
      </c>
      <c r="AF77" t="n">
        <v>0.156028</v>
      </c>
      <c r="AG77" s="31" t="n">
        <v>-0.005</v>
      </c>
    </row>
    <row r="78">
      <c r="A78" t="inlineStr">
        <is>
          <t>Delivered Energy</t>
        </is>
      </c>
      <c r="B78" t="inlineStr">
        <is>
          <t>Industrial: Refining Use: Delivered Energy: High Zero-Carbon Technology Cost</t>
        </is>
      </c>
      <c r="C78" t="inlineStr">
        <is>
          <t>AEO.2025.HIGHZTC.CNSM_NA_IDAL_REFU_DELE_NA_USA_QBTU.A</t>
        </is>
      </c>
      <c r="D78" t="inlineStr">
        <is>
          <t>quads</t>
        </is>
      </c>
      <c r="F78" t="n">
        <v>4.895314</v>
      </c>
      <c r="G78" t="n">
        <v>4.940551</v>
      </c>
      <c r="H78" t="n">
        <v>4.615568</v>
      </c>
      <c r="I78" t="n">
        <v>4.61376</v>
      </c>
      <c r="J78" t="n">
        <v>4.626115</v>
      </c>
      <c r="K78" t="n">
        <v>4.596229</v>
      </c>
      <c r="L78" t="n">
        <v>4.593541</v>
      </c>
      <c r="M78" t="n">
        <v>4.580879</v>
      </c>
      <c r="N78" t="n">
        <v>4.544332</v>
      </c>
      <c r="O78" t="n">
        <v>4.504424</v>
      </c>
      <c r="P78" t="n">
        <v>4.469143</v>
      </c>
      <c r="Q78" t="n">
        <v>4.422234</v>
      </c>
      <c r="R78" t="n">
        <v>4.413118</v>
      </c>
      <c r="S78" t="n">
        <v>4.375427</v>
      </c>
      <c r="T78" t="n">
        <v>4.346608</v>
      </c>
      <c r="U78" t="n">
        <v>4.335101</v>
      </c>
      <c r="V78" t="n">
        <v>4.339837</v>
      </c>
      <c r="W78" t="n">
        <v>4.316599</v>
      </c>
      <c r="X78" t="n">
        <v>4.280167</v>
      </c>
      <c r="Y78" t="n">
        <v>4.300001</v>
      </c>
      <c r="Z78" t="n">
        <v>4.280482</v>
      </c>
      <c r="AA78" t="n">
        <v>4.270887</v>
      </c>
      <c r="AB78" t="n">
        <v>4.273923</v>
      </c>
      <c r="AC78" t="n">
        <v>4.297351</v>
      </c>
      <c r="AD78" t="n">
        <v>4.294431</v>
      </c>
      <c r="AE78" t="n">
        <v>4.29567</v>
      </c>
      <c r="AF78" t="n">
        <v>4.2847</v>
      </c>
      <c r="AG78" s="31" t="n">
        <v>-0.005</v>
      </c>
    </row>
    <row r="79">
      <c r="A79" t="inlineStr">
        <is>
          <t>Electricity-Related Losses</t>
        </is>
      </c>
      <c r="B79" t="inlineStr">
        <is>
          <t>Industrial: Refining Use: Electricity-Related Losses: High Zero-Carbon Technology Cost</t>
        </is>
      </c>
      <c r="C79" t="inlineStr">
        <is>
          <t>AEO.2025.HIGHZTC.CNSM_NA_IDAL_REFU_ELECRELOS_NA_USA_QBTU.A</t>
        </is>
      </c>
      <c r="D79" t="inlineStr">
        <is>
          <t>quads</t>
        </is>
      </c>
      <c r="F79" t="n">
        <v>0.253733</v>
      </c>
      <c r="G79" t="n">
        <v>0.246032</v>
      </c>
      <c r="H79" t="n">
        <v>0.228322</v>
      </c>
      <c r="I79" t="n">
        <v>0.219548</v>
      </c>
      <c r="J79" t="n">
        <v>0.214672</v>
      </c>
      <c r="K79" t="n">
        <v>0.209711</v>
      </c>
      <c r="L79" t="n">
        <v>0.200954</v>
      </c>
      <c r="M79" t="n">
        <v>0.193351</v>
      </c>
      <c r="N79" t="n">
        <v>0.178945</v>
      </c>
      <c r="O79" t="n">
        <v>0.171587</v>
      </c>
      <c r="P79" t="n">
        <v>0.16372</v>
      </c>
      <c r="Q79" t="n">
        <v>0.153886</v>
      </c>
      <c r="R79" t="n">
        <v>0.147043</v>
      </c>
      <c r="S79" t="n">
        <v>0.13729</v>
      </c>
      <c r="T79" t="n">
        <v>0.130875</v>
      </c>
      <c r="U79" t="n">
        <v>0.123093</v>
      </c>
      <c r="V79" t="n">
        <v>0.120481</v>
      </c>
      <c r="W79" t="n">
        <v>0.118729</v>
      </c>
      <c r="X79" t="n">
        <v>0.117311</v>
      </c>
      <c r="Y79" t="n">
        <v>0.118248</v>
      </c>
      <c r="Z79" t="n">
        <v>0.115997</v>
      </c>
      <c r="AA79" t="n">
        <v>0.11407</v>
      </c>
      <c r="AB79" t="n">
        <v>0.112673</v>
      </c>
      <c r="AC79" t="n">
        <v>0.112965</v>
      </c>
      <c r="AD79" t="n">
        <v>0.112414</v>
      </c>
      <c r="AE79" t="n">
        <v>0.111654</v>
      </c>
      <c r="AF79" t="n">
        <v>0.109967</v>
      </c>
      <c r="AG79" s="31" t="n">
        <v>-0.032</v>
      </c>
    </row>
    <row r="80">
      <c r="A80" t="inlineStr">
        <is>
          <t>Hydrogen-Related Losses</t>
        </is>
      </c>
      <c r="B80" t="inlineStr">
        <is>
          <t>Industrial: Refining Use: Hydrogen-Related Losses: High Zero-Carbon Technology Cost</t>
        </is>
      </c>
      <c r="C80" t="inlineStr">
        <is>
          <t>AEO.2025.HIGHZTC.CNSM_NA_IDAL_REFU_H2RELLOS_NA_USA_QBTU.A</t>
        </is>
      </c>
      <c r="D80" t="inlineStr">
        <is>
          <t>quads</t>
        </is>
      </c>
      <c r="F80" t="n">
        <v>0.148251</v>
      </c>
      <c r="G80" t="n">
        <v>0.148056</v>
      </c>
      <c r="H80" t="n">
        <v>0.150119</v>
      </c>
      <c r="I80" t="n">
        <v>0.151034</v>
      </c>
      <c r="J80" t="n">
        <v>0.1505</v>
      </c>
      <c r="K80" t="n">
        <v>0.14998</v>
      </c>
      <c r="L80" t="n">
        <v>0.151156</v>
      </c>
      <c r="M80" t="n">
        <v>0.152557</v>
      </c>
      <c r="N80" t="n">
        <v>0.154355</v>
      </c>
      <c r="O80" t="n">
        <v>0.158182</v>
      </c>
      <c r="P80" t="n">
        <v>0.160648</v>
      </c>
      <c r="Q80" t="n">
        <v>0.16333</v>
      </c>
      <c r="R80" t="n">
        <v>0.164352</v>
      </c>
      <c r="S80" t="n">
        <v>0.163535</v>
      </c>
      <c r="T80" t="n">
        <v>0.163022</v>
      </c>
      <c r="U80" t="n">
        <v>0.162823</v>
      </c>
      <c r="V80" t="n">
        <v>0.162772</v>
      </c>
      <c r="W80" t="n">
        <v>0.163043</v>
      </c>
      <c r="X80" t="n">
        <v>0.162835</v>
      </c>
      <c r="Y80" t="n">
        <v>0.162924</v>
      </c>
      <c r="Z80" t="n">
        <v>0.163025</v>
      </c>
      <c r="AA80" t="n">
        <v>0.163007</v>
      </c>
      <c r="AB80" t="n">
        <v>0.162555</v>
      </c>
      <c r="AC80" t="n">
        <v>0.161611</v>
      </c>
      <c r="AD80" t="n">
        <v>0.161624</v>
      </c>
      <c r="AE80" t="n">
        <v>0.159913</v>
      </c>
      <c r="AF80" t="n">
        <v>0.160184</v>
      </c>
      <c r="AG80" s="31" t="n">
        <v>0.003</v>
      </c>
    </row>
    <row r="81">
      <c r="A81" t="inlineStr">
        <is>
          <t>Total</t>
        </is>
      </c>
      <c r="B81" t="inlineStr">
        <is>
          <t>Industrial: Refining Use: Total: High Zero-Carbon Technology Cost</t>
        </is>
      </c>
      <c r="C81" t="inlineStr">
        <is>
          <t>AEO.2025.HIGHZTC.CNSM_NA_IDAL_REFU_TOT_NA_USA_QBTU.A</t>
        </is>
      </c>
      <c r="D81" t="inlineStr">
        <is>
          <t>quads</t>
        </is>
      </c>
      <c r="F81" t="n">
        <v>5.297298</v>
      </c>
      <c r="G81" t="n">
        <v>5.334639</v>
      </c>
      <c r="H81" t="n">
        <v>4.994009</v>
      </c>
      <c r="I81" t="n">
        <v>4.984343</v>
      </c>
      <c r="J81" t="n">
        <v>4.991287</v>
      </c>
      <c r="K81" t="n">
        <v>4.95592</v>
      </c>
      <c r="L81" t="n">
        <v>4.94565</v>
      </c>
      <c r="M81" t="n">
        <v>4.926788</v>
      </c>
      <c r="N81" t="n">
        <v>4.877632</v>
      </c>
      <c r="O81" t="n">
        <v>4.834194</v>
      </c>
      <c r="P81" t="n">
        <v>4.793511</v>
      </c>
      <c r="Q81" t="n">
        <v>4.73945</v>
      </c>
      <c r="R81" t="n">
        <v>4.724513</v>
      </c>
      <c r="S81" t="n">
        <v>4.676251</v>
      </c>
      <c r="T81" t="n">
        <v>4.640505</v>
      </c>
      <c r="U81" t="n">
        <v>4.621018</v>
      </c>
      <c r="V81" t="n">
        <v>4.62309</v>
      </c>
      <c r="W81" t="n">
        <v>4.59837</v>
      </c>
      <c r="X81" t="n">
        <v>4.560313</v>
      </c>
      <c r="Y81" t="n">
        <v>4.581173</v>
      </c>
      <c r="Z81" t="n">
        <v>4.559504</v>
      </c>
      <c r="AA81" t="n">
        <v>4.547963</v>
      </c>
      <c r="AB81" t="n">
        <v>4.549151</v>
      </c>
      <c r="AC81" t="n">
        <v>4.571927</v>
      </c>
      <c r="AD81" t="n">
        <v>4.568469</v>
      </c>
      <c r="AE81" t="n">
        <v>4.567237</v>
      </c>
      <c r="AF81" t="n">
        <v>4.55485</v>
      </c>
      <c r="AG81" s="31" t="n">
        <v>-0.006</v>
      </c>
    </row>
    <row r="82">
      <c r="A82" s="1" t="inlineStr">
        <is>
          <t>Hydrogen Production-Related Consumption (quadrillon Btu)</t>
        </is>
      </c>
    </row>
    <row r="83">
      <c r="A83" t="inlineStr">
        <is>
          <t>Natural Gas Heat and Power</t>
        </is>
      </c>
      <c r="B83" t="inlineStr">
        <is>
          <t>Industrial: Hydrogen Production: Natural Gas Heat and Power: High Zero-Carbon Technology Cost</t>
        </is>
      </c>
      <c r="C83" t="inlineStr">
        <is>
          <t>AEO.2025.HIGHZTC.CNSM_NA_IDAL_H2PROD_NHP_NA_NA_QBTU.A</t>
        </is>
      </c>
      <c r="D83" t="inlineStr">
        <is>
          <t>quads</t>
        </is>
      </c>
      <c r="F83" t="n">
        <v>0.1554</v>
      </c>
      <c r="G83" t="n">
        <v>0.158069</v>
      </c>
      <c r="H83" t="n">
        <v>0.162681</v>
      </c>
      <c r="I83" t="n">
        <v>0.164978</v>
      </c>
      <c r="J83" t="n">
        <v>0.166338</v>
      </c>
      <c r="K83" t="n">
        <v>0.16833</v>
      </c>
      <c r="L83" t="n">
        <v>0.172452</v>
      </c>
      <c r="M83" t="n">
        <v>0.179122</v>
      </c>
      <c r="N83" t="n">
        <v>0.191896</v>
      </c>
      <c r="O83" t="n">
        <v>0.204111</v>
      </c>
      <c r="P83" t="n">
        <v>0.215582</v>
      </c>
      <c r="Q83" t="n">
        <v>0.22636</v>
      </c>
      <c r="R83" t="n">
        <v>0.236496</v>
      </c>
      <c r="S83" t="n">
        <v>0.245345</v>
      </c>
      <c r="T83" t="n">
        <v>0.253655</v>
      </c>
      <c r="U83" t="n">
        <v>0.261267</v>
      </c>
      <c r="V83" t="n">
        <v>0.268511</v>
      </c>
      <c r="W83" t="n">
        <v>0.275478</v>
      </c>
      <c r="X83" t="n">
        <v>0.281662</v>
      </c>
      <c r="Y83" t="n">
        <v>0.287842</v>
      </c>
      <c r="Z83" t="n">
        <v>0.294341</v>
      </c>
      <c r="AA83" t="n">
        <v>0.300284</v>
      </c>
      <c r="AB83" t="n">
        <v>0.304832</v>
      </c>
      <c r="AC83" t="n">
        <v>0.308259</v>
      </c>
      <c r="AD83" t="n">
        <v>0.311781</v>
      </c>
      <c r="AE83" t="n">
        <v>0.314671</v>
      </c>
      <c r="AF83" t="n">
        <v>0.318126</v>
      </c>
      <c r="AG83" s="31" t="n">
        <v>0.028</v>
      </c>
    </row>
    <row r="84">
      <c r="A84" t="inlineStr">
        <is>
          <t>Natural Gas Feedstocks</t>
        </is>
      </c>
      <c r="B84" t="inlineStr">
        <is>
          <t>Industrial: Hydrogen Production: Natural Gas Feedstocks: High Zero-Carbon Technology Cost</t>
        </is>
      </c>
      <c r="C84" t="inlineStr">
        <is>
          <t>AEO.2025.HIGHZTC.CNSM_NA_IDAL_H2PROD_NGF_NA_NA_QBTU.A</t>
        </is>
      </c>
      <c r="D84" t="inlineStr">
        <is>
          <t>quads</t>
        </is>
      </c>
      <c r="F84" t="n">
        <v>0.905083</v>
      </c>
      <c r="G84" t="n">
        <v>0.920633</v>
      </c>
      <c r="H84" t="n">
        <v>0.947294</v>
      </c>
      <c r="I84" t="n">
        <v>0.96065</v>
      </c>
      <c r="J84" t="n">
        <v>0.968563</v>
      </c>
      <c r="K84" t="n">
        <v>0.980142</v>
      </c>
      <c r="L84" t="n">
        <v>1.004125</v>
      </c>
      <c r="M84" t="n">
        <v>1.042939</v>
      </c>
      <c r="N84" t="n">
        <v>1.117155</v>
      </c>
      <c r="O84" t="n">
        <v>1.187979</v>
      </c>
      <c r="P84" t="n">
        <v>1.254479</v>
      </c>
      <c r="Q84" t="n">
        <v>1.316905</v>
      </c>
      <c r="R84" t="n">
        <v>1.375955</v>
      </c>
      <c r="S84" t="n">
        <v>1.42774</v>
      </c>
      <c r="T84" t="n">
        <v>1.476365</v>
      </c>
      <c r="U84" t="n">
        <v>1.520743</v>
      </c>
      <c r="V84" t="n">
        <v>1.56296</v>
      </c>
      <c r="W84" t="n">
        <v>1.603553</v>
      </c>
      <c r="X84" t="n">
        <v>1.639647</v>
      </c>
      <c r="Y84" t="n">
        <v>1.675705</v>
      </c>
      <c r="Z84" t="n">
        <v>1.713717</v>
      </c>
      <c r="AA84" t="n">
        <v>1.748545</v>
      </c>
      <c r="AB84" t="n">
        <v>1.775204</v>
      </c>
      <c r="AC84" t="n">
        <v>1.795358</v>
      </c>
      <c r="AD84" t="n">
        <v>1.815876</v>
      </c>
      <c r="AE84" t="n">
        <v>1.833248</v>
      </c>
      <c r="AF84" t="n">
        <v>1.85338</v>
      </c>
      <c r="AG84" s="31" t="n">
        <v>0.028</v>
      </c>
    </row>
    <row r="85">
      <c r="A85" t="inlineStr">
        <is>
          <t>Natural Gas Subtotal</t>
        </is>
      </c>
      <c r="B85" t="inlineStr">
        <is>
          <t>Industrial: Hydrogen Production: Natural Gas Subtotal: High Zero-Carbon Technology Cost</t>
        </is>
      </c>
      <c r="C85" t="inlineStr">
        <is>
          <t>AEO.2025.HIGHZTC.CNSM_NA_IDAL_H2PROD_NGS_NA_NA_QBTU.A</t>
        </is>
      </c>
      <c r="D85" t="inlineStr">
        <is>
          <t>quads</t>
        </is>
      </c>
      <c r="F85" t="n">
        <v>1.060482</v>
      </c>
      <c r="G85" t="n">
        <v>1.078702</v>
      </c>
      <c r="H85" t="n">
        <v>1.109975</v>
      </c>
      <c r="I85" t="n">
        <v>1.125627</v>
      </c>
      <c r="J85" t="n">
        <v>1.134902</v>
      </c>
      <c r="K85" t="n">
        <v>1.148471</v>
      </c>
      <c r="L85" t="n">
        <v>1.176577</v>
      </c>
      <c r="M85" t="n">
        <v>1.222061</v>
      </c>
      <c r="N85" t="n">
        <v>1.309051</v>
      </c>
      <c r="O85" t="n">
        <v>1.39209</v>
      </c>
      <c r="P85" t="n">
        <v>1.470061</v>
      </c>
      <c r="Q85" t="n">
        <v>1.543266</v>
      </c>
      <c r="R85" t="n">
        <v>1.61245</v>
      </c>
      <c r="S85" t="n">
        <v>1.673084</v>
      </c>
      <c r="T85" t="n">
        <v>1.73002</v>
      </c>
      <c r="U85" t="n">
        <v>1.78201</v>
      </c>
      <c r="V85" t="n">
        <v>1.831471</v>
      </c>
      <c r="W85" t="n">
        <v>1.879031</v>
      </c>
      <c r="X85" t="n">
        <v>1.921309</v>
      </c>
      <c r="Y85" t="n">
        <v>1.963548</v>
      </c>
      <c r="Z85" t="n">
        <v>2.008058</v>
      </c>
      <c r="AA85" t="n">
        <v>2.04883</v>
      </c>
      <c r="AB85" t="n">
        <v>2.080037</v>
      </c>
      <c r="AC85" t="n">
        <v>2.103617</v>
      </c>
      <c r="AD85" t="n">
        <v>2.127657</v>
      </c>
      <c r="AE85" t="n">
        <v>2.147919</v>
      </c>
      <c r="AF85" t="n">
        <v>2.171506</v>
      </c>
      <c r="AG85" s="31" t="n">
        <v>0.028</v>
      </c>
    </row>
    <row r="86">
      <c r="A86" t="inlineStr">
        <is>
          <t>Purchased Electricity</t>
        </is>
      </c>
      <c r="B86" t="inlineStr">
        <is>
          <t>Industrial: Hydrogen Production: Purchased Electricity: High Zero-Carbon Technology Cost</t>
        </is>
      </c>
      <c r="C86" t="inlineStr">
        <is>
          <t>AEO.2025.HIGHZTC.CNSM_NA_IDAL_H2PROD_PRC_NA_NA_QBTU.A</t>
        </is>
      </c>
      <c r="D86" t="inlineStr">
        <is>
          <t>quads</t>
        </is>
      </c>
      <c r="F86" t="n">
        <v>0.003649</v>
      </c>
      <c r="G86" t="n">
        <v>0.003693</v>
      </c>
      <c r="H86" t="n">
        <v>0.004606</v>
      </c>
      <c r="I86" t="n">
        <v>0.00474</v>
      </c>
      <c r="J86" t="n">
        <v>0.004824</v>
      </c>
      <c r="K86" t="n">
        <v>0.004945</v>
      </c>
      <c r="L86" t="n">
        <v>0.00514</v>
      </c>
      <c r="M86" t="n">
        <v>0.005446</v>
      </c>
      <c r="N86" t="n">
        <v>0.006487</v>
      </c>
      <c r="O86" t="n">
        <v>0.008055</v>
      </c>
      <c r="P86" t="n">
        <v>0.009578</v>
      </c>
      <c r="Q86" t="n">
        <v>0.011226</v>
      </c>
      <c r="R86" t="n">
        <v>0.011394</v>
      </c>
      <c r="S86" t="n">
        <v>0.010609</v>
      </c>
      <c r="T86" t="n">
        <v>0.009896</v>
      </c>
      <c r="U86" t="n">
        <v>0.009901</v>
      </c>
      <c r="V86" t="n">
        <v>0.009976</v>
      </c>
      <c r="W86" t="n">
        <v>0.010061</v>
      </c>
      <c r="X86" t="n">
        <v>0.009906999999999999</v>
      </c>
      <c r="Y86" t="n">
        <v>0.009795999999999999</v>
      </c>
      <c r="Z86" t="n">
        <v>0.009301</v>
      </c>
      <c r="AA86" t="n">
        <v>0.008584</v>
      </c>
      <c r="AB86" t="n">
        <v>0.008000999999999999</v>
      </c>
      <c r="AC86" t="n">
        <v>0.007289</v>
      </c>
      <c r="AD86" t="n">
        <v>0.007356</v>
      </c>
      <c r="AE86" t="n">
        <v>0.005232</v>
      </c>
      <c r="AF86" t="n">
        <v>0.00529</v>
      </c>
      <c r="AG86" s="31" t="n">
        <v>0.014</v>
      </c>
    </row>
    <row r="87">
      <c r="A87" t="inlineStr">
        <is>
          <t>Delivered Energy</t>
        </is>
      </c>
      <c r="B87" t="inlineStr">
        <is>
          <t>Industrial: Hydrogen Production: Delivered Energy: High Zero-Carbon Technology Cost</t>
        </is>
      </c>
      <c r="C87" t="inlineStr">
        <is>
          <t>AEO.2025.HIGHZTC.CNSM_NA_IDAL_H2PROD_DELE_NA_NA_QBTU.A</t>
        </is>
      </c>
      <c r="D87" t="inlineStr">
        <is>
          <t>quads</t>
        </is>
      </c>
      <c r="F87" t="n">
        <v>1.064131</v>
      </c>
      <c r="G87" t="n">
        <v>1.082395</v>
      </c>
      <c r="H87" t="n">
        <v>1.114581</v>
      </c>
      <c r="I87" t="n">
        <v>1.130368</v>
      </c>
      <c r="J87" t="n">
        <v>1.139726</v>
      </c>
      <c r="K87" t="n">
        <v>1.153416</v>
      </c>
      <c r="L87" t="n">
        <v>1.181717</v>
      </c>
      <c r="M87" t="n">
        <v>1.227507</v>
      </c>
      <c r="N87" t="n">
        <v>1.315538</v>
      </c>
      <c r="O87" t="n">
        <v>1.400145</v>
      </c>
      <c r="P87" t="n">
        <v>1.479639</v>
      </c>
      <c r="Q87" t="n">
        <v>1.554492</v>
      </c>
      <c r="R87" t="n">
        <v>1.623845</v>
      </c>
      <c r="S87" t="n">
        <v>1.683693</v>
      </c>
      <c r="T87" t="n">
        <v>1.739916</v>
      </c>
      <c r="U87" t="n">
        <v>1.791911</v>
      </c>
      <c r="V87" t="n">
        <v>1.841447</v>
      </c>
      <c r="W87" t="n">
        <v>1.889092</v>
      </c>
      <c r="X87" t="n">
        <v>1.931216</v>
      </c>
      <c r="Y87" t="n">
        <v>1.973344</v>
      </c>
      <c r="Z87" t="n">
        <v>2.017359</v>
      </c>
      <c r="AA87" t="n">
        <v>2.057414</v>
      </c>
      <c r="AB87" t="n">
        <v>2.088038</v>
      </c>
      <c r="AC87" t="n">
        <v>2.110907</v>
      </c>
      <c r="AD87" t="n">
        <v>2.135013</v>
      </c>
      <c r="AE87" t="n">
        <v>2.153151</v>
      </c>
      <c r="AF87" t="n">
        <v>2.176796</v>
      </c>
      <c r="AG87" s="31" t="n">
        <v>0.028</v>
      </c>
    </row>
    <row r="88">
      <c r="A88" t="inlineStr">
        <is>
          <t>Electricity-Related Losses</t>
        </is>
      </c>
      <c r="B88" t="inlineStr">
        <is>
          <t>Industrial: Hydrogen Production: Electricity-Related Losses: High Zero-Carbon Technology Cost</t>
        </is>
      </c>
      <c r="C88" t="inlineStr">
        <is>
          <t>AEO.2025.HIGHZTC.CNSM_NA_IDAL_H2PROD_ELECRELOS_NA_NA_QBTU.A</t>
        </is>
      </c>
      <c r="D88" t="inlineStr">
        <is>
          <t>quads</t>
        </is>
      </c>
      <c r="F88" t="n">
        <v>0.005186</v>
      </c>
      <c r="G88" t="n">
        <v>0.00509</v>
      </c>
      <c r="H88" t="n">
        <v>0.00597</v>
      </c>
      <c r="I88" t="n">
        <v>0.005909</v>
      </c>
      <c r="J88" t="n">
        <v>0.005881</v>
      </c>
      <c r="K88" t="n">
        <v>0.005922</v>
      </c>
      <c r="L88" t="n">
        <v>0.005908</v>
      </c>
      <c r="M88" t="n">
        <v>0.00606</v>
      </c>
      <c r="N88" t="n">
        <v>0.006751</v>
      </c>
      <c r="O88" t="n">
        <v>0.008109999999999999</v>
      </c>
      <c r="P88" t="n">
        <v>0.009294</v>
      </c>
      <c r="Q88" t="n">
        <v>0.010416</v>
      </c>
      <c r="R88" t="n">
        <v>0.010122</v>
      </c>
      <c r="S88" t="n">
        <v>0.008932000000000001</v>
      </c>
      <c r="T88" t="n">
        <v>0.008069</v>
      </c>
      <c r="U88" t="n">
        <v>0.007589</v>
      </c>
      <c r="V88" t="n">
        <v>0.007509</v>
      </c>
      <c r="W88" t="n">
        <v>0.007556</v>
      </c>
      <c r="X88" t="n">
        <v>0.007424</v>
      </c>
      <c r="Y88" t="n">
        <v>0.007291</v>
      </c>
      <c r="Z88" t="n">
        <v>0.006886</v>
      </c>
      <c r="AA88" t="n">
        <v>0.006285</v>
      </c>
      <c r="AB88" t="n">
        <v>0.005792</v>
      </c>
      <c r="AC88" t="n">
        <v>0.005235</v>
      </c>
      <c r="AD88" t="n">
        <v>0.005256</v>
      </c>
      <c r="AE88" t="n">
        <v>0.003727</v>
      </c>
      <c r="AF88" t="n">
        <v>0.003728</v>
      </c>
      <c r="AG88" s="31" t="n">
        <v>-0.013</v>
      </c>
    </row>
    <row r="89">
      <c r="A89" t="inlineStr">
        <is>
          <t>Total</t>
        </is>
      </c>
      <c r="B89" t="inlineStr">
        <is>
          <t>Industrial: Hydrogen Production: Total: High Zero-Carbon Technology Cost</t>
        </is>
      </c>
      <c r="C89" t="inlineStr">
        <is>
          <t>AEO.2025.HIGHZTC.CNSM_NA_IDAL_H2PROD_TOT_NA_NA_QBTU.A</t>
        </is>
      </c>
      <c r="D89" t="inlineStr">
        <is>
          <t>quads</t>
        </is>
      </c>
      <c r="F89" t="n">
        <v>1.069317</v>
      </c>
      <c r="G89" t="n">
        <v>1.087484</v>
      </c>
      <c r="H89" t="n">
        <v>1.120551</v>
      </c>
      <c r="I89" t="n">
        <v>1.136277</v>
      </c>
      <c r="J89" t="n">
        <v>1.145607</v>
      </c>
      <c r="K89" t="n">
        <v>1.159338</v>
      </c>
      <c r="L89" t="n">
        <v>1.187625</v>
      </c>
      <c r="M89" t="n">
        <v>1.233567</v>
      </c>
      <c r="N89" t="n">
        <v>1.322288</v>
      </c>
      <c r="O89" t="n">
        <v>1.408255</v>
      </c>
      <c r="P89" t="n">
        <v>1.488933</v>
      </c>
      <c r="Q89" t="n">
        <v>1.564908</v>
      </c>
      <c r="R89" t="n">
        <v>1.633967</v>
      </c>
      <c r="S89" t="n">
        <v>1.692625</v>
      </c>
      <c r="T89" t="n">
        <v>1.747985</v>
      </c>
      <c r="U89" t="n">
        <v>1.799499</v>
      </c>
      <c r="V89" t="n">
        <v>1.848956</v>
      </c>
      <c r="W89" t="n">
        <v>1.896648</v>
      </c>
      <c r="X89" t="n">
        <v>1.93864</v>
      </c>
      <c r="Y89" t="n">
        <v>1.980635</v>
      </c>
      <c r="Z89" t="n">
        <v>2.024245</v>
      </c>
      <c r="AA89" t="n">
        <v>2.063699</v>
      </c>
      <c r="AB89" t="n">
        <v>2.093829</v>
      </c>
      <c r="AC89" t="n">
        <v>2.116142</v>
      </c>
      <c r="AD89" t="n">
        <v>2.14027</v>
      </c>
      <c r="AE89" t="n">
        <v>2.156878</v>
      </c>
      <c r="AF89" t="n">
        <v>2.180524</v>
      </c>
      <c r="AG89" s="31" t="n">
        <v>0.028</v>
      </c>
    </row>
    <row r="90">
      <c r="A90" s="1" t="inlineStr">
        <is>
          <t>Industrial Sector End-Use Consumption Excluding Hydrogen Production</t>
        </is>
      </c>
    </row>
    <row r="91">
      <c r="A91" t="inlineStr">
        <is>
          <t>Propane Heat and Power</t>
        </is>
      </c>
      <c r="B91" t="inlineStr">
        <is>
          <t>Industrial: Total Industrial Sector Use Excluding H2 Production: Propane Heat and Power: High Zero-Carbon Technology Cost</t>
        </is>
      </c>
      <c r="C91" t="inlineStr">
        <is>
          <t>AEO.2025.HIGHZTC.CNSM_NA_IDAL_NA_LPGHP_NA_USA_QBTU.A</t>
        </is>
      </c>
      <c r="D91" t="inlineStr">
        <is>
          <t>quads</t>
        </is>
      </c>
      <c r="F91" t="n">
        <v>0.064334</v>
      </c>
      <c r="G91" t="n">
        <v>0.122289</v>
      </c>
      <c r="H91" t="n">
        <v>0.116488</v>
      </c>
      <c r="I91" t="n">
        <v>0.117768</v>
      </c>
      <c r="J91" t="n">
        <v>0.118981</v>
      </c>
      <c r="K91" t="n">
        <v>0.120806</v>
      </c>
      <c r="L91" t="n">
        <v>0.122225</v>
      </c>
      <c r="M91" t="n">
        <v>0.123407</v>
      </c>
      <c r="N91" t="n">
        <v>0.125766</v>
      </c>
      <c r="O91" t="n">
        <v>0.126346</v>
      </c>
      <c r="P91" t="n">
        <v>0.127184</v>
      </c>
      <c r="Q91" t="n">
        <v>0.128271</v>
      </c>
      <c r="R91" t="n">
        <v>0.129641</v>
      </c>
      <c r="S91" t="n">
        <v>0.131156</v>
      </c>
      <c r="T91" t="n">
        <v>0.132603</v>
      </c>
      <c r="U91" t="n">
        <v>0.133936</v>
      </c>
      <c r="V91" t="n">
        <v>0.135029</v>
      </c>
      <c r="W91" t="n">
        <v>0.135651</v>
      </c>
      <c r="X91" t="n">
        <v>0.136466</v>
      </c>
      <c r="Y91" t="n">
        <v>0.13723</v>
      </c>
      <c r="Z91" t="n">
        <v>0.138026</v>
      </c>
      <c r="AA91" t="n">
        <v>0.139073</v>
      </c>
      <c r="AB91" t="n">
        <v>0.140203</v>
      </c>
      <c r="AC91" t="n">
        <v>0.141396</v>
      </c>
      <c r="AD91" t="n">
        <v>0.142557</v>
      </c>
      <c r="AE91" t="n">
        <v>0.143824</v>
      </c>
      <c r="AF91" t="n">
        <v>0.144934</v>
      </c>
      <c r="AG91" s="31" t="n">
        <v>0.032</v>
      </c>
    </row>
    <row r="92">
      <c r="A92" t="inlineStr">
        <is>
          <t>Hydrocarbon Gas Liquid Feedstocks</t>
        </is>
      </c>
      <c r="B92" t="inlineStr">
        <is>
          <t>Industrial: Total Industrial Sector Use Excluding H2 Production: LPG and Other Feedstocks: High Zero-Carbon Technology Cost</t>
        </is>
      </c>
      <c r="C92" t="inlineStr">
        <is>
          <t>AEO.2025.HIGHZTC.CNSM_NA_IDAL_NA_LPGF_NA_USA_QBTU.A</t>
        </is>
      </c>
      <c r="D92" t="inlineStr">
        <is>
          <t>quads</t>
        </is>
      </c>
      <c r="F92" t="n">
        <v>3.485</v>
      </c>
      <c r="G92" t="n">
        <v>3.489802</v>
      </c>
      <c r="H92" t="n">
        <v>3.49178</v>
      </c>
      <c r="I92" t="n">
        <v>3.495489</v>
      </c>
      <c r="J92" t="n">
        <v>3.500911</v>
      </c>
      <c r="K92" t="n">
        <v>3.505162</v>
      </c>
      <c r="L92" t="n">
        <v>3.508227</v>
      </c>
      <c r="M92" t="n">
        <v>3.509183</v>
      </c>
      <c r="N92" t="n">
        <v>3.509037</v>
      </c>
      <c r="O92" t="n">
        <v>3.509996</v>
      </c>
      <c r="P92" t="n">
        <v>3.505924</v>
      </c>
      <c r="Q92" t="n">
        <v>3.501432</v>
      </c>
      <c r="R92" t="n">
        <v>3.498329</v>
      </c>
      <c r="S92" t="n">
        <v>3.492201</v>
      </c>
      <c r="T92" t="n">
        <v>3.520821</v>
      </c>
      <c r="U92" t="n">
        <v>3.588347</v>
      </c>
      <c r="V92" t="n">
        <v>3.662664</v>
      </c>
      <c r="W92" t="n">
        <v>3.722698</v>
      </c>
      <c r="X92" t="n">
        <v>3.785018</v>
      </c>
      <c r="Y92" t="n">
        <v>3.828975</v>
      </c>
      <c r="Z92" t="n">
        <v>3.800663</v>
      </c>
      <c r="AA92" t="n">
        <v>3.760822</v>
      </c>
      <c r="AB92" t="n">
        <v>3.798597</v>
      </c>
      <c r="AC92" t="n">
        <v>3.870811</v>
      </c>
      <c r="AD92" t="n">
        <v>3.923123</v>
      </c>
      <c r="AE92" t="n">
        <v>3.895189</v>
      </c>
      <c r="AF92" t="n">
        <v>3.866342</v>
      </c>
      <c r="AG92" s="31" t="n">
        <v>0.004</v>
      </c>
    </row>
    <row r="93">
      <c r="A93" t="inlineStr">
        <is>
          <t>Motor Gasoline</t>
        </is>
      </c>
      <c r="B93" t="inlineStr">
        <is>
          <t>Industrial: Total Industrial Sector Use Excluding H2 Production: Motor Gasoline: High Zero-Carbon Technology Cost</t>
        </is>
      </c>
      <c r="C93" t="inlineStr">
        <is>
          <t>AEO.2025.HIGHZTC.CNSM_NA_IDAL_NA_MGS_NA_USA_QBTU.A</t>
        </is>
      </c>
      <c r="D93" t="inlineStr">
        <is>
          <t>quads</t>
        </is>
      </c>
      <c r="F93" t="n">
        <v>0.281291</v>
      </c>
      <c r="G93" t="n">
        <v>0.285247</v>
      </c>
      <c r="H93" t="n">
        <v>0.288387</v>
      </c>
      <c r="I93" t="n">
        <v>0.292239</v>
      </c>
      <c r="J93" t="n">
        <v>0.297109</v>
      </c>
      <c r="K93" t="n">
        <v>0.302658</v>
      </c>
      <c r="L93" t="n">
        <v>0.307115</v>
      </c>
      <c r="M93" t="n">
        <v>0.310404</v>
      </c>
      <c r="N93" t="n">
        <v>0.313444</v>
      </c>
      <c r="O93" t="n">
        <v>0.31532</v>
      </c>
      <c r="P93" t="n">
        <v>0.316919</v>
      </c>
      <c r="Q93" t="n">
        <v>0.319351</v>
      </c>
      <c r="R93" t="n">
        <v>0.322235</v>
      </c>
      <c r="S93" t="n">
        <v>0.32399</v>
      </c>
      <c r="T93" t="n">
        <v>0.3259</v>
      </c>
      <c r="U93" t="n">
        <v>0.327691</v>
      </c>
      <c r="V93" t="n">
        <v>0.329586</v>
      </c>
      <c r="W93" t="n">
        <v>0.33104</v>
      </c>
      <c r="X93" t="n">
        <v>0.333046</v>
      </c>
      <c r="Y93" t="n">
        <v>0.334606</v>
      </c>
      <c r="Z93" t="n">
        <v>0.336343</v>
      </c>
      <c r="AA93" t="n">
        <v>0.339079</v>
      </c>
      <c r="AB93" t="n">
        <v>0.342198</v>
      </c>
      <c r="AC93" t="n">
        <v>0.345227</v>
      </c>
      <c r="AD93" t="n">
        <v>0.348264</v>
      </c>
      <c r="AE93" t="n">
        <v>0.351611</v>
      </c>
      <c r="AF93" t="n">
        <v>0.3547</v>
      </c>
      <c r="AG93" s="31" t="n">
        <v>0.008999999999999999</v>
      </c>
    </row>
    <row r="94">
      <c r="A94" t="inlineStr">
        <is>
          <t>Distillate Fuel Oil</t>
        </is>
      </c>
      <c r="B94" t="inlineStr">
        <is>
          <t>Industrial: Total Industrial Sector Use Excluding H2 Production: Distillate Fuel Oil: High Zero-Carbon Technology Cost</t>
        </is>
      </c>
      <c r="C94" t="inlineStr">
        <is>
          <t>AEO.2025.HIGHZTC.CNSM_NA_IDAL_NA_DFO_NA_USA_QBTU.A</t>
        </is>
      </c>
      <c r="D94" t="inlineStr">
        <is>
          <t>quads</t>
        </is>
      </c>
      <c r="F94" t="n">
        <v>1.140013</v>
      </c>
      <c r="G94" t="n">
        <v>1.15177</v>
      </c>
      <c r="H94" t="n">
        <v>1.163439</v>
      </c>
      <c r="I94" t="n">
        <v>1.177088</v>
      </c>
      <c r="J94" t="n">
        <v>1.195205</v>
      </c>
      <c r="K94" t="n">
        <v>1.216104</v>
      </c>
      <c r="L94" t="n">
        <v>1.23274</v>
      </c>
      <c r="M94" t="n">
        <v>1.246904</v>
      </c>
      <c r="N94" t="n">
        <v>1.260956</v>
      </c>
      <c r="O94" t="n">
        <v>1.269289</v>
      </c>
      <c r="P94" t="n">
        <v>1.277959</v>
      </c>
      <c r="Q94" t="n">
        <v>1.288505</v>
      </c>
      <c r="R94" t="n">
        <v>1.299513</v>
      </c>
      <c r="S94" t="n">
        <v>1.308196</v>
      </c>
      <c r="T94" t="n">
        <v>1.317186</v>
      </c>
      <c r="U94" t="n">
        <v>1.324638</v>
      </c>
      <c r="V94" t="n">
        <v>1.332429</v>
      </c>
      <c r="W94" t="n">
        <v>1.337751</v>
      </c>
      <c r="X94" t="n">
        <v>1.344097</v>
      </c>
      <c r="Y94" t="n">
        <v>1.349923</v>
      </c>
      <c r="Z94" t="n">
        <v>1.356099</v>
      </c>
      <c r="AA94" t="n">
        <v>1.364485</v>
      </c>
      <c r="AB94" t="n">
        <v>1.374968</v>
      </c>
      <c r="AC94" t="n">
        <v>1.385294</v>
      </c>
      <c r="AD94" t="n">
        <v>1.394428</v>
      </c>
      <c r="AE94" t="n">
        <v>1.405687</v>
      </c>
      <c r="AF94" t="n">
        <v>1.41575</v>
      </c>
      <c r="AG94" s="31" t="n">
        <v>0.008</v>
      </c>
    </row>
    <row r="95">
      <c r="A95" t="inlineStr">
        <is>
          <t>Residual Fuel Oil</t>
        </is>
      </c>
      <c r="B95" t="inlineStr">
        <is>
          <t>Industrial: Total Industrial Sector Use Excluding H2 Production: Residual Fuel Oil: High Zero-Carbon Technology Cost</t>
        </is>
      </c>
      <c r="C95" t="inlineStr">
        <is>
          <t>AEO.2025.HIGHZTC.CNSM_NA_IDAL_NA_RFO_NA_USA_QBTU.A</t>
        </is>
      </c>
      <c r="D95" t="inlineStr">
        <is>
          <t>quads</t>
        </is>
      </c>
      <c r="F95" t="n">
        <v>0.041174</v>
      </c>
      <c r="G95" t="n">
        <v>0.04198</v>
      </c>
      <c r="H95" t="n">
        <v>0.041255</v>
      </c>
      <c r="I95" t="n">
        <v>0.040061</v>
      </c>
      <c r="J95" t="n">
        <v>0.038841</v>
      </c>
      <c r="K95" t="n">
        <v>0.037551</v>
      </c>
      <c r="L95" t="n">
        <v>0.036369</v>
      </c>
      <c r="M95" t="n">
        <v>0.035532</v>
      </c>
      <c r="N95" t="n">
        <v>0.035132</v>
      </c>
      <c r="O95" t="n">
        <v>0.03466</v>
      </c>
      <c r="P95" t="n">
        <v>0.034279</v>
      </c>
      <c r="Q95" t="n">
        <v>0.033786</v>
      </c>
      <c r="R95" t="n">
        <v>0.033265</v>
      </c>
      <c r="S95" t="n">
        <v>0.032701</v>
      </c>
      <c r="T95" t="n">
        <v>0.032198</v>
      </c>
      <c r="U95" t="n">
        <v>0.031759</v>
      </c>
      <c r="V95" t="n">
        <v>0.031438</v>
      </c>
      <c r="W95" t="n">
        <v>0.031172</v>
      </c>
      <c r="X95" t="n">
        <v>0.030896</v>
      </c>
      <c r="Y95" t="n">
        <v>0.030629</v>
      </c>
      <c r="Z95" t="n">
        <v>0.03044</v>
      </c>
      <c r="AA95" t="n">
        <v>0.03024</v>
      </c>
      <c r="AB95" t="n">
        <v>0.029949</v>
      </c>
      <c r="AC95" t="n">
        <v>0.029728</v>
      </c>
      <c r="AD95" t="n">
        <v>0.029473</v>
      </c>
      <c r="AE95" t="n">
        <v>0.029252</v>
      </c>
      <c r="AF95" t="n">
        <v>0.028857</v>
      </c>
      <c r="AG95" s="31" t="n">
        <v>-0.014</v>
      </c>
    </row>
    <row r="96">
      <c r="A96" t="inlineStr">
        <is>
          <t>Petrochemical Feedstocks</t>
        </is>
      </c>
      <c r="B96" t="inlineStr">
        <is>
          <t>Industrial: Total Industrial Sector Use Excluding H2 Production: Petrochemical Feedstocks: High Zero-Carbon Technology Cost</t>
        </is>
      </c>
      <c r="C96" t="inlineStr">
        <is>
          <t>AEO.2025.HIGHZTC.CNSM_NA_IDAL_NA_PCF_NA_USA_QBTU.A</t>
        </is>
      </c>
      <c r="D96" t="inlineStr">
        <is>
          <t>quads</t>
        </is>
      </c>
      <c r="F96" t="n">
        <v>0.390525</v>
      </c>
      <c r="G96" t="n">
        <v>0.355</v>
      </c>
      <c r="H96" t="n">
        <v>0.55</v>
      </c>
      <c r="I96" t="n">
        <v>0.55</v>
      </c>
      <c r="J96" t="n">
        <v>0.55</v>
      </c>
      <c r="K96" t="n">
        <v>0.55</v>
      </c>
      <c r="L96" t="n">
        <v>0.55</v>
      </c>
      <c r="M96" t="n">
        <v>0.55</v>
      </c>
      <c r="N96" t="n">
        <v>0.55</v>
      </c>
      <c r="O96" t="n">
        <v>0.55</v>
      </c>
      <c r="P96" t="n">
        <v>0.55</v>
      </c>
      <c r="Q96" t="n">
        <v>0.55</v>
      </c>
      <c r="R96" t="n">
        <v>0.55</v>
      </c>
      <c r="S96" t="n">
        <v>0.55</v>
      </c>
      <c r="T96" t="n">
        <v>0.55</v>
      </c>
      <c r="U96" t="n">
        <v>0.55</v>
      </c>
      <c r="V96" t="n">
        <v>0.55</v>
      </c>
      <c r="W96" t="n">
        <v>0.55</v>
      </c>
      <c r="X96" t="n">
        <v>0.55</v>
      </c>
      <c r="Y96" t="n">
        <v>0.55</v>
      </c>
      <c r="Z96" t="n">
        <v>0.69558</v>
      </c>
      <c r="AA96" t="n">
        <v>0.84116</v>
      </c>
      <c r="AB96" t="n">
        <v>0.84116</v>
      </c>
      <c r="AC96" t="n">
        <v>0.84116</v>
      </c>
      <c r="AD96" t="n">
        <v>0.84116</v>
      </c>
      <c r="AE96" t="n">
        <v>0.964095</v>
      </c>
      <c r="AF96" t="n">
        <v>1.087029</v>
      </c>
      <c r="AG96" s="31" t="n">
        <v>0.04</v>
      </c>
    </row>
    <row r="97">
      <c r="A97" t="inlineStr">
        <is>
          <t>Petroleum Coke</t>
        </is>
      </c>
      <c r="B97" t="inlineStr">
        <is>
          <t>Industrial: Total Industrial Sector Use Excluding H2 Production: Petroleum Coke: High Zero-Carbon Technology Cost</t>
        </is>
      </c>
      <c r="C97" t="inlineStr">
        <is>
          <t>AEO.2025.HIGHZTC.CNSM_NA_IDAL_NA_PCK_NA_USA_QBTU.A</t>
        </is>
      </c>
      <c r="D97" t="inlineStr">
        <is>
          <t>quads</t>
        </is>
      </c>
      <c r="F97" t="n">
        <v>0.489646</v>
      </c>
      <c r="G97" t="n">
        <v>0.51</v>
      </c>
      <c r="H97" t="n">
        <v>0.517343</v>
      </c>
      <c r="I97" t="n">
        <v>0.516978</v>
      </c>
      <c r="J97" t="n">
        <v>0.516155</v>
      </c>
      <c r="K97" t="n">
        <v>0.513497</v>
      </c>
      <c r="L97" t="n">
        <v>0.511575</v>
      </c>
      <c r="M97" t="n">
        <v>0.507761</v>
      </c>
      <c r="N97" t="n">
        <v>0.498141</v>
      </c>
      <c r="O97" t="n">
        <v>0.496027</v>
      </c>
      <c r="P97" t="n">
        <v>0.493382</v>
      </c>
      <c r="Q97" t="n">
        <v>0.486771</v>
      </c>
      <c r="R97" t="n">
        <v>0.485807</v>
      </c>
      <c r="S97" t="n">
        <v>0.482546</v>
      </c>
      <c r="T97" t="n">
        <v>0.473462</v>
      </c>
      <c r="U97" t="n">
        <v>0.471524</v>
      </c>
      <c r="V97" t="n">
        <v>0.475148</v>
      </c>
      <c r="W97" t="n">
        <v>0.468962</v>
      </c>
      <c r="X97" t="n">
        <v>0.460895</v>
      </c>
      <c r="Y97" t="n">
        <v>0.467468</v>
      </c>
      <c r="Z97" t="n">
        <v>0.466162</v>
      </c>
      <c r="AA97" t="n">
        <v>0.464497</v>
      </c>
      <c r="AB97" t="n">
        <v>0.464247</v>
      </c>
      <c r="AC97" t="n">
        <v>0.468472</v>
      </c>
      <c r="AD97" t="n">
        <v>0.469885</v>
      </c>
      <c r="AE97" t="n">
        <v>0.464757</v>
      </c>
      <c r="AF97" t="n">
        <v>0.462812</v>
      </c>
      <c r="AG97" s="31" t="n">
        <v>-0.002</v>
      </c>
    </row>
    <row r="98">
      <c r="A98" t="inlineStr">
        <is>
          <t>Asphalt and Road Oil</t>
        </is>
      </c>
      <c r="B98" t="inlineStr">
        <is>
          <t>Industrial: Total Industrial Sector Use Excluding H2 Production: Asphalt and Road Oil: High Zero-Carbon Technology Cost</t>
        </is>
      </c>
      <c r="C98" t="inlineStr">
        <is>
          <t>AEO.2025.HIGHZTC.CNSM_NA_IDAL_NA_ARO_NA_USA_QBTU.A</t>
        </is>
      </c>
      <c r="D98" t="inlineStr">
        <is>
          <t>quads</t>
        </is>
      </c>
      <c r="F98" t="n">
        <v>0.877838</v>
      </c>
      <c r="G98" t="n">
        <v>0.878262</v>
      </c>
      <c r="H98" t="n">
        <v>0.886157</v>
      </c>
      <c r="I98" t="n">
        <v>0.903224</v>
      </c>
      <c r="J98" t="n">
        <v>0.905428</v>
      </c>
      <c r="K98" t="n">
        <v>0.911496</v>
      </c>
      <c r="L98" t="n">
        <v>0.918598</v>
      </c>
      <c r="M98" t="n">
        <v>0.924407</v>
      </c>
      <c r="N98" t="n">
        <v>0.921001</v>
      </c>
      <c r="O98" t="n">
        <v>0.922841</v>
      </c>
      <c r="P98" t="n">
        <v>0.924252</v>
      </c>
      <c r="Q98" t="n">
        <v>0.928084</v>
      </c>
      <c r="R98" t="n">
        <v>0.931994</v>
      </c>
      <c r="S98" t="n">
        <v>0.934567</v>
      </c>
      <c r="T98" t="n">
        <v>0.937317</v>
      </c>
      <c r="U98" t="n">
        <v>0.940415</v>
      </c>
      <c r="V98" t="n">
        <v>0.9434709999999999</v>
      </c>
      <c r="W98" t="n">
        <v>0.945335</v>
      </c>
      <c r="X98" t="n">
        <v>0.945887</v>
      </c>
      <c r="Y98" t="n">
        <v>0.947661</v>
      </c>
      <c r="Z98" t="n">
        <v>0.948485</v>
      </c>
      <c r="AA98" t="n">
        <v>0.950643</v>
      </c>
      <c r="AB98" t="n">
        <v>0.954573</v>
      </c>
      <c r="AC98" t="n">
        <v>0.955311</v>
      </c>
      <c r="AD98" t="n">
        <v>0.955716</v>
      </c>
      <c r="AE98" t="n">
        <v>0.956251</v>
      </c>
      <c r="AF98" t="n">
        <v>0.9557099999999999</v>
      </c>
      <c r="AG98" s="31" t="n">
        <v>0.003</v>
      </c>
    </row>
    <row r="99">
      <c r="A99" t="inlineStr">
        <is>
          <t>Still Gas</t>
        </is>
      </c>
      <c r="B99" t="inlineStr">
        <is>
          <t>Industrial: Total Industrial Sector Use Excluding H2 Production: Still Gas: High Zero-Carbon Technology Cost</t>
        </is>
      </c>
      <c r="C99" t="inlineStr">
        <is>
          <t>AEO.2025.HIGHZTC.CNSM_NA_IDAL_NA_SLG_NA_USA_QBTU.A</t>
        </is>
      </c>
      <c r="D99" t="inlineStr">
        <is>
          <t>quads</t>
        </is>
      </c>
      <c r="F99" t="n">
        <v>1.391026</v>
      </c>
      <c r="G99" t="n">
        <v>1.391026</v>
      </c>
      <c r="H99" t="n">
        <v>1.321003</v>
      </c>
      <c r="I99" t="n">
        <v>1.31785</v>
      </c>
      <c r="J99" t="n">
        <v>1.348322</v>
      </c>
      <c r="K99" t="n">
        <v>1.323102</v>
      </c>
      <c r="L99" t="n">
        <v>1.339976</v>
      </c>
      <c r="M99" t="n">
        <v>1.343422</v>
      </c>
      <c r="N99" t="n">
        <v>1.344145</v>
      </c>
      <c r="O99" t="n">
        <v>1.321252</v>
      </c>
      <c r="P99" t="n">
        <v>1.322574</v>
      </c>
      <c r="Q99" t="n">
        <v>1.309428</v>
      </c>
      <c r="R99" t="n">
        <v>1.321005</v>
      </c>
      <c r="S99" t="n">
        <v>1.322053</v>
      </c>
      <c r="T99" t="n">
        <v>1.322975</v>
      </c>
      <c r="U99" t="n">
        <v>1.327446</v>
      </c>
      <c r="V99" t="n">
        <v>1.332115</v>
      </c>
      <c r="W99" t="n">
        <v>1.334623</v>
      </c>
      <c r="X99" t="n">
        <v>1.318845</v>
      </c>
      <c r="Y99" t="n">
        <v>1.333938</v>
      </c>
      <c r="Z99" t="n">
        <v>1.330232</v>
      </c>
      <c r="AA99" t="n">
        <v>1.329636</v>
      </c>
      <c r="AB99" t="n">
        <v>1.334931</v>
      </c>
      <c r="AC99" t="n">
        <v>1.344992</v>
      </c>
      <c r="AD99" t="n">
        <v>1.33997</v>
      </c>
      <c r="AE99" t="n">
        <v>1.337579</v>
      </c>
      <c r="AF99" t="n">
        <v>1.324381</v>
      </c>
      <c r="AG99" s="31" t="n">
        <v>-0.002</v>
      </c>
    </row>
    <row r="100">
      <c r="A100" t="inlineStr">
        <is>
          <t>Miscellaneous Petroleum</t>
        </is>
      </c>
      <c r="B100" t="inlineStr">
        <is>
          <t>Industrial: Total Industrial Sector Use Excluding H2 Production: Miscellaneous Petroleum: High Zero-Carbon Technology Cost</t>
        </is>
      </c>
      <c r="C100" t="inlineStr">
        <is>
          <t>AEO.2025.HIGHZTC.CNSM_NA_IDAL_NA_MPET_NA_USA_QBTU.A</t>
        </is>
      </c>
      <c r="D100" t="inlineStr">
        <is>
          <t>quads</t>
        </is>
      </c>
      <c r="F100" t="n">
        <v>0.315491</v>
      </c>
      <c r="G100" t="n">
        <v>0.334736</v>
      </c>
      <c r="H100" t="n">
        <v>0.349737</v>
      </c>
      <c r="I100" t="n">
        <v>0.364234</v>
      </c>
      <c r="J100" t="n">
        <v>0.378184</v>
      </c>
      <c r="K100" t="n">
        <v>0.391654</v>
      </c>
      <c r="L100" t="n">
        <v>0.404027</v>
      </c>
      <c r="M100" t="n">
        <v>0.416191</v>
      </c>
      <c r="N100" t="n">
        <v>0.427995</v>
      </c>
      <c r="O100" t="n">
        <v>0.437814</v>
      </c>
      <c r="P100" t="n">
        <v>0.450684</v>
      </c>
      <c r="Q100" t="n">
        <v>0.464872</v>
      </c>
      <c r="R100" t="n">
        <v>0.46444</v>
      </c>
      <c r="S100" t="n">
        <v>0.468722</v>
      </c>
      <c r="T100" t="n">
        <v>0.474556</v>
      </c>
      <c r="U100" t="n">
        <v>0.479341</v>
      </c>
      <c r="V100" t="n">
        <v>0.485439</v>
      </c>
      <c r="W100" t="n">
        <v>0.495292</v>
      </c>
      <c r="X100" t="n">
        <v>0.507394</v>
      </c>
      <c r="Y100" t="n">
        <v>0.500311</v>
      </c>
      <c r="Z100" t="n">
        <v>0.504691</v>
      </c>
      <c r="AA100" t="n">
        <v>0.5039979999999999</v>
      </c>
      <c r="AB100" t="n">
        <v>0.507477</v>
      </c>
      <c r="AC100" t="n">
        <v>0.510973</v>
      </c>
      <c r="AD100" t="n">
        <v>0.514335</v>
      </c>
      <c r="AE100" t="n">
        <v>0.51808</v>
      </c>
      <c r="AF100" t="n">
        <v>0.520364</v>
      </c>
      <c r="AG100" s="31" t="n">
        <v>0.019</v>
      </c>
    </row>
    <row r="101">
      <c r="A101" t="inlineStr">
        <is>
          <t>Petroleum and Other Liquids Subtotal</t>
        </is>
      </c>
      <c r="B101" t="inlineStr">
        <is>
          <t>Industrial: Total Industrial Sector Use Excluding H2 Production: Petroleum Subtotal: High Zero-Carbon Technology Cost</t>
        </is>
      </c>
      <c r="C101" t="inlineStr">
        <is>
          <t>AEO.2025.HIGHZTC.CNSM_NA_IDAL_NA_PET_NA_USA_QBTU.A</t>
        </is>
      </c>
      <c r="D101" t="inlineStr">
        <is>
          <t>quads</t>
        </is>
      </c>
      <c r="F101" t="n">
        <v>8.476338999999999</v>
      </c>
      <c r="G101" t="n">
        <v>8.560114</v>
      </c>
      <c r="H101" t="n">
        <v>8.72559</v>
      </c>
      <c r="I101" t="n">
        <v>8.774933000000001</v>
      </c>
      <c r="J101" t="n">
        <v>8.849136</v>
      </c>
      <c r="K101" t="n">
        <v>8.872028999999999</v>
      </c>
      <c r="L101" t="n">
        <v>8.930853000000001</v>
      </c>
      <c r="M101" t="n">
        <v>8.967212999999999</v>
      </c>
      <c r="N101" t="n">
        <v>8.985618000000001</v>
      </c>
      <c r="O101" t="n">
        <v>8.983544</v>
      </c>
      <c r="P101" t="n">
        <v>9.003156000000001</v>
      </c>
      <c r="Q101" t="n">
        <v>9.010502000000001</v>
      </c>
      <c r="R101" t="n">
        <v>9.036229000000001</v>
      </c>
      <c r="S101" t="n">
        <v>9.046132</v>
      </c>
      <c r="T101" t="n">
        <v>9.087016999999999</v>
      </c>
      <c r="U101" t="n">
        <v>9.175098</v>
      </c>
      <c r="V101" t="n">
        <v>9.277319</v>
      </c>
      <c r="W101" t="n">
        <v>9.352524000000001</v>
      </c>
      <c r="X101" t="n">
        <v>9.412545</v>
      </c>
      <c r="Y101" t="n">
        <v>9.480741999999999</v>
      </c>
      <c r="Z101" t="n">
        <v>9.606724</v>
      </c>
      <c r="AA101" t="n">
        <v>9.723633</v>
      </c>
      <c r="AB101" t="n">
        <v>9.788303000000001</v>
      </c>
      <c r="AC101" t="n">
        <v>9.893364999999999</v>
      </c>
      <c r="AD101" t="n">
        <v>9.958912</v>
      </c>
      <c r="AE101" t="n">
        <v>10.066326</v>
      </c>
      <c r="AF101" t="n">
        <v>10.16088</v>
      </c>
      <c r="AG101" s="31" t="n">
        <v>0.007</v>
      </c>
    </row>
    <row r="102">
      <c r="A102" t="inlineStr">
        <is>
          <t>Natural Gas Heat and Power</t>
        </is>
      </c>
      <c r="B102" t="inlineStr">
        <is>
          <t>Industrial: Total Industrial Sector Use Excluding H2 Production: Natural Gas Heat and Power: High Zero-Carbon Technology Cost</t>
        </is>
      </c>
      <c r="C102" t="inlineStr">
        <is>
          <t>AEO.2025.HIGHZTC.CNSM_NA_IDAL_NA_NHP_NA_USA_QBTU.A</t>
        </is>
      </c>
      <c r="D102" t="inlineStr">
        <is>
          <t>quads</t>
        </is>
      </c>
      <c r="F102" t="n">
        <v>7.53698</v>
      </c>
      <c r="G102" t="n">
        <v>7.613454</v>
      </c>
      <c r="H102" t="n">
        <v>7.403691</v>
      </c>
      <c r="I102" t="n">
        <v>7.414203</v>
      </c>
      <c r="J102" t="n">
        <v>7.425244</v>
      </c>
      <c r="K102" t="n">
        <v>7.446435</v>
      </c>
      <c r="L102" t="n">
        <v>7.463361</v>
      </c>
      <c r="M102" t="n">
        <v>7.494413</v>
      </c>
      <c r="N102" t="n">
        <v>7.4824</v>
      </c>
      <c r="O102" t="n">
        <v>7.452256</v>
      </c>
      <c r="P102" t="n">
        <v>7.414006</v>
      </c>
      <c r="Q102" t="n">
        <v>7.380784</v>
      </c>
      <c r="R102" t="n">
        <v>7.36417</v>
      </c>
      <c r="S102" t="n">
        <v>7.354751</v>
      </c>
      <c r="T102" t="n">
        <v>7.375332</v>
      </c>
      <c r="U102" t="n">
        <v>7.407023</v>
      </c>
      <c r="V102" t="n">
        <v>7.440151</v>
      </c>
      <c r="W102" t="n">
        <v>7.447224</v>
      </c>
      <c r="X102" t="n">
        <v>7.458963</v>
      </c>
      <c r="Y102" t="n">
        <v>7.49037</v>
      </c>
      <c r="Z102" t="n">
        <v>7.504067</v>
      </c>
      <c r="AA102" t="n">
        <v>7.51993</v>
      </c>
      <c r="AB102" t="n">
        <v>7.54167</v>
      </c>
      <c r="AC102" t="n">
        <v>7.587425</v>
      </c>
      <c r="AD102" t="n">
        <v>7.62032</v>
      </c>
      <c r="AE102" t="n">
        <v>7.648234</v>
      </c>
      <c r="AF102" t="n">
        <v>7.665242</v>
      </c>
      <c r="AG102" s="31" t="n">
        <v>0.001</v>
      </c>
    </row>
    <row r="103">
      <c r="A103" t="inlineStr">
        <is>
          <t>Natural Gas Feedstocks</t>
        </is>
      </c>
      <c r="B103" t="inlineStr">
        <is>
          <t>Industrial: Total Industrial Sector Use Excluding H2 Production: Natural Gas Feedstocks: High Zero-Carbon Technology Cost</t>
        </is>
      </c>
      <c r="C103" t="inlineStr">
        <is>
          <t>AEO.2025.HIGHZTC.CNSM_NA_IDAL_NA_NGF_NA_USA_QBTU.A</t>
        </is>
      </c>
      <c r="D103" t="inlineStr">
        <is>
          <t>quads</t>
        </is>
      </c>
      <c r="F103" t="n">
        <v>0.2663</v>
      </c>
      <c r="G103" t="n">
        <v>0.302</v>
      </c>
      <c r="H103" t="n">
        <v>0.282443</v>
      </c>
      <c r="I103" t="n">
        <v>0.274513</v>
      </c>
      <c r="J103" t="n">
        <v>0.266967</v>
      </c>
      <c r="K103" t="n">
        <v>0.264995</v>
      </c>
      <c r="L103" t="n">
        <v>0.262831</v>
      </c>
      <c r="M103" t="n">
        <v>0.267202</v>
      </c>
      <c r="N103" t="n">
        <v>0.289189</v>
      </c>
      <c r="O103" t="n">
        <v>0.287614</v>
      </c>
      <c r="P103" t="n">
        <v>0.29199</v>
      </c>
      <c r="Q103" t="n">
        <v>0.297377</v>
      </c>
      <c r="R103" t="n">
        <v>0.301545</v>
      </c>
      <c r="S103" t="n">
        <v>0.31213</v>
      </c>
      <c r="T103" t="n">
        <v>0.323549</v>
      </c>
      <c r="U103" t="n">
        <v>0.334959</v>
      </c>
      <c r="V103" t="n">
        <v>0.34501</v>
      </c>
      <c r="W103" t="n">
        <v>0.350901</v>
      </c>
      <c r="X103" t="n">
        <v>0.356068</v>
      </c>
      <c r="Y103" t="n">
        <v>0.361999</v>
      </c>
      <c r="Z103" t="n">
        <v>0.368496</v>
      </c>
      <c r="AA103" t="n">
        <v>0.374646</v>
      </c>
      <c r="AB103" t="n">
        <v>0.378679</v>
      </c>
      <c r="AC103" t="n">
        <v>0.384896</v>
      </c>
      <c r="AD103" t="n">
        <v>0.389878</v>
      </c>
      <c r="AE103" t="n">
        <v>0.392776</v>
      </c>
      <c r="AF103" t="n">
        <v>0.39716</v>
      </c>
      <c r="AG103" s="31" t="n">
        <v>0.015</v>
      </c>
    </row>
    <row r="104">
      <c r="A104" t="inlineStr">
        <is>
          <t>Lease and Plant Fuel</t>
        </is>
      </c>
      <c r="B104" t="inlineStr">
        <is>
          <t>Industrial: Total Industrial Sector Use Excluding H2 Production: Lease and Plant Fuel: High Zero-Carbon Technology Cost</t>
        </is>
      </c>
      <c r="C104" t="inlineStr">
        <is>
          <t>AEO.2025.HIGHZTC.CNSM_NA_IDAL_NA_LSAPFL_NA_USA_QBTU.A</t>
        </is>
      </c>
      <c r="D104" t="inlineStr">
        <is>
          <t>quads</t>
        </is>
      </c>
      <c r="F104" t="n">
        <v>2.045295</v>
      </c>
      <c r="G104" t="n">
        <v>2.052198</v>
      </c>
      <c r="H104" t="n">
        <v>2.151558</v>
      </c>
      <c r="I104" t="n">
        <v>2.160423</v>
      </c>
      <c r="J104" t="n">
        <v>2.206005</v>
      </c>
      <c r="K104" t="n">
        <v>2.226782</v>
      </c>
      <c r="L104" t="n">
        <v>2.238047</v>
      </c>
      <c r="M104" t="n">
        <v>2.23259</v>
      </c>
      <c r="N104" t="n">
        <v>2.285561</v>
      </c>
      <c r="O104" t="n">
        <v>2.298938</v>
      </c>
      <c r="P104" t="n">
        <v>2.313583</v>
      </c>
      <c r="Q104" t="n">
        <v>2.305008</v>
      </c>
      <c r="R104" t="n">
        <v>2.296317</v>
      </c>
      <c r="S104" t="n">
        <v>2.271652</v>
      </c>
      <c r="T104" t="n">
        <v>2.265647</v>
      </c>
      <c r="U104" t="n">
        <v>2.24652</v>
      </c>
      <c r="V104" t="n">
        <v>2.25015</v>
      </c>
      <c r="W104" t="n">
        <v>2.26053</v>
      </c>
      <c r="X104" t="n">
        <v>2.271182</v>
      </c>
      <c r="Y104" t="n">
        <v>2.275658</v>
      </c>
      <c r="Z104" t="n">
        <v>2.278661</v>
      </c>
      <c r="AA104" t="n">
        <v>2.28227</v>
      </c>
      <c r="AB104" t="n">
        <v>2.29152</v>
      </c>
      <c r="AC104" t="n">
        <v>2.301058</v>
      </c>
      <c r="AD104" t="n">
        <v>2.305694</v>
      </c>
      <c r="AE104" t="n">
        <v>2.311272</v>
      </c>
      <c r="AF104" t="n">
        <v>2.318181</v>
      </c>
      <c r="AG104" s="31" t="n">
        <v>0.005</v>
      </c>
    </row>
    <row r="105">
      <c r="A105" t="inlineStr">
        <is>
          <t>Natural Gas Subtotal</t>
        </is>
      </c>
      <c r="B105" t="inlineStr">
        <is>
          <t>Industrial: Total Industrial Sector Use Excluding H2 Production: Natural Gas Subtotal: High Zero-Carbon Technology Cost</t>
        </is>
      </c>
      <c r="C105" t="inlineStr">
        <is>
          <t>AEO.2025.HIGHZTC.CNSM_NA_IDAL_NA_NGS_NA_USA_QBTU.A</t>
        </is>
      </c>
      <c r="D105" t="inlineStr">
        <is>
          <t>quads</t>
        </is>
      </c>
      <c r="F105" t="n">
        <v>9.848576</v>
      </c>
      <c r="G105" t="n">
        <v>9.967651999999999</v>
      </c>
      <c r="H105" t="n">
        <v>9.837692000000001</v>
      </c>
      <c r="I105" t="n">
        <v>9.849138999999999</v>
      </c>
      <c r="J105" t="n">
        <v>9.898216</v>
      </c>
      <c r="K105" t="n">
        <v>9.938212999999999</v>
      </c>
      <c r="L105" t="n">
        <v>9.964238999999999</v>
      </c>
      <c r="M105" t="n">
        <v>9.994204999999999</v>
      </c>
      <c r="N105" t="n">
        <v>10.05715</v>
      </c>
      <c r="O105" t="n">
        <v>10.038808</v>
      </c>
      <c r="P105" t="n">
        <v>10.019578</v>
      </c>
      <c r="Q105" t="n">
        <v>9.983167999999999</v>
      </c>
      <c r="R105" t="n">
        <v>9.962031</v>
      </c>
      <c r="S105" t="n">
        <v>9.938534000000001</v>
      </c>
      <c r="T105" t="n">
        <v>9.964528</v>
      </c>
      <c r="U105" t="n">
        <v>9.988503</v>
      </c>
      <c r="V105" t="n">
        <v>10.035311</v>
      </c>
      <c r="W105" t="n">
        <v>10.058656</v>
      </c>
      <c r="X105" t="n">
        <v>10.086212</v>
      </c>
      <c r="Y105" t="n">
        <v>10.128028</v>
      </c>
      <c r="Z105" t="n">
        <v>10.151224</v>
      </c>
      <c r="AA105" t="n">
        <v>10.176847</v>
      </c>
      <c r="AB105" t="n">
        <v>10.211869</v>
      </c>
      <c r="AC105" t="n">
        <v>10.273379</v>
      </c>
      <c r="AD105" t="n">
        <v>10.315891</v>
      </c>
      <c r="AE105" t="n">
        <v>10.352283</v>
      </c>
      <c r="AF105" t="n">
        <v>10.380583</v>
      </c>
      <c r="AG105" s="31" t="n">
        <v>0.002</v>
      </c>
    </row>
    <row r="106">
      <c r="A106" t="inlineStr">
        <is>
          <t>Hydrogen Consumed as Feedstocks</t>
        </is>
      </c>
      <c r="B106" t="inlineStr">
        <is>
          <t>Industrial: Total Industrial Sector Use Excluding H2 Production: Hydrogen Feedstocks: High Zero-Carbon Technology Cost</t>
        </is>
      </c>
      <c r="C106" t="inlineStr">
        <is>
          <t>AEO.2025.HIGHZTC.CNSM_NA_IDAL_NA_H2FEEDSTK_NA_USA_QBTU.A</t>
        </is>
      </c>
      <c r="D106" t="inlineStr">
        <is>
          <t>quads</t>
        </is>
      </c>
      <c r="F106" t="n">
        <v>1.044613</v>
      </c>
      <c r="G106" t="n">
        <v>1.058959</v>
      </c>
      <c r="H106" t="n">
        <v>1.078447</v>
      </c>
      <c r="I106" t="n">
        <v>1.083585</v>
      </c>
      <c r="J106" t="n">
        <v>1.084128</v>
      </c>
      <c r="K106" t="n">
        <v>1.084455</v>
      </c>
      <c r="L106" t="n">
        <v>1.094904</v>
      </c>
      <c r="M106" t="n">
        <v>1.102462</v>
      </c>
      <c r="N106" t="n">
        <v>1.110392</v>
      </c>
      <c r="O106" t="n">
        <v>1.115382</v>
      </c>
      <c r="P106" t="n">
        <v>1.12495</v>
      </c>
      <c r="Q106" t="n">
        <v>1.132385</v>
      </c>
      <c r="R106" t="n">
        <v>1.139811</v>
      </c>
      <c r="S106" t="n">
        <v>1.147634</v>
      </c>
      <c r="T106" t="n">
        <v>1.154951</v>
      </c>
      <c r="U106" t="n">
        <v>1.16219</v>
      </c>
      <c r="V106" t="n">
        <v>1.16916</v>
      </c>
      <c r="W106" t="n">
        <v>1.175234</v>
      </c>
      <c r="X106" t="n">
        <v>1.181396</v>
      </c>
      <c r="Y106" t="n">
        <v>1.187384</v>
      </c>
      <c r="Z106" t="n">
        <v>1.194237</v>
      </c>
      <c r="AA106" t="n">
        <v>1.199272</v>
      </c>
      <c r="AB106" t="n">
        <v>1.204467</v>
      </c>
      <c r="AC106" t="n">
        <v>1.210037</v>
      </c>
      <c r="AD106" t="n">
        <v>1.214814</v>
      </c>
      <c r="AE106" t="n">
        <v>1.218903</v>
      </c>
      <c r="AF106" t="n">
        <v>1.222868</v>
      </c>
      <c r="AG106" s="31" t="n">
        <v>0.006</v>
      </c>
    </row>
    <row r="107">
      <c r="A107" t="inlineStr">
        <is>
          <t>Metallurgical Coal and Coke</t>
        </is>
      </c>
      <c r="B107" t="inlineStr">
        <is>
          <t>Industrial: Total Industrial Sector Use Excluding H2 Production: Metallurgical Coal and Coke: High Zero-Carbon Technology Cost</t>
        </is>
      </c>
      <c r="C107" t="inlineStr">
        <is>
          <t>AEO.2025.HIGHZTC.CNSM_NA_IDAL_NA_MCC_NA_USA_QBTU.A</t>
        </is>
      </c>
      <c r="D107" t="inlineStr">
        <is>
          <t>quads</t>
        </is>
      </c>
      <c r="F107" t="n">
        <v>0.400954</v>
      </c>
      <c r="G107" t="n">
        <v>0.411782</v>
      </c>
      <c r="H107" t="n">
        <v>0.41544</v>
      </c>
      <c r="I107" t="n">
        <v>0.405144</v>
      </c>
      <c r="J107" t="n">
        <v>0.388956</v>
      </c>
      <c r="K107" t="n">
        <v>0.375246</v>
      </c>
      <c r="L107" t="n">
        <v>0.367505</v>
      </c>
      <c r="M107" t="n">
        <v>0.361955</v>
      </c>
      <c r="N107" t="n">
        <v>0.356614</v>
      </c>
      <c r="O107" t="n">
        <v>0.345056</v>
      </c>
      <c r="P107" t="n">
        <v>0.337685</v>
      </c>
      <c r="Q107" t="n">
        <v>0.329893</v>
      </c>
      <c r="R107" t="n">
        <v>0.3218</v>
      </c>
      <c r="S107" t="n">
        <v>0.317131</v>
      </c>
      <c r="T107" t="n">
        <v>0.311043</v>
      </c>
      <c r="U107" t="n">
        <v>0.304614</v>
      </c>
      <c r="V107" t="n">
        <v>0.300764</v>
      </c>
      <c r="W107" t="n">
        <v>0.294951</v>
      </c>
      <c r="X107" t="n">
        <v>0.288246</v>
      </c>
      <c r="Y107" t="n">
        <v>0.283503</v>
      </c>
      <c r="Z107" t="n">
        <v>0.277733</v>
      </c>
      <c r="AA107" t="n">
        <v>0.270846</v>
      </c>
      <c r="AB107" t="n">
        <v>0.263404</v>
      </c>
      <c r="AC107" t="n">
        <v>0.257466</v>
      </c>
      <c r="AD107" t="n">
        <v>0.250317</v>
      </c>
      <c r="AE107" t="n">
        <v>0.242736</v>
      </c>
      <c r="AF107" t="n">
        <v>0.235295</v>
      </c>
      <c r="AG107" s="31" t="n">
        <v>-0.02</v>
      </c>
    </row>
    <row r="108">
      <c r="A108" t="inlineStr">
        <is>
          <t>Steam Coal</t>
        </is>
      </c>
      <c r="B108" t="inlineStr">
        <is>
          <t>Industrial: Total Industrial Sector Use Excluding H2 Production: Other Industrial Coal: High Zero-Carbon Technology Cost</t>
        </is>
      </c>
      <c r="C108" t="inlineStr">
        <is>
          <t>AEO.2025.HIGHZTC.CNSM_NA_IDAL_NA_STC_NA_USA_QBTU.A</t>
        </is>
      </c>
      <c r="D108" t="inlineStr">
        <is>
          <t>quads</t>
        </is>
      </c>
      <c r="F108" t="n">
        <v>0.346719</v>
      </c>
      <c r="G108" t="n">
        <v>0.359046</v>
      </c>
      <c r="H108" t="n">
        <v>0.366194</v>
      </c>
      <c r="I108" t="n">
        <v>0.371799</v>
      </c>
      <c r="J108" t="n">
        <v>0.377274</v>
      </c>
      <c r="K108" t="n">
        <v>0.379576</v>
      </c>
      <c r="L108" t="n">
        <v>0.382468</v>
      </c>
      <c r="M108" t="n">
        <v>0.38463</v>
      </c>
      <c r="N108" t="n">
        <v>0.388406</v>
      </c>
      <c r="O108" t="n">
        <v>0.388644</v>
      </c>
      <c r="P108" t="n">
        <v>0.387373</v>
      </c>
      <c r="Q108" t="n">
        <v>0.38355</v>
      </c>
      <c r="R108" t="n">
        <v>0.377761</v>
      </c>
      <c r="S108" t="n">
        <v>0.371891</v>
      </c>
      <c r="T108" t="n">
        <v>0.366035</v>
      </c>
      <c r="U108" t="n">
        <v>0.360937</v>
      </c>
      <c r="V108" t="n">
        <v>0.356924</v>
      </c>
      <c r="W108" t="n">
        <v>0.353338</v>
      </c>
      <c r="X108" t="n">
        <v>0.349361</v>
      </c>
      <c r="Y108" t="n">
        <v>0.345152</v>
      </c>
      <c r="Z108" t="n">
        <v>0.340854</v>
      </c>
      <c r="AA108" t="n">
        <v>0.336664</v>
      </c>
      <c r="AB108" t="n">
        <v>0.33276</v>
      </c>
      <c r="AC108" t="n">
        <v>0.328976</v>
      </c>
      <c r="AD108" t="n">
        <v>0.325349</v>
      </c>
      <c r="AE108" t="n">
        <v>0.322</v>
      </c>
      <c r="AF108" t="n">
        <v>0.317922</v>
      </c>
      <c r="AG108" s="31" t="n">
        <v>-0.003</v>
      </c>
    </row>
    <row r="109">
      <c r="A109" t="inlineStr">
        <is>
          <t>Coal Subtotal</t>
        </is>
      </c>
      <c r="B109" t="inlineStr">
        <is>
          <t>Industrial: Total Industrial Sector Use Excluding H2 Production: Coal Subtotal: High Zero-Carbon Technology Cost</t>
        </is>
      </c>
      <c r="C109" t="inlineStr">
        <is>
          <t>AEO.2025.HIGHZTC.CNSM_NA_IDAL_NA_COS_NA_USA_QBTU.A</t>
        </is>
      </c>
      <c r="D109" t="inlineStr">
        <is>
          <t>quads</t>
        </is>
      </c>
      <c r="F109" t="n">
        <v>0.747673</v>
      </c>
      <c r="G109" t="n">
        <v>0.770829</v>
      </c>
      <c r="H109" t="n">
        <v>0.7816340000000001</v>
      </c>
      <c r="I109" t="n">
        <v>0.7769430000000001</v>
      </c>
      <c r="J109" t="n">
        <v>0.766231</v>
      </c>
      <c r="K109" t="n">
        <v>0.754822</v>
      </c>
      <c r="L109" t="n">
        <v>0.749973</v>
      </c>
      <c r="M109" t="n">
        <v>0.7465850000000001</v>
      </c>
      <c r="N109" t="n">
        <v>0.745019</v>
      </c>
      <c r="O109" t="n">
        <v>0.7337</v>
      </c>
      <c r="P109" t="n">
        <v>0.725058</v>
      </c>
      <c r="Q109" t="n">
        <v>0.713443</v>
      </c>
      <c r="R109" t="n">
        <v>0.699561</v>
      </c>
      <c r="S109" t="n">
        <v>0.689022</v>
      </c>
      <c r="T109" t="n">
        <v>0.677078</v>
      </c>
      <c r="U109" t="n">
        <v>0.665552</v>
      </c>
      <c r="V109" t="n">
        <v>0.657687</v>
      </c>
      <c r="W109" t="n">
        <v>0.64829</v>
      </c>
      <c r="X109" t="n">
        <v>0.637607</v>
      </c>
      <c r="Y109" t="n">
        <v>0.628656</v>
      </c>
      <c r="Z109" t="n">
        <v>0.618587</v>
      </c>
      <c r="AA109" t="n">
        <v>0.607511</v>
      </c>
      <c r="AB109" t="n">
        <v>0.596164</v>
      </c>
      <c r="AC109" t="n">
        <v>0.586442</v>
      </c>
      <c r="AD109" t="n">
        <v>0.575666</v>
      </c>
      <c r="AE109" t="n">
        <v>0.564736</v>
      </c>
      <c r="AF109" t="n">
        <v>0.553217</v>
      </c>
      <c r="AG109" s="31" t="n">
        <v>-0.012</v>
      </c>
    </row>
    <row r="110">
      <c r="A110" t="inlineStr">
        <is>
          <t>Biofuels Heat and Coproducts</t>
        </is>
      </c>
      <c r="B110" t="inlineStr">
        <is>
          <t>Industrial: Total Industrial Sector Use Excluding H2 Production: Biofuels Heat and Coproducts: High Zero-Carbon Technology Cost</t>
        </is>
      </c>
      <c r="C110" t="inlineStr">
        <is>
          <t>AEO.2025.HIGHZTC.CNSM_NA_IDAL_NA_BFH_NA_USA_QBTU.A</t>
        </is>
      </c>
      <c r="D110" t="inlineStr">
        <is>
          <t>quads</t>
        </is>
      </c>
      <c r="F110" t="n">
        <v>0.894331</v>
      </c>
      <c r="G110" t="n">
        <v>0.916568</v>
      </c>
      <c r="H110" t="n">
        <v>0.914158</v>
      </c>
      <c r="I110" t="n">
        <v>0.914463</v>
      </c>
      <c r="J110" t="n">
        <v>0.913182</v>
      </c>
      <c r="K110" t="n">
        <v>0.908272</v>
      </c>
      <c r="L110" t="n">
        <v>0.903837</v>
      </c>
      <c r="M110" t="n">
        <v>0.892968</v>
      </c>
      <c r="N110" t="n">
        <v>0.8836889999999999</v>
      </c>
      <c r="O110" t="n">
        <v>0.868351</v>
      </c>
      <c r="P110" t="n">
        <v>0.853619</v>
      </c>
      <c r="Q110" t="n">
        <v>0.83833</v>
      </c>
      <c r="R110" t="n">
        <v>0.828071</v>
      </c>
      <c r="S110" t="n">
        <v>0.811011</v>
      </c>
      <c r="T110" t="n">
        <v>0.79575</v>
      </c>
      <c r="U110" t="n">
        <v>0.784349</v>
      </c>
      <c r="V110" t="n">
        <v>0.782166</v>
      </c>
      <c r="W110" t="n">
        <v>0.771797</v>
      </c>
      <c r="X110" t="n">
        <v>0.761696</v>
      </c>
      <c r="Y110" t="n">
        <v>0.755206</v>
      </c>
      <c r="Z110" t="n">
        <v>0.753325</v>
      </c>
      <c r="AA110" t="n">
        <v>0.75422</v>
      </c>
      <c r="AB110" t="n">
        <v>0.751773</v>
      </c>
      <c r="AC110" t="n">
        <v>0.751816</v>
      </c>
      <c r="AD110" t="n">
        <v>0.75012</v>
      </c>
      <c r="AE110" t="n">
        <v>0.752011</v>
      </c>
      <c r="AF110" t="n">
        <v>0.755675</v>
      </c>
      <c r="AG110" s="31" t="n">
        <v>-0.006</v>
      </c>
    </row>
    <row r="111">
      <c r="A111" t="inlineStr">
        <is>
          <t>Renewables</t>
        </is>
      </c>
      <c r="B111" t="inlineStr">
        <is>
          <t>Industrial: Total Industrial Sector Use Excluding H2 Production: Renewables: High Zero-Carbon Technology Cost</t>
        </is>
      </c>
      <c r="C111" t="inlineStr">
        <is>
          <t>AEO.2025.HIGHZTC.CNSM_NA_IDAL_NA_REB_NA_USA_QBTU.A</t>
        </is>
      </c>
      <c r="D111" t="inlineStr">
        <is>
          <t>quads</t>
        </is>
      </c>
      <c r="F111" t="n">
        <v>1.404115</v>
      </c>
      <c r="G111" t="n">
        <v>1.424394</v>
      </c>
      <c r="H111" t="n">
        <v>1.446948</v>
      </c>
      <c r="I111" t="n">
        <v>1.44554</v>
      </c>
      <c r="J111" t="n">
        <v>1.452387</v>
      </c>
      <c r="K111" t="n">
        <v>1.474432</v>
      </c>
      <c r="L111" t="n">
        <v>1.495094</v>
      </c>
      <c r="M111" t="n">
        <v>1.518669</v>
      </c>
      <c r="N111" t="n">
        <v>1.536608</v>
      </c>
      <c r="O111" t="n">
        <v>1.543585</v>
      </c>
      <c r="P111" t="n">
        <v>1.562817</v>
      </c>
      <c r="Q111" t="n">
        <v>1.582662</v>
      </c>
      <c r="R111" t="n">
        <v>1.614209</v>
      </c>
      <c r="S111" t="n">
        <v>1.637877</v>
      </c>
      <c r="T111" t="n">
        <v>1.654558</v>
      </c>
      <c r="U111" t="n">
        <v>1.676311</v>
      </c>
      <c r="V111" t="n">
        <v>1.692145</v>
      </c>
      <c r="W111" t="n">
        <v>1.690858</v>
      </c>
      <c r="X111" t="n">
        <v>1.695535</v>
      </c>
      <c r="Y111" t="n">
        <v>1.691259</v>
      </c>
      <c r="Z111" t="n">
        <v>1.696829</v>
      </c>
      <c r="AA111" t="n">
        <v>1.70993</v>
      </c>
      <c r="AB111" t="n">
        <v>1.727659</v>
      </c>
      <c r="AC111" t="n">
        <v>1.750516</v>
      </c>
      <c r="AD111" t="n">
        <v>1.771954</v>
      </c>
      <c r="AE111" t="n">
        <v>1.794454</v>
      </c>
      <c r="AF111" t="n">
        <v>1.813854</v>
      </c>
      <c r="AG111" s="31" t="n">
        <v>0.01</v>
      </c>
    </row>
    <row r="112">
      <c r="A112" t="inlineStr">
        <is>
          <t>Purchased Electricity</t>
        </is>
      </c>
      <c r="B112" t="inlineStr">
        <is>
          <t>Industrial: Total Industrial Sector Use Excluding H2 Production: Purchased Electricity: High Zero-Carbon Technology Cost</t>
        </is>
      </c>
      <c r="C112" t="inlineStr">
        <is>
          <t>AEO.2025.HIGHZTC.CNSM_NA_IDAL_NA_PRC_NA_USA_QBTU.A</t>
        </is>
      </c>
      <c r="D112" t="inlineStr">
        <is>
          <t>quads</t>
        </is>
      </c>
      <c r="F112" t="n">
        <v>3.498546</v>
      </c>
      <c r="G112" t="n">
        <v>3.545369</v>
      </c>
      <c r="H112" t="n">
        <v>3.581859</v>
      </c>
      <c r="I112" t="n">
        <v>3.605855</v>
      </c>
      <c r="J112" t="n">
        <v>3.624472</v>
      </c>
      <c r="K112" t="n">
        <v>3.653465</v>
      </c>
      <c r="L112" t="n">
        <v>3.70237</v>
      </c>
      <c r="M112" t="n">
        <v>3.760042</v>
      </c>
      <c r="N112" t="n">
        <v>3.843564</v>
      </c>
      <c r="O112" t="n">
        <v>3.928631</v>
      </c>
      <c r="P112" t="n">
        <v>4.041822</v>
      </c>
      <c r="Q112" t="n">
        <v>4.153343</v>
      </c>
      <c r="R112" t="n">
        <v>4.251055</v>
      </c>
      <c r="S112" t="n">
        <v>4.331045</v>
      </c>
      <c r="T112" t="n">
        <v>4.393444</v>
      </c>
      <c r="U112" t="n">
        <v>4.453726</v>
      </c>
      <c r="V112" t="n">
        <v>4.524152</v>
      </c>
      <c r="W112" t="n">
        <v>4.58661</v>
      </c>
      <c r="X112" t="n">
        <v>4.643548</v>
      </c>
      <c r="Y112" t="n">
        <v>4.694727</v>
      </c>
      <c r="Z112" t="n">
        <v>4.739877</v>
      </c>
      <c r="AA112" t="n">
        <v>4.785201</v>
      </c>
      <c r="AB112" t="n">
        <v>4.832699</v>
      </c>
      <c r="AC112" t="n">
        <v>4.886508</v>
      </c>
      <c r="AD112" t="n">
        <v>4.929653</v>
      </c>
      <c r="AE112" t="n">
        <v>4.976098</v>
      </c>
      <c r="AF112" t="n">
        <v>5.017397</v>
      </c>
      <c r="AG112" s="31" t="n">
        <v>0.014</v>
      </c>
    </row>
    <row r="113">
      <c r="A113" t="inlineStr">
        <is>
          <t>Delivered Energy</t>
        </is>
      </c>
      <c r="B113" t="inlineStr">
        <is>
          <t>Industrial: Total Industrial Sector Use Excluding H2 Production: Delivered Energy: High Zero-Carbon Technology Cost</t>
        </is>
      </c>
      <c r="C113" t="inlineStr">
        <is>
          <t>AEO.2025.HIGHZTC.CNSM_NA_IDAL_NA_DELE_NA_USA_QBTU.A</t>
        </is>
      </c>
      <c r="D113" t="inlineStr">
        <is>
          <t>quads</t>
        </is>
      </c>
      <c r="F113" t="n">
        <v>25.914195</v>
      </c>
      <c r="G113" t="n">
        <v>26.243885</v>
      </c>
      <c r="H113" t="n">
        <v>26.366327</v>
      </c>
      <c r="I113" t="n">
        <v>26.450458</v>
      </c>
      <c r="J113" t="n">
        <v>26.587753</v>
      </c>
      <c r="K113" t="n">
        <v>26.685687</v>
      </c>
      <c r="L113" t="n">
        <v>26.841271</v>
      </c>
      <c r="M113" t="n">
        <v>26.982144</v>
      </c>
      <c r="N113" t="n">
        <v>27.162038</v>
      </c>
      <c r="O113" t="n">
        <v>27.212003</v>
      </c>
      <c r="P113" t="n">
        <v>27.331</v>
      </c>
      <c r="Q113" t="n">
        <v>27.413831</v>
      </c>
      <c r="R113" t="n">
        <v>27.530968</v>
      </c>
      <c r="S113" t="n">
        <v>27.601254</v>
      </c>
      <c r="T113" t="n">
        <v>27.727326</v>
      </c>
      <c r="U113" t="n">
        <v>27.90573</v>
      </c>
      <c r="V113" t="n">
        <v>28.137939</v>
      </c>
      <c r="W113" t="n">
        <v>28.283969</v>
      </c>
      <c r="X113" t="n">
        <v>28.418541</v>
      </c>
      <c r="Y113" t="n">
        <v>28.566002</v>
      </c>
      <c r="Z113" t="n">
        <v>28.760804</v>
      </c>
      <c r="AA113" t="n">
        <v>28.956613</v>
      </c>
      <c r="AB113" t="n">
        <v>29.112934</v>
      </c>
      <c r="AC113" t="n">
        <v>29.352063</v>
      </c>
      <c r="AD113" t="n">
        <v>29.517008</v>
      </c>
      <c r="AE113" t="n">
        <v>29.724809</v>
      </c>
      <c r="AF113" t="n">
        <v>29.904475</v>
      </c>
      <c r="AG113" s="31" t="n">
        <v>0.006</v>
      </c>
    </row>
    <row r="114">
      <c r="A114" t="inlineStr">
        <is>
          <t>Electricity-Related Losses</t>
        </is>
      </c>
      <c r="B114" t="inlineStr">
        <is>
          <t>Industrial: Total Industrial Sector Use Excluding H2 Production: Electricity-Related Losses: High Zero-Carbon Technology Cost</t>
        </is>
      </c>
      <c r="C114" t="inlineStr">
        <is>
          <t>AEO.2025.HIGHZTC.CNSM_NA_IDAL_NA_ELECRELOS_NA_USA_QBTU.A</t>
        </is>
      </c>
      <c r="D114" t="inlineStr">
        <is>
          <t>quads</t>
        </is>
      </c>
      <c r="F114" t="n">
        <v>4.972634</v>
      </c>
      <c r="G114" t="n">
        <v>4.88626</v>
      </c>
      <c r="H114" t="n">
        <v>4.642624</v>
      </c>
      <c r="I114" t="n">
        <v>4.495186</v>
      </c>
      <c r="J114" t="n">
        <v>4.418169</v>
      </c>
      <c r="K114" t="n">
        <v>4.375261</v>
      </c>
      <c r="L114" t="n">
        <v>4.255652</v>
      </c>
      <c r="M114" t="n">
        <v>4.183741</v>
      </c>
      <c r="N114" t="n">
        <v>4.000008</v>
      </c>
      <c r="O114" t="n">
        <v>3.955487</v>
      </c>
      <c r="P114" t="n">
        <v>3.922301</v>
      </c>
      <c r="Q114" t="n">
        <v>3.853588</v>
      </c>
      <c r="R114" t="n">
        <v>3.776351</v>
      </c>
      <c r="S114" t="n">
        <v>3.646423</v>
      </c>
      <c r="T114" t="n">
        <v>3.581972</v>
      </c>
      <c r="U114" t="n">
        <v>3.413755</v>
      </c>
      <c r="V114" t="n">
        <v>3.405388</v>
      </c>
      <c r="W114" t="n">
        <v>3.444637</v>
      </c>
      <c r="X114" t="n">
        <v>3.480061</v>
      </c>
      <c r="Y114" t="n">
        <v>3.493976</v>
      </c>
      <c r="Z114" t="n">
        <v>3.509079</v>
      </c>
      <c r="AA114" t="n">
        <v>3.503256</v>
      </c>
      <c r="AB114" t="n">
        <v>3.49814</v>
      </c>
      <c r="AC114" t="n">
        <v>3.509469</v>
      </c>
      <c r="AD114" t="n">
        <v>3.522662</v>
      </c>
      <c r="AE114" t="n">
        <v>3.544966</v>
      </c>
      <c r="AF114" t="n">
        <v>3.5362</v>
      </c>
      <c r="AG114" s="31" t="n">
        <v>-0.013</v>
      </c>
    </row>
    <row r="115">
      <c r="A115" t="inlineStr">
        <is>
          <t>Hydrogen-Related Losses</t>
        </is>
      </c>
      <c r="B115" t="inlineStr">
        <is>
          <t>Industrial: Total Industrial Sector Use Excluding H2 Production: Hydrogen-Related Losses: High Zero-Carbon Technology Cost</t>
        </is>
      </c>
      <c r="C115" t="inlineStr">
        <is>
          <t>AEO.2025.HIGHZTC.CNSM_NA_IDAL_NA_H2RELLOS_NA_USA_QBTU.A</t>
        </is>
      </c>
      <c r="D115" t="inlineStr">
        <is>
          <t>quads</t>
        </is>
      </c>
      <c r="F115" t="n">
        <v>0.299546</v>
      </c>
      <c r="G115" t="n">
        <v>0.303261</v>
      </c>
      <c r="H115" t="n">
        <v>0.313144</v>
      </c>
      <c r="I115" t="n">
        <v>0.316555</v>
      </c>
      <c r="J115" t="n">
        <v>0.315594</v>
      </c>
      <c r="K115" t="n">
        <v>0.316522</v>
      </c>
      <c r="L115" t="n">
        <v>0.320118</v>
      </c>
      <c r="M115" t="n">
        <v>0.325317</v>
      </c>
      <c r="N115" t="n">
        <v>0.331519</v>
      </c>
      <c r="O115" t="n">
        <v>0.341265</v>
      </c>
      <c r="P115" t="n">
        <v>0.349558</v>
      </c>
      <c r="Q115" t="n">
        <v>0.357742</v>
      </c>
      <c r="R115" t="n">
        <v>0.362341</v>
      </c>
      <c r="S115" t="n">
        <v>0.363013</v>
      </c>
      <c r="T115" t="n">
        <v>0.364183</v>
      </c>
      <c r="U115" t="n">
        <v>0.366019</v>
      </c>
      <c r="V115" t="n">
        <v>0.368098</v>
      </c>
      <c r="W115" t="n">
        <v>0.370626</v>
      </c>
      <c r="X115" t="n">
        <v>0.372094</v>
      </c>
      <c r="Y115" t="n">
        <v>0.374185</v>
      </c>
      <c r="Z115" t="n">
        <v>0.376578</v>
      </c>
      <c r="AA115" t="n">
        <v>0.378123</v>
      </c>
      <c r="AB115" t="n">
        <v>0.378709</v>
      </c>
      <c r="AC115" t="n">
        <v>0.37825</v>
      </c>
      <c r="AD115" t="n">
        <v>0.379773</v>
      </c>
      <c r="AE115" t="n">
        <v>0.377018</v>
      </c>
      <c r="AF115" t="n">
        <v>0.378886</v>
      </c>
      <c r="AG115" s="31" t="n">
        <v>0.008999999999999999</v>
      </c>
    </row>
    <row r="116">
      <c r="A116" t="inlineStr">
        <is>
          <t>Total</t>
        </is>
      </c>
      <c r="B116" t="inlineStr">
        <is>
          <t>Industrial: Total Industrial Sector Use: Total: High Zero-Carbon Technology Cost</t>
        </is>
      </c>
      <c r="C116" t="inlineStr">
        <is>
          <t>AEO.2025.HIGHZTC.CNSM_NA_IDAL_NA_TOT_NA_USA_QBTU.A</t>
        </is>
      </c>
      <c r="D116" t="inlineStr">
        <is>
          <t>quads</t>
        </is>
      </c>
      <c r="F116" t="n">
        <v>31.186375</v>
      </c>
      <c r="G116" t="n">
        <v>31.433406</v>
      </c>
      <c r="H116" t="n">
        <v>31.322095</v>
      </c>
      <c r="I116" t="n">
        <v>31.262198</v>
      </c>
      <c r="J116" t="n">
        <v>31.321515</v>
      </c>
      <c r="K116" t="n">
        <v>31.377471</v>
      </c>
      <c r="L116" t="n">
        <v>31.417041</v>
      </c>
      <c r="M116" t="n">
        <v>31.491202</v>
      </c>
      <c r="N116" t="n">
        <v>31.493565</v>
      </c>
      <c r="O116" t="n">
        <v>31.508755</v>
      </c>
      <c r="P116" t="n">
        <v>31.602858</v>
      </c>
      <c r="Q116" t="n">
        <v>31.625162</v>
      </c>
      <c r="R116" t="n">
        <v>31.66966</v>
      </c>
      <c r="S116" t="n">
        <v>31.61069</v>
      </c>
      <c r="T116" t="n">
        <v>31.67348</v>
      </c>
      <c r="U116" t="n">
        <v>31.685504</v>
      </c>
      <c r="V116" t="n">
        <v>31.911426</v>
      </c>
      <c r="W116" t="n">
        <v>32.099232</v>
      </c>
      <c r="X116" t="n">
        <v>32.270695</v>
      </c>
      <c r="Y116" t="n">
        <v>32.434163</v>
      </c>
      <c r="Z116" t="n">
        <v>32.646461</v>
      </c>
      <c r="AA116" t="n">
        <v>32.837991</v>
      </c>
      <c r="AB116" t="n">
        <v>32.989783</v>
      </c>
      <c r="AC116" t="n">
        <v>33.239783</v>
      </c>
      <c r="AD116" t="n">
        <v>33.419444</v>
      </c>
      <c r="AE116" t="n">
        <v>33.646794</v>
      </c>
      <c r="AF116" t="n">
        <v>33.81956</v>
      </c>
      <c r="AG116" s="31" t="n">
        <v>0.003</v>
      </c>
    </row>
    <row r="117">
      <c r="A117" s="1" t="inlineStr">
        <is>
          <t>Total Industrial Sector Primary Consumption</t>
        </is>
      </c>
    </row>
    <row r="118">
      <c r="A118" t="inlineStr">
        <is>
          <t>Propane Heat and Power</t>
        </is>
      </c>
      <c r="B118" t="inlineStr">
        <is>
          <t>Industrial: Total Industrial Sector Primary Consumption: Propane Heat and Power: High Zero-Carbon Technology Cost</t>
        </is>
      </c>
      <c r="C118" t="inlineStr">
        <is>
          <t>AEO.2025.HIGHZTC.CNSM_NA_IDAL_NA_LPGHP_NA_USA_QBTU.A</t>
        </is>
      </c>
      <c r="D118" t="inlineStr">
        <is>
          <t>quads</t>
        </is>
      </c>
      <c r="F118" t="n">
        <v>0.064334</v>
      </c>
      <c r="G118" t="n">
        <v>0.122289</v>
      </c>
      <c r="H118" t="n">
        <v>0.116488</v>
      </c>
      <c r="I118" t="n">
        <v>0.117768</v>
      </c>
      <c r="J118" t="n">
        <v>0.118981</v>
      </c>
      <c r="K118" t="n">
        <v>0.120806</v>
      </c>
      <c r="L118" t="n">
        <v>0.122225</v>
      </c>
      <c r="M118" t="n">
        <v>0.123407</v>
      </c>
      <c r="N118" t="n">
        <v>0.125766</v>
      </c>
      <c r="O118" t="n">
        <v>0.126346</v>
      </c>
      <c r="P118" t="n">
        <v>0.127184</v>
      </c>
      <c r="Q118" t="n">
        <v>0.128271</v>
      </c>
      <c r="R118" t="n">
        <v>0.129641</v>
      </c>
      <c r="S118" t="n">
        <v>0.131156</v>
      </c>
      <c r="T118" t="n">
        <v>0.132603</v>
      </c>
      <c r="U118" t="n">
        <v>0.133936</v>
      </c>
      <c r="V118" t="n">
        <v>0.135029</v>
      </c>
      <c r="W118" t="n">
        <v>0.135651</v>
      </c>
      <c r="X118" t="n">
        <v>0.136466</v>
      </c>
      <c r="Y118" t="n">
        <v>0.13723</v>
      </c>
      <c r="Z118" t="n">
        <v>0.138026</v>
      </c>
      <c r="AA118" t="n">
        <v>0.139073</v>
      </c>
      <c r="AB118" t="n">
        <v>0.140203</v>
      </c>
      <c r="AC118" t="n">
        <v>0.141396</v>
      </c>
      <c r="AD118" t="n">
        <v>0.142557</v>
      </c>
      <c r="AE118" t="n">
        <v>0.143824</v>
      </c>
      <c r="AF118" t="n">
        <v>0.144934</v>
      </c>
      <c r="AG118" s="31" t="n">
        <v>0.032</v>
      </c>
    </row>
    <row r="119">
      <c r="A119" t="inlineStr">
        <is>
          <t>Hydrocarbon Gas Liquid Feedstocks</t>
        </is>
      </c>
      <c r="B119" t="inlineStr">
        <is>
          <t>Industrial: Total Industrial Sector Primary Consumption: LPG and Other Feedstocks: High Zero-Carbon Technology Cost</t>
        </is>
      </c>
      <c r="C119" t="inlineStr">
        <is>
          <t>AEO.2025.HIGHZTC.CNSM_NA_IDAL_NA_LPGF_NA_USA_QBTU.A</t>
        </is>
      </c>
      <c r="D119" t="inlineStr">
        <is>
          <t>quads</t>
        </is>
      </c>
      <c r="F119" t="n">
        <v>3.485</v>
      </c>
      <c r="G119" t="n">
        <v>3.489802</v>
      </c>
      <c r="H119" t="n">
        <v>3.49178</v>
      </c>
      <c r="I119" t="n">
        <v>3.495489</v>
      </c>
      <c r="J119" t="n">
        <v>3.500911</v>
      </c>
      <c r="K119" t="n">
        <v>3.505162</v>
      </c>
      <c r="L119" t="n">
        <v>3.508227</v>
      </c>
      <c r="M119" t="n">
        <v>3.509183</v>
      </c>
      <c r="N119" t="n">
        <v>3.509037</v>
      </c>
      <c r="O119" t="n">
        <v>3.509996</v>
      </c>
      <c r="P119" t="n">
        <v>3.505924</v>
      </c>
      <c r="Q119" t="n">
        <v>3.501432</v>
      </c>
      <c r="R119" t="n">
        <v>3.498329</v>
      </c>
      <c r="S119" t="n">
        <v>3.492201</v>
      </c>
      <c r="T119" t="n">
        <v>3.520821</v>
      </c>
      <c r="U119" t="n">
        <v>3.588347</v>
      </c>
      <c r="V119" t="n">
        <v>3.662664</v>
      </c>
      <c r="W119" t="n">
        <v>3.722698</v>
      </c>
      <c r="X119" t="n">
        <v>3.785018</v>
      </c>
      <c r="Y119" t="n">
        <v>3.828975</v>
      </c>
      <c r="Z119" t="n">
        <v>3.800663</v>
      </c>
      <c r="AA119" t="n">
        <v>3.760822</v>
      </c>
      <c r="AB119" t="n">
        <v>3.798597</v>
      </c>
      <c r="AC119" t="n">
        <v>3.870811</v>
      </c>
      <c r="AD119" t="n">
        <v>3.923123</v>
      </c>
      <c r="AE119" t="n">
        <v>3.895189</v>
      </c>
      <c r="AF119" t="n">
        <v>3.866342</v>
      </c>
      <c r="AG119" s="31" t="n">
        <v>0.004</v>
      </c>
    </row>
    <row r="120" customFormat="1" s="32">
      <c r="A120" s="32" t="inlineStr">
        <is>
          <t>Motor Gasoline</t>
        </is>
      </c>
      <c r="B120" s="32" t="inlineStr">
        <is>
          <t>Industrial: Total Industrial Sector Primary Consumption: Motor Gasoline: High Zero-Carbon Technology Cost</t>
        </is>
      </c>
      <c r="C120" s="32" t="inlineStr">
        <is>
          <t>AEO.2025.HIGHZTC.CNSM_NA_IDAL_NA_MGS_NA_USA_QBTU.A</t>
        </is>
      </c>
      <c r="D120" s="32" t="inlineStr">
        <is>
          <t>quads</t>
        </is>
      </c>
      <c r="F120" s="32" t="n">
        <v>0.281291</v>
      </c>
      <c r="G120" s="32" t="n">
        <v>0.285247</v>
      </c>
      <c r="H120" s="32" t="n">
        <v>0.288387</v>
      </c>
      <c r="I120" s="32" t="n">
        <v>0.292239</v>
      </c>
      <c r="J120" s="32" t="n">
        <v>0.297109</v>
      </c>
      <c r="K120" s="32" t="n">
        <v>0.302658</v>
      </c>
      <c r="L120" s="32" t="n">
        <v>0.307115</v>
      </c>
      <c r="M120" s="32" t="n">
        <v>0.310404</v>
      </c>
      <c r="N120" s="32" t="n">
        <v>0.313444</v>
      </c>
      <c r="O120" s="32" t="n">
        <v>0.31532</v>
      </c>
      <c r="P120" s="32" t="n">
        <v>0.316919</v>
      </c>
      <c r="Q120" s="32" t="n">
        <v>0.319351</v>
      </c>
      <c r="R120" s="32" t="n">
        <v>0.322235</v>
      </c>
      <c r="S120" s="32" t="n">
        <v>0.32399</v>
      </c>
      <c r="T120" s="32" t="n">
        <v>0.3259</v>
      </c>
      <c r="U120" s="32" t="n">
        <v>0.327691</v>
      </c>
      <c r="V120" s="32" t="n">
        <v>0.329586</v>
      </c>
      <c r="W120" s="32" t="n">
        <v>0.33104</v>
      </c>
      <c r="X120" s="32" t="n">
        <v>0.333046</v>
      </c>
      <c r="Y120" s="32" t="n">
        <v>0.334606</v>
      </c>
      <c r="Z120" s="32" t="n">
        <v>0.336343</v>
      </c>
      <c r="AA120" s="32" t="n">
        <v>0.339079</v>
      </c>
      <c r="AB120" s="32" t="n">
        <v>0.342198</v>
      </c>
      <c r="AC120" s="32" t="n">
        <v>0.345227</v>
      </c>
      <c r="AD120" s="32" t="n">
        <v>0.348264</v>
      </c>
      <c r="AE120" s="32" t="n">
        <v>0.351611</v>
      </c>
      <c r="AF120" s="32" t="n">
        <v>0.3547</v>
      </c>
      <c r="AG120" s="33" t="n">
        <v>0.008999999999999999</v>
      </c>
    </row>
    <row r="121">
      <c r="A121" t="inlineStr">
        <is>
          <t>Distillate Fuel Oil</t>
        </is>
      </c>
      <c r="B121" t="inlineStr">
        <is>
          <t>Industrial: Total Industrial Sector Primary Consumption: Distillate Fuel Oil: High Zero-Carbon Technology Cost</t>
        </is>
      </c>
      <c r="C121" t="inlineStr">
        <is>
          <t>AEO.2025.HIGHZTC.CNSM_NA_IDAL_NA_DFO_NA_USA_QBTU.A</t>
        </is>
      </c>
      <c r="D121" t="inlineStr">
        <is>
          <t>quads</t>
        </is>
      </c>
      <c r="F121" t="n">
        <v>1.140013</v>
      </c>
      <c r="G121" t="n">
        <v>1.15177</v>
      </c>
      <c r="H121" t="n">
        <v>1.163439</v>
      </c>
      <c r="I121" t="n">
        <v>1.177088</v>
      </c>
      <c r="J121" t="n">
        <v>1.195205</v>
      </c>
      <c r="K121" t="n">
        <v>1.216104</v>
      </c>
      <c r="L121" t="n">
        <v>1.23274</v>
      </c>
      <c r="M121" t="n">
        <v>1.246904</v>
      </c>
      <c r="N121" t="n">
        <v>1.260956</v>
      </c>
      <c r="O121" t="n">
        <v>1.269289</v>
      </c>
      <c r="P121" t="n">
        <v>1.277959</v>
      </c>
      <c r="Q121" t="n">
        <v>1.288505</v>
      </c>
      <c r="R121" t="n">
        <v>1.299513</v>
      </c>
      <c r="S121" t="n">
        <v>1.308196</v>
      </c>
      <c r="T121" t="n">
        <v>1.317186</v>
      </c>
      <c r="U121" t="n">
        <v>1.324638</v>
      </c>
      <c r="V121" t="n">
        <v>1.332429</v>
      </c>
      <c r="W121" t="n">
        <v>1.337751</v>
      </c>
      <c r="X121" t="n">
        <v>1.344097</v>
      </c>
      <c r="Y121" t="n">
        <v>1.349923</v>
      </c>
      <c r="Z121" t="n">
        <v>1.356099</v>
      </c>
      <c r="AA121" t="n">
        <v>1.364485</v>
      </c>
      <c r="AB121" t="n">
        <v>1.374968</v>
      </c>
      <c r="AC121" t="n">
        <v>1.385294</v>
      </c>
      <c r="AD121" t="n">
        <v>1.394428</v>
      </c>
      <c r="AE121" t="n">
        <v>1.405687</v>
      </c>
      <c r="AF121" t="n">
        <v>1.41575</v>
      </c>
      <c r="AG121" s="31" t="n">
        <v>0.008</v>
      </c>
    </row>
    <row r="122" customFormat="1" s="32">
      <c r="A122" s="32" t="inlineStr">
        <is>
          <t>Residual Fuel Oil</t>
        </is>
      </c>
      <c r="B122" s="32" t="inlineStr">
        <is>
          <t>Industrial: Total Industrial Sector Primary Consumption: Residual Fuel Oil: High Zero-Carbon Technology Cost</t>
        </is>
      </c>
      <c r="C122" s="32" t="inlineStr">
        <is>
          <t>AEO.2025.HIGHZTC.CNSM_NA_IDAL_NA_RFO_NA_USA_QBTU.A</t>
        </is>
      </c>
      <c r="D122" s="32" t="inlineStr">
        <is>
          <t>quads</t>
        </is>
      </c>
      <c r="F122" s="32" t="n">
        <v>0.041174</v>
      </c>
      <c r="G122" s="32" t="n">
        <v>0.04198</v>
      </c>
      <c r="H122" s="32" t="n">
        <v>0.041255</v>
      </c>
      <c r="I122" s="32" t="n">
        <v>0.040061</v>
      </c>
      <c r="J122" s="32" t="n">
        <v>0.038841</v>
      </c>
      <c r="K122" s="32" t="n">
        <v>0.037551</v>
      </c>
      <c r="L122" s="32" t="n">
        <v>0.036369</v>
      </c>
      <c r="M122" s="32" t="n">
        <v>0.035532</v>
      </c>
      <c r="N122" s="32" t="n">
        <v>0.035132</v>
      </c>
      <c r="O122" s="32" t="n">
        <v>0.03466</v>
      </c>
      <c r="P122" s="32" t="n">
        <v>0.034279</v>
      </c>
      <c r="Q122" s="32" t="n">
        <v>0.033786</v>
      </c>
      <c r="R122" s="32" t="n">
        <v>0.033265</v>
      </c>
      <c r="S122" s="32" t="n">
        <v>0.032701</v>
      </c>
      <c r="T122" s="32" t="n">
        <v>0.032198</v>
      </c>
      <c r="U122" s="32" t="n">
        <v>0.031759</v>
      </c>
      <c r="V122" s="32" t="n">
        <v>0.031438</v>
      </c>
      <c r="W122" s="32" t="n">
        <v>0.031172</v>
      </c>
      <c r="X122" s="32" t="n">
        <v>0.030896</v>
      </c>
      <c r="Y122" s="32" t="n">
        <v>0.030629</v>
      </c>
      <c r="Z122" s="32" t="n">
        <v>0.03044</v>
      </c>
      <c r="AA122" s="32" t="n">
        <v>0.03024</v>
      </c>
      <c r="AB122" s="32" t="n">
        <v>0.029949</v>
      </c>
      <c r="AC122" s="32" t="n">
        <v>0.029728</v>
      </c>
      <c r="AD122" s="32" t="n">
        <v>0.029473</v>
      </c>
      <c r="AE122" s="32" t="n">
        <v>0.029252</v>
      </c>
      <c r="AF122" s="32" t="n">
        <v>0.028857</v>
      </c>
      <c r="AG122" s="33" t="n">
        <v>-0.014</v>
      </c>
    </row>
    <row r="123">
      <c r="A123" t="inlineStr">
        <is>
          <t>Petrochemical Feedstocks</t>
        </is>
      </c>
      <c r="B123" t="inlineStr">
        <is>
          <t>Industrial: Total Industrial Sector Primary Consumption: Petrochemical Feedstocks: High Zero-Carbon Technology Cost</t>
        </is>
      </c>
      <c r="C123" t="inlineStr">
        <is>
          <t>AEO.2025.HIGHZTC.CNSM_NA_IDAL_NA_PCF_NA_USA_QBTU.A</t>
        </is>
      </c>
      <c r="D123" t="inlineStr">
        <is>
          <t>quads</t>
        </is>
      </c>
      <c r="F123" t="n">
        <v>0.390525</v>
      </c>
      <c r="G123" t="n">
        <v>0.355</v>
      </c>
      <c r="H123" t="n">
        <v>0.55</v>
      </c>
      <c r="I123" t="n">
        <v>0.55</v>
      </c>
      <c r="J123" t="n">
        <v>0.55</v>
      </c>
      <c r="K123" t="n">
        <v>0.55</v>
      </c>
      <c r="L123" t="n">
        <v>0.55</v>
      </c>
      <c r="M123" t="n">
        <v>0.55</v>
      </c>
      <c r="N123" t="n">
        <v>0.55</v>
      </c>
      <c r="O123" t="n">
        <v>0.55</v>
      </c>
      <c r="P123" t="n">
        <v>0.55</v>
      </c>
      <c r="Q123" t="n">
        <v>0.55</v>
      </c>
      <c r="R123" t="n">
        <v>0.55</v>
      </c>
      <c r="S123" t="n">
        <v>0.55</v>
      </c>
      <c r="T123" t="n">
        <v>0.55</v>
      </c>
      <c r="U123" t="n">
        <v>0.55</v>
      </c>
      <c r="V123" t="n">
        <v>0.55</v>
      </c>
      <c r="W123" t="n">
        <v>0.55</v>
      </c>
      <c r="X123" t="n">
        <v>0.55</v>
      </c>
      <c r="Y123" t="n">
        <v>0.55</v>
      </c>
      <c r="Z123" t="n">
        <v>0.69558</v>
      </c>
      <c r="AA123" t="n">
        <v>0.84116</v>
      </c>
      <c r="AB123" t="n">
        <v>0.84116</v>
      </c>
      <c r="AC123" t="n">
        <v>0.84116</v>
      </c>
      <c r="AD123" t="n">
        <v>0.84116</v>
      </c>
      <c r="AE123" t="n">
        <v>0.964095</v>
      </c>
      <c r="AF123" t="n">
        <v>1.087029</v>
      </c>
      <c r="AG123" s="31" t="n">
        <v>0.04</v>
      </c>
    </row>
    <row r="124">
      <c r="A124" t="inlineStr">
        <is>
          <t>Petroleum Coke</t>
        </is>
      </c>
      <c r="B124" t="inlineStr">
        <is>
          <t>Industrial: Total Industrial Sector Primary Consumption: Petroleum Coke: High Zero-Carbon Technology Cost</t>
        </is>
      </c>
      <c r="C124" t="inlineStr">
        <is>
          <t>AEO.2025.HIGHZTC.CNSM_NA_IDAL_NA_PCK_NA_USA_QBTU.A</t>
        </is>
      </c>
      <c r="D124" t="inlineStr">
        <is>
          <t>quads</t>
        </is>
      </c>
      <c r="F124" t="n">
        <v>0.489646</v>
      </c>
      <c r="G124" t="n">
        <v>0.51</v>
      </c>
      <c r="H124" t="n">
        <v>0.517343</v>
      </c>
      <c r="I124" t="n">
        <v>0.516978</v>
      </c>
      <c r="J124" t="n">
        <v>0.516155</v>
      </c>
      <c r="K124" t="n">
        <v>0.513497</v>
      </c>
      <c r="L124" t="n">
        <v>0.511575</v>
      </c>
      <c r="M124" t="n">
        <v>0.507761</v>
      </c>
      <c r="N124" t="n">
        <v>0.498141</v>
      </c>
      <c r="O124" t="n">
        <v>0.496027</v>
      </c>
      <c r="P124" t="n">
        <v>0.493382</v>
      </c>
      <c r="Q124" t="n">
        <v>0.486771</v>
      </c>
      <c r="R124" t="n">
        <v>0.485807</v>
      </c>
      <c r="S124" t="n">
        <v>0.482546</v>
      </c>
      <c r="T124" t="n">
        <v>0.473462</v>
      </c>
      <c r="U124" t="n">
        <v>0.471524</v>
      </c>
      <c r="V124" t="n">
        <v>0.475148</v>
      </c>
      <c r="W124" t="n">
        <v>0.468962</v>
      </c>
      <c r="X124" t="n">
        <v>0.460895</v>
      </c>
      <c r="Y124" t="n">
        <v>0.467468</v>
      </c>
      <c r="Z124" t="n">
        <v>0.466162</v>
      </c>
      <c r="AA124" t="n">
        <v>0.464497</v>
      </c>
      <c r="AB124" t="n">
        <v>0.464247</v>
      </c>
      <c r="AC124" t="n">
        <v>0.468472</v>
      </c>
      <c r="AD124" t="n">
        <v>0.469885</v>
      </c>
      <c r="AE124" t="n">
        <v>0.464757</v>
      </c>
      <c r="AF124" t="n">
        <v>0.462812</v>
      </c>
      <c r="AG124" s="31" t="n">
        <v>-0.002</v>
      </c>
    </row>
    <row r="125" customFormat="1" s="32">
      <c r="A125" s="32" t="inlineStr">
        <is>
          <t>Asphalt and Road Oil</t>
        </is>
      </c>
      <c r="B125" s="32" t="inlineStr">
        <is>
          <t>Industrial: Total Industrial Sector Primary Consumption: Asphalt and Road Oil: High Zero-Carbon Technology Cost</t>
        </is>
      </c>
      <c r="C125" s="32" t="inlineStr">
        <is>
          <t>AEO.2025.HIGHZTC.CNSM_NA_IDAL_NA_ARO_NA_USA_QBTU.A</t>
        </is>
      </c>
      <c r="D125" s="32" t="inlineStr">
        <is>
          <t>quads</t>
        </is>
      </c>
      <c r="F125" s="32" t="n">
        <v>0.877838</v>
      </c>
      <c r="G125" s="32" t="n">
        <v>0.878262</v>
      </c>
      <c r="H125" s="32" t="n">
        <v>0.886157</v>
      </c>
      <c r="I125" s="32" t="n">
        <v>0.903224</v>
      </c>
      <c r="J125" s="32" t="n">
        <v>0.905428</v>
      </c>
      <c r="K125" s="32" t="n">
        <v>0.911496</v>
      </c>
      <c r="L125" s="32" t="n">
        <v>0.918598</v>
      </c>
      <c r="M125" s="32" t="n">
        <v>0.924407</v>
      </c>
      <c r="N125" s="32" t="n">
        <v>0.921001</v>
      </c>
      <c r="O125" s="32" t="n">
        <v>0.922841</v>
      </c>
      <c r="P125" s="32" t="n">
        <v>0.924252</v>
      </c>
      <c r="Q125" s="32" t="n">
        <v>0.928084</v>
      </c>
      <c r="R125" s="32" t="n">
        <v>0.931994</v>
      </c>
      <c r="S125" s="32" t="n">
        <v>0.934567</v>
      </c>
      <c r="T125" s="32" t="n">
        <v>0.937317</v>
      </c>
      <c r="U125" s="32" t="n">
        <v>0.940415</v>
      </c>
      <c r="V125" s="32" t="n">
        <v>0.9434709999999999</v>
      </c>
      <c r="W125" s="32" t="n">
        <v>0.945335</v>
      </c>
      <c r="X125" s="32" t="n">
        <v>0.945887</v>
      </c>
      <c r="Y125" s="32" t="n">
        <v>0.947661</v>
      </c>
      <c r="Z125" s="32" t="n">
        <v>0.948485</v>
      </c>
      <c r="AA125" s="32" t="n">
        <v>0.950643</v>
      </c>
      <c r="AB125" s="32" t="n">
        <v>0.954573</v>
      </c>
      <c r="AC125" s="32" t="n">
        <v>0.955311</v>
      </c>
      <c r="AD125" s="32" t="n">
        <v>0.955716</v>
      </c>
      <c r="AE125" s="32" t="n">
        <v>0.956251</v>
      </c>
      <c r="AF125" s="32" t="n">
        <v>0.9557099999999999</v>
      </c>
      <c r="AG125" s="33" t="n">
        <v>0.003</v>
      </c>
    </row>
    <row r="126">
      <c r="A126" t="inlineStr">
        <is>
          <t>Still Gas</t>
        </is>
      </c>
      <c r="B126" t="inlineStr">
        <is>
          <t>Industrial: Total Industrial Sector Primary Consumption: Still Gas: High Zero-Carbon Technology Cost</t>
        </is>
      </c>
      <c r="C126" t="inlineStr">
        <is>
          <t>AEO.2025.HIGHZTC.CNSM_NA_IDAL_NA_SLG_NA_USA_QBTU.A</t>
        </is>
      </c>
      <c r="D126" t="inlineStr">
        <is>
          <t>quads</t>
        </is>
      </c>
      <c r="F126" t="n">
        <v>1.391026</v>
      </c>
      <c r="G126" t="n">
        <v>1.391026</v>
      </c>
      <c r="H126" t="n">
        <v>1.321003</v>
      </c>
      <c r="I126" t="n">
        <v>1.31785</v>
      </c>
      <c r="J126" t="n">
        <v>1.348322</v>
      </c>
      <c r="K126" t="n">
        <v>1.323102</v>
      </c>
      <c r="L126" t="n">
        <v>1.339976</v>
      </c>
      <c r="M126" t="n">
        <v>1.343422</v>
      </c>
      <c r="N126" t="n">
        <v>1.344145</v>
      </c>
      <c r="O126" t="n">
        <v>1.321252</v>
      </c>
      <c r="P126" t="n">
        <v>1.322574</v>
      </c>
      <c r="Q126" t="n">
        <v>1.309428</v>
      </c>
      <c r="R126" t="n">
        <v>1.321005</v>
      </c>
      <c r="S126" t="n">
        <v>1.322053</v>
      </c>
      <c r="T126" t="n">
        <v>1.322975</v>
      </c>
      <c r="U126" t="n">
        <v>1.327446</v>
      </c>
      <c r="V126" t="n">
        <v>1.332115</v>
      </c>
      <c r="W126" t="n">
        <v>1.334623</v>
      </c>
      <c r="X126" t="n">
        <v>1.318845</v>
      </c>
      <c r="Y126" t="n">
        <v>1.333938</v>
      </c>
      <c r="Z126" t="n">
        <v>1.330232</v>
      </c>
      <c r="AA126" t="n">
        <v>1.329636</v>
      </c>
      <c r="AB126" t="n">
        <v>1.334931</v>
      </c>
      <c r="AC126" t="n">
        <v>1.344992</v>
      </c>
      <c r="AD126" t="n">
        <v>1.33997</v>
      </c>
      <c r="AE126" t="n">
        <v>1.337579</v>
      </c>
      <c r="AF126" t="n">
        <v>1.324381</v>
      </c>
      <c r="AG126" s="31" t="n">
        <v>-0.002</v>
      </c>
    </row>
    <row r="127">
      <c r="A127" t="inlineStr">
        <is>
          <t>Miscellaneous Petroleum</t>
        </is>
      </c>
      <c r="B127" t="inlineStr">
        <is>
          <t>Industrial: Total Industrial Sector Primary Consumption: Miscellaneous Petroleum: High Zero-Carbon Technology Cost</t>
        </is>
      </c>
      <c r="C127" t="inlineStr">
        <is>
          <t>AEO.2025.HIGHZTC.CNSM_NA_IDAL_NA_MPET_NA_USA_QBTU.A</t>
        </is>
      </c>
      <c r="D127" t="inlineStr">
        <is>
          <t>quads</t>
        </is>
      </c>
      <c r="F127" t="n">
        <v>0.315491</v>
      </c>
      <c r="G127" t="n">
        <v>0.334736</v>
      </c>
      <c r="H127" t="n">
        <v>0.349737</v>
      </c>
      <c r="I127" t="n">
        <v>0.364234</v>
      </c>
      <c r="J127" t="n">
        <v>0.378184</v>
      </c>
      <c r="K127" t="n">
        <v>0.391654</v>
      </c>
      <c r="L127" t="n">
        <v>0.404027</v>
      </c>
      <c r="M127" t="n">
        <v>0.416191</v>
      </c>
      <c r="N127" t="n">
        <v>0.427995</v>
      </c>
      <c r="O127" t="n">
        <v>0.437814</v>
      </c>
      <c r="P127" t="n">
        <v>0.450684</v>
      </c>
      <c r="Q127" t="n">
        <v>0.464872</v>
      </c>
      <c r="R127" t="n">
        <v>0.46444</v>
      </c>
      <c r="S127" t="n">
        <v>0.468722</v>
      </c>
      <c r="T127" t="n">
        <v>0.474556</v>
      </c>
      <c r="U127" t="n">
        <v>0.479341</v>
      </c>
      <c r="V127" t="n">
        <v>0.485439</v>
      </c>
      <c r="W127" t="n">
        <v>0.495292</v>
      </c>
      <c r="X127" t="n">
        <v>0.507394</v>
      </c>
      <c r="Y127" t="n">
        <v>0.500311</v>
      </c>
      <c r="Z127" t="n">
        <v>0.504691</v>
      </c>
      <c r="AA127" t="n">
        <v>0.5039979999999999</v>
      </c>
      <c r="AB127" t="n">
        <v>0.507477</v>
      </c>
      <c r="AC127" t="n">
        <v>0.510973</v>
      </c>
      <c r="AD127" t="n">
        <v>0.514335</v>
      </c>
      <c r="AE127" t="n">
        <v>0.51808</v>
      </c>
      <c r="AF127" t="n">
        <v>0.520364</v>
      </c>
      <c r="AG127" s="31" t="n">
        <v>0.019</v>
      </c>
    </row>
    <row r="128">
      <c r="A128" t="inlineStr">
        <is>
          <t>Petroleum and Other Liquids Subtotal</t>
        </is>
      </c>
      <c r="B128" t="inlineStr">
        <is>
          <t>Industrial: Total Industrial Sector Primary Consumption: Petroleum Subtotal: High Zero-Carbon Technology Cost</t>
        </is>
      </c>
      <c r="C128" t="inlineStr">
        <is>
          <t>AEO.2025.HIGHZTC.CNSM_NA_IDAL_NA_PET_NA_USA_QBTU.A</t>
        </is>
      </c>
      <c r="D128" t="inlineStr">
        <is>
          <t>quads</t>
        </is>
      </c>
      <c r="F128" t="n">
        <v>8.476338999999999</v>
      </c>
      <c r="G128" t="n">
        <v>8.560114</v>
      </c>
      <c r="H128" t="n">
        <v>8.72559</v>
      </c>
      <c r="I128" t="n">
        <v>8.774933000000001</v>
      </c>
      <c r="J128" t="n">
        <v>8.849136</v>
      </c>
      <c r="K128" t="n">
        <v>8.872028999999999</v>
      </c>
      <c r="L128" t="n">
        <v>8.930853000000001</v>
      </c>
      <c r="M128" t="n">
        <v>8.967212999999999</v>
      </c>
      <c r="N128" t="n">
        <v>8.985618000000001</v>
      </c>
      <c r="O128" t="n">
        <v>8.983544</v>
      </c>
      <c r="P128" t="n">
        <v>9.003156000000001</v>
      </c>
      <c r="Q128" t="n">
        <v>9.010502000000001</v>
      </c>
      <c r="R128" t="n">
        <v>9.036229000000001</v>
      </c>
      <c r="S128" t="n">
        <v>9.046132</v>
      </c>
      <c r="T128" t="n">
        <v>9.087016999999999</v>
      </c>
      <c r="U128" t="n">
        <v>9.175098</v>
      </c>
      <c r="V128" t="n">
        <v>9.277319</v>
      </c>
      <c r="W128" t="n">
        <v>9.352524000000001</v>
      </c>
      <c r="X128" t="n">
        <v>9.412545</v>
      </c>
      <c r="Y128" t="n">
        <v>9.480741999999999</v>
      </c>
      <c r="Z128" t="n">
        <v>9.606724</v>
      </c>
      <c r="AA128" t="n">
        <v>9.723633</v>
      </c>
      <c r="AB128" t="n">
        <v>9.788303000000001</v>
      </c>
      <c r="AC128" t="n">
        <v>9.893364999999999</v>
      </c>
      <c r="AD128" t="n">
        <v>9.958912</v>
      </c>
      <c r="AE128" t="n">
        <v>10.066326</v>
      </c>
      <c r="AF128" t="n">
        <v>10.16088</v>
      </c>
      <c r="AG128" s="31" t="n">
        <v>0.007</v>
      </c>
    </row>
    <row r="129">
      <c r="A129" t="inlineStr">
        <is>
          <t>Natural Gas Heat and Power</t>
        </is>
      </c>
      <c r="B129" t="inlineStr">
        <is>
          <t>Industrial: Total Industrial Sector Primary Consumption: Natural Gas Heat and Power: High Zero-Carbon Technology Cost</t>
        </is>
      </c>
      <c r="C129" t="inlineStr">
        <is>
          <t>AEO.2025.HIGHZTC.CNSM_NA_IDAL_NA_NHP_NA_USA_QBTU.A</t>
        </is>
      </c>
      <c r="D129" t="inlineStr">
        <is>
          <t>quads</t>
        </is>
      </c>
      <c r="F129" t="n">
        <v>7.69238</v>
      </c>
      <c r="G129" t="n">
        <v>7.771524</v>
      </c>
      <c r="H129" t="n">
        <v>7.566372</v>
      </c>
      <c r="I129" t="n">
        <v>7.57918</v>
      </c>
      <c r="J129" t="n">
        <v>7.591582</v>
      </c>
      <c r="K129" t="n">
        <v>7.614765</v>
      </c>
      <c r="L129" t="n">
        <v>7.635813</v>
      </c>
      <c r="M129" t="n">
        <v>7.673535</v>
      </c>
      <c r="N129" t="n">
        <v>7.674296</v>
      </c>
      <c r="O129" t="n">
        <v>7.656366</v>
      </c>
      <c r="P129" t="n">
        <v>7.629588</v>
      </c>
      <c r="Q129" t="n">
        <v>7.607144</v>
      </c>
      <c r="R129" t="n">
        <v>7.600666</v>
      </c>
      <c r="S129" t="n">
        <v>7.600096</v>
      </c>
      <c r="T129" t="n">
        <v>7.628987</v>
      </c>
      <c r="U129" t="n">
        <v>7.66829</v>
      </c>
      <c r="V129" t="n">
        <v>7.708662</v>
      </c>
      <c r="W129" t="n">
        <v>7.722702</v>
      </c>
      <c r="X129" t="n">
        <v>7.740625</v>
      </c>
      <c r="Y129" t="n">
        <v>7.778213</v>
      </c>
      <c r="Z129" t="n">
        <v>7.798408</v>
      </c>
      <c r="AA129" t="n">
        <v>7.820215</v>
      </c>
      <c r="AB129" t="n">
        <v>7.846502</v>
      </c>
      <c r="AC129" t="n">
        <v>7.895684</v>
      </c>
      <c r="AD129" t="n">
        <v>7.932101</v>
      </c>
      <c r="AE129" t="n">
        <v>7.962904</v>
      </c>
      <c r="AF129" t="n">
        <v>7.983368</v>
      </c>
      <c r="AG129" s="31" t="n">
        <v>0.001</v>
      </c>
    </row>
    <row r="130">
      <c r="A130" t="inlineStr">
        <is>
          <t>Natural Gas Feedstocks</t>
        </is>
      </c>
      <c r="B130" t="inlineStr">
        <is>
          <t>Industrial: Total Industrial Sector Primary Consumption: Natural Gas Feedstocks: High Zero-Carbon Technology Cost</t>
        </is>
      </c>
      <c r="C130" t="inlineStr">
        <is>
          <t>AEO.2025.HIGHZTC.CNSM_NA_IDAL_NA_NGF_NA_USA_QBTU.A</t>
        </is>
      </c>
      <c r="D130" t="inlineStr">
        <is>
          <t>quads</t>
        </is>
      </c>
      <c r="F130" t="n">
        <v>1.171383</v>
      </c>
      <c r="G130" t="n">
        <v>1.222633</v>
      </c>
      <c r="H130" t="n">
        <v>1.229737</v>
      </c>
      <c r="I130" t="n">
        <v>1.235163</v>
      </c>
      <c r="J130" t="n">
        <v>1.23553</v>
      </c>
      <c r="K130" t="n">
        <v>1.245137</v>
      </c>
      <c r="L130" t="n">
        <v>1.266956</v>
      </c>
      <c r="M130" t="n">
        <v>1.310141</v>
      </c>
      <c r="N130" t="n">
        <v>1.406344</v>
      </c>
      <c r="O130" t="n">
        <v>1.475592</v>
      </c>
      <c r="P130" t="n">
        <v>1.546469</v>
      </c>
      <c r="Q130" t="n">
        <v>1.614282</v>
      </c>
      <c r="R130" t="n">
        <v>1.677499</v>
      </c>
      <c r="S130" t="n">
        <v>1.73987</v>
      </c>
      <c r="T130" t="n">
        <v>1.799914</v>
      </c>
      <c r="U130" t="n">
        <v>1.855702</v>
      </c>
      <c r="V130" t="n">
        <v>1.90797</v>
      </c>
      <c r="W130" t="n">
        <v>1.954455</v>
      </c>
      <c r="X130" t="n">
        <v>1.995715</v>
      </c>
      <c r="Y130" t="n">
        <v>2.037704</v>
      </c>
      <c r="Z130" t="n">
        <v>2.082213</v>
      </c>
      <c r="AA130" t="n">
        <v>2.123191</v>
      </c>
      <c r="AB130" t="n">
        <v>2.153883</v>
      </c>
      <c r="AC130" t="n">
        <v>2.180254</v>
      </c>
      <c r="AD130" t="n">
        <v>2.205754</v>
      </c>
      <c r="AE130" t="n">
        <v>2.226024</v>
      </c>
      <c r="AF130" t="n">
        <v>2.25054</v>
      </c>
      <c r="AG130" s="31" t="n">
        <v>0.025</v>
      </c>
    </row>
    <row r="131">
      <c r="A131" t="inlineStr">
        <is>
          <t>Lease and Plant Fuel</t>
        </is>
      </c>
      <c r="B131" t="inlineStr">
        <is>
          <t>Industrial: Total Industrial Sector Primary Consumption: Lease and Plant Fuel: High Zero-Carbon Technology Cost</t>
        </is>
      </c>
      <c r="C131" t="inlineStr">
        <is>
          <t>AEO.2025.HIGHZTC.CNSM_NA_IDAL_NA_LSAPFL_NA_USA_QBTU.A</t>
        </is>
      </c>
      <c r="D131" t="inlineStr">
        <is>
          <t>quads</t>
        </is>
      </c>
      <c r="F131" t="n">
        <v>2.045295</v>
      </c>
      <c r="G131" t="n">
        <v>2.052198</v>
      </c>
      <c r="H131" t="n">
        <v>2.151558</v>
      </c>
      <c r="I131" t="n">
        <v>2.160423</v>
      </c>
      <c r="J131" t="n">
        <v>2.206005</v>
      </c>
      <c r="K131" t="n">
        <v>2.226782</v>
      </c>
      <c r="L131" t="n">
        <v>2.238047</v>
      </c>
      <c r="M131" t="n">
        <v>2.23259</v>
      </c>
      <c r="N131" t="n">
        <v>2.285561</v>
      </c>
      <c r="O131" t="n">
        <v>2.298938</v>
      </c>
      <c r="P131" t="n">
        <v>2.313583</v>
      </c>
      <c r="Q131" t="n">
        <v>2.305008</v>
      </c>
      <c r="R131" t="n">
        <v>2.296317</v>
      </c>
      <c r="S131" t="n">
        <v>2.271652</v>
      </c>
      <c r="T131" t="n">
        <v>2.265647</v>
      </c>
      <c r="U131" t="n">
        <v>2.24652</v>
      </c>
      <c r="V131" t="n">
        <v>2.25015</v>
      </c>
      <c r="W131" t="n">
        <v>2.26053</v>
      </c>
      <c r="X131" t="n">
        <v>2.271182</v>
      </c>
      <c r="Y131" t="n">
        <v>2.275658</v>
      </c>
      <c r="Z131" t="n">
        <v>2.278661</v>
      </c>
      <c r="AA131" t="n">
        <v>2.28227</v>
      </c>
      <c r="AB131" t="n">
        <v>2.29152</v>
      </c>
      <c r="AC131" t="n">
        <v>2.301058</v>
      </c>
      <c r="AD131" t="n">
        <v>2.305694</v>
      </c>
      <c r="AE131" t="n">
        <v>2.311272</v>
      </c>
      <c r="AF131" t="n">
        <v>2.318181</v>
      </c>
      <c r="AG131" s="31" t="n">
        <v>0.005</v>
      </c>
    </row>
    <row r="132">
      <c r="A132" t="inlineStr">
        <is>
          <t>Natural Gas Subtotal</t>
        </is>
      </c>
      <c r="B132" t="inlineStr">
        <is>
          <t>Industrial: Total Industrial Sector Primary Consumption: Natural Gas Subtotal: High Zero-Carbon Technology Cost</t>
        </is>
      </c>
      <c r="C132" t="inlineStr">
        <is>
          <t>AEO.2025.HIGHZTC.CNSM_NA_IDAL_NA_NGS_NA_USA_QBTU.A</t>
        </is>
      </c>
      <c r="D132" t="inlineStr">
        <is>
          <t>quads</t>
        </is>
      </c>
      <c r="F132" t="n">
        <v>10.909059</v>
      </c>
      <c r="G132" t="n">
        <v>11.046355</v>
      </c>
      <c r="H132" t="n">
        <v>10.947667</v>
      </c>
      <c r="I132" t="n">
        <v>10.974766</v>
      </c>
      <c r="J132" t="n">
        <v>11.033117</v>
      </c>
      <c r="K132" t="n">
        <v>11.086684</v>
      </c>
      <c r="L132" t="n">
        <v>11.140816</v>
      </c>
      <c r="M132" t="n">
        <v>11.216266</v>
      </c>
      <c r="N132" t="n">
        <v>11.3662</v>
      </c>
      <c r="O132" t="n">
        <v>11.430897</v>
      </c>
      <c r="P132" t="n">
        <v>11.48964</v>
      </c>
      <c r="Q132" t="n">
        <v>11.526434</v>
      </c>
      <c r="R132" t="n">
        <v>11.574482</v>
      </c>
      <c r="S132" t="n">
        <v>11.611618</v>
      </c>
      <c r="T132" t="n">
        <v>11.694548</v>
      </c>
      <c r="U132" t="n">
        <v>11.770512</v>
      </c>
      <c r="V132" t="n">
        <v>11.866783</v>
      </c>
      <c r="W132" t="n">
        <v>11.937686</v>
      </c>
      <c r="X132" t="n">
        <v>12.007522</v>
      </c>
      <c r="Y132" t="n">
        <v>12.091577</v>
      </c>
      <c r="Z132" t="n">
        <v>12.159283</v>
      </c>
      <c r="AA132" t="n">
        <v>12.225676</v>
      </c>
      <c r="AB132" t="n">
        <v>12.291905</v>
      </c>
      <c r="AC132" t="n">
        <v>12.376996</v>
      </c>
      <c r="AD132" t="n">
        <v>12.443548</v>
      </c>
      <c r="AE132" t="n">
        <v>12.5002</v>
      </c>
      <c r="AF132" t="n">
        <v>12.55209</v>
      </c>
      <c r="AG132" s="31" t="n">
        <v>0.005</v>
      </c>
    </row>
    <row r="133">
      <c r="A133" t="inlineStr">
        <is>
          <t>Metallurgical Coal and Coke</t>
        </is>
      </c>
      <c r="B133" t="inlineStr">
        <is>
          <t>Industrial: Total Industrial Sector Primary Consumption: Metallurgical Coal and Coke: High Zero-Carbon Technology Cost</t>
        </is>
      </c>
      <c r="C133" t="inlineStr">
        <is>
          <t>AEO.2025.HIGHZTC.CNSM_NA_IDAL_NA_MCC_NA_USA_QBTU.A</t>
        </is>
      </c>
      <c r="D133" t="inlineStr">
        <is>
          <t>quads</t>
        </is>
      </c>
      <c r="F133" t="n">
        <v>0.400954</v>
      </c>
      <c r="G133" t="n">
        <v>0.411782</v>
      </c>
      <c r="H133" t="n">
        <v>0.41544</v>
      </c>
      <c r="I133" t="n">
        <v>0.405144</v>
      </c>
      <c r="J133" t="n">
        <v>0.388956</v>
      </c>
      <c r="K133" t="n">
        <v>0.375246</v>
      </c>
      <c r="L133" t="n">
        <v>0.367505</v>
      </c>
      <c r="M133" t="n">
        <v>0.361955</v>
      </c>
      <c r="N133" t="n">
        <v>0.356614</v>
      </c>
      <c r="O133" t="n">
        <v>0.345056</v>
      </c>
      <c r="P133" t="n">
        <v>0.337685</v>
      </c>
      <c r="Q133" t="n">
        <v>0.329893</v>
      </c>
      <c r="R133" t="n">
        <v>0.3218</v>
      </c>
      <c r="S133" t="n">
        <v>0.317131</v>
      </c>
      <c r="T133" t="n">
        <v>0.311043</v>
      </c>
      <c r="U133" t="n">
        <v>0.304614</v>
      </c>
      <c r="V133" t="n">
        <v>0.300764</v>
      </c>
      <c r="W133" t="n">
        <v>0.294951</v>
      </c>
      <c r="X133" t="n">
        <v>0.288246</v>
      </c>
      <c r="Y133" t="n">
        <v>0.283503</v>
      </c>
      <c r="Z133" t="n">
        <v>0.277733</v>
      </c>
      <c r="AA133" t="n">
        <v>0.270846</v>
      </c>
      <c r="AB133" t="n">
        <v>0.263404</v>
      </c>
      <c r="AC133" t="n">
        <v>0.257466</v>
      </c>
      <c r="AD133" t="n">
        <v>0.250317</v>
      </c>
      <c r="AE133" t="n">
        <v>0.242736</v>
      </c>
      <c r="AF133" t="n">
        <v>0.235295</v>
      </c>
      <c r="AG133" s="31" t="n">
        <v>-0.02</v>
      </c>
    </row>
    <row r="134">
      <c r="A134" t="inlineStr">
        <is>
          <t>Steam Coal</t>
        </is>
      </c>
      <c r="B134" t="inlineStr">
        <is>
          <t>Industrial: Total Industrial Sector Primary Consumption: Steam Coal: High Zero-Carbon Technology Cost</t>
        </is>
      </c>
      <c r="C134" t="inlineStr">
        <is>
          <t>AEO.2025.HIGHZTC.CNSM_NA_IDAL_NA_STC_NA_USA_QBTU.A</t>
        </is>
      </c>
      <c r="D134" t="inlineStr">
        <is>
          <t>quads</t>
        </is>
      </c>
      <c r="F134" t="n">
        <v>0.346719</v>
      </c>
      <c r="G134" t="n">
        <v>0.359046</v>
      </c>
      <c r="H134" t="n">
        <v>0.366194</v>
      </c>
      <c r="I134" t="n">
        <v>0.371799</v>
      </c>
      <c r="J134" t="n">
        <v>0.377274</v>
      </c>
      <c r="K134" t="n">
        <v>0.379576</v>
      </c>
      <c r="L134" t="n">
        <v>0.382468</v>
      </c>
      <c r="M134" t="n">
        <v>0.38463</v>
      </c>
      <c r="N134" t="n">
        <v>0.388406</v>
      </c>
      <c r="O134" t="n">
        <v>0.388644</v>
      </c>
      <c r="P134" t="n">
        <v>0.387373</v>
      </c>
      <c r="Q134" t="n">
        <v>0.38355</v>
      </c>
      <c r="R134" t="n">
        <v>0.377761</v>
      </c>
      <c r="S134" t="n">
        <v>0.371891</v>
      </c>
      <c r="T134" t="n">
        <v>0.366035</v>
      </c>
      <c r="U134" t="n">
        <v>0.360937</v>
      </c>
      <c r="V134" t="n">
        <v>0.356924</v>
      </c>
      <c r="W134" t="n">
        <v>0.353338</v>
      </c>
      <c r="X134" t="n">
        <v>0.349361</v>
      </c>
      <c r="Y134" t="n">
        <v>0.345152</v>
      </c>
      <c r="Z134" t="n">
        <v>0.340854</v>
      </c>
      <c r="AA134" t="n">
        <v>0.336664</v>
      </c>
      <c r="AB134" t="n">
        <v>0.33276</v>
      </c>
      <c r="AC134" t="n">
        <v>0.328976</v>
      </c>
      <c r="AD134" t="n">
        <v>0.325349</v>
      </c>
      <c r="AE134" t="n">
        <v>0.322</v>
      </c>
      <c r="AF134" t="n">
        <v>0.317922</v>
      </c>
      <c r="AG134" s="31" t="n">
        <v>-0.003</v>
      </c>
    </row>
    <row r="135">
      <c r="A135" t="inlineStr">
        <is>
          <t>Coal Subtotal</t>
        </is>
      </c>
      <c r="B135" t="inlineStr">
        <is>
          <t>Industrial: Total Industrial Sector Primary Consumption: Coal Subtotal: High Zero-Carbon Technology Cost</t>
        </is>
      </c>
      <c r="C135" t="inlineStr">
        <is>
          <t>AEO.2025.HIGHZTC.CNSM_NA_IDAL_NA_COS_NA_USA_QBTU.A</t>
        </is>
      </c>
      <c r="D135" t="inlineStr">
        <is>
          <t>quads</t>
        </is>
      </c>
      <c r="F135" t="n">
        <v>0.747673</v>
      </c>
      <c r="G135" t="n">
        <v>0.770829</v>
      </c>
      <c r="H135" t="n">
        <v>0.7816340000000001</v>
      </c>
      <c r="I135" t="n">
        <v>0.7769430000000001</v>
      </c>
      <c r="J135" t="n">
        <v>0.766231</v>
      </c>
      <c r="K135" t="n">
        <v>0.754822</v>
      </c>
      <c r="L135" t="n">
        <v>0.749973</v>
      </c>
      <c r="M135" t="n">
        <v>0.7465850000000001</v>
      </c>
      <c r="N135" t="n">
        <v>0.745019</v>
      </c>
      <c r="O135" t="n">
        <v>0.7337</v>
      </c>
      <c r="P135" t="n">
        <v>0.725058</v>
      </c>
      <c r="Q135" t="n">
        <v>0.713443</v>
      </c>
      <c r="R135" t="n">
        <v>0.699561</v>
      </c>
      <c r="S135" t="n">
        <v>0.689022</v>
      </c>
      <c r="T135" t="n">
        <v>0.677078</v>
      </c>
      <c r="U135" t="n">
        <v>0.665552</v>
      </c>
      <c r="V135" t="n">
        <v>0.657687</v>
      </c>
      <c r="W135" t="n">
        <v>0.64829</v>
      </c>
      <c r="X135" t="n">
        <v>0.637607</v>
      </c>
      <c r="Y135" t="n">
        <v>0.628656</v>
      </c>
      <c r="Z135" t="n">
        <v>0.618587</v>
      </c>
      <c r="AA135" t="n">
        <v>0.607511</v>
      </c>
      <c r="AB135" t="n">
        <v>0.596164</v>
      </c>
      <c r="AC135" t="n">
        <v>0.586442</v>
      </c>
      <c r="AD135" t="n">
        <v>0.575666</v>
      </c>
      <c r="AE135" t="n">
        <v>0.564736</v>
      </c>
      <c r="AF135" t="n">
        <v>0.553217</v>
      </c>
      <c r="AG135" s="31" t="n">
        <v>-0.012</v>
      </c>
    </row>
    <row r="136">
      <c r="A136" t="inlineStr">
        <is>
          <t>Biofuels Heat and Coproducts</t>
        </is>
      </c>
      <c r="B136" t="inlineStr">
        <is>
          <t>Industrial: Total Industrial Sector Primary Consumption: Biofuels Heat and Coproducts: High Zero-Carbon Technology Cost</t>
        </is>
      </c>
      <c r="C136" t="inlineStr">
        <is>
          <t>AEO.2025.HIGHZTC.CNSM_NA_IDAL_NA_BFH_NA_USA_QBTU.A</t>
        </is>
      </c>
      <c r="D136" t="inlineStr">
        <is>
          <t>quads</t>
        </is>
      </c>
      <c r="F136" t="n">
        <v>0.894331</v>
      </c>
      <c r="G136" t="n">
        <v>0.916568</v>
      </c>
      <c r="H136" t="n">
        <v>0.914158</v>
      </c>
      <c r="I136" t="n">
        <v>0.914463</v>
      </c>
      <c r="J136" t="n">
        <v>0.913182</v>
      </c>
      <c r="K136" t="n">
        <v>0.908272</v>
      </c>
      <c r="L136" t="n">
        <v>0.903837</v>
      </c>
      <c r="M136" t="n">
        <v>0.892968</v>
      </c>
      <c r="N136" t="n">
        <v>0.8836889999999999</v>
      </c>
      <c r="O136" t="n">
        <v>0.868351</v>
      </c>
      <c r="P136" t="n">
        <v>0.853619</v>
      </c>
      <c r="Q136" t="n">
        <v>0.83833</v>
      </c>
      <c r="R136" t="n">
        <v>0.828071</v>
      </c>
      <c r="S136" t="n">
        <v>0.811011</v>
      </c>
      <c r="T136" t="n">
        <v>0.79575</v>
      </c>
      <c r="U136" t="n">
        <v>0.784349</v>
      </c>
      <c r="V136" t="n">
        <v>0.782166</v>
      </c>
      <c r="W136" t="n">
        <v>0.771797</v>
      </c>
      <c r="X136" t="n">
        <v>0.761696</v>
      </c>
      <c r="Y136" t="n">
        <v>0.755206</v>
      </c>
      <c r="Z136" t="n">
        <v>0.753325</v>
      </c>
      <c r="AA136" t="n">
        <v>0.75422</v>
      </c>
      <c r="AB136" t="n">
        <v>0.751773</v>
      </c>
      <c r="AC136" t="n">
        <v>0.751816</v>
      </c>
      <c r="AD136" t="n">
        <v>0.75012</v>
      </c>
      <c r="AE136" t="n">
        <v>0.752011</v>
      </c>
      <c r="AF136" t="n">
        <v>0.755675</v>
      </c>
      <c r="AG136" s="31" t="n">
        <v>-0.006</v>
      </c>
    </row>
    <row r="137">
      <c r="A137" t="inlineStr">
        <is>
          <t>Renewables</t>
        </is>
      </c>
      <c r="B137" t="inlineStr">
        <is>
          <t>Industrial: Total Industrial Sector Primary Consumption: Renewables: High Zero-Carbon Technology Cost</t>
        </is>
      </c>
      <c r="C137" t="inlineStr">
        <is>
          <t>AEO.2025.HIGHZTC.CNSM_NA_IDAL_NA_REB_NA_USA_QBTU.A</t>
        </is>
      </c>
      <c r="D137" t="inlineStr">
        <is>
          <t>quads</t>
        </is>
      </c>
      <c r="F137" t="n">
        <v>1.404115</v>
      </c>
      <c r="G137" t="n">
        <v>1.424394</v>
      </c>
      <c r="H137" t="n">
        <v>1.446948</v>
      </c>
      <c r="I137" t="n">
        <v>1.44554</v>
      </c>
      <c r="J137" t="n">
        <v>1.452387</v>
      </c>
      <c r="K137" t="n">
        <v>1.474432</v>
      </c>
      <c r="L137" t="n">
        <v>1.495094</v>
      </c>
      <c r="M137" t="n">
        <v>1.518669</v>
      </c>
      <c r="N137" t="n">
        <v>1.536608</v>
      </c>
      <c r="O137" t="n">
        <v>1.543585</v>
      </c>
      <c r="P137" t="n">
        <v>1.562817</v>
      </c>
      <c r="Q137" t="n">
        <v>1.582662</v>
      </c>
      <c r="R137" t="n">
        <v>1.614209</v>
      </c>
      <c r="S137" t="n">
        <v>1.637877</v>
      </c>
      <c r="T137" t="n">
        <v>1.654558</v>
      </c>
      <c r="U137" t="n">
        <v>1.676311</v>
      </c>
      <c r="V137" t="n">
        <v>1.692145</v>
      </c>
      <c r="W137" t="n">
        <v>1.690858</v>
      </c>
      <c r="X137" t="n">
        <v>1.695535</v>
      </c>
      <c r="Y137" t="n">
        <v>1.691259</v>
      </c>
      <c r="Z137" t="n">
        <v>1.696829</v>
      </c>
      <c r="AA137" t="n">
        <v>1.70993</v>
      </c>
      <c r="AB137" t="n">
        <v>1.727659</v>
      </c>
      <c r="AC137" t="n">
        <v>1.750516</v>
      </c>
      <c r="AD137" t="n">
        <v>1.771954</v>
      </c>
      <c r="AE137" t="n">
        <v>1.794454</v>
      </c>
      <c r="AF137" t="n">
        <v>1.813854</v>
      </c>
      <c r="AG137" s="31" t="n">
        <v>0.01</v>
      </c>
    </row>
    <row r="138">
      <c r="A138" t="inlineStr">
        <is>
          <t>Purchased Electricity</t>
        </is>
      </c>
      <c r="B138" t="inlineStr">
        <is>
          <t>Industrial: Total Industrial Sector Primary Consumption: Purchased Electricity: High Zero-Carbon Technology Cost</t>
        </is>
      </c>
      <c r="C138" t="inlineStr">
        <is>
          <t>AEO.2025.HIGHZTC.CNSM_NA_IDAL_NA_PRC_NA_USA_QBTU.A</t>
        </is>
      </c>
      <c r="D138" t="inlineStr">
        <is>
          <t>quads</t>
        </is>
      </c>
      <c r="F138" t="n">
        <v>3.502195</v>
      </c>
      <c r="G138" t="n">
        <v>3.549062</v>
      </c>
      <c r="H138" t="n">
        <v>3.586465</v>
      </c>
      <c r="I138" t="n">
        <v>3.610595</v>
      </c>
      <c r="J138" t="n">
        <v>3.629297</v>
      </c>
      <c r="K138" t="n">
        <v>3.658409</v>
      </c>
      <c r="L138" t="n">
        <v>3.70751</v>
      </c>
      <c r="M138" t="n">
        <v>3.765488</v>
      </c>
      <c r="N138" t="n">
        <v>3.85005</v>
      </c>
      <c r="O138" t="n">
        <v>3.936687</v>
      </c>
      <c r="P138" t="n">
        <v>4.0514</v>
      </c>
      <c r="Q138" t="n">
        <v>4.164569</v>
      </c>
      <c r="R138" t="n">
        <v>4.262449</v>
      </c>
      <c r="S138" t="n">
        <v>4.341653</v>
      </c>
      <c r="T138" t="n">
        <v>4.40334</v>
      </c>
      <c r="U138" t="n">
        <v>4.463627</v>
      </c>
      <c r="V138" t="n">
        <v>4.534128</v>
      </c>
      <c r="W138" t="n">
        <v>4.596671</v>
      </c>
      <c r="X138" t="n">
        <v>4.653455</v>
      </c>
      <c r="Y138" t="n">
        <v>4.704524</v>
      </c>
      <c r="Z138" t="n">
        <v>4.749178</v>
      </c>
      <c r="AA138" t="n">
        <v>4.793786</v>
      </c>
      <c r="AB138" t="n">
        <v>4.840701</v>
      </c>
      <c r="AC138" t="n">
        <v>4.893797</v>
      </c>
      <c r="AD138" t="n">
        <v>4.937008</v>
      </c>
      <c r="AE138" t="n">
        <v>4.981329</v>
      </c>
      <c r="AF138" t="n">
        <v>5.022687</v>
      </c>
      <c r="AG138" s="31" t="n">
        <v>0.014</v>
      </c>
    </row>
    <row r="139">
      <c r="A139" t="inlineStr">
        <is>
          <t>Delivered Energy</t>
        </is>
      </c>
      <c r="B139" t="inlineStr">
        <is>
          <t>Industrial: Total Industrial Sector Primary Consumption: Delivered Energy: High Zero-Carbon Technology Cost</t>
        </is>
      </c>
      <c r="C139" t="inlineStr">
        <is>
          <t>AEO.2025.HIGHZTC.CNSM_NA_IDAL_NA_DELE_NA_USA_QBTU.A</t>
        </is>
      </c>
      <c r="D139" t="inlineStr">
        <is>
          <t>quads</t>
        </is>
      </c>
      <c r="F139" t="n">
        <v>25.93371</v>
      </c>
      <c r="G139" t="n">
        <v>26.267321</v>
      </c>
      <c r="H139" t="n">
        <v>26.402462</v>
      </c>
      <c r="I139" t="n">
        <v>26.49724</v>
      </c>
      <c r="J139" t="n">
        <v>26.643349</v>
      </c>
      <c r="K139" t="n">
        <v>26.754648</v>
      </c>
      <c r="L139" t="n">
        <v>26.928084</v>
      </c>
      <c r="M139" t="n">
        <v>27.10719</v>
      </c>
      <c r="N139" t="n">
        <v>27.367185</v>
      </c>
      <c r="O139" t="n">
        <v>27.496763</v>
      </c>
      <c r="P139" t="n">
        <v>27.685688</v>
      </c>
      <c r="Q139" t="n">
        <v>27.83594</v>
      </c>
      <c r="R139" t="n">
        <v>28.015003</v>
      </c>
      <c r="S139" t="n">
        <v>28.137313</v>
      </c>
      <c r="T139" t="n">
        <v>28.312293</v>
      </c>
      <c r="U139" t="n">
        <v>28.53545</v>
      </c>
      <c r="V139" t="n">
        <v>28.810229</v>
      </c>
      <c r="W139" t="n">
        <v>28.997826</v>
      </c>
      <c r="X139" t="n">
        <v>29.16836</v>
      </c>
      <c r="Y139" t="n">
        <v>29.351964</v>
      </c>
      <c r="Z139" t="n">
        <v>29.583926</v>
      </c>
      <c r="AA139" t="n">
        <v>29.814756</v>
      </c>
      <c r="AB139" t="n">
        <v>29.996507</v>
      </c>
      <c r="AC139" t="n">
        <v>30.252931</v>
      </c>
      <c r="AD139" t="n">
        <v>30.437208</v>
      </c>
      <c r="AE139" t="n">
        <v>30.659057</v>
      </c>
      <c r="AF139" t="n">
        <v>30.858403</v>
      </c>
      <c r="AG139" s="31" t="n">
        <v>0.007</v>
      </c>
    </row>
    <row r="140">
      <c r="A140" t="inlineStr">
        <is>
          <t>Electricity Related Losses</t>
        </is>
      </c>
      <c r="B140" t="inlineStr">
        <is>
          <t>Industrial: Total Industrial Sector Primary Consumption: Electricity-Related Losses: High Zero-Carbon Technology Cost</t>
        </is>
      </c>
      <c r="C140" t="inlineStr">
        <is>
          <t>AEO.2025.HIGHZTC.CNSM_NA_IDAL_NA_ELECRELOS_NA_USA_QBTU.A</t>
        </is>
      </c>
      <c r="D140" t="inlineStr">
        <is>
          <t>quads</t>
        </is>
      </c>
      <c r="F140" t="n">
        <v>4.977821</v>
      </c>
      <c r="G140" t="n">
        <v>4.891349</v>
      </c>
      <c r="H140" t="n">
        <v>4.648593</v>
      </c>
      <c r="I140" t="n">
        <v>4.501094</v>
      </c>
      <c r="J140" t="n">
        <v>4.424049</v>
      </c>
      <c r="K140" t="n">
        <v>4.381183</v>
      </c>
      <c r="L140" t="n">
        <v>4.26156</v>
      </c>
      <c r="M140" t="n">
        <v>4.189801</v>
      </c>
      <c r="N140" t="n">
        <v>4.006758</v>
      </c>
      <c r="O140" t="n">
        <v>3.963597</v>
      </c>
      <c r="P140" t="n">
        <v>3.931595</v>
      </c>
      <c r="Q140" t="n">
        <v>3.864004</v>
      </c>
      <c r="R140" t="n">
        <v>3.786472</v>
      </c>
      <c r="S140" t="n">
        <v>3.655355</v>
      </c>
      <c r="T140" t="n">
        <v>3.59004</v>
      </c>
      <c r="U140" t="n">
        <v>3.421344</v>
      </c>
      <c r="V140" t="n">
        <v>3.412897</v>
      </c>
      <c r="W140" t="n">
        <v>3.452193</v>
      </c>
      <c r="X140" t="n">
        <v>3.487485</v>
      </c>
      <c r="Y140" t="n">
        <v>3.501267</v>
      </c>
      <c r="Z140" t="n">
        <v>3.515965</v>
      </c>
      <c r="AA140" t="n">
        <v>3.509541</v>
      </c>
      <c r="AB140" t="n">
        <v>3.503932</v>
      </c>
      <c r="AC140" t="n">
        <v>3.514704</v>
      </c>
      <c r="AD140" t="n">
        <v>3.527919</v>
      </c>
      <c r="AE140" t="n">
        <v>3.548693</v>
      </c>
      <c r="AF140" t="n">
        <v>3.539928</v>
      </c>
      <c r="AG140" s="31" t="n">
        <v>-0.013</v>
      </c>
    </row>
    <row r="141">
      <c r="A141" t="inlineStr">
        <is>
          <t>Total</t>
        </is>
      </c>
      <c r="B141" t="inlineStr">
        <is>
          <t>Industrial: Total Industrial Sector Primary Consumption: Total: High Zero-Carbon Technology Cost</t>
        </is>
      </c>
      <c r="C141" t="inlineStr">
        <is>
          <t>AEO.2025.HIGHZTC.CNSM_NA_IDAL_NA_TOT_NA_USA_QBTU.A</t>
        </is>
      </c>
      <c r="D141" t="inlineStr">
        <is>
          <t>quads</t>
        </is>
      </c>
      <c r="F141" t="n">
        <v>30.911531</v>
      </c>
      <c r="G141" t="n">
        <v>31.158671</v>
      </c>
      <c r="H141" t="n">
        <v>31.051055</v>
      </c>
      <c r="I141" t="n">
        <v>30.998334</v>
      </c>
      <c r="J141" t="n">
        <v>31.067399</v>
      </c>
      <c r="K141" t="n">
        <v>31.135831</v>
      </c>
      <c r="L141" t="n">
        <v>31.189644</v>
      </c>
      <c r="M141" t="n">
        <v>31.296992</v>
      </c>
      <c r="N141" t="n">
        <v>31.373943</v>
      </c>
      <c r="O141" t="n">
        <v>31.46036</v>
      </c>
      <c r="P141" t="n">
        <v>31.617283</v>
      </c>
      <c r="Q141" t="n">
        <v>31.699944</v>
      </c>
      <c r="R141" t="n">
        <v>31.801475</v>
      </c>
      <c r="S141" t="n">
        <v>31.792668</v>
      </c>
      <c r="T141" t="n">
        <v>31.902333</v>
      </c>
      <c r="U141" t="n">
        <v>31.956794</v>
      </c>
      <c r="V141" t="n">
        <v>32.223126</v>
      </c>
      <c r="W141" t="n">
        <v>32.450018</v>
      </c>
      <c r="X141" t="n">
        <v>32.655845</v>
      </c>
      <c r="Y141" t="n">
        <v>32.853231</v>
      </c>
      <c r="Z141" t="n">
        <v>33.099891</v>
      </c>
      <c r="AA141" t="n">
        <v>33.324296</v>
      </c>
      <c r="AB141" t="n">
        <v>33.500438</v>
      </c>
      <c r="AC141" t="n">
        <v>33.767636</v>
      </c>
      <c r="AD141" t="n">
        <v>33.965127</v>
      </c>
      <c r="AE141" t="n">
        <v>34.20775</v>
      </c>
      <c r="AF141" t="n">
        <v>34.398332</v>
      </c>
      <c r="AG141" s="31" t="n">
        <v>0.004</v>
      </c>
    </row>
    <row r="142">
      <c r="A142" s="1" t="inlineStr">
        <is>
          <t>Primary Energy Consumption per dollar of Shipments</t>
        </is>
      </c>
    </row>
    <row r="143">
      <c r="A143" t="inlineStr">
        <is>
          <t>(thousand Btu per 2012 dollar)</t>
        </is>
      </c>
    </row>
    <row r="144">
      <c r="A144" t="inlineStr">
        <is>
          <t>Propane Heat and Power</t>
        </is>
      </c>
      <c r="B144" t="inlineStr">
        <is>
          <t>Industrial: Energy Use per dollar of Shipment: Propane Heat and Power: High Zero-Carbon Technology Cost</t>
        </is>
      </c>
      <c r="C144" t="inlineStr">
        <is>
          <t>AEO.2025.HIGHZTC.INY_NA_IDAL_NA_LPGHP_NA_USA_THBTUPY05DLR.A</t>
        </is>
      </c>
      <c r="D144" t="inlineStr">
        <is>
          <t>thousand Btu/2012 $</t>
        </is>
      </c>
      <c r="F144" t="n">
        <v>0.007401</v>
      </c>
      <c r="G144" t="n">
        <v>0.013771</v>
      </c>
      <c r="H144" t="n">
        <v>0.012909</v>
      </c>
      <c r="I144" t="n">
        <v>0.012889</v>
      </c>
      <c r="J144" t="n">
        <v>0.012862</v>
      </c>
      <c r="K144" t="n">
        <v>0.012895</v>
      </c>
      <c r="L144" t="n">
        <v>0.012905</v>
      </c>
      <c r="M144" t="n">
        <v>0.01293</v>
      </c>
      <c r="N144" t="n">
        <v>0.013058</v>
      </c>
      <c r="O144" t="n">
        <v>0.013051</v>
      </c>
      <c r="P144" t="n">
        <v>0.013032</v>
      </c>
      <c r="Q144" t="n">
        <v>0.013045</v>
      </c>
      <c r="R144" t="n">
        <v>0.013081</v>
      </c>
      <c r="S144" t="n">
        <v>0.013135</v>
      </c>
      <c r="T144" t="n">
        <v>0.013177</v>
      </c>
      <c r="U144" t="n">
        <v>0.0132</v>
      </c>
      <c r="V144" t="n">
        <v>0.013186</v>
      </c>
      <c r="W144" t="n">
        <v>0.013144</v>
      </c>
      <c r="X144" t="n">
        <v>0.01311</v>
      </c>
      <c r="Y144" t="n">
        <v>0.013091</v>
      </c>
      <c r="Z144" t="n">
        <v>0.013065</v>
      </c>
      <c r="AA144" t="n">
        <v>0.013054</v>
      </c>
      <c r="AB144" t="n">
        <v>0.013034</v>
      </c>
      <c r="AC144" t="n">
        <v>0.01301</v>
      </c>
      <c r="AD144" t="n">
        <v>0.012996</v>
      </c>
      <c r="AE144" t="n">
        <v>0.012981</v>
      </c>
      <c r="AF144" t="n">
        <v>0.012971</v>
      </c>
      <c r="AG144" s="31" t="n">
        <v>0.022</v>
      </c>
    </row>
    <row r="145">
      <c r="A145" t="inlineStr">
        <is>
          <t>Hydrocarbon Gas Liquid Feedstocks</t>
        </is>
      </c>
      <c r="B145" t="inlineStr">
        <is>
          <t>Industrial: Energy Use per dollar of Shipment: LPG and Other Feedstocks: High Zero-Carbon Technology Cost</t>
        </is>
      </c>
      <c r="C145" t="inlineStr">
        <is>
          <t>AEO.2025.HIGHZTC.INY_NA_IDAL_NA_LPGF_NA_USA_THBTUPY05DLR.A</t>
        </is>
      </c>
      <c r="D145" t="inlineStr">
        <is>
          <t>thousand Btu/2012 $</t>
        </is>
      </c>
      <c r="F145" t="n">
        <v>0.400887</v>
      </c>
      <c r="G145" t="n">
        <v>0.392995</v>
      </c>
      <c r="H145" t="n">
        <v>0.386948</v>
      </c>
      <c r="I145" t="n">
        <v>0.382566</v>
      </c>
      <c r="J145" t="n">
        <v>0.378465</v>
      </c>
      <c r="K145" t="n">
        <v>0.374155</v>
      </c>
      <c r="L145" t="n">
        <v>0.370402</v>
      </c>
      <c r="M145" t="n">
        <v>0.367672</v>
      </c>
      <c r="N145" t="n">
        <v>0.364334</v>
      </c>
      <c r="O145" t="n">
        <v>0.362572</v>
      </c>
      <c r="P145" t="n">
        <v>0.359248</v>
      </c>
      <c r="Q145" t="n">
        <v>0.356083</v>
      </c>
      <c r="R145" t="n">
        <v>0.352977</v>
      </c>
      <c r="S145" t="n">
        <v>0.349727</v>
      </c>
      <c r="T145" t="n">
        <v>0.349869</v>
      </c>
      <c r="U145" t="n">
        <v>0.353652</v>
      </c>
      <c r="V145" t="n">
        <v>0.357675</v>
      </c>
      <c r="W145" t="n">
        <v>0.360717</v>
      </c>
      <c r="X145" t="n">
        <v>0.363616</v>
      </c>
      <c r="Y145" t="n">
        <v>0.365263</v>
      </c>
      <c r="Z145" t="n">
        <v>0.359746</v>
      </c>
      <c r="AA145" t="n">
        <v>0.353013</v>
      </c>
      <c r="AB145" t="n">
        <v>0.353129</v>
      </c>
      <c r="AC145" t="n">
        <v>0.356158</v>
      </c>
      <c r="AD145" t="n">
        <v>0.357634</v>
      </c>
      <c r="AE145" t="n">
        <v>0.35156</v>
      </c>
      <c r="AF145" t="n">
        <v>0.346019</v>
      </c>
      <c r="AG145" s="31" t="n">
        <v>-0.006</v>
      </c>
    </row>
    <row r="146">
      <c r="A146" t="inlineStr">
        <is>
          <t>Motor Gasoline</t>
        </is>
      </c>
      <c r="B146" t="inlineStr">
        <is>
          <t>Industrial: Energy Use per dollar of Shipment: Motor Gasoline: High Zero-Carbon Technology Cost</t>
        </is>
      </c>
      <c r="C146" t="inlineStr">
        <is>
          <t>AEO.2025.HIGHZTC.INY_NA_IDAL_NA_MGS_NA_USA_THBTUPY05DLR.A</t>
        </is>
      </c>
      <c r="D146" t="inlineStr">
        <is>
          <t>thousand Btu/2012 $</t>
        </is>
      </c>
      <c r="F146" t="n">
        <v>0.032358</v>
      </c>
      <c r="G146" t="n">
        <v>0.032122</v>
      </c>
      <c r="H146" t="n">
        <v>0.031958</v>
      </c>
      <c r="I146" t="n">
        <v>0.031984</v>
      </c>
      <c r="J146" t="n">
        <v>0.032119</v>
      </c>
      <c r="K146" t="n">
        <v>0.032307</v>
      </c>
      <c r="L146" t="n">
        <v>0.032426</v>
      </c>
      <c r="M146" t="n">
        <v>0.032522</v>
      </c>
      <c r="N146" t="n">
        <v>0.032544</v>
      </c>
      <c r="O146" t="n">
        <v>0.032572</v>
      </c>
      <c r="P146" t="n">
        <v>0.032474</v>
      </c>
      <c r="Q146" t="n">
        <v>0.032477</v>
      </c>
      <c r="R146" t="n">
        <v>0.032513</v>
      </c>
      <c r="S146" t="n">
        <v>0.032446</v>
      </c>
      <c r="T146" t="n">
        <v>0.032385</v>
      </c>
      <c r="U146" t="n">
        <v>0.032296</v>
      </c>
      <c r="V146" t="n">
        <v>0.032186</v>
      </c>
      <c r="W146" t="n">
        <v>0.032077</v>
      </c>
      <c r="X146" t="n">
        <v>0.031995</v>
      </c>
      <c r="Y146" t="n">
        <v>0.03192</v>
      </c>
      <c r="Z146" t="n">
        <v>0.031836</v>
      </c>
      <c r="AA146" t="n">
        <v>0.031828</v>
      </c>
      <c r="AB146" t="n">
        <v>0.031812</v>
      </c>
      <c r="AC146" t="n">
        <v>0.031765</v>
      </c>
      <c r="AD146" t="n">
        <v>0.031748</v>
      </c>
      <c r="AE146" t="n">
        <v>0.031735</v>
      </c>
      <c r="AF146" t="n">
        <v>0.031744</v>
      </c>
      <c r="AG146" s="31" t="n">
        <v>-0.001</v>
      </c>
    </row>
    <row r="147">
      <c r="A147" t="inlineStr">
        <is>
          <t>Distillate Fuel Oil</t>
        </is>
      </c>
      <c r="B147" t="inlineStr">
        <is>
          <t>Industrial: Energy Use per dollar of Shipment: Distillate Fuel Oil: High Zero-Carbon Technology Cost</t>
        </is>
      </c>
      <c r="C147" t="inlineStr">
        <is>
          <t>AEO.2025.HIGHZTC.INY_NA_IDAL_NA_DFO_NA_USA_THBTUPY05DLR.A</t>
        </is>
      </c>
      <c r="D147" t="inlineStr">
        <is>
          <t>thousand Btu/2012 $</t>
        </is>
      </c>
      <c r="F147" t="n">
        <v>0.131138</v>
      </c>
      <c r="G147" t="n">
        <v>0.129704</v>
      </c>
      <c r="H147" t="n">
        <v>0.128929</v>
      </c>
      <c r="I147" t="n">
        <v>0.128827</v>
      </c>
      <c r="J147" t="n">
        <v>0.129207</v>
      </c>
      <c r="K147" t="n">
        <v>0.129812</v>
      </c>
      <c r="L147" t="n">
        <v>0.130154</v>
      </c>
      <c r="M147" t="n">
        <v>0.130643</v>
      </c>
      <c r="N147" t="n">
        <v>0.130922</v>
      </c>
      <c r="O147" t="n">
        <v>0.131114</v>
      </c>
      <c r="P147" t="n">
        <v>0.130951</v>
      </c>
      <c r="Q147" t="n">
        <v>0.131036</v>
      </c>
      <c r="R147" t="n">
        <v>0.131119</v>
      </c>
      <c r="S147" t="n">
        <v>0.13101</v>
      </c>
      <c r="T147" t="n">
        <v>0.130891</v>
      </c>
      <c r="U147" t="n">
        <v>0.130551</v>
      </c>
      <c r="V147" t="n">
        <v>0.130118</v>
      </c>
      <c r="W147" t="n">
        <v>0.129624</v>
      </c>
      <c r="X147" t="n">
        <v>0.129124</v>
      </c>
      <c r="Y147" t="n">
        <v>0.128775</v>
      </c>
      <c r="Z147" t="n">
        <v>0.12836</v>
      </c>
      <c r="AA147" t="n">
        <v>0.128079</v>
      </c>
      <c r="AB147" t="n">
        <v>0.127821</v>
      </c>
      <c r="AC147" t="n">
        <v>0.127463</v>
      </c>
      <c r="AD147" t="n">
        <v>0.127117</v>
      </c>
      <c r="AE147" t="n">
        <v>0.12687</v>
      </c>
      <c r="AF147" t="n">
        <v>0.126703</v>
      </c>
      <c r="AG147" s="31" t="n">
        <v>-0.001</v>
      </c>
    </row>
    <row r="148">
      <c r="A148" t="inlineStr">
        <is>
          <t>Residual Fuel Oil</t>
        </is>
      </c>
      <c r="B148" t="inlineStr">
        <is>
          <t>Industrial: Energy Use per dollar of Shipment: Residual Fuel Oil: High Zero-Carbon Technology Cost</t>
        </is>
      </c>
      <c r="C148" t="inlineStr">
        <is>
          <t>AEO.2025.HIGHZTC.INY_NA_IDAL_NA_RFO_NA_USA_THBTUPY05DLR.A</t>
        </is>
      </c>
      <c r="D148" t="inlineStr">
        <is>
          <t>thousand Btu/2012 $</t>
        </is>
      </c>
      <c r="F148" t="n">
        <v>0.004736</v>
      </c>
      <c r="G148" t="n">
        <v>0.004727</v>
      </c>
      <c r="H148" t="n">
        <v>0.004572</v>
      </c>
      <c r="I148" t="n">
        <v>0.004385</v>
      </c>
      <c r="J148" t="n">
        <v>0.004199</v>
      </c>
      <c r="K148" t="n">
        <v>0.004008</v>
      </c>
      <c r="L148" t="n">
        <v>0.00384</v>
      </c>
      <c r="M148" t="n">
        <v>0.003723</v>
      </c>
      <c r="N148" t="n">
        <v>0.003648</v>
      </c>
      <c r="O148" t="n">
        <v>0.00358</v>
      </c>
      <c r="P148" t="n">
        <v>0.003512</v>
      </c>
      <c r="Q148" t="n">
        <v>0.003436</v>
      </c>
      <c r="R148" t="n">
        <v>0.003356</v>
      </c>
      <c r="S148" t="n">
        <v>0.003275</v>
      </c>
      <c r="T148" t="n">
        <v>0.0032</v>
      </c>
      <c r="U148" t="n">
        <v>0.00313</v>
      </c>
      <c r="V148" t="n">
        <v>0.00307</v>
      </c>
      <c r="W148" t="n">
        <v>0.00302</v>
      </c>
      <c r="X148" t="n">
        <v>0.002968</v>
      </c>
      <c r="Y148" t="n">
        <v>0.002922</v>
      </c>
      <c r="Z148" t="n">
        <v>0.002881</v>
      </c>
      <c r="AA148" t="n">
        <v>0.002839</v>
      </c>
      <c r="AB148" t="n">
        <v>0.002784</v>
      </c>
      <c r="AC148" t="n">
        <v>0.002735</v>
      </c>
      <c r="AD148" t="n">
        <v>0.002687</v>
      </c>
      <c r="AE148" t="n">
        <v>0.00264</v>
      </c>
      <c r="AF148" t="n">
        <v>0.002583</v>
      </c>
      <c r="AG148" s="31" t="n">
        <v>-0.023</v>
      </c>
    </row>
    <row r="149">
      <c r="A149" t="inlineStr">
        <is>
          <t>Petrochemical Feedstocks</t>
        </is>
      </c>
      <c r="B149" t="inlineStr">
        <is>
          <t>Industrial: Energy Use per dollar of Shipment: Petrochemical Feedstocks: High Zero-Carbon Technology Cost</t>
        </is>
      </c>
      <c r="C149" t="inlineStr">
        <is>
          <t>AEO.2025.HIGHZTC.INY_NA_IDAL_NA_PCF_NA_USA_THBTUPY05DLR.A</t>
        </is>
      </c>
      <c r="D149" t="inlineStr">
        <is>
          <t>thousand Btu/2012 $</t>
        </is>
      </c>
      <c r="F149" t="n">
        <v>0.044923</v>
      </c>
      <c r="G149" t="n">
        <v>0.039977</v>
      </c>
      <c r="H149" t="n">
        <v>0.060949</v>
      </c>
      <c r="I149" t="n">
        <v>0.060195</v>
      </c>
      <c r="J149" t="n">
        <v>0.059458</v>
      </c>
      <c r="K149" t="n">
        <v>0.058709</v>
      </c>
      <c r="L149" t="n">
        <v>0.05807</v>
      </c>
      <c r="M149" t="n">
        <v>0.057626</v>
      </c>
      <c r="N149" t="n">
        <v>0.057105</v>
      </c>
      <c r="O149" t="n">
        <v>0.056813</v>
      </c>
      <c r="P149" t="n">
        <v>0.056358</v>
      </c>
      <c r="Q149" t="n">
        <v>0.055933</v>
      </c>
      <c r="R149" t="n">
        <v>0.055494</v>
      </c>
      <c r="S149" t="n">
        <v>0.05508</v>
      </c>
      <c r="T149" t="n">
        <v>0.054654</v>
      </c>
      <c r="U149" t="n">
        <v>0.054206</v>
      </c>
      <c r="V149" t="n">
        <v>0.05371</v>
      </c>
      <c r="W149" t="n">
        <v>0.053293</v>
      </c>
      <c r="X149" t="n">
        <v>0.052837</v>
      </c>
      <c r="Y149" t="n">
        <v>0.052467</v>
      </c>
      <c r="Z149" t="n">
        <v>0.06583899999999999</v>
      </c>
      <c r="AA149" t="n">
        <v>0.078956</v>
      </c>
      <c r="AB149" t="n">
        <v>0.078197</v>
      </c>
      <c r="AC149" t="n">
        <v>0.07739600000000001</v>
      </c>
      <c r="AD149" t="n">
        <v>0.076681</v>
      </c>
      <c r="AE149" t="n">
        <v>0.08701399999999999</v>
      </c>
      <c r="AF149" t="n">
        <v>0.097284</v>
      </c>
      <c r="AG149" s="31" t="n">
        <v>0.03</v>
      </c>
    </row>
    <row r="150">
      <c r="A150" t="inlineStr">
        <is>
          <t>Petroleum Coke</t>
        </is>
      </c>
      <c r="B150" t="inlineStr">
        <is>
          <t>Industrial: Energy Use per dollar of Shipment: Petroleum Coke: High Zero-Carbon Technology Cost</t>
        </is>
      </c>
      <c r="C150" t="inlineStr">
        <is>
          <t>AEO.2025.HIGHZTC.INY_NA_IDAL_NA_PCK_NA_USA_THBTUPY05DLR.A</t>
        </is>
      </c>
      <c r="D150" t="inlineStr">
        <is>
          <t>thousand Btu/2012 $</t>
        </is>
      </c>
      <c r="F150" t="n">
        <v>0.056325</v>
      </c>
      <c r="G150" t="n">
        <v>0.057432</v>
      </c>
      <c r="H150" t="n">
        <v>0.05733</v>
      </c>
      <c r="I150" t="n">
        <v>0.056581</v>
      </c>
      <c r="J150" t="n">
        <v>0.055799</v>
      </c>
      <c r="K150" t="n">
        <v>0.054813</v>
      </c>
      <c r="L150" t="n">
        <v>0.054013</v>
      </c>
      <c r="M150" t="n">
        <v>0.0532</v>
      </c>
      <c r="N150" t="n">
        <v>0.051721</v>
      </c>
      <c r="O150" t="n">
        <v>0.051238</v>
      </c>
      <c r="P150" t="n">
        <v>0.050556</v>
      </c>
      <c r="Q150" t="n">
        <v>0.049503</v>
      </c>
      <c r="R150" t="n">
        <v>0.049017</v>
      </c>
      <c r="S150" t="n">
        <v>0.048325</v>
      </c>
      <c r="T150" t="n">
        <v>0.047049</v>
      </c>
      <c r="U150" t="n">
        <v>0.046471</v>
      </c>
      <c r="V150" t="n">
        <v>0.0464</v>
      </c>
      <c r="W150" t="n">
        <v>0.045441</v>
      </c>
      <c r="X150" t="n">
        <v>0.044277</v>
      </c>
      <c r="Y150" t="n">
        <v>0.044594</v>
      </c>
      <c r="Z150" t="n">
        <v>0.044124</v>
      </c>
      <c r="AA150" t="n">
        <v>0.0436</v>
      </c>
      <c r="AB150" t="n">
        <v>0.043158</v>
      </c>
      <c r="AC150" t="n">
        <v>0.043105</v>
      </c>
      <c r="AD150" t="n">
        <v>0.042835</v>
      </c>
      <c r="AE150" t="n">
        <v>0.041947</v>
      </c>
      <c r="AF150" t="n">
        <v>0.041419</v>
      </c>
      <c r="AG150" s="31" t="n">
        <v>-0.012</v>
      </c>
    </row>
    <row r="151">
      <c r="A151" t="inlineStr">
        <is>
          <t>Asphalt and Road Oil</t>
        </is>
      </c>
      <c r="B151" t="inlineStr">
        <is>
          <t>Industrial: Energy Use per dollar of Shipment: Asphalt and Road Oil: High Zero-Carbon Technology Cost</t>
        </is>
      </c>
      <c r="C151" t="inlineStr">
        <is>
          <t>AEO.2025.HIGHZTC.INY_NA_IDAL_NA_ARO_NA_USA_THBTUPY05DLR.A</t>
        </is>
      </c>
      <c r="D151" t="inlineStr">
        <is>
          <t>thousand Btu/2012 $</t>
        </is>
      </c>
      <c r="F151" t="n">
        <v>0.10098</v>
      </c>
      <c r="G151" t="n">
        <v>0.098903</v>
      </c>
      <c r="H151" t="n">
        <v>0.098201</v>
      </c>
      <c r="I151" t="n">
        <v>0.098854</v>
      </c>
      <c r="J151" t="n">
        <v>0.097881</v>
      </c>
      <c r="K151" t="n">
        <v>0.09729699999999999</v>
      </c>
      <c r="L151" t="n">
        <v>0.096987</v>
      </c>
      <c r="M151" t="n">
        <v>0.096854</v>
      </c>
      <c r="N151" t="n">
        <v>0.095625</v>
      </c>
      <c r="O151" t="n">
        <v>0.095327</v>
      </c>
      <c r="P151" t="n">
        <v>0.094707</v>
      </c>
      <c r="Q151" t="n">
        <v>0.09438299999999999</v>
      </c>
      <c r="R151" t="n">
        <v>0.094037</v>
      </c>
      <c r="S151" t="n">
        <v>0.09359199999999999</v>
      </c>
      <c r="T151" t="n">
        <v>0.093142</v>
      </c>
      <c r="U151" t="n">
        <v>0.092683</v>
      </c>
      <c r="V151" t="n">
        <v>0.09213399999999999</v>
      </c>
      <c r="W151" t="n">
        <v>0.0916</v>
      </c>
      <c r="X151" t="n">
        <v>0.09086900000000001</v>
      </c>
      <c r="Y151" t="n">
        <v>0.090402</v>
      </c>
      <c r="Z151" t="n">
        <v>0.089777</v>
      </c>
      <c r="AA151" t="n">
        <v>0.08923300000000001</v>
      </c>
      <c r="AB151" t="n">
        <v>0.08874</v>
      </c>
      <c r="AC151" t="n">
        <v>0.087899</v>
      </c>
      <c r="AD151" t="n">
        <v>0.08712399999999999</v>
      </c>
      <c r="AE151" t="n">
        <v>0.08630599999999999</v>
      </c>
      <c r="AF151" t="n">
        <v>0.085532</v>
      </c>
      <c r="AG151" s="31" t="n">
        <v>-0.006</v>
      </c>
    </row>
    <row r="152">
      <c r="A152" t="inlineStr">
        <is>
          <t>Still Gas</t>
        </is>
      </c>
      <c r="B152" t="inlineStr">
        <is>
          <t>Industrial: Energy Use per dollar of Shipment: Still Gas: High Zero-Carbon Technology Cost</t>
        </is>
      </c>
      <c r="C152" t="inlineStr">
        <is>
          <t>AEO.2025.HIGHZTC.INY_NA_IDAL_NA_SLG_NA_USA_THBTUPY05DLR.A</t>
        </is>
      </c>
      <c r="D152" t="inlineStr">
        <is>
          <t>thousand Btu/2012 $</t>
        </is>
      </c>
      <c r="F152" t="n">
        <v>0.160013</v>
      </c>
      <c r="G152" t="n">
        <v>0.156647</v>
      </c>
      <c r="H152" t="n">
        <v>0.14639</v>
      </c>
      <c r="I152" t="n">
        <v>0.144233</v>
      </c>
      <c r="J152" t="n">
        <v>0.14576</v>
      </c>
      <c r="K152" t="n">
        <v>0.141233</v>
      </c>
      <c r="L152" t="n">
        <v>0.141476</v>
      </c>
      <c r="M152" t="n">
        <v>0.140756</v>
      </c>
      <c r="N152" t="n">
        <v>0.139559</v>
      </c>
      <c r="O152" t="n">
        <v>0.136481</v>
      </c>
      <c r="P152" t="n">
        <v>0.135523</v>
      </c>
      <c r="Q152" t="n">
        <v>0.133164</v>
      </c>
      <c r="R152" t="n">
        <v>0.133288</v>
      </c>
      <c r="S152" t="n">
        <v>0.132397</v>
      </c>
      <c r="T152" t="n">
        <v>0.131466</v>
      </c>
      <c r="U152" t="n">
        <v>0.130827</v>
      </c>
      <c r="V152" t="n">
        <v>0.130087</v>
      </c>
      <c r="W152" t="n">
        <v>0.129321</v>
      </c>
      <c r="X152" t="n">
        <v>0.126698</v>
      </c>
      <c r="Y152" t="n">
        <v>0.12725</v>
      </c>
      <c r="Z152" t="n">
        <v>0.125911</v>
      </c>
      <c r="AA152" t="n">
        <v>0.124808</v>
      </c>
      <c r="AB152" t="n">
        <v>0.124099</v>
      </c>
      <c r="AC152" t="n">
        <v>0.123754</v>
      </c>
      <c r="AD152" t="n">
        <v>0.122152</v>
      </c>
      <c r="AE152" t="n">
        <v>0.120723</v>
      </c>
      <c r="AF152" t="n">
        <v>0.118526</v>
      </c>
      <c r="AG152" s="31" t="n">
        <v>-0.011</v>
      </c>
    </row>
    <row r="153">
      <c r="A153" t="inlineStr">
        <is>
          <t>Miscellaneous Petroleum</t>
        </is>
      </c>
      <c r="B153" t="inlineStr">
        <is>
          <t>Industrial: Energy Use per dollar of Shipment: Miscellaneous Petroleum: High Zero-Carbon Technology Cost</t>
        </is>
      </c>
      <c r="C153" t="inlineStr">
        <is>
          <t>AEO.2025.HIGHZTC.INY_NA_IDAL_NA_MPET_NA_USA_THBTUPY05DLR.A</t>
        </is>
      </c>
      <c r="D153" t="inlineStr">
        <is>
          <t>thousand Btu/2012 $</t>
        </is>
      </c>
      <c r="F153" t="n">
        <v>0.036292</v>
      </c>
      <c r="G153" t="n">
        <v>0.037695</v>
      </c>
      <c r="H153" t="n">
        <v>0.038757</v>
      </c>
      <c r="I153" t="n">
        <v>0.039864</v>
      </c>
      <c r="J153" t="n">
        <v>0.040884</v>
      </c>
      <c r="K153" t="n">
        <v>0.041807</v>
      </c>
      <c r="L153" t="n">
        <v>0.042658</v>
      </c>
      <c r="M153" t="n">
        <v>0.043606</v>
      </c>
      <c r="N153" t="n">
        <v>0.044438</v>
      </c>
      <c r="O153" t="n">
        <v>0.045225</v>
      </c>
      <c r="P153" t="n">
        <v>0.046181</v>
      </c>
      <c r="Q153" t="n">
        <v>0.047276</v>
      </c>
      <c r="R153" t="n">
        <v>0.046861</v>
      </c>
      <c r="S153" t="n">
        <v>0.04694</v>
      </c>
      <c r="T153" t="n">
        <v>0.047157</v>
      </c>
      <c r="U153" t="n">
        <v>0.047242</v>
      </c>
      <c r="V153" t="n">
        <v>0.047405</v>
      </c>
      <c r="W153" t="n">
        <v>0.047992</v>
      </c>
      <c r="X153" t="n">
        <v>0.048744</v>
      </c>
      <c r="Y153" t="n">
        <v>0.047727</v>
      </c>
      <c r="Z153" t="n">
        <v>0.047771</v>
      </c>
      <c r="AA153" t="n">
        <v>0.047308</v>
      </c>
      <c r="AB153" t="n">
        <v>0.047177</v>
      </c>
      <c r="AC153" t="n">
        <v>0.047015</v>
      </c>
      <c r="AD153" t="n">
        <v>0.046887</v>
      </c>
      <c r="AE153" t="n">
        <v>0.046759</v>
      </c>
      <c r="AF153" t="n">
        <v>0.04657</v>
      </c>
      <c r="AG153" s="31" t="n">
        <v>0.01</v>
      </c>
    </row>
    <row r="154">
      <c r="A154" t="inlineStr">
        <is>
          <t>Petroleum and Other Liquids Subtotal</t>
        </is>
      </c>
      <c r="B154" t="inlineStr">
        <is>
          <t>Industrial: Energy Use per dollar of Shipment: Petroleum Subtotal: High Zero-Carbon Technology Cost</t>
        </is>
      </c>
      <c r="C154" t="inlineStr">
        <is>
          <t>AEO.2025.HIGHZTC.INY_NA_IDAL_NA_PET_NA_USA_THBTUPY05DLR.A</t>
        </is>
      </c>
      <c r="D154" t="inlineStr">
        <is>
          <t>thousand Btu/2012 $</t>
        </is>
      </c>
      <c r="F154" t="n">
        <v>0.975052</v>
      </c>
      <c r="G154" t="n">
        <v>0.963974</v>
      </c>
      <c r="H154" t="n">
        <v>0.966943</v>
      </c>
      <c r="I154" t="n">
        <v>0.960377</v>
      </c>
      <c r="J154" t="n">
        <v>0.956633</v>
      </c>
      <c r="K154" t="n">
        <v>0.947036</v>
      </c>
      <c r="L154" t="n">
        <v>0.942928</v>
      </c>
      <c r="M154" t="n">
        <v>0.939533</v>
      </c>
      <c r="N154" t="n">
        <v>0.932953</v>
      </c>
      <c r="O154" t="n">
        <v>0.927972</v>
      </c>
      <c r="P154" t="n">
        <v>0.922542</v>
      </c>
      <c r="Q154" t="n">
        <v>0.916336</v>
      </c>
      <c r="R154" t="n">
        <v>0.911744</v>
      </c>
      <c r="S154" t="n">
        <v>0.905927</v>
      </c>
      <c r="T154" t="n">
        <v>0.902989</v>
      </c>
      <c r="U154" t="n">
        <v>0.904258</v>
      </c>
      <c r="V154" t="n">
        <v>0.905971</v>
      </c>
      <c r="W154" t="n">
        <v>0.906229</v>
      </c>
      <c r="X154" t="n">
        <v>0.904237</v>
      </c>
      <c r="Y154" t="n">
        <v>0.904411</v>
      </c>
      <c r="Z154" t="n">
        <v>0.90931</v>
      </c>
      <c r="AA154" t="n">
        <v>0.9127189999999999</v>
      </c>
      <c r="AB154" t="n">
        <v>0.90995</v>
      </c>
      <c r="AC154" t="n">
        <v>0.910301</v>
      </c>
      <c r="AD154" t="n">
        <v>0.907859</v>
      </c>
      <c r="AE154" t="n">
        <v>0.908535</v>
      </c>
      <c r="AF154" t="n">
        <v>0.90935</v>
      </c>
      <c r="AG154" s="31" t="n">
        <v>-0.003</v>
      </c>
    </row>
    <row r="155">
      <c r="A155" t="inlineStr">
        <is>
          <t>Natural Gas Heat and Power</t>
        </is>
      </c>
      <c r="B155" t="inlineStr">
        <is>
          <t>Industrial: Energy Use per dollar of Shipment: Natural Gas Heat and Power: High Zero-Carbon Technology Cost</t>
        </is>
      </c>
      <c r="C155" t="inlineStr">
        <is>
          <t>AEO.2025.HIGHZTC.INY_NA_IDAL_NA_NHP_NA_USA_THBTUPY05DLR.A</t>
        </is>
      </c>
      <c r="D155" t="inlineStr">
        <is>
          <t>thousand Btu/2012 $</t>
        </is>
      </c>
      <c r="F155" t="n">
        <v>0.884872</v>
      </c>
      <c r="G155" t="n">
        <v>0.875169</v>
      </c>
      <c r="H155" t="n">
        <v>0.8384819999999999</v>
      </c>
      <c r="I155" t="n">
        <v>0.829507</v>
      </c>
      <c r="J155" t="n">
        <v>0.820685</v>
      </c>
      <c r="K155" t="n">
        <v>0.812831</v>
      </c>
      <c r="L155" t="n">
        <v>0.8061970000000001</v>
      </c>
      <c r="M155" t="n">
        <v>0.803989</v>
      </c>
      <c r="N155" t="n">
        <v>0.796802</v>
      </c>
      <c r="O155" t="n">
        <v>0.790879</v>
      </c>
      <c r="P155" t="n">
        <v>0.781795</v>
      </c>
      <c r="Q155" t="n">
        <v>0.77362</v>
      </c>
      <c r="R155" t="n">
        <v>0.7668970000000001</v>
      </c>
      <c r="S155" t="n">
        <v>0.761113</v>
      </c>
      <c r="T155" t="n">
        <v>0.758103</v>
      </c>
      <c r="U155" t="n">
        <v>0.755753</v>
      </c>
      <c r="V155" t="n">
        <v>0.752785</v>
      </c>
      <c r="W155" t="n">
        <v>0.748304</v>
      </c>
      <c r="X155" t="n">
        <v>0.7436199999999999</v>
      </c>
      <c r="Y155" t="n">
        <v>0.741999</v>
      </c>
      <c r="Z155" t="n">
        <v>0.738146</v>
      </c>
      <c r="AA155" t="n">
        <v>0.734052</v>
      </c>
      <c r="AB155" t="n">
        <v>0.7294350000000001</v>
      </c>
      <c r="AC155" t="n">
        <v>0.726492</v>
      </c>
      <c r="AD155" t="n">
        <v>0.723094</v>
      </c>
      <c r="AE155" t="n">
        <v>0.718691</v>
      </c>
      <c r="AF155" t="n">
        <v>0.7144740000000001</v>
      </c>
      <c r="AG155" s="31" t="n">
        <v>-0.008</v>
      </c>
    </row>
    <row r="156">
      <c r="A156" t="inlineStr">
        <is>
          <t>Natural Gas Feedstock</t>
        </is>
      </c>
      <c r="B156" t="inlineStr">
        <is>
          <t>Industrial: Energy Use per dollar of Shipment: Natural Gas Feedstock: High Zero-Carbon Technology Cost</t>
        </is>
      </c>
      <c r="C156" t="inlineStr">
        <is>
          <t>AEO.2025.HIGHZTC.INY_NA_IDAL_NA_NFS_NA_USA_THBTUPY05DLR.A</t>
        </is>
      </c>
      <c r="D156" t="inlineStr">
        <is>
          <t>thousand Btu/2012 $</t>
        </is>
      </c>
      <c r="F156" t="n">
        <v>0.134747</v>
      </c>
      <c r="G156" t="n">
        <v>0.137684</v>
      </c>
      <c r="H156" t="n">
        <v>0.136276</v>
      </c>
      <c r="I156" t="n">
        <v>0.135183</v>
      </c>
      <c r="J156" t="n">
        <v>0.133567</v>
      </c>
      <c r="K156" t="n">
        <v>0.132911</v>
      </c>
      <c r="L156" t="n">
        <v>0.133767</v>
      </c>
      <c r="M156" t="n">
        <v>0.137269</v>
      </c>
      <c r="N156" t="n">
        <v>0.146017</v>
      </c>
      <c r="O156" t="n">
        <v>0.152424</v>
      </c>
      <c r="P156" t="n">
        <v>0.158465</v>
      </c>
      <c r="Q156" t="n">
        <v>0.164167</v>
      </c>
      <c r="R156" t="n">
        <v>0.169257</v>
      </c>
      <c r="S156" t="n">
        <v>0.17424</v>
      </c>
      <c r="T156" t="n">
        <v>0.17886</v>
      </c>
      <c r="U156" t="n">
        <v>0.18289</v>
      </c>
      <c r="V156" t="n">
        <v>0.186322</v>
      </c>
      <c r="W156" t="n">
        <v>0.18938</v>
      </c>
      <c r="X156" t="n">
        <v>0.191723</v>
      </c>
      <c r="Y156" t="n">
        <v>0.194386</v>
      </c>
      <c r="Z156" t="n">
        <v>0.197089</v>
      </c>
      <c r="AA156" t="n">
        <v>0.199296</v>
      </c>
      <c r="AB156" t="n">
        <v>0.200232</v>
      </c>
      <c r="AC156" t="n">
        <v>0.200608</v>
      </c>
      <c r="AD156" t="n">
        <v>0.201078</v>
      </c>
      <c r="AE156" t="n">
        <v>0.20091</v>
      </c>
      <c r="AF156" t="n">
        <v>0.201413</v>
      </c>
      <c r="AG156" s="31" t="n">
        <v>0.016</v>
      </c>
    </row>
    <row r="157">
      <c r="A157" t="inlineStr">
        <is>
          <t>Lease and Plant Fuel</t>
        </is>
      </c>
      <c r="B157" t="inlineStr">
        <is>
          <t>Industrial: Energy Use per dollar of Shipment: Lease and Plant Fuel: High Zero-Carbon Technology Cost</t>
        </is>
      </c>
      <c r="C157" t="inlineStr">
        <is>
          <t>AEO.2025.HIGHZTC.INY_NA_IDAL_NA_LSAPFL_NA_USA_THBTUPY05DLR.A</t>
        </is>
      </c>
      <c r="D157" t="inlineStr">
        <is>
          <t>thousand Btu/2012 $</t>
        </is>
      </c>
      <c r="F157" t="n">
        <v>0.235275</v>
      </c>
      <c r="G157" t="n">
        <v>0.231103</v>
      </c>
      <c r="H157" t="n">
        <v>0.238429</v>
      </c>
      <c r="I157" t="n">
        <v>0.236449</v>
      </c>
      <c r="J157" t="n">
        <v>0.238479</v>
      </c>
      <c r="K157" t="n">
        <v>0.237696</v>
      </c>
      <c r="L157" t="n">
        <v>0.236295</v>
      </c>
      <c r="M157" t="n">
        <v>0.233918</v>
      </c>
      <c r="N157" t="n">
        <v>0.237304</v>
      </c>
      <c r="O157" t="n">
        <v>0.237473</v>
      </c>
      <c r="P157" t="n">
        <v>0.23707</v>
      </c>
      <c r="Q157" t="n">
        <v>0.234411</v>
      </c>
      <c r="R157" t="n">
        <v>0.231695</v>
      </c>
      <c r="S157" t="n">
        <v>0.227495</v>
      </c>
      <c r="T157" t="n">
        <v>0.22514</v>
      </c>
      <c r="U157" t="n">
        <v>0.221407</v>
      </c>
      <c r="V157" t="n">
        <v>0.219737</v>
      </c>
      <c r="W157" t="n">
        <v>0.219038</v>
      </c>
      <c r="X157" t="n">
        <v>0.218186</v>
      </c>
      <c r="Y157" t="n">
        <v>0.217085</v>
      </c>
      <c r="Z157" t="n">
        <v>0.215683</v>
      </c>
      <c r="AA157" t="n">
        <v>0.214228</v>
      </c>
      <c r="AB157" t="n">
        <v>0.213027</v>
      </c>
      <c r="AC157" t="n">
        <v>0.211723</v>
      </c>
      <c r="AD157" t="n">
        <v>0.210188</v>
      </c>
      <c r="AE157" t="n">
        <v>0.208604</v>
      </c>
      <c r="AF157" t="n">
        <v>0.207466</v>
      </c>
      <c r="AG157" s="31" t="n">
        <v>-0.005</v>
      </c>
    </row>
    <row r="158">
      <c r="A158" t="inlineStr">
        <is>
          <t>Natural Gas Subtotal</t>
        </is>
      </c>
      <c r="B158" t="inlineStr">
        <is>
          <t>Industrial: Energy Use per dollar of Shipment: Natural Gas Subtotal: High Zero-Carbon Technology Cost</t>
        </is>
      </c>
      <c r="C158" t="inlineStr">
        <is>
          <t>AEO.2025.HIGHZTC.INY_NA_IDAL_NA_NGS_NA_USA_THBTUPY05DLR.A</t>
        </is>
      </c>
      <c r="D158" t="inlineStr">
        <is>
          <t>thousand Btu/2012 $</t>
        </is>
      </c>
      <c r="F158" t="n">
        <v>1.254893</v>
      </c>
      <c r="G158" t="n">
        <v>1.243956</v>
      </c>
      <c r="H158" t="n">
        <v>1.213187</v>
      </c>
      <c r="I158" t="n">
        <v>1.201139</v>
      </c>
      <c r="J158" t="n">
        <v>1.192731</v>
      </c>
      <c r="K158" t="n">
        <v>1.183437</v>
      </c>
      <c r="L158" t="n">
        <v>1.176258</v>
      </c>
      <c r="M158" t="n">
        <v>1.175176</v>
      </c>
      <c r="N158" t="n">
        <v>1.180122</v>
      </c>
      <c r="O158" t="n">
        <v>1.180776</v>
      </c>
      <c r="P158" t="n">
        <v>1.177329</v>
      </c>
      <c r="Q158" t="n">
        <v>1.172198</v>
      </c>
      <c r="R158" t="n">
        <v>1.16785</v>
      </c>
      <c r="S158" t="n">
        <v>1.162848</v>
      </c>
      <c r="T158" t="n">
        <v>1.162103</v>
      </c>
      <c r="U158" t="n">
        <v>1.160051</v>
      </c>
      <c r="V158" t="n">
        <v>1.158844</v>
      </c>
      <c r="W158" t="n">
        <v>1.156722</v>
      </c>
      <c r="X158" t="n">
        <v>1.153528</v>
      </c>
      <c r="Y158" t="n">
        <v>1.15347</v>
      </c>
      <c r="Z158" t="n">
        <v>1.150918</v>
      </c>
      <c r="AA158" t="n">
        <v>1.147576</v>
      </c>
      <c r="AB158" t="n">
        <v>1.142693</v>
      </c>
      <c r="AC158" t="n">
        <v>1.138823</v>
      </c>
      <c r="AD158" t="n">
        <v>1.13436</v>
      </c>
      <c r="AE158" t="n">
        <v>1.128205</v>
      </c>
      <c r="AF158" t="n">
        <v>1.123352</v>
      </c>
      <c r="AG158" s="31" t="n">
        <v>-0.004</v>
      </c>
    </row>
    <row r="159">
      <c r="A159" t="inlineStr">
        <is>
          <t>Metallurgical Coal and Coke</t>
        </is>
      </c>
      <c r="B159" t="inlineStr">
        <is>
          <t>Industrial: Energy Use per dollar of Shipment: Metallurgical Coal and Coke: High Zero-Carbon Technology Cost</t>
        </is>
      </c>
      <c r="C159" t="inlineStr">
        <is>
          <t>AEO.2025.HIGHZTC.INY_NA_IDAL_NA_MCC_NA_USA_THBTUPY05DLR.A</t>
        </is>
      </c>
      <c r="D159" t="inlineStr">
        <is>
          <t>thousand Btu/2012 $</t>
        </is>
      </c>
      <c r="F159" t="n">
        <v>0.046123</v>
      </c>
      <c r="G159" t="n">
        <v>0.046372</v>
      </c>
      <c r="H159" t="n">
        <v>0.046038</v>
      </c>
      <c r="I159" t="n">
        <v>0.044341</v>
      </c>
      <c r="J159" t="n">
        <v>0.042048</v>
      </c>
      <c r="K159" t="n">
        <v>0.040055</v>
      </c>
      <c r="L159" t="n">
        <v>0.038802</v>
      </c>
      <c r="M159" t="n">
        <v>0.037924</v>
      </c>
      <c r="N159" t="n">
        <v>0.037026</v>
      </c>
      <c r="O159" t="n">
        <v>0.035643</v>
      </c>
      <c r="P159" t="n">
        <v>0.034602</v>
      </c>
      <c r="Q159" t="n">
        <v>0.033549</v>
      </c>
      <c r="R159" t="n">
        <v>0.032469</v>
      </c>
      <c r="S159" t="n">
        <v>0.031759</v>
      </c>
      <c r="T159" t="n">
        <v>0.030909</v>
      </c>
      <c r="U159" t="n">
        <v>0.030021</v>
      </c>
      <c r="V159" t="n">
        <v>0.029371</v>
      </c>
      <c r="W159" t="n">
        <v>0.02858</v>
      </c>
      <c r="X159" t="n">
        <v>0.027691</v>
      </c>
      <c r="Y159" t="n">
        <v>0.027045</v>
      </c>
      <c r="Z159" t="n">
        <v>0.026288</v>
      </c>
      <c r="AA159" t="n">
        <v>0.025423</v>
      </c>
      <c r="AB159" t="n">
        <v>0.024487</v>
      </c>
      <c r="AC159" t="n">
        <v>0.02369</v>
      </c>
      <c r="AD159" t="n">
        <v>0.022819</v>
      </c>
      <c r="AE159" t="n">
        <v>0.021908</v>
      </c>
      <c r="AF159" t="n">
        <v>0.021058</v>
      </c>
      <c r="AG159" s="31" t="n">
        <v>-0.03</v>
      </c>
    </row>
    <row r="160">
      <c r="A160" t="inlineStr">
        <is>
          <t>Steam Coal</t>
        </is>
      </c>
      <c r="B160" t="inlineStr">
        <is>
          <t>Industrial: Energy Use per dollar of Shipment: Steam Coal: High Zero-Carbon Technology Cost</t>
        </is>
      </c>
      <c r="C160" t="inlineStr">
        <is>
          <t>AEO.2025.HIGHZTC.INY_NA_IDAL_NA_OIC_NA_USA_THBTUPY05DLR.A</t>
        </is>
      </c>
      <c r="D160" t="inlineStr">
        <is>
          <t>thousand Btu/2012 $</t>
        </is>
      </c>
      <c r="F160" t="n">
        <v>0.039884</v>
      </c>
      <c r="G160" t="n">
        <v>0.040433</v>
      </c>
      <c r="H160" t="n">
        <v>0.04058</v>
      </c>
      <c r="I160" t="n">
        <v>0.040692</v>
      </c>
      <c r="J160" t="n">
        <v>0.040785</v>
      </c>
      <c r="K160" t="n">
        <v>0.040517</v>
      </c>
      <c r="L160" t="n">
        <v>0.040381</v>
      </c>
      <c r="M160" t="n">
        <v>0.040299</v>
      </c>
      <c r="N160" t="n">
        <v>0.040327</v>
      </c>
      <c r="O160" t="n">
        <v>0.040146</v>
      </c>
      <c r="P160" t="n">
        <v>0.039694</v>
      </c>
      <c r="Q160" t="n">
        <v>0.039006</v>
      </c>
      <c r="R160" t="n">
        <v>0.038116</v>
      </c>
      <c r="S160" t="n">
        <v>0.037243</v>
      </c>
      <c r="T160" t="n">
        <v>0.036373</v>
      </c>
      <c r="U160" t="n">
        <v>0.035572</v>
      </c>
      <c r="V160" t="n">
        <v>0.034855</v>
      </c>
      <c r="W160" t="n">
        <v>0.034237</v>
      </c>
      <c r="X160" t="n">
        <v>0.033562</v>
      </c>
      <c r="Y160" t="n">
        <v>0.032926</v>
      </c>
      <c r="Z160" t="n">
        <v>0.032263</v>
      </c>
      <c r="AA160" t="n">
        <v>0.031601</v>
      </c>
      <c r="AB160" t="n">
        <v>0.030934</v>
      </c>
      <c r="AC160" t="n">
        <v>0.03027</v>
      </c>
      <c r="AD160" t="n">
        <v>0.029659</v>
      </c>
      <c r="AE160" t="n">
        <v>0.029062</v>
      </c>
      <c r="AF160" t="n">
        <v>0.028453</v>
      </c>
      <c r="AG160" s="31" t="n">
        <v>-0.013</v>
      </c>
    </row>
    <row r="161">
      <c r="A161" t="inlineStr">
        <is>
          <t>Coal Subtotal</t>
        </is>
      </c>
      <c r="B161" t="inlineStr">
        <is>
          <t>Industrial: Energy Use per dollar of Shipment: Coal Subtotal: High Zero-Carbon Technology Cost</t>
        </is>
      </c>
      <c r="C161" t="inlineStr">
        <is>
          <t>AEO.2025.HIGHZTC.INY_NA_IDAL_NA_COS_NA_USA_THBTUPY05DLR.A</t>
        </is>
      </c>
      <c r="D161" t="inlineStr">
        <is>
          <t>thousand Btu/2012 $</t>
        </is>
      </c>
      <c r="F161" t="n">
        <v>0.086007</v>
      </c>
      <c r="G161" t="n">
        <v>0.08680499999999999</v>
      </c>
      <c r="H161" t="n">
        <v>0.086618</v>
      </c>
      <c r="I161" t="n">
        <v>0.085033</v>
      </c>
      <c r="J161" t="n">
        <v>0.082833</v>
      </c>
      <c r="K161" t="n">
        <v>0.08057300000000001</v>
      </c>
      <c r="L161" t="n">
        <v>0.079183</v>
      </c>
      <c r="M161" t="n">
        <v>0.078223</v>
      </c>
      <c r="N161" t="n">
        <v>0.07735300000000001</v>
      </c>
      <c r="O161" t="n">
        <v>0.075789</v>
      </c>
      <c r="P161" t="n">
        <v>0.074296</v>
      </c>
      <c r="Q161" t="n">
        <v>0.07255499999999999</v>
      </c>
      <c r="R161" t="n">
        <v>0.07058499999999999</v>
      </c>
      <c r="S161" t="n">
        <v>0.06900199999999999</v>
      </c>
      <c r="T161" t="n">
        <v>0.06728199999999999</v>
      </c>
      <c r="U161" t="n">
        <v>0.065594</v>
      </c>
      <c r="V161" t="n">
        <v>0.06422600000000001</v>
      </c>
      <c r="W161" t="n">
        <v>0.062817</v>
      </c>
      <c r="X161" t="n">
        <v>0.061253</v>
      </c>
      <c r="Y161" t="n">
        <v>0.05997</v>
      </c>
      <c r="Z161" t="n">
        <v>0.058551</v>
      </c>
      <c r="AA161" t="n">
        <v>0.057025</v>
      </c>
      <c r="AB161" t="n">
        <v>0.055421</v>
      </c>
      <c r="AC161" t="n">
        <v>0.053959</v>
      </c>
      <c r="AD161" t="n">
        <v>0.052478</v>
      </c>
      <c r="AE161" t="n">
        <v>0.05097</v>
      </c>
      <c r="AF161" t="n">
        <v>0.04951</v>
      </c>
      <c r="AG161" s="31" t="n">
        <v>-0.021</v>
      </c>
    </row>
    <row r="162">
      <c r="A162" t="inlineStr">
        <is>
          <t>Biofuels Heat and Coproducts</t>
        </is>
      </c>
      <c r="B162" t="inlineStr">
        <is>
          <t>Industrial: Energy Use per dollar of Shipment: Biofuels Heat and Coproducts: High Zero-Carbon Technology Cost</t>
        </is>
      </c>
      <c r="C162" t="inlineStr">
        <is>
          <t>AEO.2025.HIGHZTC.INY_NA_IDAL_NA_BFH_NA_USA_THBTUPY05DLR.A</t>
        </is>
      </c>
      <c r="D162" t="inlineStr">
        <is>
          <t>thousand Btu/2012 $</t>
        </is>
      </c>
      <c r="F162" t="n">
        <v>0.102877</v>
      </c>
      <c r="G162" t="n">
        <v>0.103217</v>
      </c>
      <c r="H162" t="n">
        <v>0.101304</v>
      </c>
      <c r="I162" t="n">
        <v>0.100084</v>
      </c>
      <c r="J162" t="n">
        <v>0.098719</v>
      </c>
      <c r="K162" t="n">
        <v>0.096953</v>
      </c>
      <c r="L162" t="n">
        <v>0.095428</v>
      </c>
      <c r="M162" t="n">
        <v>0.09356</v>
      </c>
      <c r="N162" t="n">
        <v>0.091751</v>
      </c>
      <c r="O162" t="n">
        <v>0.089698</v>
      </c>
      <c r="P162" t="n">
        <v>0.08746900000000001</v>
      </c>
      <c r="Q162" t="n">
        <v>0.085255</v>
      </c>
      <c r="R162" t="n">
        <v>0.083551</v>
      </c>
      <c r="S162" t="n">
        <v>0.081219</v>
      </c>
      <c r="T162" t="n">
        <v>0.07907500000000001</v>
      </c>
      <c r="U162" t="n">
        <v>0.077302</v>
      </c>
      <c r="V162" t="n">
        <v>0.07638200000000001</v>
      </c>
      <c r="W162" t="n">
        <v>0.074785</v>
      </c>
      <c r="X162" t="n">
        <v>0.073174</v>
      </c>
      <c r="Y162" t="n">
        <v>0.072043</v>
      </c>
      <c r="Z162" t="n">
        <v>0.07130499999999999</v>
      </c>
      <c r="AA162" t="n">
        <v>0.070796</v>
      </c>
      <c r="AB162" t="n">
        <v>0.069887</v>
      </c>
      <c r="AC162" t="n">
        <v>0.069175</v>
      </c>
      <c r="AD162" t="n">
        <v>0.068381</v>
      </c>
      <c r="AE162" t="n">
        <v>0.067873</v>
      </c>
      <c r="AF162" t="n">
        <v>0.06762899999999999</v>
      </c>
      <c r="AG162" s="31" t="n">
        <v>-0.016</v>
      </c>
    </row>
    <row r="163">
      <c r="A163" t="inlineStr">
        <is>
          <t>Renewables</t>
        </is>
      </c>
      <c r="B163" t="inlineStr">
        <is>
          <t>Industrial: Energy Use per dollar of Shipment: Renewables: High Zero-Carbon Technology Cost</t>
        </is>
      </c>
      <c r="C163" t="inlineStr">
        <is>
          <t>AEO.2025.HIGHZTC.INY_NA_IDAL_NA_REB_NA_USA_THBTUPY05DLR.A</t>
        </is>
      </c>
      <c r="D163" t="inlineStr">
        <is>
          <t>thousand Btu/2012 $</t>
        </is>
      </c>
      <c r="F163" t="n">
        <v>0.161518</v>
      </c>
      <c r="G163" t="n">
        <v>0.160404</v>
      </c>
      <c r="H163" t="n">
        <v>0.160346</v>
      </c>
      <c r="I163" t="n">
        <v>0.158208</v>
      </c>
      <c r="J163" t="n">
        <v>0.15701</v>
      </c>
      <c r="K163" t="n">
        <v>0.157387</v>
      </c>
      <c r="L163" t="n">
        <v>0.157854</v>
      </c>
      <c r="M163" t="n">
        <v>0.159117</v>
      </c>
      <c r="N163" t="n">
        <v>0.159542</v>
      </c>
      <c r="O163" t="n">
        <v>0.159448</v>
      </c>
      <c r="P163" t="n">
        <v>0.16014</v>
      </c>
      <c r="Q163" t="n">
        <v>0.160951</v>
      </c>
      <c r="R163" t="n">
        <v>0.162872</v>
      </c>
      <c r="S163" t="n">
        <v>0.164026</v>
      </c>
      <c r="T163" t="n">
        <v>0.164416</v>
      </c>
      <c r="U163" t="n">
        <v>0.16521</v>
      </c>
      <c r="V163" t="n">
        <v>0.165245</v>
      </c>
      <c r="W163" t="n">
        <v>0.163839</v>
      </c>
      <c r="X163" t="n">
        <v>0.162885</v>
      </c>
      <c r="Y163" t="n">
        <v>0.161337</v>
      </c>
      <c r="Z163" t="n">
        <v>0.160611</v>
      </c>
      <c r="AA163" t="n">
        <v>0.160504</v>
      </c>
      <c r="AB163" t="n">
        <v>0.160608</v>
      </c>
      <c r="AC163" t="n">
        <v>0.161067</v>
      </c>
      <c r="AD163" t="n">
        <v>0.161532</v>
      </c>
      <c r="AE163" t="n">
        <v>0.161958</v>
      </c>
      <c r="AF163" t="n">
        <v>0.162331</v>
      </c>
      <c r="AG163" s="31" t="n">
        <v>0</v>
      </c>
    </row>
    <row r="164">
      <c r="A164" t="inlineStr">
        <is>
          <t>Purchased Electricity</t>
        </is>
      </c>
      <c r="B164" t="inlineStr">
        <is>
          <t>Industrial: Energy Use per dollar of Shipment: Purchased Electricity: High Zero-Carbon Technology Cost</t>
        </is>
      </c>
      <c r="C164" t="inlineStr">
        <is>
          <t>AEO.2025.HIGHZTC.INY_NA_IDAL_NA_PRC_NA_USA_THBTUPY05DLR.A</t>
        </is>
      </c>
      <c r="D164" t="inlineStr">
        <is>
          <t>thousand Btu/2012 $</t>
        </is>
      </c>
      <c r="F164" t="n">
        <v>0.402865</v>
      </c>
      <c r="G164" t="n">
        <v>0.399668</v>
      </c>
      <c r="H164" t="n">
        <v>0.397441</v>
      </c>
      <c r="I164" t="n">
        <v>0.395163</v>
      </c>
      <c r="J164" t="n">
        <v>0.392344</v>
      </c>
      <c r="K164" t="n">
        <v>0.390513</v>
      </c>
      <c r="L164" t="n">
        <v>0.391443</v>
      </c>
      <c r="M164" t="n">
        <v>0.394526</v>
      </c>
      <c r="N164" t="n">
        <v>0.39974</v>
      </c>
      <c r="O164" t="n">
        <v>0.406648</v>
      </c>
      <c r="P164" t="n">
        <v>0.415142</v>
      </c>
      <c r="Q164" t="n">
        <v>0.423522</v>
      </c>
      <c r="R164" t="n">
        <v>0.430075</v>
      </c>
      <c r="S164" t="n">
        <v>0.434796</v>
      </c>
      <c r="T164" t="n">
        <v>0.437566</v>
      </c>
      <c r="U164" t="n">
        <v>0.439916</v>
      </c>
      <c r="V164" t="n">
        <v>0.442778</v>
      </c>
      <c r="W164" t="n">
        <v>0.445402</v>
      </c>
      <c r="X164" t="n">
        <v>0.447044</v>
      </c>
      <c r="Y164" t="n">
        <v>0.448786</v>
      </c>
      <c r="Z164" t="n">
        <v>0.449526</v>
      </c>
      <c r="AA164" t="n">
        <v>0.449974</v>
      </c>
      <c r="AB164" t="n">
        <v>0.450006</v>
      </c>
      <c r="AC164" t="n">
        <v>0.450284</v>
      </c>
      <c r="AD164" t="n">
        <v>0.45006</v>
      </c>
      <c r="AE164" t="n">
        <v>0.449589</v>
      </c>
      <c r="AF164" t="n">
        <v>0.449507</v>
      </c>
      <c r="AG164" s="31" t="n">
        <v>0.004</v>
      </c>
    </row>
    <row r="165">
      <c r="A165" t="inlineStr">
        <is>
          <t>Delivered Energy</t>
        </is>
      </c>
      <c r="B165" t="inlineStr">
        <is>
          <t>Industrial: Energy Use per dollar of Shipment: Delivered Energy: High Zero-Carbon Technology Cost</t>
        </is>
      </c>
      <c r="C165" t="inlineStr">
        <is>
          <t>AEO.2025.HIGHZTC.INY_NA_IDAL_NA_DELE_NA_USA_THBTUPY05DLR.A</t>
        </is>
      </c>
      <c r="D165" t="inlineStr">
        <is>
          <t>thousand Btu/2012 $</t>
        </is>
      </c>
      <c r="F165" t="n">
        <v>2.983213</v>
      </c>
      <c r="G165" t="n">
        <v>2.958024</v>
      </c>
      <c r="H165" t="n">
        <v>2.92584</v>
      </c>
      <c r="I165" t="n">
        <v>2.900003</v>
      </c>
      <c r="J165" t="n">
        <v>2.88027</v>
      </c>
      <c r="K165" t="n">
        <v>2.855899</v>
      </c>
      <c r="L165" t="n">
        <v>2.843093</v>
      </c>
      <c r="M165" t="n">
        <v>2.840136</v>
      </c>
      <c r="N165" t="n">
        <v>2.841462</v>
      </c>
      <c r="O165" t="n">
        <v>2.840331</v>
      </c>
      <c r="P165" t="n">
        <v>2.836919</v>
      </c>
      <c r="Q165" t="n">
        <v>2.830817</v>
      </c>
      <c r="R165" t="n">
        <v>2.826677</v>
      </c>
      <c r="S165" t="n">
        <v>2.817818</v>
      </c>
      <c r="T165" t="n">
        <v>2.81343</v>
      </c>
      <c r="U165" t="n">
        <v>2.81233</v>
      </c>
      <c r="V165" t="n">
        <v>2.813446</v>
      </c>
      <c r="W165" t="n">
        <v>2.809793</v>
      </c>
      <c r="X165" t="n">
        <v>2.802122</v>
      </c>
      <c r="Y165" t="n">
        <v>2.800017</v>
      </c>
      <c r="Z165" t="n">
        <v>2.800221</v>
      </c>
      <c r="AA165" t="n">
        <v>2.798593</v>
      </c>
      <c r="AB165" t="n">
        <v>2.788566</v>
      </c>
      <c r="AC165" t="n">
        <v>2.783609</v>
      </c>
      <c r="AD165" t="n">
        <v>2.77467</v>
      </c>
      <c r="AE165" t="n">
        <v>2.767131</v>
      </c>
      <c r="AF165" t="n">
        <v>2.76168</v>
      </c>
      <c r="AG165" s="31" t="n">
        <v>-0.003</v>
      </c>
    </row>
    <row r="166">
      <c r="A166" t="inlineStr">
        <is>
          <t>Electricity-Related Losses</t>
        </is>
      </c>
      <c r="B166" t="inlineStr">
        <is>
          <t>Industrial: Energy Use per dollar of Shipment: Electricity Related Losses: High Zero-Carbon Technology Cost</t>
        </is>
      </c>
      <c r="C166" t="inlineStr">
        <is>
          <t>AEO.2025.HIGHZTC.INY_NA_IDAL_NA_ERL_NA_USA_THBTUPY05DLR.A</t>
        </is>
      </c>
      <c r="D166" t="inlineStr">
        <is>
          <t>thousand Btu/2012 $</t>
        </is>
      </c>
      <c r="F166" t="n">
        <v>0.57261</v>
      </c>
      <c r="G166" t="n">
        <v>0.550826</v>
      </c>
      <c r="H166" t="n">
        <v>0.515143</v>
      </c>
      <c r="I166" t="n">
        <v>0.492625</v>
      </c>
      <c r="J166" t="n">
        <v>0.47826</v>
      </c>
      <c r="K166" t="n">
        <v>0.467665</v>
      </c>
      <c r="L166" t="n">
        <v>0.44994</v>
      </c>
      <c r="M166" t="n">
        <v>0.438983</v>
      </c>
      <c r="N166" t="n">
        <v>0.416011</v>
      </c>
      <c r="O166" t="n">
        <v>0.409427</v>
      </c>
      <c r="P166" t="n">
        <v>0.402866</v>
      </c>
      <c r="Q166" t="n">
        <v>0.392956</v>
      </c>
      <c r="R166" t="n">
        <v>0.38205</v>
      </c>
      <c r="S166" t="n">
        <v>0.366066</v>
      </c>
      <c r="T166" t="n">
        <v>0.356747</v>
      </c>
      <c r="U166" t="n">
        <v>0.337193</v>
      </c>
      <c r="V166" t="n">
        <v>0.333285</v>
      </c>
      <c r="W166" t="n">
        <v>0.334506</v>
      </c>
      <c r="X166" t="n">
        <v>0.335033</v>
      </c>
      <c r="Y166" t="n">
        <v>0.334002</v>
      </c>
      <c r="Z166" t="n">
        <v>0.332798</v>
      </c>
      <c r="AA166" t="n">
        <v>0.329427</v>
      </c>
      <c r="AB166" t="n">
        <v>0.325736</v>
      </c>
      <c r="AC166" t="n">
        <v>0.323392</v>
      </c>
      <c r="AD166" t="n">
        <v>0.321607</v>
      </c>
      <c r="AE166" t="n">
        <v>0.320287</v>
      </c>
      <c r="AF166" t="n">
        <v>0.316807</v>
      </c>
      <c r="AG166" s="31" t="n">
        <v>-0.023</v>
      </c>
    </row>
    <row r="167">
      <c r="A167" t="inlineStr">
        <is>
          <t>Total</t>
        </is>
      </c>
      <c r="B167" t="inlineStr">
        <is>
          <t>Industrial: Energy Use per dollar of Shipment: Total: High Zero-Carbon Technology Cost</t>
        </is>
      </c>
      <c r="C167" t="inlineStr">
        <is>
          <t>AEO.2025.HIGHZTC.INY_NA_IDAL_NA_EUS_NA_USA_THBTUPY05DLR.A</t>
        </is>
      </c>
      <c r="D167" t="inlineStr">
        <is>
          <t>thousand Btu/2012 $</t>
        </is>
      </c>
      <c r="F167" t="n">
        <v>3.555823</v>
      </c>
      <c r="G167" t="n">
        <v>3.508851</v>
      </c>
      <c r="H167" t="n">
        <v>3.440983</v>
      </c>
      <c r="I167" t="n">
        <v>3.392628</v>
      </c>
      <c r="J167" t="n">
        <v>3.358531</v>
      </c>
      <c r="K167" t="n">
        <v>3.323564</v>
      </c>
      <c r="L167" t="n">
        <v>3.293033</v>
      </c>
      <c r="M167" t="n">
        <v>3.27912</v>
      </c>
      <c r="N167" t="n">
        <v>3.257473</v>
      </c>
      <c r="O167" t="n">
        <v>3.249758</v>
      </c>
      <c r="P167" t="n">
        <v>3.239785</v>
      </c>
      <c r="Q167" t="n">
        <v>3.223773</v>
      </c>
      <c r="R167" t="n">
        <v>3.208727</v>
      </c>
      <c r="S167" t="n">
        <v>3.183885</v>
      </c>
      <c r="T167" t="n">
        <v>3.170177</v>
      </c>
      <c r="U167" t="n">
        <v>3.149523</v>
      </c>
      <c r="V167" t="n">
        <v>3.146731</v>
      </c>
      <c r="W167" t="n">
        <v>3.144299</v>
      </c>
      <c r="X167" t="n">
        <v>3.137154</v>
      </c>
      <c r="Y167" t="n">
        <v>3.134019</v>
      </c>
      <c r="Z167" t="n">
        <v>3.13302</v>
      </c>
      <c r="AA167" t="n">
        <v>3.128019</v>
      </c>
      <c r="AB167" t="n">
        <v>3.114302</v>
      </c>
      <c r="AC167" t="n">
        <v>3.107002</v>
      </c>
      <c r="AD167" t="n">
        <v>3.096277</v>
      </c>
      <c r="AE167" t="n">
        <v>3.087418</v>
      </c>
      <c r="AF167" t="n">
        <v>3.078487</v>
      </c>
      <c r="AG167" s="31" t="n">
        <v>-0.006</v>
      </c>
    </row>
    <row r="168">
      <c r="A168" t="inlineStr">
        <is>
          <t>Total Industrial Combined Heat and Power</t>
        </is>
      </c>
    </row>
    <row r="169">
      <c r="A169" t="inlineStr">
        <is>
          <t>Capacity (gigawatts)</t>
        </is>
      </c>
      <c r="B169" t="inlineStr">
        <is>
          <t>Industrial: Total Industrial Combined Heat and Power: Capacity: High Zero-Carbon Technology Cost</t>
        </is>
      </c>
      <c r="C169" t="inlineStr">
        <is>
          <t>AEO.2025.HIGHZTC.CAP_NA_IDAL_TOTINDCHP_CHP_NA_USA_GW.A</t>
        </is>
      </c>
      <c r="D169" t="inlineStr">
        <is>
          <t>GW</t>
        </is>
      </c>
      <c r="F169" t="n">
        <v>26.691891</v>
      </c>
      <c r="G169" t="n">
        <v>26.899363</v>
      </c>
      <c r="H169" t="n">
        <v>27.052505</v>
      </c>
      <c r="I169" t="n">
        <v>27.032799</v>
      </c>
      <c r="J169" t="n">
        <v>27.038483</v>
      </c>
      <c r="K169" t="n">
        <v>27.080667</v>
      </c>
      <c r="L169" t="n">
        <v>27.21196</v>
      </c>
      <c r="M169" t="n">
        <v>27.313051</v>
      </c>
      <c r="N169" t="n">
        <v>27.399309</v>
      </c>
      <c r="O169" t="n">
        <v>27.465893</v>
      </c>
      <c r="P169" t="n">
        <v>27.568838</v>
      </c>
      <c r="Q169" t="n">
        <v>27.672262</v>
      </c>
      <c r="R169" t="n">
        <v>27.781876</v>
      </c>
      <c r="S169" t="n">
        <v>27.890146</v>
      </c>
      <c r="T169" t="n">
        <v>28.008722</v>
      </c>
      <c r="U169" t="n">
        <v>28.15004</v>
      </c>
      <c r="V169" t="n">
        <v>28.299088</v>
      </c>
      <c r="W169" t="n">
        <v>28.433649</v>
      </c>
      <c r="X169" t="n">
        <v>28.57336</v>
      </c>
      <c r="Y169" t="n">
        <v>28.710423</v>
      </c>
      <c r="Z169" t="n">
        <v>28.868608</v>
      </c>
      <c r="AA169" t="n">
        <v>29.011707</v>
      </c>
      <c r="AB169" t="n">
        <v>29.166071</v>
      </c>
      <c r="AC169" t="n">
        <v>29.32538</v>
      </c>
      <c r="AD169" t="n">
        <v>29.4823</v>
      </c>
      <c r="AE169" t="n">
        <v>29.635458</v>
      </c>
      <c r="AF169" t="n">
        <v>29.793306</v>
      </c>
      <c r="AG169" s="31" t="n">
        <v>0.004</v>
      </c>
    </row>
    <row r="170">
      <c r="A170" t="inlineStr">
        <is>
          <t>Generation (billion kilowatthours)</t>
        </is>
      </c>
      <c r="B170" t="inlineStr">
        <is>
          <t>Industrial: Total Industrial Combined Heat and Power: Generation: High Zero-Carbon Technology Cost</t>
        </is>
      </c>
      <c r="C170" t="inlineStr">
        <is>
          <t>AEO.2025.HIGHZTC.GEN_NA_IDAL_TOTINDCHP_CHP_NA_USA_BLNKWH.A</t>
        </is>
      </c>
      <c r="D170" t="inlineStr">
        <is>
          <t>BkWh</t>
        </is>
      </c>
      <c r="F170" t="n">
        <v>146.410507</v>
      </c>
      <c r="G170" t="n">
        <v>147.515442</v>
      </c>
      <c r="H170" t="n">
        <v>148.415207</v>
      </c>
      <c r="I170" t="n">
        <v>148.160995</v>
      </c>
      <c r="J170" t="n">
        <v>148.359238</v>
      </c>
      <c r="K170" t="n">
        <v>148.559891</v>
      </c>
      <c r="L170" t="n">
        <v>149.316589</v>
      </c>
      <c r="M170" t="n">
        <v>149.927017</v>
      </c>
      <c r="N170" t="n">
        <v>150.421173</v>
      </c>
      <c r="O170" t="n">
        <v>150.765381</v>
      </c>
      <c r="P170" t="n">
        <v>151.289169</v>
      </c>
      <c r="Q170" t="n">
        <v>151.81575</v>
      </c>
      <c r="R170" t="n">
        <v>152.596771</v>
      </c>
      <c r="S170" t="n">
        <v>153.214767</v>
      </c>
      <c r="T170" t="n">
        <v>153.887497</v>
      </c>
      <c r="U170" t="n">
        <v>154.684784</v>
      </c>
      <c r="V170" t="n">
        <v>155.527466</v>
      </c>
      <c r="W170" t="n">
        <v>156.287613</v>
      </c>
      <c r="X170" t="n">
        <v>157.074371</v>
      </c>
      <c r="Y170" t="n">
        <v>157.848434</v>
      </c>
      <c r="Z170" t="n">
        <v>158.737</v>
      </c>
      <c r="AA170" t="n">
        <v>159.540161</v>
      </c>
      <c r="AB170" t="n">
        <v>160.40329</v>
      </c>
      <c r="AC170" t="n">
        <v>161.29454</v>
      </c>
      <c r="AD170" t="n">
        <v>162.169556</v>
      </c>
      <c r="AE170" t="n">
        <v>163.021851</v>
      </c>
      <c r="AF170" t="n">
        <v>163.89827</v>
      </c>
      <c r="AG170" s="31" t="n">
        <v>0.004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selection activeCell="A25" sqref="A25:XFD25"/>
    </sheetView>
  </sheetViews>
  <sheetFormatPr baseColWidth="8" defaultRowHeight="14.25"/>
  <cols>
    <col width="34" customWidth="1" min="1" max="2"/>
  </cols>
  <sheetData>
    <row r="1">
      <c r="A1" t="inlineStr">
        <is>
          <t>Table 17.  Renewable Energy Consumption by Sector and Source</t>
        </is>
      </c>
    </row>
    <row r="2">
      <c r="A2" t="inlineStr">
        <is>
          <t>https://www.eia.gov/outlooks/aeo/data/browser/#/?id=24-AEO2025&amp;cases=highZTC&amp;sourcekey=0</t>
        </is>
      </c>
    </row>
    <row r="3">
      <c r="A3" t="inlineStr">
        <is>
          <t>Tue Dec 02 2025 13:21:06 GMT-0800 (Pacific Standard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2023</v>
      </c>
      <c r="F5" t="n">
        <v>2024</v>
      </c>
      <c r="G5" t="n">
        <v>2025</v>
      </c>
      <c r="H5" t="n">
        <v>2026</v>
      </c>
      <c r="I5" t="n">
        <v>2027</v>
      </c>
      <c r="J5" t="n">
        <v>2028</v>
      </c>
      <c r="K5" t="n">
        <v>2029</v>
      </c>
      <c r="L5" t="n">
        <v>2030</v>
      </c>
      <c r="M5" t="n">
        <v>2031</v>
      </c>
      <c r="N5" t="n">
        <v>2032</v>
      </c>
      <c r="O5" t="n">
        <v>2033</v>
      </c>
      <c r="P5" t="n">
        <v>2034</v>
      </c>
      <c r="Q5" t="n">
        <v>2035</v>
      </c>
      <c r="R5" t="n">
        <v>2036</v>
      </c>
      <c r="S5" t="n">
        <v>2037</v>
      </c>
      <c r="T5" t="n">
        <v>2038</v>
      </c>
      <c r="U5" t="n">
        <v>2039</v>
      </c>
      <c r="V5" t="n">
        <v>2040</v>
      </c>
      <c r="W5" t="n">
        <v>2041</v>
      </c>
      <c r="X5" t="n">
        <v>2042</v>
      </c>
      <c r="Y5" t="n">
        <v>2043</v>
      </c>
      <c r="Z5" t="n">
        <v>2044</v>
      </c>
      <c r="AA5" t="n">
        <v>2045</v>
      </c>
      <c r="AB5" t="n">
        <v>2046</v>
      </c>
      <c r="AC5" t="n">
        <v>2047</v>
      </c>
      <c r="AD5" t="n">
        <v>2048</v>
      </c>
      <c r="AE5" t="n">
        <v>2049</v>
      </c>
      <c r="AF5" t="n">
        <v>2050</v>
      </c>
      <c r="AG5" t="inlineStr">
        <is>
          <t>Growth (2024-2050)</t>
        </is>
      </c>
    </row>
    <row r="6">
      <c r="A6" t="inlineStr">
        <is>
          <t>Marketed Renewable Energy</t>
        </is>
      </c>
    </row>
    <row r="7" customFormat="1" s="34">
      <c r="A7" s="34" t="inlineStr">
        <is>
          <t>Residential (wood)</t>
        </is>
      </c>
      <c r="B7" s="34" t="inlineStr">
        <is>
          <t>Renewable Energy: Marketed Use: Residential: Wood: High Zero-Carbon Technology Cost</t>
        </is>
      </c>
      <c r="C7" s="34" t="inlineStr">
        <is>
          <t>AEO.2025.HIGHZTC.CNSM_NA_RESD_NA_BMS_NA_NA_QBTU.A</t>
        </is>
      </c>
      <c r="D7" s="34" t="inlineStr">
        <is>
          <t>quads</t>
        </is>
      </c>
      <c r="F7" s="34" t="n">
        <v>0.357584</v>
      </c>
      <c r="G7" s="34" t="n">
        <v>0.365094</v>
      </c>
      <c r="H7" s="34" t="n">
        <v>0.352654</v>
      </c>
      <c r="I7" s="34" t="n">
        <v>0.347295</v>
      </c>
      <c r="J7" s="34" t="n">
        <v>0.345718</v>
      </c>
      <c r="K7" s="34" t="n">
        <v>0.345503</v>
      </c>
      <c r="L7" s="34" t="n">
        <v>0.34529</v>
      </c>
      <c r="M7" s="34" t="n">
        <v>0.342499</v>
      </c>
      <c r="N7" s="34" t="n">
        <v>0.337295</v>
      </c>
      <c r="O7" s="34" t="n">
        <v>0.332838</v>
      </c>
      <c r="P7" s="34" t="n">
        <v>0.328234</v>
      </c>
      <c r="Q7" s="34" t="n">
        <v>0.323965</v>
      </c>
      <c r="R7" s="34" t="n">
        <v>0.319381</v>
      </c>
      <c r="S7" s="34" t="n">
        <v>0.315221</v>
      </c>
      <c r="T7" s="34" t="n">
        <v>0.311018</v>
      </c>
      <c r="U7" s="34" t="n">
        <v>0.306564</v>
      </c>
      <c r="V7" s="34" t="n">
        <v>0.302182</v>
      </c>
      <c r="W7" s="34" t="n">
        <v>0.2981</v>
      </c>
      <c r="X7" s="34" t="n">
        <v>0.294377</v>
      </c>
      <c r="Y7" s="34" t="n">
        <v>0.29095</v>
      </c>
      <c r="Z7" s="34" t="n">
        <v>0.288536</v>
      </c>
      <c r="AA7" s="34" t="n">
        <v>0.284935</v>
      </c>
      <c r="AB7" s="34" t="n">
        <v>0.281377</v>
      </c>
      <c r="AC7" s="34" t="n">
        <v>0.277692</v>
      </c>
      <c r="AD7" s="34" t="n">
        <v>0.273872</v>
      </c>
      <c r="AE7" s="34" t="n">
        <v>0.270572</v>
      </c>
      <c r="AF7" s="34" t="n">
        <v>0.26805</v>
      </c>
      <c r="AG7" s="35" t="n">
        <v>-0.011</v>
      </c>
    </row>
    <row r="8" customFormat="1" s="34">
      <c r="A8" s="34" t="inlineStr">
        <is>
          <t>Commercial (biomass)</t>
        </is>
      </c>
      <c r="B8" s="34" t="inlineStr">
        <is>
          <t>Renewable Energy: Marketed Use: Commercial: Biomass: High Zero-Carbon Technology Cost</t>
        </is>
      </c>
      <c r="C8" s="34" t="inlineStr">
        <is>
          <t>AEO.2025.HIGHZTC.CNSM_NA_COMM_NA_BMS_NA_NA_QBTU.A</t>
        </is>
      </c>
      <c r="D8" s="34" t="inlineStr">
        <is>
          <t>quads</t>
        </is>
      </c>
      <c r="F8" s="34" t="n">
        <v>0.158104</v>
      </c>
      <c r="G8" s="34" t="n">
        <v>0.158104</v>
      </c>
      <c r="H8" s="34" t="n">
        <v>0.158104</v>
      </c>
      <c r="I8" s="34" t="n">
        <v>0.158104</v>
      </c>
      <c r="J8" s="34" t="n">
        <v>0.158104</v>
      </c>
      <c r="K8" s="34" t="n">
        <v>0.158104</v>
      </c>
      <c r="L8" s="34" t="n">
        <v>0.158104</v>
      </c>
      <c r="M8" s="34" t="n">
        <v>0.158104</v>
      </c>
      <c r="N8" s="34" t="n">
        <v>0.158104</v>
      </c>
      <c r="O8" s="34" t="n">
        <v>0.158104</v>
      </c>
      <c r="P8" s="34" t="n">
        <v>0.158104</v>
      </c>
      <c r="Q8" s="34" t="n">
        <v>0.158104</v>
      </c>
      <c r="R8" s="34" t="n">
        <v>0.158104</v>
      </c>
      <c r="S8" s="34" t="n">
        <v>0.158104</v>
      </c>
      <c r="T8" s="34" t="n">
        <v>0.158104</v>
      </c>
      <c r="U8" s="34" t="n">
        <v>0.158104</v>
      </c>
      <c r="V8" s="34" t="n">
        <v>0.158104</v>
      </c>
      <c r="W8" s="34" t="n">
        <v>0.158104</v>
      </c>
      <c r="X8" s="34" t="n">
        <v>0.158104</v>
      </c>
      <c r="Y8" s="34" t="n">
        <v>0.158104</v>
      </c>
      <c r="Z8" s="34" t="n">
        <v>0.158104</v>
      </c>
      <c r="AA8" s="34" t="n">
        <v>0.158104</v>
      </c>
      <c r="AB8" s="34" t="n">
        <v>0.158104</v>
      </c>
      <c r="AC8" s="34" t="n">
        <v>0.158104</v>
      </c>
      <c r="AD8" s="34" t="n">
        <v>0.158104</v>
      </c>
      <c r="AE8" s="34" t="n">
        <v>0.158104</v>
      </c>
      <c r="AF8" s="34" t="n">
        <v>0.158104</v>
      </c>
      <c r="AG8" s="35" t="n">
        <v>0</v>
      </c>
    </row>
    <row r="9">
      <c r="A9" t="inlineStr">
        <is>
          <t>Industrial</t>
        </is>
      </c>
      <c r="B9" t="inlineStr">
        <is>
          <t>Renewable Energy: Marketed Use: Industrial: High Zero-Carbon Technology Cost</t>
        </is>
      </c>
      <c r="C9" t="inlineStr">
        <is>
          <t>AEO.2025.HIGHZTC.CNSM_NA_IDAL_NA_MRE_NA_NA_QBTU.A</t>
        </is>
      </c>
      <c r="D9" t="inlineStr">
        <is>
          <t>quads</t>
        </is>
      </c>
      <c r="F9" t="n">
        <v>2.298446</v>
      </c>
      <c r="G9" t="n">
        <v>2.340962</v>
      </c>
      <c r="H9" t="n">
        <v>2.361106</v>
      </c>
      <c r="I9" t="n">
        <v>2.360003</v>
      </c>
      <c r="J9" t="n">
        <v>2.365569</v>
      </c>
      <c r="K9" t="n">
        <v>2.382703</v>
      </c>
      <c r="L9" t="n">
        <v>2.398932</v>
      </c>
      <c r="M9" t="n">
        <v>2.411637</v>
      </c>
      <c r="N9" t="n">
        <v>2.420296</v>
      </c>
      <c r="O9" t="n">
        <v>2.411936</v>
      </c>
      <c r="P9" t="n">
        <v>2.416436</v>
      </c>
      <c r="Q9" t="n">
        <v>2.420991</v>
      </c>
      <c r="R9" t="n">
        <v>2.442281</v>
      </c>
      <c r="S9" t="n">
        <v>2.448889</v>
      </c>
      <c r="T9" t="n">
        <v>2.450308</v>
      </c>
      <c r="U9" t="n">
        <v>2.460661</v>
      </c>
      <c r="V9" t="n">
        <v>2.474311</v>
      </c>
      <c r="W9" t="n">
        <v>2.462655</v>
      </c>
      <c r="X9" t="n">
        <v>2.457231</v>
      </c>
      <c r="Y9" t="n">
        <v>2.446465</v>
      </c>
      <c r="Z9" t="n">
        <v>2.450154</v>
      </c>
      <c r="AA9" t="n">
        <v>2.46415</v>
      </c>
      <c r="AB9" t="n">
        <v>2.479432</v>
      </c>
      <c r="AC9" t="n">
        <v>2.502332</v>
      </c>
      <c r="AD9" t="n">
        <v>2.522075</v>
      </c>
      <c r="AE9" t="n">
        <v>2.546465</v>
      </c>
      <c r="AF9" t="n">
        <v>2.569529</v>
      </c>
      <c r="AG9" s="31" t="n">
        <v>0.004</v>
      </c>
    </row>
    <row r="10">
      <c r="A10" t="inlineStr">
        <is>
          <t>Conventional Hydroelectric Power</t>
        </is>
      </c>
      <c r="B10" t="inlineStr">
        <is>
          <t>Renewable Energy: Marketed Use: Industrial: Hydropower: High Zero-Carbon Technology Cost</t>
        </is>
      </c>
      <c r="C10" t="inlineStr">
        <is>
          <t>AEO.2025.HIGHZTC.CNSM_NA_IDAL_NA_HYD_CNV_NA_QBTU.A</t>
        </is>
      </c>
      <c r="D10" t="inlineStr">
        <is>
          <t>quads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inlineStr">
        <is>
          <t>- -</t>
        </is>
      </c>
    </row>
    <row r="11">
      <c r="A11" t="inlineStr">
        <is>
          <t>Municipal Waste</t>
        </is>
      </c>
      <c r="B11" t="inlineStr">
        <is>
          <t>Renewable Energy: Marketed Use: Industrial: Municipal Waste: High Zero-Carbon Technology Cost</t>
        </is>
      </c>
      <c r="C11" t="inlineStr">
        <is>
          <t>AEO.2025.HIGHZTC.CNSM_NA_IDAL_NA_MUNWST_NA_NA_QBTU.A</t>
        </is>
      </c>
      <c r="D11" t="inlineStr">
        <is>
          <t>quads</t>
        </is>
      </c>
      <c r="F11" t="n">
        <v>0.153715</v>
      </c>
      <c r="G11" t="n">
        <v>0.157617</v>
      </c>
      <c r="H11" t="n">
        <v>0.162141</v>
      </c>
      <c r="I11" t="n">
        <v>0.166759</v>
      </c>
      <c r="J11" t="n">
        <v>0.170764</v>
      </c>
      <c r="K11" t="n">
        <v>0.175069</v>
      </c>
      <c r="L11" t="n">
        <v>0.17912</v>
      </c>
      <c r="M11" t="n">
        <v>0.182615</v>
      </c>
      <c r="N11" t="n">
        <v>0.18587</v>
      </c>
      <c r="O11" t="n">
        <v>0.188766</v>
      </c>
      <c r="P11" t="n">
        <v>0.191556</v>
      </c>
      <c r="Q11" t="n">
        <v>0.193985</v>
      </c>
      <c r="R11" t="n">
        <v>0.196077</v>
      </c>
      <c r="S11" t="n">
        <v>0.197824</v>
      </c>
      <c r="T11" t="n">
        <v>0.19954</v>
      </c>
      <c r="U11" t="n">
        <v>0.201352</v>
      </c>
      <c r="V11" t="n">
        <v>0.203029</v>
      </c>
      <c r="W11" t="n">
        <v>0.204674</v>
      </c>
      <c r="X11" t="n">
        <v>0.206428</v>
      </c>
      <c r="Y11" t="n">
        <v>0.208098</v>
      </c>
      <c r="Z11" t="n">
        <v>0.209768</v>
      </c>
      <c r="AA11" t="n">
        <v>0.211422</v>
      </c>
      <c r="AB11" t="n">
        <v>0.213109</v>
      </c>
      <c r="AC11" t="n">
        <v>0.214787</v>
      </c>
      <c r="AD11" t="n">
        <v>0.216472</v>
      </c>
      <c r="AE11" t="n">
        <v>0.218222</v>
      </c>
      <c r="AF11" t="n">
        <v>0.219935</v>
      </c>
      <c r="AG11" s="31" t="n">
        <v>0.014</v>
      </c>
    </row>
    <row r="12" customFormat="1" s="34">
      <c r="A12" s="34" t="inlineStr">
        <is>
          <t>Biomass</t>
        </is>
      </c>
      <c r="B12" s="34" t="inlineStr">
        <is>
          <t>Renewable Energy: Marketed Use: Industrial: Biomass: High Zero-Carbon Technology Cost</t>
        </is>
      </c>
      <c r="C12" s="34" t="inlineStr">
        <is>
          <t>AEO.2025.HIGHZTC.CNSM_NA_IDAL_NA_BMS_NA_NA_QBTU.A</t>
        </is>
      </c>
      <c r="D12" s="34" t="inlineStr">
        <is>
          <t>quads</t>
        </is>
      </c>
      <c r="F12" s="34" t="n">
        <v>1.250399</v>
      </c>
      <c r="G12" s="34" t="n">
        <v>1.266777</v>
      </c>
      <c r="H12" s="34" t="n">
        <v>1.284807</v>
      </c>
      <c r="I12" s="34" t="n">
        <v>1.278781</v>
      </c>
      <c r="J12" s="34" t="n">
        <v>1.281623</v>
      </c>
      <c r="K12" s="34" t="n">
        <v>1.299362</v>
      </c>
      <c r="L12" s="34" t="n">
        <v>1.315974</v>
      </c>
      <c r="M12" s="34" t="n">
        <v>1.336054</v>
      </c>
      <c r="N12" s="34" t="n">
        <v>1.350737</v>
      </c>
      <c r="O12" s="34" t="n">
        <v>1.35482</v>
      </c>
      <c r="P12" s="34" t="n">
        <v>1.371261</v>
      </c>
      <c r="Q12" s="34" t="n">
        <v>1.388677</v>
      </c>
      <c r="R12" s="34" t="n">
        <v>1.418132</v>
      </c>
      <c r="S12" s="34" t="n">
        <v>1.440053</v>
      </c>
      <c r="T12" s="34" t="n">
        <v>1.455018</v>
      </c>
      <c r="U12" s="34" t="n">
        <v>1.474959</v>
      </c>
      <c r="V12" s="34" t="n">
        <v>1.489115</v>
      </c>
      <c r="W12" s="34" t="n">
        <v>1.486184</v>
      </c>
      <c r="X12" s="34" t="n">
        <v>1.489107</v>
      </c>
      <c r="Y12" s="34" t="n">
        <v>1.483161</v>
      </c>
      <c r="Z12" s="34" t="n">
        <v>1.487062</v>
      </c>
      <c r="AA12" s="34" t="n">
        <v>1.498508</v>
      </c>
      <c r="AB12" s="34" t="n">
        <v>1.51455</v>
      </c>
      <c r="AC12" s="34" t="n">
        <v>1.535729</v>
      </c>
      <c r="AD12" s="34" t="n">
        <v>1.555482</v>
      </c>
      <c r="AE12" s="34" t="n">
        <v>1.576231</v>
      </c>
      <c r="AF12" s="34" t="n">
        <v>1.593919</v>
      </c>
      <c r="AG12" s="35" t="n">
        <v>0.008999999999999999</v>
      </c>
    </row>
    <row r="13">
      <c r="A13" t="inlineStr">
        <is>
          <t>Biofuels Heat and Coproducts</t>
        </is>
      </c>
      <c r="B13" t="inlineStr">
        <is>
          <t>Renewable Energy: Marketed Use: Industrial: Biofuels Heat and Coproducts: High Zero-Carbon Technology Cost</t>
        </is>
      </c>
      <c r="C13" t="inlineStr">
        <is>
          <t>AEO.2025.HIGHZTC.CNSM_NA_IDAL_NA_BFH_NA_NA_QBTU.A</t>
        </is>
      </c>
      <c r="D13" t="inlineStr">
        <is>
          <t>quads</t>
        </is>
      </c>
      <c r="F13" t="n">
        <v>0.894331</v>
      </c>
      <c r="G13" t="n">
        <v>0.916568</v>
      </c>
      <c r="H13" t="n">
        <v>0.914158</v>
      </c>
      <c r="I13" t="n">
        <v>0.914463</v>
      </c>
      <c r="J13" t="n">
        <v>0.913182</v>
      </c>
      <c r="K13" t="n">
        <v>0.908272</v>
      </c>
      <c r="L13" t="n">
        <v>0.903837</v>
      </c>
      <c r="M13" t="n">
        <v>0.892968</v>
      </c>
      <c r="N13" t="n">
        <v>0.8836889999999999</v>
      </c>
      <c r="O13" t="n">
        <v>0.868351</v>
      </c>
      <c r="P13" t="n">
        <v>0.853619</v>
      </c>
      <c r="Q13" t="n">
        <v>0.83833</v>
      </c>
      <c r="R13" t="n">
        <v>0.828071</v>
      </c>
      <c r="S13" t="n">
        <v>0.811011</v>
      </c>
      <c r="T13" t="n">
        <v>0.79575</v>
      </c>
      <c r="U13" t="n">
        <v>0.784349</v>
      </c>
      <c r="V13" t="n">
        <v>0.782166</v>
      </c>
      <c r="W13" t="n">
        <v>0.771797</v>
      </c>
      <c r="X13" t="n">
        <v>0.761696</v>
      </c>
      <c r="Y13" t="n">
        <v>0.755206</v>
      </c>
      <c r="Z13" t="n">
        <v>0.753325</v>
      </c>
      <c r="AA13" t="n">
        <v>0.75422</v>
      </c>
      <c r="AB13" t="n">
        <v>0.751773</v>
      </c>
      <c r="AC13" t="n">
        <v>0.751816</v>
      </c>
      <c r="AD13" t="n">
        <v>0.75012</v>
      </c>
      <c r="AE13" t="n">
        <v>0.752011</v>
      </c>
      <c r="AF13" t="n">
        <v>0.755675</v>
      </c>
      <c r="AG13" s="31" t="n">
        <v>-0.006</v>
      </c>
    </row>
    <row r="14">
      <c r="A14" t="inlineStr">
        <is>
          <t>Transportation</t>
        </is>
      </c>
      <c r="B14" t="inlineStr">
        <is>
          <t>Renewable Energy: Marketed Use: Transportation: High Zero-Carbon Technology Cost</t>
        </is>
      </c>
      <c r="C14" t="inlineStr">
        <is>
          <t>AEO.2025.HIGHZTC.CNSM_NA_TRN_NA_NA_NA_NA_QBTU.A</t>
        </is>
      </c>
      <c r="D14" t="inlineStr">
        <is>
          <t>quads</t>
        </is>
      </c>
      <c r="F14" t="n">
        <v>1.779031</v>
      </c>
      <c r="G14" t="n">
        <v>1.798202</v>
      </c>
      <c r="H14" t="n">
        <v>1.840455</v>
      </c>
      <c r="I14" t="n">
        <v>1.818957</v>
      </c>
      <c r="J14" t="n">
        <v>1.65284</v>
      </c>
      <c r="K14" t="n">
        <v>1.652911</v>
      </c>
      <c r="L14" t="n">
        <v>1.651971</v>
      </c>
      <c r="M14" t="n">
        <v>1.650766</v>
      </c>
      <c r="N14" t="n">
        <v>1.649971</v>
      </c>
      <c r="O14" t="n">
        <v>1.649804</v>
      </c>
      <c r="P14" t="n">
        <v>1.649323</v>
      </c>
      <c r="Q14" t="n">
        <v>1.648011</v>
      </c>
      <c r="R14" t="n">
        <v>1.646139</v>
      </c>
      <c r="S14" t="n">
        <v>1.644258</v>
      </c>
      <c r="T14" t="n">
        <v>1.642699</v>
      </c>
      <c r="U14" t="n">
        <v>1.64108</v>
      </c>
      <c r="V14" t="n">
        <v>1.639198</v>
      </c>
      <c r="W14" t="n">
        <v>1.637743</v>
      </c>
      <c r="X14" t="n">
        <v>1.636214</v>
      </c>
      <c r="Y14" t="n">
        <v>1.634694</v>
      </c>
      <c r="Z14" t="n">
        <v>1.632965</v>
      </c>
      <c r="AA14" t="n">
        <v>1.631249</v>
      </c>
      <c r="AB14" t="n">
        <v>1.629651</v>
      </c>
      <c r="AC14" t="n">
        <v>1.62807</v>
      </c>
      <c r="AD14" t="n">
        <v>1.626433</v>
      </c>
      <c r="AE14" t="n">
        <v>1.624858</v>
      </c>
      <c r="AF14" t="n">
        <v>1.623228</v>
      </c>
      <c r="AG14" s="31" t="n">
        <v>-0.004</v>
      </c>
    </row>
    <row r="15">
      <c r="A15" t="inlineStr">
        <is>
          <t>Ethanol used in E85</t>
        </is>
      </c>
      <c r="B15" t="inlineStr">
        <is>
          <t>Renewable Energy: Marketed Use: Transportation: Ethanol used in E85: High Zero-Carbon Technology Cost</t>
        </is>
      </c>
      <c r="C15" t="inlineStr">
        <is>
          <t>AEO.2025.HIGHZTC.CNSM_NA_TRN_NA_ETE_NA_NA_QBTU.A</t>
        </is>
      </c>
      <c r="D15" t="inlineStr">
        <is>
          <t>quads</t>
        </is>
      </c>
      <c r="F15" t="n">
        <v>0.00247</v>
      </c>
      <c r="G15" t="n">
        <v>0.002289</v>
      </c>
      <c r="H15" t="n">
        <v>0.002042</v>
      </c>
      <c r="I15" t="n">
        <v>0.001912</v>
      </c>
      <c r="J15" t="n">
        <v>0.001856</v>
      </c>
      <c r="K15" t="n">
        <v>0.001923</v>
      </c>
      <c r="L15" t="n">
        <v>0.001823</v>
      </c>
      <c r="M15" t="n">
        <v>0.001684</v>
      </c>
      <c r="N15" t="n">
        <v>0.001568</v>
      </c>
      <c r="O15" t="n">
        <v>0.00147</v>
      </c>
      <c r="P15" t="n">
        <v>0.001392</v>
      </c>
      <c r="Q15" t="n">
        <v>0.00131</v>
      </c>
      <c r="R15" t="n">
        <v>0.001227</v>
      </c>
      <c r="S15" t="n">
        <v>0.001165</v>
      </c>
      <c r="T15" t="n">
        <v>0.0011</v>
      </c>
      <c r="U15" t="n">
        <v>0.00105</v>
      </c>
      <c r="V15" t="n">
        <v>0.001026</v>
      </c>
      <c r="W15" t="n">
        <v>0.001005</v>
      </c>
      <c r="X15" t="n">
        <v>0.000987</v>
      </c>
      <c r="Y15" t="n">
        <v>0.000977</v>
      </c>
      <c r="Z15" t="n">
        <v>0.0009909999999999999</v>
      </c>
      <c r="AA15" t="n">
        <v>0.000966</v>
      </c>
      <c r="AB15" t="n">
        <v>0.000963</v>
      </c>
      <c r="AC15" t="n">
        <v>0.000985</v>
      </c>
      <c r="AD15" t="n">
        <v>0.000982</v>
      </c>
      <c r="AE15" t="n">
        <v>0.0009829999999999999</v>
      </c>
      <c r="AF15" t="n">
        <v>0.000977</v>
      </c>
      <c r="AG15" s="31" t="n">
        <v>-0.035</v>
      </c>
    </row>
    <row r="16">
      <c r="A16" t="inlineStr">
        <is>
          <t>Ethanol used in Gasoline Blending</t>
        </is>
      </c>
      <c r="B16" t="inlineStr">
        <is>
          <t>Renewable Energy: Marketed Use: Transportation: Ethanol used in Gasoline Blending: High Zero-Carbon Technology Cost</t>
        </is>
      </c>
      <c r="C16" t="inlineStr">
        <is>
          <t>AEO.2025.HIGHZTC.CNSM_NA_TRN_NA_EBL_NA_NA_QBTU.A</t>
        </is>
      </c>
      <c r="D16" t="inlineStr">
        <is>
          <t>quads</t>
        </is>
      </c>
      <c r="F16" t="n">
        <v>1.159613</v>
      </c>
      <c r="G16" t="n">
        <v>1.165416</v>
      </c>
      <c r="H16" t="n">
        <v>1.188011</v>
      </c>
      <c r="I16" t="n">
        <v>1.188534</v>
      </c>
      <c r="J16" t="n">
        <v>1.179669</v>
      </c>
      <c r="K16" t="n">
        <v>1.166131</v>
      </c>
      <c r="L16" t="n">
        <v>1.146274</v>
      </c>
      <c r="M16" t="n">
        <v>1.126136</v>
      </c>
      <c r="N16" t="n">
        <v>1.099874</v>
      </c>
      <c r="O16" t="n">
        <v>1.072452</v>
      </c>
      <c r="P16" t="n">
        <v>1.045892</v>
      </c>
      <c r="Q16" t="n">
        <v>1.018797</v>
      </c>
      <c r="R16" t="n">
        <v>0.988496</v>
      </c>
      <c r="S16" t="n">
        <v>0.958549</v>
      </c>
      <c r="T16" t="n">
        <v>0.9308689999999999</v>
      </c>
      <c r="U16" t="n">
        <v>0.9044720000000001</v>
      </c>
      <c r="V16" t="n">
        <v>0.881031</v>
      </c>
      <c r="W16" t="n">
        <v>0.859533</v>
      </c>
      <c r="X16" t="n">
        <v>0.838272</v>
      </c>
      <c r="Y16" t="n">
        <v>0.821939</v>
      </c>
      <c r="Z16" t="n">
        <v>0.805321</v>
      </c>
      <c r="AA16" t="n">
        <v>0.792732</v>
      </c>
      <c r="AB16" t="n">
        <v>0.781266</v>
      </c>
      <c r="AC16" t="n">
        <v>0.773098</v>
      </c>
      <c r="AD16" t="n">
        <v>0.762308</v>
      </c>
      <c r="AE16" t="n">
        <v>0.756545</v>
      </c>
      <c r="AF16" t="n">
        <v>0.752895</v>
      </c>
      <c r="AG16" s="31" t="n">
        <v>-0.016</v>
      </c>
    </row>
    <row r="17">
      <c r="A17" t="inlineStr">
        <is>
          <t>Biodiesel used in Distillate Blending</t>
        </is>
      </c>
      <c r="B17" t="inlineStr">
        <is>
          <t>Renewable Energy: Marketed Use: Transportation: Biodiesel used in Distillate Blending: High Zero-Carbon Technology Cost</t>
        </is>
      </c>
      <c r="C17" t="inlineStr">
        <is>
          <t>AEO.2025.HIGHZTC.CNSM_NA_TRN_NA_BUD_NA_NA_QBTU.A</t>
        </is>
      </c>
      <c r="D17" t="inlineStr">
        <is>
          <t>quads</t>
        </is>
      </c>
      <c r="F17" t="n">
        <v>0.237455</v>
      </c>
      <c r="G17" t="n">
        <v>0.197546</v>
      </c>
      <c r="H17" t="n">
        <v>0.2017</v>
      </c>
      <c r="I17" t="n">
        <v>0.193368</v>
      </c>
      <c r="J17" t="n">
        <v>0.081132</v>
      </c>
      <c r="K17" t="n">
        <v>0.110168</v>
      </c>
      <c r="L17" t="n">
        <v>0.120147</v>
      </c>
      <c r="M17" t="n">
        <v>0.117683</v>
      </c>
      <c r="N17" t="n">
        <v>0.128085</v>
      </c>
      <c r="O17" t="n">
        <v>0.154412</v>
      </c>
      <c r="P17" t="n">
        <v>0.173353</v>
      </c>
      <c r="Q17" t="n">
        <v>0.172654</v>
      </c>
      <c r="R17" t="n">
        <v>0.165617</v>
      </c>
      <c r="S17" t="n">
        <v>0.153023</v>
      </c>
      <c r="T17" t="n">
        <v>0.148424</v>
      </c>
      <c r="U17" t="n">
        <v>0.142497</v>
      </c>
      <c r="V17" t="n">
        <v>0.136675</v>
      </c>
      <c r="W17" t="n">
        <v>0.135084</v>
      </c>
      <c r="X17" t="n">
        <v>0.132216</v>
      </c>
      <c r="Y17" t="n">
        <v>0.128964</v>
      </c>
      <c r="Z17" t="n">
        <v>0.12501</v>
      </c>
      <c r="AA17" t="n">
        <v>0.120905</v>
      </c>
      <c r="AB17" t="n">
        <v>0.116645</v>
      </c>
      <c r="AC17" t="n">
        <v>0.112229</v>
      </c>
      <c r="AD17" t="n">
        <v>0.107652</v>
      </c>
      <c r="AE17" t="n">
        <v>0.102967</v>
      </c>
      <c r="AF17" t="n">
        <v>0.09828199999999999</v>
      </c>
      <c r="AG17" s="31" t="n">
        <v>-0.033</v>
      </c>
    </row>
    <row r="18">
      <c r="A18" t="inlineStr">
        <is>
          <t>Biobutanol</t>
        </is>
      </c>
      <c r="B18" t="inlineStr">
        <is>
          <t>Renewable Energy: Marketed Use: Transportation: Biobutanol: High Zero-Carbon Technology Cost</t>
        </is>
      </c>
      <c r="C18" t="inlineStr">
        <is>
          <t>AEO.2025.HIGHZTC.CNSM_NA_TRN_NA_BIOB_NA_NA_NA.A</t>
        </is>
      </c>
      <c r="D18" t="inlineStr">
        <is>
          <t>quads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inlineStr">
        <is>
          <t>- -</t>
        </is>
      </c>
    </row>
    <row r="19">
      <c r="A19" t="inlineStr">
        <is>
          <t>Liquids from Biomass</t>
        </is>
      </c>
      <c r="B19" t="inlineStr">
        <is>
          <t>Renewable Energy: Marketed Use: Transportation: Liquids from Biomass: High Zero-Carbon Technology Cost</t>
        </is>
      </c>
      <c r="C19" t="inlineStr">
        <is>
          <t>AEO.2025.HIGHZTC.CNSM_NA_TRN_NA_LFB_NA_NA_QBTU.A</t>
        </is>
      </c>
      <c r="D19" t="inlineStr">
        <is>
          <t>quads</t>
        </is>
      </c>
      <c r="F19" t="n">
        <v>0.003143</v>
      </c>
      <c r="G19" t="n">
        <v>0.004242</v>
      </c>
      <c r="H19" t="n">
        <v>0.004192</v>
      </c>
      <c r="I19" t="n">
        <v>0.004247</v>
      </c>
      <c r="J19" t="n">
        <v>0.004249</v>
      </c>
      <c r="K19" t="n">
        <v>0.004249</v>
      </c>
      <c r="L19" t="n">
        <v>0.004249</v>
      </c>
      <c r="M19" t="n">
        <v>0.004192</v>
      </c>
      <c r="N19" t="n">
        <v>0.004199</v>
      </c>
      <c r="O19" t="n">
        <v>0.004193</v>
      </c>
      <c r="P19" t="n">
        <v>0.004193</v>
      </c>
      <c r="Q19" t="n">
        <v>0.004193</v>
      </c>
      <c r="R19" t="n">
        <v>0.004193</v>
      </c>
      <c r="S19" t="n">
        <v>0.004194</v>
      </c>
      <c r="T19" t="n">
        <v>0.004194</v>
      </c>
      <c r="U19" t="n">
        <v>0.004194</v>
      </c>
      <c r="V19" t="n">
        <v>0.004194</v>
      </c>
      <c r="W19" t="n">
        <v>0.004194</v>
      </c>
      <c r="X19" t="n">
        <v>0.004194</v>
      </c>
      <c r="Y19" t="n">
        <v>0.004194</v>
      </c>
      <c r="Z19" t="n">
        <v>0.004195</v>
      </c>
      <c r="AA19" t="n">
        <v>0.004195</v>
      </c>
      <c r="AB19" t="n">
        <v>0.004195</v>
      </c>
      <c r="AC19" t="n">
        <v>0.004195</v>
      </c>
      <c r="AD19" t="n">
        <v>0.004195</v>
      </c>
      <c r="AE19" t="n">
        <v>0.004195</v>
      </c>
      <c r="AF19" t="n">
        <v>0.004195</v>
      </c>
      <c r="AG19" s="31" t="n">
        <v>0.011</v>
      </c>
    </row>
    <row r="20">
      <c r="A20" t="inlineStr">
        <is>
          <t>Renewable Diesel and Gasoline</t>
        </is>
      </c>
      <c r="B20" t="inlineStr">
        <is>
          <t>Renewable Energy: Marketed Use: Transportation: Green Liquids: High Zero-Carbon Technology Cost</t>
        </is>
      </c>
      <c r="C20" t="inlineStr">
        <is>
          <t>AEO.2025.HIGHZTC.CNSM_NA_TRN_NA_GLQ_NA_NA_QBTU.A</t>
        </is>
      </c>
      <c r="D20" t="inlineStr">
        <is>
          <t>quads</t>
        </is>
      </c>
      <c r="F20" t="n">
        <v>0.376349</v>
      </c>
      <c r="G20" t="n">
        <v>0.428709</v>
      </c>
      <c r="H20" t="n">
        <v>0.444511</v>
      </c>
      <c r="I20" t="n">
        <v>0.430895</v>
      </c>
      <c r="J20" t="n">
        <v>0.385936</v>
      </c>
      <c r="K20" t="n">
        <v>0.37044</v>
      </c>
      <c r="L20" t="n">
        <v>0.379478</v>
      </c>
      <c r="M20" t="n">
        <v>0.401071</v>
      </c>
      <c r="N20" t="n">
        <v>0.416245</v>
      </c>
      <c r="O20" t="n">
        <v>0.417277</v>
      </c>
      <c r="P20" t="n">
        <v>0.424492</v>
      </c>
      <c r="Q20" t="n">
        <v>0.451056</v>
      </c>
      <c r="R20" t="n">
        <v>0.486606</v>
      </c>
      <c r="S20" t="n">
        <v>0.527328</v>
      </c>
      <c r="T20" t="n">
        <v>0.558113</v>
      </c>
      <c r="U20" t="n">
        <v>0.588867</v>
      </c>
      <c r="V20" t="n">
        <v>0.616272</v>
      </c>
      <c r="W20" t="n">
        <v>0.6379280000000001</v>
      </c>
      <c r="X20" t="n">
        <v>0.660545</v>
      </c>
      <c r="Y20" t="n">
        <v>0.678621</v>
      </c>
      <c r="Z20" t="n">
        <v>0.697449</v>
      </c>
      <c r="AA20" t="n">
        <v>0.712452</v>
      </c>
      <c r="AB20" t="n">
        <v>0.726581</v>
      </c>
      <c r="AC20" t="n">
        <v>0.737563</v>
      </c>
      <c r="AD20" t="n">
        <v>0.751297</v>
      </c>
      <c r="AE20" t="n">
        <v>0.760169</v>
      </c>
      <c r="AF20" t="n">
        <v>0.7668779999999999</v>
      </c>
      <c r="AG20" s="31" t="n">
        <v>0.028</v>
      </c>
    </row>
    <row r="21">
      <c r="A21" t="inlineStr">
        <is>
          <t>Electric Power</t>
        </is>
      </c>
      <c r="B21" t="inlineStr">
        <is>
          <t>Renewable Energy: Marketed Use: Electric Power: High Zero-Carbon Technology Cost</t>
        </is>
      </c>
      <c r="C21" t="inlineStr">
        <is>
          <t>AEO.2025.HIGHZTC.CNSM_NA_ELEP_NA_NA_NA_NA_QBTU.A</t>
        </is>
      </c>
      <c r="D21" t="inlineStr">
        <is>
          <t>quads</t>
        </is>
      </c>
      <c r="F21" t="n">
        <v>3.409441</v>
      </c>
      <c r="G21" t="n">
        <v>3.802485</v>
      </c>
      <c r="H21" t="n">
        <v>4.36894</v>
      </c>
      <c r="I21" t="n">
        <v>4.692803</v>
      </c>
      <c r="J21" t="n">
        <v>4.844075</v>
      </c>
      <c r="K21" t="n">
        <v>5.067399</v>
      </c>
      <c r="L21" t="n">
        <v>5.415482</v>
      </c>
      <c r="M21" t="n">
        <v>5.793836</v>
      </c>
      <c r="N21" t="n">
        <v>6.225558</v>
      </c>
      <c r="O21" t="n">
        <v>6.674434</v>
      </c>
      <c r="P21" t="n">
        <v>7.210943</v>
      </c>
      <c r="Q21" t="n">
        <v>7.849944</v>
      </c>
      <c r="R21" t="n">
        <v>8.451015999999999</v>
      </c>
      <c r="S21" t="n">
        <v>9.167358999999999</v>
      </c>
      <c r="T21" t="n">
        <v>9.648984</v>
      </c>
      <c r="U21" t="n">
        <v>10.328339</v>
      </c>
      <c r="V21" t="n">
        <v>10.649784</v>
      </c>
      <c r="W21" t="n">
        <v>10.80304</v>
      </c>
      <c r="X21" t="n">
        <v>10.975296</v>
      </c>
      <c r="Y21" t="n">
        <v>11.190046</v>
      </c>
      <c r="Z21" t="n">
        <v>11.380852</v>
      </c>
      <c r="AA21" t="n">
        <v>11.55542</v>
      </c>
      <c r="AB21" t="n">
        <v>11.771946</v>
      </c>
      <c r="AC21" t="n">
        <v>11.940047</v>
      </c>
      <c r="AD21" t="n">
        <v>12.114096</v>
      </c>
      <c r="AE21" t="n">
        <v>12.275303</v>
      </c>
      <c r="AF21" t="n">
        <v>12.507336</v>
      </c>
      <c r="AG21" s="31" t="n">
        <v>0.051</v>
      </c>
    </row>
    <row r="22">
      <c r="A22" t="inlineStr">
        <is>
          <t>Conventional Hydroelectric Power</t>
        </is>
      </c>
      <c r="B22" t="inlineStr">
        <is>
          <t>Renewable Energy: Marketed Use: Electric Power: Hydropower: High Zero-Carbon Technology Cost</t>
        </is>
      </c>
      <c r="C22" t="inlineStr">
        <is>
          <t>AEO.2025.HIGHZTC.CNSM_NA_ELEP_NA_HYD_CNV_NA_QBTU.A</t>
        </is>
      </c>
      <c r="D22" t="inlineStr">
        <is>
          <t>quads</t>
        </is>
      </c>
      <c r="F22" t="n">
        <v>0.826728</v>
      </c>
      <c r="G22" t="n">
        <v>0.8971519999999999</v>
      </c>
      <c r="H22" t="n">
        <v>0.931477</v>
      </c>
      <c r="I22" t="n">
        <v>0.9659</v>
      </c>
      <c r="J22" t="n">
        <v>0.966652</v>
      </c>
      <c r="K22" t="n">
        <v>0.966602</v>
      </c>
      <c r="L22" t="n">
        <v>0.968512</v>
      </c>
      <c r="M22" t="n">
        <v>0.9687519999999999</v>
      </c>
      <c r="N22" t="n">
        <v>0.9690029999999999</v>
      </c>
      <c r="O22" t="n">
        <v>0.969075</v>
      </c>
      <c r="P22" t="n">
        <v>0.969638</v>
      </c>
      <c r="Q22" t="n">
        <v>0.967771</v>
      </c>
      <c r="R22" t="n">
        <v>0.964381</v>
      </c>
      <c r="S22" t="n">
        <v>0.960529</v>
      </c>
      <c r="T22" t="n">
        <v>0.958948</v>
      </c>
      <c r="U22" t="n">
        <v>0.9518180000000001</v>
      </c>
      <c r="V22" t="n">
        <v>0.9505440000000001</v>
      </c>
      <c r="W22" t="n">
        <v>0.95869</v>
      </c>
      <c r="X22" t="n">
        <v>0.949528</v>
      </c>
      <c r="Y22" t="n">
        <v>0.936356</v>
      </c>
      <c r="Z22" t="n">
        <v>0.934708</v>
      </c>
      <c r="AA22" t="n">
        <v>0.932852</v>
      </c>
      <c r="AB22" t="n">
        <v>0.919088</v>
      </c>
      <c r="AC22" t="n">
        <v>0.934345</v>
      </c>
      <c r="AD22" t="n">
        <v>0.921085</v>
      </c>
      <c r="AE22" t="n">
        <v>0.936604</v>
      </c>
      <c r="AF22" t="n">
        <v>0.935078</v>
      </c>
      <c r="AG22" s="31" t="n">
        <v>0.005</v>
      </c>
    </row>
    <row r="23">
      <c r="A23" t="inlineStr">
        <is>
          <t>Geothermal</t>
        </is>
      </c>
      <c r="B23" t="inlineStr">
        <is>
          <t>Renewable Energy: Marketed Use: Electric Power: Geothermal: High Zero-Carbon Technology Cost</t>
        </is>
      </c>
      <c r="C23" t="inlineStr">
        <is>
          <t>AEO.2025.HIGHZTC.CNSM_NA_ELEP_NA_GEOTHM_NA_NA_QBTU.A</t>
        </is>
      </c>
      <c r="D23" t="inlineStr">
        <is>
          <t>quads</t>
        </is>
      </c>
      <c r="F23" t="n">
        <v>0.054585</v>
      </c>
      <c r="G23" t="n">
        <v>0.052606</v>
      </c>
      <c r="H23" t="n">
        <v>0.057384</v>
      </c>
      <c r="I23" t="n">
        <v>0.059912</v>
      </c>
      <c r="J23" t="n">
        <v>0.065179</v>
      </c>
      <c r="K23" t="n">
        <v>0.071533</v>
      </c>
      <c r="L23" t="n">
        <v>0.078267</v>
      </c>
      <c r="M23" t="n">
        <v>0.08501300000000001</v>
      </c>
      <c r="N23" t="n">
        <v>0.093808</v>
      </c>
      <c r="O23" t="n">
        <v>0.101664</v>
      </c>
      <c r="P23" t="n">
        <v>0.109557</v>
      </c>
      <c r="Q23" t="n">
        <v>0.117412</v>
      </c>
      <c r="R23" t="n">
        <v>0.125235</v>
      </c>
      <c r="S23" t="n">
        <v>0.134185</v>
      </c>
      <c r="T23" t="n">
        <v>0.142483</v>
      </c>
      <c r="U23" t="n">
        <v>0.149106</v>
      </c>
      <c r="V23" t="n">
        <v>0.156946</v>
      </c>
      <c r="W23" t="n">
        <v>0.163073</v>
      </c>
      <c r="X23" t="n">
        <v>0.169849</v>
      </c>
      <c r="Y23" t="n">
        <v>0.175511</v>
      </c>
      <c r="Z23" t="n">
        <v>0.181788</v>
      </c>
      <c r="AA23" t="n">
        <v>0.187546</v>
      </c>
      <c r="AB23" t="n">
        <v>0.192745</v>
      </c>
      <c r="AC23" t="n">
        <v>0.196904</v>
      </c>
      <c r="AD23" t="n">
        <v>0.199697</v>
      </c>
      <c r="AE23" t="n">
        <v>0.201521</v>
      </c>
      <c r="AF23" t="n">
        <v>0.20325</v>
      </c>
      <c r="AG23" s="31" t="n">
        <v>0.052</v>
      </c>
    </row>
    <row r="24">
      <c r="A24" t="inlineStr">
        <is>
          <t>Biogenic Municipal Waste</t>
        </is>
      </c>
      <c r="B24" t="inlineStr">
        <is>
          <t>Renewable Energy: Marketed Use: Electric Power: Biogenic Municipal Waste: High Zero-Carbon Technology Cost</t>
        </is>
      </c>
      <c r="C24" t="inlineStr">
        <is>
          <t>AEO.2025.HIGHZTC.CNSM_NA_ELEP_NA_BGM_NA_NA_QBTU.A</t>
        </is>
      </c>
      <c r="D24" t="inlineStr">
        <is>
          <t>quads</t>
        </is>
      </c>
      <c r="F24" t="n">
        <v>0.140012</v>
      </c>
      <c r="G24" t="n">
        <v>0.149728</v>
      </c>
      <c r="H24" t="n">
        <v>0.158626</v>
      </c>
      <c r="I24" t="n">
        <v>0.166548</v>
      </c>
      <c r="J24" t="n">
        <v>0.170602</v>
      </c>
      <c r="K24" t="n">
        <v>0.177605</v>
      </c>
      <c r="L24" t="n">
        <v>0.18093</v>
      </c>
      <c r="M24" t="n">
        <v>0.188011</v>
      </c>
      <c r="N24" t="n">
        <v>0.196481</v>
      </c>
      <c r="O24" t="n">
        <v>0.204321</v>
      </c>
      <c r="P24" t="n">
        <v>0.21057</v>
      </c>
      <c r="Q24" t="n">
        <v>0.216608</v>
      </c>
      <c r="R24" t="n">
        <v>0.223235</v>
      </c>
      <c r="S24" t="n">
        <v>0.231373</v>
      </c>
      <c r="T24" t="n">
        <v>0.240032</v>
      </c>
      <c r="U24" t="n">
        <v>0.245649</v>
      </c>
      <c r="V24" t="n">
        <v>0.251244</v>
      </c>
      <c r="W24" t="n">
        <v>0.257648</v>
      </c>
      <c r="X24" t="n">
        <v>0.26419</v>
      </c>
      <c r="Y24" t="n">
        <v>0.270703</v>
      </c>
      <c r="Z24" t="n">
        <v>0.274451</v>
      </c>
      <c r="AA24" t="n">
        <v>0.278182</v>
      </c>
      <c r="AB24" t="n">
        <v>0.281335</v>
      </c>
      <c r="AC24" t="n">
        <v>0.284447</v>
      </c>
      <c r="AD24" t="n">
        <v>0.287747</v>
      </c>
      <c r="AE24" t="n">
        <v>0.287894</v>
      </c>
      <c r="AF24" t="n">
        <v>0.288127</v>
      </c>
      <c r="AG24" s="31" t="n">
        <v>0.028</v>
      </c>
    </row>
    <row r="25" customFormat="1" s="34">
      <c r="A25" s="34" t="inlineStr">
        <is>
          <t>Biomass</t>
        </is>
      </c>
      <c r="B25" s="34" t="inlineStr">
        <is>
          <t>Renewable Energy: Marketed Use: Electric Power: Biomass: High Zero-Carbon Technology Cost</t>
        </is>
      </c>
      <c r="C25" s="34" t="inlineStr">
        <is>
          <t>AEO.2025.HIGHZTC.CNSM_NA_ELEP_NA_BMS_NA_NA_QBTU.A</t>
        </is>
      </c>
      <c r="D25" s="34" t="inlineStr">
        <is>
          <t>quads</t>
        </is>
      </c>
      <c r="F25" s="34" t="n">
        <v>0.167184</v>
      </c>
      <c r="G25" s="34" t="n">
        <v>0.1668</v>
      </c>
      <c r="H25" s="34" t="n">
        <v>0.166415</v>
      </c>
      <c r="I25" s="34" t="n">
        <v>0.166081</v>
      </c>
      <c r="J25" s="34" t="n">
        <v>0.155723</v>
      </c>
      <c r="K25" s="34" t="n">
        <v>0.155788</v>
      </c>
      <c r="L25" s="34" t="n">
        <v>0.157543</v>
      </c>
      <c r="M25" s="34" t="n">
        <v>0.156527</v>
      </c>
      <c r="N25" s="34" t="n">
        <v>0.160985</v>
      </c>
      <c r="O25" s="34" t="n">
        <v>0.161799</v>
      </c>
      <c r="P25" s="34" t="n">
        <v>0.16109</v>
      </c>
      <c r="Q25" s="34" t="n">
        <v>0.161113</v>
      </c>
      <c r="R25" s="34" t="n">
        <v>0.160452</v>
      </c>
      <c r="S25" s="34" t="n">
        <v>0.158351</v>
      </c>
      <c r="T25" s="34" t="n">
        <v>0.157438</v>
      </c>
      <c r="U25" s="34" t="n">
        <v>0.158791</v>
      </c>
      <c r="V25" s="34" t="n">
        <v>0.159685</v>
      </c>
      <c r="W25" s="34" t="n">
        <v>0.159987</v>
      </c>
      <c r="X25" s="34" t="n">
        <v>0.159966</v>
      </c>
      <c r="Y25" s="34" t="n">
        <v>0.159964</v>
      </c>
      <c r="Z25" s="34" t="n">
        <v>0.159915</v>
      </c>
      <c r="AA25" s="34" t="n">
        <v>0.159685</v>
      </c>
      <c r="AB25" s="34" t="n">
        <v>0.15992</v>
      </c>
      <c r="AC25" s="34" t="n">
        <v>0.160882</v>
      </c>
      <c r="AD25" s="34" t="n">
        <v>0.161696</v>
      </c>
      <c r="AE25" s="34" t="n">
        <v>0.165736</v>
      </c>
      <c r="AF25" s="34" t="n">
        <v>0.169202</v>
      </c>
      <c r="AG25" s="35" t="n">
        <v>0</v>
      </c>
    </row>
    <row r="26">
      <c r="A26" t="inlineStr">
        <is>
          <t>Dedicated Plants</t>
        </is>
      </c>
      <c r="B26" t="inlineStr">
        <is>
          <t>Renewable Energy: Marketed Use: Electric Power: Biomass: Dedicated Plants: High Zero-Carbon Technology Cost</t>
        </is>
      </c>
      <c r="C26" t="inlineStr">
        <is>
          <t>AEO.2025.HIGHZTC.CNSM_NA_ELEP_NA_DPE_NA_NA_QBTU.A</t>
        </is>
      </c>
      <c r="D26" t="inlineStr">
        <is>
          <t>quads</t>
        </is>
      </c>
      <c r="F26" t="n">
        <v>0.13592</v>
      </c>
      <c r="G26" t="n">
        <v>0.136125</v>
      </c>
      <c r="H26" t="n">
        <v>0.136176</v>
      </c>
      <c r="I26" t="n">
        <v>0.135907</v>
      </c>
      <c r="J26" t="n">
        <v>0.127875</v>
      </c>
      <c r="K26" t="n">
        <v>0.128431</v>
      </c>
      <c r="L26" t="n">
        <v>0.129779</v>
      </c>
      <c r="M26" t="n">
        <v>0.128913</v>
      </c>
      <c r="N26" t="n">
        <v>0.133544</v>
      </c>
      <c r="O26" t="n">
        <v>0.13424</v>
      </c>
      <c r="P26" t="n">
        <v>0.132904</v>
      </c>
      <c r="Q26" t="n">
        <v>0.132916</v>
      </c>
      <c r="R26" t="n">
        <v>0.13237</v>
      </c>
      <c r="S26" t="n">
        <v>0.130415</v>
      </c>
      <c r="T26" t="n">
        <v>0.129501</v>
      </c>
      <c r="U26" t="n">
        <v>0.131083</v>
      </c>
      <c r="V26" t="n">
        <v>0.132436</v>
      </c>
      <c r="W26" t="n">
        <v>0.13273</v>
      </c>
      <c r="X26" t="n">
        <v>0.132705</v>
      </c>
      <c r="Y26" t="n">
        <v>0.132653</v>
      </c>
      <c r="Z26" t="n">
        <v>0.1326</v>
      </c>
      <c r="AA26" t="n">
        <v>0.13239</v>
      </c>
      <c r="AB26" t="n">
        <v>0.132604</v>
      </c>
      <c r="AC26" t="n">
        <v>0.133492</v>
      </c>
      <c r="AD26" t="n">
        <v>0.134088</v>
      </c>
      <c r="AE26" t="n">
        <v>0.134859</v>
      </c>
      <c r="AF26" t="n">
        <v>0.137713</v>
      </c>
      <c r="AG26" s="31" t="n">
        <v>0.001</v>
      </c>
    </row>
    <row r="27">
      <c r="A27" t="inlineStr">
        <is>
          <t>Cofiring</t>
        </is>
      </c>
      <c r="B27" t="inlineStr">
        <is>
          <t>Renewable Energy: Marketed Use: Electric Power: Biomass: Cofiring: High Zero-Carbon Technology Cost</t>
        </is>
      </c>
      <c r="C27" t="inlineStr">
        <is>
          <t>AEO.2025.HIGHZTC.CNSM_NA_ELEP_NA_CFR_NA_NA_QBTU.A</t>
        </is>
      </c>
      <c r="D27" t="inlineStr">
        <is>
          <t>quads</t>
        </is>
      </c>
      <c r="F27" t="n">
        <v>0.031265</v>
      </c>
      <c r="G27" t="n">
        <v>0.030674</v>
      </c>
      <c r="H27" t="n">
        <v>0.030239</v>
      </c>
      <c r="I27" t="n">
        <v>0.030174</v>
      </c>
      <c r="J27" t="n">
        <v>0.027848</v>
      </c>
      <c r="K27" t="n">
        <v>0.027357</v>
      </c>
      <c r="L27" t="n">
        <v>0.027764</v>
      </c>
      <c r="M27" t="n">
        <v>0.027614</v>
      </c>
      <c r="N27" t="n">
        <v>0.027441</v>
      </c>
      <c r="O27" t="n">
        <v>0.027559</v>
      </c>
      <c r="P27" t="n">
        <v>0.028187</v>
      </c>
      <c r="Q27" t="n">
        <v>0.028197</v>
      </c>
      <c r="R27" t="n">
        <v>0.028081</v>
      </c>
      <c r="S27" t="n">
        <v>0.027936</v>
      </c>
      <c r="T27" t="n">
        <v>0.027937</v>
      </c>
      <c r="U27" t="n">
        <v>0.027708</v>
      </c>
      <c r="V27" t="n">
        <v>0.027249</v>
      </c>
      <c r="W27" t="n">
        <v>0.027258</v>
      </c>
      <c r="X27" t="n">
        <v>0.027261</v>
      </c>
      <c r="Y27" t="n">
        <v>0.027312</v>
      </c>
      <c r="Z27" t="n">
        <v>0.027314</v>
      </c>
      <c r="AA27" t="n">
        <v>0.027295</v>
      </c>
      <c r="AB27" t="n">
        <v>0.027315</v>
      </c>
      <c r="AC27" t="n">
        <v>0.02739</v>
      </c>
      <c r="AD27" t="n">
        <v>0.027608</v>
      </c>
      <c r="AE27" t="n">
        <v>0.030877</v>
      </c>
      <c r="AF27" t="n">
        <v>0.031489</v>
      </c>
      <c r="AG27" s="31" t="n">
        <v>0</v>
      </c>
    </row>
    <row r="28">
      <c r="A28" t="inlineStr">
        <is>
          <t>Solar Thermal</t>
        </is>
      </c>
      <c r="B28" t="inlineStr">
        <is>
          <t>Renewable Energy: Marketed Use: Electric Power: Solar Thermal: High Zero-Carbon Technology Cost</t>
        </is>
      </c>
      <c r="C28" t="inlineStr">
        <is>
          <t>AEO.2025.HIGHZTC.CNSM_NA_ELEP_NA_SLR_THERM_NA_QBTU.A</t>
        </is>
      </c>
      <c r="D28" t="inlineStr">
        <is>
          <t>quads</t>
        </is>
      </c>
      <c r="F28" t="n">
        <v>0.009175000000000001</v>
      </c>
      <c r="G28" t="n">
        <v>0.008685999999999999</v>
      </c>
      <c r="H28" t="n">
        <v>0.009688</v>
      </c>
      <c r="I28" t="n">
        <v>0.009693</v>
      </c>
      <c r="J28" t="n">
        <v>0.009657000000000001</v>
      </c>
      <c r="K28" t="n">
        <v>0.009675</v>
      </c>
      <c r="L28" t="n">
        <v>0.009679999999999999</v>
      </c>
      <c r="M28" t="n">
        <v>0.009669000000000001</v>
      </c>
      <c r="N28" t="n">
        <v>0.009663</v>
      </c>
      <c r="O28" t="n">
        <v>0.009686999999999999</v>
      </c>
      <c r="P28" t="n">
        <v>0.009677</v>
      </c>
      <c r="Q28" t="n">
        <v>0.009697000000000001</v>
      </c>
      <c r="R28" t="n">
        <v>0.009656</v>
      </c>
      <c r="S28" t="n">
        <v>0.009560000000000001</v>
      </c>
      <c r="T28" t="n">
        <v>0.009468000000000001</v>
      </c>
      <c r="U28" t="n">
        <v>0.007554</v>
      </c>
      <c r="V28" t="n">
        <v>0.006445</v>
      </c>
      <c r="W28" t="n">
        <v>0.007569</v>
      </c>
      <c r="X28" t="n">
        <v>0.007597</v>
      </c>
      <c r="Y28" t="n">
        <v>0.009075</v>
      </c>
      <c r="Z28" t="n">
        <v>0.009301</v>
      </c>
      <c r="AA28" t="n">
        <v>0.00924</v>
      </c>
      <c r="AB28" t="n">
        <v>0.009259999999999999</v>
      </c>
      <c r="AC28" t="n">
        <v>0.009197</v>
      </c>
      <c r="AD28" t="n">
        <v>0.00929</v>
      </c>
      <c r="AE28" t="n">
        <v>0.009221</v>
      </c>
      <c r="AF28" t="n">
        <v>0.009227000000000001</v>
      </c>
      <c r="AG28" s="31" t="n">
        <v>0</v>
      </c>
    </row>
    <row r="29">
      <c r="A29" t="inlineStr">
        <is>
          <t>Solar Photovoltaic</t>
        </is>
      </c>
      <c r="B29" t="inlineStr">
        <is>
          <t>Renewable Energy: Marketed Use: Electric Power: Solar Photovoltaic: High Zero-Carbon Technology Cost</t>
        </is>
      </c>
      <c r="C29" t="inlineStr">
        <is>
          <t>AEO.2025.HIGHZTC.CNSM_NA_ELEP_NA_SLR_PHTVL_NA_QBTU.A</t>
        </is>
      </c>
      <c r="D29" t="inlineStr">
        <is>
          <t>quads</t>
        </is>
      </c>
      <c r="F29" t="n">
        <v>0.687705</v>
      </c>
      <c r="G29" t="n">
        <v>0.930381</v>
      </c>
      <c r="H29" t="n">
        <v>1.247354</v>
      </c>
      <c r="I29" t="n">
        <v>1.342533</v>
      </c>
      <c r="J29" t="n">
        <v>1.36697</v>
      </c>
      <c r="K29" t="n">
        <v>1.436344</v>
      </c>
      <c r="L29" t="n">
        <v>1.580732</v>
      </c>
      <c r="M29" t="n">
        <v>1.732823</v>
      </c>
      <c r="N29" t="n">
        <v>1.908199</v>
      </c>
      <c r="O29" t="n">
        <v>2.036301</v>
      </c>
      <c r="P29" t="n">
        <v>2.170271</v>
      </c>
      <c r="Q29" t="n">
        <v>2.335254</v>
      </c>
      <c r="R29" t="n">
        <v>2.394927</v>
      </c>
      <c r="S29" t="n">
        <v>2.483112</v>
      </c>
      <c r="T29" t="n">
        <v>2.575211</v>
      </c>
      <c r="U29" t="n">
        <v>2.717169</v>
      </c>
      <c r="V29" t="n">
        <v>2.765637</v>
      </c>
      <c r="W29" t="n">
        <v>2.787745</v>
      </c>
      <c r="X29" t="n">
        <v>2.835044</v>
      </c>
      <c r="Y29" t="n">
        <v>2.950677</v>
      </c>
      <c r="Z29" t="n">
        <v>3.003978</v>
      </c>
      <c r="AA29" t="n">
        <v>3.085895</v>
      </c>
      <c r="AB29" t="n">
        <v>3.187423</v>
      </c>
      <c r="AC29" t="n">
        <v>3.275896</v>
      </c>
      <c r="AD29" t="n">
        <v>3.377473</v>
      </c>
      <c r="AE29" t="n">
        <v>3.452082</v>
      </c>
      <c r="AF29" t="n">
        <v>3.582758</v>
      </c>
      <c r="AG29" s="31" t="n">
        <v>0.066</v>
      </c>
    </row>
    <row r="30">
      <c r="A30" t="inlineStr">
        <is>
          <t>Wind</t>
        </is>
      </c>
      <c r="B30" t="inlineStr">
        <is>
          <t>Renewable Energy: Marketed Use: Electric Power: Wind: High Zero-Carbon Technology Cost</t>
        </is>
      </c>
      <c r="C30" t="inlineStr">
        <is>
          <t>AEO.2025.HIGHZTC.CNSM_NA_ELEP_NA_WND_NA_NA_QBTU.A</t>
        </is>
      </c>
      <c r="D30" t="inlineStr">
        <is>
          <t>quads</t>
        </is>
      </c>
      <c r="F30" t="n">
        <v>1.524052</v>
      </c>
      <c r="G30" t="n">
        <v>1.597133</v>
      </c>
      <c r="H30" t="n">
        <v>1.797997</v>
      </c>
      <c r="I30" t="n">
        <v>1.982137</v>
      </c>
      <c r="J30" t="n">
        <v>2.109292</v>
      </c>
      <c r="K30" t="n">
        <v>2.249853</v>
      </c>
      <c r="L30" t="n">
        <v>2.439818</v>
      </c>
      <c r="M30" t="n">
        <v>2.653042</v>
      </c>
      <c r="N30" t="n">
        <v>2.887419</v>
      </c>
      <c r="O30" t="n">
        <v>3.191586</v>
      </c>
      <c r="P30" t="n">
        <v>3.580139</v>
      </c>
      <c r="Q30" t="n">
        <v>4.04209</v>
      </c>
      <c r="R30" t="n">
        <v>4.573131</v>
      </c>
      <c r="S30" t="n">
        <v>5.190249</v>
      </c>
      <c r="T30" t="n">
        <v>5.565403</v>
      </c>
      <c r="U30" t="n">
        <v>6.098251</v>
      </c>
      <c r="V30" t="n">
        <v>6.359282</v>
      </c>
      <c r="W30" t="n">
        <v>6.468328</v>
      </c>
      <c r="X30" t="n">
        <v>6.589122</v>
      </c>
      <c r="Y30" t="n">
        <v>6.68776</v>
      </c>
      <c r="Z30" t="n">
        <v>6.816711</v>
      </c>
      <c r="AA30" t="n">
        <v>6.90202</v>
      </c>
      <c r="AB30" t="n">
        <v>7.022176</v>
      </c>
      <c r="AC30" t="n">
        <v>7.078376</v>
      </c>
      <c r="AD30" t="n">
        <v>7.157106</v>
      </c>
      <c r="AE30" t="n">
        <v>7.222245</v>
      </c>
      <c r="AF30" t="n">
        <v>7.319693</v>
      </c>
      <c r="AG30" s="31" t="n">
        <v>0.062</v>
      </c>
    </row>
    <row r="31">
      <c r="A31" t="inlineStr">
        <is>
          <t>Total Marketed Renewable Energy</t>
        </is>
      </c>
      <c r="B31" t="inlineStr">
        <is>
          <t>Renewable Energy: Total Marketed Renewable Energy Use: High Zero-Carbon Technology Cost</t>
        </is>
      </c>
      <c r="C31" t="inlineStr">
        <is>
          <t>AEO.2025.HIGHZTC.CNSM_NA_NA_NA_NA_NA_NA_QBTU.A</t>
        </is>
      </c>
      <c r="D31" t="inlineStr">
        <is>
          <t>quads</t>
        </is>
      </c>
      <c r="F31" t="n">
        <v>8.002606</v>
      </c>
      <c r="G31" t="n">
        <v>8.464848</v>
      </c>
      <c r="H31" t="n">
        <v>9.081258999999999</v>
      </c>
      <c r="I31" t="n">
        <v>9.377162</v>
      </c>
      <c r="J31" t="n">
        <v>9.366306</v>
      </c>
      <c r="K31" t="n">
        <v>9.606619999999999</v>
      </c>
      <c r="L31" t="n">
        <v>9.969779000000001</v>
      </c>
      <c r="M31" t="n">
        <v>10.356842</v>
      </c>
      <c r="N31" t="n">
        <v>10.791225</v>
      </c>
      <c r="O31" t="n">
        <v>11.227115</v>
      </c>
      <c r="P31" t="n">
        <v>11.76304</v>
      </c>
      <c r="Q31" t="n">
        <v>12.401015</v>
      </c>
      <c r="R31" t="n">
        <v>13.016922</v>
      </c>
      <c r="S31" t="n">
        <v>13.733831</v>
      </c>
      <c r="T31" t="n">
        <v>14.211114</v>
      </c>
      <c r="U31" t="n">
        <v>14.894747</v>
      </c>
      <c r="V31" t="n">
        <v>15.223579</v>
      </c>
      <c r="W31" t="n">
        <v>15.359642</v>
      </c>
      <c r="X31" t="n">
        <v>15.521223</v>
      </c>
      <c r="Y31" t="n">
        <v>15.720259</v>
      </c>
      <c r="Z31" t="n">
        <v>15.910612</v>
      </c>
      <c r="AA31" t="n">
        <v>16.093858</v>
      </c>
      <c r="AB31" t="n">
        <v>16.32051</v>
      </c>
      <c r="AC31" t="n">
        <v>16.506245</v>
      </c>
      <c r="AD31" t="n">
        <v>16.69458</v>
      </c>
      <c r="AE31" t="n">
        <v>16.875301</v>
      </c>
      <c r="AF31" t="n">
        <v>17.126247</v>
      </c>
      <c r="AG31" s="31" t="n">
        <v>0.03</v>
      </c>
    </row>
    <row r="32">
      <c r="A32" t="inlineStr">
        <is>
          <t>Sources of Ethanol</t>
        </is>
      </c>
    </row>
    <row r="33">
      <c r="A33" t="inlineStr">
        <is>
          <t>From Corn and Other Starch</t>
        </is>
      </c>
      <c r="B33" t="inlineStr">
        <is>
          <t>Renewable Energy: Sources of Ethanol: From Corn: High Zero-Carbon Technology Cost</t>
        </is>
      </c>
      <c r="C33" t="inlineStr">
        <is>
          <t>AEO.2025.HIGHZTC.SUP_PRD_FCO_NA_ETH_NA_NA_QBTU.A</t>
        </is>
      </c>
      <c r="D33" t="inlineStr">
        <is>
          <t>quads</t>
        </is>
      </c>
      <c r="F33" t="n">
        <v>1.319797</v>
      </c>
      <c r="G33" t="n">
        <v>1.32233</v>
      </c>
      <c r="H33" t="n">
        <v>1.33887</v>
      </c>
      <c r="I33" t="n">
        <v>1.339538</v>
      </c>
      <c r="J33" t="n">
        <v>1.339392</v>
      </c>
      <c r="K33" t="n">
        <v>1.331488</v>
      </c>
      <c r="L33" t="n">
        <v>1.324212</v>
      </c>
      <c r="M33" t="n">
        <v>1.308426</v>
      </c>
      <c r="N33" t="n">
        <v>1.294733</v>
      </c>
      <c r="O33" t="n">
        <v>1.272076</v>
      </c>
      <c r="P33" t="n">
        <v>1.250427</v>
      </c>
      <c r="Q33" t="n">
        <v>1.228365</v>
      </c>
      <c r="R33" t="n">
        <v>1.212994</v>
      </c>
      <c r="S33" t="n">
        <v>1.188613</v>
      </c>
      <c r="T33" t="n">
        <v>1.166628</v>
      </c>
      <c r="U33" t="n">
        <v>1.146074</v>
      </c>
      <c r="V33" t="n">
        <v>1.139453</v>
      </c>
      <c r="W33" t="n">
        <v>1.124409</v>
      </c>
      <c r="X33" t="n">
        <v>1.109761</v>
      </c>
      <c r="Y33" t="n">
        <v>1.100222</v>
      </c>
      <c r="Z33" t="n">
        <v>1.096753</v>
      </c>
      <c r="AA33" t="n">
        <v>1.097313</v>
      </c>
      <c r="AB33" t="n">
        <v>1.093469</v>
      </c>
      <c r="AC33" t="n">
        <v>1.093145</v>
      </c>
      <c r="AD33" t="n">
        <v>1.090353</v>
      </c>
      <c r="AE33" t="n">
        <v>1.092808</v>
      </c>
      <c r="AF33" t="n">
        <v>1.097584</v>
      </c>
      <c r="AG33" s="31" t="n">
        <v>-0.007</v>
      </c>
    </row>
    <row r="34">
      <c r="A34" t="inlineStr">
        <is>
          <t>From Cellulose</t>
        </is>
      </c>
      <c r="B34" t="inlineStr">
        <is>
          <t>Renewable Energy: Sources of Ethanol: From Cellulose: High Zero-Carbon Technology Cost</t>
        </is>
      </c>
      <c r="C34" t="inlineStr">
        <is>
          <t>AEO.2025.HIGHZTC.SUP_PRD_FCE_NA_ETH_NA_NA_QBTU.A</t>
        </is>
      </c>
      <c r="D34" t="inlineStr">
        <is>
          <t>quads</t>
        </is>
      </c>
      <c r="F34" t="n">
        <v>0.001493</v>
      </c>
      <c r="G34" t="n">
        <v>0.001479</v>
      </c>
      <c r="H34" t="n">
        <v>0.001468</v>
      </c>
      <c r="I34" t="n">
        <v>0.001468</v>
      </c>
      <c r="J34" t="n">
        <v>0.001468</v>
      </c>
      <c r="K34" t="n">
        <v>0.001468</v>
      </c>
      <c r="L34" t="n">
        <v>0.001468</v>
      </c>
      <c r="M34" t="n">
        <v>0.001468</v>
      </c>
      <c r="N34" t="n">
        <v>0.001468</v>
      </c>
      <c r="O34" t="n">
        <v>0.001468</v>
      </c>
      <c r="P34" t="n">
        <v>0.001468</v>
      </c>
      <c r="Q34" t="n">
        <v>0.001468</v>
      </c>
      <c r="R34" t="n">
        <v>0.001468</v>
      </c>
      <c r="S34" t="n">
        <v>0.001468</v>
      </c>
      <c r="T34" t="n">
        <v>0.001468</v>
      </c>
      <c r="U34" t="n">
        <v>0.001468</v>
      </c>
      <c r="V34" t="n">
        <v>0.001468</v>
      </c>
      <c r="W34" t="n">
        <v>0.001468</v>
      </c>
      <c r="X34" t="n">
        <v>0.001468</v>
      </c>
      <c r="Y34" t="n">
        <v>0.001468</v>
      </c>
      <c r="Z34" t="n">
        <v>0.001468</v>
      </c>
      <c r="AA34" t="n">
        <v>0.001468</v>
      </c>
      <c r="AB34" t="n">
        <v>0.001468</v>
      </c>
      <c r="AC34" t="n">
        <v>0.001468</v>
      </c>
      <c r="AD34" t="n">
        <v>0.001468</v>
      </c>
      <c r="AE34" t="n">
        <v>0.001468</v>
      </c>
      <c r="AF34" t="n">
        <v>0.001468</v>
      </c>
      <c r="AG34" s="31" t="n">
        <v>-0.001</v>
      </c>
    </row>
    <row r="35">
      <c r="A35" t="inlineStr">
        <is>
          <t>Net Imports</t>
        </is>
      </c>
      <c r="B35" t="inlineStr">
        <is>
          <t>Renewable Energy: Sources of Ethanol: Net Imports: High Zero-Carbon Technology Cost</t>
        </is>
      </c>
      <c r="C35" t="inlineStr">
        <is>
          <t>AEO.2025.HIGHZTC.SUP_NETIMP_NA_NA_ETH_NA_NA_QBTU.A</t>
        </is>
      </c>
      <c r="D35" t="inlineStr">
        <is>
          <t>quads</t>
        </is>
      </c>
      <c r="F35" t="n">
        <v>-0.159206</v>
      </c>
      <c r="G35" t="n">
        <v>-0.156104</v>
      </c>
      <c r="H35" t="n">
        <v>-0.150285</v>
      </c>
      <c r="I35" t="n">
        <v>-0.15056</v>
      </c>
      <c r="J35" t="n">
        <v>-0.159336</v>
      </c>
      <c r="K35" t="n">
        <v>-0.164902</v>
      </c>
      <c r="L35" t="n">
        <v>-0.177583</v>
      </c>
      <c r="M35" t="n">
        <v>-0.182073</v>
      </c>
      <c r="N35" t="n">
        <v>-0.194759</v>
      </c>
      <c r="O35" t="n">
        <v>-0.199622</v>
      </c>
      <c r="P35" t="n">
        <v>-0.204611</v>
      </c>
      <c r="Q35" t="n">
        <v>-0.209726</v>
      </c>
      <c r="R35" t="n">
        <v>-0.224739</v>
      </c>
      <c r="S35" t="n">
        <v>-0.230367</v>
      </c>
      <c r="T35" t="n">
        <v>-0.236128</v>
      </c>
      <c r="U35" t="n">
        <v>-0.24202</v>
      </c>
      <c r="V35" t="n">
        <v>-0.258864</v>
      </c>
      <c r="W35" t="n">
        <v>-0.26534</v>
      </c>
      <c r="X35" t="n">
        <v>-0.271971</v>
      </c>
      <c r="Y35" t="n">
        <v>-0.278774</v>
      </c>
      <c r="Z35" t="n">
        <v>-0.291909</v>
      </c>
      <c r="AA35" t="n">
        <v>-0.305083</v>
      </c>
      <c r="AB35" t="n">
        <v>-0.312708</v>
      </c>
      <c r="AC35" t="n">
        <v>-0.32053</v>
      </c>
      <c r="AD35" t="n">
        <v>-0.328531</v>
      </c>
      <c r="AE35" t="n">
        <v>-0.336748</v>
      </c>
      <c r="AF35" t="n">
        <v>-0.34518</v>
      </c>
      <c r="AG35" s="31" t="n">
        <v>0.03</v>
      </c>
    </row>
    <row r="36">
      <c r="A36" t="inlineStr">
        <is>
          <t>Total U.S. Supply of Ethanol</t>
        </is>
      </c>
      <c r="B36" t="inlineStr">
        <is>
          <t>Renewable Energy: Total U.S. Supply of Ethanol: High Zero-Carbon Technology Cost</t>
        </is>
      </c>
      <c r="C36" t="inlineStr">
        <is>
          <t>AEO.2025.HIGHZTC.SUP_NA_NA_NA_ETH_NA_NA_QBTU.A</t>
        </is>
      </c>
      <c r="D36" t="inlineStr">
        <is>
          <t>quads</t>
        </is>
      </c>
      <c r="F36" t="n">
        <v>1.162084</v>
      </c>
      <c r="G36" t="n">
        <v>1.167705</v>
      </c>
      <c r="H36" t="n">
        <v>1.190053</v>
      </c>
      <c r="I36" t="n">
        <v>1.190446</v>
      </c>
      <c r="J36" t="n">
        <v>1.181524</v>
      </c>
      <c r="K36" t="n">
        <v>1.168054</v>
      </c>
      <c r="L36" t="n">
        <v>1.148098</v>
      </c>
      <c r="M36" t="n">
        <v>1.12782</v>
      </c>
      <c r="N36" t="n">
        <v>1.101442</v>
      </c>
      <c r="O36" t="n">
        <v>1.073922</v>
      </c>
      <c r="P36" t="n">
        <v>1.047284</v>
      </c>
      <c r="Q36" t="n">
        <v>1.020107</v>
      </c>
      <c r="R36" t="n">
        <v>0.989723</v>
      </c>
      <c r="S36" t="n">
        <v>0.959713</v>
      </c>
      <c r="T36" t="n">
        <v>0.931968</v>
      </c>
      <c r="U36" t="n">
        <v>0.905522</v>
      </c>
      <c r="V36" t="n">
        <v>0.882057</v>
      </c>
      <c r="W36" t="n">
        <v>0.860537</v>
      </c>
      <c r="X36" t="n">
        <v>0.839259</v>
      </c>
      <c r="Y36" t="n">
        <v>0.822916</v>
      </c>
      <c r="Z36" t="n">
        <v>0.806312</v>
      </c>
      <c r="AA36" t="n">
        <v>0.793698</v>
      </c>
      <c r="AB36" t="n">
        <v>0.782229</v>
      </c>
      <c r="AC36" t="n">
        <v>0.774083</v>
      </c>
      <c r="AD36" t="n">
        <v>0.76329</v>
      </c>
      <c r="AE36" t="n">
        <v>0.757528</v>
      </c>
      <c r="AF36" t="n">
        <v>0.753872</v>
      </c>
      <c r="AG36" s="31" t="n">
        <v>-0.017</v>
      </c>
    </row>
    <row r="37">
      <c r="A37" t="inlineStr">
        <is>
          <t>Nonmarketed Renewable Energy</t>
        </is>
      </c>
    </row>
    <row r="38">
      <c r="A38" t="inlineStr">
        <is>
          <t>Selected Consumption</t>
        </is>
      </c>
    </row>
    <row r="39">
      <c r="A39" t="inlineStr">
        <is>
          <t>Residential</t>
        </is>
      </c>
      <c r="B39" t="inlineStr">
        <is>
          <t>Renewable Energy: Nonmarketed Selected Use: Residential: High Zero-Carbon Technology Cost</t>
        </is>
      </c>
      <c r="C39" t="inlineStr">
        <is>
          <t>AEO.2025.HIGHZTC.CNSM_NA_RESD_NA_NA_NA_NA_QBTU.A</t>
        </is>
      </c>
      <c r="D39" t="inlineStr">
        <is>
          <t>quads</t>
        </is>
      </c>
      <c r="F39" t="n">
        <v>0.25071</v>
      </c>
      <c r="G39" t="n">
        <v>0.287551</v>
      </c>
      <c r="H39" t="n">
        <v>0.325135</v>
      </c>
      <c r="I39" t="n">
        <v>0.359367</v>
      </c>
      <c r="J39" t="n">
        <v>0.394318</v>
      </c>
      <c r="K39" t="n">
        <v>0.425814</v>
      </c>
      <c r="L39" t="n">
        <v>0.460232</v>
      </c>
      <c r="M39" t="n">
        <v>0.496958</v>
      </c>
      <c r="N39" t="n">
        <v>0.533473</v>
      </c>
      <c r="O39" t="n">
        <v>0.567727</v>
      </c>
      <c r="P39" t="n">
        <v>0.602256</v>
      </c>
      <c r="Q39" t="n">
        <v>0.6284110000000001</v>
      </c>
      <c r="R39" t="n">
        <v>0.655407</v>
      </c>
      <c r="S39" t="n">
        <v>0.682429</v>
      </c>
      <c r="T39" t="n">
        <v>0.710772</v>
      </c>
      <c r="U39" t="n">
        <v>0.73927</v>
      </c>
      <c r="V39" t="n">
        <v>0.767411</v>
      </c>
      <c r="W39" t="n">
        <v>0.7965449999999999</v>
      </c>
      <c r="X39" t="n">
        <v>0.8267060000000001</v>
      </c>
      <c r="Y39" t="n">
        <v>0.857196</v>
      </c>
      <c r="Z39" t="n">
        <v>0.888113</v>
      </c>
      <c r="AA39" t="n">
        <v>0.920087</v>
      </c>
      <c r="AB39" t="n">
        <v>0.952824</v>
      </c>
      <c r="AC39" t="n">
        <v>0.986141</v>
      </c>
      <c r="AD39" t="n">
        <v>1.020414</v>
      </c>
      <c r="AE39" t="n">
        <v>1.055277</v>
      </c>
      <c r="AF39" t="n">
        <v>1.090701</v>
      </c>
      <c r="AG39" s="31" t="n">
        <v>0.058</v>
      </c>
    </row>
    <row r="40">
      <c r="A40" t="inlineStr">
        <is>
          <t>Solar Hot Water Heating</t>
        </is>
      </c>
      <c r="B40" t="inlineStr">
        <is>
          <t>Renewable Energy: Nonmarketed Selected Use: Residential: Solar Hot Water Heating: High Zero-Carbon Technology Cost</t>
        </is>
      </c>
      <c r="C40" t="inlineStr">
        <is>
          <t>AEO.2025.HIGHZTC.CNSM_NA_RESD_NA_SHW_NA_NA_QBTU.A</t>
        </is>
      </c>
      <c r="D40" t="inlineStr">
        <is>
          <t>quads</t>
        </is>
      </c>
      <c r="F40" t="n">
        <v>0.035525</v>
      </c>
      <c r="G40" t="n">
        <v>0.042155</v>
      </c>
      <c r="H40" t="n">
        <v>0.049198</v>
      </c>
      <c r="I40" t="n">
        <v>0.055102</v>
      </c>
      <c r="J40" t="n">
        <v>0.061131</v>
      </c>
      <c r="K40" t="n">
        <v>0.06332699999999999</v>
      </c>
      <c r="L40" t="n">
        <v>0.066036</v>
      </c>
      <c r="M40" t="n">
        <v>0.06847399999999999</v>
      </c>
      <c r="N40" t="n">
        <v>0.07106899999999999</v>
      </c>
      <c r="O40" t="n">
        <v>0.07102899999999999</v>
      </c>
      <c r="P40" t="n">
        <v>0.07183</v>
      </c>
      <c r="Q40" t="n">
        <v>0.071849</v>
      </c>
      <c r="R40" t="n">
        <v>0.07191599999999999</v>
      </c>
      <c r="S40" t="n">
        <v>0.071802</v>
      </c>
      <c r="T40" t="n">
        <v>0.071685</v>
      </c>
      <c r="U40" t="n">
        <v>0.071601</v>
      </c>
      <c r="V40" t="n">
        <v>0.070627</v>
      </c>
      <c r="W40" t="n">
        <v>0.07049900000000001</v>
      </c>
      <c r="X40" t="n">
        <v>0.070575</v>
      </c>
      <c r="Y40" t="n">
        <v>0.070644</v>
      </c>
      <c r="Z40" t="n">
        <v>0.070711</v>
      </c>
      <c r="AA40" t="n">
        <v>0.070803</v>
      </c>
      <c r="AB40" t="n">
        <v>0.071024</v>
      </c>
      <c r="AC40" t="n">
        <v>0.070883</v>
      </c>
      <c r="AD40" t="n">
        <v>0.070941</v>
      </c>
      <c r="AE40" t="n">
        <v>0.070838</v>
      </c>
      <c r="AF40" t="n">
        <v>0.07093000000000001</v>
      </c>
      <c r="AG40" s="31" t="n">
        <v>0.027</v>
      </c>
    </row>
    <row r="41">
      <c r="A41" t="inlineStr">
        <is>
          <t>Solar Photovoltaic</t>
        </is>
      </c>
      <c r="B41" t="inlineStr">
        <is>
          <t>Renewable Energy: Nonmarketed Selected Use: Residential: Solar Photovoltaic: High Zero-Carbon Technology Cost</t>
        </is>
      </c>
      <c r="C41" t="inlineStr">
        <is>
          <t>AEO.2025.HIGHZTC.CNSM_NA_RESD_NA_SLR_PHTVL_NA_QBTU.A</t>
        </is>
      </c>
      <c r="D41" t="inlineStr">
        <is>
          <t>quads</t>
        </is>
      </c>
      <c r="F41" t="n">
        <v>0.213925</v>
      </c>
      <c r="G41" t="n">
        <v>0.243256</v>
      </c>
      <c r="H41" t="n">
        <v>0.272936</v>
      </c>
      <c r="I41" t="n">
        <v>0.300863</v>
      </c>
      <c r="J41" t="n">
        <v>0.329338</v>
      </c>
      <c r="K41" t="n">
        <v>0.358154</v>
      </c>
      <c r="L41" t="n">
        <v>0.388935</v>
      </c>
      <c r="M41" t="n">
        <v>0.422001</v>
      </c>
      <c r="N41" t="n">
        <v>0.45468</v>
      </c>
      <c r="O41" t="n">
        <v>0.488552</v>
      </c>
      <c r="P41" t="n">
        <v>0.522083</v>
      </c>
      <c r="Q41" t="n">
        <v>0.548214</v>
      </c>
      <c r="R41" t="n">
        <v>0.575139</v>
      </c>
      <c r="S41" t="n">
        <v>0.602267</v>
      </c>
      <c r="T41" t="n">
        <v>0.630719</v>
      </c>
      <c r="U41" t="n">
        <v>0.659294</v>
      </c>
      <c r="V41" t="n">
        <v>0.6884</v>
      </c>
      <c r="W41" t="n">
        <v>0.717651</v>
      </c>
      <c r="X41" t="n">
        <v>0.7477240000000001</v>
      </c>
      <c r="Y41" t="n">
        <v>0.778135</v>
      </c>
      <c r="Z41" t="n">
        <v>0.8089730000000001</v>
      </c>
      <c r="AA41" t="n">
        <v>0.840843</v>
      </c>
      <c r="AB41" t="n">
        <v>0.873347</v>
      </c>
      <c r="AC41" t="n">
        <v>0.906792</v>
      </c>
      <c r="AD41" t="n">
        <v>0.9409920000000001</v>
      </c>
      <c r="AE41" t="n">
        <v>0.975945</v>
      </c>
      <c r="AF41" t="n">
        <v>1.011262</v>
      </c>
      <c r="AG41" s="31" t="n">
        <v>0.062</v>
      </c>
    </row>
    <row r="42">
      <c r="A42" t="inlineStr">
        <is>
          <t>Wind</t>
        </is>
      </c>
      <c r="B42" t="inlineStr">
        <is>
          <t>Renewable Energy: Nonmarketed Selected Use: Residential: Wind: High Zero-Carbon Technology Cost</t>
        </is>
      </c>
      <c r="C42" t="inlineStr">
        <is>
          <t>AEO.2025.HIGHZTC.CNSM_NA_RESD_NA_WND_NA_NA_QBTU.A</t>
        </is>
      </c>
      <c r="D42" t="inlineStr">
        <is>
          <t>quads</t>
        </is>
      </c>
      <c r="F42" t="n">
        <v>0.00126</v>
      </c>
      <c r="G42" t="n">
        <v>0.00214</v>
      </c>
      <c r="H42" t="n">
        <v>0.003001</v>
      </c>
      <c r="I42" t="n">
        <v>0.003401</v>
      </c>
      <c r="J42" t="n">
        <v>0.003849</v>
      </c>
      <c r="K42" t="n">
        <v>0.004333</v>
      </c>
      <c r="L42" t="n">
        <v>0.005261</v>
      </c>
      <c r="M42" t="n">
        <v>0.006483</v>
      </c>
      <c r="N42" t="n">
        <v>0.007725</v>
      </c>
      <c r="O42" t="n">
        <v>0.008146</v>
      </c>
      <c r="P42" t="n">
        <v>0.008342</v>
      </c>
      <c r="Q42" t="n">
        <v>0.008347</v>
      </c>
      <c r="R42" t="n">
        <v>0.008352999999999999</v>
      </c>
      <c r="S42" t="n">
        <v>0.008359</v>
      </c>
      <c r="T42" t="n">
        <v>0.008366999999999999</v>
      </c>
      <c r="U42" t="n">
        <v>0.008375</v>
      </c>
      <c r="V42" t="n">
        <v>0.008385</v>
      </c>
      <c r="W42" t="n">
        <v>0.008395</v>
      </c>
      <c r="X42" t="n">
        <v>0.008406</v>
      </c>
      <c r="Y42" t="n">
        <v>0.008416999999999999</v>
      </c>
      <c r="Z42" t="n">
        <v>0.008429000000000001</v>
      </c>
      <c r="AA42" t="n">
        <v>0.008441000000000001</v>
      </c>
      <c r="AB42" t="n">
        <v>0.008453</v>
      </c>
      <c r="AC42" t="n">
        <v>0.008466</v>
      </c>
      <c r="AD42" t="n">
        <v>0.00848</v>
      </c>
      <c r="AE42" t="n">
        <v>0.008494</v>
      </c>
      <c r="AF42" t="n">
        <v>0.008508999999999999</v>
      </c>
      <c r="AG42" s="31" t="n">
        <v>0.076</v>
      </c>
    </row>
    <row r="43">
      <c r="A43" t="inlineStr">
        <is>
          <t>Commercial</t>
        </is>
      </c>
      <c r="B43" t="inlineStr">
        <is>
          <t>Renewable Energy: Nonmarketed Selected Use: Commercial: High Zero-Carbon Technology Cost</t>
        </is>
      </c>
      <c r="C43" t="inlineStr">
        <is>
          <t>AEO.2025.HIGHZTC.CNSM_NA_COMM_NA_NA_NA_NA_QBTU.A</t>
        </is>
      </c>
      <c r="D43" t="inlineStr">
        <is>
          <t>quads</t>
        </is>
      </c>
      <c r="F43" t="n">
        <v>0.208187</v>
      </c>
      <c r="G43" t="n">
        <v>0.222623</v>
      </c>
      <c r="H43" t="n">
        <v>0.238958</v>
      </c>
      <c r="I43" t="n">
        <v>0.245164</v>
      </c>
      <c r="J43" t="n">
        <v>0.251295</v>
      </c>
      <c r="K43" t="n">
        <v>0.260626</v>
      </c>
      <c r="L43" t="n">
        <v>0.272261</v>
      </c>
      <c r="M43" t="n">
        <v>0.286451</v>
      </c>
      <c r="N43" t="n">
        <v>0.299791</v>
      </c>
      <c r="O43" t="n">
        <v>0.313572</v>
      </c>
      <c r="P43" t="n">
        <v>0.324101</v>
      </c>
      <c r="Q43" t="n">
        <v>0.330456</v>
      </c>
      <c r="R43" t="n">
        <v>0.335851</v>
      </c>
      <c r="S43" t="n">
        <v>0.341582</v>
      </c>
      <c r="T43" t="n">
        <v>0.35017</v>
      </c>
      <c r="U43" t="n">
        <v>0.354886</v>
      </c>
      <c r="V43" t="n">
        <v>0.359193</v>
      </c>
      <c r="W43" t="n">
        <v>0.36735</v>
      </c>
      <c r="X43" t="n">
        <v>0.375429</v>
      </c>
      <c r="Y43" t="n">
        <v>0.384299</v>
      </c>
      <c r="Z43" t="n">
        <v>0.393278</v>
      </c>
      <c r="AA43" t="n">
        <v>0.402495</v>
      </c>
      <c r="AB43" t="n">
        <v>0.410938</v>
      </c>
      <c r="AC43" t="n">
        <v>0.42058</v>
      </c>
      <c r="AD43" t="n">
        <v>0.430687</v>
      </c>
      <c r="AE43" t="n">
        <v>0.440464</v>
      </c>
      <c r="AF43" t="n">
        <v>0.451111</v>
      </c>
      <c r="AG43" s="31" t="n">
        <v>0.03</v>
      </c>
    </row>
    <row r="44">
      <c r="A44" t="inlineStr">
        <is>
          <t>Solar Thermal</t>
        </is>
      </c>
      <c r="B44" t="inlineStr">
        <is>
          <t>Renewable Energy: Nonmarketed Selected Use: Commercial: Solar Thermal: High Zero-Carbon Technology Cost</t>
        </is>
      </c>
      <c r="C44" t="inlineStr">
        <is>
          <t>AEO.2025.HIGHZTC.CNSM_NA_COMM_NA_SLR_THERM_NA_QBTU.A</t>
        </is>
      </c>
      <c r="D44" t="inlineStr">
        <is>
          <t>quads</t>
        </is>
      </c>
      <c r="F44" t="n">
        <v>0.06597</v>
      </c>
      <c r="G44" t="n">
        <v>0.063523</v>
      </c>
      <c r="H44" t="n">
        <v>0.063384</v>
      </c>
      <c r="I44" t="n">
        <v>0.062599</v>
      </c>
      <c r="J44" t="n">
        <v>0.061945</v>
      </c>
      <c r="K44" t="n">
        <v>0.061423</v>
      </c>
      <c r="L44" t="n">
        <v>0.061378</v>
      </c>
      <c r="M44" t="n">
        <v>0.060735</v>
      </c>
      <c r="N44" t="n">
        <v>0.060531</v>
      </c>
      <c r="O44" t="n">
        <v>0.05826</v>
      </c>
      <c r="P44" t="n">
        <v>0.058207</v>
      </c>
      <c r="Q44" t="n">
        <v>0.058237</v>
      </c>
      <c r="R44" t="n">
        <v>0.05822</v>
      </c>
      <c r="S44" t="n">
        <v>0.058091</v>
      </c>
      <c r="T44" t="n">
        <v>0.057848</v>
      </c>
      <c r="U44" t="n">
        <v>0.057545</v>
      </c>
      <c r="V44" t="n">
        <v>0.056179</v>
      </c>
      <c r="W44" t="n">
        <v>0.05599</v>
      </c>
      <c r="X44" t="n">
        <v>0.055925</v>
      </c>
      <c r="Y44" t="n">
        <v>0.055866</v>
      </c>
      <c r="Z44" t="n">
        <v>0.055858</v>
      </c>
      <c r="AA44" t="n">
        <v>0.055775</v>
      </c>
      <c r="AB44" t="n">
        <v>0.055778</v>
      </c>
      <c r="AC44" t="n">
        <v>0.055605</v>
      </c>
      <c r="AD44" t="n">
        <v>0.055572</v>
      </c>
      <c r="AE44" t="n">
        <v>0.055527</v>
      </c>
      <c r="AF44" t="n">
        <v>0.05545</v>
      </c>
      <c r="AG44" s="31" t="n">
        <v>-0.007</v>
      </c>
    </row>
    <row r="45">
      <c r="A45" t="inlineStr">
        <is>
          <t>Solar Photovoltaic</t>
        </is>
      </c>
      <c r="B45" t="inlineStr">
        <is>
          <t>Renewable Energy: Nonmarketed Selected Use: Commercial: Solar Photovoltaic: High Zero-Carbon Technology Cost</t>
        </is>
      </c>
      <c r="C45" t="inlineStr">
        <is>
          <t>AEO.2025.HIGHZTC.CNSM_NA_COMM_NA_SLR_PHTVL_NA_QBTU.A</t>
        </is>
      </c>
      <c r="D45" t="inlineStr">
        <is>
          <t>quads</t>
        </is>
      </c>
      <c r="F45" t="n">
        <v>0.139688</v>
      </c>
      <c r="G45" t="n">
        <v>0.156569</v>
      </c>
      <c r="H45" t="n">
        <v>0.173044</v>
      </c>
      <c r="I45" t="n">
        <v>0.180036</v>
      </c>
      <c r="J45" t="n">
        <v>0.186819</v>
      </c>
      <c r="K45" t="n">
        <v>0.196667</v>
      </c>
      <c r="L45" t="n">
        <v>0.208341</v>
      </c>
      <c r="M45" t="n">
        <v>0.223166</v>
      </c>
      <c r="N45" t="n">
        <v>0.2367</v>
      </c>
      <c r="O45" t="n">
        <v>0.252736</v>
      </c>
      <c r="P45" t="n">
        <v>0.263313</v>
      </c>
      <c r="Q45" t="n">
        <v>0.269636</v>
      </c>
      <c r="R45" t="n">
        <v>0.275047</v>
      </c>
      <c r="S45" t="n">
        <v>0.280907</v>
      </c>
      <c r="T45" t="n">
        <v>0.289735</v>
      </c>
      <c r="U45" t="n">
        <v>0.29475</v>
      </c>
      <c r="V45" t="n">
        <v>0.300421</v>
      </c>
      <c r="W45" t="n">
        <v>0.308763</v>
      </c>
      <c r="X45" t="n">
        <v>0.316904</v>
      </c>
      <c r="Y45" t="n">
        <v>0.325831</v>
      </c>
      <c r="Z45" t="n">
        <v>0.334814</v>
      </c>
      <c r="AA45" t="n">
        <v>0.34411</v>
      </c>
      <c r="AB45" t="n">
        <v>0.352546</v>
      </c>
      <c r="AC45" t="n">
        <v>0.362357</v>
      </c>
      <c r="AD45" t="n">
        <v>0.372492</v>
      </c>
      <c r="AE45" t="n">
        <v>0.382311</v>
      </c>
      <c r="AF45" t="n">
        <v>0.393028</v>
      </c>
      <c r="AG45" s="31" t="n">
        <v>0.041</v>
      </c>
    </row>
    <row r="46">
      <c r="A46" t="inlineStr">
        <is>
          <t>Wind</t>
        </is>
      </c>
      <c r="B46" t="inlineStr">
        <is>
          <t>Renewable Energy: Nonmarketed Selected Use: Commercial: Wind: High Zero-Carbon Technology Cost</t>
        </is>
      </c>
      <c r="C46" t="inlineStr">
        <is>
          <t>AEO.2025.HIGHZTC.CNSM_NA_COMM_NA_WND_NA_NA_QBTU.A</t>
        </is>
      </c>
      <c r="D46" t="inlineStr">
        <is>
          <t>quads</t>
        </is>
      </c>
      <c r="F46" t="n">
        <v>0.002529</v>
      </c>
      <c r="G46" t="n">
        <v>0.002531</v>
      </c>
      <c r="H46" t="n">
        <v>0.00253</v>
      </c>
      <c r="I46" t="n">
        <v>0.00253</v>
      </c>
      <c r="J46" t="n">
        <v>0.00253</v>
      </c>
      <c r="K46" t="n">
        <v>0.002536</v>
      </c>
      <c r="L46" t="n">
        <v>0.002542</v>
      </c>
      <c r="M46" t="n">
        <v>0.002549</v>
      </c>
      <c r="N46" t="n">
        <v>0.00256</v>
      </c>
      <c r="O46" t="n">
        <v>0.002576</v>
      </c>
      <c r="P46" t="n">
        <v>0.002582</v>
      </c>
      <c r="Q46" t="n">
        <v>0.002583</v>
      </c>
      <c r="R46" t="n">
        <v>0.002584</v>
      </c>
      <c r="S46" t="n">
        <v>0.002585</v>
      </c>
      <c r="T46" t="n">
        <v>0.002588</v>
      </c>
      <c r="U46" t="n">
        <v>0.00259</v>
      </c>
      <c r="V46" t="n">
        <v>0.002593</v>
      </c>
      <c r="W46" t="n">
        <v>0.002597</v>
      </c>
      <c r="X46" t="n">
        <v>0.0026</v>
      </c>
      <c r="Y46" t="n">
        <v>0.002602</v>
      </c>
      <c r="Z46" t="n">
        <v>0.002606</v>
      </c>
      <c r="AA46" t="n">
        <v>0.002611</v>
      </c>
      <c r="AB46" t="n">
        <v>0.002614</v>
      </c>
      <c r="AC46" t="n">
        <v>0.002618</v>
      </c>
      <c r="AD46" t="n">
        <v>0.002622</v>
      </c>
      <c r="AE46" t="n">
        <v>0.002626</v>
      </c>
      <c r="AF46" t="n">
        <v>0.002632</v>
      </c>
      <c r="AG46" s="31" t="n">
        <v>0.002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159"/>
  <sheetViews>
    <sheetView topLeftCell="A133" workbookViewId="0">
      <selection activeCell="B145" sqref="B145"/>
    </sheetView>
  </sheetViews>
  <sheetFormatPr baseColWidth="8" defaultRowHeight="14.25"/>
  <sheetData>
    <row r="1">
      <c r="A1" t="inlineStr">
        <is>
          <t>Table 2.  Energy Consumption by Sector and Source</t>
        </is>
      </c>
    </row>
    <row r="2">
      <c r="A2" t="inlineStr">
        <is>
          <t>https://www.eia.gov/outlooks/aeo/data/browser/#/?id=2-AEO2026&amp;cases=electrnp&amp;sourcekey=0</t>
        </is>
      </c>
    </row>
    <row r="3">
      <c r="A3" t="inlineStr">
        <is>
          <t>Thu Apr 23 2026 14:57:29 GMT-0700 (Pacific Daylight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2025</v>
      </c>
      <c r="F5" t="n">
        <v>2026</v>
      </c>
      <c r="G5" t="n">
        <v>2027</v>
      </c>
      <c r="H5" t="n">
        <v>2028</v>
      </c>
      <c r="I5" t="n">
        <v>2029</v>
      </c>
      <c r="J5" t="n">
        <v>2030</v>
      </c>
      <c r="K5" t="n">
        <v>2031</v>
      </c>
      <c r="L5" t="n">
        <v>2032</v>
      </c>
      <c r="M5" t="n">
        <v>2033</v>
      </c>
      <c r="N5" t="n">
        <v>2034</v>
      </c>
      <c r="O5" t="n">
        <v>2035</v>
      </c>
      <c r="P5" t="n">
        <v>2036</v>
      </c>
      <c r="Q5" t="n">
        <v>2037</v>
      </c>
      <c r="R5" t="n">
        <v>2038</v>
      </c>
      <c r="S5" t="n">
        <v>2039</v>
      </c>
      <c r="T5" t="n">
        <v>2040</v>
      </c>
      <c r="U5" t="n">
        <v>2041</v>
      </c>
      <c r="V5" t="n">
        <v>2042</v>
      </c>
      <c r="W5" t="n">
        <v>2043</v>
      </c>
      <c r="X5" t="n">
        <v>2044</v>
      </c>
      <c r="Y5" t="n">
        <v>2045</v>
      </c>
      <c r="Z5" t="n">
        <v>2046</v>
      </c>
      <c r="AA5" t="n">
        <v>2047</v>
      </c>
      <c r="AB5" t="n">
        <v>2048</v>
      </c>
      <c r="AC5" t="n">
        <v>2049</v>
      </c>
      <c r="AD5" t="n">
        <v>2050</v>
      </c>
      <c r="AE5" t="inlineStr">
        <is>
          <t>Growth (2025-2050)</t>
        </is>
      </c>
    </row>
    <row r="6">
      <c r="A6" t="inlineStr">
        <is>
          <t>Residential</t>
        </is>
      </c>
    </row>
    <row r="7">
      <c r="A7" t="inlineStr">
        <is>
          <t>Propane</t>
        </is>
      </c>
      <c r="B7" t="inlineStr">
        <is>
          <t>Energy Use: Residential: Propane: Alternative Electricity and Transportation</t>
        </is>
      </c>
      <c r="C7" t="inlineStr">
        <is>
          <t>AEO.2026.ELECTRNP.CNSM_ENU_RESD_NA_PROP_NA_NA_QBTU.A</t>
        </is>
      </c>
      <c r="D7" t="inlineStr">
        <is>
          <t>quads</t>
        </is>
      </c>
      <c r="E7" t="n">
        <v>0.5245</v>
      </c>
      <c r="F7" t="n">
        <v>0.51372</v>
      </c>
      <c r="G7" t="n">
        <v>0.495541</v>
      </c>
      <c r="H7" t="n">
        <v>0.496211</v>
      </c>
      <c r="I7" t="n">
        <v>0.493311</v>
      </c>
      <c r="J7" t="n">
        <v>0.488928</v>
      </c>
      <c r="K7" t="n">
        <v>0.483486</v>
      </c>
      <c r="L7" t="n">
        <v>0.478163</v>
      </c>
      <c r="M7" t="n">
        <v>0.473203</v>
      </c>
      <c r="N7" t="n">
        <v>0.469062</v>
      </c>
      <c r="O7" t="n">
        <v>0.465621</v>
      </c>
      <c r="P7" t="n">
        <v>0.462483</v>
      </c>
      <c r="Q7" t="n">
        <v>0.459429</v>
      </c>
      <c r="R7" t="n">
        <v>0.456475</v>
      </c>
      <c r="S7" t="n">
        <v>0.453566</v>
      </c>
      <c r="T7" t="n">
        <v>0.450898</v>
      </c>
      <c r="U7" t="n">
        <v>0.448539</v>
      </c>
      <c r="V7" t="n">
        <v>0.446738</v>
      </c>
      <c r="W7" t="n">
        <v>0.445416</v>
      </c>
      <c r="X7" t="n">
        <v>0.444479</v>
      </c>
      <c r="Y7" t="n">
        <v>0.443746</v>
      </c>
      <c r="Z7" t="n">
        <v>0.442976</v>
      </c>
      <c r="AA7" t="n">
        <v>0.442012</v>
      </c>
      <c r="AB7" t="n">
        <v>0.440991</v>
      </c>
      <c r="AC7" t="n">
        <v>0.44002</v>
      </c>
      <c r="AD7" t="n">
        <v>0.439191</v>
      </c>
      <c r="AE7" t="inlineStr">
        <is>
          <t>-0.7%</t>
        </is>
      </c>
    </row>
    <row r="8">
      <c r="A8" t="inlineStr">
        <is>
          <t>Distillate Fuel Oil</t>
        </is>
      </c>
      <c r="B8" t="inlineStr">
        <is>
          <t>Energy Use: Residential: Distillate Fuel Oil: Alternative Electricity and Transportation</t>
        </is>
      </c>
      <c r="C8" t="inlineStr">
        <is>
          <t>AEO.2026.ELECTRNP.CNSM_ENU_RESD_NA_DFO_NA_NA_QBTU.A</t>
        </is>
      </c>
      <c r="D8" t="inlineStr">
        <is>
          <t>quads</t>
        </is>
      </c>
      <c r="E8" t="n">
        <v>0.48928</v>
      </c>
      <c r="F8" t="n">
        <v>0.47136</v>
      </c>
      <c r="G8" t="n">
        <v>0.464952</v>
      </c>
      <c r="H8" t="n">
        <v>0.4565</v>
      </c>
      <c r="I8" t="n">
        <v>0.447624</v>
      </c>
      <c r="J8" t="n">
        <v>0.439746</v>
      </c>
      <c r="K8" t="n">
        <v>0.431983</v>
      </c>
      <c r="L8" t="n">
        <v>0.424812</v>
      </c>
      <c r="M8" t="n">
        <v>0.417945</v>
      </c>
      <c r="N8" t="n">
        <v>0.411851</v>
      </c>
      <c r="O8" t="n">
        <v>0.406073</v>
      </c>
      <c r="P8" t="n">
        <v>0.400473</v>
      </c>
      <c r="Q8" t="n">
        <v>0.395019</v>
      </c>
      <c r="R8" t="n">
        <v>0.389742</v>
      </c>
      <c r="S8" t="n">
        <v>0.38464</v>
      </c>
      <c r="T8" t="n">
        <v>0.379595</v>
      </c>
      <c r="U8" t="n">
        <v>0.374572</v>
      </c>
      <c r="V8" t="n">
        <v>0.369741</v>
      </c>
      <c r="W8" t="n">
        <v>0.364969</v>
      </c>
      <c r="X8" t="n">
        <v>0.360335</v>
      </c>
      <c r="Y8" t="n">
        <v>0.35574</v>
      </c>
      <c r="Z8" t="n">
        <v>0.351238</v>
      </c>
      <c r="AA8" t="n">
        <v>0.346724</v>
      </c>
      <c r="AB8" t="n">
        <v>0.342244</v>
      </c>
      <c r="AC8" t="n">
        <v>0.337805</v>
      </c>
      <c r="AD8" t="n">
        <v>0.333547</v>
      </c>
      <c r="AE8" t="inlineStr">
        <is>
          <t>-1.5%</t>
        </is>
      </c>
    </row>
    <row r="9">
      <c r="A9" t="inlineStr">
        <is>
          <t>Petroleum and Other Liquids Subtotal</t>
        </is>
      </c>
      <c r="B9" t="inlineStr">
        <is>
          <t>Energy Use: Residential: Liquid Fuels Subtotal: Alternative Electricity and Transportation</t>
        </is>
      </c>
      <c r="C9" t="inlineStr">
        <is>
          <t>AEO.2026.ELECTRNP.CNSM_ENU_RESD_NA_LFL_NA_NA_QBTU.A</t>
        </is>
      </c>
      <c r="D9" t="inlineStr">
        <is>
          <t>quads</t>
        </is>
      </c>
      <c r="E9" t="n">
        <v>1.01378</v>
      </c>
      <c r="F9" t="n">
        <v>0.98508</v>
      </c>
      <c r="G9" t="n">
        <v>0.960492</v>
      </c>
      <c r="H9" t="n">
        <v>0.952711</v>
      </c>
      <c r="I9" t="n">
        <v>0.940935</v>
      </c>
      <c r="J9" t="n">
        <v>0.928674</v>
      </c>
      <c r="K9" t="n">
        <v>0.915469</v>
      </c>
      <c r="L9" t="n">
        <v>0.902975</v>
      </c>
      <c r="M9" t="n">
        <v>0.8911480000000001</v>
      </c>
      <c r="N9" t="n">
        <v>0.880914</v>
      </c>
      <c r="O9" t="n">
        <v>0.871694</v>
      </c>
      <c r="P9" t="n">
        <v>0.862955</v>
      </c>
      <c r="Q9" t="n">
        <v>0.854449</v>
      </c>
      <c r="R9" t="n">
        <v>0.846217</v>
      </c>
      <c r="S9" t="n">
        <v>0.838206</v>
      </c>
      <c r="T9" t="n">
        <v>0.830493</v>
      </c>
      <c r="U9" t="n">
        <v>0.82311</v>
      </c>
      <c r="V9" t="n">
        <v>0.816479</v>
      </c>
      <c r="W9" t="n">
        <v>0.810385</v>
      </c>
      <c r="X9" t="n">
        <v>0.804814</v>
      </c>
      <c r="Y9" t="n">
        <v>0.799486</v>
      </c>
      <c r="Z9" t="n">
        <v>0.794214</v>
      </c>
      <c r="AA9" t="n">
        <v>0.788736</v>
      </c>
      <c r="AB9" t="n">
        <v>0.783235</v>
      </c>
      <c r="AC9" t="n">
        <v>0.777824</v>
      </c>
      <c r="AD9" t="n">
        <v>0.772738</v>
      </c>
      <c r="AE9" t="inlineStr">
        <is>
          <t>-1.1%</t>
        </is>
      </c>
    </row>
    <row r="10">
      <c r="A10" t="inlineStr">
        <is>
          <t>Natural Gas</t>
        </is>
      </c>
      <c r="B10" t="inlineStr">
        <is>
          <t>Energy Use: Residential: Natural Gas: Alternative Electricity and Transportation</t>
        </is>
      </c>
      <c r="C10" t="inlineStr">
        <is>
          <t>AEO.2026.ELECTRNP.CNSM_ENU_RESD_NA_NG_NA_NA_QBTU.A</t>
        </is>
      </c>
      <c r="D10" t="inlineStr">
        <is>
          <t>quads</t>
        </is>
      </c>
      <c r="E10" t="n">
        <v>4.92608</v>
      </c>
      <c r="F10" t="n">
        <v>4.756272</v>
      </c>
      <c r="G10" t="n">
        <v>4.887193</v>
      </c>
      <c r="H10" t="n">
        <v>4.880057</v>
      </c>
      <c r="I10" t="n">
        <v>4.841941</v>
      </c>
      <c r="J10" t="n">
        <v>4.792875</v>
      </c>
      <c r="K10" t="n">
        <v>4.741629</v>
      </c>
      <c r="L10" t="n">
        <v>4.695206</v>
      </c>
      <c r="M10" t="n">
        <v>4.647789</v>
      </c>
      <c r="N10" t="n">
        <v>4.605699</v>
      </c>
      <c r="O10" t="n">
        <v>4.566593</v>
      </c>
      <c r="P10" t="n">
        <v>4.529979</v>
      </c>
      <c r="Q10" t="n">
        <v>4.491732</v>
      </c>
      <c r="R10" t="n">
        <v>4.45528</v>
      </c>
      <c r="S10" t="n">
        <v>4.419171</v>
      </c>
      <c r="T10" t="n">
        <v>4.384261</v>
      </c>
      <c r="U10" t="n">
        <v>4.349348</v>
      </c>
      <c r="V10" t="n">
        <v>4.318778</v>
      </c>
      <c r="W10" t="n">
        <v>4.290055</v>
      </c>
      <c r="X10" t="n">
        <v>4.262946</v>
      </c>
      <c r="Y10" t="n">
        <v>4.23648</v>
      </c>
      <c r="Z10" t="n">
        <v>4.207667</v>
      </c>
      <c r="AA10" t="n">
        <v>4.176517</v>
      </c>
      <c r="AB10" t="n">
        <v>4.145389</v>
      </c>
      <c r="AC10" t="n">
        <v>4.115045</v>
      </c>
      <c r="AD10" t="n">
        <v>4.086372</v>
      </c>
      <c r="AE10" t="inlineStr">
        <is>
          <t>-0.7%</t>
        </is>
      </c>
    </row>
    <row r="11">
      <c r="A11" t="inlineStr">
        <is>
          <t>Renewable Energy</t>
        </is>
      </c>
      <c r="B11" t="inlineStr">
        <is>
          <t>Energy Use: Residential: Renewable Energy: Alternative Electricity and Transportation</t>
        </is>
      </c>
      <c r="C11" t="inlineStr">
        <is>
          <t>AEO.2026.ELECTRNP.CNSM_ENU_RESD_NA_REN_NA_NA_QBTU.A</t>
        </is>
      </c>
      <c r="D11" t="inlineStr">
        <is>
          <t>quads</t>
        </is>
      </c>
      <c r="E11" t="n">
        <v>0.371387</v>
      </c>
      <c r="F11" t="n">
        <v>0.342901</v>
      </c>
      <c r="G11" t="n">
        <v>0.33499</v>
      </c>
      <c r="H11" t="n">
        <v>0.331205</v>
      </c>
      <c r="I11" t="n">
        <v>0.328954</v>
      </c>
      <c r="J11" t="n">
        <v>0.323627</v>
      </c>
      <c r="K11" t="n">
        <v>0.319369</v>
      </c>
      <c r="L11" t="n">
        <v>0.315643</v>
      </c>
      <c r="M11" t="n">
        <v>0.312812</v>
      </c>
      <c r="N11" t="n">
        <v>0.309126</v>
      </c>
      <c r="O11" t="n">
        <v>0.305829</v>
      </c>
      <c r="P11" t="n">
        <v>0.302008</v>
      </c>
      <c r="Q11" t="n">
        <v>0.298094</v>
      </c>
      <c r="R11" t="n">
        <v>0.294199</v>
      </c>
      <c r="S11" t="n">
        <v>0.289954</v>
      </c>
      <c r="T11" t="n">
        <v>0.285538</v>
      </c>
      <c r="U11" t="n">
        <v>0.28127</v>
      </c>
      <c r="V11" t="n">
        <v>0.277378</v>
      </c>
      <c r="W11" t="n">
        <v>0.273631</v>
      </c>
      <c r="X11" t="n">
        <v>0.270078</v>
      </c>
      <c r="Y11" t="n">
        <v>0.266974</v>
      </c>
      <c r="Z11" t="n">
        <v>0.263978</v>
      </c>
      <c r="AA11" t="n">
        <v>0.26129</v>
      </c>
      <c r="AB11" t="n">
        <v>0.258824</v>
      </c>
      <c r="AC11" t="n">
        <v>0.256576</v>
      </c>
      <c r="AD11" t="n">
        <v>0.254137</v>
      </c>
      <c r="AE11" t="inlineStr">
        <is>
          <t>-1.5%</t>
        </is>
      </c>
    </row>
    <row r="12">
      <c r="A12" t="inlineStr">
        <is>
          <t>Purchased Electricity for Residential Use</t>
        </is>
      </c>
      <c r="B12" t="inlineStr">
        <is>
          <t>Energy Use: Residential: Electricity: Alternative Electricity and Transportation</t>
        </is>
      </c>
      <c r="C12" t="inlineStr">
        <is>
          <t>AEO.2026.ELECTRNP.CNSM_ENU_RESD_NA_ELC_NA_NA_QBTU.A</t>
        </is>
      </c>
      <c r="D12" t="inlineStr">
        <is>
          <t>quads</t>
        </is>
      </c>
      <c r="E12" t="n">
        <v>5.146283</v>
      </c>
      <c r="F12" t="n">
        <v>5.165968</v>
      </c>
      <c r="G12" t="n">
        <v>5.063568</v>
      </c>
      <c r="H12" t="n">
        <v>5.097425</v>
      </c>
      <c r="I12" t="n">
        <v>5.110842</v>
      </c>
      <c r="J12" t="n">
        <v>5.101124</v>
      </c>
      <c r="K12" t="n">
        <v>5.084683</v>
      </c>
      <c r="L12" t="n">
        <v>5.071815</v>
      </c>
      <c r="M12" t="n">
        <v>5.063284</v>
      </c>
      <c r="N12" t="n">
        <v>5.061672</v>
      </c>
      <c r="O12" t="n">
        <v>5.064488</v>
      </c>
      <c r="P12" t="n">
        <v>5.071559</v>
      </c>
      <c r="Q12" t="n">
        <v>5.081708</v>
      </c>
      <c r="R12" t="n">
        <v>5.095572</v>
      </c>
      <c r="S12" t="n">
        <v>5.111459</v>
      </c>
      <c r="T12" t="n">
        <v>5.122882</v>
      </c>
      <c r="U12" t="n">
        <v>5.139645</v>
      </c>
      <c r="V12" t="n">
        <v>5.162683</v>
      </c>
      <c r="W12" t="n">
        <v>5.191554</v>
      </c>
      <c r="X12" t="n">
        <v>5.221573</v>
      </c>
      <c r="Y12" t="n">
        <v>5.249293</v>
      </c>
      <c r="Z12" t="n">
        <v>5.279313</v>
      </c>
      <c r="AA12" t="n">
        <v>5.307253</v>
      </c>
      <c r="AB12" t="n">
        <v>5.334354</v>
      </c>
      <c r="AC12" t="n">
        <v>5.364092</v>
      </c>
      <c r="AD12" t="n">
        <v>5.394052</v>
      </c>
      <c r="AE12" t="inlineStr">
        <is>
          <t>0.2%</t>
        </is>
      </c>
    </row>
    <row r="13">
      <c r="A13" t="inlineStr">
        <is>
          <t>Delivered Energy</t>
        </is>
      </c>
      <c r="B13" t="inlineStr">
        <is>
          <t>Energy Use: Residential: Delivered Energy: Alternative Electricity and Transportation</t>
        </is>
      </c>
      <c r="C13" t="inlineStr">
        <is>
          <t>AEO.2026.ELECTRNP.CNSM_ENU_RESD_NA_DELE_NA_NA_QBTU.A</t>
        </is>
      </c>
      <c r="D13" t="inlineStr">
        <is>
          <t>quads</t>
        </is>
      </c>
      <c r="E13" t="n">
        <v>11.457531</v>
      </c>
      <c r="F13" t="n">
        <v>11.25022</v>
      </c>
      <c r="G13" t="n">
        <v>11.246243</v>
      </c>
      <c r="H13" t="n">
        <v>11.2614</v>
      </c>
      <c r="I13" t="n">
        <v>11.222671</v>
      </c>
      <c r="J13" t="n">
        <v>11.146299</v>
      </c>
      <c r="K13" t="n">
        <v>11.06115</v>
      </c>
      <c r="L13" t="n">
        <v>10.98564</v>
      </c>
      <c r="M13" t="n">
        <v>10.915031</v>
      </c>
      <c r="N13" t="n">
        <v>10.85741</v>
      </c>
      <c r="O13" t="n">
        <v>10.808603</v>
      </c>
      <c r="P13" t="n">
        <v>10.7665</v>
      </c>
      <c r="Q13" t="n">
        <v>10.725982</v>
      </c>
      <c r="R13" t="n">
        <v>10.691268</v>
      </c>
      <c r="S13" t="n">
        <v>10.658791</v>
      </c>
      <c r="T13" t="n">
        <v>10.623175</v>
      </c>
      <c r="U13" t="n">
        <v>10.593373</v>
      </c>
      <c r="V13" t="n">
        <v>10.57532</v>
      </c>
      <c r="W13" t="n">
        <v>10.565623</v>
      </c>
      <c r="X13" t="n">
        <v>10.559411</v>
      </c>
      <c r="Y13" t="n">
        <v>10.552234</v>
      </c>
      <c r="Z13" t="n">
        <v>10.545171</v>
      </c>
      <c r="AA13" t="n">
        <v>10.533794</v>
      </c>
      <c r="AB13" t="n">
        <v>10.5218</v>
      </c>
      <c r="AC13" t="n">
        <v>10.513536</v>
      </c>
      <c r="AD13" t="n">
        <v>10.5073</v>
      </c>
      <c r="AE13" t="inlineStr">
        <is>
          <t>-0.3%</t>
        </is>
      </c>
    </row>
    <row r="14">
      <c r="A14" t="inlineStr">
        <is>
          <t>Electricity-Related Losses</t>
        </is>
      </c>
      <c r="B14" t="inlineStr">
        <is>
          <t>Energy Use: Residential: Electricity Related Losses: Alternative Electricity and Transportation</t>
        </is>
      </c>
      <c r="C14" t="inlineStr">
        <is>
          <t>AEO.2026.ELECTRNP.CNSM_ENU_RESD_NA_ERL_NA_NA_QBTU.A</t>
        </is>
      </c>
      <c r="D14" t="inlineStr">
        <is>
          <t>quads</t>
        </is>
      </c>
      <c r="E14" t="n">
        <v>7.071282</v>
      </c>
      <c r="F14" t="n">
        <v>7.030098</v>
      </c>
      <c r="G14" t="n">
        <v>6.364577</v>
      </c>
      <c r="H14" t="n">
        <v>6.131857</v>
      </c>
      <c r="I14" t="n">
        <v>6.008963</v>
      </c>
      <c r="J14" t="n">
        <v>5.890632</v>
      </c>
      <c r="K14" t="n">
        <v>5.684556</v>
      </c>
      <c r="L14" t="n">
        <v>5.5596</v>
      </c>
      <c r="M14" t="n">
        <v>5.483474</v>
      </c>
      <c r="N14" t="n">
        <v>5.37458</v>
      </c>
      <c r="O14" t="n">
        <v>5.297432</v>
      </c>
      <c r="P14" t="n">
        <v>5.223444</v>
      </c>
      <c r="Q14" t="n">
        <v>5.182245</v>
      </c>
      <c r="R14" t="n">
        <v>5.157815</v>
      </c>
      <c r="S14" t="n">
        <v>5.1249</v>
      </c>
      <c r="T14" t="n">
        <v>5.075423</v>
      </c>
      <c r="U14" t="n">
        <v>5.032132</v>
      </c>
      <c r="V14" t="n">
        <v>5.019648</v>
      </c>
      <c r="W14" t="n">
        <v>5.019057</v>
      </c>
      <c r="X14" t="n">
        <v>5.021711</v>
      </c>
      <c r="Y14" t="n">
        <v>5.022737</v>
      </c>
      <c r="Z14" t="n">
        <v>5.028126</v>
      </c>
      <c r="AA14" t="n">
        <v>5.036541</v>
      </c>
      <c r="AB14" t="n">
        <v>5.04317</v>
      </c>
      <c r="AC14" t="n">
        <v>5.033889</v>
      </c>
      <c r="AD14" t="n">
        <v>5.040434</v>
      </c>
      <c r="AE14" t="inlineStr">
        <is>
          <t>-1.3%</t>
        </is>
      </c>
    </row>
    <row r="15">
      <c r="A15" t="inlineStr">
        <is>
          <t>Total</t>
        </is>
      </c>
      <c r="B15" t="inlineStr">
        <is>
          <t>Energy Use: Residential: Total: Alternative Electricity and Transportation</t>
        </is>
      </c>
      <c r="C15" t="inlineStr">
        <is>
          <t>AEO.2026.ELECTRNP.CNSM_ENU_RESD_NA_TOT_NA_NA_QBTU.A</t>
        </is>
      </c>
      <c r="D15" t="inlineStr">
        <is>
          <t>quads</t>
        </is>
      </c>
      <c r="E15" t="n">
        <v>18.528812</v>
      </c>
      <c r="F15" t="n">
        <v>18.280319</v>
      </c>
      <c r="G15" t="n">
        <v>17.610821</v>
      </c>
      <c r="H15" t="n">
        <v>17.393257</v>
      </c>
      <c r="I15" t="n">
        <v>17.231632</v>
      </c>
      <c r="J15" t="n">
        <v>17.03693</v>
      </c>
      <c r="K15" t="n">
        <v>16.745705</v>
      </c>
      <c r="L15" t="n">
        <v>16.54524</v>
      </c>
      <c r="M15" t="n">
        <v>16.398506</v>
      </c>
      <c r="N15" t="n">
        <v>16.231991</v>
      </c>
      <c r="O15" t="n">
        <v>16.106035</v>
      </c>
      <c r="P15" t="n">
        <v>15.989944</v>
      </c>
      <c r="Q15" t="n">
        <v>15.908227</v>
      </c>
      <c r="R15" t="n">
        <v>15.849083</v>
      </c>
      <c r="S15" t="n">
        <v>15.783691</v>
      </c>
      <c r="T15" t="n">
        <v>15.698598</v>
      </c>
      <c r="U15" t="n">
        <v>15.625505</v>
      </c>
      <c r="V15" t="n">
        <v>15.594969</v>
      </c>
      <c r="W15" t="n">
        <v>15.584681</v>
      </c>
      <c r="X15" t="n">
        <v>15.581122</v>
      </c>
      <c r="Y15" t="n">
        <v>15.57497</v>
      </c>
      <c r="Z15" t="n">
        <v>15.573297</v>
      </c>
      <c r="AA15" t="n">
        <v>15.570335</v>
      </c>
      <c r="AB15" t="n">
        <v>15.56497</v>
      </c>
      <c r="AC15" t="n">
        <v>15.547426</v>
      </c>
      <c r="AD15" t="n">
        <v>15.547734</v>
      </c>
      <c r="AE15" t="inlineStr">
        <is>
          <t>-0.7%</t>
        </is>
      </c>
    </row>
    <row r="16">
      <c r="A16" t="inlineStr">
        <is>
          <t>Commercial</t>
        </is>
      </c>
    </row>
    <row r="17">
      <c r="A17" t="inlineStr">
        <is>
          <t>Propane</t>
        </is>
      </c>
      <c r="B17" t="inlineStr">
        <is>
          <t>Energy Use: Commercial: Propane: Alternative Electricity and Transportation</t>
        </is>
      </c>
      <c r="C17" t="inlineStr">
        <is>
          <t>AEO.2026.ELECTRNP.CNSM_ENU_COMM_NA_PROP_NA_NA_QBTU.A</t>
        </is>
      </c>
      <c r="D17" t="inlineStr">
        <is>
          <t>quads</t>
        </is>
      </c>
      <c r="E17" t="n">
        <v>0.215225</v>
      </c>
      <c r="F17" t="n">
        <v>0.219131</v>
      </c>
      <c r="G17" t="n">
        <v>0.221612</v>
      </c>
      <c r="H17" t="n">
        <v>0.224037</v>
      </c>
      <c r="I17" t="n">
        <v>0.226424</v>
      </c>
      <c r="J17" t="n">
        <v>0.228837</v>
      </c>
      <c r="K17" t="n">
        <v>0.231314</v>
      </c>
      <c r="L17" t="n">
        <v>0.233862</v>
      </c>
      <c r="M17" t="n">
        <v>0.236496</v>
      </c>
      <c r="N17" t="n">
        <v>0.239221</v>
      </c>
      <c r="O17" t="n">
        <v>0.242036</v>
      </c>
      <c r="P17" t="n">
        <v>0.244938</v>
      </c>
      <c r="Q17" t="n">
        <v>0.247903</v>
      </c>
      <c r="R17" t="n">
        <v>0.250787</v>
      </c>
      <c r="S17" t="n">
        <v>0.253585</v>
      </c>
      <c r="T17" t="n">
        <v>0.256302</v>
      </c>
      <c r="U17" t="n">
        <v>0.258878</v>
      </c>
      <c r="V17" t="n">
        <v>0.261334</v>
      </c>
      <c r="W17" t="n">
        <v>0.263708</v>
      </c>
      <c r="X17" t="n">
        <v>0.266017</v>
      </c>
      <c r="Y17" t="n">
        <v>0.268283</v>
      </c>
      <c r="Z17" t="n">
        <v>0.270516</v>
      </c>
      <c r="AA17" t="n">
        <v>0.27272</v>
      </c>
      <c r="AB17" t="n">
        <v>0.274898</v>
      </c>
      <c r="AC17" t="n">
        <v>0.277053</v>
      </c>
      <c r="AD17" t="n">
        <v>0.279188</v>
      </c>
      <c r="AE17" t="inlineStr">
        <is>
          <t>1.0%</t>
        </is>
      </c>
    </row>
    <row r="18">
      <c r="A18" t="inlineStr">
        <is>
          <t>Motor Gasoline</t>
        </is>
      </c>
      <c r="B18" t="inlineStr">
        <is>
          <t>Energy Use: Commercial: Motor Gasoline: Alternative Electricity and Transportation</t>
        </is>
      </c>
      <c r="C18" t="inlineStr">
        <is>
          <t>AEO.2026.ELECTRNP.CNSM_ENU_COMM_NA_MGS_NA_NA_QBTU.A</t>
        </is>
      </c>
      <c r="D18" t="inlineStr">
        <is>
          <t>quads</t>
        </is>
      </c>
      <c r="E18" t="n">
        <v>0.414315</v>
      </c>
      <c r="F18" t="n">
        <v>0.420968</v>
      </c>
      <c r="G18" t="n">
        <v>0.426488</v>
      </c>
      <c r="H18" t="n">
        <v>0.431913</v>
      </c>
      <c r="I18" t="n">
        <v>0.437276</v>
      </c>
      <c r="J18" t="n">
        <v>0.442694</v>
      </c>
      <c r="K18" t="n">
        <v>0.448233</v>
      </c>
      <c r="L18" t="n">
        <v>0.453909</v>
      </c>
      <c r="M18" t="n">
        <v>0.459748</v>
      </c>
      <c r="N18" t="n">
        <v>0.465758</v>
      </c>
      <c r="O18" t="n">
        <v>0.47194</v>
      </c>
      <c r="P18" t="n">
        <v>0.478287</v>
      </c>
      <c r="Q18" t="n">
        <v>0.484756</v>
      </c>
      <c r="R18" t="n">
        <v>0.491087</v>
      </c>
      <c r="S18" t="n">
        <v>0.497269</v>
      </c>
      <c r="T18" t="n">
        <v>0.503313</v>
      </c>
      <c r="U18" t="n">
        <v>0.509108</v>
      </c>
      <c r="V18" t="n">
        <v>0.514691</v>
      </c>
      <c r="W18" t="n">
        <v>0.520132</v>
      </c>
      <c r="X18" t="n">
        <v>0.525461</v>
      </c>
      <c r="Y18" t="n">
        <v>0.5307190000000001</v>
      </c>
      <c r="Z18" t="n">
        <v>0.535923</v>
      </c>
      <c r="AA18" t="n">
        <v>0.541079</v>
      </c>
      <c r="AB18" t="n">
        <v>0.546196</v>
      </c>
      <c r="AC18" t="n">
        <v>0.551277</v>
      </c>
      <c r="AD18" t="n">
        <v>0.556329</v>
      </c>
      <c r="AE18" t="inlineStr">
        <is>
          <t>1.2%</t>
        </is>
      </c>
    </row>
    <row r="19">
      <c r="A19" t="inlineStr">
        <is>
          <t>Kerosene</t>
        </is>
      </c>
      <c r="B19" t="inlineStr">
        <is>
          <t>Energy Use: Commercial: Kerosene: Alternative Electricity and Transportation</t>
        </is>
      </c>
      <c r="C19" t="inlineStr">
        <is>
          <t>AEO.2026.ELECTRNP.CNSM_ENU_COMM_NA_KRS_NA_NA_QBTU.A</t>
        </is>
      </c>
      <c r="D19" t="inlineStr">
        <is>
          <t>quads</t>
        </is>
      </c>
      <c r="E19" t="n">
        <v>0.002501</v>
      </c>
      <c r="F19" t="n">
        <v>0.003571</v>
      </c>
      <c r="G19" t="n">
        <v>0.003598</v>
      </c>
      <c r="H19" t="n">
        <v>0.003246</v>
      </c>
      <c r="I19" t="n">
        <v>0.002967</v>
      </c>
      <c r="J19" t="n">
        <v>0.003276</v>
      </c>
      <c r="K19" t="n">
        <v>0.002843</v>
      </c>
      <c r="L19" t="n">
        <v>0.002643</v>
      </c>
      <c r="M19" t="n">
        <v>0.002231</v>
      </c>
      <c r="N19" t="n">
        <v>0.002149</v>
      </c>
      <c r="O19" t="n">
        <v>0.001869</v>
      </c>
      <c r="P19" t="n">
        <v>0.001809</v>
      </c>
      <c r="Q19" t="n">
        <v>0.001646</v>
      </c>
      <c r="R19" t="n">
        <v>0.001508</v>
      </c>
      <c r="S19" t="n">
        <v>0.001467</v>
      </c>
      <c r="T19" t="n">
        <v>0.001392</v>
      </c>
      <c r="U19" t="n">
        <v>0.001254</v>
      </c>
      <c r="V19" t="n">
        <v>0.00117</v>
      </c>
      <c r="W19" t="n">
        <v>0.001074</v>
      </c>
      <c r="X19" t="n">
        <v>0.0009829999999999999</v>
      </c>
      <c r="Y19" t="n">
        <v>0.00085</v>
      </c>
      <c r="Z19" t="n">
        <v>0.000766</v>
      </c>
      <c r="AA19" t="n">
        <v>0.000661</v>
      </c>
      <c r="AB19" t="n">
        <v>0.000597</v>
      </c>
      <c r="AC19" t="n">
        <v>0.000554</v>
      </c>
      <c r="AD19" t="n">
        <v>0.000531</v>
      </c>
      <c r="AE19" t="inlineStr">
        <is>
          <t>-6.0%</t>
        </is>
      </c>
    </row>
    <row r="20">
      <c r="A20" t="inlineStr">
        <is>
          <t>Distillate Fuel Oil</t>
        </is>
      </c>
      <c r="B20" t="inlineStr">
        <is>
          <t>Energy Use: Commercial: Distillate Fuel Oil: Alternative Electricity and Transportation</t>
        </is>
      </c>
      <c r="C20" t="inlineStr">
        <is>
          <t>AEO.2026.ELECTRNP.CNSM_ENU_COMM_NA_DFO_NA_NA_QBTU.A</t>
        </is>
      </c>
      <c r="D20" t="inlineStr">
        <is>
          <t>quads</t>
        </is>
      </c>
      <c r="E20" t="n">
        <v>0.31542</v>
      </c>
      <c r="F20" t="n">
        <v>0.318988</v>
      </c>
      <c r="G20" t="n">
        <v>0.326446</v>
      </c>
      <c r="H20" t="n">
        <v>0.327495</v>
      </c>
      <c r="I20" t="n">
        <v>0.327918</v>
      </c>
      <c r="J20" t="n">
        <v>0.329482</v>
      </c>
      <c r="K20" t="n">
        <v>0.330749</v>
      </c>
      <c r="L20" t="n">
        <v>0.330317</v>
      </c>
      <c r="M20" t="n">
        <v>0.327748</v>
      </c>
      <c r="N20" t="n">
        <v>0.325246</v>
      </c>
      <c r="O20" t="n">
        <v>0.322803</v>
      </c>
      <c r="P20" t="n">
        <v>0.32087</v>
      </c>
      <c r="Q20" t="n">
        <v>0.318856</v>
      </c>
      <c r="R20" t="n">
        <v>0.316839</v>
      </c>
      <c r="S20" t="n">
        <v>0.315024</v>
      </c>
      <c r="T20" t="n">
        <v>0.313302</v>
      </c>
      <c r="U20" t="n">
        <v>0.31156</v>
      </c>
      <c r="V20" t="n">
        <v>0.309885</v>
      </c>
      <c r="W20" t="n">
        <v>0.308174</v>
      </c>
      <c r="X20" t="n">
        <v>0.306455</v>
      </c>
      <c r="Y20" t="n">
        <v>0.304637</v>
      </c>
      <c r="Z20" t="n">
        <v>0.302802</v>
      </c>
      <c r="AA20" t="n">
        <v>0.300869</v>
      </c>
      <c r="AB20" t="n">
        <v>0.299047</v>
      </c>
      <c r="AC20" t="n">
        <v>0.297122</v>
      </c>
      <c r="AD20" t="n">
        <v>0.295435</v>
      </c>
      <c r="AE20" t="inlineStr">
        <is>
          <t>-0.3%</t>
        </is>
      </c>
    </row>
    <row r="21">
      <c r="A21" t="inlineStr">
        <is>
          <t>Residual Fuel Oil</t>
        </is>
      </c>
      <c r="B21" t="inlineStr">
        <is>
          <t>Energy Use: Commercial: Residual Fuel Oil: Alternative Electricity and Transportation</t>
        </is>
      </c>
      <c r="C21" t="inlineStr">
        <is>
          <t>AEO.2026.ELECTRNP.CNSM_ENU_COMM_NA_RFO_NA_NA_QBTU.A</t>
        </is>
      </c>
      <c r="D21" t="inlineStr">
        <is>
          <t>quads</t>
        </is>
      </c>
      <c r="E21" t="n">
        <v>0.003996</v>
      </c>
      <c r="F21" t="n">
        <v>0.004127</v>
      </c>
      <c r="G21" t="n">
        <v>0.003166</v>
      </c>
      <c r="H21" t="n">
        <v>0.002817</v>
      </c>
      <c r="I21" t="n">
        <v>0.002552</v>
      </c>
      <c r="J21" t="n">
        <v>0.002484</v>
      </c>
      <c r="K21" t="n">
        <v>0.002231</v>
      </c>
      <c r="L21" t="n">
        <v>0.002243</v>
      </c>
      <c r="M21" t="n">
        <v>0.002201</v>
      </c>
      <c r="N21" t="n">
        <v>0.002234</v>
      </c>
      <c r="O21" t="n">
        <v>0.002188</v>
      </c>
      <c r="P21" t="n">
        <v>0.002206</v>
      </c>
      <c r="Q21" t="n">
        <v>0.002223</v>
      </c>
      <c r="R21" t="n">
        <v>0.002225</v>
      </c>
      <c r="S21" t="n">
        <v>0.002245</v>
      </c>
      <c r="T21" t="n">
        <v>0.002228</v>
      </c>
      <c r="U21" t="n">
        <v>0.002181</v>
      </c>
      <c r="V21" t="n">
        <v>0.002182</v>
      </c>
      <c r="W21" t="n">
        <v>0.002184</v>
      </c>
      <c r="X21" t="n">
        <v>0.002182</v>
      </c>
      <c r="Y21" t="n">
        <v>0.002165</v>
      </c>
      <c r="Z21" t="n">
        <v>0.002166</v>
      </c>
      <c r="AA21" t="n">
        <v>0.002148</v>
      </c>
      <c r="AB21" t="n">
        <v>0.002125</v>
      </c>
      <c r="AC21" t="n">
        <v>0.002114</v>
      </c>
      <c r="AD21" t="n">
        <v>0.002166</v>
      </c>
      <c r="AE21" t="inlineStr">
        <is>
          <t>-2.4%</t>
        </is>
      </c>
    </row>
    <row r="22">
      <c r="A22" t="inlineStr">
        <is>
          <t>Petroleum and Other Liquids Subtotal</t>
        </is>
      </c>
      <c r="B22" t="inlineStr">
        <is>
          <t>Energy Use: Commercial: Liquid Fuels Subtotal: Alternative Electricity and Transportation</t>
        </is>
      </c>
      <c r="C22" t="inlineStr">
        <is>
          <t>AEO.2026.ELECTRNP.CNSM_ENU_COMM_NA_LFL_NA_NA_QBTU.A</t>
        </is>
      </c>
      <c r="D22" t="inlineStr">
        <is>
          <t>quads</t>
        </is>
      </c>
      <c r="E22" t="n">
        <v>0.951457</v>
      </c>
      <c r="F22" t="n">
        <v>0.966786</v>
      </c>
      <c r="G22" t="n">
        <v>0.98131</v>
      </c>
      <c r="H22" t="n">
        <v>0.989507</v>
      </c>
      <c r="I22" t="n">
        <v>0.9971370000000001</v>
      </c>
      <c r="J22" t="n">
        <v>1.006773</v>
      </c>
      <c r="K22" t="n">
        <v>1.01537</v>
      </c>
      <c r="L22" t="n">
        <v>1.022974</v>
      </c>
      <c r="M22" t="n">
        <v>1.028423</v>
      </c>
      <c r="N22" t="n">
        <v>1.034608</v>
      </c>
      <c r="O22" t="n">
        <v>1.040836</v>
      </c>
      <c r="P22" t="n">
        <v>1.04811</v>
      </c>
      <c r="Q22" t="n">
        <v>1.055384</v>
      </c>
      <c r="R22" t="n">
        <v>1.062446</v>
      </c>
      <c r="S22" t="n">
        <v>1.06959</v>
      </c>
      <c r="T22" t="n">
        <v>1.076537</v>
      </c>
      <c r="U22" t="n">
        <v>1.082981</v>
      </c>
      <c r="V22" t="n">
        <v>1.089262</v>
      </c>
      <c r="W22" t="n">
        <v>1.095272</v>
      </c>
      <c r="X22" t="n">
        <v>1.101097</v>
      </c>
      <c r="Y22" t="n">
        <v>1.106654</v>
      </c>
      <c r="Z22" t="n">
        <v>1.112174</v>
      </c>
      <c r="AA22" t="n">
        <v>1.117477</v>
      </c>
      <c r="AB22" t="n">
        <v>1.122862</v>
      </c>
      <c r="AC22" t="n">
        <v>1.128121</v>
      </c>
      <c r="AD22" t="n">
        <v>1.133648</v>
      </c>
      <c r="AE22" t="inlineStr">
        <is>
          <t>0.7%</t>
        </is>
      </c>
    </row>
    <row r="23">
      <c r="A23" t="inlineStr">
        <is>
          <t>Natural Gas</t>
        </is>
      </c>
      <c r="B23" t="inlineStr">
        <is>
          <t>Energy Use: Commercial: Natural Gas: Alternative Electricity and Transportation</t>
        </is>
      </c>
      <c r="C23" t="inlineStr">
        <is>
          <t>AEO.2026.ELECTRNP.CNSM_ENU_COMM_NA_NG_NA_NA_QBTU.A</t>
        </is>
      </c>
      <c r="D23" t="inlineStr">
        <is>
          <t>quads</t>
        </is>
      </c>
      <c r="E23" t="n">
        <v>3.639804</v>
      </c>
      <c r="F23" t="n">
        <v>3.563961</v>
      </c>
      <c r="G23" t="n">
        <v>3.57154</v>
      </c>
      <c r="H23" t="n">
        <v>3.555938</v>
      </c>
      <c r="I23" t="n">
        <v>3.519203</v>
      </c>
      <c r="J23" t="n">
        <v>3.474857</v>
      </c>
      <c r="K23" t="n">
        <v>3.433453</v>
      </c>
      <c r="L23" t="n">
        <v>3.41069</v>
      </c>
      <c r="M23" t="n">
        <v>3.395886</v>
      </c>
      <c r="N23" t="n">
        <v>3.389492</v>
      </c>
      <c r="O23" t="n">
        <v>3.383103</v>
      </c>
      <c r="P23" t="n">
        <v>3.380279</v>
      </c>
      <c r="Q23" t="n">
        <v>3.376655</v>
      </c>
      <c r="R23" t="n">
        <v>3.373224</v>
      </c>
      <c r="S23" t="n">
        <v>3.368847</v>
      </c>
      <c r="T23" t="n">
        <v>3.365051</v>
      </c>
      <c r="U23" t="n">
        <v>3.362263</v>
      </c>
      <c r="V23" t="n">
        <v>3.363703</v>
      </c>
      <c r="W23" t="n">
        <v>3.366547</v>
      </c>
      <c r="X23" t="n">
        <v>3.371504</v>
      </c>
      <c r="Y23" t="n">
        <v>3.37535</v>
      </c>
      <c r="Z23" t="n">
        <v>3.374094</v>
      </c>
      <c r="AA23" t="n">
        <v>3.369559</v>
      </c>
      <c r="AB23" t="n">
        <v>3.364201</v>
      </c>
      <c r="AC23" t="n">
        <v>3.358932</v>
      </c>
      <c r="AD23" t="n">
        <v>3.354442</v>
      </c>
      <c r="AE23" t="inlineStr">
        <is>
          <t>-0.3%</t>
        </is>
      </c>
    </row>
    <row r="24">
      <c r="A24" t="inlineStr">
        <is>
          <t>Coal</t>
        </is>
      </c>
      <c r="B24" t="inlineStr">
        <is>
          <t>Energy Use: Commercial: Coal: Alternative Electricity and Transportation</t>
        </is>
      </c>
      <c r="C24" t="inlineStr">
        <is>
          <t>AEO.2026.ELECTRNP.CNSM_ENU_COMM_NA_CL_NA_NA_QBTU.A</t>
        </is>
      </c>
      <c r="D24" t="inlineStr">
        <is>
          <t>quads</t>
        </is>
      </c>
      <c r="E24" t="n">
        <v>0.012012</v>
      </c>
      <c r="F24" t="n">
        <v>0.013296</v>
      </c>
      <c r="G24" t="n">
        <v>0.013296</v>
      </c>
      <c r="H24" t="n">
        <v>0.013296</v>
      </c>
      <c r="I24" t="n">
        <v>0.013296</v>
      </c>
      <c r="J24" t="n">
        <v>0.013296</v>
      </c>
      <c r="K24" t="n">
        <v>0.013296</v>
      </c>
      <c r="L24" t="n">
        <v>0.013296</v>
      </c>
      <c r="M24" t="n">
        <v>0.013296</v>
      </c>
      <c r="N24" t="n">
        <v>0.013296</v>
      </c>
      <c r="O24" t="n">
        <v>0.013296</v>
      </c>
      <c r="P24" t="n">
        <v>0.013296</v>
      </c>
      <c r="Q24" t="n">
        <v>0.013296</v>
      </c>
      <c r="R24" t="n">
        <v>0.013296</v>
      </c>
      <c r="S24" t="n">
        <v>0.013296</v>
      </c>
      <c r="T24" t="n">
        <v>0.013296</v>
      </c>
      <c r="U24" t="n">
        <v>0.013296</v>
      </c>
      <c r="V24" t="n">
        <v>0.013296</v>
      </c>
      <c r="W24" t="n">
        <v>0.013296</v>
      </c>
      <c r="X24" t="n">
        <v>0.013296</v>
      </c>
      <c r="Y24" t="n">
        <v>0.013296</v>
      </c>
      <c r="Z24" t="n">
        <v>0.013296</v>
      </c>
      <c r="AA24" t="n">
        <v>0.013296</v>
      </c>
      <c r="AB24" t="n">
        <v>0.013296</v>
      </c>
      <c r="AC24" t="n">
        <v>0.013296</v>
      </c>
      <c r="AD24" t="n">
        <v>0.013296</v>
      </c>
      <c r="AE24" t="inlineStr">
        <is>
          <t>0.4%</t>
        </is>
      </c>
    </row>
    <row r="25">
      <c r="A25" t="inlineStr">
        <is>
          <t>Renewable Energy</t>
        </is>
      </c>
      <c r="B25" t="inlineStr">
        <is>
          <t>Energy Use: Commercial: Renewable Energy: Alternative Electricity and Transportation</t>
        </is>
      </c>
      <c r="C25" t="inlineStr">
        <is>
          <t>AEO.2026.ELECTRNP.CNSM_ENU_COMM_NA_REN_NA_NA_QBTU.A</t>
        </is>
      </c>
      <c r="D25" t="inlineStr">
        <is>
          <t>quads</t>
        </is>
      </c>
      <c r="E25" t="n">
        <v>0.143682</v>
      </c>
      <c r="F25" t="n">
        <v>0.143682</v>
      </c>
      <c r="G25" t="n">
        <v>0.143682</v>
      </c>
      <c r="H25" t="n">
        <v>0.143682</v>
      </c>
      <c r="I25" t="n">
        <v>0.143682</v>
      </c>
      <c r="J25" t="n">
        <v>0.143682</v>
      </c>
      <c r="K25" t="n">
        <v>0.143682</v>
      </c>
      <c r="L25" t="n">
        <v>0.143682</v>
      </c>
      <c r="M25" t="n">
        <v>0.143682</v>
      </c>
      <c r="N25" t="n">
        <v>0.143682</v>
      </c>
      <c r="O25" t="n">
        <v>0.143682</v>
      </c>
      <c r="P25" t="n">
        <v>0.143682</v>
      </c>
      <c r="Q25" t="n">
        <v>0.143682</v>
      </c>
      <c r="R25" t="n">
        <v>0.143682</v>
      </c>
      <c r="S25" t="n">
        <v>0.143682</v>
      </c>
      <c r="T25" t="n">
        <v>0.143682</v>
      </c>
      <c r="U25" t="n">
        <v>0.143682</v>
      </c>
      <c r="V25" t="n">
        <v>0.143682</v>
      </c>
      <c r="W25" t="n">
        <v>0.143682</v>
      </c>
      <c r="X25" t="n">
        <v>0.143682</v>
      </c>
      <c r="Y25" t="n">
        <v>0.143682</v>
      </c>
      <c r="Z25" t="n">
        <v>0.143682</v>
      </c>
      <c r="AA25" t="n">
        <v>0.143682</v>
      </c>
      <c r="AB25" t="n">
        <v>0.143682</v>
      </c>
      <c r="AC25" t="n">
        <v>0.143682</v>
      </c>
      <c r="AD25" t="n">
        <v>0.143682</v>
      </c>
      <c r="AE25" t="inlineStr">
        <is>
          <t>0.0%</t>
        </is>
      </c>
    </row>
    <row r="26">
      <c r="A26" t="inlineStr">
        <is>
          <t>Purchased Electricity for Commercial Use</t>
        </is>
      </c>
      <c r="B26" t="inlineStr">
        <is>
          <t>Energy Use: Commercial: Electricity: Alternative Electricity and Transportation</t>
        </is>
      </c>
      <c r="C26" t="inlineStr">
        <is>
          <t>AEO.2026.ELECTRNP.CNSM_ENU_COMM_NA_ELC_NA_NA_QBTU.A</t>
        </is>
      </c>
      <c r="D26" t="inlineStr">
        <is>
          <t>quads</t>
        </is>
      </c>
      <c r="E26" t="n">
        <v>4.993747</v>
      </c>
      <c r="F26" t="n">
        <v>5.212289</v>
      </c>
      <c r="G26" t="n">
        <v>5.253817</v>
      </c>
      <c r="H26" t="n">
        <v>5.309168</v>
      </c>
      <c r="I26" t="n">
        <v>5.363724</v>
      </c>
      <c r="J26" t="n">
        <v>5.397077</v>
      </c>
      <c r="K26" t="n">
        <v>5.435783</v>
      </c>
      <c r="L26" t="n">
        <v>5.480072</v>
      </c>
      <c r="M26" t="n">
        <v>5.530184</v>
      </c>
      <c r="N26" t="n">
        <v>5.582539</v>
      </c>
      <c r="O26" t="n">
        <v>5.639092</v>
      </c>
      <c r="P26" t="n">
        <v>5.702602</v>
      </c>
      <c r="Q26" t="n">
        <v>5.765342</v>
      </c>
      <c r="R26" t="n">
        <v>5.829359</v>
      </c>
      <c r="S26" t="n">
        <v>5.892108</v>
      </c>
      <c r="T26" t="n">
        <v>5.953129</v>
      </c>
      <c r="U26" t="n">
        <v>6.017625</v>
      </c>
      <c r="V26" t="n">
        <v>6.079961</v>
      </c>
      <c r="W26" t="n">
        <v>6.143983</v>
      </c>
      <c r="X26" t="n">
        <v>6.205702</v>
      </c>
      <c r="Y26" t="n">
        <v>6.266315</v>
      </c>
      <c r="Z26" t="n">
        <v>6.32024</v>
      </c>
      <c r="AA26" t="n">
        <v>6.366059</v>
      </c>
      <c r="AB26" t="n">
        <v>6.406569</v>
      </c>
      <c r="AC26" t="n">
        <v>6.44475</v>
      </c>
      <c r="AD26" t="n">
        <v>6.479488</v>
      </c>
      <c r="AE26" t="inlineStr">
        <is>
          <t>1.0%</t>
        </is>
      </c>
    </row>
    <row r="27">
      <c r="A27" t="inlineStr">
        <is>
          <t>Delivered Energy</t>
        </is>
      </c>
      <c r="B27" t="inlineStr">
        <is>
          <t>Energy Use: Commercial: Delivered Energy: Alternative Electricity and Transportation</t>
        </is>
      </c>
      <c r="C27" t="inlineStr">
        <is>
          <t>AEO.2026.ELECTRNP.CNSM_ENU_COMM_NA_DELE_NA_NA_QBTU.A</t>
        </is>
      </c>
      <c r="D27" t="inlineStr">
        <is>
          <t>quads</t>
        </is>
      </c>
      <c r="E27" t="n">
        <v>9.740702000000001</v>
      </c>
      <c r="F27" t="n">
        <v>9.900015</v>
      </c>
      <c r="G27" t="n">
        <v>9.963642999999999</v>
      </c>
      <c r="H27" t="n">
        <v>10.011592</v>
      </c>
      <c r="I27" t="n">
        <v>10.037043</v>
      </c>
      <c r="J27" t="n">
        <v>10.035685</v>
      </c>
      <c r="K27" t="n">
        <v>10.041583</v>
      </c>
      <c r="L27" t="n">
        <v>10.070711</v>
      </c>
      <c r="M27" t="n">
        <v>10.111471</v>
      </c>
      <c r="N27" t="n">
        <v>10.163616</v>
      </c>
      <c r="O27" t="n">
        <v>10.22001</v>
      </c>
      <c r="P27" t="n">
        <v>10.287968</v>
      </c>
      <c r="Q27" t="n">
        <v>10.35436</v>
      </c>
      <c r="R27" t="n">
        <v>10.422008</v>
      </c>
      <c r="S27" t="n">
        <v>10.487522</v>
      </c>
      <c r="T27" t="n">
        <v>10.551696</v>
      </c>
      <c r="U27" t="n">
        <v>10.619847</v>
      </c>
      <c r="V27" t="n">
        <v>10.689905</v>
      </c>
      <c r="W27" t="n">
        <v>10.762778</v>
      </c>
      <c r="X27" t="n">
        <v>10.835279</v>
      </c>
      <c r="Y27" t="n">
        <v>10.905296</v>
      </c>
      <c r="Z27" t="n">
        <v>10.963486</v>
      </c>
      <c r="AA27" t="n">
        <v>11.010074</v>
      </c>
      <c r="AB27" t="n">
        <v>11.050611</v>
      </c>
      <c r="AC27" t="n">
        <v>11.088779</v>
      </c>
      <c r="AD27" t="n">
        <v>11.124557</v>
      </c>
      <c r="AE27" t="inlineStr">
        <is>
          <t>0.5%</t>
        </is>
      </c>
    </row>
    <row r="28">
      <c r="A28" t="inlineStr">
        <is>
          <t>Electricity-Related Losses</t>
        </is>
      </c>
      <c r="B28" t="inlineStr">
        <is>
          <t>Energy Use: Commercial: Electricity Related Losses: Alternative Electricity and Transportation</t>
        </is>
      </c>
      <c r="C28" t="inlineStr">
        <is>
          <t>AEO.2026.ELECTRNP.CNSM_ENU_COMM_NA_ERL_NA_NA_QBTU.A</t>
        </is>
      </c>
      <c r="D28" t="inlineStr">
        <is>
          <t>quads</t>
        </is>
      </c>
      <c r="E28" t="n">
        <v>6.861689</v>
      </c>
      <c r="F28" t="n">
        <v>7.093133</v>
      </c>
      <c r="G28" t="n">
        <v>6.603709</v>
      </c>
      <c r="H28" t="n">
        <v>6.386568</v>
      </c>
      <c r="I28" t="n">
        <v>6.306284</v>
      </c>
      <c r="J28" t="n">
        <v>6.232388</v>
      </c>
      <c r="K28" t="n">
        <v>6.077077</v>
      </c>
      <c r="L28" t="n">
        <v>6.007123</v>
      </c>
      <c r="M28" t="n">
        <v>5.989121</v>
      </c>
      <c r="N28" t="n">
        <v>5.927646</v>
      </c>
      <c r="O28" t="n">
        <v>5.898466</v>
      </c>
      <c r="P28" t="n">
        <v>5.873386</v>
      </c>
      <c r="Q28" t="n">
        <v>5.879405</v>
      </c>
      <c r="R28" t="n">
        <v>5.900565</v>
      </c>
      <c r="S28" t="n">
        <v>5.907603</v>
      </c>
      <c r="T28" t="n">
        <v>5.897978</v>
      </c>
      <c r="U28" t="n">
        <v>5.891747</v>
      </c>
      <c r="V28" t="n">
        <v>5.911511</v>
      </c>
      <c r="W28" t="n">
        <v>5.939841</v>
      </c>
      <c r="X28" t="n">
        <v>5.968172</v>
      </c>
      <c r="Y28" t="n">
        <v>5.995864</v>
      </c>
      <c r="Z28" t="n">
        <v>6.019526</v>
      </c>
      <c r="AA28" t="n">
        <v>6.04134</v>
      </c>
      <c r="AB28" t="n">
        <v>6.056858</v>
      </c>
      <c r="AC28" t="n">
        <v>6.048024</v>
      </c>
      <c r="AD28" t="n">
        <v>6.054713</v>
      </c>
      <c r="AE28" t="inlineStr">
        <is>
          <t>-0.5%</t>
        </is>
      </c>
    </row>
    <row r="29">
      <c r="A29" t="inlineStr">
        <is>
          <t>Total</t>
        </is>
      </c>
      <c r="B29" t="inlineStr">
        <is>
          <t>Energy Use: Commercial: Total: Alternative Electricity and Transportation</t>
        </is>
      </c>
      <c r="C29" t="inlineStr">
        <is>
          <t>AEO.2026.ELECTRNP.CNSM_ENU_COMM_NA_TOT_NA_NA_QBTU.A</t>
        </is>
      </c>
      <c r="D29" t="inlineStr">
        <is>
          <t>quads</t>
        </is>
      </c>
      <c r="E29" t="n">
        <v>16.60239</v>
      </c>
      <c r="F29" t="n">
        <v>16.993149</v>
      </c>
      <c r="G29" t="n">
        <v>16.567352</v>
      </c>
      <c r="H29" t="n">
        <v>16.398159</v>
      </c>
      <c r="I29" t="n">
        <v>16.343327</v>
      </c>
      <c r="J29" t="n">
        <v>16.268074</v>
      </c>
      <c r="K29" t="n">
        <v>16.11866</v>
      </c>
      <c r="L29" t="n">
        <v>16.077835</v>
      </c>
      <c r="M29" t="n">
        <v>16.100592</v>
      </c>
      <c r="N29" t="n">
        <v>16.091263</v>
      </c>
      <c r="O29" t="n">
        <v>16.118477</v>
      </c>
      <c r="P29" t="n">
        <v>16.161354</v>
      </c>
      <c r="Q29" t="n">
        <v>16.233765</v>
      </c>
      <c r="R29" t="n">
        <v>16.322573</v>
      </c>
      <c r="S29" t="n">
        <v>16.395124</v>
      </c>
      <c r="T29" t="n">
        <v>16.449675</v>
      </c>
      <c r="U29" t="n">
        <v>16.511595</v>
      </c>
      <c r="V29" t="n">
        <v>16.601418</v>
      </c>
      <c r="W29" t="n">
        <v>16.70262</v>
      </c>
      <c r="X29" t="n">
        <v>16.803452</v>
      </c>
      <c r="Y29" t="n">
        <v>16.901161</v>
      </c>
      <c r="Z29" t="n">
        <v>16.983013</v>
      </c>
      <c r="AA29" t="n">
        <v>17.051414</v>
      </c>
      <c r="AB29" t="n">
        <v>17.107468</v>
      </c>
      <c r="AC29" t="n">
        <v>17.136803</v>
      </c>
      <c r="AD29" t="n">
        <v>17.17927</v>
      </c>
      <c r="AE29" t="inlineStr">
        <is>
          <t>0.1%</t>
        </is>
      </c>
    </row>
    <row r="30">
      <c r="A30" t="inlineStr">
        <is>
          <t>Industrial</t>
        </is>
      </c>
    </row>
    <row r="31">
      <c r="A31" t="inlineStr">
        <is>
          <t>Hydrocarbon Gas Liquids</t>
        </is>
      </c>
      <c r="B31" t="inlineStr">
        <is>
          <t>Energy Use: Industrial: Hydrocarbon Gas Liquids: Alternative Electricity and Transportation</t>
        </is>
      </c>
      <c r="C31" t="inlineStr">
        <is>
          <t>AEO.2026.ELECTRNP.CNSM_ENU_IDAL_NA_LPG_NA_NA_QBTU.A</t>
        </is>
      </c>
      <c r="D31" t="inlineStr">
        <is>
          <t>quads</t>
        </is>
      </c>
      <c r="E31" t="n">
        <v>3.662158</v>
      </c>
      <c r="F31" t="n">
        <v>3.619826</v>
      </c>
      <c r="G31" t="n">
        <v>3.814983</v>
      </c>
      <c r="H31" t="n">
        <v>3.703949</v>
      </c>
      <c r="I31" t="n">
        <v>3.628261</v>
      </c>
      <c r="J31" t="n">
        <v>3.619809</v>
      </c>
      <c r="K31" t="n">
        <v>3.650235</v>
      </c>
      <c r="L31" t="n">
        <v>3.675397</v>
      </c>
      <c r="M31" t="n">
        <v>3.710558</v>
      </c>
      <c r="N31" t="n">
        <v>3.75121</v>
      </c>
      <c r="O31" t="n">
        <v>3.798428</v>
      </c>
      <c r="P31" t="n">
        <v>3.856649</v>
      </c>
      <c r="Q31" t="n">
        <v>3.902375</v>
      </c>
      <c r="R31" t="n">
        <v>3.949627</v>
      </c>
      <c r="S31" t="n">
        <v>4.027802</v>
      </c>
      <c r="T31" t="n">
        <v>4.09741</v>
      </c>
      <c r="U31" t="n">
        <v>4.173698</v>
      </c>
      <c r="V31" t="n">
        <v>4.262658</v>
      </c>
      <c r="W31" t="n">
        <v>4.345017</v>
      </c>
      <c r="X31" t="n">
        <v>4.428278</v>
      </c>
      <c r="Y31" t="n">
        <v>4.518957</v>
      </c>
      <c r="Z31" t="n">
        <v>4.61057</v>
      </c>
      <c r="AA31" t="n">
        <v>4.711479</v>
      </c>
      <c r="AB31" t="n">
        <v>4.800843</v>
      </c>
      <c r="AC31" t="n">
        <v>4.864139</v>
      </c>
      <c r="AD31" t="n">
        <v>4.951746</v>
      </c>
      <c r="AE31" t="inlineStr">
        <is>
          <t>1.2%</t>
        </is>
      </c>
    </row>
    <row r="32">
      <c r="A32" t="inlineStr">
        <is>
          <t>Motor Gasoline</t>
        </is>
      </c>
      <c r="B32" t="inlineStr">
        <is>
          <t>Energy Use: Industrial: Motor Gasoline: Alternative Electricity and Transportation</t>
        </is>
      </c>
      <c r="C32" t="inlineStr">
        <is>
          <t>AEO.2026.ELECTRNP.CNSM_ENU_IDAL_NA_MGS_NA_NA_QBTU.A</t>
        </is>
      </c>
      <c r="D32" t="inlineStr">
        <is>
          <t>quads</t>
        </is>
      </c>
      <c r="E32" t="n">
        <v>0.274134</v>
      </c>
      <c r="F32" t="n">
        <v>0.272877</v>
      </c>
      <c r="G32" t="n">
        <v>0.274898</v>
      </c>
      <c r="H32" t="n">
        <v>0.278423</v>
      </c>
      <c r="I32" t="n">
        <v>0.281926</v>
      </c>
      <c r="J32" t="n">
        <v>0.286878</v>
      </c>
      <c r="K32" t="n">
        <v>0.291053</v>
      </c>
      <c r="L32" t="n">
        <v>0.295224</v>
      </c>
      <c r="M32" t="n">
        <v>0.298205</v>
      </c>
      <c r="N32" t="n">
        <v>0.30178</v>
      </c>
      <c r="O32" t="n">
        <v>0.304799</v>
      </c>
      <c r="P32" t="n">
        <v>0.307633</v>
      </c>
      <c r="Q32" t="n">
        <v>0.310316</v>
      </c>
      <c r="R32" t="n">
        <v>0.312839</v>
      </c>
      <c r="S32" t="n">
        <v>0.315401</v>
      </c>
      <c r="T32" t="n">
        <v>0.317999</v>
      </c>
      <c r="U32" t="n">
        <v>0.320688</v>
      </c>
      <c r="V32" t="n">
        <v>0.323215</v>
      </c>
      <c r="W32" t="n">
        <v>0.325655</v>
      </c>
      <c r="X32" t="n">
        <v>0.327945</v>
      </c>
      <c r="Y32" t="n">
        <v>0.330613</v>
      </c>
      <c r="Z32" t="n">
        <v>0.333403</v>
      </c>
      <c r="AA32" t="n">
        <v>0.336337</v>
      </c>
      <c r="AB32" t="n">
        <v>0.338948</v>
      </c>
      <c r="AC32" t="n">
        <v>0.341414</v>
      </c>
      <c r="AD32" t="n">
        <v>0.34381</v>
      </c>
      <c r="AE32" t="inlineStr">
        <is>
          <t>0.9%</t>
        </is>
      </c>
    </row>
    <row r="33">
      <c r="A33" t="inlineStr">
        <is>
          <t>Distillate Fuel Oil</t>
        </is>
      </c>
      <c r="B33" t="inlineStr">
        <is>
          <t>Energy Use: Industrial: Distillate Fuel Oil: Alternative Electricity and Transportation</t>
        </is>
      </c>
      <c r="C33" t="inlineStr">
        <is>
          <t>AEO.2026.ELECTRNP.CNSM_ENU_IDAL_NA_DFO_NA_NA_QBTU.A</t>
        </is>
      </c>
      <c r="D33" t="inlineStr">
        <is>
          <t>quads</t>
        </is>
      </c>
      <c r="E33" t="n">
        <v>1.161135</v>
      </c>
      <c r="F33" t="n">
        <v>1.161444</v>
      </c>
      <c r="G33" t="n">
        <v>1.162011</v>
      </c>
      <c r="H33" t="n">
        <v>1.168513</v>
      </c>
      <c r="I33" t="n">
        <v>1.179822</v>
      </c>
      <c r="J33" t="n">
        <v>1.196678</v>
      </c>
      <c r="K33" t="n">
        <v>1.2089</v>
      </c>
      <c r="L33" t="n">
        <v>1.228125</v>
      </c>
      <c r="M33" t="n">
        <v>1.237822</v>
      </c>
      <c r="N33" t="n">
        <v>1.249308</v>
      </c>
      <c r="O33" t="n">
        <v>1.260567</v>
      </c>
      <c r="P33" t="n">
        <v>1.270628</v>
      </c>
      <c r="Q33" t="n">
        <v>1.281835</v>
      </c>
      <c r="R33" t="n">
        <v>1.292388</v>
      </c>
      <c r="S33" t="n">
        <v>1.302165</v>
      </c>
      <c r="T33" t="n">
        <v>1.31047</v>
      </c>
      <c r="U33" t="n">
        <v>1.317658</v>
      </c>
      <c r="V33" t="n">
        <v>1.325369</v>
      </c>
      <c r="W33" t="n">
        <v>1.332637</v>
      </c>
      <c r="X33" t="n">
        <v>1.339916</v>
      </c>
      <c r="Y33" t="n">
        <v>1.349524</v>
      </c>
      <c r="Z33" t="n">
        <v>1.359533</v>
      </c>
      <c r="AA33" t="n">
        <v>1.369825</v>
      </c>
      <c r="AB33" t="n">
        <v>1.378923</v>
      </c>
      <c r="AC33" t="n">
        <v>1.387899</v>
      </c>
      <c r="AD33" t="n">
        <v>1.396855</v>
      </c>
      <c r="AE33" t="inlineStr">
        <is>
          <t>0.7%</t>
        </is>
      </c>
    </row>
    <row r="34">
      <c r="A34" t="inlineStr">
        <is>
          <t>Residual Fuel Oil</t>
        </is>
      </c>
      <c r="B34" t="inlineStr">
        <is>
          <t>Energy Use: Industrial: Residual Fuel Oil: Alternative Electricity and Transportation</t>
        </is>
      </c>
      <c r="C34" t="inlineStr">
        <is>
          <t>AEO.2026.ELECTRNP.CNSM_ENU_IDAL_NA_RFO_NA_NA_QBTU.A</t>
        </is>
      </c>
      <c r="D34" t="inlineStr">
        <is>
          <t>quads</t>
        </is>
      </c>
      <c r="E34" t="n">
        <v>0.040876</v>
      </c>
      <c r="F34" t="n">
        <v>0.039529</v>
      </c>
      <c r="G34" t="n">
        <v>0.035322</v>
      </c>
      <c r="H34" t="n">
        <v>0.034547</v>
      </c>
      <c r="I34" t="n">
        <v>0.033736</v>
      </c>
      <c r="J34" t="n">
        <v>0.034748</v>
      </c>
      <c r="K34" t="n">
        <v>0.0339</v>
      </c>
      <c r="L34" t="n">
        <v>0.034136</v>
      </c>
      <c r="M34" t="n">
        <v>0.033707</v>
      </c>
      <c r="N34" t="n">
        <v>0.033753</v>
      </c>
      <c r="O34" t="n">
        <v>0.033499</v>
      </c>
      <c r="P34" t="n">
        <v>0.033284</v>
      </c>
      <c r="Q34" t="n">
        <v>0.033025</v>
      </c>
      <c r="R34" t="n">
        <v>0.032672</v>
      </c>
      <c r="S34" t="n">
        <v>0.03256</v>
      </c>
      <c r="T34" t="n">
        <v>0.032231</v>
      </c>
      <c r="U34" t="n">
        <v>0.031566</v>
      </c>
      <c r="V34" t="n">
        <v>0.030664</v>
      </c>
      <c r="W34" t="n">
        <v>0.029574</v>
      </c>
      <c r="X34" t="n">
        <v>0.028497</v>
      </c>
      <c r="Y34" t="n">
        <v>0.027718</v>
      </c>
      <c r="Z34" t="n">
        <v>0.027413</v>
      </c>
      <c r="AA34" t="n">
        <v>0.027218</v>
      </c>
      <c r="AB34" t="n">
        <v>0.026843</v>
      </c>
      <c r="AC34" t="n">
        <v>0.026572</v>
      </c>
      <c r="AD34" t="n">
        <v>0.026396</v>
      </c>
      <c r="AE34" t="inlineStr">
        <is>
          <t>-1.7%</t>
        </is>
      </c>
    </row>
    <row r="35">
      <c r="A35" t="inlineStr">
        <is>
          <t>Petrochemical Feedstocks</t>
        </is>
      </c>
      <c r="B35" t="inlineStr">
        <is>
          <t>Energy Use: Industrial: Petrochemical Feedstocks: Alternative Electricity and Transportation</t>
        </is>
      </c>
      <c r="C35" t="inlineStr">
        <is>
          <t>AEO.2026.ELECTRNP.CNSM_ENU_IDAL_NA_PCF_NA_NA_QBTU.A</t>
        </is>
      </c>
      <c r="D35" t="inlineStr">
        <is>
          <t>quads</t>
        </is>
      </c>
      <c r="E35" t="n">
        <v>0.412934</v>
      </c>
      <c r="F35" t="n">
        <v>0.338138</v>
      </c>
      <c r="G35" t="n">
        <v>0.3482</v>
      </c>
      <c r="H35" t="n">
        <v>0.55</v>
      </c>
      <c r="I35" t="n">
        <v>0.55</v>
      </c>
      <c r="J35" t="n">
        <v>0.55</v>
      </c>
      <c r="K35" t="n">
        <v>0.55</v>
      </c>
      <c r="L35" t="n">
        <v>0.55</v>
      </c>
      <c r="M35" t="n">
        <v>0.55</v>
      </c>
      <c r="N35" t="n">
        <v>0.55</v>
      </c>
      <c r="O35" t="n">
        <v>0.55</v>
      </c>
      <c r="P35" t="n">
        <v>0.55</v>
      </c>
      <c r="Q35" t="n">
        <v>0.55</v>
      </c>
      <c r="R35" t="n">
        <v>0.55</v>
      </c>
      <c r="S35" t="n">
        <v>0.55</v>
      </c>
      <c r="T35" t="n">
        <v>0.55</v>
      </c>
      <c r="U35" t="n">
        <v>0.55</v>
      </c>
      <c r="V35" t="n">
        <v>0.55</v>
      </c>
      <c r="W35" t="n">
        <v>0.55</v>
      </c>
      <c r="X35" t="n">
        <v>0.55</v>
      </c>
      <c r="Y35" t="n">
        <v>0.55</v>
      </c>
      <c r="Z35" t="n">
        <v>0.55</v>
      </c>
      <c r="AA35" t="n">
        <v>0.55</v>
      </c>
      <c r="AB35" t="n">
        <v>0.55</v>
      </c>
      <c r="AC35" t="n">
        <v>0.55</v>
      </c>
      <c r="AD35" t="n">
        <v>0.55</v>
      </c>
      <c r="AE35" t="inlineStr">
        <is>
          <t>1.2%</t>
        </is>
      </c>
    </row>
    <row r="36">
      <c r="A36" t="inlineStr">
        <is>
          <t>Other Petroleum</t>
        </is>
      </c>
      <c r="B36" t="inlineStr">
        <is>
          <t>Energy Use: Industrial: Other Petroleum: Alternative Electricity and Transportation</t>
        </is>
      </c>
      <c r="C36" t="inlineStr">
        <is>
          <t>AEO.2026.ELECTRNP.CNSM_ENU_IDAL_NA_ONP_NA_NA_QBTU.A</t>
        </is>
      </c>
      <c r="D36" t="inlineStr">
        <is>
          <t>quads</t>
        </is>
      </c>
      <c r="E36" t="n">
        <v>3.072672</v>
      </c>
      <c r="F36" t="n">
        <v>3.083884</v>
      </c>
      <c r="G36" t="n">
        <v>3.060251</v>
      </c>
      <c r="H36" t="n">
        <v>3.159648</v>
      </c>
      <c r="I36" t="n">
        <v>3.179748</v>
      </c>
      <c r="J36" t="n">
        <v>3.208421</v>
      </c>
      <c r="K36" t="n">
        <v>3.199021</v>
      </c>
      <c r="L36" t="n">
        <v>3.227253</v>
      </c>
      <c r="M36" t="n">
        <v>3.243433</v>
      </c>
      <c r="N36" t="n">
        <v>3.259159</v>
      </c>
      <c r="O36" t="n">
        <v>3.264192</v>
      </c>
      <c r="P36" t="n">
        <v>3.274461</v>
      </c>
      <c r="Q36" t="n">
        <v>3.294827</v>
      </c>
      <c r="R36" t="n">
        <v>3.301581</v>
      </c>
      <c r="S36" t="n">
        <v>3.308971</v>
      </c>
      <c r="T36" t="n">
        <v>3.328164</v>
      </c>
      <c r="U36" t="n">
        <v>3.338817</v>
      </c>
      <c r="V36" t="n">
        <v>3.347526</v>
      </c>
      <c r="W36" t="n">
        <v>3.356701</v>
      </c>
      <c r="X36" t="n">
        <v>3.359478</v>
      </c>
      <c r="Y36" t="n">
        <v>3.366012</v>
      </c>
      <c r="Z36" t="n">
        <v>3.350904</v>
      </c>
      <c r="AA36" t="n">
        <v>3.371716</v>
      </c>
      <c r="AB36" t="n">
        <v>3.361616</v>
      </c>
      <c r="AC36" t="n">
        <v>3.371541</v>
      </c>
      <c r="AD36" t="n">
        <v>3.357753</v>
      </c>
      <c r="AE36" t="inlineStr">
        <is>
          <t>0.4%</t>
        </is>
      </c>
    </row>
    <row r="37">
      <c r="A37" t="inlineStr">
        <is>
          <t>Petroleum and Other Liquids Subtotal</t>
        </is>
      </c>
      <c r="B37" t="inlineStr">
        <is>
          <t>Energy Use: Industrial: Liquid Fuels Subtotal: Alternative Electricity and Transportation</t>
        </is>
      </c>
      <c r="C37" t="inlineStr">
        <is>
          <t>AEO.2026.ELECTRNP.CNSM_ENU_IDAL_NA_LFL_NA_NA_QBTU.A</t>
        </is>
      </c>
      <c r="D37" t="inlineStr">
        <is>
          <t>quads</t>
        </is>
      </c>
      <c r="E37" t="n">
        <v>8.623908</v>
      </c>
      <c r="F37" t="n">
        <v>8.515696999999999</v>
      </c>
      <c r="G37" t="n">
        <v>8.695665999999999</v>
      </c>
      <c r="H37" t="n">
        <v>8.895080999999999</v>
      </c>
      <c r="I37" t="n">
        <v>8.853493</v>
      </c>
      <c r="J37" t="n">
        <v>8.896534000000001</v>
      </c>
      <c r="K37" t="n">
        <v>8.933109999999999</v>
      </c>
      <c r="L37" t="n">
        <v>9.010138</v>
      </c>
      <c r="M37" t="n">
        <v>9.073725</v>
      </c>
      <c r="N37" t="n">
        <v>9.145208999999999</v>
      </c>
      <c r="O37" t="n">
        <v>9.211484</v>
      </c>
      <c r="P37" t="n">
        <v>9.292655999999999</v>
      </c>
      <c r="Q37" t="n">
        <v>9.372375999999999</v>
      </c>
      <c r="R37" t="n">
        <v>9.439107999999999</v>
      </c>
      <c r="S37" t="n">
        <v>9.536899</v>
      </c>
      <c r="T37" t="n">
        <v>9.636274</v>
      </c>
      <c r="U37" t="n">
        <v>9.732426999999999</v>
      </c>
      <c r="V37" t="n">
        <v>9.839432</v>
      </c>
      <c r="W37" t="n">
        <v>9.939584999999999</v>
      </c>
      <c r="X37" t="n">
        <v>10.034114</v>
      </c>
      <c r="Y37" t="n">
        <v>10.142825</v>
      </c>
      <c r="Z37" t="n">
        <v>10.231822</v>
      </c>
      <c r="AA37" t="n">
        <v>10.366573</v>
      </c>
      <c r="AB37" t="n">
        <v>10.457173</v>
      </c>
      <c r="AC37" t="n">
        <v>10.541565</v>
      </c>
      <c r="AD37" t="n">
        <v>10.62656</v>
      </c>
      <c r="AE37" t="inlineStr">
        <is>
          <t>0.8%</t>
        </is>
      </c>
    </row>
    <row r="38">
      <c r="A38" t="inlineStr">
        <is>
          <t>Natural Gas</t>
        </is>
      </c>
      <c r="B38" t="inlineStr">
        <is>
          <t>Energy Use: Industrial: Natural Gas: Alternative Electricity and Transportation</t>
        </is>
      </c>
      <c r="C38" t="inlineStr">
        <is>
          <t>AEO.2026.ELECTRNP.CNSM_ENU_IDAL_NA_NG_NA_NA_QBTU.A</t>
        </is>
      </c>
      <c r="D38" t="inlineStr">
        <is>
          <t>quads</t>
        </is>
      </c>
      <c r="E38" t="n">
        <v>7.890323</v>
      </c>
      <c r="F38" t="n">
        <v>7.801679</v>
      </c>
      <c r="G38" t="n">
        <v>7.691007</v>
      </c>
      <c r="H38" t="n">
        <v>7.694491</v>
      </c>
      <c r="I38" t="n">
        <v>7.686046</v>
      </c>
      <c r="J38" t="n">
        <v>7.689239</v>
      </c>
      <c r="K38" t="n">
        <v>7.731081</v>
      </c>
      <c r="L38" t="n">
        <v>7.760675</v>
      </c>
      <c r="M38" t="n">
        <v>7.764179</v>
      </c>
      <c r="N38" t="n">
        <v>7.788864</v>
      </c>
      <c r="O38" t="n">
        <v>7.813654</v>
      </c>
      <c r="P38" t="n">
        <v>7.827874</v>
      </c>
      <c r="Q38" t="n">
        <v>7.822379</v>
      </c>
      <c r="R38" t="n">
        <v>7.836251</v>
      </c>
      <c r="S38" t="n">
        <v>7.857157</v>
      </c>
      <c r="T38" t="n">
        <v>7.899248</v>
      </c>
      <c r="U38" t="n">
        <v>7.945885</v>
      </c>
      <c r="V38" t="n">
        <v>8.020393</v>
      </c>
      <c r="W38" t="n">
        <v>8.099468999999999</v>
      </c>
      <c r="X38" t="n">
        <v>8.172278</v>
      </c>
      <c r="Y38" t="n">
        <v>8.254452000000001</v>
      </c>
      <c r="Z38" t="n">
        <v>8.324203000000001</v>
      </c>
      <c r="AA38" t="n">
        <v>8.409905</v>
      </c>
      <c r="AB38" t="n">
        <v>8.477641</v>
      </c>
      <c r="AC38" t="n">
        <v>8.531862</v>
      </c>
      <c r="AD38" t="n">
        <v>8.615800999999999</v>
      </c>
      <c r="AE38" t="inlineStr">
        <is>
          <t>0.4%</t>
        </is>
      </c>
    </row>
    <row r="39">
      <c r="A39" t="inlineStr">
        <is>
          <t>Lease and Plant Fuel</t>
        </is>
      </c>
      <c r="B39" t="inlineStr">
        <is>
          <t>Energy Use: Industrial: Lease and Plant Fuel: Alternative Electricity and Transportation</t>
        </is>
      </c>
      <c r="C39" t="inlineStr">
        <is>
          <t>AEO.2026.ELECTRNP.CNSM_ENU_IDAL_NA_LSAPFL_NA_NA_QBTU.A</t>
        </is>
      </c>
      <c r="D39" t="inlineStr">
        <is>
          <t>quads</t>
        </is>
      </c>
      <c r="E39" t="n">
        <v>2.136239</v>
      </c>
      <c r="F39" t="n">
        <v>2.128485</v>
      </c>
      <c r="G39" t="n">
        <v>2.16034</v>
      </c>
      <c r="H39" t="n">
        <v>2.165232</v>
      </c>
      <c r="I39" t="n">
        <v>2.162156</v>
      </c>
      <c r="J39" t="n">
        <v>2.203182</v>
      </c>
      <c r="K39" t="n">
        <v>2.264353</v>
      </c>
      <c r="L39" t="n">
        <v>2.334959</v>
      </c>
      <c r="M39" t="n">
        <v>2.395234</v>
      </c>
      <c r="N39" t="n">
        <v>2.452581</v>
      </c>
      <c r="O39" t="n">
        <v>2.473735</v>
      </c>
      <c r="P39" t="n">
        <v>2.482664</v>
      </c>
      <c r="Q39" t="n">
        <v>2.492755</v>
      </c>
      <c r="R39" t="n">
        <v>2.506868</v>
      </c>
      <c r="S39" t="n">
        <v>2.524662</v>
      </c>
      <c r="T39" t="n">
        <v>2.567465</v>
      </c>
      <c r="U39" t="n">
        <v>2.601775</v>
      </c>
      <c r="V39" t="n">
        <v>2.630552</v>
      </c>
      <c r="W39" t="n">
        <v>2.644943</v>
      </c>
      <c r="X39" t="n">
        <v>2.647805</v>
      </c>
      <c r="Y39" t="n">
        <v>2.645955</v>
      </c>
      <c r="Z39" t="n">
        <v>2.656424</v>
      </c>
      <c r="AA39" t="n">
        <v>2.673549</v>
      </c>
      <c r="AB39" t="n">
        <v>2.689496</v>
      </c>
      <c r="AC39" t="n">
        <v>2.689622</v>
      </c>
      <c r="AD39" t="n">
        <v>2.684877</v>
      </c>
      <c r="AE39" t="inlineStr">
        <is>
          <t>0.9%</t>
        </is>
      </c>
    </row>
    <row r="40">
      <c r="A40" t="inlineStr">
        <is>
          <t>Natural Gas Subtotal</t>
        </is>
      </c>
      <c r="B40" t="inlineStr">
        <is>
          <t>Energy Use: Industrial: Natural Gas Subtotal: Alternative Electricity and Transportation</t>
        </is>
      </c>
      <c r="C40" t="inlineStr">
        <is>
          <t>AEO.2026.ELECTRNP.CNSM_ENU_IDAL_NA_NGS_NA_NA_QBTU.A</t>
        </is>
      </c>
      <c r="D40" t="inlineStr">
        <is>
          <t>quads</t>
        </is>
      </c>
      <c r="E40" t="n">
        <v>10.026562</v>
      </c>
      <c r="F40" t="n">
        <v>9.930164</v>
      </c>
      <c r="G40" t="n">
        <v>9.851347000000001</v>
      </c>
      <c r="H40" t="n">
        <v>9.859723000000001</v>
      </c>
      <c r="I40" t="n">
        <v>9.848203</v>
      </c>
      <c r="J40" t="n">
        <v>9.892421000000001</v>
      </c>
      <c r="K40" t="n">
        <v>9.995433</v>
      </c>
      <c r="L40" t="n">
        <v>10.095635</v>
      </c>
      <c r="M40" t="n">
        <v>10.159411</v>
      </c>
      <c r="N40" t="n">
        <v>10.241446</v>
      </c>
      <c r="O40" t="n">
        <v>10.287389</v>
      </c>
      <c r="P40" t="n">
        <v>10.310538</v>
      </c>
      <c r="Q40" t="n">
        <v>10.315134</v>
      </c>
      <c r="R40" t="n">
        <v>10.34312</v>
      </c>
      <c r="S40" t="n">
        <v>10.38182</v>
      </c>
      <c r="T40" t="n">
        <v>10.466712</v>
      </c>
      <c r="U40" t="n">
        <v>10.54766</v>
      </c>
      <c r="V40" t="n">
        <v>10.650945</v>
      </c>
      <c r="W40" t="n">
        <v>10.744411</v>
      </c>
      <c r="X40" t="n">
        <v>10.820083</v>
      </c>
      <c r="Y40" t="n">
        <v>10.900406</v>
      </c>
      <c r="Z40" t="n">
        <v>10.980626</v>
      </c>
      <c r="AA40" t="n">
        <v>11.083455</v>
      </c>
      <c r="AB40" t="n">
        <v>11.167137</v>
      </c>
      <c r="AC40" t="n">
        <v>11.221485</v>
      </c>
      <c r="AD40" t="n">
        <v>11.300678</v>
      </c>
      <c r="AE40" t="inlineStr">
        <is>
          <t>0.5%</t>
        </is>
      </c>
    </row>
    <row r="41">
      <c r="A41" t="inlineStr">
        <is>
          <t>Metallurgical Coal</t>
        </is>
      </c>
      <c r="B41" t="inlineStr">
        <is>
          <t>Energy Use: Industrial: Metallurgical Coal: Alternative Electricity and Transportation</t>
        </is>
      </c>
      <c r="C41" t="inlineStr">
        <is>
          <t>AEO.2026.ELECTRNP.CNSM_ENU_IDAL_NA_MTC_NA_NA_QBTU.A</t>
        </is>
      </c>
      <c r="D41" t="inlineStr">
        <is>
          <t>quads</t>
        </is>
      </c>
      <c r="E41" t="n">
        <v>0.418161</v>
      </c>
      <c r="F41" t="n">
        <v>0.437662</v>
      </c>
      <c r="G41" t="n">
        <v>0.44603</v>
      </c>
      <c r="H41" t="n">
        <v>0.430685</v>
      </c>
      <c r="I41" t="n">
        <v>0.419412</v>
      </c>
      <c r="J41" t="n">
        <v>0.41326</v>
      </c>
      <c r="K41" t="n">
        <v>0.405478</v>
      </c>
      <c r="L41" t="n">
        <v>0.399905</v>
      </c>
      <c r="M41" t="n">
        <v>0.39375</v>
      </c>
      <c r="N41" t="n">
        <v>0.38365</v>
      </c>
      <c r="O41" t="n">
        <v>0.375297</v>
      </c>
      <c r="P41" t="n">
        <v>0.36476</v>
      </c>
      <c r="Q41" t="n">
        <v>0.355506</v>
      </c>
      <c r="R41" t="n">
        <v>0.345369</v>
      </c>
      <c r="S41" t="n">
        <v>0.33481</v>
      </c>
      <c r="T41" t="n">
        <v>0.326546</v>
      </c>
      <c r="U41" t="n">
        <v>0.319121</v>
      </c>
      <c r="V41" t="n">
        <v>0.311913</v>
      </c>
      <c r="W41" t="n">
        <v>0.304025</v>
      </c>
      <c r="X41" t="n">
        <v>0.296245</v>
      </c>
      <c r="Y41" t="n">
        <v>0.290391</v>
      </c>
      <c r="Z41" t="n">
        <v>0.283607</v>
      </c>
      <c r="AA41" t="n">
        <v>0.277604</v>
      </c>
      <c r="AB41" t="n">
        <v>0.271253</v>
      </c>
      <c r="AC41" t="n">
        <v>0.263581</v>
      </c>
      <c r="AD41" t="n">
        <v>0.257168</v>
      </c>
      <c r="AE41" t="inlineStr">
        <is>
          <t>-1.9%</t>
        </is>
      </c>
    </row>
    <row r="42">
      <c r="A42" t="inlineStr">
        <is>
          <t>Other Industrial Coal</t>
        </is>
      </c>
      <c r="B42" t="inlineStr">
        <is>
          <t>Energy Use: Industrial: Other Industrial Coal: Alternative Electricity and Transportation</t>
        </is>
      </c>
      <c r="C42" t="inlineStr">
        <is>
          <t>AEO.2026.ELECTRNP.CNSM_ENU_IDAL_NA_OIC_NA_NA_QBTU.A</t>
        </is>
      </c>
      <c r="D42" t="inlineStr">
        <is>
          <t>quads</t>
        </is>
      </c>
      <c r="E42" t="n">
        <v>0.400357</v>
      </c>
      <c r="F42" t="n">
        <v>0.368676</v>
      </c>
      <c r="G42" t="n">
        <v>0.367838</v>
      </c>
      <c r="H42" t="n">
        <v>0.364646</v>
      </c>
      <c r="I42" t="n">
        <v>0.361133</v>
      </c>
      <c r="J42" t="n">
        <v>0.358318</v>
      </c>
      <c r="K42" t="n">
        <v>0.354281</v>
      </c>
      <c r="L42" t="n">
        <v>0.355666</v>
      </c>
      <c r="M42" t="n">
        <v>0.355927</v>
      </c>
      <c r="N42" t="n">
        <v>0.354811</v>
      </c>
      <c r="O42" t="n">
        <v>0.353166</v>
      </c>
      <c r="P42" t="n">
        <v>0.350292</v>
      </c>
      <c r="Q42" t="n">
        <v>0.346605</v>
      </c>
      <c r="R42" t="n">
        <v>0.342346</v>
      </c>
      <c r="S42" t="n">
        <v>0.337837</v>
      </c>
      <c r="T42" t="n">
        <v>0.333433</v>
      </c>
      <c r="U42" t="n">
        <v>0.329175</v>
      </c>
      <c r="V42" t="n">
        <v>0.324752</v>
      </c>
      <c r="W42" t="n">
        <v>0.32024</v>
      </c>
      <c r="X42" t="n">
        <v>0.315859</v>
      </c>
      <c r="Y42" t="n">
        <v>0.312079</v>
      </c>
      <c r="Z42" t="n">
        <v>0.30854</v>
      </c>
      <c r="AA42" t="n">
        <v>0.305125</v>
      </c>
      <c r="AB42" t="n">
        <v>0.301662</v>
      </c>
      <c r="AC42" t="n">
        <v>0.298052</v>
      </c>
      <c r="AD42" t="n">
        <v>0.294661</v>
      </c>
      <c r="AE42" t="inlineStr">
        <is>
          <t>-1.2%</t>
        </is>
      </c>
    </row>
    <row r="43">
      <c r="A43" t="inlineStr">
        <is>
          <t>Net Coal Coke Imports</t>
        </is>
      </c>
      <c r="B43" t="inlineStr">
        <is>
          <t>Energy Use: Industrial: Net Coal Coke Imports: Alternative Electricity and Transportation</t>
        </is>
      </c>
      <c r="C43" t="inlineStr">
        <is>
          <t>AEO.2026.ELECTRNP.CNSM_ENU_IDAL_NA_NCC_NA_NA_QBTU.A</t>
        </is>
      </c>
      <c r="D43" t="inlineStr">
        <is>
          <t>quads</t>
        </is>
      </c>
      <c r="E43" t="n">
        <v>-0.030896</v>
      </c>
      <c r="F43" t="n">
        <v>-0.035414</v>
      </c>
      <c r="G43" t="n">
        <v>-0.025404</v>
      </c>
      <c r="H43" t="n">
        <v>-0.025582</v>
      </c>
      <c r="I43" t="n">
        <v>-0.02519</v>
      </c>
      <c r="J43" t="n">
        <v>-0.024858</v>
      </c>
      <c r="K43" t="n">
        <v>-0.024549</v>
      </c>
      <c r="L43" t="n">
        <v>-0.02417</v>
      </c>
      <c r="M43" t="n">
        <v>-0.023818</v>
      </c>
      <c r="N43" t="n">
        <v>-0.023468</v>
      </c>
      <c r="O43" t="n">
        <v>-0.023053</v>
      </c>
      <c r="P43" t="n">
        <v>-0.022494</v>
      </c>
      <c r="Q43" t="n">
        <v>-0.021995</v>
      </c>
      <c r="R43" t="n">
        <v>-0.021444</v>
      </c>
      <c r="S43" t="n">
        <v>-0.020864</v>
      </c>
      <c r="T43" t="n">
        <v>-0.020423</v>
      </c>
      <c r="U43" t="n">
        <v>-0.02003</v>
      </c>
      <c r="V43" t="n">
        <v>-0.019644</v>
      </c>
      <c r="W43" t="n">
        <v>-0.019212</v>
      </c>
      <c r="X43" t="n">
        <v>-0.018783</v>
      </c>
      <c r="Y43" t="n">
        <v>-0.018388</v>
      </c>
      <c r="Z43" t="n">
        <v>-0.018088</v>
      </c>
      <c r="AA43" t="n">
        <v>-0.017674</v>
      </c>
      <c r="AB43" t="n">
        <v>-0.017365</v>
      </c>
      <c r="AC43" t="n">
        <v>-0.016993</v>
      </c>
      <c r="AD43" t="n">
        <v>-0.016634</v>
      </c>
      <c r="AE43" t="inlineStr">
        <is>
          <t>-2.4%</t>
        </is>
      </c>
    </row>
    <row r="44">
      <c r="A44" t="inlineStr">
        <is>
          <t>Coal Subtotal</t>
        </is>
      </c>
      <c r="B44" t="inlineStr">
        <is>
          <t>Energy Use: Industrial: Coal Subtotal: Alternative Electricity and Transportation</t>
        </is>
      </c>
      <c r="C44" t="inlineStr">
        <is>
          <t>AEO.2026.ELECTRNP.CNSM_ENU_IDAL_NA_COS_NA_NA_QBTU.A</t>
        </is>
      </c>
      <c r="D44" t="inlineStr">
        <is>
          <t>quads</t>
        </is>
      </c>
      <c r="E44" t="n">
        <v>0.787623</v>
      </c>
      <c r="F44" t="n">
        <v>0.770925</v>
      </c>
      <c r="G44" t="n">
        <v>0.7884640000000001</v>
      </c>
      <c r="H44" t="n">
        <v>0.769748</v>
      </c>
      <c r="I44" t="n">
        <v>0.755355</v>
      </c>
      <c r="J44" t="n">
        <v>0.746719</v>
      </c>
      <c r="K44" t="n">
        <v>0.7352109999999999</v>
      </c>
      <c r="L44" t="n">
        <v>0.731401</v>
      </c>
      <c r="M44" t="n">
        <v>0.725859</v>
      </c>
      <c r="N44" t="n">
        <v>0.714994</v>
      </c>
      <c r="O44" t="n">
        <v>0.70541</v>
      </c>
      <c r="P44" t="n">
        <v>0.692558</v>
      </c>
      <c r="Q44" t="n">
        <v>0.6801160000000001</v>
      </c>
      <c r="R44" t="n">
        <v>0.6662709999999999</v>
      </c>
      <c r="S44" t="n">
        <v>0.651783</v>
      </c>
      <c r="T44" t="n">
        <v>0.639557</v>
      </c>
      <c r="U44" t="n">
        <v>0.628266</v>
      </c>
      <c r="V44" t="n">
        <v>0.617021</v>
      </c>
      <c r="W44" t="n">
        <v>0.605053</v>
      </c>
      <c r="X44" t="n">
        <v>0.593321</v>
      </c>
      <c r="Y44" t="n">
        <v>0.584082</v>
      </c>
      <c r="Z44" t="n">
        <v>0.574058</v>
      </c>
      <c r="AA44" t="n">
        <v>0.565055</v>
      </c>
      <c r="AB44" t="n">
        <v>0.555551</v>
      </c>
      <c r="AC44" t="n">
        <v>0.54464</v>
      </c>
      <c r="AD44" t="n">
        <v>0.535195</v>
      </c>
      <c r="AE44" t="inlineStr">
        <is>
          <t>-1.5%</t>
        </is>
      </c>
    </row>
    <row r="45">
      <c r="A45" t="inlineStr">
        <is>
          <t>Biofuels Heat and Coproducts</t>
        </is>
      </c>
      <c r="B45" t="inlineStr">
        <is>
          <t>Energy Use: Industrial: Biofuels Heat and Coproducts: Alternative Electricity and Transportation</t>
        </is>
      </c>
      <c r="C45" t="inlineStr">
        <is>
          <t>AEO.2026.ELECTRNP.CNSM_ENU_IDAL_NA_BFH_NA_NA_QBTU.A</t>
        </is>
      </c>
      <c r="D45" t="inlineStr">
        <is>
          <t>quads</t>
        </is>
      </c>
      <c r="E45" t="n">
        <v>0.908917</v>
      </c>
      <c r="F45" t="n">
        <v>0.924606</v>
      </c>
      <c r="G45" t="n">
        <v>0.937098</v>
      </c>
      <c r="H45" t="n">
        <v>0.941686</v>
      </c>
      <c r="I45" t="n">
        <v>0.9385599999999999</v>
      </c>
      <c r="J45" t="n">
        <v>0.940195</v>
      </c>
      <c r="K45" t="n">
        <v>0.9370849999999999</v>
      </c>
      <c r="L45" t="n">
        <v>0.935959</v>
      </c>
      <c r="M45" t="n">
        <v>0.9345909999999999</v>
      </c>
      <c r="N45" t="n">
        <v>0.936723</v>
      </c>
      <c r="O45" t="n">
        <v>0.93835</v>
      </c>
      <c r="P45" t="n">
        <v>0.944568</v>
      </c>
      <c r="Q45" t="n">
        <v>0.944168</v>
      </c>
      <c r="R45" t="n">
        <v>0.944952</v>
      </c>
      <c r="S45" t="n">
        <v>0.945946</v>
      </c>
      <c r="T45" t="n">
        <v>0.948555</v>
      </c>
      <c r="U45" t="n">
        <v>0.951308</v>
      </c>
      <c r="V45" t="n">
        <v>0.961144</v>
      </c>
      <c r="W45" t="n">
        <v>0.965054</v>
      </c>
      <c r="X45" t="n">
        <v>0.9677210000000001</v>
      </c>
      <c r="Y45" t="n">
        <v>0.968534</v>
      </c>
      <c r="Z45" t="n">
        <v>0.968565</v>
      </c>
      <c r="AA45" t="n">
        <v>0.972857</v>
      </c>
      <c r="AB45" t="n">
        <v>0.978918</v>
      </c>
      <c r="AC45" t="n">
        <v>0.981626</v>
      </c>
      <c r="AD45" t="n">
        <v>0.986055</v>
      </c>
      <c r="AE45" t="inlineStr">
        <is>
          <t>0.3%</t>
        </is>
      </c>
    </row>
    <row r="46">
      <c r="A46" t="inlineStr">
        <is>
          <t>Renewable Energy</t>
        </is>
      </c>
      <c r="B46" t="inlineStr">
        <is>
          <t>Energy Use: Industrial: Renewable Energy: Alternative Electricity and Transportation</t>
        </is>
      </c>
      <c r="C46" t="inlineStr">
        <is>
          <t>AEO.2026.ELECTRNP.CNSM_ENU_IDAL_NA_REN_NA_NA_QBTU.A</t>
        </is>
      </c>
      <c r="D46" t="inlineStr">
        <is>
          <t>quads</t>
        </is>
      </c>
      <c r="E46" t="n">
        <v>1.497989</v>
      </c>
      <c r="F46" t="n">
        <v>1.6071</v>
      </c>
      <c r="G46" t="n">
        <v>1.568859</v>
      </c>
      <c r="H46" t="n">
        <v>1.550627</v>
      </c>
      <c r="I46" t="n">
        <v>1.543325</v>
      </c>
      <c r="J46" t="n">
        <v>1.514012</v>
      </c>
      <c r="K46" t="n">
        <v>1.479723</v>
      </c>
      <c r="L46" t="n">
        <v>1.458091</v>
      </c>
      <c r="M46" t="n">
        <v>1.446947</v>
      </c>
      <c r="N46" t="n">
        <v>1.448619</v>
      </c>
      <c r="O46" t="n">
        <v>1.452524</v>
      </c>
      <c r="P46" t="n">
        <v>1.463007</v>
      </c>
      <c r="Q46" t="n">
        <v>1.473162</v>
      </c>
      <c r="R46" t="n">
        <v>1.495779</v>
      </c>
      <c r="S46" t="n">
        <v>1.520454</v>
      </c>
      <c r="T46" t="n">
        <v>1.541369</v>
      </c>
      <c r="U46" t="n">
        <v>1.546718</v>
      </c>
      <c r="V46" t="n">
        <v>1.55775</v>
      </c>
      <c r="W46" t="n">
        <v>1.565254</v>
      </c>
      <c r="X46" t="n">
        <v>1.577919</v>
      </c>
      <c r="Y46" t="n">
        <v>1.602235</v>
      </c>
      <c r="Z46" t="n">
        <v>1.624774</v>
      </c>
      <c r="AA46" t="n">
        <v>1.650185</v>
      </c>
      <c r="AB46" t="n">
        <v>1.673621</v>
      </c>
      <c r="AC46" t="n">
        <v>1.702137</v>
      </c>
      <c r="AD46" t="n">
        <v>1.729226</v>
      </c>
      <c r="AE46" t="inlineStr">
        <is>
          <t>0.6%</t>
        </is>
      </c>
    </row>
    <row r="47">
      <c r="A47" t="inlineStr">
        <is>
          <t>Hydrogen</t>
        </is>
      </c>
      <c r="B47" t="inlineStr">
        <is>
          <t>Energy Use: Industrial: Hydrogen: Alternative Electricity and Transportation</t>
        </is>
      </c>
      <c r="C47" t="inlineStr">
        <is>
          <t>AEO.2026.ELECTRNP.CNSM_ENU_IDAL_NA_HDG_NA_NA_QBTU.A</t>
        </is>
      </c>
      <c r="D47" t="inlineStr">
        <is>
          <t>quads</t>
        </is>
      </c>
      <c r="E47" t="n">
        <v>1.075156</v>
      </c>
      <c r="F47" t="n">
        <v>1.020749</v>
      </c>
      <c r="G47" t="n">
        <v>1.018594</v>
      </c>
      <c r="H47" t="n">
        <v>1.01996</v>
      </c>
      <c r="I47" t="n">
        <v>1.029969</v>
      </c>
      <c r="J47" t="n">
        <v>1.027752</v>
      </c>
      <c r="K47" t="n">
        <v>1.015987</v>
      </c>
      <c r="L47" t="n">
        <v>1.013299</v>
      </c>
      <c r="M47" t="n">
        <v>1.018231</v>
      </c>
      <c r="N47" t="n">
        <v>1.039248</v>
      </c>
      <c r="O47" t="n">
        <v>1.049199</v>
      </c>
      <c r="P47" t="n">
        <v>1.052016</v>
      </c>
      <c r="Q47" t="n">
        <v>1.07089</v>
      </c>
      <c r="R47" t="n">
        <v>1.0807</v>
      </c>
      <c r="S47" t="n">
        <v>1.08871</v>
      </c>
      <c r="T47" t="n">
        <v>1.090008</v>
      </c>
      <c r="U47" t="n">
        <v>1.096752</v>
      </c>
      <c r="V47" t="n">
        <v>1.101672</v>
      </c>
      <c r="W47" t="n">
        <v>1.111893</v>
      </c>
      <c r="X47" t="n">
        <v>1.134199</v>
      </c>
      <c r="Y47" t="n">
        <v>1.149282</v>
      </c>
      <c r="Z47" t="n">
        <v>1.157262</v>
      </c>
      <c r="AA47" t="n">
        <v>1.168895</v>
      </c>
      <c r="AB47" t="n">
        <v>1.17652</v>
      </c>
      <c r="AC47" t="n">
        <v>1.182419</v>
      </c>
      <c r="AD47" t="n">
        <v>1.189262</v>
      </c>
      <c r="AE47" t="inlineStr">
        <is>
          <t>0.4%</t>
        </is>
      </c>
    </row>
    <row r="48">
      <c r="A48" t="inlineStr">
        <is>
          <t>Purchased Electricity for Industrial Use</t>
        </is>
      </c>
      <c r="B48" t="inlineStr">
        <is>
          <t>Energy Use: Industrial: Electricity: Alternative Electricity and Transportation</t>
        </is>
      </c>
      <c r="C48" t="inlineStr">
        <is>
          <t>AEO.2026.ELECTRNP.CNSM_ENU_IDAL_NA_ELC_NA_NA_QBTU.A</t>
        </is>
      </c>
      <c r="D48" t="inlineStr">
        <is>
          <t>quads</t>
        </is>
      </c>
      <c r="E48" t="n">
        <v>3.613466</v>
      </c>
      <c r="F48" t="n">
        <v>3.728416</v>
      </c>
      <c r="G48" t="n">
        <v>3.692948</v>
      </c>
      <c r="H48" t="n">
        <v>3.67347</v>
      </c>
      <c r="I48" t="n">
        <v>3.653112</v>
      </c>
      <c r="J48" t="n">
        <v>3.656043</v>
      </c>
      <c r="K48" t="n">
        <v>3.658544</v>
      </c>
      <c r="L48" t="n">
        <v>3.671531</v>
      </c>
      <c r="M48" t="n">
        <v>3.697406</v>
      </c>
      <c r="N48" t="n">
        <v>3.728293</v>
      </c>
      <c r="O48" t="n">
        <v>3.770464</v>
      </c>
      <c r="P48" t="n">
        <v>3.819732</v>
      </c>
      <c r="Q48" t="n">
        <v>3.880527</v>
      </c>
      <c r="R48" t="n">
        <v>3.937976</v>
      </c>
      <c r="S48" t="n">
        <v>3.991862</v>
      </c>
      <c r="T48" t="n">
        <v>4.040571</v>
      </c>
      <c r="U48" t="n">
        <v>4.081971</v>
      </c>
      <c r="V48" t="n">
        <v>4.114147</v>
      </c>
      <c r="W48" t="n">
        <v>4.135117</v>
      </c>
      <c r="X48" t="n">
        <v>4.154756</v>
      </c>
      <c r="Y48" t="n">
        <v>4.188702</v>
      </c>
      <c r="Z48" t="n">
        <v>4.223362</v>
      </c>
      <c r="AA48" t="n">
        <v>4.260318</v>
      </c>
      <c r="AB48" t="n">
        <v>4.296377</v>
      </c>
      <c r="AC48" t="n">
        <v>4.326928</v>
      </c>
      <c r="AD48" t="n">
        <v>4.356355</v>
      </c>
      <c r="AE48" t="inlineStr">
        <is>
          <t>0.8%</t>
        </is>
      </c>
    </row>
    <row r="49">
      <c r="A49" t="inlineStr">
        <is>
          <t>Delivered Energy</t>
        </is>
      </c>
      <c r="B49" t="inlineStr">
        <is>
          <t>Energy Use: Industrial: Delivered Energy: Alternative Electricity and Transportation</t>
        </is>
      </c>
      <c r="C49" t="inlineStr">
        <is>
          <t>AEO.2026.ELECTRNP.CNSM_ENU_IDAL_NA_DELE_NA_NA_QBTU.A</t>
        </is>
      </c>
      <c r="D49" t="inlineStr">
        <is>
          <t>quads</t>
        </is>
      </c>
      <c r="E49" t="n">
        <v>26.53362</v>
      </c>
      <c r="F49" t="n">
        <v>26.497659</v>
      </c>
      <c r="G49" t="n">
        <v>26.552975</v>
      </c>
      <c r="H49" t="n">
        <v>26.710294</v>
      </c>
      <c r="I49" t="n">
        <v>26.622015</v>
      </c>
      <c r="J49" t="n">
        <v>26.673677</v>
      </c>
      <c r="K49" t="n">
        <v>26.755094</v>
      </c>
      <c r="L49" t="n">
        <v>26.916056</v>
      </c>
      <c r="M49" t="n">
        <v>27.056169</v>
      </c>
      <c r="N49" t="n">
        <v>27.25453</v>
      </c>
      <c r="O49" t="n">
        <v>27.414819</v>
      </c>
      <c r="P49" t="n">
        <v>27.575079</v>
      </c>
      <c r="Q49" t="n">
        <v>27.736376</v>
      </c>
      <c r="R49" t="n">
        <v>27.907905</v>
      </c>
      <c r="S49" t="n">
        <v>28.117472</v>
      </c>
      <c r="T49" t="n">
        <v>28.363045</v>
      </c>
      <c r="U49" t="n">
        <v>28.585101</v>
      </c>
      <c r="V49" t="n">
        <v>28.84211</v>
      </c>
      <c r="W49" t="n">
        <v>29.066367</v>
      </c>
      <c r="X49" t="n">
        <v>29.282113</v>
      </c>
      <c r="Y49" t="n">
        <v>29.536067</v>
      </c>
      <c r="Z49" t="n">
        <v>29.76047</v>
      </c>
      <c r="AA49" t="n">
        <v>30.067337</v>
      </c>
      <c r="AB49" t="n">
        <v>30.305294</v>
      </c>
      <c r="AC49" t="n">
        <v>30.500798</v>
      </c>
      <c r="AD49" t="n">
        <v>30.723331</v>
      </c>
      <c r="AE49" t="inlineStr">
        <is>
          <t>0.6%</t>
        </is>
      </c>
    </row>
    <row r="50">
      <c r="A50" t="inlineStr">
        <is>
          <t>Electricity-Related Losses</t>
        </is>
      </c>
      <c r="B50" t="inlineStr">
        <is>
          <t>Energy Use: Industrial: Electricity Related Losses: Alternative Electricity and Transportation</t>
        </is>
      </c>
      <c r="C50" t="inlineStr">
        <is>
          <t>AEO.2026.ELECTRNP.CNSM_ENU_IDAL_NA_ERL_NA_NA_QBTU.A</t>
        </is>
      </c>
      <c r="D50" t="inlineStr">
        <is>
          <t>quads</t>
        </is>
      </c>
      <c r="E50" t="n">
        <v>4.965105</v>
      </c>
      <c r="F50" t="n">
        <v>5.073808</v>
      </c>
      <c r="G50" t="n">
        <v>4.641797</v>
      </c>
      <c r="H50" t="n">
        <v>4.418935</v>
      </c>
      <c r="I50" t="n">
        <v>4.295068</v>
      </c>
      <c r="J50" t="n">
        <v>4.221893</v>
      </c>
      <c r="K50" t="n">
        <v>4.090166</v>
      </c>
      <c r="L50" t="n">
        <v>4.024643</v>
      </c>
      <c r="M50" t="n">
        <v>4.004245</v>
      </c>
      <c r="N50" t="n">
        <v>3.958773</v>
      </c>
      <c r="O50" t="n">
        <v>3.943889</v>
      </c>
      <c r="P50" t="n">
        <v>3.934127</v>
      </c>
      <c r="Q50" t="n">
        <v>3.9573</v>
      </c>
      <c r="R50" t="n">
        <v>3.986079</v>
      </c>
      <c r="S50" t="n">
        <v>4.002359</v>
      </c>
      <c r="T50" t="n">
        <v>4.003138</v>
      </c>
      <c r="U50" t="n">
        <v>3.996583</v>
      </c>
      <c r="V50" t="n">
        <v>4.000162</v>
      </c>
      <c r="W50" t="n">
        <v>3.997722</v>
      </c>
      <c r="X50" t="n">
        <v>3.995728</v>
      </c>
      <c r="Y50" t="n">
        <v>4.007919</v>
      </c>
      <c r="Z50" t="n">
        <v>4.022417</v>
      </c>
      <c r="AA50" t="n">
        <v>4.043009</v>
      </c>
      <c r="AB50" t="n">
        <v>4.061853</v>
      </c>
      <c r="AC50" t="n">
        <v>4.060571</v>
      </c>
      <c r="AD50" t="n">
        <v>4.070766</v>
      </c>
      <c r="AE50" t="inlineStr">
        <is>
          <t>-0.8%</t>
        </is>
      </c>
    </row>
    <row r="51">
      <c r="A51" t="inlineStr">
        <is>
          <t>Hydrogen-Related Losses</t>
        </is>
      </c>
      <c r="B51" t="inlineStr">
        <is>
          <t>Energy Use: Industrial: Hydrogen Related Losses: Alternative Electricity and Transportation</t>
        </is>
      </c>
      <c r="C51" t="inlineStr">
        <is>
          <t>AEO.2026.ELECTRNP.CNSM_ENU_IDAL_NA_H2RELLOS_NA_NA_QBTU.A</t>
        </is>
      </c>
      <c r="D51" t="inlineStr">
        <is>
          <t>quads</t>
        </is>
      </c>
      <c r="E51" t="n">
        <v>0.254733</v>
      </c>
      <c r="F51" t="n">
        <v>0.240508</v>
      </c>
      <c r="G51" t="n">
        <v>0.238347</v>
      </c>
      <c r="H51" t="n">
        <v>0.238278</v>
      </c>
      <c r="I51" t="n">
        <v>0.24569</v>
      </c>
      <c r="J51" t="n">
        <v>0.24486</v>
      </c>
      <c r="K51" t="n">
        <v>0.240335</v>
      </c>
      <c r="L51" t="n">
        <v>0.239145</v>
      </c>
      <c r="M51" t="n">
        <v>0.239901</v>
      </c>
      <c r="N51" t="n">
        <v>0.245741</v>
      </c>
      <c r="O51" t="n">
        <v>0.247527</v>
      </c>
      <c r="P51" t="n">
        <v>0.246917</v>
      </c>
      <c r="Q51" t="n">
        <v>0.247601</v>
      </c>
      <c r="R51" t="n">
        <v>0.247617</v>
      </c>
      <c r="S51" t="n">
        <v>0.249115</v>
      </c>
      <c r="T51" t="n">
        <v>0.248659</v>
      </c>
      <c r="U51" t="n">
        <v>0.2468</v>
      </c>
      <c r="V51" t="n">
        <v>0.247111</v>
      </c>
      <c r="W51" t="n">
        <v>0.249127</v>
      </c>
      <c r="X51" t="n">
        <v>0.25513</v>
      </c>
      <c r="Y51" t="n">
        <v>0.258807</v>
      </c>
      <c r="Z51" t="n">
        <v>0.260065</v>
      </c>
      <c r="AA51" t="n">
        <v>0.262337</v>
      </c>
      <c r="AB51" t="n">
        <v>0.263519</v>
      </c>
      <c r="AC51" t="n">
        <v>0.264497</v>
      </c>
      <c r="AD51" t="n">
        <v>0.265476</v>
      </c>
      <c r="AE51" t="inlineStr">
        <is>
          <t>0.2%</t>
        </is>
      </c>
    </row>
    <row r="52">
      <c r="A52" t="inlineStr">
        <is>
          <t>Total</t>
        </is>
      </c>
      <c r="B52" t="inlineStr">
        <is>
          <t>Energy Use: Industrial: Total: Alternative Electricity and Transportation</t>
        </is>
      </c>
      <c r="C52" t="inlineStr">
        <is>
          <t>AEO.2026.ELECTRNP.CNSM_ENU_IDAL_NA_TOT_NA_NA_QBTU.A</t>
        </is>
      </c>
      <c r="D52" t="inlineStr">
        <is>
          <t>quads</t>
        </is>
      </c>
      <c r="E52" t="n">
        <v>31.753458</v>
      </c>
      <c r="F52" t="n">
        <v>31.811975</v>
      </c>
      <c r="G52" t="n">
        <v>31.433118</v>
      </c>
      <c r="H52" t="n">
        <v>31.367507</v>
      </c>
      <c r="I52" t="n">
        <v>31.162773</v>
      </c>
      <c r="J52" t="n">
        <v>31.14043</v>
      </c>
      <c r="K52" t="n">
        <v>31.085595</v>
      </c>
      <c r="L52" t="n">
        <v>31.179845</v>
      </c>
      <c r="M52" t="n">
        <v>31.300316</v>
      </c>
      <c r="N52" t="n">
        <v>31.459044</v>
      </c>
      <c r="O52" t="n">
        <v>31.606235</v>
      </c>
      <c r="P52" t="n">
        <v>31.756123</v>
      </c>
      <c r="Q52" t="n">
        <v>31.941276</v>
      </c>
      <c r="R52" t="n">
        <v>32.1416</v>
      </c>
      <c r="S52" t="n">
        <v>32.368946</v>
      </c>
      <c r="T52" t="n">
        <v>32.614842</v>
      </c>
      <c r="U52" t="n">
        <v>32.828484</v>
      </c>
      <c r="V52" t="n">
        <v>33.089382</v>
      </c>
      <c r="W52" t="n">
        <v>33.313216</v>
      </c>
      <c r="X52" t="n">
        <v>33.532971</v>
      </c>
      <c r="Y52" t="n">
        <v>33.802793</v>
      </c>
      <c r="Z52" t="n">
        <v>34.042952</v>
      </c>
      <c r="AA52" t="n">
        <v>34.372683</v>
      </c>
      <c r="AB52" t="n">
        <v>34.630666</v>
      </c>
      <c r="AC52" t="n">
        <v>34.825866</v>
      </c>
      <c r="AD52" t="n">
        <v>35.059573</v>
      </c>
      <c r="AE52" t="inlineStr">
        <is>
          <t>0.4%</t>
        </is>
      </c>
    </row>
    <row r="53">
      <c r="A53" t="inlineStr">
        <is>
          <t>Transportation</t>
        </is>
      </c>
    </row>
    <row r="54">
      <c r="A54" t="inlineStr">
        <is>
          <t>Propane</t>
        </is>
      </c>
      <c r="B54" t="inlineStr">
        <is>
          <t>Energy Use: Transportation: Propane: Alternative Electricity and Transportation</t>
        </is>
      </c>
      <c r="C54" t="inlineStr">
        <is>
          <t>AEO.2026.ELECTRNP.CNSM_ENU_TRN_NA_PROP_NA_NA_QBTU.A</t>
        </is>
      </c>
      <c r="D54" t="inlineStr">
        <is>
          <t>quads</t>
        </is>
      </c>
      <c r="E54" t="n">
        <v>0.010834</v>
      </c>
      <c r="F54" t="n">
        <v>0.010579</v>
      </c>
      <c r="G54" t="n">
        <v>0.010311</v>
      </c>
      <c r="H54" t="n">
        <v>0.010076</v>
      </c>
      <c r="I54" t="n">
        <v>0.009849</v>
      </c>
      <c r="J54" t="n">
        <v>0.009642</v>
      </c>
      <c r="K54" t="n">
        <v>0.009427</v>
      </c>
      <c r="L54" t="n">
        <v>0.009225000000000001</v>
      </c>
      <c r="M54" t="n">
        <v>0.009048</v>
      </c>
      <c r="N54" t="n">
        <v>0.008873000000000001</v>
      </c>
      <c r="O54" t="n">
        <v>0.008713</v>
      </c>
      <c r="P54" t="n">
        <v>0.008567</v>
      </c>
      <c r="Q54" t="n">
        <v>0.008432</v>
      </c>
      <c r="R54" t="n">
        <v>0.008300999999999999</v>
      </c>
      <c r="S54" t="n">
        <v>0.008184</v>
      </c>
      <c r="T54" t="n">
        <v>0.008076</v>
      </c>
      <c r="U54" t="n">
        <v>0.007963</v>
      </c>
      <c r="V54" t="n">
        <v>0.007853000000000001</v>
      </c>
      <c r="W54" t="n">
        <v>0.007741</v>
      </c>
      <c r="X54" t="n">
        <v>0.007632</v>
      </c>
      <c r="Y54" t="n">
        <v>0.007526</v>
      </c>
      <c r="Z54" t="n">
        <v>0.00742</v>
      </c>
      <c r="AA54" t="n">
        <v>0.007319</v>
      </c>
      <c r="AB54" t="n">
        <v>0.00721</v>
      </c>
      <c r="AC54" t="n">
        <v>0.007098</v>
      </c>
      <c r="AD54" t="n">
        <v>0.006987</v>
      </c>
      <c r="AE54" t="inlineStr">
        <is>
          <t>-1.7%</t>
        </is>
      </c>
    </row>
    <row r="55">
      <c r="A55" t="inlineStr">
        <is>
          <t>Motor Gasoline</t>
        </is>
      </c>
      <c r="B55" t="inlineStr">
        <is>
          <t>Energy Use: Transportation: Motor Gasoline: Alternative Electricity and Transportation</t>
        </is>
      </c>
      <c r="C55" t="inlineStr">
        <is>
          <t>AEO.2026.ELECTRNP.CNSM_ENU_TRN_NA_MGS_NA_NA_QBTU.A</t>
        </is>
      </c>
      <c r="D55" t="inlineStr">
        <is>
          <t>quads</t>
        </is>
      </c>
      <c r="E55" t="n">
        <v>15.952119</v>
      </c>
      <c r="F55" t="n">
        <v>15.816211</v>
      </c>
      <c r="G55" t="n">
        <v>15.670795</v>
      </c>
      <c r="H55" t="n">
        <v>15.465606</v>
      </c>
      <c r="I55" t="n">
        <v>15.225313</v>
      </c>
      <c r="J55" t="n">
        <v>14.975726</v>
      </c>
      <c r="K55" t="n">
        <v>14.736685</v>
      </c>
      <c r="L55" t="n">
        <v>14.53596</v>
      </c>
      <c r="M55" t="n">
        <v>14.326003</v>
      </c>
      <c r="N55" t="n">
        <v>14.190125</v>
      </c>
      <c r="O55" t="n">
        <v>14.043919</v>
      </c>
      <c r="P55" t="n">
        <v>13.868751</v>
      </c>
      <c r="Q55" t="n">
        <v>13.694697</v>
      </c>
      <c r="R55" t="n">
        <v>13.547844</v>
      </c>
      <c r="S55" t="n">
        <v>13.405708</v>
      </c>
      <c r="T55" t="n">
        <v>13.291874</v>
      </c>
      <c r="U55" t="n">
        <v>13.186517</v>
      </c>
      <c r="V55" t="n">
        <v>13.058501</v>
      </c>
      <c r="W55" t="n">
        <v>12.968844</v>
      </c>
      <c r="X55" t="n">
        <v>12.866261</v>
      </c>
      <c r="Y55" t="n">
        <v>12.776155</v>
      </c>
      <c r="Z55" t="n">
        <v>12.674413</v>
      </c>
      <c r="AA55" t="n">
        <v>12.588914</v>
      </c>
      <c r="AB55" t="n">
        <v>12.471676</v>
      </c>
      <c r="AC55" t="n">
        <v>12.352423</v>
      </c>
      <c r="AD55" t="n">
        <v>12.263251</v>
      </c>
      <c r="AE55" t="inlineStr">
        <is>
          <t>-1.0%</t>
        </is>
      </c>
    </row>
    <row r="56">
      <c r="A56" t="inlineStr">
        <is>
          <t>of which: E85</t>
        </is>
      </c>
      <c r="B56" t="inlineStr">
        <is>
          <t>Energy Use: Transportation: E85: Alternative Electricity and Transportation</t>
        </is>
      </c>
      <c r="C56" t="inlineStr">
        <is>
          <t>AEO.2026.ELECTRNP.CNSM_ENU_TRN_NA_E85_NA_NA_QBTU.A</t>
        </is>
      </c>
      <c r="D56" t="inlineStr">
        <is>
          <t>quads</t>
        </is>
      </c>
      <c r="E56" t="n">
        <v>0.039571</v>
      </c>
      <c r="F56" t="n">
        <v>0.031597</v>
      </c>
      <c r="G56" t="n">
        <v>0.029975</v>
      </c>
      <c r="H56" t="n">
        <v>0.028061</v>
      </c>
      <c r="I56" t="n">
        <v>0.025794</v>
      </c>
      <c r="J56" t="n">
        <v>0.026779</v>
      </c>
      <c r="K56" t="n">
        <v>0.022985</v>
      </c>
      <c r="L56" t="n">
        <v>0.021014</v>
      </c>
      <c r="M56" t="n">
        <v>0.019146</v>
      </c>
      <c r="N56" t="n">
        <v>0.017756</v>
      </c>
      <c r="O56" t="n">
        <v>0.015966</v>
      </c>
      <c r="P56" t="n">
        <v>0.01446</v>
      </c>
      <c r="Q56" t="n">
        <v>0.012975</v>
      </c>
      <c r="R56" t="n">
        <v>0.011777</v>
      </c>
      <c r="S56" t="n">
        <v>0.010739</v>
      </c>
      <c r="T56" t="n">
        <v>0.009934</v>
      </c>
      <c r="U56" t="n">
        <v>0.009025</v>
      </c>
      <c r="V56" t="n">
        <v>0.008495000000000001</v>
      </c>
      <c r="W56" t="n">
        <v>0.007977</v>
      </c>
      <c r="X56" t="n">
        <v>0.007621</v>
      </c>
      <c r="Y56" t="n">
        <v>0.0069</v>
      </c>
      <c r="Z56" t="n">
        <v>0.00664</v>
      </c>
      <c r="AA56" t="n">
        <v>0.00658</v>
      </c>
      <c r="AB56" t="n">
        <v>0.006774</v>
      </c>
      <c r="AC56" t="n">
        <v>0.006276</v>
      </c>
      <c r="AD56" t="n">
        <v>0.005978</v>
      </c>
      <c r="AE56" t="inlineStr">
        <is>
          <t>-7.3%</t>
        </is>
      </c>
    </row>
    <row r="57">
      <c r="A57" t="inlineStr">
        <is>
          <t>Jet Fuel</t>
        </is>
      </c>
      <c r="B57" t="inlineStr">
        <is>
          <t>Energy Use: Transportation: Jet Fuel: Alternative Electricity and Transportation</t>
        </is>
      </c>
      <c r="C57" t="inlineStr">
        <is>
          <t>AEO.2026.ELECTRNP.CNSM_ENU_TRN_NA_JFL_NA_NA_QBTU.A</t>
        </is>
      </c>
      <c r="D57" t="inlineStr">
        <is>
          <t>quads</t>
        </is>
      </c>
      <c r="E57" t="n">
        <v>3.559663</v>
      </c>
      <c r="F57" t="n">
        <v>3.614651</v>
      </c>
      <c r="G57" t="n">
        <v>3.641734</v>
      </c>
      <c r="H57" t="n">
        <v>3.639242</v>
      </c>
      <c r="I57" t="n">
        <v>3.653039</v>
      </c>
      <c r="J57" t="n">
        <v>3.677609</v>
      </c>
      <c r="K57" t="n">
        <v>3.700235</v>
      </c>
      <c r="L57" t="n">
        <v>3.732728</v>
      </c>
      <c r="M57" t="n">
        <v>3.767778</v>
      </c>
      <c r="N57" t="n">
        <v>3.810222</v>
      </c>
      <c r="O57" t="n">
        <v>3.861075</v>
      </c>
      <c r="P57" t="n">
        <v>3.897079</v>
      </c>
      <c r="Q57" t="n">
        <v>3.936533</v>
      </c>
      <c r="R57" t="n">
        <v>3.974361</v>
      </c>
      <c r="S57" t="n">
        <v>4.01077</v>
      </c>
      <c r="T57" t="n">
        <v>4.047615</v>
      </c>
      <c r="U57" t="n">
        <v>4.079945</v>
      </c>
      <c r="V57" t="n">
        <v>4.11531</v>
      </c>
      <c r="W57" t="n">
        <v>4.152023</v>
      </c>
      <c r="X57" t="n">
        <v>4.187668</v>
      </c>
      <c r="Y57" t="n">
        <v>4.223193</v>
      </c>
      <c r="Z57" t="n">
        <v>4.254883</v>
      </c>
      <c r="AA57" t="n">
        <v>4.281673</v>
      </c>
      <c r="AB57" t="n">
        <v>4.30826</v>
      </c>
      <c r="AC57" t="n">
        <v>4.330516</v>
      </c>
      <c r="AD57" t="n">
        <v>4.354498</v>
      </c>
      <c r="AE57" t="inlineStr">
        <is>
          <t>0.8%</t>
        </is>
      </c>
    </row>
    <row r="58">
      <c r="A58" t="inlineStr">
        <is>
          <t>Distillate Fuel Oil</t>
        </is>
      </c>
      <c r="B58" t="inlineStr">
        <is>
          <t>Energy Use: Transportation: Distillate Fuel Oil: Alternative Electricity and Transportation</t>
        </is>
      </c>
      <c r="C58" t="inlineStr">
        <is>
          <t>AEO.2026.ELECTRNP.CNSM_ENU_TRN_NA_DFO_NA_NA_QBTU.A</t>
        </is>
      </c>
      <c r="D58" t="inlineStr">
        <is>
          <t>quads</t>
        </is>
      </c>
      <c r="E58" t="n">
        <v>6.60237</v>
      </c>
      <c r="F58" t="n">
        <v>6.581657</v>
      </c>
      <c r="G58" t="n">
        <v>6.579469</v>
      </c>
      <c r="H58" t="n">
        <v>6.540533</v>
      </c>
      <c r="I58" t="n">
        <v>6.512479</v>
      </c>
      <c r="J58" t="n">
        <v>6.503887</v>
      </c>
      <c r="K58" t="n">
        <v>6.465642</v>
      </c>
      <c r="L58" t="n">
        <v>6.431713</v>
      </c>
      <c r="M58" t="n">
        <v>6.386379</v>
      </c>
      <c r="N58" t="n">
        <v>6.349166</v>
      </c>
      <c r="O58" t="n">
        <v>6.320048</v>
      </c>
      <c r="P58" t="n">
        <v>6.289291</v>
      </c>
      <c r="Q58" t="n">
        <v>6.261694</v>
      </c>
      <c r="R58" t="n">
        <v>6.233672</v>
      </c>
      <c r="S58" t="n">
        <v>6.207705</v>
      </c>
      <c r="T58" t="n">
        <v>6.186847</v>
      </c>
      <c r="U58" t="n">
        <v>6.16387</v>
      </c>
      <c r="V58" t="n">
        <v>6.139411</v>
      </c>
      <c r="W58" t="n">
        <v>6.113602</v>
      </c>
      <c r="X58" t="n">
        <v>6.091432</v>
      </c>
      <c r="Y58" t="n">
        <v>6.077926</v>
      </c>
      <c r="Z58" t="n">
        <v>6.068889</v>
      </c>
      <c r="AA58" t="n">
        <v>6.063625</v>
      </c>
      <c r="AB58" t="n">
        <v>6.048604</v>
      </c>
      <c r="AC58" t="n">
        <v>6.031284</v>
      </c>
      <c r="AD58" t="n">
        <v>6.012776</v>
      </c>
      <c r="AE58" t="inlineStr">
        <is>
          <t>-0.4%</t>
        </is>
      </c>
    </row>
    <row r="59">
      <c r="A59" t="inlineStr">
        <is>
          <t>Residual Fuel Oil</t>
        </is>
      </c>
      <c r="B59" t="inlineStr">
        <is>
          <t>Energy Use: Transportation: Residual Fuel Oil: Alternative Electricity and Transportation</t>
        </is>
      </c>
      <c r="C59" t="inlineStr">
        <is>
          <t>AEO.2026.ELECTRNP.CNSM_ENU_TRN_NA_RFO_NA_NA_QBTU.A</t>
        </is>
      </c>
      <c r="D59" t="inlineStr">
        <is>
          <t>quads</t>
        </is>
      </c>
      <c r="E59" t="n">
        <v>0.553285</v>
      </c>
      <c r="F59" t="n">
        <v>0.53506</v>
      </c>
      <c r="G59" t="n">
        <v>0.549447</v>
      </c>
      <c r="H59" t="n">
        <v>0.570977</v>
      </c>
      <c r="I59" t="n">
        <v>0.5761540000000001</v>
      </c>
      <c r="J59" t="n">
        <v>0.582145</v>
      </c>
      <c r="K59" t="n">
        <v>0.584488</v>
      </c>
      <c r="L59" t="n">
        <v>0.592035</v>
      </c>
      <c r="M59" t="n">
        <v>0.601279</v>
      </c>
      <c r="N59" t="n">
        <v>0.6107399999999999</v>
      </c>
      <c r="O59" t="n">
        <v>0.618854</v>
      </c>
      <c r="P59" t="n">
        <v>0.626732</v>
      </c>
      <c r="Q59" t="n">
        <v>0.632527</v>
      </c>
      <c r="R59" t="n">
        <v>0.6383799999999999</v>
      </c>
      <c r="S59" t="n">
        <v>0.643494</v>
      </c>
      <c r="T59" t="n">
        <v>0.6476690000000001</v>
      </c>
      <c r="U59" t="n">
        <v>0.651536</v>
      </c>
      <c r="V59" t="n">
        <v>0.658491</v>
      </c>
      <c r="W59" t="n">
        <v>0.66569</v>
      </c>
      <c r="X59" t="n">
        <v>0.6724290000000001</v>
      </c>
      <c r="Y59" t="n">
        <v>0.679744</v>
      </c>
      <c r="Z59" t="n">
        <v>0.686508</v>
      </c>
      <c r="AA59" t="n">
        <v>0.6927680000000001</v>
      </c>
      <c r="AB59" t="n">
        <v>0.698817</v>
      </c>
      <c r="AC59" t="n">
        <v>0.70527</v>
      </c>
      <c r="AD59" t="n">
        <v>0.712213</v>
      </c>
      <c r="AE59" t="inlineStr">
        <is>
          <t>1.0%</t>
        </is>
      </c>
    </row>
    <row r="60">
      <c r="A60" t="inlineStr">
        <is>
          <t>Other Petroleum</t>
        </is>
      </c>
      <c r="B60" t="inlineStr">
        <is>
          <t>Energy Use: Transportation: Other Petroleum: Alternative Electricity and Transportation</t>
        </is>
      </c>
      <c r="C60" t="inlineStr">
        <is>
          <t>AEO.2026.ELECTRNP.CNSM_ENU_TRN_NA_ONP_NA_NA_QBTU.A</t>
        </is>
      </c>
      <c r="D60" t="inlineStr">
        <is>
          <t>quads</t>
        </is>
      </c>
      <c r="E60" t="n">
        <v>0.111631</v>
      </c>
      <c r="F60" t="n">
        <v>0.111692</v>
      </c>
      <c r="G60" t="n">
        <v>0.111819</v>
      </c>
      <c r="H60" t="n">
        <v>0.111999</v>
      </c>
      <c r="I60" t="n">
        <v>0.11221</v>
      </c>
      <c r="J60" t="n">
        <v>0.1125</v>
      </c>
      <c r="K60" t="n">
        <v>0.112759</v>
      </c>
      <c r="L60" t="n">
        <v>0.113014</v>
      </c>
      <c r="M60" t="n">
        <v>0.11324</v>
      </c>
      <c r="N60" t="n">
        <v>0.11347</v>
      </c>
      <c r="O60" t="n">
        <v>0.113689</v>
      </c>
      <c r="P60" t="n">
        <v>0.113866</v>
      </c>
      <c r="Q60" t="n">
        <v>0.114039</v>
      </c>
      <c r="R60" t="n">
        <v>0.114207</v>
      </c>
      <c r="S60" t="n">
        <v>0.114367</v>
      </c>
      <c r="T60" t="n">
        <v>0.114523</v>
      </c>
      <c r="U60" t="n">
        <v>0.114658</v>
      </c>
      <c r="V60" t="n">
        <v>0.114773</v>
      </c>
      <c r="W60" t="n">
        <v>0.114866</v>
      </c>
      <c r="X60" t="n">
        <v>0.114952</v>
      </c>
      <c r="Y60" t="n">
        <v>0.115056</v>
      </c>
      <c r="Z60" t="n">
        <v>0.115158</v>
      </c>
      <c r="AA60" t="n">
        <v>0.115264</v>
      </c>
      <c r="AB60" t="n">
        <v>0.115343</v>
      </c>
      <c r="AC60" t="n">
        <v>0.115416</v>
      </c>
      <c r="AD60" t="n">
        <v>0.115464</v>
      </c>
      <c r="AE60" t="inlineStr">
        <is>
          <t>0.1%</t>
        </is>
      </c>
    </row>
    <row r="61">
      <c r="A61" t="inlineStr">
        <is>
          <t>Petroleum and Other Liquids Subtotal</t>
        </is>
      </c>
      <c r="B61" t="inlineStr">
        <is>
          <t>Energy Use: Transportation: Liquid Fuels Subtotal: Alternative Electricity and Transportation</t>
        </is>
      </c>
      <c r="C61" t="inlineStr">
        <is>
          <t>AEO.2026.ELECTRNP.CNSM_ENU_TRN_NA_LFL_NA_NA_QBTU.A</t>
        </is>
      </c>
      <c r="D61" t="inlineStr">
        <is>
          <t>quads</t>
        </is>
      </c>
      <c r="E61" t="n">
        <v>26.7899</v>
      </c>
      <c r="F61" t="n">
        <v>26.669855</v>
      </c>
      <c r="G61" t="n">
        <v>26.563574</v>
      </c>
      <c r="H61" t="n">
        <v>26.338432</v>
      </c>
      <c r="I61" t="n">
        <v>26.089041</v>
      </c>
      <c r="J61" t="n">
        <v>25.861509</v>
      </c>
      <c r="K61" t="n">
        <v>25.609236</v>
      </c>
      <c r="L61" t="n">
        <v>25.414675</v>
      </c>
      <c r="M61" t="n">
        <v>25.203728</v>
      </c>
      <c r="N61" t="n">
        <v>25.082594</v>
      </c>
      <c r="O61" t="n">
        <v>24.966297</v>
      </c>
      <c r="P61" t="n">
        <v>24.804285</v>
      </c>
      <c r="Q61" t="n">
        <v>24.647921</v>
      </c>
      <c r="R61" t="n">
        <v>24.516766</v>
      </c>
      <c r="S61" t="n">
        <v>24.390228</v>
      </c>
      <c r="T61" t="n">
        <v>24.296602</v>
      </c>
      <c r="U61" t="n">
        <v>24.204489</v>
      </c>
      <c r="V61" t="n">
        <v>24.094343</v>
      </c>
      <c r="W61" t="n">
        <v>24.022764</v>
      </c>
      <c r="X61" t="n">
        <v>23.940372</v>
      </c>
      <c r="Y61" t="n">
        <v>23.879602</v>
      </c>
      <c r="Z61" t="n">
        <v>23.80727</v>
      </c>
      <c r="AA61" t="n">
        <v>23.749561</v>
      </c>
      <c r="AB61" t="n">
        <v>23.64991</v>
      </c>
      <c r="AC61" t="n">
        <v>23.542006</v>
      </c>
      <c r="AD61" t="n">
        <v>23.465187</v>
      </c>
      <c r="AE61" t="inlineStr">
        <is>
          <t>-0.5%</t>
        </is>
      </c>
    </row>
    <row r="62">
      <c r="A62" t="inlineStr">
        <is>
          <t>Pipeline and Distribution Fuel Natural Gas</t>
        </is>
      </c>
      <c r="B62" t="inlineStr">
        <is>
          <t>Energy Use: Transportation: Pipeline Fuel Natural Gas: Alternative Electricity and Transportation</t>
        </is>
      </c>
      <c r="C62" t="inlineStr">
        <is>
          <t>AEO.2026.ELECTRNP.CNSM_ENU_TRN_NA_PFN_NA_NA_QBTU.A</t>
        </is>
      </c>
      <c r="D62" t="inlineStr">
        <is>
          <t>quads</t>
        </is>
      </c>
      <c r="E62" t="n">
        <v>0.734602</v>
      </c>
      <c r="F62" t="n">
        <v>0.681256</v>
      </c>
      <c r="G62" t="n">
        <v>0.684287</v>
      </c>
      <c r="H62" t="n">
        <v>0.67399</v>
      </c>
      <c r="I62" t="n">
        <v>0.6834170000000001</v>
      </c>
      <c r="J62" t="n">
        <v>0.712555</v>
      </c>
      <c r="K62" t="n">
        <v>0.732711</v>
      </c>
      <c r="L62" t="n">
        <v>0.744844</v>
      </c>
      <c r="M62" t="n">
        <v>0.749815</v>
      </c>
      <c r="N62" t="n">
        <v>0.757921</v>
      </c>
      <c r="O62" t="n">
        <v>0.770471</v>
      </c>
      <c r="P62" t="n">
        <v>0.793589</v>
      </c>
      <c r="Q62" t="n">
        <v>0.821209</v>
      </c>
      <c r="R62" t="n">
        <v>0.845468</v>
      </c>
      <c r="S62" t="n">
        <v>0.872154</v>
      </c>
      <c r="T62" t="n">
        <v>0.890661</v>
      </c>
      <c r="U62" t="n">
        <v>0.906708</v>
      </c>
      <c r="V62" t="n">
        <v>0.924745</v>
      </c>
      <c r="W62" t="n">
        <v>0.943757</v>
      </c>
      <c r="X62" t="n">
        <v>0.957821</v>
      </c>
      <c r="Y62" t="n">
        <v>0.965948</v>
      </c>
      <c r="Z62" t="n">
        <v>0.975113</v>
      </c>
      <c r="AA62" t="n">
        <v>0.984192</v>
      </c>
      <c r="AB62" t="n">
        <v>0.9928</v>
      </c>
      <c r="AC62" t="n">
        <v>0.996047</v>
      </c>
      <c r="AD62" t="n">
        <v>1.001548</v>
      </c>
      <c r="AE62" t="inlineStr">
        <is>
          <t>1.2%</t>
        </is>
      </c>
    </row>
    <row r="63">
      <c r="A63" t="inlineStr">
        <is>
          <t>Natural Gas to Liquefy Gas for Export</t>
        </is>
      </c>
      <c r="B63" t="inlineStr">
        <is>
          <t>Energy Use: Transportation: Liquefaction: Alternative Electricity and Transportation</t>
        </is>
      </c>
      <c r="C63" t="inlineStr">
        <is>
          <t>AEO.2026.ELECTRNP.CNSM_ENU_IDAL_NA_LQFCT_NA_NA_QBTU.A</t>
        </is>
      </c>
      <c r="D63" t="inlineStr">
        <is>
          <t>quads</t>
        </is>
      </c>
      <c r="E63" t="n">
        <v>0.59071</v>
      </c>
      <c r="F63" t="n">
        <v>0.589921</v>
      </c>
      <c r="G63" t="n">
        <v>0.673663</v>
      </c>
      <c r="H63" t="n">
        <v>0.72236</v>
      </c>
      <c r="I63" t="n">
        <v>0.770132</v>
      </c>
      <c r="J63" t="n">
        <v>0.911097</v>
      </c>
      <c r="K63" t="n">
        <v>0.97537</v>
      </c>
      <c r="L63" t="n">
        <v>1.036748</v>
      </c>
      <c r="M63" t="n">
        <v>1.082817</v>
      </c>
      <c r="N63" t="n">
        <v>1.159013</v>
      </c>
      <c r="O63" t="n">
        <v>1.212579</v>
      </c>
      <c r="P63" t="n">
        <v>1.254067</v>
      </c>
      <c r="Q63" t="n">
        <v>1.275981</v>
      </c>
      <c r="R63" t="n">
        <v>1.297406</v>
      </c>
      <c r="S63" t="n">
        <v>1.319519</v>
      </c>
      <c r="T63" t="n">
        <v>1.3404</v>
      </c>
      <c r="U63" t="n">
        <v>1.363284</v>
      </c>
      <c r="V63" t="n">
        <v>1.38506</v>
      </c>
      <c r="W63" t="n">
        <v>1.406836</v>
      </c>
      <c r="X63" t="n">
        <v>1.431363</v>
      </c>
      <c r="Y63" t="n">
        <v>1.450388</v>
      </c>
      <c r="Z63" t="n">
        <v>1.472164</v>
      </c>
      <c r="AA63" t="n">
        <v>1.49394</v>
      </c>
      <c r="AB63" t="n">
        <v>1.507578</v>
      </c>
      <c r="AC63" t="n">
        <v>1.504828</v>
      </c>
      <c r="AD63" t="n">
        <v>1.504828</v>
      </c>
      <c r="AE63" t="inlineStr">
        <is>
          <t>3.8%</t>
        </is>
      </c>
    </row>
    <row r="64">
      <c r="A64" t="inlineStr">
        <is>
          <t>Compressed / Liquefied Natural Gas</t>
        </is>
      </c>
      <c r="B64" t="inlineStr">
        <is>
          <t>Energy Use: Transportation: Natural Gas: Alternative Electricity and Transportation</t>
        </is>
      </c>
      <c r="C64" t="inlineStr">
        <is>
          <t>AEO.2026.ELECTRNP.CNSM_ENU_TRN_NA_NG_NA_NA_QBTU.A</t>
        </is>
      </c>
      <c r="D64" t="inlineStr">
        <is>
          <t>quads</t>
        </is>
      </c>
      <c r="E64" t="n">
        <v>0.087022</v>
      </c>
      <c r="F64" t="n">
        <v>0.090491</v>
      </c>
      <c r="G64" t="n">
        <v>0.092753</v>
      </c>
      <c r="H64" t="n">
        <v>0.094261</v>
      </c>
      <c r="I64" t="n">
        <v>0.096067</v>
      </c>
      <c r="J64" t="n">
        <v>0.09744700000000001</v>
      </c>
      <c r="K64" t="n">
        <v>0.098788</v>
      </c>
      <c r="L64" t="n">
        <v>0.100023</v>
      </c>
      <c r="M64" t="n">
        <v>0.10119</v>
      </c>
      <c r="N64" t="n">
        <v>0.102386</v>
      </c>
      <c r="O64" t="n">
        <v>0.10376</v>
      </c>
      <c r="P64" t="n">
        <v>0.105181</v>
      </c>
      <c r="Q64" t="n">
        <v>0.106978</v>
      </c>
      <c r="R64" t="n">
        <v>0.109014</v>
      </c>
      <c r="S64" t="n">
        <v>0.111247</v>
      </c>
      <c r="T64" t="n">
        <v>0.114164</v>
      </c>
      <c r="U64" t="n">
        <v>0.117464</v>
      </c>
      <c r="V64" t="n">
        <v>0.121207</v>
      </c>
      <c r="W64" t="n">
        <v>0.125408</v>
      </c>
      <c r="X64" t="n">
        <v>0.130361</v>
      </c>
      <c r="Y64" t="n">
        <v>0.137252</v>
      </c>
      <c r="Z64" t="n">
        <v>0.144946</v>
      </c>
      <c r="AA64" t="n">
        <v>0.154619</v>
      </c>
      <c r="AB64" t="n">
        <v>0.165035</v>
      </c>
      <c r="AC64" t="n">
        <v>0.176932</v>
      </c>
      <c r="AD64" t="n">
        <v>0.190801</v>
      </c>
      <c r="AE64" t="inlineStr">
        <is>
          <t>3.2%</t>
        </is>
      </c>
    </row>
    <row r="65">
      <c r="A65" t="inlineStr">
        <is>
          <t>Hydrogen</t>
        </is>
      </c>
      <c r="B65" t="inlineStr">
        <is>
          <t>Energy Use: Transportation: Hydrogen: Alternative Electricity and Transportation</t>
        </is>
      </c>
      <c r="C65" t="inlineStr">
        <is>
          <t>AEO.2026.ELECTRNP.CNSM_ENU_TRN_NA_HDG_NA_NA_QBTU.A</t>
        </is>
      </c>
      <c r="D65" t="inlineStr">
        <is>
          <t>quads</t>
        </is>
      </c>
      <c r="E65" t="n">
        <v>0.000416</v>
      </c>
      <c r="F65" t="n">
        <v>0.0004</v>
      </c>
      <c r="G65" t="n">
        <v>0.000382</v>
      </c>
      <c r="H65" t="n">
        <v>0.000363</v>
      </c>
      <c r="I65" t="n">
        <v>0.000344</v>
      </c>
      <c r="J65" t="n">
        <v>0.000324</v>
      </c>
      <c r="K65" t="n">
        <v>0.000305</v>
      </c>
      <c r="L65" t="n">
        <v>0.000284</v>
      </c>
      <c r="M65" t="n">
        <v>0.000264</v>
      </c>
      <c r="N65" t="n">
        <v>0.000244</v>
      </c>
      <c r="O65" t="n">
        <v>0.000224</v>
      </c>
      <c r="P65" t="n">
        <v>0.000205</v>
      </c>
      <c r="Q65" t="n">
        <v>0.000186</v>
      </c>
      <c r="R65" t="n">
        <v>0.000168</v>
      </c>
      <c r="S65" t="n">
        <v>0.000151</v>
      </c>
      <c r="T65" t="n">
        <v>0.000135</v>
      </c>
      <c r="U65" t="n">
        <v>0.000119</v>
      </c>
      <c r="V65" t="n">
        <v>0.000107</v>
      </c>
      <c r="W65" t="n">
        <v>9.6e-05</v>
      </c>
      <c r="X65" t="n">
        <v>8.8e-05</v>
      </c>
      <c r="Y65" t="n">
        <v>7.9e-05</v>
      </c>
      <c r="Z65" t="n">
        <v>7.3e-05</v>
      </c>
      <c r="AA65" t="n">
        <v>6.8e-05</v>
      </c>
      <c r="AB65" t="n">
        <v>6.3e-05</v>
      </c>
      <c r="AC65" t="n">
        <v>6e-05</v>
      </c>
      <c r="AD65" t="n">
        <v>5.7e-05</v>
      </c>
      <c r="AE65" t="inlineStr">
        <is>
          <t>-7.6%</t>
        </is>
      </c>
    </row>
    <row r="66">
      <c r="A66" t="inlineStr">
        <is>
          <t>Purchased Electricity for Transportation Use</t>
        </is>
      </c>
      <c r="B66" t="inlineStr">
        <is>
          <t>Energy Use: Transportation: Electricity: Alternative Electricity and Transportation</t>
        </is>
      </c>
      <c r="C66" t="inlineStr">
        <is>
          <t>AEO.2026.ELECTRNP.CNSM_ENU_TRN_NA_ELC_NA_NA_QBTU.A</t>
        </is>
      </c>
      <c r="D66" t="inlineStr">
        <is>
          <t>quads</t>
        </is>
      </c>
      <c r="E66" t="n">
        <v>0.126334</v>
      </c>
      <c r="F66" t="n">
        <v>0.158184</v>
      </c>
      <c r="G66" t="n">
        <v>0.198283</v>
      </c>
      <c r="H66" t="n">
        <v>0.242797</v>
      </c>
      <c r="I66" t="n">
        <v>0.286836</v>
      </c>
      <c r="J66" t="n">
        <v>0.328327</v>
      </c>
      <c r="K66" t="n">
        <v>0.364831</v>
      </c>
      <c r="L66" t="n">
        <v>0.398366</v>
      </c>
      <c r="M66" t="n">
        <v>0.43176</v>
      </c>
      <c r="N66" t="n">
        <v>0.465766</v>
      </c>
      <c r="O66" t="n">
        <v>0.500546</v>
      </c>
      <c r="P66" t="n">
        <v>0.535519</v>
      </c>
      <c r="Q66" t="n">
        <v>0.570819</v>
      </c>
      <c r="R66" t="n">
        <v>0.606016</v>
      </c>
      <c r="S66" t="n">
        <v>0.640456</v>
      </c>
      <c r="T66" t="n">
        <v>0.67476</v>
      </c>
      <c r="U66" t="n">
        <v>0.708376</v>
      </c>
      <c r="V66" t="n">
        <v>0.742105</v>
      </c>
      <c r="W66" t="n">
        <v>0.775943</v>
      </c>
      <c r="X66" t="n">
        <v>0.81049</v>
      </c>
      <c r="Y66" t="n">
        <v>0.845739</v>
      </c>
      <c r="Z66" t="n">
        <v>0.880673</v>
      </c>
      <c r="AA66" t="n">
        <v>0.915154</v>
      </c>
      <c r="AB66" t="n">
        <v>0.949572</v>
      </c>
      <c r="AC66" t="n">
        <v>0.9836</v>
      </c>
      <c r="AD66" t="n">
        <v>1.01737</v>
      </c>
      <c r="AE66" t="inlineStr">
        <is>
          <t>8.7%</t>
        </is>
      </c>
    </row>
    <row r="67">
      <c r="A67" t="inlineStr">
        <is>
          <t>Electric Vehicle Charging (Residential)</t>
        </is>
      </c>
      <c r="B67" t="inlineStr">
        <is>
          <t>Energy Use: Transportation: EV Charging (Residential): Alternative Electricity and Transportation</t>
        </is>
      </c>
      <c r="C67" t="inlineStr">
        <is>
          <t>AEO.2026.ELECTRNP.CNSM_ENU_TRN_NA_EVCHRGRES_NA_NA_QBTU.A</t>
        </is>
      </c>
      <c r="D67" t="inlineStr">
        <is>
          <t>quads</t>
        </is>
      </c>
      <c r="E67" t="n">
        <v>0.070135</v>
      </c>
      <c r="F67" t="n">
        <v>0.091487</v>
      </c>
      <c r="G67" t="n">
        <v>0.119301</v>
      </c>
      <c r="H67" t="n">
        <v>0.150191</v>
      </c>
      <c r="I67" t="n">
        <v>0.180501</v>
      </c>
      <c r="J67" t="n">
        <v>0.20873</v>
      </c>
      <c r="K67" t="n">
        <v>0.23312</v>
      </c>
      <c r="L67" t="n">
        <v>0.255188</v>
      </c>
      <c r="M67" t="n">
        <v>0.276995</v>
      </c>
      <c r="N67" t="n">
        <v>0.299237</v>
      </c>
      <c r="O67" t="n">
        <v>0.321766</v>
      </c>
      <c r="P67" t="n">
        <v>0.344322</v>
      </c>
      <c r="Q67" t="n">
        <v>0.366901</v>
      </c>
      <c r="R67" t="n">
        <v>0.389322</v>
      </c>
      <c r="S67" t="n">
        <v>0.411141</v>
      </c>
      <c r="T67" t="n">
        <v>0.432469</v>
      </c>
      <c r="U67" t="n">
        <v>0.452774</v>
      </c>
      <c r="V67" t="n">
        <v>0.472388</v>
      </c>
      <c r="W67" t="n">
        <v>0.491304</v>
      </c>
      <c r="X67" t="n">
        <v>0.509669</v>
      </c>
      <c r="Y67" t="n">
        <v>0.527513</v>
      </c>
      <c r="Z67" t="n">
        <v>0.544645</v>
      </c>
      <c r="AA67" t="n">
        <v>0.560954</v>
      </c>
      <c r="AB67" t="n">
        <v>0.576893</v>
      </c>
      <c r="AC67" t="n">
        <v>0.592211</v>
      </c>
      <c r="AD67" t="n">
        <v>0.607194</v>
      </c>
      <c r="AE67" t="inlineStr">
        <is>
          <t>9.0%</t>
        </is>
      </c>
    </row>
    <row r="68">
      <c r="A68" t="inlineStr">
        <is>
          <t>Electric Vehicle Charging (Commercial)</t>
        </is>
      </c>
      <c r="B68" t="inlineStr">
        <is>
          <t>Energy Use: Transportation: EV Charging (Commercial): Alternative Electricity and Transportation</t>
        </is>
      </c>
      <c r="C68" t="inlineStr">
        <is>
          <t>AEO.2026.ELECTRNP.CNSM_ENU_TRN_NA_EVCHRGCOM_NA_NA_QBTU.A</t>
        </is>
      </c>
      <c r="D68" t="inlineStr">
        <is>
          <t>quads</t>
        </is>
      </c>
      <c r="E68" t="n">
        <v>0.031625</v>
      </c>
      <c r="F68" t="n">
        <v>0.041349</v>
      </c>
      <c r="G68" t="n">
        <v>0.053095</v>
      </c>
      <c r="H68" t="n">
        <v>0.066244</v>
      </c>
      <c r="I68" t="n">
        <v>0.07960299999999999</v>
      </c>
      <c r="J68" t="n">
        <v>0.092543</v>
      </c>
      <c r="K68" t="n">
        <v>0.104416</v>
      </c>
      <c r="L68" t="n">
        <v>0.115643</v>
      </c>
      <c r="M68" t="n">
        <v>0.126972</v>
      </c>
      <c r="N68" t="n">
        <v>0.138502</v>
      </c>
      <c r="O68" t="n">
        <v>0.150392</v>
      </c>
      <c r="P68" t="n">
        <v>0.162461</v>
      </c>
      <c r="Q68" t="n">
        <v>0.174804</v>
      </c>
      <c r="R68" t="n">
        <v>0.187239</v>
      </c>
      <c r="S68" t="n">
        <v>0.19959</v>
      </c>
      <c r="T68" t="n">
        <v>0.212288</v>
      </c>
      <c r="U68" t="n">
        <v>0.225364</v>
      </c>
      <c r="V68" t="n">
        <v>0.239243</v>
      </c>
      <c r="W68" t="n">
        <v>0.253973</v>
      </c>
      <c r="X68" t="n">
        <v>0.269944</v>
      </c>
      <c r="Y68" t="n">
        <v>0.287121</v>
      </c>
      <c r="Z68" t="n">
        <v>0.304738</v>
      </c>
      <c r="AA68" t="n">
        <v>0.322704</v>
      </c>
      <c r="AB68" t="n">
        <v>0.341035</v>
      </c>
      <c r="AC68" t="n">
        <v>0.359608</v>
      </c>
      <c r="AD68" t="n">
        <v>0.378263</v>
      </c>
      <c r="AE68" t="inlineStr">
        <is>
          <t>10.4%</t>
        </is>
      </c>
    </row>
    <row r="69">
      <c r="A69" t="inlineStr">
        <is>
          <t>Passenger Rail</t>
        </is>
      </c>
      <c r="B69" t="inlineStr">
        <is>
          <t>Energy Use: Transportation: Passenger Rail: Alternative Electricity and Transportation</t>
        </is>
      </c>
      <c r="C69" t="inlineStr">
        <is>
          <t>AEO.2026.ELECTRNP.CNSM_ENU_TRN_NA_PSGRAIL_NA_NA_QBTU.A</t>
        </is>
      </c>
      <c r="D69" t="inlineStr">
        <is>
          <t>quads</t>
        </is>
      </c>
      <c r="E69" t="n">
        <v>0.024574</v>
      </c>
      <c r="F69" t="n">
        <v>0.025348</v>
      </c>
      <c r="G69" t="n">
        <v>0.025887</v>
      </c>
      <c r="H69" t="n">
        <v>0.026362</v>
      </c>
      <c r="I69" t="n">
        <v>0.026733</v>
      </c>
      <c r="J69" t="n">
        <v>0.027054</v>
      </c>
      <c r="K69" t="n">
        <v>0.027295</v>
      </c>
      <c r="L69" t="n">
        <v>0.027535</v>
      </c>
      <c r="M69" t="n">
        <v>0.027792</v>
      </c>
      <c r="N69" t="n">
        <v>0.028027</v>
      </c>
      <c r="O69" t="n">
        <v>0.028389</v>
      </c>
      <c r="P69" t="n">
        <v>0.028736</v>
      </c>
      <c r="Q69" t="n">
        <v>0.029114</v>
      </c>
      <c r="R69" t="n">
        <v>0.029455</v>
      </c>
      <c r="S69" t="n">
        <v>0.029726</v>
      </c>
      <c r="T69" t="n">
        <v>0.030003</v>
      </c>
      <c r="U69" t="n">
        <v>0.030239</v>
      </c>
      <c r="V69" t="n">
        <v>0.030474</v>
      </c>
      <c r="W69" t="n">
        <v>0.030666</v>
      </c>
      <c r="X69" t="n">
        <v>0.030877</v>
      </c>
      <c r="Y69" t="n">
        <v>0.031105</v>
      </c>
      <c r="Z69" t="n">
        <v>0.03129</v>
      </c>
      <c r="AA69" t="n">
        <v>0.031496</v>
      </c>
      <c r="AB69" t="n">
        <v>0.031643</v>
      </c>
      <c r="AC69" t="n">
        <v>0.031781</v>
      </c>
      <c r="AD69" t="n">
        <v>0.031913</v>
      </c>
      <c r="AE69" t="inlineStr">
        <is>
          <t>1.1%</t>
        </is>
      </c>
    </row>
    <row r="70">
      <c r="A70" t="inlineStr">
        <is>
          <t>Delivered Energy</t>
        </is>
      </c>
      <c r="B70" t="inlineStr">
        <is>
          <t>Energy Use: Transportation: Delivered Energy: Alternative Electricity and Transportation</t>
        </is>
      </c>
      <c r="C70" t="inlineStr">
        <is>
          <t>AEO.2026.ELECTRNP.CNSM_ENU_TRN_NA_DELE_NA_NA_QBTU.A</t>
        </is>
      </c>
      <c r="D70" t="inlineStr">
        <is>
          <t>quads</t>
        </is>
      </c>
      <c r="E70" t="n">
        <v>28.328983</v>
      </c>
      <c r="F70" t="n">
        <v>28.190107</v>
      </c>
      <c r="G70" t="n">
        <v>28.21294</v>
      </c>
      <c r="H70" t="n">
        <v>28.072205</v>
      </c>
      <c r="I70" t="n">
        <v>27.925837</v>
      </c>
      <c r="J70" t="n">
        <v>27.911259</v>
      </c>
      <c r="K70" t="n">
        <v>27.78124</v>
      </c>
      <c r="L70" t="n">
        <v>27.694941</v>
      </c>
      <c r="M70" t="n">
        <v>27.569574</v>
      </c>
      <c r="N70" t="n">
        <v>27.567924</v>
      </c>
      <c r="O70" t="n">
        <v>27.553879</v>
      </c>
      <c r="P70" t="n">
        <v>27.492846</v>
      </c>
      <c r="Q70" t="n">
        <v>27.423094</v>
      </c>
      <c r="R70" t="n">
        <v>27.37484</v>
      </c>
      <c r="S70" t="n">
        <v>27.333755</v>
      </c>
      <c r="T70" t="n">
        <v>27.316723</v>
      </c>
      <c r="U70" t="n">
        <v>27.30044</v>
      </c>
      <c r="V70" t="n">
        <v>27.267567</v>
      </c>
      <c r="W70" t="n">
        <v>27.274807</v>
      </c>
      <c r="X70" t="n">
        <v>27.270494</v>
      </c>
      <c r="Y70" t="n">
        <v>27.279009</v>
      </c>
      <c r="Z70" t="n">
        <v>27.280239</v>
      </c>
      <c r="AA70" t="n">
        <v>27.297537</v>
      </c>
      <c r="AB70" t="n">
        <v>27.264957</v>
      </c>
      <c r="AC70" t="n">
        <v>27.203474</v>
      </c>
      <c r="AD70" t="n">
        <v>27.17979</v>
      </c>
      <c r="AE70" t="inlineStr">
        <is>
          <t>-0.2%</t>
        </is>
      </c>
    </row>
    <row r="71">
      <c r="A71" t="inlineStr">
        <is>
          <t>Electricity-Related Losses</t>
        </is>
      </c>
      <c r="B71" t="inlineStr">
        <is>
          <t>Energy Use: Transportation: Electricity Related Losses: Alternative Electricity and Transportation</t>
        </is>
      </c>
      <c r="C71" t="inlineStr">
        <is>
          <t>AEO.2026.ELECTRNP.CNSM_ENU_TRN_NA_ERL_NA_NA_QBTU.A</t>
        </is>
      </c>
      <c r="D71" t="inlineStr">
        <is>
          <t>quads</t>
        </is>
      </c>
      <c r="E71" t="n">
        <v>0.17359</v>
      </c>
      <c r="F71" t="n">
        <v>0.215264</v>
      </c>
      <c r="G71" t="n">
        <v>0.249229</v>
      </c>
      <c r="H71" t="n">
        <v>0.292069</v>
      </c>
      <c r="I71" t="n">
        <v>0.337241</v>
      </c>
      <c r="J71" t="n">
        <v>0.379143</v>
      </c>
      <c r="K71" t="n">
        <v>0.407872</v>
      </c>
      <c r="L71" t="n">
        <v>0.43668</v>
      </c>
      <c r="M71" t="n">
        <v>0.46759</v>
      </c>
      <c r="N71" t="n">
        <v>0.494559</v>
      </c>
      <c r="O71" t="n">
        <v>0.523569</v>
      </c>
      <c r="P71" t="n">
        <v>0.551557</v>
      </c>
      <c r="Q71" t="n">
        <v>0.582112</v>
      </c>
      <c r="R71" t="n">
        <v>0.613418</v>
      </c>
      <c r="S71" t="n">
        <v>0.642141</v>
      </c>
      <c r="T71" t="n">
        <v>0.668509</v>
      </c>
      <c r="U71" t="n">
        <v>0.693558</v>
      </c>
      <c r="V71" t="n">
        <v>0.721545</v>
      </c>
      <c r="W71" t="n">
        <v>0.750161</v>
      </c>
      <c r="X71" t="n">
        <v>0.779468</v>
      </c>
      <c r="Y71" t="n">
        <v>0.809238</v>
      </c>
      <c r="Z71" t="n">
        <v>0.838771</v>
      </c>
      <c r="AA71" t="n">
        <v>0.868474</v>
      </c>
      <c r="AB71" t="n">
        <v>0.897738</v>
      </c>
      <c r="AC71" t="n">
        <v>0.923052</v>
      </c>
      <c r="AD71" t="n">
        <v>0.950674</v>
      </c>
      <c r="AE71" t="inlineStr">
        <is>
          <t>7.0%</t>
        </is>
      </c>
    </row>
    <row r="72">
      <c r="A72" t="inlineStr">
        <is>
          <t>Hydrogen-Related Losses</t>
        </is>
      </c>
      <c r="B72" t="inlineStr">
        <is>
          <t>Energy Use: Transportation: Hydrogen Related Losses: Alternative Electricity and Transportation</t>
        </is>
      </c>
      <c r="C72" t="inlineStr">
        <is>
          <t>AEO.2026.ELECTRNP.CNSM_ENU_TRN_NA_H2RELLOS_NA_NA_QBTU.A</t>
        </is>
      </c>
      <c r="D72" t="inlineStr">
        <is>
          <t>quads</t>
        </is>
      </c>
      <c r="E72" t="n">
        <v>9.899999999999999e-05</v>
      </c>
      <c r="F72" t="n">
        <v>9.399999999999999e-05</v>
      </c>
      <c r="G72" t="n">
        <v>8.899999999999999e-05</v>
      </c>
      <c r="H72" t="n">
        <v>8.500000000000001e-05</v>
      </c>
      <c r="I72" t="n">
        <v>8.2e-05</v>
      </c>
      <c r="J72" t="n">
        <v>7.7e-05</v>
      </c>
      <c r="K72" t="n">
        <v>7.2e-05</v>
      </c>
      <c r="L72" t="n">
        <v>6.7e-05</v>
      </c>
      <c r="M72" t="n">
        <v>6.2e-05</v>
      </c>
      <c r="N72" t="n">
        <v>5.8e-05</v>
      </c>
      <c r="O72" t="n">
        <v>5.3e-05</v>
      </c>
      <c r="P72" t="n">
        <v>4.8e-05</v>
      </c>
      <c r="Q72" t="n">
        <v>4.3e-05</v>
      </c>
      <c r="R72" t="n">
        <v>3.8e-05</v>
      </c>
      <c r="S72" t="n">
        <v>3.4e-05</v>
      </c>
      <c r="T72" t="n">
        <v>3.1e-05</v>
      </c>
      <c r="U72" t="n">
        <v>2.7e-05</v>
      </c>
      <c r="V72" t="n">
        <v>2.4e-05</v>
      </c>
      <c r="W72" t="n">
        <v>2.2e-05</v>
      </c>
      <c r="X72" t="n">
        <v>2e-05</v>
      </c>
      <c r="Y72" t="n">
        <v>1.8e-05</v>
      </c>
      <c r="Z72" t="n">
        <v>1.6e-05</v>
      </c>
      <c r="AA72" t="n">
        <v>1.5e-05</v>
      </c>
      <c r="AB72" t="n">
        <v>1.4e-05</v>
      </c>
      <c r="AC72" t="n">
        <v>1.3e-05</v>
      </c>
      <c r="AD72" t="n">
        <v>1.3e-05</v>
      </c>
      <c r="AE72" t="inlineStr">
        <is>
          <t>-7.8%</t>
        </is>
      </c>
    </row>
    <row r="73">
      <c r="A73" t="inlineStr">
        <is>
          <t>Total</t>
        </is>
      </c>
      <c r="B73" t="inlineStr">
        <is>
          <t>Energy Use: Transportation: Total: Alternative Electricity and Transportation</t>
        </is>
      </c>
      <c r="C73" t="inlineStr">
        <is>
          <t>AEO.2026.ELECTRNP.CNSM_ENU_TRN_NA_TOT_NA_NA_QBTU.A</t>
        </is>
      </c>
      <c r="D73" t="inlineStr">
        <is>
          <t>quads</t>
        </is>
      </c>
      <c r="E73" t="n">
        <v>28.502672</v>
      </c>
      <c r="F73" t="n">
        <v>28.405464</v>
      </c>
      <c r="G73" t="n">
        <v>28.462259</v>
      </c>
      <c r="H73" t="n">
        <v>28.364357</v>
      </c>
      <c r="I73" t="n">
        <v>28.263159</v>
      </c>
      <c r="J73" t="n">
        <v>28.290478</v>
      </c>
      <c r="K73" t="n">
        <v>28.189186</v>
      </c>
      <c r="L73" t="n">
        <v>28.131687</v>
      </c>
      <c r="M73" t="n">
        <v>28.037228</v>
      </c>
      <c r="N73" t="n">
        <v>28.06254</v>
      </c>
      <c r="O73" t="n">
        <v>28.077501</v>
      </c>
      <c r="P73" t="n">
        <v>28.044451</v>
      </c>
      <c r="Q73" t="n">
        <v>28.005249</v>
      </c>
      <c r="R73" t="n">
        <v>27.988297</v>
      </c>
      <c r="S73" t="n">
        <v>27.975931</v>
      </c>
      <c r="T73" t="n">
        <v>27.985262</v>
      </c>
      <c r="U73" t="n">
        <v>27.994024</v>
      </c>
      <c r="V73" t="n">
        <v>27.989136</v>
      </c>
      <c r="W73" t="n">
        <v>28.02499</v>
      </c>
      <c r="X73" t="n">
        <v>28.049982</v>
      </c>
      <c r="Y73" t="n">
        <v>28.088264</v>
      </c>
      <c r="Z73" t="n">
        <v>28.119028</v>
      </c>
      <c r="AA73" t="n">
        <v>28.166027</v>
      </c>
      <c r="AB73" t="n">
        <v>28.162708</v>
      </c>
      <c r="AC73" t="n">
        <v>28.126539</v>
      </c>
      <c r="AD73" t="n">
        <v>28.130478</v>
      </c>
      <c r="AE73" t="inlineStr">
        <is>
          <t>-0.1%</t>
        </is>
      </c>
    </row>
    <row r="74">
      <c r="A74" t="inlineStr">
        <is>
          <t>Unspecified Sector</t>
        </is>
      </c>
    </row>
    <row r="75">
      <c r="A75" t="inlineStr">
        <is>
          <t>Total</t>
        </is>
      </c>
      <c r="B75" t="inlineStr">
        <is>
          <t>Energy Use: Unspecified: Total: Alternative Electricity and Transportation</t>
        </is>
      </c>
      <c r="C75" t="inlineStr">
        <is>
          <t>AEO.2026.ELECTRNP.CNSM_ENU_OTH_NA_TOT_NA_NA_QBTU.A</t>
        </is>
      </c>
      <c r="D75" t="inlineStr">
        <is>
          <t>quads</t>
        </is>
      </c>
      <c r="E75" t="n">
        <v>-0.101399</v>
      </c>
      <c r="F75" t="n">
        <v>0.12702</v>
      </c>
      <c r="G75" t="n">
        <v>0.104695</v>
      </c>
      <c r="H75" t="n">
        <v>0.10269</v>
      </c>
      <c r="I75" t="n">
        <v>0.101522</v>
      </c>
      <c r="J75" t="n">
        <v>0.101295</v>
      </c>
      <c r="K75" t="n">
        <v>0.099786</v>
      </c>
      <c r="L75" t="n">
        <v>0.098207</v>
      </c>
      <c r="M75" t="n">
        <v>0.09626700000000001</v>
      </c>
      <c r="N75" t="n">
        <v>0.093977</v>
      </c>
      <c r="O75" t="n">
        <v>0.09202399999999999</v>
      </c>
      <c r="P75" t="n">
        <v>0.090323</v>
      </c>
      <c r="Q75" t="n">
        <v>0.088786</v>
      </c>
      <c r="R75" t="n">
        <v>0.08709</v>
      </c>
      <c r="S75" t="n">
        <v>0.08548699999999999</v>
      </c>
      <c r="T75" t="n">
        <v>0.083846</v>
      </c>
      <c r="U75" t="n">
        <v>0.08210199999999999</v>
      </c>
      <c r="V75" t="n">
        <v>0.080542</v>
      </c>
      <c r="W75" t="n">
        <v>0.078273</v>
      </c>
      <c r="X75" t="n">
        <v>0.076693</v>
      </c>
      <c r="Y75" t="n">
        <v>0.075351</v>
      </c>
      <c r="Z75" t="n">
        <v>0.074421</v>
      </c>
      <c r="AA75" t="n">
        <v>0.073583</v>
      </c>
      <c r="AB75" t="n">
        <v>0.07267800000000001</v>
      </c>
      <c r="AC75" t="n">
        <v>0.071827</v>
      </c>
      <c r="AD75" t="n">
        <v>0.07079000000000001</v>
      </c>
      <c r="AE75" t="inlineStr">
        <is>
          <t>- -</t>
        </is>
      </c>
    </row>
    <row r="76">
      <c r="A76" t="inlineStr">
        <is>
          <t>Delivered Energy Consumption</t>
        </is>
      </c>
      <c r="B76" t="inlineStr">
        <is>
          <t>All Sectors</t>
        </is>
      </c>
    </row>
    <row r="77">
      <c r="A77" t="inlineStr">
        <is>
          <t>Liquefied Petroleum Gases and Other</t>
        </is>
      </c>
      <c r="B77" t="inlineStr">
        <is>
          <t>Energy Use: Delivered: All Sectors: Liquefied Petroleum Gases: Alternative Electricity and Transportation</t>
        </is>
      </c>
      <c r="C77" t="inlineStr">
        <is>
          <t>AEO.2026.ELECTRNP.CNSM_ENU_ALLS_NA_LPG_DELV_NA_QBTU.A</t>
        </is>
      </c>
      <c r="D77" t="inlineStr">
        <is>
          <t>quads</t>
        </is>
      </c>
      <c r="E77" t="n">
        <v>4.412717</v>
      </c>
      <c r="F77" t="n">
        <v>4.363256</v>
      </c>
      <c r="G77" t="n">
        <v>4.542447</v>
      </c>
      <c r="H77" t="n">
        <v>4.434274</v>
      </c>
      <c r="I77" t="n">
        <v>4.357844</v>
      </c>
      <c r="J77" t="n">
        <v>4.347216</v>
      </c>
      <c r="K77" t="n">
        <v>4.374463</v>
      </c>
      <c r="L77" t="n">
        <v>4.396647</v>
      </c>
      <c r="M77" t="n">
        <v>4.429306</v>
      </c>
      <c r="N77" t="n">
        <v>4.468367</v>
      </c>
      <c r="O77" t="n">
        <v>4.514799</v>
      </c>
      <c r="P77" t="n">
        <v>4.572637</v>
      </c>
      <c r="Q77" t="n">
        <v>4.618139</v>
      </c>
      <c r="R77" t="n">
        <v>4.66519</v>
      </c>
      <c r="S77" t="n">
        <v>4.743137</v>
      </c>
      <c r="T77" t="n">
        <v>4.812687</v>
      </c>
      <c r="U77" t="n">
        <v>4.889078</v>
      </c>
      <c r="V77" t="n">
        <v>4.978583</v>
      </c>
      <c r="W77" t="n">
        <v>5.061882</v>
      </c>
      <c r="X77" t="n">
        <v>5.146407</v>
      </c>
      <c r="Y77" t="n">
        <v>5.238511</v>
      </c>
      <c r="Z77" t="n">
        <v>5.331482</v>
      </c>
      <c r="AA77" t="n">
        <v>5.433529</v>
      </c>
      <c r="AB77" t="n">
        <v>5.523942</v>
      </c>
      <c r="AC77" t="n">
        <v>5.588309</v>
      </c>
      <c r="AD77" t="n">
        <v>5.677113</v>
      </c>
      <c r="AE77" t="inlineStr">
        <is>
          <t>1.0%</t>
        </is>
      </c>
    </row>
    <row r="78">
      <c r="A78" t="inlineStr">
        <is>
          <t>Motor Gasoline</t>
        </is>
      </c>
      <c r="B78" t="inlineStr">
        <is>
          <t>Energy Use: Delivered: All Sectors: Motor Gasoline: Alternative Electricity and Transportation</t>
        </is>
      </c>
      <c r="C78" t="inlineStr">
        <is>
          <t>AEO.2026.ELECTRNP.CNSM_ENU_ALLS_NA_MGS_DELV_NA_QBTU.A</t>
        </is>
      </c>
      <c r="D78" t="inlineStr">
        <is>
          <t>quads</t>
        </is>
      </c>
      <c r="E78" t="n">
        <v>16.463058</v>
      </c>
      <c r="F78" t="n">
        <v>16.388361</v>
      </c>
      <c r="G78" t="n">
        <v>16.24544</v>
      </c>
      <c r="H78" t="n">
        <v>16.049076</v>
      </c>
      <c r="I78" t="n">
        <v>15.818044</v>
      </c>
      <c r="J78" t="n">
        <v>15.579481</v>
      </c>
      <c r="K78" t="n">
        <v>15.350713</v>
      </c>
      <c r="L78" t="n">
        <v>15.160145</v>
      </c>
      <c r="M78" t="n">
        <v>14.95941</v>
      </c>
      <c r="N78" t="n">
        <v>14.832905</v>
      </c>
      <c r="O78" t="n">
        <v>14.69575</v>
      </c>
      <c r="P78" t="n">
        <v>14.529889</v>
      </c>
      <c r="Q78" t="n">
        <v>14.365158</v>
      </c>
      <c r="R78" t="n">
        <v>14.227191</v>
      </c>
      <c r="S78" t="n">
        <v>14.093845</v>
      </c>
      <c r="T78" t="n">
        <v>13.988489</v>
      </c>
      <c r="U78" t="n">
        <v>13.891426</v>
      </c>
      <c r="V78" t="n">
        <v>13.771574</v>
      </c>
      <c r="W78" t="n">
        <v>13.689218</v>
      </c>
      <c r="X78" t="n">
        <v>13.594233</v>
      </c>
      <c r="Y78" t="n">
        <v>13.511969</v>
      </c>
      <c r="Z78" t="n">
        <v>13.418295</v>
      </c>
      <c r="AA78" t="n">
        <v>13.340791</v>
      </c>
      <c r="AB78" t="n">
        <v>13.231429</v>
      </c>
      <c r="AC78" t="n">
        <v>13.119942</v>
      </c>
      <c r="AD78" t="n">
        <v>13.038264</v>
      </c>
      <c r="AE78" t="inlineStr">
        <is>
          <t>-0.9%</t>
        </is>
      </c>
    </row>
    <row r="79">
      <c r="A79" t="inlineStr">
        <is>
          <t>of which: E85</t>
        </is>
      </c>
      <c r="B79" t="inlineStr">
        <is>
          <t>Energy Use: Delivered: All Sectors: E85: Alternative Electricity and Transportation</t>
        </is>
      </c>
      <c r="C79" t="inlineStr">
        <is>
          <t>AEO.2026.ELECTRNP.CNSM_ENU_ALLS_NA_E85_DELV_NA_QBTU.A</t>
        </is>
      </c>
      <c r="D79" t="inlineStr">
        <is>
          <t>quads</t>
        </is>
      </c>
      <c r="E79" t="n">
        <v>0.039571</v>
      </c>
      <c r="F79" t="n">
        <v>0.031597</v>
      </c>
      <c r="G79" t="n">
        <v>0.029975</v>
      </c>
      <c r="H79" t="n">
        <v>0.028061</v>
      </c>
      <c r="I79" t="n">
        <v>0.025794</v>
      </c>
      <c r="J79" t="n">
        <v>0.026779</v>
      </c>
      <c r="K79" t="n">
        <v>0.022985</v>
      </c>
      <c r="L79" t="n">
        <v>0.021014</v>
      </c>
      <c r="M79" t="n">
        <v>0.019146</v>
      </c>
      <c r="N79" t="n">
        <v>0.017756</v>
      </c>
      <c r="O79" t="n">
        <v>0.015966</v>
      </c>
      <c r="P79" t="n">
        <v>0.01446</v>
      </c>
      <c r="Q79" t="n">
        <v>0.012975</v>
      </c>
      <c r="R79" t="n">
        <v>0.011777</v>
      </c>
      <c r="S79" t="n">
        <v>0.010739</v>
      </c>
      <c r="T79" t="n">
        <v>0.009934</v>
      </c>
      <c r="U79" t="n">
        <v>0.009025</v>
      </c>
      <c r="V79" t="n">
        <v>0.008495000000000001</v>
      </c>
      <c r="W79" t="n">
        <v>0.007977</v>
      </c>
      <c r="X79" t="n">
        <v>0.007621</v>
      </c>
      <c r="Y79" t="n">
        <v>0.0069</v>
      </c>
      <c r="Z79" t="n">
        <v>0.00664</v>
      </c>
      <c r="AA79" t="n">
        <v>0.00658</v>
      </c>
      <c r="AB79" t="n">
        <v>0.006774</v>
      </c>
      <c r="AC79" t="n">
        <v>0.006276</v>
      </c>
      <c r="AD79" t="n">
        <v>0.005978</v>
      </c>
      <c r="AE79" t="inlineStr">
        <is>
          <t>-7.3%</t>
        </is>
      </c>
    </row>
    <row r="80">
      <c r="A80" t="inlineStr">
        <is>
          <t>Jet Fuel</t>
        </is>
      </c>
      <c r="B80" t="inlineStr">
        <is>
          <t>Energy Use: Delivered: All Sectors: Jet Fuel: Alternative Electricity and Transportation</t>
        </is>
      </c>
      <c r="C80" t="inlineStr">
        <is>
          <t>AEO.2026.ELECTRNP.CNSM_ENU_ALLS_NA_JFL_DELV_NA_QBTU.A</t>
        </is>
      </c>
      <c r="D80" t="inlineStr">
        <is>
          <t>quads</t>
        </is>
      </c>
      <c r="E80" t="n">
        <v>3.557093</v>
      </c>
      <c r="F80" t="n">
        <v>3.608027</v>
      </c>
      <c r="G80" t="n">
        <v>3.627769</v>
      </c>
      <c r="H80" t="n">
        <v>3.624877</v>
      </c>
      <c r="I80" t="n">
        <v>3.638196</v>
      </c>
      <c r="J80" t="n">
        <v>3.662257</v>
      </c>
      <c r="K80" t="n">
        <v>3.684337</v>
      </c>
      <c r="L80" t="n">
        <v>3.716255</v>
      </c>
      <c r="M80" t="n">
        <v>3.750722</v>
      </c>
      <c r="N80" t="n">
        <v>3.792531</v>
      </c>
      <c r="O80" t="n">
        <v>3.842687</v>
      </c>
      <c r="P80" t="n">
        <v>3.878021</v>
      </c>
      <c r="Q80" t="n">
        <v>3.916799</v>
      </c>
      <c r="R80" t="n">
        <v>3.953958</v>
      </c>
      <c r="S80" t="n">
        <v>3.989694</v>
      </c>
      <c r="T80" t="n">
        <v>4.025865</v>
      </c>
      <c r="U80" t="n">
        <v>4.057531</v>
      </c>
      <c r="V80" t="n">
        <v>4.092217</v>
      </c>
      <c r="W80" t="n">
        <v>4.128225</v>
      </c>
      <c r="X80" t="n">
        <v>4.163147</v>
      </c>
      <c r="Y80" t="n">
        <v>4.197931</v>
      </c>
      <c r="Z80" t="n">
        <v>4.228963</v>
      </c>
      <c r="AA80" t="n">
        <v>4.25522</v>
      </c>
      <c r="AB80" t="n">
        <v>4.281323</v>
      </c>
      <c r="AC80" t="n">
        <v>4.303166</v>
      </c>
      <c r="AD80" t="n">
        <v>4.326766</v>
      </c>
      <c r="AE80" t="inlineStr">
        <is>
          <t>0.8%</t>
        </is>
      </c>
    </row>
    <row r="81">
      <c r="A81" t="inlineStr">
        <is>
          <t>Kerosene</t>
        </is>
      </c>
      <c r="B81" t="inlineStr">
        <is>
          <t>Energy Use: Delivered: All Sectors: Kerosene: Alternative Electricity and Transportation</t>
        </is>
      </c>
      <c r="C81" t="inlineStr">
        <is>
          <t>AEO.2026.ELECTRNP.CNSM_ENU_ALLS_NA_KRS_DELV_NA_QBTU.A</t>
        </is>
      </c>
      <c r="D81" t="inlineStr">
        <is>
          <t>quads</t>
        </is>
      </c>
      <c r="E81" t="n">
        <v>0.006868</v>
      </c>
      <c r="F81" t="n">
        <v>0.007938000000000001</v>
      </c>
      <c r="G81" t="n">
        <v>0.007965</v>
      </c>
      <c r="H81" t="n">
        <v>0.007613</v>
      </c>
      <c r="I81" t="n">
        <v>0.007334</v>
      </c>
      <c r="J81" t="n">
        <v>0.007643</v>
      </c>
      <c r="K81" t="n">
        <v>0.00721</v>
      </c>
      <c r="L81" t="n">
        <v>0.00701</v>
      </c>
      <c r="M81" t="n">
        <v>0.006598</v>
      </c>
      <c r="N81" t="n">
        <v>0.006516</v>
      </c>
      <c r="O81" t="n">
        <v>0.006236</v>
      </c>
      <c r="P81" t="n">
        <v>0.006176</v>
      </c>
      <c r="Q81" t="n">
        <v>0.006013</v>
      </c>
      <c r="R81" t="n">
        <v>0.005875</v>
      </c>
      <c r="S81" t="n">
        <v>0.005834</v>
      </c>
      <c r="T81" t="n">
        <v>0.005759</v>
      </c>
      <c r="U81" t="n">
        <v>0.005621</v>
      </c>
      <c r="V81" t="n">
        <v>0.005537</v>
      </c>
      <c r="W81" t="n">
        <v>0.005441</v>
      </c>
      <c r="X81" t="n">
        <v>0.00535</v>
      </c>
      <c r="Y81" t="n">
        <v>0.005217</v>
      </c>
      <c r="Z81" t="n">
        <v>0.005133</v>
      </c>
      <c r="AA81" t="n">
        <v>0.005028</v>
      </c>
      <c r="AB81" t="n">
        <v>0.004964</v>
      </c>
      <c r="AC81" t="n">
        <v>0.004921</v>
      </c>
      <c r="AD81" t="n">
        <v>0.004898</v>
      </c>
      <c r="AE81" t="inlineStr">
        <is>
          <t>-1.3%</t>
        </is>
      </c>
    </row>
    <row r="82">
      <c r="A82" t="inlineStr">
        <is>
          <t>Distillate Fuel Oil</t>
        </is>
      </c>
      <c r="B82" t="inlineStr">
        <is>
          <t>Energy Use: Delivered: All Sectors: Distillate Fuel Oil: Alternative Electricity and Transportation</t>
        </is>
      </c>
      <c r="C82" t="inlineStr">
        <is>
          <t>AEO.2026.ELECTRNP.CNSM_ENU_ALLS_NA_DFO_DELV_NA_QBTU.A</t>
        </is>
      </c>
      <c r="D82" t="inlineStr">
        <is>
          <t>quads</t>
        </is>
      </c>
      <c r="E82" t="n">
        <v>8.646882</v>
      </c>
      <c r="F82" t="n">
        <v>8.788788</v>
      </c>
      <c r="G82" t="n">
        <v>8.778278999999999</v>
      </c>
      <c r="H82" t="n">
        <v>8.736961000000001</v>
      </c>
      <c r="I82" t="n">
        <v>8.710678</v>
      </c>
      <c r="J82" t="n">
        <v>8.712256</v>
      </c>
      <c r="K82" t="n">
        <v>8.678217999999999</v>
      </c>
      <c r="L82" t="n">
        <v>8.654596</v>
      </c>
      <c r="M82" t="n">
        <v>8.607761999999999</v>
      </c>
      <c r="N82" t="n">
        <v>8.571997</v>
      </c>
      <c r="O82" t="n">
        <v>8.54481</v>
      </c>
      <c r="P82" t="n">
        <v>8.515423999999999</v>
      </c>
      <c r="Q82" t="n">
        <v>8.490534999999999</v>
      </c>
      <c r="R82" t="n">
        <v>8.464714000000001</v>
      </c>
      <c r="S82" t="n">
        <v>8.440628999999999</v>
      </c>
      <c r="T82" t="n">
        <v>8.420507000000001</v>
      </c>
      <c r="U82" t="n">
        <v>8.397062</v>
      </c>
      <c r="V82" t="n">
        <v>8.372875000000001</v>
      </c>
      <c r="W82" t="n">
        <v>8.346867</v>
      </c>
      <c r="X82" t="n">
        <v>8.324783</v>
      </c>
      <c r="Y82" t="n">
        <v>8.313959000000001</v>
      </c>
      <c r="Z82" t="n">
        <v>8.308246</v>
      </c>
      <c r="AA82" t="n">
        <v>8.306618</v>
      </c>
      <c r="AB82" t="n">
        <v>8.293822</v>
      </c>
      <c r="AC82" t="n">
        <v>8.278459</v>
      </c>
      <c r="AD82" t="n">
        <v>8.262262</v>
      </c>
      <c r="AE82" t="inlineStr">
        <is>
          <t>-0.2%</t>
        </is>
      </c>
    </row>
    <row r="83">
      <c r="A83" t="inlineStr">
        <is>
          <t>Residual Fuel Oil</t>
        </is>
      </c>
      <c r="B83" t="inlineStr">
        <is>
          <t>Energy Use: Delivered: All Sectors: Residual Fuel Oil: Alternative Electricity and Transportation</t>
        </is>
      </c>
      <c r="C83" t="inlineStr">
        <is>
          <t>AEO.2026.ELECTRNP.CNSM_ENU_ALLS_NA_RFO_DELV_NA_QBTU.A</t>
        </is>
      </c>
      <c r="D83" t="inlineStr">
        <is>
          <t>quads</t>
        </is>
      </c>
      <c r="E83" t="n">
        <v>0.598157</v>
      </c>
      <c r="F83" t="n">
        <v>0.578717</v>
      </c>
      <c r="G83" t="n">
        <v>0.587935</v>
      </c>
      <c r="H83" t="n">
        <v>0.608342</v>
      </c>
      <c r="I83" t="n">
        <v>0.612441</v>
      </c>
      <c r="J83" t="n">
        <v>0.619377</v>
      </c>
      <c r="K83" t="n">
        <v>0.620618</v>
      </c>
      <c r="L83" t="n">
        <v>0.6284149999999999</v>
      </c>
      <c r="M83" t="n">
        <v>0.637186</v>
      </c>
      <c r="N83" t="n">
        <v>0.646728</v>
      </c>
      <c r="O83" t="n">
        <v>0.654541</v>
      </c>
      <c r="P83" t="n">
        <v>0.6622209999999999</v>
      </c>
      <c r="Q83" t="n">
        <v>0.667774</v>
      </c>
      <c r="R83" t="n">
        <v>0.673277</v>
      </c>
      <c r="S83" t="n">
        <v>0.678298</v>
      </c>
      <c r="T83" t="n">
        <v>0.682127</v>
      </c>
      <c r="U83" t="n">
        <v>0.685283</v>
      </c>
      <c r="V83" t="n">
        <v>0.691338</v>
      </c>
      <c r="W83" t="n">
        <v>0.697448</v>
      </c>
      <c r="X83" t="n">
        <v>0.703108</v>
      </c>
      <c r="Y83" t="n">
        <v>0.709627</v>
      </c>
      <c r="Z83" t="n">
        <v>0.7160879999999999</v>
      </c>
      <c r="AA83" t="n">
        <v>0.7221340000000001</v>
      </c>
      <c r="AB83" t="n">
        <v>0.727785</v>
      </c>
      <c r="AC83" t="n">
        <v>0.733957</v>
      </c>
      <c r="AD83" t="n">
        <v>0.740775</v>
      </c>
      <c r="AE83" t="inlineStr">
        <is>
          <t>0.9%</t>
        </is>
      </c>
    </row>
    <row r="84">
      <c r="A84" t="inlineStr">
        <is>
          <t>Petrochemical Feedstocks</t>
        </is>
      </c>
      <c r="B84" t="inlineStr">
        <is>
          <t>Energy Use: Delivered: All Sectors: Petrochemical Feedstocks: Alternative Electricity and Transportation</t>
        </is>
      </c>
      <c r="C84" t="inlineStr">
        <is>
          <t>AEO.2026.ELECTRNP.CNSM_ENU_ALLS_NA_PCF_DELV_NA_QBTU.A</t>
        </is>
      </c>
      <c r="D84" t="inlineStr">
        <is>
          <t>quads</t>
        </is>
      </c>
      <c r="E84" t="n">
        <v>0.412934</v>
      </c>
      <c r="F84" t="n">
        <v>0.338138</v>
      </c>
      <c r="G84" t="n">
        <v>0.3482</v>
      </c>
      <c r="H84" t="n">
        <v>0.55</v>
      </c>
      <c r="I84" t="n">
        <v>0.55</v>
      </c>
      <c r="J84" t="n">
        <v>0.55</v>
      </c>
      <c r="K84" t="n">
        <v>0.55</v>
      </c>
      <c r="L84" t="n">
        <v>0.55</v>
      </c>
      <c r="M84" t="n">
        <v>0.55</v>
      </c>
      <c r="N84" t="n">
        <v>0.55</v>
      </c>
      <c r="O84" t="n">
        <v>0.55</v>
      </c>
      <c r="P84" t="n">
        <v>0.55</v>
      </c>
      <c r="Q84" t="n">
        <v>0.55</v>
      </c>
      <c r="R84" t="n">
        <v>0.55</v>
      </c>
      <c r="S84" t="n">
        <v>0.55</v>
      </c>
      <c r="T84" t="n">
        <v>0.55</v>
      </c>
      <c r="U84" t="n">
        <v>0.55</v>
      </c>
      <c r="V84" t="n">
        <v>0.55</v>
      </c>
      <c r="W84" t="n">
        <v>0.55</v>
      </c>
      <c r="X84" t="n">
        <v>0.55</v>
      </c>
      <c r="Y84" t="n">
        <v>0.55</v>
      </c>
      <c r="Z84" t="n">
        <v>0.55</v>
      </c>
      <c r="AA84" t="n">
        <v>0.55</v>
      </c>
      <c r="AB84" t="n">
        <v>0.55</v>
      </c>
      <c r="AC84" t="n">
        <v>0.55</v>
      </c>
      <c r="AD84" t="n">
        <v>0.55</v>
      </c>
      <c r="AE84" t="inlineStr">
        <is>
          <t>1.2%</t>
        </is>
      </c>
    </row>
    <row r="85">
      <c r="A85" t="inlineStr">
        <is>
          <t>Other Petroleum</t>
        </is>
      </c>
      <c r="B85" t="inlineStr">
        <is>
          <t>Energy Use: Delivered: All Sectors: Other Petroleum: Alternative Electricity and Transportation</t>
        </is>
      </c>
      <c r="C85" t="inlineStr">
        <is>
          <t>AEO.2026.ELECTRNP.CNSM_ENU_ALLS_NA_ONP_DELV_NA_QBTU.A</t>
        </is>
      </c>
      <c r="D85" t="inlineStr">
        <is>
          <t>quads</t>
        </is>
      </c>
      <c r="E85" t="n">
        <v>3.179936</v>
      </c>
      <c r="F85" t="n">
        <v>3.19121</v>
      </c>
      <c r="G85" t="n">
        <v>3.167704</v>
      </c>
      <c r="H85" t="n">
        <v>3.26728</v>
      </c>
      <c r="I85" t="n">
        <v>3.287591</v>
      </c>
      <c r="J85" t="n">
        <v>3.316553</v>
      </c>
      <c r="K85" t="n">
        <v>3.307412</v>
      </c>
      <c r="L85" t="n">
        <v>3.3359</v>
      </c>
      <c r="M85" t="n">
        <v>3.352306</v>
      </c>
      <c r="N85" t="n">
        <v>3.368262</v>
      </c>
      <c r="O85" t="n">
        <v>3.373514</v>
      </c>
      <c r="P85" t="n">
        <v>3.38396</v>
      </c>
      <c r="Q85" t="n">
        <v>3.404499</v>
      </c>
      <c r="R85" t="n">
        <v>3.411421</v>
      </c>
      <c r="S85" t="n">
        <v>3.418971</v>
      </c>
      <c r="T85" t="n">
        <v>3.43832</v>
      </c>
      <c r="U85" t="n">
        <v>3.449108</v>
      </c>
      <c r="V85" t="n">
        <v>3.457932</v>
      </c>
      <c r="W85" t="n">
        <v>3.4672</v>
      </c>
      <c r="X85" t="n">
        <v>3.470064</v>
      </c>
      <c r="Y85" t="n">
        <v>3.476701</v>
      </c>
      <c r="Z85" t="n">
        <v>3.461695</v>
      </c>
      <c r="AA85" t="n">
        <v>3.482613</v>
      </c>
      <c r="AB85" t="n">
        <v>3.472592</v>
      </c>
      <c r="AC85" t="n">
        <v>3.48259</v>
      </c>
      <c r="AD85" t="n">
        <v>3.46885</v>
      </c>
      <c r="AE85" t="inlineStr">
        <is>
          <t>0.3%</t>
        </is>
      </c>
    </row>
    <row r="86">
      <c r="A86" t="inlineStr">
        <is>
          <t>Petroleum and Other Liquids Subtotal</t>
        </is>
      </c>
      <c r="B86" t="inlineStr">
        <is>
          <t>Energy Use: Delivered: All Sectors: Liquid Fuels Subtotal: Alternative Electricity and Transportation</t>
        </is>
      </c>
      <c r="C86" t="inlineStr">
        <is>
          <t>AEO.2026.ELECTRNP.CNSM_ENU_ALLS_NA_LFL_DELV_NA_QBTU.A</t>
        </is>
      </c>
      <c r="D86" t="inlineStr">
        <is>
          <t>quads</t>
        </is>
      </c>
      <c r="E86" t="n">
        <v>37.277641</v>
      </c>
      <c r="F86" t="n">
        <v>37.264435</v>
      </c>
      <c r="G86" t="n">
        <v>37.30574</v>
      </c>
      <c r="H86" t="n">
        <v>37.278423</v>
      </c>
      <c r="I86" t="n">
        <v>36.982128</v>
      </c>
      <c r="J86" t="n">
        <v>36.794785</v>
      </c>
      <c r="K86" t="n">
        <v>36.572968</v>
      </c>
      <c r="L86" t="n">
        <v>36.448967</v>
      </c>
      <c r="M86" t="n">
        <v>36.293293</v>
      </c>
      <c r="N86" t="n">
        <v>36.237305</v>
      </c>
      <c r="O86" t="n">
        <v>36.182335</v>
      </c>
      <c r="P86" t="n">
        <v>36.098324</v>
      </c>
      <c r="Q86" t="n">
        <v>36.018917</v>
      </c>
      <c r="R86" t="n">
        <v>35.951622</v>
      </c>
      <c r="S86" t="n">
        <v>35.92041</v>
      </c>
      <c r="T86" t="n">
        <v>35.923752</v>
      </c>
      <c r="U86" t="n">
        <v>35.92511</v>
      </c>
      <c r="V86" t="n">
        <v>35.920055</v>
      </c>
      <c r="W86" t="n">
        <v>35.946281</v>
      </c>
      <c r="X86" t="n">
        <v>35.957088</v>
      </c>
      <c r="Y86" t="n">
        <v>36.003914</v>
      </c>
      <c r="Z86" t="n">
        <v>36.019905</v>
      </c>
      <c r="AA86" t="n">
        <v>36.095932</v>
      </c>
      <c r="AB86" t="n">
        <v>36.085854</v>
      </c>
      <c r="AC86" t="n">
        <v>36.06134</v>
      </c>
      <c r="AD86" t="n">
        <v>36.068928</v>
      </c>
      <c r="AE86" t="inlineStr">
        <is>
          <t>-0.1%</t>
        </is>
      </c>
    </row>
    <row r="87">
      <c r="A87" t="inlineStr">
        <is>
          <t>Natural Gas</t>
        </is>
      </c>
      <c r="B87" t="inlineStr">
        <is>
          <t>Energy Use: Delivered: All Sectors: Natural Gas: Alternative Electricity and Transportation</t>
        </is>
      </c>
      <c r="C87" t="inlineStr">
        <is>
          <t>AEO.2026.ELECTRNP.CNSM_ENU_ALLS_NA_NG_DELV_NA_QBTU.A</t>
        </is>
      </c>
      <c r="D87" t="inlineStr">
        <is>
          <t>quads</t>
        </is>
      </c>
      <c r="E87" t="n">
        <v>16.543232</v>
      </c>
      <c r="F87" t="n">
        <v>16.212402</v>
      </c>
      <c r="G87" t="n">
        <v>16.242493</v>
      </c>
      <c r="H87" t="n">
        <v>16.224749</v>
      </c>
      <c r="I87" t="n">
        <v>16.143257</v>
      </c>
      <c r="J87" t="n">
        <v>16.054417</v>
      </c>
      <c r="K87" t="n">
        <v>16.00495</v>
      </c>
      <c r="L87" t="n">
        <v>15.966595</v>
      </c>
      <c r="M87" t="n">
        <v>15.909042</v>
      </c>
      <c r="N87" t="n">
        <v>15.88644</v>
      </c>
      <c r="O87" t="n">
        <v>15.867111</v>
      </c>
      <c r="P87" t="n">
        <v>15.843314</v>
      </c>
      <c r="Q87" t="n">
        <v>15.797744</v>
      </c>
      <c r="R87" t="n">
        <v>15.773771</v>
      </c>
      <c r="S87" t="n">
        <v>15.756421</v>
      </c>
      <c r="T87" t="n">
        <v>15.762726</v>
      </c>
      <c r="U87" t="n">
        <v>15.77496</v>
      </c>
      <c r="V87" t="n">
        <v>15.824083</v>
      </c>
      <c r="W87" t="n">
        <v>15.881479</v>
      </c>
      <c r="X87" t="n">
        <v>15.93709</v>
      </c>
      <c r="Y87" t="n">
        <v>16.003534</v>
      </c>
      <c r="Z87" t="n">
        <v>16.050909</v>
      </c>
      <c r="AA87" t="n">
        <v>16.110601</v>
      </c>
      <c r="AB87" t="n">
        <v>16.152266</v>
      </c>
      <c r="AC87" t="n">
        <v>16.182772</v>
      </c>
      <c r="AD87" t="n">
        <v>16.247417</v>
      </c>
      <c r="AE87" t="inlineStr">
        <is>
          <t>-0.1%</t>
        </is>
      </c>
    </row>
    <row r="88">
      <c r="A88" t="inlineStr">
        <is>
          <t>Lease and Plant Fuel</t>
        </is>
      </c>
      <c r="B88" t="inlineStr">
        <is>
          <t>Energy Use: Delivered: All Sectors: Lease and Plant Fuel: Alternative Electricity and Transportation</t>
        </is>
      </c>
      <c r="C88" t="inlineStr">
        <is>
          <t>AEO.2026.ELECTRNP.CNSM_ENU_ALLS_NA_LSAPFL_DELV_NA_QBTU.A</t>
        </is>
      </c>
      <c r="D88" t="inlineStr">
        <is>
          <t>quads</t>
        </is>
      </c>
      <c r="E88" t="n">
        <v>2.136239</v>
      </c>
      <c r="F88" t="n">
        <v>2.128485</v>
      </c>
      <c r="G88" t="n">
        <v>2.16034</v>
      </c>
      <c r="H88" t="n">
        <v>2.165232</v>
      </c>
      <c r="I88" t="n">
        <v>2.162156</v>
      </c>
      <c r="J88" t="n">
        <v>2.203182</v>
      </c>
      <c r="K88" t="n">
        <v>2.264353</v>
      </c>
      <c r="L88" t="n">
        <v>2.334959</v>
      </c>
      <c r="M88" t="n">
        <v>2.395234</v>
      </c>
      <c r="N88" t="n">
        <v>2.452581</v>
      </c>
      <c r="O88" t="n">
        <v>2.473735</v>
      </c>
      <c r="P88" t="n">
        <v>2.482664</v>
      </c>
      <c r="Q88" t="n">
        <v>2.492755</v>
      </c>
      <c r="R88" t="n">
        <v>2.506868</v>
      </c>
      <c r="S88" t="n">
        <v>2.524662</v>
      </c>
      <c r="T88" t="n">
        <v>2.567465</v>
      </c>
      <c r="U88" t="n">
        <v>2.601775</v>
      </c>
      <c r="V88" t="n">
        <v>2.630552</v>
      </c>
      <c r="W88" t="n">
        <v>2.644943</v>
      </c>
      <c r="X88" t="n">
        <v>2.647805</v>
      </c>
      <c r="Y88" t="n">
        <v>2.645955</v>
      </c>
      <c r="Z88" t="n">
        <v>2.656424</v>
      </c>
      <c r="AA88" t="n">
        <v>2.673549</v>
      </c>
      <c r="AB88" t="n">
        <v>2.689496</v>
      </c>
      <c r="AC88" t="n">
        <v>2.689622</v>
      </c>
      <c r="AD88" t="n">
        <v>2.684877</v>
      </c>
      <c r="AE88" t="inlineStr">
        <is>
          <t>0.9%</t>
        </is>
      </c>
    </row>
    <row r="89">
      <c r="A89" t="inlineStr">
        <is>
          <t>Natural Gas to Liquefy Gas for Export</t>
        </is>
      </c>
      <c r="B89" t="inlineStr">
        <is>
          <t>Energy Use: Delivered: All Sectors: Liquefaction: Alternative Electricity and Transportation</t>
        </is>
      </c>
      <c r="C89" t="inlineStr">
        <is>
          <t>AEO.2026.ELECTRNP.CNSM_ENU_ALLS_NA_LQFCT_DELV_NA_QBTU.A</t>
        </is>
      </c>
      <c r="D89" t="inlineStr">
        <is>
          <t>quads</t>
        </is>
      </c>
      <c r="E89" t="n">
        <v>0.59071</v>
      </c>
      <c r="F89" t="n">
        <v>0.589921</v>
      </c>
      <c r="G89" t="n">
        <v>0.673663</v>
      </c>
      <c r="H89" t="n">
        <v>0.72236</v>
      </c>
      <c r="I89" t="n">
        <v>0.770132</v>
      </c>
      <c r="J89" t="n">
        <v>0.911097</v>
      </c>
      <c r="K89" t="n">
        <v>0.97537</v>
      </c>
      <c r="L89" t="n">
        <v>1.036748</v>
      </c>
      <c r="M89" t="n">
        <v>1.082817</v>
      </c>
      <c r="N89" t="n">
        <v>1.159013</v>
      </c>
      <c r="O89" t="n">
        <v>1.212579</v>
      </c>
      <c r="P89" t="n">
        <v>1.254067</v>
      </c>
      <c r="Q89" t="n">
        <v>1.275981</v>
      </c>
      <c r="R89" t="n">
        <v>1.297406</v>
      </c>
      <c r="S89" t="n">
        <v>1.319519</v>
      </c>
      <c r="T89" t="n">
        <v>1.3404</v>
      </c>
      <c r="U89" t="n">
        <v>1.363284</v>
      </c>
      <c r="V89" t="n">
        <v>1.38506</v>
      </c>
      <c r="W89" t="n">
        <v>1.406836</v>
      </c>
      <c r="X89" t="n">
        <v>1.431363</v>
      </c>
      <c r="Y89" t="n">
        <v>1.450388</v>
      </c>
      <c r="Z89" t="n">
        <v>1.472164</v>
      </c>
      <c r="AA89" t="n">
        <v>1.49394</v>
      </c>
      <c r="AB89" t="n">
        <v>1.507578</v>
      </c>
      <c r="AC89" t="n">
        <v>1.504828</v>
      </c>
      <c r="AD89" t="n">
        <v>1.504828</v>
      </c>
      <c r="AE89" t="inlineStr">
        <is>
          <t>3.8%</t>
        </is>
      </c>
    </row>
    <row r="90">
      <c r="A90" t="inlineStr">
        <is>
          <t>Pipeline and Distribution Fuel Natural Gas</t>
        </is>
      </c>
      <c r="B90" t="inlineStr">
        <is>
          <t>Energy Use: Delivered: All Sectors: Pipeline Natural Gas: Alternative Electricity and Transportation</t>
        </is>
      </c>
      <c r="C90" t="inlineStr">
        <is>
          <t>AEO.2026.ELECTRNP.CNSM_ENU_ALLS_NA_PPN_DELV_NA_QBTU.A</t>
        </is>
      </c>
      <c r="D90" t="inlineStr">
        <is>
          <t>quads</t>
        </is>
      </c>
      <c r="E90" t="n">
        <v>0.734602</v>
      </c>
      <c r="F90" t="n">
        <v>0.681256</v>
      </c>
      <c r="G90" t="n">
        <v>0.684287</v>
      </c>
      <c r="H90" t="n">
        <v>0.67399</v>
      </c>
      <c r="I90" t="n">
        <v>0.6834170000000001</v>
      </c>
      <c r="J90" t="n">
        <v>0.712555</v>
      </c>
      <c r="K90" t="n">
        <v>0.732711</v>
      </c>
      <c r="L90" t="n">
        <v>0.744844</v>
      </c>
      <c r="M90" t="n">
        <v>0.749815</v>
      </c>
      <c r="N90" t="n">
        <v>0.757921</v>
      </c>
      <c r="O90" t="n">
        <v>0.770471</v>
      </c>
      <c r="P90" t="n">
        <v>0.793589</v>
      </c>
      <c r="Q90" t="n">
        <v>0.821209</v>
      </c>
      <c r="R90" t="n">
        <v>0.845468</v>
      </c>
      <c r="S90" t="n">
        <v>0.872154</v>
      </c>
      <c r="T90" t="n">
        <v>0.890661</v>
      </c>
      <c r="U90" t="n">
        <v>0.906708</v>
      </c>
      <c r="V90" t="n">
        <v>0.924745</v>
      </c>
      <c r="W90" t="n">
        <v>0.943757</v>
      </c>
      <c r="X90" t="n">
        <v>0.957821</v>
      </c>
      <c r="Y90" t="n">
        <v>0.965948</v>
      </c>
      <c r="Z90" t="n">
        <v>0.975113</v>
      </c>
      <c r="AA90" t="n">
        <v>0.984192</v>
      </c>
      <c r="AB90" t="n">
        <v>0.9928</v>
      </c>
      <c r="AC90" t="n">
        <v>0.996047</v>
      </c>
      <c r="AD90" t="n">
        <v>1.001548</v>
      </c>
      <c r="AE90" t="inlineStr">
        <is>
          <t>1.2%</t>
        </is>
      </c>
    </row>
    <row r="91">
      <c r="A91" t="inlineStr">
        <is>
          <t>Natural Gas Subtotal</t>
        </is>
      </c>
      <c r="B91" t="inlineStr">
        <is>
          <t>Energy Use: Delivered: All Sectors: Natural Gas Subtotal: Alternative Electricity and Transportation</t>
        </is>
      </c>
      <c r="C91" t="inlineStr">
        <is>
          <t>AEO.2026.ELECTRNP.CNSM_ENU_ALLS_NA_NGS_DELV_NA_QBTU.A</t>
        </is>
      </c>
      <c r="D91" t="inlineStr">
        <is>
          <t>quads</t>
        </is>
      </c>
      <c r="E91" t="n">
        <v>20.004782</v>
      </c>
      <c r="F91" t="n">
        <v>19.612064</v>
      </c>
      <c r="G91" t="n">
        <v>19.760782</v>
      </c>
      <c r="H91" t="n">
        <v>19.786331</v>
      </c>
      <c r="I91" t="n">
        <v>19.758963</v>
      </c>
      <c r="J91" t="n">
        <v>19.88125</v>
      </c>
      <c r="K91" t="n">
        <v>19.977385</v>
      </c>
      <c r="L91" t="n">
        <v>20.083145</v>
      </c>
      <c r="M91" t="n">
        <v>20.136908</v>
      </c>
      <c r="N91" t="n">
        <v>20.255955</v>
      </c>
      <c r="O91" t="n">
        <v>20.323896</v>
      </c>
      <c r="P91" t="n">
        <v>20.373634</v>
      </c>
      <c r="Q91" t="n">
        <v>20.387688</v>
      </c>
      <c r="R91" t="n">
        <v>20.423515</v>
      </c>
      <c r="S91" t="n">
        <v>20.472755</v>
      </c>
      <c r="T91" t="n">
        <v>20.561253</v>
      </c>
      <c r="U91" t="n">
        <v>20.646725</v>
      </c>
      <c r="V91" t="n">
        <v>20.764441</v>
      </c>
      <c r="W91" t="n">
        <v>20.877016</v>
      </c>
      <c r="X91" t="n">
        <v>20.974077</v>
      </c>
      <c r="Y91" t="n">
        <v>21.065825</v>
      </c>
      <c r="Z91" t="n">
        <v>21.15461</v>
      </c>
      <c r="AA91" t="n">
        <v>21.262283</v>
      </c>
      <c r="AB91" t="n">
        <v>21.342138</v>
      </c>
      <c r="AC91" t="n">
        <v>21.373268</v>
      </c>
      <c r="AD91" t="n">
        <v>21.438671</v>
      </c>
      <c r="AE91" t="inlineStr">
        <is>
          <t>0.3%</t>
        </is>
      </c>
    </row>
    <row r="92">
      <c r="A92" t="inlineStr">
        <is>
          <t>Metallurgical Coal</t>
        </is>
      </c>
      <c r="B92" t="inlineStr">
        <is>
          <t>Energy Use: Delivered: All Sectors: Metallurgical Coal: Alternative Electricity and Transportation</t>
        </is>
      </c>
      <c r="C92" t="inlineStr">
        <is>
          <t>AEO.2026.ELECTRNP.CNSM_ENU_ALLS_NA_MTC_DELV_NA_QBTU.A</t>
        </is>
      </c>
      <c r="D92" t="inlineStr">
        <is>
          <t>quads</t>
        </is>
      </c>
      <c r="E92" t="n">
        <v>0.418161</v>
      </c>
      <c r="F92" t="n">
        <v>0.437662</v>
      </c>
      <c r="G92" t="n">
        <v>0.44603</v>
      </c>
      <c r="H92" t="n">
        <v>0.430685</v>
      </c>
      <c r="I92" t="n">
        <v>0.419412</v>
      </c>
      <c r="J92" t="n">
        <v>0.41326</v>
      </c>
      <c r="K92" t="n">
        <v>0.405478</v>
      </c>
      <c r="L92" t="n">
        <v>0.399905</v>
      </c>
      <c r="M92" t="n">
        <v>0.39375</v>
      </c>
      <c r="N92" t="n">
        <v>0.38365</v>
      </c>
      <c r="O92" t="n">
        <v>0.375297</v>
      </c>
      <c r="P92" t="n">
        <v>0.36476</v>
      </c>
      <c r="Q92" t="n">
        <v>0.355506</v>
      </c>
      <c r="R92" t="n">
        <v>0.345369</v>
      </c>
      <c r="S92" t="n">
        <v>0.33481</v>
      </c>
      <c r="T92" t="n">
        <v>0.326546</v>
      </c>
      <c r="U92" t="n">
        <v>0.319121</v>
      </c>
      <c r="V92" t="n">
        <v>0.311913</v>
      </c>
      <c r="W92" t="n">
        <v>0.304025</v>
      </c>
      <c r="X92" t="n">
        <v>0.296245</v>
      </c>
      <c r="Y92" t="n">
        <v>0.290391</v>
      </c>
      <c r="Z92" t="n">
        <v>0.283607</v>
      </c>
      <c r="AA92" t="n">
        <v>0.277604</v>
      </c>
      <c r="AB92" t="n">
        <v>0.271253</v>
      </c>
      <c r="AC92" t="n">
        <v>0.263581</v>
      </c>
      <c r="AD92" t="n">
        <v>0.257168</v>
      </c>
      <c r="AE92" t="inlineStr">
        <is>
          <t>-1.9%</t>
        </is>
      </c>
    </row>
    <row r="93">
      <c r="A93" t="inlineStr">
        <is>
          <t>Other Coal</t>
        </is>
      </c>
      <c r="B93" t="inlineStr">
        <is>
          <t>Energy Use: Delivered: All Sectors: Other Coal: Alternative Electricity and Transportation</t>
        </is>
      </c>
      <c r="C93" t="inlineStr">
        <is>
          <t>AEO.2026.ELECTRNP.CNSM_ENU_ALLS_NA_OCA_DELV_NA_QBTU.A</t>
        </is>
      </c>
      <c r="D93" t="inlineStr">
        <is>
          <t>quads</t>
        </is>
      </c>
      <c r="E93" t="n">
        <v>0.41237</v>
      </c>
      <c r="F93" t="n">
        <v>0.381972</v>
      </c>
      <c r="G93" t="n">
        <v>0.381133</v>
      </c>
      <c r="H93" t="n">
        <v>0.377941</v>
      </c>
      <c r="I93" t="n">
        <v>0.374429</v>
      </c>
      <c r="J93" t="n">
        <v>0.371613</v>
      </c>
      <c r="K93" t="n">
        <v>0.367577</v>
      </c>
      <c r="L93" t="n">
        <v>0.368961</v>
      </c>
      <c r="M93" t="n">
        <v>0.369222</v>
      </c>
      <c r="N93" t="n">
        <v>0.368107</v>
      </c>
      <c r="O93" t="n">
        <v>0.366462</v>
      </c>
      <c r="P93" t="n">
        <v>0.363588</v>
      </c>
      <c r="Q93" t="n">
        <v>0.3599</v>
      </c>
      <c r="R93" t="n">
        <v>0.355641</v>
      </c>
      <c r="S93" t="n">
        <v>0.351133</v>
      </c>
      <c r="T93" t="n">
        <v>0.346729</v>
      </c>
      <c r="U93" t="n">
        <v>0.34247</v>
      </c>
      <c r="V93" t="n">
        <v>0.338047</v>
      </c>
      <c r="W93" t="n">
        <v>0.333536</v>
      </c>
      <c r="X93" t="n">
        <v>0.329155</v>
      </c>
      <c r="Y93" t="n">
        <v>0.325375</v>
      </c>
      <c r="Z93" t="n">
        <v>0.321835</v>
      </c>
      <c r="AA93" t="n">
        <v>0.31842</v>
      </c>
      <c r="AB93" t="n">
        <v>0.314958</v>
      </c>
      <c r="AC93" t="n">
        <v>0.311347</v>
      </c>
      <c r="AD93" t="n">
        <v>0.307957</v>
      </c>
      <c r="AE93" t="inlineStr">
        <is>
          <t>-1.2%</t>
        </is>
      </c>
    </row>
    <row r="94">
      <c r="A94" t="inlineStr">
        <is>
          <t>Net Coal Coke Imports</t>
        </is>
      </c>
      <c r="B94" t="inlineStr">
        <is>
          <t>Energy Use: Delivered: All Sectors: Net Coal Coke Imports: Alternative Electricity and Transportation</t>
        </is>
      </c>
      <c r="C94" t="inlineStr">
        <is>
          <t>AEO.2026.ELECTRNP.CNSM_ENU_ALLS_NA_NCC_DELV_NA_QBTU.A</t>
        </is>
      </c>
      <c r="D94" t="inlineStr">
        <is>
          <t>quads</t>
        </is>
      </c>
      <c r="E94" t="n">
        <v>-0.030896</v>
      </c>
      <c r="F94" t="n">
        <v>-0.035414</v>
      </c>
      <c r="G94" t="n">
        <v>-0.025404</v>
      </c>
      <c r="H94" t="n">
        <v>-0.025582</v>
      </c>
      <c r="I94" t="n">
        <v>-0.02519</v>
      </c>
      <c r="J94" t="n">
        <v>-0.024858</v>
      </c>
      <c r="K94" t="n">
        <v>-0.024549</v>
      </c>
      <c r="L94" t="n">
        <v>-0.02417</v>
      </c>
      <c r="M94" t="n">
        <v>-0.023818</v>
      </c>
      <c r="N94" t="n">
        <v>-0.023468</v>
      </c>
      <c r="O94" t="n">
        <v>-0.023053</v>
      </c>
      <c r="P94" t="n">
        <v>-0.022494</v>
      </c>
      <c r="Q94" t="n">
        <v>-0.021995</v>
      </c>
      <c r="R94" t="n">
        <v>-0.021444</v>
      </c>
      <c r="S94" t="n">
        <v>-0.020864</v>
      </c>
      <c r="T94" t="n">
        <v>-0.020423</v>
      </c>
      <c r="U94" t="n">
        <v>-0.02003</v>
      </c>
      <c r="V94" t="n">
        <v>-0.019644</v>
      </c>
      <c r="W94" t="n">
        <v>-0.019212</v>
      </c>
      <c r="X94" t="n">
        <v>-0.018783</v>
      </c>
      <c r="Y94" t="n">
        <v>-0.018388</v>
      </c>
      <c r="Z94" t="n">
        <v>-0.018088</v>
      </c>
      <c r="AA94" t="n">
        <v>-0.017674</v>
      </c>
      <c r="AB94" t="n">
        <v>-0.017365</v>
      </c>
      <c r="AC94" t="n">
        <v>-0.016993</v>
      </c>
      <c r="AD94" t="n">
        <v>-0.016634</v>
      </c>
      <c r="AE94" t="inlineStr">
        <is>
          <t>-2.4%</t>
        </is>
      </c>
    </row>
    <row r="95">
      <c r="A95" t="inlineStr">
        <is>
          <t>Coal Subtotal</t>
        </is>
      </c>
      <c r="B95" t="inlineStr">
        <is>
          <t>Energy Use: Delivered: All Sectors: Coal Subtotal: Alternative Electricity and Transportation</t>
        </is>
      </c>
      <c r="C95" t="inlineStr">
        <is>
          <t>AEO.2026.ELECTRNP.CNSM_ENU_ALLS_NA_COS_DELV_NA_QBTU.A</t>
        </is>
      </c>
      <c r="D95" t="inlineStr">
        <is>
          <t>quads</t>
        </is>
      </c>
      <c r="E95" t="n">
        <v>0.799635</v>
      </c>
      <c r="F95" t="n">
        <v>0.78422</v>
      </c>
      <c r="G95" t="n">
        <v>0.801759</v>
      </c>
      <c r="H95" t="n">
        <v>0.783044</v>
      </c>
      <c r="I95" t="n">
        <v>0.7686500000000001</v>
      </c>
      <c r="J95" t="n">
        <v>0.760015</v>
      </c>
      <c r="K95" t="n">
        <v>0.748506</v>
      </c>
      <c r="L95" t="n">
        <v>0.744696</v>
      </c>
      <c r="M95" t="n">
        <v>0.739154</v>
      </c>
      <c r="N95" t="n">
        <v>0.728289</v>
      </c>
      <c r="O95" t="n">
        <v>0.718706</v>
      </c>
      <c r="P95" t="n">
        <v>0.705853</v>
      </c>
      <c r="Q95" t="n">
        <v>0.693412</v>
      </c>
      <c r="R95" t="n">
        <v>0.679566</v>
      </c>
      <c r="S95" t="n">
        <v>0.665079</v>
      </c>
      <c r="T95" t="n">
        <v>0.652852</v>
      </c>
      <c r="U95" t="n">
        <v>0.641562</v>
      </c>
      <c r="V95" t="n">
        <v>0.630316</v>
      </c>
      <c r="W95" t="n">
        <v>0.618349</v>
      </c>
      <c r="X95" t="n">
        <v>0.606617</v>
      </c>
      <c r="Y95" t="n">
        <v>0.597378</v>
      </c>
      <c r="Z95" t="n">
        <v>0.587354</v>
      </c>
      <c r="AA95" t="n">
        <v>0.5783509999999999</v>
      </c>
      <c r="AB95" t="n">
        <v>0.568846</v>
      </c>
      <c r="AC95" t="n">
        <v>0.557936</v>
      </c>
      <c r="AD95" t="n">
        <v>0.548491</v>
      </c>
      <c r="AE95" t="inlineStr">
        <is>
          <t>-1.5%</t>
        </is>
      </c>
    </row>
    <row r="96">
      <c r="A96" t="inlineStr">
        <is>
          <t>Biofuels Heat and Coproducts</t>
        </is>
      </c>
      <c r="B96" t="inlineStr">
        <is>
          <t>Energy Use: Delivered: All Sectors: Biofuels Heat and Coproducts: Alternative Electricity and Transportation</t>
        </is>
      </c>
      <c r="C96" t="inlineStr">
        <is>
          <t>AEO.2026.ELECTRNP.CNSM_ENU_ALLS_NA_BFH_DELV_NA_QBTU.A</t>
        </is>
      </c>
      <c r="D96" t="inlineStr">
        <is>
          <t>quads</t>
        </is>
      </c>
      <c r="E96" t="n">
        <v>0.908917</v>
      </c>
      <c r="F96" t="n">
        <v>0.924606</v>
      </c>
      <c r="G96" t="n">
        <v>0.937098</v>
      </c>
      <c r="H96" t="n">
        <v>0.941686</v>
      </c>
      <c r="I96" t="n">
        <v>0.9385599999999999</v>
      </c>
      <c r="J96" t="n">
        <v>0.940195</v>
      </c>
      <c r="K96" t="n">
        <v>0.9370849999999999</v>
      </c>
      <c r="L96" t="n">
        <v>0.935959</v>
      </c>
      <c r="M96" t="n">
        <v>0.9345909999999999</v>
      </c>
      <c r="N96" t="n">
        <v>0.936723</v>
      </c>
      <c r="O96" t="n">
        <v>0.93835</v>
      </c>
      <c r="P96" t="n">
        <v>0.944568</v>
      </c>
      <c r="Q96" t="n">
        <v>0.944168</v>
      </c>
      <c r="R96" t="n">
        <v>0.944952</v>
      </c>
      <c r="S96" t="n">
        <v>0.945946</v>
      </c>
      <c r="T96" t="n">
        <v>0.948555</v>
      </c>
      <c r="U96" t="n">
        <v>0.951308</v>
      </c>
      <c r="V96" t="n">
        <v>0.961144</v>
      </c>
      <c r="W96" t="n">
        <v>0.965054</v>
      </c>
      <c r="X96" t="n">
        <v>0.9677210000000001</v>
      </c>
      <c r="Y96" t="n">
        <v>0.968534</v>
      </c>
      <c r="Z96" t="n">
        <v>0.968565</v>
      </c>
      <c r="AA96" t="n">
        <v>0.972857</v>
      </c>
      <c r="AB96" t="n">
        <v>0.978918</v>
      </c>
      <c r="AC96" t="n">
        <v>0.981626</v>
      </c>
      <c r="AD96" t="n">
        <v>0.986055</v>
      </c>
      <c r="AE96" t="inlineStr">
        <is>
          <t>0.3%</t>
        </is>
      </c>
    </row>
    <row r="97">
      <c r="A97" t="inlineStr">
        <is>
          <t>Renewable Energy</t>
        </is>
      </c>
      <c r="B97" t="inlineStr">
        <is>
          <t>Energy Use: Delivered: All Sectors: Renewable Energy: Alternative Electricity and Transportation</t>
        </is>
      </c>
      <c r="C97" t="inlineStr">
        <is>
          <t>AEO.2026.ELECTRNP.CNSM_ENU_ALLS_NA_REN_DELV_NA_QBTU.A</t>
        </is>
      </c>
      <c r="D97" t="inlineStr">
        <is>
          <t>quads</t>
        </is>
      </c>
      <c r="E97" t="n">
        <v>2.013058</v>
      </c>
      <c r="F97" t="n">
        <v>2.093683</v>
      </c>
      <c r="G97" t="n">
        <v>2.047531</v>
      </c>
      <c r="H97" t="n">
        <v>2.025514</v>
      </c>
      <c r="I97" t="n">
        <v>2.01596</v>
      </c>
      <c r="J97" t="n">
        <v>1.98132</v>
      </c>
      <c r="K97" t="n">
        <v>1.942774</v>
      </c>
      <c r="L97" t="n">
        <v>1.917416</v>
      </c>
      <c r="M97" t="n">
        <v>1.903441</v>
      </c>
      <c r="N97" t="n">
        <v>1.901426</v>
      </c>
      <c r="O97" t="n">
        <v>1.902035</v>
      </c>
      <c r="P97" t="n">
        <v>1.908696</v>
      </c>
      <c r="Q97" t="n">
        <v>1.914938</v>
      </c>
      <c r="R97" t="n">
        <v>1.93366</v>
      </c>
      <c r="S97" t="n">
        <v>1.95409</v>
      </c>
      <c r="T97" t="n">
        <v>1.970589</v>
      </c>
      <c r="U97" t="n">
        <v>1.971671</v>
      </c>
      <c r="V97" t="n">
        <v>1.978809</v>
      </c>
      <c r="W97" t="n">
        <v>1.982566</v>
      </c>
      <c r="X97" t="n">
        <v>1.991679</v>
      </c>
      <c r="Y97" t="n">
        <v>2.012891</v>
      </c>
      <c r="Z97" t="n">
        <v>2.032434</v>
      </c>
      <c r="AA97" t="n">
        <v>2.055156</v>
      </c>
      <c r="AB97" t="n">
        <v>2.076127</v>
      </c>
      <c r="AC97" t="n">
        <v>2.102394</v>
      </c>
      <c r="AD97" t="n">
        <v>2.127045</v>
      </c>
      <c r="AE97" t="inlineStr">
        <is>
          <t>0.2%</t>
        </is>
      </c>
    </row>
    <row r="98">
      <c r="A98" t="inlineStr">
        <is>
          <t>Hydrogen</t>
        </is>
      </c>
      <c r="B98" t="inlineStr">
        <is>
          <t>Energy Use: Delivered: All Sectors: Hydrogen: Alternative Electricity and Transportation</t>
        </is>
      </c>
      <c r="C98" t="inlineStr">
        <is>
          <t>AEO.2026.ELECTRNP.CNSM_ENU_ALLS_NA_HDG_DELV_NA_QBTU.A</t>
        </is>
      </c>
      <c r="D98" t="inlineStr">
        <is>
          <t>quads</t>
        </is>
      </c>
      <c r="E98" t="n">
        <v>1.075572</v>
      </c>
      <c r="F98" t="n">
        <v>1.02115</v>
      </c>
      <c r="G98" t="n">
        <v>1.018976</v>
      </c>
      <c r="H98" t="n">
        <v>1.020323</v>
      </c>
      <c r="I98" t="n">
        <v>1.030313</v>
      </c>
      <c r="J98" t="n">
        <v>1.028076</v>
      </c>
      <c r="K98" t="n">
        <v>1.016292</v>
      </c>
      <c r="L98" t="n">
        <v>1.013583</v>
      </c>
      <c r="M98" t="n">
        <v>1.018495</v>
      </c>
      <c r="N98" t="n">
        <v>1.039492</v>
      </c>
      <c r="O98" t="n">
        <v>1.049423</v>
      </c>
      <c r="P98" t="n">
        <v>1.052222</v>
      </c>
      <c r="Q98" t="n">
        <v>1.071076</v>
      </c>
      <c r="R98" t="n">
        <v>1.080868</v>
      </c>
      <c r="S98" t="n">
        <v>1.08886</v>
      </c>
      <c r="T98" t="n">
        <v>1.090143</v>
      </c>
      <c r="U98" t="n">
        <v>1.096871</v>
      </c>
      <c r="V98" t="n">
        <v>1.101779</v>
      </c>
      <c r="W98" t="n">
        <v>1.11199</v>
      </c>
      <c r="X98" t="n">
        <v>1.134287</v>
      </c>
      <c r="Y98" t="n">
        <v>1.149361</v>
      </c>
      <c r="Z98" t="n">
        <v>1.157334</v>
      </c>
      <c r="AA98" t="n">
        <v>1.168963</v>
      </c>
      <c r="AB98" t="n">
        <v>1.176583</v>
      </c>
      <c r="AC98" t="n">
        <v>1.18248</v>
      </c>
      <c r="AD98" t="n">
        <v>1.189319</v>
      </c>
      <c r="AE98" t="inlineStr">
        <is>
          <t>0.4%</t>
        </is>
      </c>
    </row>
    <row r="99">
      <c r="A99" t="inlineStr">
        <is>
          <t>Purchased Electricity</t>
        </is>
      </c>
      <c r="B99" t="inlineStr">
        <is>
          <t>Energy Use: Delivered: All Sectors: Electricity: Alternative Electricity and Transportation</t>
        </is>
      </c>
      <c r="C99" t="inlineStr">
        <is>
          <t>AEO.2026.ELECTRNP.CNSM_ENU_ALLS_NA_ELC_DELV_NA_QBTU.A</t>
        </is>
      </c>
      <c r="D99" t="inlineStr">
        <is>
          <t>quads</t>
        </is>
      </c>
      <c r="E99" t="n">
        <v>13.879827</v>
      </c>
      <c r="F99" t="n">
        <v>14.264858</v>
      </c>
      <c r="G99" t="n">
        <v>14.208614</v>
      </c>
      <c r="H99" t="n">
        <v>14.322861</v>
      </c>
      <c r="I99" t="n">
        <v>14.414514</v>
      </c>
      <c r="J99" t="n">
        <v>14.482573</v>
      </c>
      <c r="K99" t="n">
        <v>14.543842</v>
      </c>
      <c r="L99" t="n">
        <v>14.621783</v>
      </c>
      <c r="M99" t="n">
        <v>14.722633</v>
      </c>
      <c r="N99" t="n">
        <v>14.838271</v>
      </c>
      <c r="O99" t="n">
        <v>14.97459</v>
      </c>
      <c r="P99" t="n">
        <v>15.129411</v>
      </c>
      <c r="Q99" t="n">
        <v>15.298395</v>
      </c>
      <c r="R99" t="n">
        <v>15.468924</v>
      </c>
      <c r="S99" t="n">
        <v>15.635885</v>
      </c>
      <c r="T99" t="n">
        <v>15.791342</v>
      </c>
      <c r="U99" t="n">
        <v>15.947617</v>
      </c>
      <c r="V99" t="n">
        <v>16.098896</v>
      </c>
      <c r="W99" t="n">
        <v>16.246597</v>
      </c>
      <c r="X99" t="n">
        <v>16.392521</v>
      </c>
      <c r="Y99" t="n">
        <v>16.550049</v>
      </c>
      <c r="Z99" t="n">
        <v>16.703588</v>
      </c>
      <c r="AA99" t="n">
        <v>16.848783</v>
      </c>
      <c r="AB99" t="n">
        <v>16.986872</v>
      </c>
      <c r="AC99" t="n">
        <v>17.119368</v>
      </c>
      <c r="AD99" t="n">
        <v>17.247267</v>
      </c>
      <c r="AE99" t="inlineStr">
        <is>
          <t>0.9%</t>
        </is>
      </c>
    </row>
    <row r="100">
      <c r="A100" t="inlineStr">
        <is>
          <t>Delivered Energy</t>
        </is>
      </c>
      <c r="B100" t="inlineStr">
        <is>
          <t>Energy Use: Delivered: All Sectors: Delivered Energy: Alternative Electricity and Transportation</t>
        </is>
      </c>
      <c r="C100" t="inlineStr">
        <is>
          <t>AEO.2026.ELECTRNP.CNSM_ENU_ALLS_NA_DELE_DELV_NA_QBTU.A</t>
        </is>
      </c>
      <c r="D100" t="inlineStr">
        <is>
          <t>quads</t>
        </is>
      </c>
      <c r="E100" t="n">
        <v>75.959436</v>
      </c>
      <c r="F100" t="n">
        <v>75.96501600000001</v>
      </c>
      <c r="G100" t="n">
        <v>76.08049800000001</v>
      </c>
      <c r="H100" t="n">
        <v>76.158179</v>
      </c>
      <c r="I100" t="n">
        <v>75.909086</v>
      </c>
      <c r="J100" t="n">
        <v>75.86820899999999</v>
      </c>
      <c r="K100" t="n">
        <v>75.738854</v>
      </c>
      <c r="L100" t="n">
        <v>75.765551</v>
      </c>
      <c r="M100" t="n">
        <v>75.748516</v>
      </c>
      <c r="N100" t="n">
        <v>75.937465</v>
      </c>
      <c r="O100" t="n">
        <v>76.08933500000001</v>
      </c>
      <c r="P100" t="n">
        <v>76.212706</v>
      </c>
      <c r="Q100" t="n">
        <v>76.328592</v>
      </c>
      <c r="R100" t="n">
        <v>76.483104</v>
      </c>
      <c r="S100" t="n">
        <v>76.683024</v>
      </c>
      <c r="T100" t="n">
        <v>76.938484</v>
      </c>
      <c r="U100" t="n">
        <v>77.18086599999999</v>
      </c>
      <c r="V100" t="n">
        <v>77.45544</v>
      </c>
      <c r="W100" t="n">
        <v>77.747851</v>
      </c>
      <c r="X100" t="n">
        <v>78.023994</v>
      </c>
      <c r="Y100" t="n">
        <v>78.34795099999999</v>
      </c>
      <c r="Z100" t="n">
        <v>78.623788</v>
      </c>
      <c r="AA100" t="n">
        <v>78.982325</v>
      </c>
      <c r="AB100" t="n">
        <v>79.21534</v>
      </c>
      <c r="AC100" t="n">
        <v>79.378409</v>
      </c>
      <c r="AD100" t="n">
        <v>79.605777</v>
      </c>
      <c r="AE100" t="inlineStr">
        <is>
          <t>0.2%</t>
        </is>
      </c>
    </row>
    <row r="101">
      <c r="A101" t="inlineStr">
        <is>
          <t>Electricity-Related Losses</t>
        </is>
      </c>
      <c r="B101" t="inlineStr">
        <is>
          <t>Energy Use: Delivered: All Sectors: Electricity Related Losses: Alternative Electricity and Transportation</t>
        </is>
      </c>
      <c r="C101" t="inlineStr">
        <is>
          <t>AEO.2026.ELECTRNP.CNSM_ENU_ALLS_NA_ERL_DELV_NA_QBTU.A</t>
        </is>
      </c>
      <c r="D101" t="inlineStr">
        <is>
          <t>quads</t>
        </is>
      </c>
      <c r="E101" t="n">
        <v>19.071667</v>
      </c>
      <c r="F101" t="n">
        <v>19.412304</v>
      </c>
      <c r="G101" t="n">
        <v>17.859312</v>
      </c>
      <c r="H101" t="n">
        <v>17.229427</v>
      </c>
      <c r="I101" t="n">
        <v>16.947556</v>
      </c>
      <c r="J101" t="n">
        <v>16.724056</v>
      </c>
      <c r="K101" t="n">
        <v>16.259672</v>
      </c>
      <c r="L101" t="n">
        <v>16.028046</v>
      </c>
      <c r="M101" t="n">
        <v>15.94443</v>
      </c>
      <c r="N101" t="n">
        <v>15.75556</v>
      </c>
      <c r="O101" t="n">
        <v>15.663356</v>
      </c>
      <c r="P101" t="n">
        <v>15.582514</v>
      </c>
      <c r="Q101" t="n">
        <v>15.601062</v>
      </c>
      <c r="R101" t="n">
        <v>15.657877</v>
      </c>
      <c r="S101" t="n">
        <v>15.677003</v>
      </c>
      <c r="T101" t="n">
        <v>15.645046</v>
      </c>
      <c r="U101" t="n">
        <v>15.614019</v>
      </c>
      <c r="V101" t="n">
        <v>15.652865</v>
      </c>
      <c r="W101" t="n">
        <v>15.706782</v>
      </c>
      <c r="X101" t="n">
        <v>15.765079</v>
      </c>
      <c r="Y101" t="n">
        <v>15.835756</v>
      </c>
      <c r="Z101" t="n">
        <v>15.908841</v>
      </c>
      <c r="AA101" t="n">
        <v>15.989364</v>
      </c>
      <c r="AB101" t="n">
        <v>16.05962</v>
      </c>
      <c r="AC101" t="n">
        <v>16.065533</v>
      </c>
      <c r="AD101" t="n">
        <v>16.116589</v>
      </c>
      <c r="AE101" t="inlineStr">
        <is>
          <t>-0.7%</t>
        </is>
      </c>
    </row>
    <row r="102">
      <c r="A102" t="inlineStr">
        <is>
          <t>Hydrogen-Related Losses</t>
        </is>
      </c>
      <c r="B102" t="inlineStr">
        <is>
          <t>Energy Use: Delivered: All Sectors: Hydrogen Related Losses: Alternative Electricity and Transportation</t>
        </is>
      </c>
      <c r="C102" t="inlineStr">
        <is>
          <t>AEO.2026.ELECTRNP.CNSM_ENU_ALLS_NA_H2RELLOS_DELV_NA_QBTU.A</t>
        </is>
      </c>
      <c r="D102" t="inlineStr">
        <is>
          <t>quads</t>
        </is>
      </c>
      <c r="E102" t="n">
        <v>0.254832</v>
      </c>
      <c r="F102" t="n">
        <v>0.240602</v>
      </c>
      <c r="G102" t="n">
        <v>0.238436</v>
      </c>
      <c r="H102" t="n">
        <v>0.238363</v>
      </c>
      <c r="I102" t="n">
        <v>0.245772</v>
      </c>
      <c r="J102" t="n">
        <v>0.244937</v>
      </c>
      <c r="K102" t="n">
        <v>0.240407</v>
      </c>
      <c r="L102" t="n">
        <v>0.239212</v>
      </c>
      <c r="M102" t="n">
        <v>0.239963</v>
      </c>
      <c r="N102" t="n">
        <v>0.245799</v>
      </c>
      <c r="O102" t="n">
        <v>0.24758</v>
      </c>
      <c r="P102" t="n">
        <v>0.246966</v>
      </c>
      <c r="Q102" t="n">
        <v>0.247644</v>
      </c>
      <c r="R102" t="n">
        <v>0.247655</v>
      </c>
      <c r="S102" t="n">
        <v>0.249149</v>
      </c>
      <c r="T102" t="n">
        <v>0.24869</v>
      </c>
      <c r="U102" t="n">
        <v>0.246827</v>
      </c>
      <c r="V102" t="n">
        <v>0.247135</v>
      </c>
      <c r="W102" t="n">
        <v>0.249148</v>
      </c>
      <c r="X102" t="n">
        <v>0.25515</v>
      </c>
      <c r="Y102" t="n">
        <v>0.258825</v>
      </c>
      <c r="Z102" t="n">
        <v>0.260082</v>
      </c>
      <c r="AA102" t="n">
        <v>0.262352</v>
      </c>
      <c r="AB102" t="n">
        <v>0.263533</v>
      </c>
      <c r="AC102" t="n">
        <v>0.264511</v>
      </c>
      <c r="AD102" t="n">
        <v>0.265488</v>
      </c>
      <c r="AE102" t="inlineStr">
        <is>
          <t>0.2%</t>
        </is>
      </c>
    </row>
    <row r="103">
      <c r="A103" t="inlineStr">
        <is>
          <t>Total</t>
        </is>
      </c>
      <c r="B103" t="inlineStr">
        <is>
          <t>Energy Use: Delivered: All Sectors: Total: Alternative Electricity and Transportation</t>
        </is>
      </c>
      <c r="C103" t="inlineStr">
        <is>
          <t>AEO.2026.ELECTRNP.CNSM_ENU_ALLS_NA_TOT_NA_NA_QBTU.A</t>
        </is>
      </c>
      <c r="D103" t="inlineStr">
        <is>
          <t>quads</t>
        </is>
      </c>
      <c r="E103" t="n">
        <v>95.285934</v>
      </c>
      <c r="F103" t="n">
        <v>95.61792199999999</v>
      </c>
      <c r="G103" t="n">
        <v>94.178246</v>
      </c>
      <c r="H103" t="n">
        <v>93.62597</v>
      </c>
      <c r="I103" t="n">
        <v>93.102413</v>
      </c>
      <c r="J103" t="n">
        <v>92.837203</v>
      </c>
      <c r="K103" t="n">
        <v>92.238933</v>
      </c>
      <c r="L103" t="n">
        <v>92.032809</v>
      </c>
      <c r="M103" t="n">
        <v>91.932909</v>
      </c>
      <c r="N103" t="n">
        <v>91.938824</v>
      </c>
      <c r="O103" t="n">
        <v>92.000271</v>
      </c>
      <c r="P103" t="n">
        <v>92.042186</v>
      </c>
      <c r="Q103" t="n">
        <v>92.17729799999999</v>
      </c>
      <c r="R103" t="n">
        <v>92.38863600000001</v>
      </c>
      <c r="S103" t="n">
        <v>92.609177</v>
      </c>
      <c r="T103" t="n">
        <v>92.83222000000001</v>
      </c>
      <c r="U103" t="n">
        <v>93.041712</v>
      </c>
      <c r="V103" t="n">
        <v>93.355441</v>
      </c>
      <c r="W103" t="n">
        <v>93.70378100000001</v>
      </c>
      <c r="X103" t="n">
        <v>94.044222</v>
      </c>
      <c r="Y103" t="n">
        <v>94.442532</v>
      </c>
      <c r="Z103" t="n">
        <v>94.792711</v>
      </c>
      <c r="AA103" t="n">
        <v>95.234041</v>
      </c>
      <c r="AB103" t="n">
        <v>95.538493</v>
      </c>
      <c r="AC103" t="n">
        <v>95.70845199999999</v>
      </c>
      <c r="AD103" t="n">
        <v>95.987854</v>
      </c>
      <c r="AE103" t="inlineStr">
        <is>
          <t>0.0%</t>
        </is>
      </c>
    </row>
    <row r="104">
      <c r="A104" t="inlineStr">
        <is>
          <t>Electric Power</t>
        </is>
      </c>
    </row>
    <row r="105">
      <c r="A105" t="inlineStr">
        <is>
          <t>Distillate Fuel Oil</t>
        </is>
      </c>
      <c r="B105" t="inlineStr">
        <is>
          <t>Energy Use: Electric Power: Distillate Fuel Oil: Alternative Electricity and Transportation</t>
        </is>
      </c>
      <c r="C105" t="inlineStr">
        <is>
          <t>AEO.2026.ELECTRNP.CNSM_ENU_ELEP_NA_DFO_NA_NA_QBTU.A</t>
        </is>
      </c>
      <c r="D105" t="inlineStr">
        <is>
          <t>quads</t>
        </is>
      </c>
      <c r="E105" t="n">
        <v>0.07360700000000001</v>
      </c>
      <c r="F105" t="n">
        <v>0.06932199999999999</v>
      </c>
      <c r="G105" t="n">
        <v>0.062622</v>
      </c>
      <c r="H105" t="n">
        <v>0.057161</v>
      </c>
      <c r="I105" t="n">
        <v>0.05441</v>
      </c>
      <c r="J105" t="n">
        <v>0.053268</v>
      </c>
      <c r="K105" t="n">
        <v>0.046351</v>
      </c>
      <c r="L105" t="n">
        <v>0.044252</v>
      </c>
      <c r="M105" t="n">
        <v>0.042729</v>
      </c>
      <c r="N105" t="n">
        <v>0.041557</v>
      </c>
      <c r="O105" t="n">
        <v>0.039856</v>
      </c>
      <c r="P105" t="n">
        <v>0.039032</v>
      </c>
      <c r="Q105" t="n">
        <v>0.037986</v>
      </c>
      <c r="R105" t="n">
        <v>0.036325</v>
      </c>
      <c r="S105" t="n">
        <v>0.035567</v>
      </c>
      <c r="T105" t="n">
        <v>0.034393</v>
      </c>
      <c r="U105" t="n">
        <v>0.033044</v>
      </c>
      <c r="V105" t="n">
        <v>0.030996</v>
      </c>
      <c r="W105" t="n">
        <v>0.029543</v>
      </c>
      <c r="X105" t="n">
        <v>0.027529</v>
      </c>
      <c r="Y105" t="n">
        <v>0.026179</v>
      </c>
      <c r="Z105" t="n">
        <v>0.026082</v>
      </c>
      <c r="AA105" t="n">
        <v>0.025358</v>
      </c>
      <c r="AB105" t="n">
        <v>0.025328</v>
      </c>
      <c r="AC105" t="n">
        <v>0.024867</v>
      </c>
      <c r="AD105" t="n">
        <v>0.025062</v>
      </c>
      <c r="AE105" t="inlineStr">
        <is>
          <t>-4.2%</t>
        </is>
      </c>
    </row>
    <row r="106">
      <c r="A106" t="inlineStr">
        <is>
          <t>Residual Fuel Oil</t>
        </is>
      </c>
      <c r="B106" t="inlineStr">
        <is>
          <t>Energy Use: Electric Power: Residual Fuel Oil: Alternative Electricity and Transportation</t>
        </is>
      </c>
      <c r="C106" t="inlineStr">
        <is>
          <t>AEO.2026.ELECTRNP.CNSM_ENU_ELEP_NA_RFO_NA_NA_QBTU.A</t>
        </is>
      </c>
      <c r="D106" t="inlineStr">
        <is>
          <t>quads</t>
        </is>
      </c>
      <c r="E106" t="n">
        <v>0.06406199999999999</v>
      </c>
      <c r="F106" t="n">
        <v>0.063801</v>
      </c>
      <c r="G106" t="n">
        <v>0.061447</v>
      </c>
      <c r="H106" t="n">
        <v>0.057519</v>
      </c>
      <c r="I106" t="n">
        <v>0.056238</v>
      </c>
      <c r="J106" t="n">
        <v>0.055711</v>
      </c>
      <c r="K106" t="n">
        <v>0.053856</v>
      </c>
      <c r="L106" t="n">
        <v>0.052138</v>
      </c>
      <c r="M106" t="n">
        <v>0.050618</v>
      </c>
      <c r="N106" t="n">
        <v>0.048918</v>
      </c>
      <c r="O106" t="n">
        <v>0.047375</v>
      </c>
      <c r="P106" t="n">
        <v>0.045979</v>
      </c>
      <c r="Q106" t="n">
        <v>0.04426</v>
      </c>
      <c r="R106" t="n">
        <v>0.042675</v>
      </c>
      <c r="S106" t="n">
        <v>0.041058</v>
      </c>
      <c r="T106" t="n">
        <v>0.039361</v>
      </c>
      <c r="U106" t="n">
        <v>0.035798</v>
      </c>
      <c r="V106" t="n">
        <v>0.03202</v>
      </c>
      <c r="W106" t="n">
        <v>0.028277</v>
      </c>
      <c r="X106" t="n">
        <v>0.024463</v>
      </c>
      <c r="Y106" t="n">
        <v>0.020596</v>
      </c>
      <c r="Z106" t="n">
        <v>0.020458</v>
      </c>
      <c r="AA106" t="n">
        <v>0.020431</v>
      </c>
      <c r="AB106" t="n">
        <v>0.020438</v>
      </c>
      <c r="AC106" t="n">
        <v>0.020433</v>
      </c>
      <c r="AD106" t="n">
        <v>0.020424</v>
      </c>
      <c r="AE106" t="inlineStr">
        <is>
          <t>-4.5%</t>
        </is>
      </c>
    </row>
    <row r="107">
      <c r="A107" t="inlineStr">
        <is>
          <t>Petroleum and Other Liquids Subtotal</t>
        </is>
      </c>
      <c r="B107" t="inlineStr">
        <is>
          <t>Energy Use: Electric Power: Liquid Fuels Subtotal: Alternative Electricity and Transportation</t>
        </is>
      </c>
      <c r="C107" t="inlineStr">
        <is>
          <t>AEO.2026.ELECTRNP.CNSM_ENU_ELEP_NA_LFL_NA_NA_QBTU.A</t>
        </is>
      </c>
      <c r="D107" t="inlineStr">
        <is>
          <t>quads</t>
        </is>
      </c>
      <c r="E107" t="n">
        <v>0.137669</v>
      </c>
      <c r="F107" t="n">
        <v>0.133122</v>
      </c>
      <c r="G107" t="n">
        <v>0.124069</v>
      </c>
      <c r="H107" t="n">
        <v>0.11468</v>
      </c>
      <c r="I107" t="n">
        <v>0.110648</v>
      </c>
      <c r="J107" t="n">
        <v>0.108979</v>
      </c>
      <c r="K107" t="n">
        <v>0.100208</v>
      </c>
      <c r="L107" t="n">
        <v>0.09639</v>
      </c>
      <c r="M107" t="n">
        <v>0.093347</v>
      </c>
      <c r="N107" t="n">
        <v>0.090475</v>
      </c>
      <c r="O107" t="n">
        <v>0.087231</v>
      </c>
      <c r="P107" t="n">
        <v>0.08501</v>
      </c>
      <c r="Q107" t="n">
        <v>0.082245</v>
      </c>
      <c r="R107" t="n">
        <v>0.079</v>
      </c>
      <c r="S107" t="n">
        <v>0.076625</v>
      </c>
      <c r="T107" t="n">
        <v>0.073754</v>
      </c>
      <c r="U107" t="n">
        <v>0.068841</v>
      </c>
      <c r="V107" t="n">
        <v>0.063016</v>
      </c>
      <c r="W107" t="n">
        <v>0.057821</v>
      </c>
      <c r="X107" t="n">
        <v>0.051992</v>
      </c>
      <c r="Y107" t="n">
        <v>0.046775</v>
      </c>
      <c r="Z107" t="n">
        <v>0.04654</v>
      </c>
      <c r="AA107" t="n">
        <v>0.045788</v>
      </c>
      <c r="AB107" t="n">
        <v>0.045766</v>
      </c>
      <c r="AC107" t="n">
        <v>0.0453</v>
      </c>
      <c r="AD107" t="n">
        <v>0.045486</v>
      </c>
      <c r="AE107" t="inlineStr">
        <is>
          <t>-4.3%</t>
        </is>
      </c>
    </row>
    <row r="108">
      <c r="A108" t="inlineStr">
        <is>
          <t>Natural Gas</t>
        </is>
      </c>
      <c r="B108" t="inlineStr">
        <is>
          <t>Energy Use: Electric Power: Natural Gas: Alternative Electricity and Transportation</t>
        </is>
      </c>
      <c r="C108" t="inlineStr">
        <is>
          <t>AEO.2026.ELECTRNP.CNSM_ENU_ELEP_NA_NG_NA_NA_QBTU.A</t>
        </is>
      </c>
      <c r="D108" t="inlineStr">
        <is>
          <t>quads</t>
        </is>
      </c>
      <c r="E108" t="n">
        <v>13.254009</v>
      </c>
      <c r="F108" t="n">
        <v>13.760337</v>
      </c>
      <c r="G108" t="n">
        <v>12.098905</v>
      </c>
      <c r="H108" t="n">
        <v>11.831322</v>
      </c>
      <c r="I108" t="n">
        <v>11.51959</v>
      </c>
      <c r="J108" t="n">
        <v>11.194534</v>
      </c>
      <c r="K108" t="n">
        <v>11.589209</v>
      </c>
      <c r="L108" t="n">
        <v>11.727729</v>
      </c>
      <c r="M108" t="n">
        <v>11.778518</v>
      </c>
      <c r="N108" t="n">
        <v>11.781666</v>
      </c>
      <c r="O108" t="n">
        <v>11.647706</v>
      </c>
      <c r="P108" t="n">
        <v>11.591108</v>
      </c>
      <c r="Q108" t="n">
        <v>11.70478</v>
      </c>
      <c r="R108" t="n">
        <v>11.819704</v>
      </c>
      <c r="S108" t="n">
        <v>11.911785</v>
      </c>
      <c r="T108" t="n">
        <v>12.08897</v>
      </c>
      <c r="U108" t="n">
        <v>12.209418</v>
      </c>
      <c r="V108" t="n">
        <v>12.438971</v>
      </c>
      <c r="W108" t="n">
        <v>12.751798</v>
      </c>
      <c r="X108" t="n">
        <v>13.023241</v>
      </c>
      <c r="Y108" t="n">
        <v>13.301497</v>
      </c>
      <c r="Z108" t="n">
        <v>13.585675</v>
      </c>
      <c r="AA108" t="n">
        <v>13.776622</v>
      </c>
      <c r="AB108" t="n">
        <v>13.974996</v>
      </c>
      <c r="AC108" t="n">
        <v>14.206823</v>
      </c>
      <c r="AD108" t="n">
        <v>14.350322</v>
      </c>
      <c r="AE108" t="inlineStr">
        <is>
          <t>0.3%</t>
        </is>
      </c>
    </row>
    <row r="109">
      <c r="A109" t="inlineStr">
        <is>
          <t>Steam Coal</t>
        </is>
      </c>
      <c r="B109" t="inlineStr">
        <is>
          <t>Energy Use: Electric Power: Steam Coal: Alternative Electricity and Transportation</t>
        </is>
      </c>
      <c r="C109" t="inlineStr">
        <is>
          <t>AEO.2026.ELECTRNP.CNSM_ENU_ELEP_NA_STC_NA_NA_QBTU.A</t>
        </is>
      </c>
      <c r="D109" t="inlineStr">
        <is>
          <t>quads</t>
        </is>
      </c>
      <c r="E109" t="n">
        <v>7.51277</v>
      </c>
      <c r="F109" t="n">
        <v>7.194314</v>
      </c>
      <c r="G109" t="n">
        <v>6.610365</v>
      </c>
      <c r="H109" t="n">
        <v>5.897705</v>
      </c>
      <c r="I109" t="n">
        <v>5.780149</v>
      </c>
      <c r="J109" t="n">
        <v>5.756329</v>
      </c>
      <c r="K109" t="n">
        <v>4.801369</v>
      </c>
      <c r="L109" t="n">
        <v>4.407804</v>
      </c>
      <c r="M109" t="n">
        <v>4.241562</v>
      </c>
      <c r="N109" t="n">
        <v>3.987547</v>
      </c>
      <c r="O109" t="n">
        <v>3.963866</v>
      </c>
      <c r="P109" t="n">
        <v>3.898126</v>
      </c>
      <c r="Q109" t="n">
        <v>3.829367</v>
      </c>
      <c r="R109" t="n">
        <v>3.826789</v>
      </c>
      <c r="S109" t="n">
        <v>3.800425</v>
      </c>
      <c r="T109" t="n">
        <v>3.634791</v>
      </c>
      <c r="U109" t="n">
        <v>3.544769</v>
      </c>
      <c r="V109" t="n">
        <v>3.467078</v>
      </c>
      <c r="W109" t="n">
        <v>3.360476</v>
      </c>
      <c r="X109" t="n">
        <v>3.281324</v>
      </c>
      <c r="Y109" t="n">
        <v>3.226048</v>
      </c>
      <c r="Z109" t="n">
        <v>3.168838</v>
      </c>
      <c r="AA109" t="n">
        <v>3.191427</v>
      </c>
      <c r="AB109" t="n">
        <v>3.194729</v>
      </c>
      <c r="AC109" t="n">
        <v>3.086876</v>
      </c>
      <c r="AD109" t="n">
        <v>2.921594</v>
      </c>
      <c r="AE109" t="inlineStr">
        <is>
          <t>-3.7%</t>
        </is>
      </c>
    </row>
    <row r="110">
      <c r="A110" t="inlineStr">
        <is>
          <t>Nuclear / Uranium</t>
        </is>
      </c>
      <c r="B110" t="inlineStr">
        <is>
          <t>Energy Use: Electric Power: Nuclear: Alternative Electricity and Transportation</t>
        </is>
      </c>
      <c r="C110" t="inlineStr">
        <is>
          <t>AEO.2026.ELECTRNP.CNSM_ENU_ELEP_NA_NUC_NA_NA_QBTU.A</t>
        </is>
      </c>
      <c r="D110" t="inlineStr">
        <is>
          <t>quads</t>
        </is>
      </c>
      <c r="E110" t="n">
        <v>8.187651000000001</v>
      </c>
      <c r="F110" t="n">
        <v>8.372738</v>
      </c>
      <c r="G110" t="n">
        <v>8.321443</v>
      </c>
      <c r="H110" t="n">
        <v>8.357332</v>
      </c>
      <c r="I110" t="n">
        <v>8.366614999999999</v>
      </c>
      <c r="J110" t="n">
        <v>8.373707</v>
      </c>
      <c r="K110" t="n">
        <v>8.373858</v>
      </c>
      <c r="L110" t="n">
        <v>8.373865</v>
      </c>
      <c r="M110" t="n">
        <v>8.373583</v>
      </c>
      <c r="N110" t="n">
        <v>8.373583</v>
      </c>
      <c r="O110" t="n">
        <v>8.373576999999999</v>
      </c>
      <c r="P110" t="n">
        <v>8.373578</v>
      </c>
      <c r="Q110" t="n">
        <v>8.370988000000001</v>
      </c>
      <c r="R110" t="n">
        <v>8.366815000000001</v>
      </c>
      <c r="S110" t="n">
        <v>8.368925000000001</v>
      </c>
      <c r="T110" t="n">
        <v>8.36346</v>
      </c>
      <c r="U110" t="n">
        <v>8.357713</v>
      </c>
      <c r="V110" t="n">
        <v>8.371456</v>
      </c>
      <c r="W110" t="n">
        <v>8.365458</v>
      </c>
      <c r="X110" t="n">
        <v>8.373578</v>
      </c>
      <c r="Y110" t="n">
        <v>8.373578</v>
      </c>
      <c r="Z110" t="n">
        <v>8.373578</v>
      </c>
      <c r="AA110" t="n">
        <v>8.373578999999999</v>
      </c>
      <c r="AB110" t="n">
        <v>8.373578</v>
      </c>
      <c r="AC110" t="n">
        <v>8.373578</v>
      </c>
      <c r="AD110" t="n">
        <v>8.373294</v>
      </c>
      <c r="AE110" t="inlineStr">
        <is>
          <t>0.1%</t>
        </is>
      </c>
    </row>
    <row r="111">
      <c r="A111" t="inlineStr">
        <is>
          <t>Renewable Energy</t>
        </is>
      </c>
      <c r="B111" t="inlineStr">
        <is>
          <t>Energy Use: Electric Power: Renewable Energy: Alternative Electricity and Transportation</t>
        </is>
      </c>
      <c r="C111" t="inlineStr">
        <is>
          <t>AEO.2026.ELECTRNP.CNSM_ENU_ELEP_NA_REN_NA_NA_QBTU.A</t>
        </is>
      </c>
      <c r="D111" t="inlineStr">
        <is>
          <t>quads</t>
        </is>
      </c>
      <c r="E111" t="n">
        <v>3.717869</v>
      </c>
      <c r="F111" t="n">
        <v>4.061838</v>
      </c>
      <c r="G111" t="n">
        <v>4.668332</v>
      </c>
      <c r="H111" t="n">
        <v>5.063529</v>
      </c>
      <c r="I111" t="n">
        <v>5.282516</v>
      </c>
      <c r="J111" t="n">
        <v>5.446818</v>
      </c>
      <c r="K111" t="n">
        <v>5.604444</v>
      </c>
      <c r="L111" t="n">
        <v>5.702966</v>
      </c>
      <c r="M111" t="n">
        <v>5.829032</v>
      </c>
      <c r="N111" t="n">
        <v>6.005538</v>
      </c>
      <c r="O111" t="n">
        <v>6.205722</v>
      </c>
      <c r="P111" t="n">
        <v>6.411592</v>
      </c>
      <c r="Q111" t="n">
        <v>6.558394</v>
      </c>
      <c r="R111" t="n">
        <v>6.678237</v>
      </c>
      <c r="S111" t="n">
        <v>6.802344</v>
      </c>
      <c r="T111" t="n">
        <v>6.919462</v>
      </c>
      <c r="U111" t="n">
        <v>7.019967</v>
      </c>
      <c r="V111" t="n">
        <v>7.063256</v>
      </c>
      <c r="W111" t="n">
        <v>7.081019</v>
      </c>
      <c r="X111" t="n">
        <v>7.095361</v>
      </c>
      <c r="Y111" t="n">
        <v>7.107094</v>
      </c>
      <c r="Z111" t="n">
        <v>7.122409</v>
      </c>
      <c r="AA111" t="n">
        <v>7.144881</v>
      </c>
      <c r="AB111" t="n">
        <v>7.160776</v>
      </c>
      <c r="AC111" t="n">
        <v>7.185832</v>
      </c>
      <c r="AD111" t="n">
        <v>7.39609</v>
      </c>
      <c r="AE111" t="inlineStr">
        <is>
          <t>2.8%</t>
        </is>
      </c>
    </row>
    <row r="112">
      <c r="A112" t="inlineStr">
        <is>
          <t>Hydrogen</t>
        </is>
      </c>
      <c r="B112" t="inlineStr">
        <is>
          <t>Energy Use: Electric Power: Hydrogen: Alternative Electricity and Transportation</t>
        </is>
      </c>
      <c r="C112" t="inlineStr">
        <is>
          <t>AEO.2026.ELECTRNP.CNSM_ENU_ELEP_NA_HDG_NA_NA_QBTU.A</t>
        </is>
      </c>
      <c r="D112" t="inlineStr">
        <is>
          <t>quads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0.004984</v>
      </c>
      <c r="AD112" t="n">
        <v>0.005515</v>
      </c>
      <c r="AE112" t="inlineStr">
        <is>
          <t>- -</t>
        </is>
      </c>
    </row>
    <row r="113">
      <c r="A113" t="inlineStr">
        <is>
          <t>Non-biogenic Municipal Waste</t>
        </is>
      </c>
      <c r="B113" t="inlineStr">
        <is>
          <t>Energy Use: Electric Power: Non-biogenic Municipal Waste: Alternative Electricity and Transportation</t>
        </is>
      </c>
      <c r="C113" t="inlineStr">
        <is>
          <t>AEO.2026.ELECTRNP.CNSM_ENU_ELEP_NA_NBMSW_NA_NA_QBTU.A</t>
        </is>
      </c>
      <c r="D113" t="inlineStr">
        <is>
          <t>quads</t>
        </is>
      </c>
      <c r="E113" t="n">
        <v>0.06929200000000001</v>
      </c>
      <c r="F113" t="n">
        <v>0.06929200000000001</v>
      </c>
      <c r="G113" t="n">
        <v>0.06929200000000001</v>
      </c>
      <c r="H113" t="n">
        <v>0.06929200000000001</v>
      </c>
      <c r="I113" t="n">
        <v>0.06929200000000001</v>
      </c>
      <c r="J113" t="n">
        <v>0.06929200000000001</v>
      </c>
      <c r="K113" t="n">
        <v>0.06929200000000001</v>
      </c>
      <c r="L113" t="n">
        <v>0.06929200000000001</v>
      </c>
      <c r="M113" t="n">
        <v>0.06929200000000001</v>
      </c>
      <c r="N113" t="n">
        <v>0.06929200000000001</v>
      </c>
      <c r="O113" t="n">
        <v>0.06929200000000001</v>
      </c>
      <c r="P113" t="n">
        <v>0.06929200000000001</v>
      </c>
      <c r="Q113" t="n">
        <v>0.06929200000000001</v>
      </c>
      <c r="R113" t="n">
        <v>0.06929200000000001</v>
      </c>
      <c r="S113" t="n">
        <v>0.06929200000000001</v>
      </c>
      <c r="T113" t="n">
        <v>0.06929200000000001</v>
      </c>
      <c r="U113" t="n">
        <v>0.06929200000000001</v>
      </c>
      <c r="V113" t="n">
        <v>0.06929200000000001</v>
      </c>
      <c r="W113" t="n">
        <v>0.06929200000000001</v>
      </c>
      <c r="X113" t="n">
        <v>0.06929200000000001</v>
      </c>
      <c r="Y113" t="n">
        <v>0.06929200000000001</v>
      </c>
      <c r="Z113" t="n">
        <v>0.06929200000000001</v>
      </c>
      <c r="AA113" t="n">
        <v>0.06929200000000001</v>
      </c>
      <c r="AB113" t="n">
        <v>0.06929200000000001</v>
      </c>
      <c r="AC113" t="n">
        <v>0.06929200000000001</v>
      </c>
      <c r="AD113" t="n">
        <v>0.06929200000000001</v>
      </c>
      <c r="AE113" t="inlineStr">
        <is>
          <t>0.0%</t>
        </is>
      </c>
    </row>
    <row r="114">
      <c r="A114" t="inlineStr">
        <is>
          <t>Electricity Imports</t>
        </is>
      </c>
      <c r="B114" t="inlineStr">
        <is>
          <t>Energy Use: Electric Power: Electricity Imports: Alternative Electricity and Transportation</t>
        </is>
      </c>
      <c r="C114" t="inlineStr">
        <is>
          <t>AEO.2026.ELECTRNP.CNSM_ENU_ELEP_NA_ELI_NA_NA_QBTU.A</t>
        </is>
      </c>
      <c r="D114" t="inlineStr">
        <is>
          <t>quads</t>
        </is>
      </c>
      <c r="E114" t="n">
        <v>0.08228000000000001</v>
      </c>
      <c r="F114" t="n">
        <v>0.106062</v>
      </c>
      <c r="G114" t="n">
        <v>0.19597</v>
      </c>
      <c r="H114" t="n">
        <v>0.235466</v>
      </c>
      <c r="I114" t="n">
        <v>0.255448</v>
      </c>
      <c r="J114" t="n">
        <v>0.279835</v>
      </c>
      <c r="K114" t="n">
        <v>0.285335</v>
      </c>
      <c r="L114" t="n">
        <v>0.290467</v>
      </c>
      <c r="M114" t="n">
        <v>0.300253</v>
      </c>
      <c r="N114" t="n">
        <v>0.304316</v>
      </c>
      <c r="O114" t="n">
        <v>0.309149</v>
      </c>
      <c r="P114" t="n">
        <v>0.300601</v>
      </c>
      <c r="Q114" t="n">
        <v>0.298927</v>
      </c>
      <c r="R114" t="n">
        <v>0.297556</v>
      </c>
      <c r="S114" t="n">
        <v>0.294068</v>
      </c>
      <c r="T114" t="n">
        <v>0.297165</v>
      </c>
      <c r="U114" t="n">
        <v>0.296862</v>
      </c>
      <c r="V114" t="n">
        <v>0.283909</v>
      </c>
      <c r="W114" t="n">
        <v>0.272758</v>
      </c>
      <c r="X114" t="n">
        <v>0.268169</v>
      </c>
      <c r="Y114" t="n">
        <v>0.266944</v>
      </c>
      <c r="Z114" t="n">
        <v>0.251526</v>
      </c>
      <c r="AA114" t="n">
        <v>0.242033</v>
      </c>
      <c r="AB114" t="n">
        <v>0.232839</v>
      </c>
      <c r="AC114" t="n">
        <v>0.222683</v>
      </c>
      <c r="AD114" t="n">
        <v>0.213269</v>
      </c>
      <c r="AE114" t="inlineStr">
        <is>
          <t>3.9%</t>
        </is>
      </c>
    </row>
    <row r="115">
      <c r="A115" t="inlineStr">
        <is>
          <t>Total Energy</t>
        </is>
      </c>
      <c r="B115" t="inlineStr">
        <is>
          <t>Energy Use: Electric Power: Total Energy: Alternative Electricity and Transportation</t>
        </is>
      </c>
      <c r="C115" t="inlineStr">
        <is>
          <t>AEO.2026.ELECTRNP.CNSM_ENU_ELEP_NA_TEN_NA_NA_QBTU.A</t>
        </is>
      </c>
      <c r="D115" t="inlineStr">
        <is>
          <t>quads</t>
        </is>
      </c>
      <c r="E115" t="n">
        <v>32.96154</v>
      </c>
      <c r="F115" t="n">
        <v>33.697704</v>
      </c>
      <c r="G115" t="n">
        <v>32.088379</v>
      </c>
      <c r="H115" t="n">
        <v>31.569326</v>
      </c>
      <c r="I115" t="n">
        <v>31.384258</v>
      </c>
      <c r="J115" t="n">
        <v>31.229492</v>
      </c>
      <c r="K115" t="n">
        <v>30.823715</v>
      </c>
      <c r="L115" t="n">
        <v>30.66851</v>
      </c>
      <c r="M115" t="n">
        <v>30.685587</v>
      </c>
      <c r="N115" t="n">
        <v>30.612415</v>
      </c>
      <c r="O115" t="n">
        <v>30.656542</v>
      </c>
      <c r="P115" t="n">
        <v>30.729305</v>
      </c>
      <c r="Q115" t="n">
        <v>30.913994</v>
      </c>
      <c r="R115" t="n">
        <v>31.137394</v>
      </c>
      <c r="S115" t="n">
        <v>31.323463</v>
      </c>
      <c r="T115" t="n">
        <v>31.446892</v>
      </c>
      <c r="U115" t="n">
        <v>31.566862</v>
      </c>
      <c r="V115" t="n">
        <v>31.756975</v>
      </c>
      <c r="W115" t="n">
        <v>31.95862</v>
      </c>
      <c r="X115" t="n">
        <v>32.162956</v>
      </c>
      <c r="Y115" t="n">
        <v>32.391228</v>
      </c>
      <c r="Z115" t="n">
        <v>32.617863</v>
      </c>
      <c r="AA115" t="n">
        <v>32.84362</v>
      </c>
      <c r="AB115" t="n">
        <v>33.051979</v>
      </c>
      <c r="AC115" t="n">
        <v>33.190388</v>
      </c>
      <c r="AD115" t="n">
        <v>33.36935</v>
      </c>
      <c r="AE115" t="inlineStr">
        <is>
          <t>0.0%</t>
        </is>
      </c>
    </row>
    <row r="116">
      <c r="A116" t="inlineStr">
        <is>
          <t>Hydrogen-Related Losses</t>
        </is>
      </c>
      <c r="B116" t="inlineStr">
        <is>
          <t>Energy Use: Electric Power: Hydrogen Related Losses: Alternative Electricity and Transportation</t>
        </is>
      </c>
      <c r="C116" t="inlineStr">
        <is>
          <t>AEO.2026.ELECTRNP.CNSM_ENU_ELEP_NA_H2RELLOS_NA_NA_QBTU.A</t>
        </is>
      </c>
      <c r="D116" t="inlineStr">
        <is>
          <t>quads</t>
        </is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2e-06</v>
      </c>
      <c r="AD116" t="n">
        <v>2e-06</v>
      </c>
      <c r="AE116" t="inlineStr">
        <is>
          <t>- -</t>
        </is>
      </c>
    </row>
    <row r="117">
      <c r="A117" t="inlineStr">
        <is>
          <t>Total</t>
        </is>
      </c>
      <c r="B117" t="inlineStr">
        <is>
          <t>Energy Use: Electric Power: Total: Alternative Electricity and Transportation</t>
        </is>
      </c>
      <c r="C117" t="inlineStr">
        <is>
          <t>AEO.2026.ELECTRNP.CNSM_ENU_ELEP_NA_TOT_NA_NA_QBTU.A</t>
        </is>
      </c>
      <c r="D117" t="inlineStr">
        <is>
          <t>quads</t>
        </is>
      </c>
      <c r="E117" t="n">
        <v>32.96154</v>
      </c>
      <c r="F117" t="n">
        <v>33.697704</v>
      </c>
      <c r="G117" t="n">
        <v>32.088379</v>
      </c>
      <c r="H117" t="n">
        <v>31.569326</v>
      </c>
      <c r="I117" t="n">
        <v>31.384258</v>
      </c>
      <c r="J117" t="n">
        <v>31.229492</v>
      </c>
      <c r="K117" t="n">
        <v>30.823715</v>
      </c>
      <c r="L117" t="n">
        <v>30.66851</v>
      </c>
      <c r="M117" t="n">
        <v>30.685587</v>
      </c>
      <c r="N117" t="n">
        <v>30.612415</v>
      </c>
      <c r="O117" t="n">
        <v>30.656542</v>
      </c>
      <c r="P117" t="n">
        <v>30.729305</v>
      </c>
      <c r="Q117" t="n">
        <v>30.913994</v>
      </c>
      <c r="R117" t="n">
        <v>31.137394</v>
      </c>
      <c r="S117" t="n">
        <v>31.323463</v>
      </c>
      <c r="T117" t="n">
        <v>31.446892</v>
      </c>
      <c r="U117" t="n">
        <v>31.566862</v>
      </c>
      <c r="V117" t="n">
        <v>31.756975</v>
      </c>
      <c r="W117" t="n">
        <v>31.95862</v>
      </c>
      <c r="X117" t="n">
        <v>32.162956</v>
      </c>
      <c r="Y117" t="n">
        <v>32.391228</v>
      </c>
      <c r="Z117" t="n">
        <v>32.617863</v>
      </c>
      <c r="AA117" t="n">
        <v>32.84362</v>
      </c>
      <c r="AB117" t="n">
        <v>33.051979</v>
      </c>
      <c r="AC117" t="n">
        <v>33.190392</v>
      </c>
      <c r="AD117" t="n">
        <v>33.369354</v>
      </c>
      <c r="AE117" t="inlineStr">
        <is>
          <t>0.0%</t>
        </is>
      </c>
    </row>
    <row r="118">
      <c r="A118" t="inlineStr">
        <is>
          <t>Industrial: Hydrogen Production</t>
        </is>
      </c>
    </row>
    <row r="119">
      <c r="A119" t="inlineStr">
        <is>
          <t>Natural Gas</t>
        </is>
      </c>
      <c r="B119" t="inlineStr">
        <is>
          <t>Energy Use: Industrial: Hydrogen Production: Natural Gas: Alternative Electricity and Transportation</t>
        </is>
      </c>
      <c r="C119" t="inlineStr">
        <is>
          <t>AEO.2026.ELECTRNP.INDH2_ENU_TEN_NA_NGAS_NA_NA_QBTU.A</t>
        </is>
      </c>
      <c r="D119" t="inlineStr">
        <is>
          <t>quads</t>
        </is>
      </c>
      <c r="E119" t="n">
        <v>1.052703</v>
      </c>
      <c r="F119" t="n">
        <v>0.972878</v>
      </c>
      <c r="G119" t="n">
        <v>0.965849</v>
      </c>
      <c r="H119" t="n">
        <v>0.970576</v>
      </c>
      <c r="I119" t="n">
        <v>0.989773</v>
      </c>
      <c r="J119" t="n">
        <v>0.9863769999999999</v>
      </c>
      <c r="K119" t="n">
        <v>0.9705859999999999</v>
      </c>
      <c r="L119" t="n">
        <v>0.967189</v>
      </c>
      <c r="M119" t="n">
        <v>0.970868</v>
      </c>
      <c r="N119" t="n">
        <v>0.996409</v>
      </c>
      <c r="O119" t="n">
        <v>1.004413</v>
      </c>
      <c r="P119" t="n">
        <v>1.004673</v>
      </c>
      <c r="Q119" t="n">
        <v>1.024941</v>
      </c>
      <c r="R119" t="n">
        <v>1.033659</v>
      </c>
      <c r="S119" t="n">
        <v>1.040166</v>
      </c>
      <c r="T119" t="n">
        <v>1.03831</v>
      </c>
      <c r="U119" t="n">
        <v>1.041728</v>
      </c>
      <c r="V119" t="n">
        <v>1.043187</v>
      </c>
      <c r="W119" t="n">
        <v>1.051639</v>
      </c>
      <c r="X119" t="n">
        <v>1.077071</v>
      </c>
      <c r="Y119" t="n">
        <v>1.092677</v>
      </c>
      <c r="Z119" t="n">
        <v>1.097955</v>
      </c>
      <c r="AA119" t="n">
        <v>1.107665</v>
      </c>
      <c r="AB119" t="n">
        <v>1.112769</v>
      </c>
      <c r="AC119" t="n">
        <v>1.117026</v>
      </c>
      <c r="AD119" t="n">
        <v>1.121287</v>
      </c>
      <c r="AE119" t="inlineStr">
        <is>
          <t>0.3%</t>
        </is>
      </c>
    </row>
    <row r="120">
      <c r="A120" t="inlineStr">
        <is>
          <t>Purchased Electricity</t>
        </is>
      </c>
      <c r="B120" t="inlineStr">
        <is>
          <t>Energy Use: Industrial: Hydrogen Production: Purchased Electricity: Alternative Electricity and Transportation</t>
        </is>
      </c>
      <c r="C120" t="inlineStr">
        <is>
          <t>AEO.2026.ELECTRNP.INDH2_ENU_TEN_NA_PURCHELEC_NA_NA_QBTU.A</t>
        </is>
      </c>
      <c r="D120" t="inlineStr">
        <is>
          <t>quads</t>
        </is>
      </c>
      <c r="E120" t="n">
        <v>0.004232</v>
      </c>
      <c r="F120" t="n">
        <v>0.008701</v>
      </c>
      <c r="G120" t="n">
        <v>0.009063</v>
      </c>
      <c r="H120" t="n">
        <v>0.007734</v>
      </c>
      <c r="I120" t="n">
        <v>0.010198</v>
      </c>
      <c r="J120" t="n">
        <v>0.01061</v>
      </c>
      <c r="K120" t="n">
        <v>0.009538</v>
      </c>
      <c r="L120" t="n">
        <v>0.008913000000000001</v>
      </c>
      <c r="M120" t="n">
        <v>0.008893</v>
      </c>
      <c r="N120" t="n">
        <v>0.009013999999999999</v>
      </c>
      <c r="O120" t="n">
        <v>0.009089</v>
      </c>
      <c r="P120" t="n">
        <v>0.008562</v>
      </c>
      <c r="Q120" t="n">
        <v>0.007197</v>
      </c>
      <c r="R120" t="n">
        <v>0.005265</v>
      </c>
      <c r="S120" t="n">
        <v>0.005281</v>
      </c>
      <c r="T120" t="n">
        <v>0.005276</v>
      </c>
      <c r="U120" t="n">
        <v>0.00264</v>
      </c>
      <c r="V120" t="n">
        <v>0.002644</v>
      </c>
      <c r="W120" t="n">
        <v>0.002666</v>
      </c>
      <c r="X120" t="n">
        <v>0.00273</v>
      </c>
      <c r="Y120" t="n">
        <v>0.00277</v>
      </c>
      <c r="Z120" t="n">
        <v>0.002783</v>
      </c>
      <c r="AA120" t="n">
        <v>0.002808</v>
      </c>
      <c r="AB120" t="n">
        <v>0.00282</v>
      </c>
      <c r="AC120" t="n">
        <v>0.002831</v>
      </c>
      <c r="AD120" t="n">
        <v>0.002842</v>
      </c>
      <c r="AE120" t="inlineStr">
        <is>
          <t>-1.6%</t>
        </is>
      </c>
    </row>
    <row r="121">
      <c r="A121" t="inlineStr">
        <is>
          <t>Byproduct Hydrogen</t>
        </is>
      </c>
      <c r="B121" t="inlineStr">
        <is>
          <t>Energy Use: Alternative Electricity and Transportation</t>
        </is>
      </c>
      <c r="C121" t="inlineStr">
        <is>
          <t>AEO.2026.ELECTRNP.INDH2_ENU_TEN_NA_NA_NA_NA_NA.A</t>
        </is>
      </c>
      <c r="D121" t="inlineStr">
        <is>
          <t>quads</t>
        </is>
      </c>
      <c r="E121" t="n">
        <v>0.271885</v>
      </c>
      <c r="F121" t="n">
        <v>0.277033</v>
      </c>
      <c r="G121" t="n">
        <v>0.280171</v>
      </c>
      <c r="H121" t="n">
        <v>0.278806</v>
      </c>
      <c r="I121" t="n">
        <v>0.274321</v>
      </c>
      <c r="J121" t="n">
        <v>0.274384</v>
      </c>
      <c r="K121" t="n">
        <v>0.27545</v>
      </c>
      <c r="L121" t="n">
        <v>0.275836</v>
      </c>
      <c r="M121" t="n">
        <v>0.27796</v>
      </c>
      <c r="N121" t="n">
        <v>0.279312</v>
      </c>
      <c r="O121" t="n">
        <v>0.283083</v>
      </c>
      <c r="P121" t="n">
        <v>0.285696</v>
      </c>
      <c r="Q121" t="n">
        <v>0.286439</v>
      </c>
      <c r="R121" t="n">
        <v>0.289535</v>
      </c>
      <c r="S121" t="n">
        <v>0.292548</v>
      </c>
      <c r="T121" t="n">
        <v>0.295295</v>
      </c>
      <c r="U121" t="n">
        <v>0.299385</v>
      </c>
      <c r="V121" t="n">
        <v>0.303157</v>
      </c>
      <c r="W121" t="n">
        <v>0.306922</v>
      </c>
      <c r="X121" t="n">
        <v>0.30974</v>
      </c>
      <c r="Y121" t="n">
        <v>0.312859</v>
      </c>
      <c r="Z121" t="n">
        <v>0.31681</v>
      </c>
      <c r="AA121" t="n">
        <v>0.320986</v>
      </c>
      <c r="AB121" t="n">
        <v>0.32468</v>
      </c>
      <c r="AC121" t="n">
        <v>0.327309</v>
      </c>
      <c r="AD121" t="n">
        <v>0.330866</v>
      </c>
      <c r="AE121" t="inlineStr">
        <is>
          <t>0.8%</t>
        </is>
      </c>
    </row>
    <row r="122">
      <c r="A122" t="inlineStr">
        <is>
          <t>Total Energy</t>
        </is>
      </c>
      <c r="B122" t="inlineStr">
        <is>
          <t>Energy Use: Industrial: Hydrogen Production: Total Energy: Alternative Electricity and Transportation</t>
        </is>
      </c>
      <c r="C122" t="inlineStr">
        <is>
          <t>AEO.2026.ELECTRNP.INDH2_ENU_TEN_NA_TEN_NA_NA_QBTU.A</t>
        </is>
      </c>
      <c r="D122" t="inlineStr">
        <is>
          <t>quads</t>
        </is>
      </c>
      <c r="E122" t="n">
        <v>1.328821</v>
      </c>
      <c r="F122" t="n">
        <v>1.258612</v>
      </c>
      <c r="G122" t="n">
        <v>1.255083</v>
      </c>
      <c r="H122" t="n">
        <v>1.257116</v>
      </c>
      <c r="I122" t="n">
        <v>1.274292</v>
      </c>
      <c r="J122" t="n">
        <v>1.271371</v>
      </c>
      <c r="K122" t="n">
        <v>1.255574</v>
      </c>
      <c r="L122" t="n">
        <v>1.251938</v>
      </c>
      <c r="M122" t="n">
        <v>1.257721</v>
      </c>
      <c r="N122" t="n">
        <v>1.284734</v>
      </c>
      <c r="O122" t="n">
        <v>1.296585</v>
      </c>
      <c r="P122" t="n">
        <v>1.298931</v>
      </c>
      <c r="Q122" t="n">
        <v>1.318577</v>
      </c>
      <c r="R122" t="n">
        <v>1.328459</v>
      </c>
      <c r="S122" t="n">
        <v>1.337996</v>
      </c>
      <c r="T122" t="n">
        <v>1.338882</v>
      </c>
      <c r="U122" t="n">
        <v>1.343754</v>
      </c>
      <c r="V122" t="n">
        <v>1.348988</v>
      </c>
      <c r="W122" t="n">
        <v>1.361227</v>
      </c>
      <c r="X122" t="n">
        <v>1.389541</v>
      </c>
      <c r="Y122" t="n">
        <v>1.408305</v>
      </c>
      <c r="Z122" t="n">
        <v>1.417548</v>
      </c>
      <c r="AA122" t="n">
        <v>1.431458</v>
      </c>
      <c r="AB122" t="n">
        <v>1.44027</v>
      </c>
      <c r="AC122" t="n">
        <v>1.447167</v>
      </c>
      <c r="AD122" t="n">
        <v>1.454996</v>
      </c>
      <c r="AE122" t="inlineStr">
        <is>
          <t>0.4%</t>
        </is>
      </c>
    </row>
    <row r="123">
      <c r="A123" t="inlineStr">
        <is>
          <t>Electricity-Related Losses</t>
        </is>
      </c>
      <c r="B123" t="inlineStr">
        <is>
          <t>Energy Use: Industrial: Hydrogen Production: Electricity Related Losses: Alternative Electricity and Transportation</t>
        </is>
      </c>
      <c r="C123" t="inlineStr">
        <is>
          <t>AEO.2026.ELECTRNP.INDH2_ENU_TEN_NA_ELC_NA_NA_QBTU.A</t>
        </is>
      </c>
      <c r="D123" t="inlineStr">
        <is>
          <t>quads</t>
        </is>
      </c>
      <c r="E123" t="n">
        <v>0.005815</v>
      </c>
      <c r="F123" t="n">
        <v>0.011841</v>
      </c>
      <c r="G123" t="n">
        <v>0.011391</v>
      </c>
      <c r="H123" t="n">
        <v>0.009303000000000001</v>
      </c>
      <c r="I123" t="n">
        <v>0.01199</v>
      </c>
      <c r="J123" t="n">
        <v>0.012252</v>
      </c>
      <c r="K123" t="n">
        <v>0.010663</v>
      </c>
      <c r="L123" t="n">
        <v>0.009769999999999999</v>
      </c>
      <c r="M123" t="n">
        <v>0.009631000000000001</v>
      </c>
      <c r="N123" t="n">
        <v>0.009571</v>
      </c>
      <c r="O123" t="n">
        <v>0.009507</v>
      </c>
      <c r="P123" t="n">
        <v>0.008819</v>
      </c>
      <c r="Q123" t="n">
        <v>0.00734</v>
      </c>
      <c r="R123" t="n">
        <v>0.005329</v>
      </c>
      <c r="S123" t="n">
        <v>0.005295</v>
      </c>
      <c r="T123" t="n">
        <v>0.005228</v>
      </c>
      <c r="U123" t="n">
        <v>0.002585</v>
      </c>
      <c r="V123" t="n">
        <v>0.002571</v>
      </c>
      <c r="W123" t="n">
        <v>0.002577</v>
      </c>
      <c r="X123" t="n">
        <v>0.002625</v>
      </c>
      <c r="Y123" t="n">
        <v>0.00265</v>
      </c>
      <c r="Z123" t="n">
        <v>0.00265</v>
      </c>
      <c r="AA123" t="n">
        <v>0.002664</v>
      </c>
      <c r="AB123" t="n">
        <v>0.002666</v>
      </c>
      <c r="AC123" t="n">
        <v>0.002657</v>
      </c>
      <c r="AD123" t="n">
        <v>0.002656</v>
      </c>
      <c r="AE123" t="inlineStr">
        <is>
          <t>-3.1%</t>
        </is>
      </c>
    </row>
    <row r="124">
      <c r="A124" t="inlineStr">
        <is>
          <t>Total</t>
        </is>
      </c>
      <c r="B124" t="inlineStr">
        <is>
          <t>Energy Use: Industrial: Hydrogen Production: Total: Alternative Electricity and Transportation</t>
        </is>
      </c>
      <c r="C124" t="inlineStr">
        <is>
          <t>AEO.2026.ELECTRNP.INDH2_ENU_TEN_NA_TOT_NA_NA_QBTU.A</t>
        </is>
      </c>
      <c r="D124" t="inlineStr">
        <is>
          <t>quads</t>
        </is>
      </c>
      <c r="E124" t="n">
        <v>1.334636</v>
      </c>
      <c r="F124" t="n">
        <v>1.270453</v>
      </c>
      <c r="G124" t="n">
        <v>1.266474</v>
      </c>
      <c r="H124" t="n">
        <v>1.26642</v>
      </c>
      <c r="I124" t="n">
        <v>1.286282</v>
      </c>
      <c r="J124" t="n">
        <v>1.283624</v>
      </c>
      <c r="K124" t="n">
        <v>1.266236</v>
      </c>
      <c r="L124" t="n">
        <v>1.261708</v>
      </c>
      <c r="M124" t="n">
        <v>1.267351</v>
      </c>
      <c r="N124" t="n">
        <v>1.294306</v>
      </c>
      <c r="O124" t="n">
        <v>1.306092</v>
      </c>
      <c r="P124" t="n">
        <v>1.307749</v>
      </c>
      <c r="Q124" t="n">
        <v>1.325917</v>
      </c>
      <c r="R124" t="n">
        <v>1.333788</v>
      </c>
      <c r="S124" t="n">
        <v>1.343291</v>
      </c>
      <c r="T124" t="n">
        <v>1.344109</v>
      </c>
      <c r="U124" t="n">
        <v>1.346339</v>
      </c>
      <c r="V124" t="n">
        <v>1.351559</v>
      </c>
      <c r="W124" t="n">
        <v>1.363804</v>
      </c>
      <c r="X124" t="n">
        <v>1.392166</v>
      </c>
      <c r="Y124" t="n">
        <v>1.410955</v>
      </c>
      <c r="Z124" t="n">
        <v>1.420199</v>
      </c>
      <c r="AA124" t="n">
        <v>1.434122</v>
      </c>
      <c r="AB124" t="n">
        <v>1.442936</v>
      </c>
      <c r="AC124" t="n">
        <v>1.449823</v>
      </c>
      <c r="AD124" t="n">
        <v>1.457651</v>
      </c>
      <c r="AE124" t="inlineStr">
        <is>
          <t>0.4%</t>
        </is>
      </c>
    </row>
    <row r="125">
      <c r="A125" t="inlineStr">
        <is>
          <t>Total Energy Consumption</t>
        </is>
      </c>
    </row>
    <row r="126">
      <c r="A126" t="inlineStr">
        <is>
          <t>Liquefied Petroleum Gases and Other</t>
        </is>
      </c>
      <c r="B126" t="inlineStr">
        <is>
          <t>Energy Use: Total: Liquefied Petroleum Gases: Alternative Electricity and Transportation</t>
        </is>
      </c>
      <c r="C126" t="inlineStr">
        <is>
          <t>AEO.2026.ELECTRNP.CNSM_ENU_TEN_NA_LPG_NA_NA_QBTU.A</t>
        </is>
      </c>
      <c r="D126" t="inlineStr">
        <is>
          <t>quads</t>
        </is>
      </c>
      <c r="E126" t="n">
        <v>4.412717</v>
      </c>
      <c r="F126" t="n">
        <v>4.363256</v>
      </c>
      <c r="G126" t="n">
        <v>4.542447</v>
      </c>
      <c r="H126" t="n">
        <v>4.434274</v>
      </c>
      <c r="I126" t="n">
        <v>4.357844</v>
      </c>
      <c r="J126" t="n">
        <v>4.347216</v>
      </c>
      <c r="K126" t="n">
        <v>4.374463</v>
      </c>
      <c r="L126" t="n">
        <v>4.396647</v>
      </c>
      <c r="M126" t="n">
        <v>4.429306</v>
      </c>
      <c r="N126" t="n">
        <v>4.468367</v>
      </c>
      <c r="O126" t="n">
        <v>4.514799</v>
      </c>
      <c r="P126" t="n">
        <v>4.572637</v>
      </c>
      <c r="Q126" t="n">
        <v>4.618139</v>
      </c>
      <c r="R126" t="n">
        <v>4.66519</v>
      </c>
      <c r="S126" t="n">
        <v>4.743137</v>
      </c>
      <c r="T126" t="n">
        <v>4.812687</v>
      </c>
      <c r="U126" t="n">
        <v>4.889078</v>
      </c>
      <c r="V126" t="n">
        <v>4.978583</v>
      </c>
      <c r="W126" t="n">
        <v>5.061882</v>
      </c>
      <c r="X126" t="n">
        <v>5.146407</v>
      </c>
      <c r="Y126" t="n">
        <v>5.238511</v>
      </c>
      <c r="Z126" t="n">
        <v>5.331482</v>
      </c>
      <c r="AA126" t="n">
        <v>5.433529</v>
      </c>
      <c r="AB126" t="n">
        <v>5.523942</v>
      </c>
      <c r="AC126" t="n">
        <v>5.588309</v>
      </c>
      <c r="AD126" t="n">
        <v>5.677113</v>
      </c>
      <c r="AE126" t="inlineStr">
        <is>
          <t>1.0%</t>
        </is>
      </c>
    </row>
    <row r="127">
      <c r="A127" t="inlineStr">
        <is>
          <t>Motor Gasoline</t>
        </is>
      </c>
      <c r="B127" t="inlineStr">
        <is>
          <t>Energy Use: Total: Motor Gasoline: Alternative Electricity and Transportation</t>
        </is>
      </c>
      <c r="C127" t="inlineStr">
        <is>
          <t>AEO.2026.ELECTRNP.CNSM_ENU_TEN_NA_MGS_NA_NA_QBTU.A</t>
        </is>
      </c>
      <c r="D127" t="inlineStr">
        <is>
          <t>quads</t>
        </is>
      </c>
      <c r="E127" t="n">
        <v>16.463058</v>
      </c>
      <c r="F127" t="n">
        <v>16.388361</v>
      </c>
      <c r="G127" t="n">
        <v>16.24544</v>
      </c>
      <c r="H127" t="n">
        <v>16.049076</v>
      </c>
      <c r="I127" t="n">
        <v>15.818044</v>
      </c>
      <c r="J127" t="n">
        <v>15.579481</v>
      </c>
      <c r="K127" t="n">
        <v>15.350713</v>
      </c>
      <c r="L127" t="n">
        <v>15.160145</v>
      </c>
      <c r="M127" t="n">
        <v>14.95941</v>
      </c>
      <c r="N127" t="n">
        <v>14.832905</v>
      </c>
      <c r="O127" t="n">
        <v>14.69575</v>
      </c>
      <c r="P127" t="n">
        <v>14.529889</v>
      </c>
      <c r="Q127" t="n">
        <v>14.365158</v>
      </c>
      <c r="R127" t="n">
        <v>14.227191</v>
      </c>
      <c r="S127" t="n">
        <v>14.093845</v>
      </c>
      <c r="T127" t="n">
        <v>13.988489</v>
      </c>
      <c r="U127" t="n">
        <v>13.891426</v>
      </c>
      <c r="V127" t="n">
        <v>13.771574</v>
      </c>
      <c r="W127" t="n">
        <v>13.689218</v>
      </c>
      <c r="X127" t="n">
        <v>13.594233</v>
      </c>
      <c r="Y127" t="n">
        <v>13.511969</v>
      </c>
      <c r="Z127" t="n">
        <v>13.418295</v>
      </c>
      <c r="AA127" t="n">
        <v>13.340791</v>
      </c>
      <c r="AB127" t="n">
        <v>13.231429</v>
      </c>
      <c r="AC127" t="n">
        <v>13.119942</v>
      </c>
      <c r="AD127" t="n">
        <v>13.038264</v>
      </c>
      <c r="AE127" t="inlineStr">
        <is>
          <t>-0.9%</t>
        </is>
      </c>
    </row>
    <row r="128">
      <c r="A128" t="inlineStr">
        <is>
          <t>of which: E85</t>
        </is>
      </c>
      <c r="B128" t="inlineStr">
        <is>
          <t>Energy Use: Total: E85: Alternative Electricity and Transportation</t>
        </is>
      </c>
      <c r="C128" t="inlineStr">
        <is>
          <t>AEO.2026.ELECTRNP.CNSM_ENU_TEN_NA_E85_NA_NA_QBTU.A</t>
        </is>
      </c>
      <c r="D128" t="inlineStr">
        <is>
          <t>quads</t>
        </is>
      </c>
      <c r="E128" t="n">
        <v>0.039571</v>
      </c>
      <c r="F128" t="n">
        <v>0.031597</v>
      </c>
      <c r="G128" t="n">
        <v>0.029975</v>
      </c>
      <c r="H128" t="n">
        <v>0.028061</v>
      </c>
      <c r="I128" t="n">
        <v>0.025794</v>
      </c>
      <c r="J128" t="n">
        <v>0.026779</v>
      </c>
      <c r="K128" t="n">
        <v>0.022985</v>
      </c>
      <c r="L128" t="n">
        <v>0.021014</v>
      </c>
      <c r="M128" t="n">
        <v>0.019146</v>
      </c>
      <c r="N128" t="n">
        <v>0.017756</v>
      </c>
      <c r="O128" t="n">
        <v>0.015966</v>
      </c>
      <c r="P128" t="n">
        <v>0.01446</v>
      </c>
      <c r="Q128" t="n">
        <v>0.012975</v>
      </c>
      <c r="R128" t="n">
        <v>0.011777</v>
      </c>
      <c r="S128" t="n">
        <v>0.010739</v>
      </c>
      <c r="T128" t="n">
        <v>0.009934</v>
      </c>
      <c r="U128" t="n">
        <v>0.009025</v>
      </c>
      <c r="V128" t="n">
        <v>0.008495000000000001</v>
      </c>
      <c r="W128" t="n">
        <v>0.007977</v>
      </c>
      <c r="X128" t="n">
        <v>0.007621</v>
      </c>
      <c r="Y128" t="n">
        <v>0.0069</v>
      </c>
      <c r="Z128" t="n">
        <v>0.00664</v>
      </c>
      <c r="AA128" t="n">
        <v>0.00658</v>
      </c>
      <c r="AB128" t="n">
        <v>0.006774</v>
      </c>
      <c r="AC128" t="n">
        <v>0.006276</v>
      </c>
      <c r="AD128" t="n">
        <v>0.005978</v>
      </c>
      <c r="AE128" t="inlineStr">
        <is>
          <t>-7.3%</t>
        </is>
      </c>
    </row>
    <row r="129">
      <c r="A129" t="inlineStr">
        <is>
          <t>Jet Fuel</t>
        </is>
      </c>
      <c r="B129" t="inlineStr">
        <is>
          <t>Energy Use: Total: Jet Fuel: Alternative Electricity and Transportation</t>
        </is>
      </c>
      <c r="C129" t="inlineStr">
        <is>
          <t>AEO.2026.ELECTRNP.CNSM_ENU_TEN_NA_JFL_NA_NA_QBTU.A</t>
        </is>
      </c>
      <c r="D129" t="inlineStr">
        <is>
          <t>quads</t>
        </is>
      </c>
      <c r="E129" t="n">
        <v>3.557093</v>
      </c>
      <c r="F129" t="n">
        <v>3.608027</v>
      </c>
      <c r="G129" t="n">
        <v>3.627769</v>
      </c>
      <c r="H129" t="n">
        <v>3.624877</v>
      </c>
      <c r="I129" t="n">
        <v>3.638196</v>
      </c>
      <c r="J129" t="n">
        <v>3.662257</v>
      </c>
      <c r="K129" t="n">
        <v>3.684337</v>
      </c>
      <c r="L129" t="n">
        <v>3.716255</v>
      </c>
      <c r="M129" t="n">
        <v>3.750722</v>
      </c>
      <c r="N129" t="n">
        <v>3.792531</v>
      </c>
      <c r="O129" t="n">
        <v>3.842687</v>
      </c>
      <c r="P129" t="n">
        <v>3.878021</v>
      </c>
      <c r="Q129" t="n">
        <v>3.916799</v>
      </c>
      <c r="R129" t="n">
        <v>3.953958</v>
      </c>
      <c r="S129" t="n">
        <v>3.989694</v>
      </c>
      <c r="T129" t="n">
        <v>4.025865</v>
      </c>
      <c r="U129" t="n">
        <v>4.057531</v>
      </c>
      <c r="V129" t="n">
        <v>4.092217</v>
      </c>
      <c r="W129" t="n">
        <v>4.128225</v>
      </c>
      <c r="X129" t="n">
        <v>4.163147</v>
      </c>
      <c r="Y129" t="n">
        <v>4.197931</v>
      </c>
      <c r="Z129" t="n">
        <v>4.228963</v>
      </c>
      <c r="AA129" t="n">
        <v>4.25522</v>
      </c>
      <c r="AB129" t="n">
        <v>4.281323</v>
      </c>
      <c r="AC129" t="n">
        <v>4.303166</v>
      </c>
      <c r="AD129" t="n">
        <v>4.326766</v>
      </c>
      <c r="AE129" t="inlineStr">
        <is>
          <t>0.8%</t>
        </is>
      </c>
    </row>
    <row r="130">
      <c r="A130" t="inlineStr">
        <is>
          <t>Kerosene</t>
        </is>
      </c>
      <c r="B130" t="inlineStr">
        <is>
          <t>Energy Use: Total: Kerosene: Alternative Electricity and Transportation</t>
        </is>
      </c>
      <c r="C130" t="inlineStr">
        <is>
          <t>AEO.2026.ELECTRNP.CNSM_ENU_TEN_NA_KRS_NA_NA_QBTU.A</t>
        </is>
      </c>
      <c r="D130" t="inlineStr">
        <is>
          <t>quads</t>
        </is>
      </c>
      <c r="E130" t="n">
        <v>0.006868</v>
      </c>
      <c r="F130" t="n">
        <v>0.007938000000000001</v>
      </c>
      <c r="G130" t="n">
        <v>0.007965</v>
      </c>
      <c r="H130" t="n">
        <v>0.007613</v>
      </c>
      <c r="I130" t="n">
        <v>0.007334</v>
      </c>
      <c r="J130" t="n">
        <v>0.007643</v>
      </c>
      <c r="K130" t="n">
        <v>0.00721</v>
      </c>
      <c r="L130" t="n">
        <v>0.00701</v>
      </c>
      <c r="M130" t="n">
        <v>0.006598</v>
      </c>
      <c r="N130" t="n">
        <v>0.006516</v>
      </c>
      <c r="O130" t="n">
        <v>0.006236</v>
      </c>
      <c r="P130" t="n">
        <v>0.006176</v>
      </c>
      <c r="Q130" t="n">
        <v>0.006013</v>
      </c>
      <c r="R130" t="n">
        <v>0.005875</v>
      </c>
      <c r="S130" t="n">
        <v>0.005834</v>
      </c>
      <c r="T130" t="n">
        <v>0.005759</v>
      </c>
      <c r="U130" t="n">
        <v>0.005621</v>
      </c>
      <c r="V130" t="n">
        <v>0.005537</v>
      </c>
      <c r="W130" t="n">
        <v>0.005441</v>
      </c>
      <c r="X130" t="n">
        <v>0.00535</v>
      </c>
      <c r="Y130" t="n">
        <v>0.005217</v>
      </c>
      <c r="Z130" t="n">
        <v>0.005133</v>
      </c>
      <c r="AA130" t="n">
        <v>0.005028</v>
      </c>
      <c r="AB130" t="n">
        <v>0.004964</v>
      </c>
      <c r="AC130" t="n">
        <v>0.004921</v>
      </c>
      <c r="AD130" t="n">
        <v>0.004898</v>
      </c>
      <c r="AE130" t="inlineStr">
        <is>
          <t>-1.3%</t>
        </is>
      </c>
    </row>
    <row r="131">
      <c r="A131" t="inlineStr">
        <is>
          <t>Distillate Fuel Oil</t>
        </is>
      </c>
      <c r="B131" t="inlineStr">
        <is>
          <t>Energy Use: Total: Distillate Fuel Oil: Alternative Electricity and Transportation</t>
        </is>
      </c>
      <c r="C131" t="inlineStr">
        <is>
          <t>AEO.2026.ELECTRNP.CNSM_ENU_TEN_NA_DFO_NA_NA_QBTU.A</t>
        </is>
      </c>
      <c r="D131" t="inlineStr">
        <is>
          <t>quads</t>
        </is>
      </c>
      <c r="E131" t="n">
        <v>8.720489000000001</v>
      </c>
      <c r="F131" t="n">
        <v>8.858109000000001</v>
      </c>
      <c r="G131" t="n">
        <v>8.840901000000001</v>
      </c>
      <c r="H131" t="n">
        <v>8.794123000000001</v>
      </c>
      <c r="I131" t="n">
        <v>8.765088</v>
      </c>
      <c r="J131" t="n">
        <v>8.765523999999999</v>
      </c>
      <c r="K131" t="n">
        <v>8.724569000000001</v>
      </c>
      <c r="L131" t="n">
        <v>8.698848</v>
      </c>
      <c r="M131" t="n">
        <v>8.650492</v>
      </c>
      <c r="N131" t="n">
        <v>8.613553</v>
      </c>
      <c r="O131" t="n">
        <v>8.584664999999999</v>
      </c>
      <c r="P131" t="n">
        <v>8.554456</v>
      </c>
      <c r="Q131" t="n">
        <v>8.52852</v>
      </c>
      <c r="R131" t="n">
        <v>8.50104</v>
      </c>
      <c r="S131" t="n">
        <v>8.476196</v>
      </c>
      <c r="T131" t="n">
        <v>8.4549</v>
      </c>
      <c r="U131" t="n">
        <v>8.430106</v>
      </c>
      <c r="V131" t="n">
        <v>8.403872</v>
      </c>
      <c r="W131" t="n">
        <v>8.37641</v>
      </c>
      <c r="X131" t="n">
        <v>8.352313000000001</v>
      </c>
      <c r="Y131" t="n">
        <v>8.340138</v>
      </c>
      <c r="Z131" t="n">
        <v>8.334327999999999</v>
      </c>
      <c r="AA131" t="n">
        <v>8.331975</v>
      </c>
      <c r="AB131" t="n">
        <v>8.319151</v>
      </c>
      <c r="AC131" t="n">
        <v>8.303326</v>
      </c>
      <c r="AD131" t="n">
        <v>8.287324</v>
      </c>
      <c r="AE131" t="inlineStr">
        <is>
          <t>-0.2%</t>
        </is>
      </c>
    </row>
    <row r="132">
      <c r="A132" t="inlineStr">
        <is>
          <t>Residual Fuel Oil</t>
        </is>
      </c>
      <c r="B132" t="inlineStr">
        <is>
          <t>Energy Use: Total: Residual Fuel Oil: Alternative Electricity and Transportation</t>
        </is>
      </c>
      <c r="C132" t="inlineStr">
        <is>
          <t>AEO.2026.ELECTRNP.CNSM_ENU_TEN_NA_RFO_NA_NA_QBTU.A</t>
        </is>
      </c>
      <c r="D132" t="inlineStr">
        <is>
          <t>quads</t>
        </is>
      </c>
      <c r="E132" t="n">
        <v>0.662219</v>
      </c>
      <c r="F132" t="n">
        <v>0.642517</v>
      </c>
      <c r="G132" t="n">
        <v>0.649382</v>
      </c>
      <c r="H132" t="n">
        <v>0.665861</v>
      </c>
      <c r="I132" t="n">
        <v>0.668679</v>
      </c>
      <c r="J132" t="n">
        <v>0.6750890000000001</v>
      </c>
      <c r="K132" t="n">
        <v>0.674475</v>
      </c>
      <c r="L132" t="n">
        <v>0.680553</v>
      </c>
      <c r="M132" t="n">
        <v>0.687804</v>
      </c>
      <c r="N132" t="n">
        <v>0.695646</v>
      </c>
      <c r="O132" t="n">
        <v>0.701916</v>
      </c>
      <c r="P132" t="n">
        <v>0.7082000000000001</v>
      </c>
      <c r="Q132" t="n">
        <v>0.7120339999999999</v>
      </c>
      <c r="R132" t="n">
        <v>0.715952</v>
      </c>
      <c r="S132" t="n">
        <v>0.719356</v>
      </c>
      <c r="T132" t="n">
        <v>0.721488</v>
      </c>
      <c r="U132" t="n">
        <v>0.721081</v>
      </c>
      <c r="V132" t="n">
        <v>0.7233579999999999</v>
      </c>
      <c r="W132" t="n">
        <v>0.725725</v>
      </c>
      <c r="X132" t="n">
        <v>0.7275700000000001</v>
      </c>
      <c r="Y132" t="n">
        <v>0.730223</v>
      </c>
      <c r="Z132" t="n">
        <v>0.736546</v>
      </c>
      <c r="AA132" t="n">
        <v>0.742564</v>
      </c>
      <c r="AB132" t="n">
        <v>0.748223</v>
      </c>
      <c r="AC132" t="n">
        <v>0.75439</v>
      </c>
      <c r="AD132" t="n">
        <v>0.761199</v>
      </c>
      <c r="AE132" t="inlineStr">
        <is>
          <t>0.6%</t>
        </is>
      </c>
    </row>
    <row r="133">
      <c r="A133" t="inlineStr">
        <is>
          <t>Petrochemical Feedstocks</t>
        </is>
      </c>
      <c r="B133" t="inlineStr">
        <is>
          <t>Energy Use: Total: Petrochemical Feedstocks: Alternative Electricity and Transportation</t>
        </is>
      </c>
      <c r="C133" t="inlineStr">
        <is>
          <t>AEO.2026.ELECTRNP.CNSM_ENU_TEN_NA_PCF_NA_NA_QBTU.A</t>
        </is>
      </c>
      <c r="D133" t="inlineStr">
        <is>
          <t>quads</t>
        </is>
      </c>
      <c r="E133" t="n">
        <v>0.412934</v>
      </c>
      <c r="F133" t="n">
        <v>0.338138</v>
      </c>
      <c r="G133" t="n">
        <v>0.3482</v>
      </c>
      <c r="H133" t="n">
        <v>0.55</v>
      </c>
      <c r="I133" t="n">
        <v>0.55</v>
      </c>
      <c r="J133" t="n">
        <v>0.55</v>
      </c>
      <c r="K133" t="n">
        <v>0.55</v>
      </c>
      <c r="L133" t="n">
        <v>0.55</v>
      </c>
      <c r="M133" t="n">
        <v>0.55</v>
      </c>
      <c r="N133" t="n">
        <v>0.55</v>
      </c>
      <c r="O133" t="n">
        <v>0.55</v>
      </c>
      <c r="P133" t="n">
        <v>0.55</v>
      </c>
      <c r="Q133" t="n">
        <v>0.55</v>
      </c>
      <c r="R133" t="n">
        <v>0.55</v>
      </c>
      <c r="S133" t="n">
        <v>0.55</v>
      </c>
      <c r="T133" t="n">
        <v>0.55</v>
      </c>
      <c r="U133" t="n">
        <v>0.55</v>
      </c>
      <c r="V133" t="n">
        <v>0.55</v>
      </c>
      <c r="W133" t="n">
        <v>0.55</v>
      </c>
      <c r="X133" t="n">
        <v>0.55</v>
      </c>
      <c r="Y133" t="n">
        <v>0.55</v>
      </c>
      <c r="Z133" t="n">
        <v>0.55</v>
      </c>
      <c r="AA133" t="n">
        <v>0.55</v>
      </c>
      <c r="AB133" t="n">
        <v>0.55</v>
      </c>
      <c r="AC133" t="n">
        <v>0.55</v>
      </c>
      <c r="AD133" t="n">
        <v>0.55</v>
      </c>
      <c r="AE133" t="inlineStr">
        <is>
          <t>1.2%</t>
        </is>
      </c>
    </row>
    <row r="134">
      <c r="A134" t="inlineStr">
        <is>
          <t>Other Petroleum</t>
        </is>
      </c>
      <c r="B134" t="inlineStr">
        <is>
          <t>Energy Use: Total: Other Petroleum: Alternative Electricity and Transportation</t>
        </is>
      </c>
      <c r="C134" t="inlineStr">
        <is>
          <t>AEO.2026.ELECTRNP.CNSM_ENU_TEN_NA_ONP_NA_NA_QBTU.A</t>
        </is>
      </c>
      <c r="D134" t="inlineStr">
        <is>
          <t>quads</t>
        </is>
      </c>
      <c r="E134" t="n">
        <v>3.179936</v>
      </c>
      <c r="F134" t="n">
        <v>3.19121</v>
      </c>
      <c r="G134" t="n">
        <v>3.167704</v>
      </c>
      <c r="H134" t="n">
        <v>3.26728</v>
      </c>
      <c r="I134" t="n">
        <v>3.287591</v>
      </c>
      <c r="J134" t="n">
        <v>3.316553</v>
      </c>
      <c r="K134" t="n">
        <v>3.307412</v>
      </c>
      <c r="L134" t="n">
        <v>3.3359</v>
      </c>
      <c r="M134" t="n">
        <v>3.352306</v>
      </c>
      <c r="N134" t="n">
        <v>3.368262</v>
      </c>
      <c r="O134" t="n">
        <v>3.373514</v>
      </c>
      <c r="P134" t="n">
        <v>3.38396</v>
      </c>
      <c r="Q134" t="n">
        <v>3.404499</v>
      </c>
      <c r="R134" t="n">
        <v>3.411421</v>
      </c>
      <c r="S134" t="n">
        <v>3.418971</v>
      </c>
      <c r="T134" t="n">
        <v>3.43832</v>
      </c>
      <c r="U134" t="n">
        <v>3.449108</v>
      </c>
      <c r="V134" t="n">
        <v>3.457932</v>
      </c>
      <c r="W134" t="n">
        <v>3.4672</v>
      </c>
      <c r="X134" t="n">
        <v>3.470064</v>
      </c>
      <c r="Y134" t="n">
        <v>3.476701</v>
      </c>
      <c r="Z134" t="n">
        <v>3.461695</v>
      </c>
      <c r="AA134" t="n">
        <v>3.482613</v>
      </c>
      <c r="AB134" t="n">
        <v>3.472592</v>
      </c>
      <c r="AC134" t="n">
        <v>3.48259</v>
      </c>
      <c r="AD134" t="n">
        <v>3.46885</v>
      </c>
      <c r="AE134" t="inlineStr">
        <is>
          <t>0.3%</t>
        </is>
      </c>
    </row>
    <row r="135">
      <c r="A135" t="inlineStr">
        <is>
          <t>Petroleum and Other Liquids Subtotal</t>
        </is>
      </c>
      <c r="B135" t="inlineStr">
        <is>
          <t>Energy Use: Total: Liquid Fuels Subtotal: Alternative Electricity and Transportation</t>
        </is>
      </c>
      <c r="C135" t="inlineStr">
        <is>
          <t>AEO.2026.ELECTRNP.CNSM_ENU_TEN_NA_LFL_NA_NA_QBTU.A</t>
        </is>
      </c>
      <c r="D135" t="inlineStr">
        <is>
          <t>quads</t>
        </is>
      </c>
      <c r="E135" t="n">
        <v>37.415314</v>
      </c>
      <c r="F135" t="n">
        <v>37.39756</v>
      </c>
      <c r="G135" t="n">
        <v>37.42981</v>
      </c>
      <c r="H135" t="n">
        <v>37.393101</v>
      </c>
      <c r="I135" t="n">
        <v>37.092773</v>
      </c>
      <c r="J135" t="n">
        <v>36.903763</v>
      </c>
      <c r="K135" t="n">
        <v>36.673176</v>
      </c>
      <c r="L135" t="n">
        <v>36.545357</v>
      </c>
      <c r="M135" t="n">
        <v>36.386639</v>
      </c>
      <c r="N135" t="n">
        <v>36.327778</v>
      </c>
      <c r="O135" t="n">
        <v>36.269569</v>
      </c>
      <c r="P135" t="n">
        <v>36.183334</v>
      </c>
      <c r="Q135" t="n">
        <v>36.101158</v>
      </c>
      <c r="R135" t="n">
        <v>36.030621</v>
      </c>
      <c r="S135" t="n">
        <v>35.997036</v>
      </c>
      <c r="T135" t="n">
        <v>35.997505</v>
      </c>
      <c r="U135" t="n">
        <v>35.99395</v>
      </c>
      <c r="V135" t="n">
        <v>35.98307</v>
      </c>
      <c r="W135" t="n">
        <v>36.004097</v>
      </c>
      <c r="X135" t="n">
        <v>36.009083</v>
      </c>
      <c r="Y135" t="n">
        <v>36.050686</v>
      </c>
      <c r="Z135" t="n">
        <v>36.066437</v>
      </c>
      <c r="AA135" t="n">
        <v>36.14172</v>
      </c>
      <c r="AB135" t="n">
        <v>36.131622</v>
      </c>
      <c r="AC135" t="n">
        <v>36.106644</v>
      </c>
      <c r="AD135" t="n">
        <v>36.114414</v>
      </c>
      <c r="AE135" t="inlineStr">
        <is>
          <t>-0.1%</t>
        </is>
      </c>
    </row>
    <row r="136">
      <c r="A136" t="inlineStr">
        <is>
          <t>Natural Gas</t>
        </is>
      </c>
      <c r="B136" t="inlineStr">
        <is>
          <t>Energy Use: Total: Natural Gas: Alternative Electricity and Transportation</t>
        </is>
      </c>
      <c r="C136" t="inlineStr">
        <is>
          <t>AEO.2026.ELECTRNP.CNSM_ENU_TEN_NA_NG_NA_NA_QBTU.A</t>
        </is>
      </c>
      <c r="D136" t="inlineStr">
        <is>
          <t>quads</t>
        </is>
      </c>
      <c r="E136" t="n">
        <v>30.849943</v>
      </c>
      <c r="F136" t="n">
        <v>30.945616</v>
      </c>
      <c r="G136" t="n">
        <v>29.307245</v>
      </c>
      <c r="H136" t="n">
        <v>29.026646</v>
      </c>
      <c r="I136" t="n">
        <v>28.65262</v>
      </c>
      <c r="J136" t="n">
        <v>28.235329</v>
      </c>
      <c r="K136" t="n">
        <v>28.564743</v>
      </c>
      <c r="L136" t="n">
        <v>28.661512</v>
      </c>
      <c r="M136" t="n">
        <v>28.658428</v>
      </c>
      <c r="N136" t="n">
        <v>28.664513</v>
      </c>
      <c r="O136" t="n">
        <v>28.51923</v>
      </c>
      <c r="P136" t="n">
        <v>28.439095</v>
      </c>
      <c r="Q136" t="n">
        <v>28.527464</v>
      </c>
      <c r="R136" t="n">
        <v>28.627134</v>
      </c>
      <c r="S136" t="n">
        <v>28.708372</v>
      </c>
      <c r="T136" t="n">
        <v>28.890005</v>
      </c>
      <c r="U136" t="n">
        <v>29.026108</v>
      </c>
      <c r="V136" t="n">
        <v>29.30624</v>
      </c>
      <c r="W136" t="n">
        <v>29.684916</v>
      </c>
      <c r="X136" t="n">
        <v>30.037401</v>
      </c>
      <c r="Y136" t="n">
        <v>30.397709</v>
      </c>
      <c r="Z136" t="n">
        <v>30.734541</v>
      </c>
      <c r="AA136" t="n">
        <v>30.994888</v>
      </c>
      <c r="AB136" t="n">
        <v>31.240032</v>
      </c>
      <c r="AC136" t="n">
        <v>31.50662</v>
      </c>
      <c r="AD136" t="n">
        <v>31.719025</v>
      </c>
      <c r="AE136" t="inlineStr">
        <is>
          <t>0.1%</t>
        </is>
      </c>
    </row>
    <row r="137">
      <c r="A137" t="inlineStr">
        <is>
          <t>Lease and Plant Fuel</t>
        </is>
      </c>
      <c r="B137" t="inlineStr">
        <is>
          <t>Energy Use: Total: Lease and Plant Fuel: Alternative Electricity and Transportation</t>
        </is>
      </c>
      <c r="C137" t="inlineStr">
        <is>
          <t>AEO.2026.ELECTRNP.CNSM_ENU_TEN_NA_LSAPFL_NA_NA_QBTU.A</t>
        </is>
      </c>
      <c r="D137" t="inlineStr">
        <is>
          <t>quads</t>
        </is>
      </c>
      <c r="E137" t="n">
        <v>2.136239</v>
      </c>
      <c r="F137" t="n">
        <v>2.128485</v>
      </c>
      <c r="G137" t="n">
        <v>2.16034</v>
      </c>
      <c r="H137" t="n">
        <v>2.165232</v>
      </c>
      <c r="I137" t="n">
        <v>2.162156</v>
      </c>
      <c r="J137" t="n">
        <v>2.203182</v>
      </c>
      <c r="K137" t="n">
        <v>2.264353</v>
      </c>
      <c r="L137" t="n">
        <v>2.334959</v>
      </c>
      <c r="M137" t="n">
        <v>2.395234</v>
      </c>
      <c r="N137" t="n">
        <v>2.452581</v>
      </c>
      <c r="O137" t="n">
        <v>2.473735</v>
      </c>
      <c r="P137" t="n">
        <v>2.482664</v>
      </c>
      <c r="Q137" t="n">
        <v>2.492755</v>
      </c>
      <c r="R137" t="n">
        <v>2.506868</v>
      </c>
      <c r="S137" t="n">
        <v>2.524662</v>
      </c>
      <c r="T137" t="n">
        <v>2.567465</v>
      </c>
      <c r="U137" t="n">
        <v>2.601775</v>
      </c>
      <c r="V137" t="n">
        <v>2.630552</v>
      </c>
      <c r="W137" t="n">
        <v>2.644943</v>
      </c>
      <c r="X137" t="n">
        <v>2.647805</v>
      </c>
      <c r="Y137" t="n">
        <v>2.645955</v>
      </c>
      <c r="Z137" t="n">
        <v>2.656424</v>
      </c>
      <c r="AA137" t="n">
        <v>2.673549</v>
      </c>
      <c r="AB137" t="n">
        <v>2.689496</v>
      </c>
      <c r="AC137" t="n">
        <v>2.689622</v>
      </c>
      <c r="AD137" t="n">
        <v>2.684877</v>
      </c>
      <c r="AE137" t="inlineStr">
        <is>
          <t>0.9%</t>
        </is>
      </c>
    </row>
    <row r="138">
      <c r="A138" t="inlineStr">
        <is>
          <t>Natural Gas to Liquefy Gas for Export</t>
        </is>
      </c>
      <c r="B138" t="inlineStr">
        <is>
          <t>Energy Use: Total: Liquefaction: Alternative Electricity and Transportation</t>
        </is>
      </c>
      <c r="C138" t="inlineStr">
        <is>
          <t>AEO.2026.ELECTRNP.CNSM_ENU_TEN_NA_LQFCT_NA_NA_QBTU.A</t>
        </is>
      </c>
      <c r="D138" t="inlineStr">
        <is>
          <t>quads</t>
        </is>
      </c>
      <c r="E138" t="n">
        <v>0.59071</v>
      </c>
      <c r="F138" t="n">
        <v>0.589921</v>
      </c>
      <c r="G138" t="n">
        <v>0.673663</v>
      </c>
      <c r="H138" t="n">
        <v>0.72236</v>
      </c>
      <c r="I138" t="n">
        <v>0.770132</v>
      </c>
      <c r="J138" t="n">
        <v>0.911097</v>
      </c>
      <c r="K138" t="n">
        <v>0.97537</v>
      </c>
      <c r="L138" t="n">
        <v>1.036748</v>
      </c>
      <c r="M138" t="n">
        <v>1.082817</v>
      </c>
      <c r="N138" t="n">
        <v>1.159013</v>
      </c>
      <c r="O138" t="n">
        <v>1.212579</v>
      </c>
      <c r="P138" t="n">
        <v>1.254067</v>
      </c>
      <c r="Q138" t="n">
        <v>1.275981</v>
      </c>
      <c r="R138" t="n">
        <v>1.297406</v>
      </c>
      <c r="S138" t="n">
        <v>1.319519</v>
      </c>
      <c r="T138" t="n">
        <v>1.3404</v>
      </c>
      <c r="U138" t="n">
        <v>1.363284</v>
      </c>
      <c r="V138" t="n">
        <v>1.38506</v>
      </c>
      <c r="W138" t="n">
        <v>1.406836</v>
      </c>
      <c r="X138" t="n">
        <v>1.431363</v>
      </c>
      <c r="Y138" t="n">
        <v>1.450388</v>
      </c>
      <c r="Z138" t="n">
        <v>1.472164</v>
      </c>
      <c r="AA138" t="n">
        <v>1.49394</v>
      </c>
      <c r="AB138" t="n">
        <v>1.507578</v>
      </c>
      <c r="AC138" t="n">
        <v>1.504828</v>
      </c>
      <c r="AD138" t="n">
        <v>1.504828</v>
      </c>
      <c r="AE138" t="inlineStr">
        <is>
          <t>3.8%</t>
        </is>
      </c>
    </row>
    <row r="139">
      <c r="A139" t="inlineStr">
        <is>
          <t>Pipeline and Distribution Fuel Natural Gas</t>
        </is>
      </c>
      <c r="B139" t="inlineStr">
        <is>
          <t>Energy Use: Total: Pipeline Natural Gas: Alternative Electricity and Transportation</t>
        </is>
      </c>
      <c r="C139" t="inlineStr">
        <is>
          <t>AEO.2026.ELECTRNP.CNSM_ENU_TEN_NA_PPN_NA_NA_QBTU.A</t>
        </is>
      </c>
      <c r="D139" t="inlineStr">
        <is>
          <t>quads</t>
        </is>
      </c>
      <c r="E139" t="n">
        <v>0.734602</v>
      </c>
      <c r="F139" t="n">
        <v>0.681256</v>
      </c>
      <c r="G139" t="n">
        <v>0.684287</v>
      </c>
      <c r="H139" t="n">
        <v>0.67399</v>
      </c>
      <c r="I139" t="n">
        <v>0.6834170000000001</v>
      </c>
      <c r="J139" t="n">
        <v>0.712555</v>
      </c>
      <c r="K139" t="n">
        <v>0.732711</v>
      </c>
      <c r="L139" t="n">
        <v>0.744844</v>
      </c>
      <c r="M139" t="n">
        <v>0.749815</v>
      </c>
      <c r="N139" t="n">
        <v>0.757921</v>
      </c>
      <c r="O139" t="n">
        <v>0.770471</v>
      </c>
      <c r="P139" t="n">
        <v>0.793589</v>
      </c>
      <c r="Q139" t="n">
        <v>0.821209</v>
      </c>
      <c r="R139" t="n">
        <v>0.845468</v>
      </c>
      <c r="S139" t="n">
        <v>0.872154</v>
      </c>
      <c r="T139" t="n">
        <v>0.890661</v>
      </c>
      <c r="U139" t="n">
        <v>0.906708</v>
      </c>
      <c r="V139" t="n">
        <v>0.924745</v>
      </c>
      <c r="W139" t="n">
        <v>0.943757</v>
      </c>
      <c r="X139" t="n">
        <v>0.957821</v>
      </c>
      <c r="Y139" t="n">
        <v>0.965948</v>
      </c>
      <c r="Z139" t="n">
        <v>0.975113</v>
      </c>
      <c r="AA139" t="n">
        <v>0.984192</v>
      </c>
      <c r="AB139" t="n">
        <v>0.9928</v>
      </c>
      <c r="AC139" t="n">
        <v>0.996047</v>
      </c>
      <c r="AD139" t="n">
        <v>1.001548</v>
      </c>
      <c r="AE139" t="inlineStr">
        <is>
          <t>1.2%</t>
        </is>
      </c>
    </row>
    <row r="140">
      <c r="A140" t="inlineStr">
        <is>
          <t>Natural Gas Subtotal</t>
        </is>
      </c>
      <c r="B140" t="inlineStr">
        <is>
          <t>Energy Use: Total: Natural Gas Subtotal: Alternative Electricity and Transportation</t>
        </is>
      </c>
      <c r="C140" t="inlineStr">
        <is>
          <t>AEO.2026.ELECTRNP.CNSM_ENU_TEN_NA_NGS_NA_NA_QBTU.A</t>
        </is>
      </c>
      <c r="D140" t="inlineStr">
        <is>
          <t>quads</t>
        </is>
      </c>
      <c r="E140" t="n">
        <v>34.311497</v>
      </c>
      <c r="F140" t="n">
        <v>34.34528</v>
      </c>
      <c r="G140" t="n">
        <v>32.825539</v>
      </c>
      <c r="H140" t="n">
        <v>32.588226</v>
      </c>
      <c r="I140" t="n">
        <v>32.268326</v>
      </c>
      <c r="J140" t="n">
        <v>32.06216</v>
      </c>
      <c r="K140" t="n">
        <v>32.537178</v>
      </c>
      <c r="L140" t="n">
        <v>32.778061</v>
      </c>
      <c r="M140" t="n">
        <v>32.886295</v>
      </c>
      <c r="N140" t="n">
        <v>33.034023</v>
      </c>
      <c r="O140" t="n">
        <v>32.976013</v>
      </c>
      <c r="P140" t="n">
        <v>32.969418</v>
      </c>
      <c r="Q140" t="n">
        <v>33.117409</v>
      </c>
      <c r="R140" t="n">
        <v>33.276875</v>
      </c>
      <c r="S140" t="n">
        <v>33.424709</v>
      </c>
      <c r="T140" t="n">
        <v>33.68853</v>
      </c>
      <c r="U140" t="n">
        <v>33.897873</v>
      </c>
      <c r="V140" t="n">
        <v>34.246597</v>
      </c>
      <c r="W140" t="n">
        <v>34.68045</v>
      </c>
      <c r="X140" t="n">
        <v>35.07439</v>
      </c>
      <c r="Y140" t="n">
        <v>35.459999</v>
      </c>
      <c r="Z140" t="n">
        <v>35.838242</v>
      </c>
      <c r="AA140" t="n">
        <v>36.146568</v>
      </c>
      <c r="AB140" t="n">
        <v>36.429909</v>
      </c>
      <c r="AC140" t="n">
        <v>36.697117</v>
      </c>
      <c r="AD140" t="n">
        <v>36.910278</v>
      </c>
      <c r="AE140" t="inlineStr">
        <is>
          <t>0.3%</t>
        </is>
      </c>
    </row>
    <row r="141">
      <c r="A141" t="inlineStr">
        <is>
          <t>Metallurgical Coal</t>
        </is>
      </c>
      <c r="B141" t="inlineStr">
        <is>
          <t>Energy Use: Total: Metallurgical Coal: Alternative Electricity and Transportation</t>
        </is>
      </c>
      <c r="C141" t="inlineStr">
        <is>
          <t>AEO.2026.ELECTRNP.CNSM_ENU_TEN_NA_MTC_NA_NA_QBTU.A</t>
        </is>
      </c>
      <c r="D141" t="inlineStr">
        <is>
          <t>quads</t>
        </is>
      </c>
      <c r="E141" t="n">
        <v>0.418161</v>
      </c>
      <c r="F141" t="n">
        <v>0.437662</v>
      </c>
      <c r="G141" t="n">
        <v>0.44603</v>
      </c>
      <c r="H141" t="n">
        <v>0.430685</v>
      </c>
      <c r="I141" t="n">
        <v>0.419412</v>
      </c>
      <c r="J141" t="n">
        <v>0.41326</v>
      </c>
      <c r="K141" t="n">
        <v>0.405478</v>
      </c>
      <c r="L141" t="n">
        <v>0.399905</v>
      </c>
      <c r="M141" t="n">
        <v>0.39375</v>
      </c>
      <c r="N141" t="n">
        <v>0.38365</v>
      </c>
      <c r="O141" t="n">
        <v>0.375297</v>
      </c>
      <c r="P141" t="n">
        <v>0.36476</v>
      </c>
      <c r="Q141" t="n">
        <v>0.355506</v>
      </c>
      <c r="R141" t="n">
        <v>0.345369</v>
      </c>
      <c r="S141" t="n">
        <v>0.33481</v>
      </c>
      <c r="T141" t="n">
        <v>0.326546</v>
      </c>
      <c r="U141" t="n">
        <v>0.319121</v>
      </c>
      <c r="V141" t="n">
        <v>0.311913</v>
      </c>
      <c r="W141" t="n">
        <v>0.304025</v>
      </c>
      <c r="X141" t="n">
        <v>0.296245</v>
      </c>
      <c r="Y141" t="n">
        <v>0.290391</v>
      </c>
      <c r="Z141" t="n">
        <v>0.283607</v>
      </c>
      <c r="AA141" t="n">
        <v>0.277604</v>
      </c>
      <c r="AB141" t="n">
        <v>0.271253</v>
      </c>
      <c r="AC141" t="n">
        <v>0.263581</v>
      </c>
      <c r="AD141" t="n">
        <v>0.257168</v>
      </c>
      <c r="AE141" t="inlineStr">
        <is>
          <t>-1.9%</t>
        </is>
      </c>
    </row>
    <row r="142">
      <c r="A142" t="inlineStr">
        <is>
          <t>Other Coal</t>
        </is>
      </c>
      <c r="B142" t="inlineStr">
        <is>
          <t>Energy Use: Total: Other Coal: Alternative Electricity and Transportation</t>
        </is>
      </c>
      <c r="C142" t="inlineStr">
        <is>
          <t>AEO.2026.ELECTRNP.CNSM_ENU_TEN_NA_OCA_NA_NA_QBTU.A</t>
        </is>
      </c>
      <c r="D142" t="inlineStr">
        <is>
          <t>quads</t>
        </is>
      </c>
      <c r="E142" t="n">
        <v>7.925139</v>
      </c>
      <c r="F142" t="n">
        <v>7.576286</v>
      </c>
      <c r="G142" t="n">
        <v>6.991499</v>
      </c>
      <c r="H142" t="n">
        <v>6.275646</v>
      </c>
      <c r="I142" t="n">
        <v>6.154579</v>
      </c>
      <c r="J142" t="n">
        <v>6.127942</v>
      </c>
      <c r="K142" t="n">
        <v>5.168946</v>
      </c>
      <c r="L142" t="n">
        <v>4.776765</v>
      </c>
      <c r="M142" t="n">
        <v>4.610784</v>
      </c>
      <c r="N142" t="n">
        <v>4.355655</v>
      </c>
      <c r="O142" t="n">
        <v>4.330328</v>
      </c>
      <c r="P142" t="n">
        <v>4.261714</v>
      </c>
      <c r="Q142" t="n">
        <v>4.189267</v>
      </c>
      <c r="R142" t="n">
        <v>4.18243</v>
      </c>
      <c r="S142" t="n">
        <v>4.151558</v>
      </c>
      <c r="T142" t="n">
        <v>3.981519</v>
      </c>
      <c r="U142" t="n">
        <v>3.887239</v>
      </c>
      <c r="V142" t="n">
        <v>3.805126</v>
      </c>
      <c r="W142" t="n">
        <v>3.694011</v>
      </c>
      <c r="X142" t="n">
        <v>3.610479</v>
      </c>
      <c r="Y142" t="n">
        <v>3.551422</v>
      </c>
      <c r="Z142" t="n">
        <v>3.490674</v>
      </c>
      <c r="AA142" t="n">
        <v>3.509847</v>
      </c>
      <c r="AB142" t="n">
        <v>3.509687</v>
      </c>
      <c r="AC142" t="n">
        <v>3.398223</v>
      </c>
      <c r="AD142" t="n">
        <v>3.229551</v>
      </c>
      <c r="AE142" t="inlineStr">
        <is>
          <t>-3.5%</t>
        </is>
      </c>
    </row>
    <row r="143">
      <c r="A143" t="inlineStr">
        <is>
          <t>Net Coal Coke Imports</t>
        </is>
      </c>
      <c r="B143" t="inlineStr">
        <is>
          <t>Energy Use: Total: Net Coal Coke Imports: Alternative Electricity and Transportation</t>
        </is>
      </c>
      <c r="C143" t="inlineStr">
        <is>
          <t>AEO.2026.ELECTRNP.CNSM_ENU_TEN_NA_NCC_NA_NA_QBTU.A</t>
        </is>
      </c>
      <c r="D143" t="inlineStr">
        <is>
          <t>quads</t>
        </is>
      </c>
      <c r="E143" t="n">
        <v>-0.030896</v>
      </c>
      <c r="F143" t="n">
        <v>-0.035414</v>
      </c>
      <c r="G143" t="n">
        <v>-0.025404</v>
      </c>
      <c r="H143" t="n">
        <v>-0.025582</v>
      </c>
      <c r="I143" t="n">
        <v>-0.02519</v>
      </c>
      <c r="J143" t="n">
        <v>-0.024858</v>
      </c>
      <c r="K143" t="n">
        <v>-0.024549</v>
      </c>
      <c r="L143" t="n">
        <v>-0.02417</v>
      </c>
      <c r="M143" t="n">
        <v>-0.023818</v>
      </c>
      <c r="N143" t="n">
        <v>-0.023468</v>
      </c>
      <c r="O143" t="n">
        <v>-0.023053</v>
      </c>
      <c r="P143" t="n">
        <v>-0.022494</v>
      </c>
      <c r="Q143" t="n">
        <v>-0.021995</v>
      </c>
      <c r="R143" t="n">
        <v>-0.021444</v>
      </c>
      <c r="S143" t="n">
        <v>-0.020864</v>
      </c>
      <c r="T143" t="n">
        <v>-0.020423</v>
      </c>
      <c r="U143" t="n">
        <v>-0.02003</v>
      </c>
      <c r="V143" t="n">
        <v>-0.019644</v>
      </c>
      <c r="W143" t="n">
        <v>-0.019212</v>
      </c>
      <c r="X143" t="n">
        <v>-0.018783</v>
      </c>
      <c r="Y143" t="n">
        <v>-0.018388</v>
      </c>
      <c r="Z143" t="n">
        <v>-0.018088</v>
      </c>
      <c r="AA143" t="n">
        <v>-0.017674</v>
      </c>
      <c r="AB143" t="n">
        <v>-0.017365</v>
      </c>
      <c r="AC143" t="n">
        <v>-0.016993</v>
      </c>
      <c r="AD143" t="n">
        <v>-0.016634</v>
      </c>
      <c r="AE143" t="inlineStr">
        <is>
          <t>-2.4%</t>
        </is>
      </c>
    </row>
    <row r="144">
      <c r="A144" t="inlineStr">
        <is>
          <t>Coal Subtotal</t>
        </is>
      </c>
      <c r="B144" t="inlineStr">
        <is>
          <t>Energy Use: Total: Coal Subtotal: Alternative Electricity and Transportation</t>
        </is>
      </c>
      <c r="C144" t="inlineStr">
        <is>
          <t>AEO.2026.ELECTRNP.CNSM_ENU_TEN_NA_COS_NA_NA_QBTU.A</t>
        </is>
      </c>
      <c r="D144" t="inlineStr">
        <is>
          <t>quads</t>
        </is>
      </c>
      <c r="E144" t="n">
        <v>8.312405</v>
      </c>
      <c r="F144" t="n">
        <v>7.978535</v>
      </c>
      <c r="G144" t="n">
        <v>7.412125</v>
      </c>
      <c r="H144" t="n">
        <v>6.680748</v>
      </c>
      <c r="I144" t="n">
        <v>6.5488</v>
      </c>
      <c r="J144" t="n">
        <v>6.516344</v>
      </c>
      <c r="K144" t="n">
        <v>5.549876</v>
      </c>
      <c r="L144" t="n">
        <v>5.1525</v>
      </c>
      <c r="M144" t="n">
        <v>4.980716</v>
      </c>
      <c r="N144" t="n">
        <v>4.715837</v>
      </c>
      <c r="O144" t="n">
        <v>4.682571</v>
      </c>
      <c r="P144" t="n">
        <v>4.603979</v>
      </c>
      <c r="Q144" t="n">
        <v>4.522779</v>
      </c>
      <c r="R144" t="n">
        <v>4.506355</v>
      </c>
      <c r="S144" t="n">
        <v>4.465504</v>
      </c>
      <c r="T144" t="n">
        <v>4.287643</v>
      </c>
      <c r="U144" t="n">
        <v>4.186331</v>
      </c>
      <c r="V144" t="n">
        <v>4.097394</v>
      </c>
      <c r="W144" t="n">
        <v>3.978824</v>
      </c>
      <c r="X144" t="n">
        <v>3.887941</v>
      </c>
      <c r="Y144" t="n">
        <v>3.823426</v>
      </c>
      <c r="Z144" t="n">
        <v>3.756192</v>
      </c>
      <c r="AA144" t="n">
        <v>3.769778</v>
      </c>
      <c r="AB144" t="n">
        <v>3.763575</v>
      </c>
      <c r="AC144" t="n">
        <v>3.644811</v>
      </c>
      <c r="AD144" t="n">
        <v>3.470085</v>
      </c>
      <c r="AE144" t="inlineStr">
        <is>
          <t>-3.4%</t>
        </is>
      </c>
    </row>
    <row r="145">
      <c r="A145" t="inlineStr">
        <is>
          <t>Nuclear / Uranium</t>
        </is>
      </c>
      <c r="B145" t="inlineStr">
        <is>
          <t>Energy Use: Total: Nuclear: Alternative Electricity and Transportation</t>
        </is>
      </c>
      <c r="C145" t="inlineStr">
        <is>
          <t>AEO.2026.ELECTRNP.CNSM_ENU_TEN_NA_NUC_NA_NA_QBTU.A</t>
        </is>
      </c>
      <c r="D145" t="inlineStr">
        <is>
          <t>quads</t>
        </is>
      </c>
      <c r="E145" t="n">
        <v>8.187651000000001</v>
      </c>
      <c r="F145" t="n">
        <v>8.372738</v>
      </c>
      <c r="G145" t="n">
        <v>8.321443</v>
      </c>
      <c r="H145" t="n">
        <v>8.357332</v>
      </c>
      <c r="I145" t="n">
        <v>8.366614999999999</v>
      </c>
      <c r="J145" t="n">
        <v>8.373707</v>
      </c>
      <c r="K145" t="n">
        <v>8.373858</v>
      </c>
      <c r="L145" t="n">
        <v>8.373865</v>
      </c>
      <c r="M145" t="n">
        <v>8.373583</v>
      </c>
      <c r="N145" t="n">
        <v>8.373583</v>
      </c>
      <c r="O145" t="n">
        <v>8.373576999999999</v>
      </c>
      <c r="P145" t="n">
        <v>8.373578</v>
      </c>
      <c r="Q145" t="n">
        <v>8.370988000000001</v>
      </c>
      <c r="R145" t="n">
        <v>8.366815000000001</v>
      </c>
      <c r="S145" t="n">
        <v>8.368925000000001</v>
      </c>
      <c r="T145" t="n">
        <v>8.36346</v>
      </c>
      <c r="U145" t="n">
        <v>8.357713</v>
      </c>
      <c r="V145" t="n">
        <v>8.371456</v>
      </c>
      <c r="W145" t="n">
        <v>8.365458</v>
      </c>
      <c r="X145" t="n">
        <v>8.373578</v>
      </c>
      <c r="Y145" t="n">
        <v>8.373578</v>
      </c>
      <c r="Z145" t="n">
        <v>8.373578</v>
      </c>
      <c r="AA145" t="n">
        <v>8.373578999999999</v>
      </c>
      <c r="AB145" t="n">
        <v>8.373578</v>
      </c>
      <c r="AC145" t="n">
        <v>8.373578</v>
      </c>
      <c r="AD145" t="n">
        <v>8.373294</v>
      </c>
      <c r="AE145" t="inlineStr">
        <is>
          <t>0.1%</t>
        </is>
      </c>
    </row>
    <row r="146">
      <c r="A146" t="inlineStr">
        <is>
          <t>Biofuels Heat and Coproducts</t>
        </is>
      </c>
      <c r="B146" t="inlineStr">
        <is>
          <t>Energy Use: Total: Biofuels Heat and Coproducts: Alternative Electricity and Transportation</t>
        </is>
      </c>
      <c r="C146" t="inlineStr">
        <is>
          <t>AEO.2026.ELECTRNP.CNSM_ENU_TEN_NA_BFH_NA_NA_QBTU.A</t>
        </is>
      </c>
      <c r="D146" t="inlineStr">
        <is>
          <t>quads</t>
        </is>
      </c>
      <c r="E146" t="n">
        <v>0.908917</v>
      </c>
      <c r="F146" t="n">
        <v>0.924606</v>
      </c>
      <c r="G146" t="n">
        <v>0.937098</v>
      </c>
      <c r="H146" t="n">
        <v>0.941686</v>
      </c>
      <c r="I146" t="n">
        <v>0.9385599999999999</v>
      </c>
      <c r="J146" t="n">
        <v>0.940195</v>
      </c>
      <c r="K146" t="n">
        <v>0.9370849999999999</v>
      </c>
      <c r="L146" t="n">
        <v>0.935959</v>
      </c>
      <c r="M146" t="n">
        <v>0.9345909999999999</v>
      </c>
      <c r="N146" t="n">
        <v>0.936723</v>
      </c>
      <c r="O146" t="n">
        <v>0.93835</v>
      </c>
      <c r="P146" t="n">
        <v>0.944568</v>
      </c>
      <c r="Q146" t="n">
        <v>0.944168</v>
      </c>
      <c r="R146" t="n">
        <v>0.944952</v>
      </c>
      <c r="S146" t="n">
        <v>0.945946</v>
      </c>
      <c r="T146" t="n">
        <v>0.948555</v>
      </c>
      <c r="U146" t="n">
        <v>0.951308</v>
      </c>
      <c r="V146" t="n">
        <v>0.961144</v>
      </c>
      <c r="W146" t="n">
        <v>0.965054</v>
      </c>
      <c r="X146" t="n">
        <v>0.9677210000000001</v>
      </c>
      <c r="Y146" t="n">
        <v>0.968534</v>
      </c>
      <c r="Z146" t="n">
        <v>0.968565</v>
      </c>
      <c r="AA146" t="n">
        <v>0.972857</v>
      </c>
      <c r="AB146" t="n">
        <v>0.978918</v>
      </c>
      <c r="AC146" t="n">
        <v>0.981626</v>
      </c>
      <c r="AD146" t="n">
        <v>0.986055</v>
      </c>
      <c r="AE146" t="inlineStr">
        <is>
          <t>0.3%</t>
        </is>
      </c>
    </row>
    <row r="147">
      <c r="A147" t="inlineStr">
        <is>
          <t>Renewable Energy</t>
        </is>
      </c>
      <c r="B147" t="inlineStr">
        <is>
          <t>Energy Use: Total: Renewable Energy: Alternative Electricity and Transportation</t>
        </is>
      </c>
      <c r="C147" t="inlineStr">
        <is>
          <t>AEO.2026.ELECTRNP.CNSM_ENU_TEN_NA_REN_NA_NA_QBTU.A</t>
        </is>
      </c>
      <c r="D147" t="inlineStr">
        <is>
          <t>quads</t>
        </is>
      </c>
      <c r="E147" t="n">
        <v>5.730927</v>
      </c>
      <c r="F147" t="n">
        <v>6.155521</v>
      </c>
      <c r="G147" t="n">
        <v>6.715863</v>
      </c>
      <c r="H147" t="n">
        <v>7.089043</v>
      </c>
      <c r="I147" t="n">
        <v>7.298476</v>
      </c>
      <c r="J147" t="n">
        <v>7.428139</v>
      </c>
      <c r="K147" t="n">
        <v>7.547217</v>
      </c>
      <c r="L147" t="n">
        <v>7.620382</v>
      </c>
      <c r="M147" t="n">
        <v>7.732473</v>
      </c>
      <c r="N147" t="n">
        <v>7.906964</v>
      </c>
      <c r="O147" t="n">
        <v>8.107758</v>
      </c>
      <c r="P147" t="n">
        <v>8.320289000000001</v>
      </c>
      <c r="Q147" t="n">
        <v>8.473331999999999</v>
      </c>
      <c r="R147" t="n">
        <v>8.611897000000001</v>
      </c>
      <c r="S147" t="n">
        <v>8.756434</v>
      </c>
      <c r="T147" t="n">
        <v>8.890051</v>
      </c>
      <c r="U147" t="n">
        <v>8.991638</v>
      </c>
      <c r="V147" t="n">
        <v>9.042066</v>
      </c>
      <c r="W147" t="n">
        <v>9.063585</v>
      </c>
      <c r="X147" t="n">
        <v>9.08704</v>
      </c>
      <c r="Y147" t="n">
        <v>9.119986000000001</v>
      </c>
      <c r="Z147" t="n">
        <v>9.154844000000001</v>
      </c>
      <c r="AA147" t="n">
        <v>9.200037</v>
      </c>
      <c r="AB147" t="n">
        <v>9.236902000000001</v>
      </c>
      <c r="AC147" t="n">
        <v>9.288226</v>
      </c>
      <c r="AD147" t="n">
        <v>9.523135</v>
      </c>
      <c r="AE147" t="inlineStr">
        <is>
          <t>2.1%</t>
        </is>
      </c>
    </row>
    <row r="148">
      <c r="A148" t="inlineStr">
        <is>
          <t>Non-biogenic Municipal Waste</t>
        </is>
      </c>
      <c r="B148" t="inlineStr">
        <is>
          <t>Energy Use: Total: Non-biogenic Municipal Waste: Alternative Electricity and Transportation</t>
        </is>
      </c>
      <c r="C148" t="inlineStr">
        <is>
          <t>AEO.2026.ELECTRNP.CNSM_ENU_TEN_NA_NBMSW_NA_NA_QBTU.A</t>
        </is>
      </c>
      <c r="D148" t="inlineStr">
        <is>
          <t>quads</t>
        </is>
      </c>
      <c r="E148" t="n">
        <v>0.06929200000000001</v>
      </c>
      <c r="F148" t="n">
        <v>0.06929200000000001</v>
      </c>
      <c r="G148" t="n">
        <v>0.06929200000000001</v>
      </c>
      <c r="H148" t="n">
        <v>0.06929200000000001</v>
      </c>
      <c r="I148" t="n">
        <v>0.06929200000000001</v>
      </c>
      <c r="J148" t="n">
        <v>0.06929200000000001</v>
      </c>
      <c r="K148" t="n">
        <v>0.06929200000000001</v>
      </c>
      <c r="L148" t="n">
        <v>0.06929200000000001</v>
      </c>
      <c r="M148" t="n">
        <v>0.06929200000000001</v>
      </c>
      <c r="N148" t="n">
        <v>0.06929200000000001</v>
      </c>
      <c r="O148" t="n">
        <v>0.06929200000000001</v>
      </c>
      <c r="P148" t="n">
        <v>0.06929200000000001</v>
      </c>
      <c r="Q148" t="n">
        <v>0.06929200000000001</v>
      </c>
      <c r="R148" t="n">
        <v>0.06929200000000001</v>
      </c>
      <c r="S148" t="n">
        <v>0.06929200000000001</v>
      </c>
      <c r="T148" t="n">
        <v>0.06929200000000001</v>
      </c>
      <c r="U148" t="n">
        <v>0.06929200000000001</v>
      </c>
      <c r="V148" t="n">
        <v>0.06929200000000001</v>
      </c>
      <c r="W148" t="n">
        <v>0.06929200000000001</v>
      </c>
      <c r="X148" t="n">
        <v>0.06929200000000001</v>
      </c>
      <c r="Y148" t="n">
        <v>0.06929200000000001</v>
      </c>
      <c r="Z148" t="n">
        <v>0.06929200000000001</v>
      </c>
      <c r="AA148" t="n">
        <v>0.06929200000000001</v>
      </c>
      <c r="AB148" t="n">
        <v>0.06929200000000001</v>
      </c>
      <c r="AC148" t="n">
        <v>0.06929200000000001</v>
      </c>
      <c r="AD148" t="n">
        <v>0.06929200000000001</v>
      </c>
      <c r="AE148" t="inlineStr">
        <is>
          <t>0.0%</t>
        </is>
      </c>
    </row>
    <row r="149">
      <c r="A149" t="inlineStr">
        <is>
          <t>Electricity Imports</t>
        </is>
      </c>
      <c r="B149" t="inlineStr">
        <is>
          <t>Energy Use: Total: Electricity Imports: Alternative Electricity and Transportation</t>
        </is>
      </c>
      <c r="C149" t="inlineStr">
        <is>
          <t>AEO.2026.ELECTRNP.CNSM_ENU_TEN_NA_ELI_NA_NA_QBTU.A</t>
        </is>
      </c>
      <c r="D149" t="inlineStr">
        <is>
          <t>quads</t>
        </is>
      </c>
      <c r="E149" t="n">
        <v>0.08228000000000001</v>
      </c>
      <c r="F149" t="n">
        <v>0.106062</v>
      </c>
      <c r="G149" t="n">
        <v>0.19597</v>
      </c>
      <c r="H149" t="n">
        <v>0.235466</v>
      </c>
      <c r="I149" t="n">
        <v>0.255448</v>
      </c>
      <c r="J149" t="n">
        <v>0.279835</v>
      </c>
      <c r="K149" t="n">
        <v>0.285335</v>
      </c>
      <c r="L149" t="n">
        <v>0.290467</v>
      </c>
      <c r="M149" t="n">
        <v>0.300253</v>
      </c>
      <c r="N149" t="n">
        <v>0.304316</v>
      </c>
      <c r="O149" t="n">
        <v>0.309149</v>
      </c>
      <c r="P149" t="n">
        <v>0.300601</v>
      </c>
      <c r="Q149" t="n">
        <v>0.298927</v>
      </c>
      <c r="R149" t="n">
        <v>0.297556</v>
      </c>
      <c r="S149" t="n">
        <v>0.294068</v>
      </c>
      <c r="T149" t="n">
        <v>0.297165</v>
      </c>
      <c r="U149" t="n">
        <v>0.296862</v>
      </c>
      <c r="V149" t="n">
        <v>0.283909</v>
      </c>
      <c r="W149" t="n">
        <v>0.272758</v>
      </c>
      <c r="X149" t="n">
        <v>0.268169</v>
      </c>
      <c r="Y149" t="n">
        <v>0.266944</v>
      </c>
      <c r="Z149" t="n">
        <v>0.251526</v>
      </c>
      <c r="AA149" t="n">
        <v>0.242033</v>
      </c>
      <c r="AB149" t="n">
        <v>0.232839</v>
      </c>
      <c r="AC149" t="n">
        <v>0.222683</v>
      </c>
      <c r="AD149" t="n">
        <v>0.213269</v>
      </c>
      <c r="AE149" t="inlineStr">
        <is>
          <t>3.9%</t>
        </is>
      </c>
    </row>
    <row r="150">
      <c r="A150" t="inlineStr">
        <is>
          <t>Byproduct Hydrogen</t>
        </is>
      </c>
      <c r="B150" t="inlineStr">
        <is>
          <t>Energy Use: Total: Byproduct Hydrogen: Alternative Electricity and Transportation</t>
        </is>
      </c>
      <c r="C150" t="inlineStr">
        <is>
          <t>AEO.2026.ELECTRNP.CNSM_ENU_BYPRDH2_NA_ELI_NA_NA_QBTU.A</t>
        </is>
      </c>
      <c r="D150" t="inlineStr">
        <is>
          <t>quads</t>
        </is>
      </c>
      <c r="E150" t="n">
        <v>0.271885</v>
      </c>
      <c r="F150" t="n">
        <v>0.277033</v>
      </c>
      <c r="G150" t="n">
        <v>0.280171</v>
      </c>
      <c r="H150" t="n">
        <v>0.278806</v>
      </c>
      <c r="I150" t="n">
        <v>0.274321</v>
      </c>
      <c r="J150" t="n">
        <v>0.274384</v>
      </c>
      <c r="K150" t="n">
        <v>0.27545</v>
      </c>
      <c r="L150" t="n">
        <v>0.275836</v>
      </c>
      <c r="M150" t="n">
        <v>0.27796</v>
      </c>
      <c r="N150" t="n">
        <v>0.279312</v>
      </c>
      <c r="O150" t="n">
        <v>0.283083</v>
      </c>
      <c r="P150" t="n">
        <v>0.285696</v>
      </c>
      <c r="Q150" t="n">
        <v>0.286439</v>
      </c>
      <c r="R150" t="n">
        <v>0.289535</v>
      </c>
      <c r="S150" t="n">
        <v>0.292548</v>
      </c>
      <c r="T150" t="n">
        <v>0.295295</v>
      </c>
      <c r="U150" t="n">
        <v>0.299385</v>
      </c>
      <c r="V150" t="n">
        <v>0.303157</v>
      </c>
      <c r="W150" t="n">
        <v>0.306922</v>
      </c>
      <c r="X150" t="n">
        <v>0.30974</v>
      </c>
      <c r="Y150" t="n">
        <v>0.312859</v>
      </c>
      <c r="Z150" t="n">
        <v>0.31681</v>
      </c>
      <c r="AA150" t="n">
        <v>0.320986</v>
      </c>
      <c r="AB150" t="n">
        <v>0.32468</v>
      </c>
      <c r="AC150" t="n">
        <v>0.327309</v>
      </c>
      <c r="AD150" t="n">
        <v>0.330866</v>
      </c>
      <c r="AE150" t="inlineStr">
        <is>
          <t>0.8%</t>
        </is>
      </c>
    </row>
    <row r="151">
      <c r="A151" t="inlineStr">
        <is>
          <t>Total</t>
        </is>
      </c>
      <c r="B151" t="inlineStr">
        <is>
          <t>Energy Use: Total: Total: Alternative Electricity and Transportation</t>
        </is>
      </c>
      <c r="C151" t="inlineStr">
        <is>
          <t>AEO.2026.ELECTRNP.CNSM_ENU_TEN_NA_TOT_NA_NA_QBTU.A</t>
        </is>
      </c>
      <c r="D151" t="inlineStr">
        <is>
          <t>quads</t>
        </is>
      </c>
      <c r="E151" t="n">
        <v>95.290172</v>
      </c>
      <c r="F151" t="n">
        <v>95.626628</v>
      </c>
      <c r="G151" t="n">
        <v>94.18731099999999</v>
      </c>
      <c r="H151" t="n">
        <v>93.63369400000001</v>
      </c>
      <c r="I151" t="n">
        <v>93.112611</v>
      </c>
      <c r="J151" t="n">
        <v>92.847813</v>
      </c>
      <c r="K151" t="n">
        <v>92.248464</v>
      </c>
      <c r="L151" t="n">
        <v>92.041715</v>
      </c>
      <c r="M151" t="n">
        <v>91.941801</v>
      </c>
      <c r="N151" t="n">
        <v>91.94782499999999</v>
      </c>
      <c r="O151" t="n">
        <v>92.00936</v>
      </c>
      <c r="P151" t="n">
        <v>92.05076200000001</v>
      </c>
      <c r="Q151" t="n">
        <v>92.184496</v>
      </c>
      <c r="R151" t="n">
        <v>92.393897</v>
      </c>
      <c r="S151" t="n">
        <v>92.614465</v>
      </c>
      <c r="T151" t="n">
        <v>92.837495</v>
      </c>
      <c r="U151" t="n">
        <v>93.04434999999999</v>
      </c>
      <c r="V151" t="n">
        <v>93.35808299999999</v>
      </c>
      <c r="W151" t="n">
        <v>93.706434</v>
      </c>
      <c r="X151" t="n">
        <v>94.04695599999999</v>
      </c>
      <c r="Y151" t="n">
        <v>94.445305</v>
      </c>
      <c r="Z151" t="n">
        <v>94.79549400000001</v>
      </c>
      <c r="AA151" t="n">
        <v>95.236845</v>
      </c>
      <c r="AB151" t="n">
        <v>95.54131700000001</v>
      </c>
      <c r="AC151" t="n">
        <v>95.71128</v>
      </c>
      <c r="AD151" t="n">
        <v>95.990683</v>
      </c>
      <c r="AE151" t="inlineStr">
        <is>
          <t>0.0%</t>
        </is>
      </c>
    </row>
    <row r="152">
      <c r="A152" t="inlineStr">
        <is>
          <t>Energy Use &amp; Related Statistics</t>
        </is>
      </c>
    </row>
    <row r="153">
      <c r="A153" t="inlineStr">
        <is>
          <t>Delivered Energy Use</t>
        </is>
      </c>
      <c r="B153" t="inlineStr">
        <is>
          <t>Energy Use &amp; Related Statistics: Delivered Energy Use: Alternative Electricity and Transportation</t>
        </is>
      </c>
      <c r="C153" t="inlineStr">
        <is>
          <t>AEO.2026.ELECTRNP.CNSM_DEU_TOTD_NA_DEU_NA_NA_QBTU.A</t>
        </is>
      </c>
      <c r="D153" t="inlineStr">
        <is>
          <t>quads</t>
        </is>
      </c>
      <c r="E153" t="n">
        <v>75.959436</v>
      </c>
      <c r="F153" t="n">
        <v>75.96501600000001</v>
      </c>
      <c r="G153" t="n">
        <v>76.08049800000001</v>
      </c>
      <c r="H153" t="n">
        <v>76.158179</v>
      </c>
      <c r="I153" t="n">
        <v>75.909086</v>
      </c>
      <c r="J153" t="n">
        <v>75.86820899999999</v>
      </c>
      <c r="K153" t="n">
        <v>75.738854</v>
      </c>
      <c r="L153" t="n">
        <v>75.765551</v>
      </c>
      <c r="M153" t="n">
        <v>75.748516</v>
      </c>
      <c r="N153" t="n">
        <v>75.937465</v>
      </c>
      <c r="O153" t="n">
        <v>76.08933500000001</v>
      </c>
      <c r="P153" t="n">
        <v>76.212706</v>
      </c>
      <c r="Q153" t="n">
        <v>76.328592</v>
      </c>
      <c r="R153" t="n">
        <v>76.483104</v>
      </c>
      <c r="S153" t="n">
        <v>76.683024</v>
      </c>
      <c r="T153" t="n">
        <v>76.938484</v>
      </c>
      <c r="U153" t="n">
        <v>77.18086599999999</v>
      </c>
      <c r="V153" t="n">
        <v>77.45544</v>
      </c>
      <c r="W153" t="n">
        <v>77.747851</v>
      </c>
      <c r="X153" t="n">
        <v>78.023994</v>
      </c>
      <c r="Y153" t="n">
        <v>78.34795099999999</v>
      </c>
      <c r="Z153" t="n">
        <v>78.623788</v>
      </c>
      <c r="AA153" t="n">
        <v>78.982325</v>
      </c>
      <c r="AB153" t="n">
        <v>79.21534</v>
      </c>
      <c r="AC153" t="n">
        <v>79.378409</v>
      </c>
      <c r="AD153" t="n">
        <v>79.605777</v>
      </c>
      <c r="AE153" t="inlineStr">
        <is>
          <t>0.2%</t>
        </is>
      </c>
    </row>
    <row r="154">
      <c r="A154" t="inlineStr">
        <is>
          <t>Total Energy Use</t>
        </is>
      </c>
      <c r="B154" t="inlineStr">
        <is>
          <t>Energy Use &amp; Related Statistics: Total Energy Use: Alternative Electricity and Transportation</t>
        </is>
      </c>
      <c r="C154" t="inlineStr">
        <is>
          <t>AEO.2026.ELECTRNP.CNSM_ENU_TEN_NA_TEU_NA_NA_QBTU.A</t>
        </is>
      </c>
      <c r="D154" t="inlineStr">
        <is>
          <t>quads</t>
        </is>
      </c>
      <c r="E154" t="n">
        <v>95.290172</v>
      </c>
      <c r="F154" t="n">
        <v>95.626628</v>
      </c>
      <c r="G154" t="n">
        <v>94.18731099999999</v>
      </c>
      <c r="H154" t="n">
        <v>93.63369400000001</v>
      </c>
      <c r="I154" t="n">
        <v>93.112611</v>
      </c>
      <c r="J154" t="n">
        <v>92.847813</v>
      </c>
      <c r="K154" t="n">
        <v>92.248464</v>
      </c>
      <c r="L154" t="n">
        <v>92.041715</v>
      </c>
      <c r="M154" t="n">
        <v>91.941801</v>
      </c>
      <c r="N154" t="n">
        <v>91.94782499999999</v>
      </c>
      <c r="O154" t="n">
        <v>92.00936</v>
      </c>
      <c r="P154" t="n">
        <v>92.05076200000001</v>
      </c>
      <c r="Q154" t="n">
        <v>92.184496</v>
      </c>
      <c r="R154" t="n">
        <v>92.393897</v>
      </c>
      <c r="S154" t="n">
        <v>92.614465</v>
      </c>
      <c r="T154" t="n">
        <v>92.837495</v>
      </c>
      <c r="U154" t="n">
        <v>93.04434999999999</v>
      </c>
      <c r="V154" t="n">
        <v>93.35808299999999</v>
      </c>
      <c r="W154" t="n">
        <v>93.706434</v>
      </c>
      <c r="X154" t="n">
        <v>94.04695599999999</v>
      </c>
      <c r="Y154" t="n">
        <v>94.445305</v>
      </c>
      <c r="Z154" t="n">
        <v>94.79549400000001</v>
      </c>
      <c r="AA154" t="n">
        <v>95.236845</v>
      </c>
      <c r="AB154" t="n">
        <v>95.54131700000001</v>
      </c>
      <c r="AC154" t="n">
        <v>95.71128</v>
      </c>
      <c r="AD154" t="n">
        <v>95.990683</v>
      </c>
      <c r="AE154" t="inlineStr">
        <is>
          <t>0.0%</t>
        </is>
      </c>
    </row>
    <row r="155">
      <c r="A155" t="inlineStr">
        <is>
          <t>Ethanol (denatured) Consumed in Motor Gasoline and E85</t>
        </is>
      </c>
      <c r="B155" t="inlineStr">
        <is>
          <t>Energy Use &amp; Related Statistics: Ethanol Consumed in Motor Gasoline and E85: Alternative Electricity and Transportation</t>
        </is>
      </c>
      <c r="C155" t="inlineStr">
        <is>
          <t>AEO.2026.ELECTRNP.CNSM_ENU_NA_NA_EM1_NA_NA_QBTU.A</t>
        </is>
      </c>
      <c r="D155" t="inlineStr">
        <is>
          <t>quads</t>
        </is>
      </c>
      <c r="E155" t="n">
        <v>1.210761</v>
      </c>
      <c r="F155" t="n">
        <v>1.20816</v>
      </c>
      <c r="G155" t="n">
        <v>1.223191</v>
      </c>
      <c r="H155" t="n">
        <v>1.216869</v>
      </c>
      <c r="I155" t="n">
        <v>1.20766</v>
      </c>
      <c r="J155" t="n">
        <v>1.197747</v>
      </c>
      <c r="K155" t="n">
        <v>1.188161</v>
      </c>
      <c r="L155" t="n">
        <v>1.181355</v>
      </c>
      <c r="M155" t="n">
        <v>1.173561</v>
      </c>
      <c r="N155" t="n">
        <v>1.171419</v>
      </c>
      <c r="O155" t="n">
        <v>1.168291</v>
      </c>
      <c r="P155" t="n">
        <v>1.161576</v>
      </c>
      <c r="Q155" t="n">
        <v>1.154793</v>
      </c>
      <c r="R155" t="n">
        <v>1.149804</v>
      </c>
      <c r="S155" t="n">
        <v>1.145031</v>
      </c>
      <c r="T155" t="n">
        <v>1.142439</v>
      </c>
      <c r="U155" t="n">
        <v>1.139915</v>
      </c>
      <c r="V155" t="n">
        <v>1.135543</v>
      </c>
      <c r="W155" t="n">
        <v>1.134154</v>
      </c>
      <c r="X155" t="n">
        <v>1.131597</v>
      </c>
      <c r="Y155" t="n">
        <v>1.130003</v>
      </c>
      <c r="Z155" t="n">
        <v>1.127377</v>
      </c>
      <c r="AA155" t="n">
        <v>1.126063</v>
      </c>
      <c r="AB155" t="n">
        <v>1.122095</v>
      </c>
      <c r="AC155" t="n">
        <v>1.117854</v>
      </c>
      <c r="AD155" t="n">
        <v>1.116008</v>
      </c>
      <c r="AE155" t="inlineStr">
        <is>
          <t>-0.3%</t>
        </is>
      </c>
    </row>
    <row r="156">
      <c r="A156" t="inlineStr">
        <is>
          <t>Population (millions)</t>
        </is>
      </c>
      <c r="B156" t="inlineStr">
        <is>
          <t>Energy Use &amp; Related Statistics: Population: Alternative Electricity and Transportation</t>
        </is>
      </c>
      <c r="C156" t="inlineStr">
        <is>
          <t>AEO.2026.ELECTRNP.DMG_POP_NA_NA_NA_NA_NA_MILL.A</t>
        </is>
      </c>
      <c r="D156" t="inlineStr">
        <is>
          <t>millions</t>
        </is>
      </c>
      <c r="E156" t="n">
        <v>341.753174</v>
      </c>
      <c r="F156" t="n">
        <v>343.011414</v>
      </c>
      <c r="G156" t="n">
        <v>344.242157</v>
      </c>
      <c r="H156" t="n">
        <v>345.608368</v>
      </c>
      <c r="I156" t="n">
        <v>347.091949</v>
      </c>
      <c r="J156" t="n">
        <v>348.5</v>
      </c>
      <c r="K156" t="n">
        <v>349.848175</v>
      </c>
      <c r="L156" t="n">
        <v>351.130157</v>
      </c>
      <c r="M156" t="n">
        <v>352.354767</v>
      </c>
      <c r="N156" t="n">
        <v>353.526184</v>
      </c>
      <c r="O156" t="n">
        <v>354.640015</v>
      </c>
      <c r="P156" t="n">
        <v>355.694489</v>
      </c>
      <c r="Q156" t="n">
        <v>356.688843</v>
      </c>
      <c r="R156" t="n">
        <v>357.624695</v>
      </c>
      <c r="S156" t="n">
        <v>358.501038</v>
      </c>
      <c r="T156" t="n">
        <v>359.317688</v>
      </c>
      <c r="U156" t="n">
        <v>360.069763</v>
      </c>
      <c r="V156" t="n">
        <v>360.765015</v>
      </c>
      <c r="W156" t="n">
        <v>361.406006</v>
      </c>
      <c r="X156" t="n">
        <v>361.99826</v>
      </c>
      <c r="Y156" t="n">
        <v>362.542145</v>
      </c>
      <c r="Z156" t="n">
        <v>363.045013</v>
      </c>
      <c r="AA156" t="n">
        <v>363.510315</v>
      </c>
      <c r="AB156" t="n">
        <v>363.94165</v>
      </c>
      <c r="AC156" t="n">
        <v>364.34549</v>
      </c>
      <c r="AD156" t="n">
        <v>364.728088</v>
      </c>
      <c r="AE156" t="inlineStr">
        <is>
          <t>0.3%</t>
        </is>
      </c>
    </row>
    <row r="157">
      <c r="A157" t="inlineStr">
        <is>
          <t>Gross Domestic Product (billion 2012 dollars)</t>
        </is>
      </c>
      <c r="B157" t="inlineStr">
        <is>
          <t>Energy Use &amp; Related Statistics: Gross Domestic Product: Alternative Electricity and Transportation</t>
        </is>
      </c>
      <c r="C157" t="inlineStr">
        <is>
          <t>AEO.2026.ELECTRNP.KEI_GDP_NA_NA_NA_NA_NA_BLNY09DLR.A</t>
        </is>
      </c>
      <c r="D157" t="inlineStr">
        <is>
          <t>billion 2012 $</t>
        </is>
      </c>
      <c r="E157" t="n">
        <v>22086.083984</v>
      </c>
      <c r="F157" t="n">
        <v>22669.974609</v>
      </c>
      <c r="G157" t="n">
        <v>23095.640625</v>
      </c>
      <c r="H157" t="n">
        <v>23390.617188</v>
      </c>
      <c r="I157" t="n">
        <v>23750.759766</v>
      </c>
      <c r="J157" t="n">
        <v>24166.652344</v>
      </c>
      <c r="K157" t="n">
        <v>24572.644531</v>
      </c>
      <c r="L157" t="n">
        <v>25034.144531</v>
      </c>
      <c r="M157" t="n">
        <v>25522.300781</v>
      </c>
      <c r="N157" t="n">
        <v>26041.154297</v>
      </c>
      <c r="O157" t="n">
        <v>26595.578125</v>
      </c>
      <c r="P157" t="n">
        <v>27063.660156</v>
      </c>
      <c r="Q157" t="n">
        <v>27531.339844</v>
      </c>
      <c r="R157" t="n">
        <v>28000.277344</v>
      </c>
      <c r="S157" t="n">
        <v>28461.050781</v>
      </c>
      <c r="T157" t="n">
        <v>28925.544922</v>
      </c>
      <c r="U157" t="n">
        <v>29375.912109</v>
      </c>
      <c r="V157" t="n">
        <v>29841.964844</v>
      </c>
      <c r="W157" t="n">
        <v>30321.671875</v>
      </c>
      <c r="X157" t="n">
        <v>30806.214844</v>
      </c>
      <c r="Y157" t="n">
        <v>31294.171875</v>
      </c>
      <c r="Z157" t="n">
        <v>31769.9375</v>
      </c>
      <c r="AA157" t="n">
        <v>32226.466797</v>
      </c>
      <c r="AB157" t="n">
        <v>32681.023438</v>
      </c>
      <c r="AC157" t="n">
        <v>33125.082031</v>
      </c>
      <c r="AD157" t="n">
        <v>33582.949219</v>
      </c>
      <c r="AE157" t="inlineStr">
        <is>
          <t>1.7%</t>
        </is>
      </c>
    </row>
    <row r="158">
      <c r="A158" t="inlineStr">
        <is>
          <t>Carbon Dioxide Emissions (million metric</t>
        </is>
      </c>
    </row>
    <row r="159">
      <c r="A159" t="inlineStr">
        <is>
          <t>tons CO2)</t>
        </is>
      </c>
      <c r="B159" t="inlineStr">
        <is>
          <t>Energy Use &amp; Related Statistics: Carbon Dioxide Emissions: Alternative Electricity and Transportation</t>
        </is>
      </c>
      <c r="C159" t="inlineStr">
        <is>
          <t>AEO.2026.ELECTRNP.EMI_CO2_NA_NA_NA_NA_NA_MILLMTCO2EQ.A</t>
        </is>
      </c>
      <c r="D159" t="inlineStr">
        <is>
          <t>MMmt carbon dioxide</t>
        </is>
      </c>
      <c r="E159" t="n">
        <v>4865.694336</v>
      </c>
      <c r="F159" t="n">
        <v>4832.428711</v>
      </c>
      <c r="G159" t="n">
        <v>4696.720703</v>
      </c>
      <c r="H159" t="n">
        <v>4601.182129</v>
      </c>
      <c r="I159" t="n">
        <v>4543.726074</v>
      </c>
      <c r="J159" t="n">
        <v>4516.515137</v>
      </c>
      <c r="K159" t="n">
        <v>4426.097656</v>
      </c>
      <c r="L159" t="n">
        <v>4386.919922</v>
      </c>
      <c r="M159" t="n">
        <v>4356.689941</v>
      </c>
      <c r="N159" t="n">
        <v>4326.25293</v>
      </c>
      <c r="O159" t="n">
        <v>4304.991211</v>
      </c>
      <c r="P159" t="n">
        <v>4278.033203</v>
      </c>
      <c r="Q159" t="n">
        <v>4259.602539</v>
      </c>
      <c r="R159" t="n">
        <v>4254.373047</v>
      </c>
      <c r="S159" t="n">
        <v>4250.935059</v>
      </c>
      <c r="T159" t="n">
        <v>4245.654297</v>
      </c>
      <c r="U159" t="n">
        <v>4253.554688</v>
      </c>
      <c r="V159" t="n">
        <v>4259.717773</v>
      </c>
      <c r="W159" t="n">
        <v>4271.040039</v>
      </c>
      <c r="X159" t="n">
        <v>4280.237305</v>
      </c>
      <c r="Y159" t="n">
        <v>4296.378906</v>
      </c>
      <c r="Z159" t="n">
        <v>4311.371094</v>
      </c>
      <c r="AA159" t="n">
        <v>4334.802734</v>
      </c>
      <c r="AB159" t="n">
        <v>4351.79834</v>
      </c>
      <c r="AC159" t="n">
        <v>4359.5625</v>
      </c>
      <c r="AD159" t="n">
        <v>4348.027344</v>
      </c>
      <c r="AE159" t="inlineStr">
        <is>
          <t>-0.4%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Table 3.  Energy Prices by Sector and Source</t>
        </is>
      </c>
    </row>
    <row r="2">
      <c r="A2" t="inlineStr">
        <is>
          <t>https://www.eia.gov/outlooks/aeo/data/browser/#/?id=3-AEO2026&amp;cases=electrnp&amp;sourcekey=0</t>
        </is>
      </c>
    </row>
    <row r="3">
      <c r="A3" t="inlineStr">
        <is>
          <t>Thu Apr 23 2026 14:57:36 GMT-0700 (Pacific Daylight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2025</v>
      </c>
      <c r="F5" t="n">
        <v>2026</v>
      </c>
      <c r="G5" t="n">
        <v>2027</v>
      </c>
      <c r="H5" t="n">
        <v>2028</v>
      </c>
      <c r="I5" t="n">
        <v>2029</v>
      </c>
      <c r="J5" t="n">
        <v>2030</v>
      </c>
      <c r="K5" t="n">
        <v>2031</v>
      </c>
      <c r="L5" t="n">
        <v>2032</v>
      </c>
      <c r="M5" t="n">
        <v>2033</v>
      </c>
      <c r="N5" t="n">
        <v>2034</v>
      </c>
      <c r="O5" t="n">
        <v>2035</v>
      </c>
      <c r="P5" t="n">
        <v>2036</v>
      </c>
      <c r="Q5" t="n">
        <v>2037</v>
      </c>
      <c r="R5" t="n">
        <v>2038</v>
      </c>
      <c r="S5" t="n">
        <v>2039</v>
      </c>
      <c r="T5" t="n">
        <v>2040</v>
      </c>
      <c r="U5" t="n">
        <v>2041</v>
      </c>
      <c r="V5" t="n">
        <v>2042</v>
      </c>
      <c r="W5" t="n">
        <v>2043</v>
      </c>
      <c r="X5" t="n">
        <v>2044</v>
      </c>
      <c r="Y5" t="n">
        <v>2045</v>
      </c>
      <c r="Z5" t="n">
        <v>2046</v>
      </c>
      <c r="AA5" t="n">
        <v>2047</v>
      </c>
      <c r="AB5" t="n">
        <v>2048</v>
      </c>
      <c r="AC5" t="n">
        <v>2049</v>
      </c>
      <c r="AD5" t="n">
        <v>2050</v>
      </c>
      <c r="AE5" t="inlineStr">
        <is>
          <t>Growth (2025-2050)</t>
        </is>
      </c>
    </row>
    <row r="6">
      <c r="A6" t="inlineStr">
        <is>
          <t>Residential</t>
        </is>
      </c>
    </row>
    <row r="7">
      <c r="A7" t="inlineStr">
        <is>
          <t>Propane</t>
        </is>
      </c>
      <c r="B7" t="inlineStr">
        <is>
          <t>Energy Prices: Residential: Propane: Alternative Electricity and Transportation</t>
        </is>
      </c>
      <c r="C7" t="inlineStr">
        <is>
          <t>AEO.2026.ELECTRNP.PRCE_REAL_RESD_NA_PROP_NA_NA_Y13DLRPMMBTU.A</t>
        </is>
      </c>
      <c r="D7" t="inlineStr">
        <is>
          <t>2025 $/MMBtu</t>
        </is>
      </c>
      <c r="E7" t="n">
        <v>26.563074</v>
      </c>
      <c r="F7" t="n">
        <v>24.660282</v>
      </c>
      <c r="G7" t="n">
        <v>24.022764</v>
      </c>
      <c r="H7" t="n">
        <v>24.267151</v>
      </c>
      <c r="I7" t="n">
        <v>24.828779</v>
      </c>
      <c r="J7" t="n">
        <v>25.713388</v>
      </c>
      <c r="K7" t="n">
        <v>26.943876</v>
      </c>
      <c r="L7" t="n">
        <v>27.941402</v>
      </c>
      <c r="M7" t="n">
        <v>29.000704</v>
      </c>
      <c r="N7" t="n">
        <v>29.730562</v>
      </c>
      <c r="O7" t="n">
        <v>30.396542</v>
      </c>
      <c r="P7" t="n">
        <v>31.023659</v>
      </c>
      <c r="Q7" t="n">
        <v>31.704144</v>
      </c>
      <c r="R7" t="n">
        <v>32.363785</v>
      </c>
      <c r="S7" t="n">
        <v>33.016689</v>
      </c>
      <c r="T7" t="n">
        <v>33.551872</v>
      </c>
      <c r="U7" t="n">
        <v>33.955025</v>
      </c>
      <c r="V7" t="n">
        <v>34.124786</v>
      </c>
      <c r="W7" t="n">
        <v>34.061459</v>
      </c>
      <c r="X7" t="n">
        <v>33.890648</v>
      </c>
      <c r="Y7" t="n">
        <v>33.857697</v>
      </c>
      <c r="Z7" t="n">
        <v>33.974369</v>
      </c>
      <c r="AA7" t="n">
        <v>34.165623</v>
      </c>
      <c r="AB7" t="n">
        <v>34.401737</v>
      </c>
      <c r="AC7" t="n">
        <v>34.609074</v>
      </c>
      <c r="AD7" t="n">
        <v>34.782436</v>
      </c>
      <c r="AE7" t="inlineStr">
        <is>
          <t>1.1%</t>
        </is>
      </c>
    </row>
    <row r="8">
      <c r="A8" t="inlineStr">
        <is>
          <t>Distillate Fuel Oil</t>
        </is>
      </c>
      <c r="B8" t="inlineStr">
        <is>
          <t>Energy Prices: Residential: Distillate Fuel Oil: Alternative Electricity and Transportation</t>
        </is>
      </c>
      <c r="C8" t="inlineStr">
        <is>
          <t>AEO.2026.ELECTRNP.PRCE_REAL_RESD_NA_DFO_NA_NA_Y13DLRPMMBTU.A</t>
        </is>
      </c>
      <c r="D8" t="inlineStr">
        <is>
          <t>2025 $/MMBtu</t>
        </is>
      </c>
      <c r="E8" t="n">
        <v>26.297781</v>
      </c>
      <c r="F8" t="n">
        <v>23.841019</v>
      </c>
      <c r="G8" t="n">
        <v>24.852819</v>
      </c>
      <c r="H8" t="n">
        <v>25.492739</v>
      </c>
      <c r="I8" t="n">
        <v>26.044502</v>
      </c>
      <c r="J8" t="n">
        <v>26.356546</v>
      </c>
      <c r="K8" t="n">
        <v>26.889671</v>
      </c>
      <c r="L8" t="n">
        <v>26.986252</v>
      </c>
      <c r="M8" t="n">
        <v>27.431295</v>
      </c>
      <c r="N8" t="n">
        <v>27.476742</v>
      </c>
      <c r="O8" t="n">
        <v>27.74155</v>
      </c>
      <c r="P8" t="n">
        <v>27.989231</v>
      </c>
      <c r="Q8" t="n">
        <v>28.189903</v>
      </c>
      <c r="R8" t="n">
        <v>28.422253</v>
      </c>
      <c r="S8" t="n">
        <v>28.565861</v>
      </c>
      <c r="T8" t="n">
        <v>28.683638</v>
      </c>
      <c r="U8" t="n">
        <v>28.866655</v>
      </c>
      <c r="V8" t="n">
        <v>29.028748</v>
      </c>
      <c r="W8" t="n">
        <v>29.196308</v>
      </c>
      <c r="X8" t="n">
        <v>29.351231</v>
      </c>
      <c r="Y8" t="n">
        <v>29.645172</v>
      </c>
      <c r="Z8" t="n">
        <v>29.887751</v>
      </c>
      <c r="AA8" t="n">
        <v>30.086521</v>
      </c>
      <c r="AB8" t="n">
        <v>30.433371</v>
      </c>
      <c r="AC8" t="n">
        <v>30.751434</v>
      </c>
      <c r="AD8" t="n">
        <v>30.83054</v>
      </c>
      <c r="AE8" t="inlineStr">
        <is>
          <t>0.6%</t>
        </is>
      </c>
    </row>
    <row r="9">
      <c r="A9" t="inlineStr">
        <is>
          <t>Natural Gas</t>
        </is>
      </c>
      <c r="B9" t="inlineStr">
        <is>
          <t>Energy Prices: Residential: Natural Gas: Alternative Electricity and Transportation</t>
        </is>
      </c>
      <c r="C9" t="inlineStr">
        <is>
          <t>AEO.2026.ELECTRNP.PRCE_REAL_RESD_NA_NG_NA_NA_Y13DLRPMMBTU.A</t>
        </is>
      </c>
      <c r="D9" t="inlineStr">
        <is>
          <t>2025 $/MMBtu</t>
        </is>
      </c>
      <c r="E9" t="n">
        <v>14.67222</v>
      </c>
      <c r="F9" t="n">
        <v>13.865501</v>
      </c>
      <c r="G9" t="n">
        <v>13.6013</v>
      </c>
      <c r="H9" t="n">
        <v>13.618066</v>
      </c>
      <c r="I9" t="n">
        <v>13.716167</v>
      </c>
      <c r="J9" t="n">
        <v>13.947049</v>
      </c>
      <c r="K9" t="n">
        <v>14.10574</v>
      </c>
      <c r="L9" t="n">
        <v>14.281732</v>
      </c>
      <c r="M9" t="n">
        <v>14.72492</v>
      </c>
      <c r="N9" t="n">
        <v>14.845181</v>
      </c>
      <c r="O9" t="n">
        <v>15.010983</v>
      </c>
      <c r="P9" t="n">
        <v>15.087603</v>
      </c>
      <c r="Q9" t="n">
        <v>15.280451</v>
      </c>
      <c r="R9" t="n">
        <v>15.384978</v>
      </c>
      <c r="S9" t="n">
        <v>15.491961</v>
      </c>
      <c r="T9" t="n">
        <v>15.581245</v>
      </c>
      <c r="U9" t="n">
        <v>15.632208</v>
      </c>
      <c r="V9" t="n">
        <v>15.597161</v>
      </c>
      <c r="W9" t="n">
        <v>15.534369</v>
      </c>
      <c r="X9" t="n">
        <v>15.445058</v>
      </c>
      <c r="Y9" t="n">
        <v>15.43466</v>
      </c>
      <c r="Z9" t="n">
        <v>15.500757</v>
      </c>
      <c r="AA9" t="n">
        <v>15.579066</v>
      </c>
      <c r="AB9" t="n">
        <v>15.646149</v>
      </c>
      <c r="AC9" t="n">
        <v>15.709329</v>
      </c>
      <c r="AD9" t="n">
        <v>15.750059</v>
      </c>
      <c r="AE9" t="inlineStr">
        <is>
          <t>0.3%</t>
        </is>
      </c>
    </row>
    <row r="10">
      <c r="A10" t="inlineStr">
        <is>
          <t>Electricity</t>
        </is>
      </c>
      <c r="B10" t="inlineStr">
        <is>
          <t>Energy Prices: Residential: Electricity: Alternative Electricity and Transportation</t>
        </is>
      </c>
      <c r="C10" t="inlineStr">
        <is>
          <t>AEO.2026.ELECTRNP.PRCE_REAL_RESD_NA_ELC_NA_NA_Y13DLRPMMBTU.A</t>
        </is>
      </c>
      <c r="D10" t="inlineStr">
        <is>
          <t>2025 $/MMBtu</t>
        </is>
      </c>
      <c r="E10" t="n">
        <v>48.884674</v>
      </c>
      <c r="F10" t="n">
        <v>48.970573</v>
      </c>
      <c r="G10" t="n">
        <v>47.876259</v>
      </c>
      <c r="H10" t="n">
        <v>46.813107</v>
      </c>
      <c r="I10" t="n">
        <v>47.098038</v>
      </c>
      <c r="J10" t="n">
        <v>47.575283</v>
      </c>
      <c r="K10" t="n">
        <v>48.040817</v>
      </c>
      <c r="L10" t="n">
        <v>48.378601</v>
      </c>
      <c r="M10" t="n">
        <v>48.737003</v>
      </c>
      <c r="N10" t="n">
        <v>49.087418</v>
      </c>
      <c r="O10" t="n">
        <v>49.32822</v>
      </c>
      <c r="P10" t="n">
        <v>49.554005</v>
      </c>
      <c r="Q10" t="n">
        <v>49.935158</v>
      </c>
      <c r="R10" t="n">
        <v>50.217533</v>
      </c>
      <c r="S10" t="n">
        <v>50.544601</v>
      </c>
      <c r="T10" t="n">
        <v>50.909134</v>
      </c>
      <c r="U10" t="n">
        <v>51.109844</v>
      </c>
      <c r="V10" t="n">
        <v>51.163372</v>
      </c>
      <c r="W10" t="n">
        <v>51.117962</v>
      </c>
      <c r="X10" t="n">
        <v>51.094761</v>
      </c>
      <c r="Y10" t="n">
        <v>50.972771</v>
      </c>
      <c r="Z10" t="n">
        <v>51.227135</v>
      </c>
      <c r="AA10" t="n">
        <v>51.488991</v>
      </c>
      <c r="AB10" t="n">
        <v>51.754013</v>
      </c>
      <c r="AC10" t="n">
        <v>51.908321</v>
      </c>
      <c r="AD10" t="n">
        <v>52.146389</v>
      </c>
      <c r="AE10" t="inlineStr">
        <is>
          <t>0.3%</t>
        </is>
      </c>
    </row>
    <row r="11">
      <c r="A11" t="inlineStr">
        <is>
          <t>Commercial</t>
        </is>
      </c>
    </row>
    <row r="12">
      <c r="A12" t="inlineStr">
        <is>
          <t>Propane</t>
        </is>
      </c>
      <c r="B12" t="inlineStr">
        <is>
          <t>Energy Prices: Commercial: Propane: Alternative Electricity and Transportation</t>
        </is>
      </c>
      <c r="C12" t="inlineStr">
        <is>
          <t>AEO.2026.ELECTRNP.PRCE_REAL_COMM_NA_PROP_NA_NA_Y13DLRPMMBTU.A</t>
        </is>
      </c>
      <c r="D12" t="inlineStr">
        <is>
          <t>2025 $/MMBtu</t>
        </is>
      </c>
      <c r="E12" t="n">
        <v>19.614388</v>
      </c>
      <c r="F12" t="n">
        <v>17.773504</v>
      </c>
      <c r="G12" t="n">
        <v>17.948193</v>
      </c>
      <c r="H12" t="n">
        <v>18.789955</v>
      </c>
      <c r="I12" t="n">
        <v>19.533926</v>
      </c>
      <c r="J12" t="n">
        <v>20.45974</v>
      </c>
      <c r="K12" t="n">
        <v>21.646479</v>
      </c>
      <c r="L12" t="n">
        <v>22.261967</v>
      </c>
      <c r="M12" t="n">
        <v>23.033985</v>
      </c>
      <c r="N12" t="n">
        <v>23.463772</v>
      </c>
      <c r="O12" t="n">
        <v>23.878845</v>
      </c>
      <c r="P12" t="n">
        <v>24.288403</v>
      </c>
      <c r="Q12" t="n">
        <v>24.797268</v>
      </c>
      <c r="R12" t="n">
        <v>25.276108</v>
      </c>
      <c r="S12" t="n">
        <v>25.737419</v>
      </c>
      <c r="T12" t="n">
        <v>26.038733</v>
      </c>
      <c r="U12" t="n">
        <v>26.222591</v>
      </c>
      <c r="V12" t="n">
        <v>26.17038</v>
      </c>
      <c r="W12" t="n">
        <v>25.940657</v>
      </c>
      <c r="X12" t="n">
        <v>25.712225</v>
      </c>
      <c r="Y12" t="n">
        <v>25.750612</v>
      </c>
      <c r="Z12" t="n">
        <v>25.93557</v>
      </c>
      <c r="AA12" t="n">
        <v>26.134615</v>
      </c>
      <c r="AB12" t="n">
        <v>26.339758</v>
      </c>
      <c r="AC12" t="n">
        <v>26.472441</v>
      </c>
      <c r="AD12" t="n">
        <v>26.56786</v>
      </c>
      <c r="AE12" t="inlineStr">
        <is>
          <t>1.2%</t>
        </is>
      </c>
    </row>
    <row r="13">
      <c r="A13" t="inlineStr">
        <is>
          <t>Distillate Fuel Oil</t>
        </is>
      </c>
      <c r="B13" t="inlineStr">
        <is>
          <t>Energy Prices: Commercial: Distillate Fuel Oil: Alternative Electricity and Transportation</t>
        </is>
      </c>
      <c r="C13" t="inlineStr">
        <is>
          <t>AEO.2026.ELECTRNP.PRCE_REAL_COMM_NA_DFO_NA_NA_Y13DLRPMMBTU.A</t>
        </is>
      </c>
      <c r="D13" t="inlineStr">
        <is>
          <t>2025 $/MMBtu</t>
        </is>
      </c>
      <c r="E13" t="n">
        <v>26.413055</v>
      </c>
      <c r="F13" t="n">
        <v>23.944263</v>
      </c>
      <c r="G13" t="n">
        <v>23.78701</v>
      </c>
      <c r="H13" t="n">
        <v>23.234953</v>
      </c>
      <c r="I13" t="n">
        <v>22.59086</v>
      </c>
      <c r="J13" t="n">
        <v>21.649616</v>
      </c>
      <c r="K13" t="n">
        <v>21.002819</v>
      </c>
      <c r="L13" t="n">
        <v>21.100346</v>
      </c>
      <c r="M13" t="n">
        <v>21.906805</v>
      </c>
      <c r="N13" t="n">
        <v>21.950172</v>
      </c>
      <c r="O13" t="n">
        <v>22.215946</v>
      </c>
      <c r="P13" t="n">
        <v>22.432451</v>
      </c>
      <c r="Q13" t="n">
        <v>22.700315</v>
      </c>
      <c r="R13" t="n">
        <v>22.930136</v>
      </c>
      <c r="S13" t="n">
        <v>23.061247</v>
      </c>
      <c r="T13" t="n">
        <v>23.163157</v>
      </c>
      <c r="U13" t="n">
        <v>23.336281</v>
      </c>
      <c r="V13" t="n">
        <v>23.506573</v>
      </c>
      <c r="W13" t="n">
        <v>23.667786</v>
      </c>
      <c r="X13" t="n">
        <v>23.831995</v>
      </c>
      <c r="Y13" t="n">
        <v>24.121313</v>
      </c>
      <c r="Z13" t="n">
        <v>24.360191</v>
      </c>
      <c r="AA13" t="n">
        <v>24.559891</v>
      </c>
      <c r="AB13" t="n">
        <v>24.900385</v>
      </c>
      <c r="AC13" t="n">
        <v>25.211374</v>
      </c>
      <c r="AD13" t="n">
        <v>25.282532</v>
      </c>
      <c r="AE13" t="inlineStr">
        <is>
          <t>-0.2%</t>
        </is>
      </c>
    </row>
    <row r="14">
      <c r="A14" t="inlineStr">
        <is>
          <t>Residual Fuel Oil</t>
        </is>
      </c>
      <c r="B14" t="inlineStr">
        <is>
          <t>Energy Prices: Commercial: Residual Fuel: Alternative Electricity and Transportation</t>
        </is>
      </c>
      <c r="C14" t="inlineStr">
        <is>
          <t>AEO.2026.ELECTRNP.PRCE_REAL_COMM_NA_RFL_NA_NA_Y13DLRPMMBTU.A</t>
        </is>
      </c>
      <c r="D14" t="inlineStr">
        <is>
          <t>2025 $/MMBtu</t>
        </is>
      </c>
      <c r="E14" t="n">
        <v>7.486679</v>
      </c>
      <c r="F14" t="n">
        <v>5.717993</v>
      </c>
      <c r="G14" t="n">
        <v>7.213068</v>
      </c>
      <c r="H14" t="n">
        <v>8.33526</v>
      </c>
      <c r="I14" t="n">
        <v>9.372824</v>
      </c>
      <c r="J14" t="n">
        <v>9.703115</v>
      </c>
      <c r="K14" t="n">
        <v>11.012938</v>
      </c>
      <c r="L14" t="n">
        <v>11.044285</v>
      </c>
      <c r="M14" t="n">
        <v>11.423374</v>
      </c>
      <c r="N14" t="n">
        <v>11.416125</v>
      </c>
      <c r="O14" t="n">
        <v>11.730696</v>
      </c>
      <c r="P14" t="n">
        <v>11.915172</v>
      </c>
      <c r="Q14" t="n">
        <v>12.021229</v>
      </c>
      <c r="R14" t="n">
        <v>12.222262</v>
      </c>
      <c r="S14" t="n">
        <v>12.36445</v>
      </c>
      <c r="T14" t="n">
        <v>12.640309</v>
      </c>
      <c r="U14" t="n">
        <v>12.962893</v>
      </c>
      <c r="V14" t="n">
        <v>13.141302</v>
      </c>
      <c r="W14" t="n">
        <v>13.291031</v>
      </c>
      <c r="X14" t="n">
        <v>13.447833</v>
      </c>
      <c r="Y14" t="n">
        <v>13.705943</v>
      </c>
      <c r="Z14" t="n">
        <v>13.882443</v>
      </c>
      <c r="AA14" t="n">
        <v>14.033334</v>
      </c>
      <c r="AB14" t="n">
        <v>14.408689</v>
      </c>
      <c r="AC14" t="n">
        <v>14.634272</v>
      </c>
      <c r="AD14" t="n">
        <v>14.791724</v>
      </c>
      <c r="AE14" t="inlineStr">
        <is>
          <t>2.8%</t>
        </is>
      </c>
    </row>
    <row r="15">
      <c r="A15" t="inlineStr">
        <is>
          <t>Natural Gas</t>
        </is>
      </c>
      <c r="B15" t="inlineStr">
        <is>
          <t>Energy Prices: Commercial: Natural Gas: Alternative Electricity and Transportation</t>
        </is>
      </c>
      <c r="C15" t="inlineStr">
        <is>
          <t>AEO.2026.ELECTRNP.PRCE_REAL_COMM_NA_NG_NA_NA_Y13DLRPMMBTU.A</t>
        </is>
      </c>
      <c r="D15" t="inlineStr">
        <is>
          <t>2025 $/MMBtu</t>
        </is>
      </c>
      <c r="E15" t="n">
        <v>10.354016</v>
      </c>
      <c r="F15" t="n">
        <v>9.511374</v>
      </c>
      <c r="G15" t="n">
        <v>9.762173000000001</v>
      </c>
      <c r="H15" t="n">
        <v>10.167947</v>
      </c>
      <c r="I15" t="n">
        <v>10.630009</v>
      </c>
      <c r="J15" t="n">
        <v>11.225421</v>
      </c>
      <c r="K15" t="n">
        <v>11.760633</v>
      </c>
      <c r="L15" t="n">
        <v>11.919279</v>
      </c>
      <c r="M15" t="n">
        <v>12.230326</v>
      </c>
      <c r="N15" t="n">
        <v>12.308634</v>
      </c>
      <c r="O15" t="n">
        <v>12.450624</v>
      </c>
      <c r="P15" t="n">
        <v>12.509456</v>
      </c>
      <c r="Q15" t="n">
        <v>12.673752</v>
      </c>
      <c r="R15" t="n">
        <v>12.76578</v>
      </c>
      <c r="S15" t="n">
        <v>12.863074</v>
      </c>
      <c r="T15" t="n">
        <v>12.941275</v>
      </c>
      <c r="U15" t="n">
        <v>12.976732</v>
      </c>
      <c r="V15" t="n">
        <v>12.925268</v>
      </c>
      <c r="W15" t="n">
        <v>12.84654</v>
      </c>
      <c r="X15" t="n">
        <v>12.738944</v>
      </c>
      <c r="Y15" t="n">
        <v>12.708939</v>
      </c>
      <c r="Z15" t="n">
        <v>12.752996</v>
      </c>
      <c r="AA15" t="n">
        <v>12.808952</v>
      </c>
      <c r="AB15" t="n">
        <v>12.853724</v>
      </c>
      <c r="AC15" t="n">
        <v>12.893847</v>
      </c>
      <c r="AD15" t="n">
        <v>12.912653</v>
      </c>
      <c r="AE15" t="inlineStr">
        <is>
          <t>0.9%</t>
        </is>
      </c>
    </row>
    <row r="16">
      <c r="A16" t="inlineStr">
        <is>
          <t>Electricity</t>
        </is>
      </c>
      <c r="B16" t="inlineStr">
        <is>
          <t>Energy Prices: Commercial: Electricity: Alternative Electricity and Transportation</t>
        </is>
      </c>
      <c r="C16" t="inlineStr">
        <is>
          <t>AEO.2026.ELECTRNP.PRCE_REAL_COMM_NA_ELC_NA_NA_Y13DLRPMMBTU.A</t>
        </is>
      </c>
      <c r="D16" t="inlineStr">
        <is>
          <t>2025 $/MMBtu</t>
        </is>
      </c>
      <c r="E16" t="n">
        <v>39.50576</v>
      </c>
      <c r="F16" t="n">
        <v>39.254784</v>
      </c>
      <c r="G16" t="n">
        <v>38.00787</v>
      </c>
      <c r="H16" t="n">
        <v>37.027317</v>
      </c>
      <c r="I16" t="n">
        <v>37.270535</v>
      </c>
      <c r="J16" t="n">
        <v>37.676891</v>
      </c>
      <c r="K16" t="n">
        <v>38.013729</v>
      </c>
      <c r="L16" t="n">
        <v>38.169567</v>
      </c>
      <c r="M16" t="n">
        <v>38.377754</v>
      </c>
      <c r="N16" t="n">
        <v>38.628765</v>
      </c>
      <c r="O16" t="n">
        <v>38.712334</v>
      </c>
      <c r="P16" t="n">
        <v>38.766697</v>
      </c>
      <c r="Q16" t="n">
        <v>38.97871</v>
      </c>
      <c r="R16" t="n">
        <v>39.113335</v>
      </c>
      <c r="S16" t="n">
        <v>39.318199</v>
      </c>
      <c r="T16" t="n">
        <v>39.513145</v>
      </c>
      <c r="U16" t="n">
        <v>39.528194</v>
      </c>
      <c r="V16" t="n">
        <v>39.464729</v>
      </c>
      <c r="W16" t="n">
        <v>39.301834</v>
      </c>
      <c r="X16" t="n">
        <v>39.165123</v>
      </c>
      <c r="Y16" t="n">
        <v>38.864052</v>
      </c>
      <c r="Z16" t="n">
        <v>39.004269</v>
      </c>
      <c r="AA16" t="n">
        <v>39.126835</v>
      </c>
      <c r="AB16" t="n">
        <v>39.262093</v>
      </c>
      <c r="AC16" t="n">
        <v>39.271355</v>
      </c>
      <c r="AD16" t="n">
        <v>39.370186</v>
      </c>
      <c r="AE16" t="inlineStr">
        <is>
          <t>-0.0%</t>
        </is>
      </c>
    </row>
    <row r="17">
      <c r="A17" t="inlineStr">
        <is>
          <t>Industrial</t>
        </is>
      </c>
    </row>
    <row r="18">
      <c r="A18" t="inlineStr">
        <is>
          <t>Propane</t>
        </is>
      </c>
      <c r="B18" t="inlineStr">
        <is>
          <t>Energy Prices: Industrial: Propane: Alternative Electricity and Transportation</t>
        </is>
      </c>
      <c r="C18" t="inlineStr">
        <is>
          <t>AEO.2026.ELECTRNP.PRCE_REAL_IDAL_NA_PROP_NA_NA_Y13DLRPMMBTU.A</t>
        </is>
      </c>
      <c r="D18" t="inlineStr">
        <is>
          <t>2025 $/MMBtu</t>
        </is>
      </c>
      <c r="E18" t="n">
        <v>12.803329</v>
      </c>
      <c r="F18" t="n">
        <v>11.070506</v>
      </c>
      <c r="G18" t="n">
        <v>11.206452</v>
      </c>
      <c r="H18" t="n">
        <v>11.985374</v>
      </c>
      <c r="I18" t="n">
        <v>12.701868</v>
      </c>
      <c r="J18" t="n">
        <v>13.610707</v>
      </c>
      <c r="K18" t="n">
        <v>14.804296</v>
      </c>
      <c r="L18" t="n">
        <v>15.44972</v>
      </c>
      <c r="M18" t="n">
        <v>15.938818</v>
      </c>
      <c r="N18" t="n">
        <v>16.397631</v>
      </c>
      <c r="O18" t="n">
        <v>16.843964</v>
      </c>
      <c r="P18" t="n">
        <v>17.28784</v>
      </c>
      <c r="Q18" t="n">
        <v>17.796278</v>
      </c>
      <c r="R18" t="n">
        <v>18.323847</v>
      </c>
      <c r="S18" t="n">
        <v>18.837675</v>
      </c>
      <c r="T18" t="n">
        <v>19.180521</v>
      </c>
      <c r="U18" t="n">
        <v>19.393515</v>
      </c>
      <c r="V18" t="n">
        <v>19.345053</v>
      </c>
      <c r="W18" t="n">
        <v>19.097935</v>
      </c>
      <c r="X18" t="n">
        <v>18.849525</v>
      </c>
      <c r="Y18" t="n">
        <v>18.891359</v>
      </c>
      <c r="Z18" t="n">
        <v>19.097252</v>
      </c>
      <c r="AA18" t="n">
        <v>19.322502</v>
      </c>
      <c r="AB18" t="n">
        <v>19.556145</v>
      </c>
      <c r="AC18" t="n">
        <v>19.710878</v>
      </c>
      <c r="AD18" t="n">
        <v>19.82361</v>
      </c>
      <c r="AE18" t="inlineStr">
        <is>
          <t>1.8%</t>
        </is>
      </c>
    </row>
    <row r="19">
      <c r="A19" t="inlineStr">
        <is>
          <t>Distillate Fuel Oil</t>
        </is>
      </c>
      <c r="B19" t="inlineStr">
        <is>
          <t>Energy Prices: Industrial: Distillate Fuel Oil: Alternative Electricity and Transportation</t>
        </is>
      </c>
      <c r="C19" t="inlineStr">
        <is>
          <t>AEO.2026.ELECTRNP.PRCE_REAL_IDAL_NA_DFO_NA_NA_Y13DLRPMMBTU.A</t>
        </is>
      </c>
      <c r="D19" t="inlineStr">
        <is>
          <t>2025 $/MMBtu</t>
        </is>
      </c>
      <c r="E19" t="n">
        <v>26.296053</v>
      </c>
      <c r="F19" t="n">
        <v>23.833601</v>
      </c>
      <c r="G19" t="n">
        <v>23.638857</v>
      </c>
      <c r="H19" t="n">
        <v>23.038036</v>
      </c>
      <c r="I19" t="n">
        <v>22.345837</v>
      </c>
      <c r="J19" t="n">
        <v>21.403448</v>
      </c>
      <c r="K19" t="n">
        <v>20.701952</v>
      </c>
      <c r="L19" t="n">
        <v>20.792048</v>
      </c>
      <c r="M19" t="n">
        <v>21.235609</v>
      </c>
      <c r="N19" t="n">
        <v>21.284655</v>
      </c>
      <c r="O19" t="n">
        <v>21.554102</v>
      </c>
      <c r="P19" t="n">
        <v>21.790516</v>
      </c>
      <c r="Q19" t="n">
        <v>21.993568</v>
      </c>
      <c r="R19" t="n">
        <v>22.218029</v>
      </c>
      <c r="S19" t="n">
        <v>22.360266</v>
      </c>
      <c r="T19" t="n">
        <v>22.468481</v>
      </c>
      <c r="U19" t="n">
        <v>22.646593</v>
      </c>
      <c r="V19" t="n">
        <v>22.818218</v>
      </c>
      <c r="W19" t="n">
        <v>22.982805</v>
      </c>
      <c r="X19" t="n">
        <v>23.14827</v>
      </c>
      <c r="Y19" t="n">
        <v>23.446985</v>
      </c>
      <c r="Z19" t="n">
        <v>23.691965</v>
      </c>
      <c r="AA19" t="n">
        <v>23.897724</v>
      </c>
      <c r="AB19" t="n">
        <v>24.253218</v>
      </c>
      <c r="AC19" t="n">
        <v>24.570869</v>
      </c>
      <c r="AD19" t="n">
        <v>24.648556</v>
      </c>
      <c r="AE19" t="inlineStr">
        <is>
          <t>-0.3%</t>
        </is>
      </c>
    </row>
    <row r="20">
      <c r="A20" t="inlineStr">
        <is>
          <t>Residual Fuel Oil</t>
        </is>
      </c>
      <c r="B20" t="inlineStr">
        <is>
          <t>Energy Prices: Industrial: Residual Fuel Oil: Alternative Electricity and Transportation</t>
        </is>
      </c>
      <c r="C20" t="inlineStr">
        <is>
          <t>AEO.2026.ELECTRNP.PRCE_REAL_IDAL_NA_RFO_NA_NA_Y13DLRPMMBTU.A</t>
        </is>
      </c>
      <c r="D20" t="inlineStr">
        <is>
          <t>2025 $/MMBtu</t>
        </is>
      </c>
      <c r="E20" t="n">
        <v>8.660570999999999</v>
      </c>
      <c r="F20" t="n">
        <v>6.715567</v>
      </c>
      <c r="G20" t="n">
        <v>8.522038</v>
      </c>
      <c r="H20" t="n">
        <v>9.873669</v>
      </c>
      <c r="I20" t="n">
        <v>11.099524</v>
      </c>
      <c r="J20" t="n">
        <v>11.661168</v>
      </c>
      <c r="K20" t="n">
        <v>13.208466</v>
      </c>
      <c r="L20" t="n">
        <v>13.227586</v>
      </c>
      <c r="M20" t="n">
        <v>13.603677</v>
      </c>
      <c r="N20" t="n">
        <v>13.60303</v>
      </c>
      <c r="O20" t="n">
        <v>13.923897</v>
      </c>
      <c r="P20" t="n">
        <v>14.127029</v>
      </c>
      <c r="Q20" t="n">
        <v>14.24397</v>
      </c>
      <c r="R20" t="n">
        <v>14.455325</v>
      </c>
      <c r="S20" t="n">
        <v>14.636956</v>
      </c>
      <c r="T20" t="n">
        <v>14.920378</v>
      </c>
      <c r="U20" t="n">
        <v>15.235559</v>
      </c>
      <c r="V20" t="n">
        <v>15.414781</v>
      </c>
      <c r="W20" t="n">
        <v>15.55131</v>
      </c>
      <c r="X20" t="n">
        <v>15.699274</v>
      </c>
      <c r="Y20" t="n">
        <v>15.955344</v>
      </c>
      <c r="Z20" t="n">
        <v>16.133854</v>
      </c>
      <c r="AA20" t="n">
        <v>16.286076</v>
      </c>
      <c r="AB20" t="n">
        <v>16.658579</v>
      </c>
      <c r="AC20" t="n">
        <v>16.88113</v>
      </c>
      <c r="AD20" t="n">
        <v>16.995434</v>
      </c>
      <c r="AE20" t="inlineStr">
        <is>
          <t>2.7%</t>
        </is>
      </c>
    </row>
    <row r="21">
      <c r="A21" t="inlineStr">
        <is>
          <t>Natural Gas</t>
        </is>
      </c>
      <c r="B21" t="inlineStr">
        <is>
          <t>Energy Prices: Industrial: Natural Gas: Alternative Electricity and Transportation</t>
        </is>
      </c>
      <c r="C21" t="inlineStr">
        <is>
          <t>AEO.2026.ELECTRNP.PRCE_REAL_IDAL_NA_NG_NA_NA_Y13DLRPMMBTU.A</t>
        </is>
      </c>
      <c r="D21" t="inlineStr">
        <is>
          <t>2025 $/MMBtu</t>
        </is>
      </c>
      <c r="E21" t="n">
        <v>4.50558</v>
      </c>
      <c r="F21" t="n">
        <v>4.762314</v>
      </c>
      <c r="G21" t="n">
        <v>4.653281</v>
      </c>
      <c r="H21" t="n">
        <v>4.763201</v>
      </c>
      <c r="I21" t="n">
        <v>4.869151</v>
      </c>
      <c r="J21" t="n">
        <v>5.331843</v>
      </c>
      <c r="K21" t="n">
        <v>5.603321</v>
      </c>
      <c r="L21" t="n">
        <v>5.732351</v>
      </c>
      <c r="M21" t="n">
        <v>5.729695</v>
      </c>
      <c r="N21" t="n">
        <v>5.753252</v>
      </c>
      <c r="O21" t="n">
        <v>5.833182</v>
      </c>
      <c r="P21" t="n">
        <v>5.894095</v>
      </c>
      <c r="Q21" t="n">
        <v>5.954556</v>
      </c>
      <c r="R21" t="n">
        <v>6.014329</v>
      </c>
      <c r="S21" t="n">
        <v>6.085847</v>
      </c>
      <c r="T21" t="n">
        <v>6.137111</v>
      </c>
      <c r="U21" t="n">
        <v>6.097115</v>
      </c>
      <c r="V21" t="n">
        <v>5.918629</v>
      </c>
      <c r="W21" t="n">
        <v>5.685004</v>
      </c>
      <c r="X21" t="n">
        <v>5.45957</v>
      </c>
      <c r="Y21" t="n">
        <v>5.35239</v>
      </c>
      <c r="Z21" t="n">
        <v>5.345496</v>
      </c>
      <c r="AA21" t="n">
        <v>5.358559</v>
      </c>
      <c r="AB21" t="n">
        <v>5.360599</v>
      </c>
      <c r="AC21" t="n">
        <v>5.342124</v>
      </c>
      <c r="AD21" t="n">
        <v>5.304864</v>
      </c>
      <c r="AE21" t="inlineStr">
        <is>
          <t>0.7%</t>
        </is>
      </c>
    </row>
    <row r="22">
      <c r="A22" t="inlineStr">
        <is>
          <t>Metallurgical Coal</t>
        </is>
      </c>
      <c r="B22" t="inlineStr">
        <is>
          <t>Energy Prices: Industrial: Metallurgical Coal: Alternative Electricity and Transportation</t>
        </is>
      </c>
      <c r="C22" t="inlineStr">
        <is>
          <t>AEO.2026.ELECTRNP.PRCE_REAL_IDAL_NA_MTC_NA_NA_Y13DLRPMMBTU.A</t>
        </is>
      </c>
      <c r="D22" t="inlineStr">
        <is>
          <t>2025 $/MMBtu</t>
        </is>
      </c>
      <c r="E22" t="n">
        <v>6.417383</v>
      </c>
      <c r="F22" t="n">
        <v>6.420651</v>
      </c>
      <c r="G22" t="n">
        <v>6.426186</v>
      </c>
      <c r="H22" t="n">
        <v>6.438872</v>
      </c>
      <c r="I22" t="n">
        <v>6.430643</v>
      </c>
      <c r="J22" t="n">
        <v>6.445238</v>
      </c>
      <c r="K22" t="n">
        <v>6.428822</v>
      </c>
      <c r="L22" t="n">
        <v>6.450939</v>
      </c>
      <c r="M22" t="n">
        <v>6.448793</v>
      </c>
      <c r="N22" t="n">
        <v>6.427662</v>
      </c>
      <c r="O22" t="n">
        <v>6.431542</v>
      </c>
      <c r="P22" t="n">
        <v>6.396736</v>
      </c>
      <c r="Q22" t="n">
        <v>6.402119</v>
      </c>
      <c r="R22" t="n">
        <v>6.399268</v>
      </c>
      <c r="S22" t="n">
        <v>6.369291</v>
      </c>
      <c r="T22" t="n">
        <v>6.372983</v>
      </c>
      <c r="U22" t="n">
        <v>6.362854</v>
      </c>
      <c r="V22" t="n">
        <v>6.351582</v>
      </c>
      <c r="W22" t="n">
        <v>6.346869</v>
      </c>
      <c r="X22" t="n">
        <v>6.336841</v>
      </c>
      <c r="Y22" t="n">
        <v>6.341089</v>
      </c>
      <c r="Z22" t="n">
        <v>6.332882</v>
      </c>
      <c r="AA22" t="n">
        <v>6.343362</v>
      </c>
      <c r="AB22" t="n">
        <v>6.351777</v>
      </c>
      <c r="AC22" t="n">
        <v>6.326384</v>
      </c>
      <c r="AD22" t="n">
        <v>6.320745</v>
      </c>
      <c r="AE22" t="inlineStr">
        <is>
          <t>-0.1%</t>
        </is>
      </c>
    </row>
    <row r="23">
      <c r="A23" t="inlineStr">
        <is>
          <t>Other Industrial Coal</t>
        </is>
      </c>
      <c r="B23" t="inlineStr">
        <is>
          <t>Energy Prices: Industrial: Other Industrial Coal: Alternative Electricity and Transportation</t>
        </is>
      </c>
      <c r="C23" t="inlineStr">
        <is>
          <t>AEO.2026.ELECTRNP.PRCE_REAL_IDAL_NA_OIC_NA_NA_Y13DLRPMMBTU.A</t>
        </is>
      </c>
      <c r="D23" t="inlineStr">
        <is>
          <t>2025 $/MMBtu</t>
        </is>
      </c>
      <c r="E23" t="n">
        <v>3.995581</v>
      </c>
      <c r="F23" t="n">
        <v>3.856261</v>
      </c>
      <c r="G23" t="n">
        <v>3.764525</v>
      </c>
      <c r="H23" t="n">
        <v>3.757948</v>
      </c>
      <c r="I23" t="n">
        <v>3.763418</v>
      </c>
      <c r="J23" t="n">
        <v>3.732887</v>
      </c>
      <c r="K23" t="n">
        <v>3.730853</v>
      </c>
      <c r="L23" t="n">
        <v>3.714679</v>
      </c>
      <c r="M23" t="n">
        <v>3.707622</v>
      </c>
      <c r="N23" t="n">
        <v>3.688801</v>
      </c>
      <c r="O23" t="n">
        <v>3.676832</v>
      </c>
      <c r="P23" t="n">
        <v>3.676414</v>
      </c>
      <c r="Q23" t="n">
        <v>3.681888</v>
      </c>
      <c r="R23" t="n">
        <v>3.688266</v>
      </c>
      <c r="S23" t="n">
        <v>3.674037</v>
      </c>
      <c r="T23" t="n">
        <v>3.689501</v>
      </c>
      <c r="U23" t="n">
        <v>3.687816</v>
      </c>
      <c r="V23" t="n">
        <v>3.694248</v>
      </c>
      <c r="W23" t="n">
        <v>3.693033</v>
      </c>
      <c r="X23" t="n">
        <v>3.691283</v>
      </c>
      <c r="Y23" t="n">
        <v>3.694595</v>
      </c>
      <c r="Z23" t="n">
        <v>3.684059</v>
      </c>
      <c r="AA23" t="n">
        <v>3.691954</v>
      </c>
      <c r="AB23" t="n">
        <v>3.702715</v>
      </c>
      <c r="AC23" t="n">
        <v>3.733721</v>
      </c>
      <c r="AD23" t="n">
        <v>3.733987</v>
      </c>
      <c r="AE23" t="inlineStr">
        <is>
          <t>-0.3%</t>
        </is>
      </c>
    </row>
    <row r="24">
      <c r="A24" t="inlineStr">
        <is>
          <t>Hydrogen</t>
        </is>
      </c>
      <c r="B24" t="inlineStr">
        <is>
          <t>Energy Prices: Industrial: Hydrogen: Alternative Electricity and Transportation</t>
        </is>
      </c>
      <c r="C24" t="inlineStr">
        <is>
          <t>AEO.2026.ELECTRNP.PRCE_REAL_IDAL_NA_HDG_NA_NA_Y13DLRPMMBTU.A</t>
        </is>
      </c>
      <c r="D24" t="inlineStr">
        <is>
          <t>2025 $/MMBtu</t>
        </is>
      </c>
      <c r="E24" t="n">
        <v>11.501233</v>
      </c>
      <c r="F24" t="n">
        <v>11.889143</v>
      </c>
      <c r="G24" t="n">
        <v>11.882795</v>
      </c>
      <c r="H24" t="n">
        <v>12.018814</v>
      </c>
      <c r="I24" t="n">
        <v>12.101516</v>
      </c>
      <c r="J24" t="n">
        <v>12.795125</v>
      </c>
      <c r="K24" t="n">
        <v>13.07889</v>
      </c>
      <c r="L24" t="n">
        <v>13.222679</v>
      </c>
      <c r="M24" t="n">
        <v>13.297702</v>
      </c>
      <c r="N24" t="n">
        <v>13.326265</v>
      </c>
      <c r="O24" t="n">
        <v>13.258114</v>
      </c>
      <c r="P24" t="n">
        <v>13.428031</v>
      </c>
      <c r="Q24" t="n">
        <v>13.448741</v>
      </c>
      <c r="R24" t="n">
        <v>13.548419</v>
      </c>
      <c r="S24" t="n">
        <v>13.640569</v>
      </c>
      <c r="T24" t="n">
        <v>13.690514</v>
      </c>
      <c r="U24" t="n">
        <v>13.610089</v>
      </c>
      <c r="V24" t="n">
        <v>13.418937</v>
      </c>
      <c r="W24" t="n">
        <v>13.098224</v>
      </c>
      <c r="X24" t="n">
        <v>12.831071</v>
      </c>
      <c r="Y24" t="n">
        <v>12.693266</v>
      </c>
      <c r="Z24" t="n">
        <v>12.639281</v>
      </c>
      <c r="AA24" t="n">
        <v>12.648698</v>
      </c>
      <c r="AB24" t="n">
        <v>12.653787</v>
      </c>
      <c r="AC24" t="n">
        <v>12.621601</v>
      </c>
      <c r="AD24" t="n">
        <v>12.580778</v>
      </c>
      <c r="AE24" t="inlineStr">
        <is>
          <t>0.4%</t>
        </is>
      </c>
    </row>
    <row r="25">
      <c r="A25" t="inlineStr">
        <is>
          <t>Electricity</t>
        </is>
      </c>
      <c r="B25" t="inlineStr">
        <is>
          <t>Energy Prices: Industrial: Electricity: Alternative Electricity and Transportation</t>
        </is>
      </c>
      <c r="C25" t="inlineStr">
        <is>
          <t>AEO.2026.ELECTRNP.PRCE_REAL_IDAL_NA_ELC_NA_NA_Y13DLRPMMBTU.A</t>
        </is>
      </c>
      <c r="D25" t="inlineStr">
        <is>
          <t>2025 $/MMBtu</t>
        </is>
      </c>
      <c r="E25" t="n">
        <v>26.595726</v>
      </c>
      <c r="F25" t="n">
        <v>26.456028</v>
      </c>
      <c r="G25" t="n">
        <v>25.259417</v>
      </c>
      <c r="H25" t="n">
        <v>24.60338</v>
      </c>
      <c r="I25" t="n">
        <v>24.805864</v>
      </c>
      <c r="J25" t="n">
        <v>25.174835</v>
      </c>
      <c r="K25" t="n">
        <v>25.531858</v>
      </c>
      <c r="L25" t="n">
        <v>25.659849</v>
      </c>
      <c r="M25" t="n">
        <v>25.863104</v>
      </c>
      <c r="N25" t="n">
        <v>25.987514</v>
      </c>
      <c r="O25" t="n">
        <v>26.078087</v>
      </c>
      <c r="P25" t="n">
        <v>26.141869</v>
      </c>
      <c r="Q25" t="n">
        <v>26.27035</v>
      </c>
      <c r="R25" t="n">
        <v>26.342882</v>
      </c>
      <c r="S25" t="n">
        <v>26.495277</v>
      </c>
      <c r="T25" t="n">
        <v>26.657043</v>
      </c>
      <c r="U25" t="n">
        <v>26.650555</v>
      </c>
      <c r="V25" t="n">
        <v>26.505461</v>
      </c>
      <c r="W25" t="n">
        <v>26.353251</v>
      </c>
      <c r="X25" t="n">
        <v>26.213223</v>
      </c>
      <c r="Y25" t="n">
        <v>26.001282</v>
      </c>
      <c r="Z25" t="n">
        <v>26.1353</v>
      </c>
      <c r="AA25" t="n">
        <v>26.219656</v>
      </c>
      <c r="AB25" t="n">
        <v>26.274858</v>
      </c>
      <c r="AC25" t="n">
        <v>26.257725</v>
      </c>
      <c r="AD25" t="n">
        <v>26.297056</v>
      </c>
      <c r="AE25" t="inlineStr">
        <is>
          <t>-0.0%</t>
        </is>
      </c>
    </row>
    <row r="26">
      <c r="A26" t="inlineStr">
        <is>
          <t>Transportation</t>
        </is>
      </c>
    </row>
    <row r="27">
      <c r="A27" t="inlineStr">
        <is>
          <t>Propane</t>
        </is>
      </c>
      <c r="B27" t="inlineStr">
        <is>
          <t>Energy Prices: Transportation: Propane: Alternative Electricity and Transportation</t>
        </is>
      </c>
      <c r="C27" t="inlineStr">
        <is>
          <t>AEO.2026.ELECTRNP.PRCE_REAL_TRN_NA_PROP_NA_NA_Y13DLRPMMBTU.A</t>
        </is>
      </c>
      <c r="D27" t="inlineStr">
        <is>
          <t>2025 $/MMBtu</t>
        </is>
      </c>
      <c r="E27" t="n">
        <v>18.230301</v>
      </c>
      <c r="F27" t="n">
        <v>16.552263</v>
      </c>
      <c r="G27" t="n">
        <v>16.820892</v>
      </c>
      <c r="H27" t="n">
        <v>17.604309</v>
      </c>
      <c r="I27" t="n">
        <v>18.24124</v>
      </c>
      <c r="J27" t="n">
        <v>19.043062</v>
      </c>
      <c r="K27" t="n">
        <v>20.069946</v>
      </c>
      <c r="L27" t="n">
        <v>20.552721</v>
      </c>
      <c r="M27" t="n">
        <v>21.146692</v>
      </c>
      <c r="N27" t="n">
        <v>21.506077</v>
      </c>
      <c r="O27" t="n">
        <v>21.854965</v>
      </c>
      <c r="P27" t="n">
        <v>22.199589</v>
      </c>
      <c r="Q27" t="n">
        <v>22.626129</v>
      </c>
      <c r="R27" t="n">
        <v>23.029554</v>
      </c>
      <c r="S27" t="n">
        <v>23.41511</v>
      </c>
      <c r="T27" t="n">
        <v>23.656843</v>
      </c>
      <c r="U27" t="n">
        <v>23.802324</v>
      </c>
      <c r="V27" t="n">
        <v>23.743452</v>
      </c>
      <c r="W27" t="n">
        <v>23.539431</v>
      </c>
      <c r="X27" t="n">
        <v>23.348461</v>
      </c>
      <c r="Y27" t="n">
        <v>23.399086</v>
      </c>
      <c r="Z27" t="n">
        <v>23.56638</v>
      </c>
      <c r="AA27" t="n">
        <v>23.736202</v>
      </c>
      <c r="AB27" t="n">
        <v>23.909195</v>
      </c>
      <c r="AC27" t="n">
        <v>24.016409</v>
      </c>
      <c r="AD27" t="n">
        <v>24.094131</v>
      </c>
      <c r="AE27" t="inlineStr">
        <is>
          <t>1.1%</t>
        </is>
      </c>
    </row>
    <row r="28">
      <c r="A28" t="inlineStr">
        <is>
          <t>E85</t>
        </is>
      </c>
      <c r="B28" t="inlineStr">
        <is>
          <t>Energy Prices: Transportation: E85: Alternative Electricity and Transportation</t>
        </is>
      </c>
      <c r="C28" t="inlineStr">
        <is>
          <t>AEO.2026.ELECTRNP.PRCE_REAL_TRN_NA_E85_NA_NA_Y13DLRPMMBTU.A</t>
        </is>
      </c>
      <c r="D28" t="inlineStr">
        <is>
          <t>2025 $/MMBtu</t>
        </is>
      </c>
      <c r="E28" t="n">
        <v>30.587164</v>
      </c>
      <c r="F28" t="n">
        <v>30.36919</v>
      </c>
      <c r="G28" t="n">
        <v>28.677048</v>
      </c>
      <c r="H28" t="n">
        <v>28.2055</v>
      </c>
      <c r="I28" t="n">
        <v>28.333576</v>
      </c>
      <c r="J28" t="n">
        <v>27.90696</v>
      </c>
      <c r="K28" t="n">
        <v>28.297533</v>
      </c>
      <c r="L28" t="n">
        <v>28.363214</v>
      </c>
      <c r="M28" t="n">
        <v>28.906786</v>
      </c>
      <c r="N28" t="n">
        <v>29.033493</v>
      </c>
      <c r="O28" t="n">
        <v>29.410183</v>
      </c>
      <c r="P28" t="n">
        <v>29.609522</v>
      </c>
      <c r="Q28" t="n">
        <v>30.050383</v>
      </c>
      <c r="R28" t="n">
        <v>30.233578</v>
      </c>
      <c r="S28" t="n">
        <v>30.387833</v>
      </c>
      <c r="T28" t="n">
        <v>30.462471</v>
      </c>
      <c r="U28" t="n">
        <v>30.467457</v>
      </c>
      <c r="V28" t="n">
        <v>30.653212</v>
      </c>
      <c r="W28" t="n">
        <v>30.740496</v>
      </c>
      <c r="X28" t="n">
        <v>30.804457</v>
      </c>
      <c r="Y28" t="n">
        <v>31.101137</v>
      </c>
      <c r="Z28" t="n">
        <v>31.1141</v>
      </c>
      <c r="AA28" t="n">
        <v>31.294554</v>
      </c>
      <c r="AB28" t="n">
        <v>31.505432</v>
      </c>
      <c r="AC28" t="n">
        <v>31.763111</v>
      </c>
      <c r="AD28" t="n">
        <v>31.845535</v>
      </c>
      <c r="AE28" t="inlineStr">
        <is>
          <t>0.2%</t>
        </is>
      </c>
    </row>
    <row r="29">
      <c r="A29" t="inlineStr">
        <is>
          <t>Motor Gasoline</t>
        </is>
      </c>
      <c r="B29" t="inlineStr">
        <is>
          <t>Energy Prices: Transportation: Motor Gasoline: Alternative Electricity and Transportation</t>
        </is>
      </c>
      <c r="C29" t="inlineStr">
        <is>
          <t>AEO.2026.ELECTRNP.PRCE_REAL_TRN_NA_MGS_NA_NA_Y13DLRPMMBTU.A</t>
        </is>
      </c>
      <c r="D29" t="inlineStr">
        <is>
          <t>2025 $/MMBtu</t>
        </is>
      </c>
      <c r="E29" t="n">
        <v>26.463598</v>
      </c>
      <c r="F29" t="n">
        <v>24.831171</v>
      </c>
      <c r="G29" t="n">
        <v>23.518368</v>
      </c>
      <c r="H29" t="n">
        <v>23.004744</v>
      </c>
      <c r="I29" t="n">
        <v>23.038351</v>
      </c>
      <c r="J29" t="n">
        <v>23.289743</v>
      </c>
      <c r="K29" t="n">
        <v>23.568689</v>
      </c>
      <c r="L29" t="n">
        <v>23.684021</v>
      </c>
      <c r="M29" t="n">
        <v>24.450918</v>
      </c>
      <c r="N29" t="n">
        <v>24.526552</v>
      </c>
      <c r="O29" t="n">
        <v>24.818319</v>
      </c>
      <c r="P29" t="n">
        <v>24.988811</v>
      </c>
      <c r="Q29" t="n">
        <v>25.278088</v>
      </c>
      <c r="R29" t="n">
        <v>25.447397</v>
      </c>
      <c r="S29" t="n">
        <v>25.542393</v>
      </c>
      <c r="T29" t="n">
        <v>25.600281</v>
      </c>
      <c r="U29" t="n">
        <v>25.635571</v>
      </c>
      <c r="V29" t="n">
        <v>25.792301</v>
      </c>
      <c r="W29" t="n">
        <v>25.817257</v>
      </c>
      <c r="X29" t="n">
        <v>25.84659</v>
      </c>
      <c r="Y29" t="n">
        <v>26.046753</v>
      </c>
      <c r="Z29" t="n">
        <v>26.044968</v>
      </c>
      <c r="AA29" t="n">
        <v>26.29113</v>
      </c>
      <c r="AB29" t="n">
        <v>26.432318</v>
      </c>
      <c r="AC29" t="n">
        <v>26.660412</v>
      </c>
      <c r="AD29" t="n">
        <v>26.726423</v>
      </c>
      <c r="AE29" t="inlineStr">
        <is>
          <t>0.0%</t>
        </is>
      </c>
    </row>
    <row r="30">
      <c r="A30" t="inlineStr">
        <is>
          <t>Jet Fuel</t>
        </is>
      </c>
      <c r="B30" t="inlineStr">
        <is>
          <t>Energy Prices: Transportation: Jet Fuel: Alternative Electricity and Transportation</t>
        </is>
      </c>
      <c r="C30" t="inlineStr">
        <is>
          <t>AEO.2026.ELECTRNP.PRCE_REAL_TRN_NA_JFL_NA_NA_Y13DLRPMMBTU.A</t>
        </is>
      </c>
      <c r="D30" t="inlineStr">
        <is>
          <t>2025 $/MMBtu</t>
        </is>
      </c>
      <c r="E30" t="n">
        <v>16.24399</v>
      </c>
      <c r="F30" t="n">
        <v>14.4871</v>
      </c>
      <c r="G30" t="n">
        <v>15.513252</v>
      </c>
      <c r="H30" t="n">
        <v>16.03964</v>
      </c>
      <c r="I30" t="n">
        <v>16.462814</v>
      </c>
      <c r="J30" t="n">
        <v>16.312712</v>
      </c>
      <c r="K30" t="n">
        <v>16.80451</v>
      </c>
      <c r="L30" t="n">
        <v>16.986189</v>
      </c>
      <c r="M30" t="n">
        <v>17.484211</v>
      </c>
      <c r="N30" t="n">
        <v>17.613974</v>
      </c>
      <c r="O30" t="n">
        <v>17.961834</v>
      </c>
      <c r="P30" t="n">
        <v>18.126896</v>
      </c>
      <c r="Q30" t="n">
        <v>18.469297</v>
      </c>
      <c r="R30" t="n">
        <v>18.758896</v>
      </c>
      <c r="S30" t="n">
        <v>18.889296</v>
      </c>
      <c r="T30" t="n">
        <v>19.018703</v>
      </c>
      <c r="U30" t="n">
        <v>19.250025</v>
      </c>
      <c r="V30" t="n">
        <v>19.479725</v>
      </c>
      <c r="W30" t="n">
        <v>19.698156</v>
      </c>
      <c r="X30" t="n">
        <v>19.915535</v>
      </c>
      <c r="Y30" t="n">
        <v>20.284185</v>
      </c>
      <c r="Z30" t="n">
        <v>20.584663</v>
      </c>
      <c r="AA30" t="n">
        <v>20.83234</v>
      </c>
      <c r="AB30" t="n">
        <v>21.223341</v>
      </c>
      <c r="AC30" t="n">
        <v>21.568563</v>
      </c>
      <c r="AD30" t="n">
        <v>21.66478</v>
      </c>
      <c r="AE30" t="inlineStr">
        <is>
          <t>1.2%</t>
        </is>
      </c>
    </row>
    <row r="31">
      <c r="A31" t="inlineStr">
        <is>
          <t>Diesel Fuel (distillate fuel oil)</t>
        </is>
      </c>
      <c r="B31" t="inlineStr">
        <is>
          <t>Energy Prices: Transportation: Diesel Fuel: Alternative Electricity and Transportation</t>
        </is>
      </c>
      <c r="C31" t="inlineStr">
        <is>
          <t>AEO.2026.ELECTRNP.PRCE_REAL_TRN_NA_DFU_NA_NA_Y13DLRPMMBTU.A</t>
        </is>
      </c>
      <c r="D31" t="inlineStr">
        <is>
          <t>2025 $/MMBtu</t>
        </is>
      </c>
      <c r="E31" t="n">
        <v>26.549246</v>
      </c>
      <c r="F31" t="n">
        <v>24.754402</v>
      </c>
      <c r="G31" t="n">
        <v>25.146049</v>
      </c>
      <c r="H31" t="n">
        <v>25.384148</v>
      </c>
      <c r="I31" t="n">
        <v>25.486162</v>
      </c>
      <c r="J31" t="n">
        <v>25.511885</v>
      </c>
      <c r="K31" t="n">
        <v>25.44924</v>
      </c>
      <c r="L31" t="n">
        <v>25.436338</v>
      </c>
      <c r="M31" t="n">
        <v>26.519083</v>
      </c>
      <c r="N31" t="n">
        <v>26.532316</v>
      </c>
      <c r="O31" t="n">
        <v>26.699427</v>
      </c>
      <c r="P31" t="n">
        <v>27.012766</v>
      </c>
      <c r="Q31" t="n">
        <v>27.32885</v>
      </c>
      <c r="R31" t="n">
        <v>27.564703</v>
      </c>
      <c r="S31" t="n">
        <v>27.733109</v>
      </c>
      <c r="T31" t="n">
        <v>27.806482</v>
      </c>
      <c r="U31" t="n">
        <v>27.91873</v>
      </c>
      <c r="V31" t="n">
        <v>28.089151</v>
      </c>
      <c r="W31" t="n">
        <v>28.242386</v>
      </c>
      <c r="X31" t="n">
        <v>28.371828</v>
      </c>
      <c r="Y31" t="n">
        <v>28.690002</v>
      </c>
      <c r="Z31" t="n">
        <v>28.967188</v>
      </c>
      <c r="AA31" t="n">
        <v>29.070974</v>
      </c>
      <c r="AB31" t="n">
        <v>29.503574</v>
      </c>
      <c r="AC31" t="n">
        <v>29.85874</v>
      </c>
      <c r="AD31" t="n">
        <v>29.888166</v>
      </c>
      <c r="AE31" t="inlineStr">
        <is>
          <t>0.5%</t>
        </is>
      </c>
    </row>
    <row r="32">
      <c r="A32" t="inlineStr">
        <is>
          <t>Residual Fuel Oil</t>
        </is>
      </c>
      <c r="B32" t="inlineStr">
        <is>
          <t>Energy Prices: Transportation: Residual Fuel Oil: Alternative Electricity and Transportation</t>
        </is>
      </c>
      <c r="C32" t="inlineStr">
        <is>
          <t>AEO.2026.ELECTRNP.PRCE_REAL_TRN_NA_RFO_NA_NA_Y13DLRPMMBTU.A</t>
        </is>
      </c>
      <c r="D32" t="inlineStr">
        <is>
          <t>2025 $/MMBtu</t>
        </is>
      </c>
      <c r="E32" t="n">
        <v>11.500687</v>
      </c>
      <c r="F32" t="n">
        <v>8.931035</v>
      </c>
      <c r="G32" t="n">
        <v>9.992164000000001</v>
      </c>
      <c r="H32" t="n">
        <v>10.493447</v>
      </c>
      <c r="I32" t="n">
        <v>10.883081</v>
      </c>
      <c r="J32" t="n">
        <v>10.811728</v>
      </c>
      <c r="K32" t="n">
        <v>11.4814</v>
      </c>
      <c r="L32" t="n">
        <v>11.471013</v>
      </c>
      <c r="M32" t="n">
        <v>11.732704</v>
      </c>
      <c r="N32" t="n">
        <v>11.79624</v>
      </c>
      <c r="O32" t="n">
        <v>11.959019</v>
      </c>
      <c r="P32" t="n">
        <v>12.090819</v>
      </c>
      <c r="Q32" t="n">
        <v>12.15266</v>
      </c>
      <c r="R32" t="n">
        <v>12.296811</v>
      </c>
      <c r="S32" t="n">
        <v>12.393431</v>
      </c>
      <c r="T32" t="n">
        <v>12.606599</v>
      </c>
      <c r="U32" t="n">
        <v>12.850627</v>
      </c>
      <c r="V32" t="n">
        <v>12.981843</v>
      </c>
      <c r="W32" t="n">
        <v>13.100346</v>
      </c>
      <c r="X32" t="n">
        <v>13.21874</v>
      </c>
      <c r="Y32" t="n">
        <v>13.412382</v>
      </c>
      <c r="Z32" t="n">
        <v>13.543149</v>
      </c>
      <c r="AA32" t="n">
        <v>13.652481</v>
      </c>
      <c r="AB32" t="n">
        <v>13.942177</v>
      </c>
      <c r="AC32" t="n">
        <v>14.112513</v>
      </c>
      <c r="AD32" t="n">
        <v>14.196051</v>
      </c>
      <c r="AE32" t="inlineStr">
        <is>
          <t>0.8%</t>
        </is>
      </c>
    </row>
    <row r="33">
      <c r="A33" t="inlineStr">
        <is>
          <t>Natural Gas</t>
        </is>
      </c>
      <c r="B33" t="inlineStr">
        <is>
          <t>Energy Prices: Transportation: Natural Gas: Alternative Electricity and Transportation</t>
        </is>
      </c>
      <c r="C33" t="inlineStr">
        <is>
          <t>AEO.2026.ELECTRNP.PRCE_REAL_TRN_NA_NG_NA_NA_Y13DLRPMMBTU.A</t>
        </is>
      </c>
      <c r="D33" t="inlineStr">
        <is>
          <t>2025 $/MMBtu</t>
        </is>
      </c>
      <c r="E33" t="n">
        <v>17.201744</v>
      </c>
      <c r="F33" t="n">
        <v>17.367626</v>
      </c>
      <c r="G33" t="n">
        <v>17.20513</v>
      </c>
      <c r="H33" t="n">
        <v>17.230907</v>
      </c>
      <c r="I33" t="n">
        <v>17.254618</v>
      </c>
      <c r="J33" t="n">
        <v>17.582851</v>
      </c>
      <c r="K33" t="n">
        <v>17.762487</v>
      </c>
      <c r="L33" t="n">
        <v>17.762171</v>
      </c>
      <c r="M33" t="n">
        <v>18.35153</v>
      </c>
      <c r="N33" t="n">
        <v>18.259518</v>
      </c>
      <c r="O33" t="n">
        <v>18.228081</v>
      </c>
      <c r="P33" t="n">
        <v>18.170092</v>
      </c>
      <c r="Q33" t="n">
        <v>18.233154</v>
      </c>
      <c r="R33" t="n">
        <v>18.165155</v>
      </c>
      <c r="S33" t="n">
        <v>18.111385</v>
      </c>
      <c r="T33" t="n">
        <v>18.037727</v>
      </c>
      <c r="U33" t="n">
        <v>17.903183</v>
      </c>
      <c r="V33" t="n">
        <v>17.6322</v>
      </c>
      <c r="W33" t="n">
        <v>17.3223</v>
      </c>
      <c r="X33" t="n">
        <v>17.006472</v>
      </c>
      <c r="Y33" t="n">
        <v>16.781309</v>
      </c>
      <c r="Z33" t="n">
        <v>16.668741</v>
      </c>
      <c r="AA33" t="n">
        <v>16.575771</v>
      </c>
      <c r="AB33" t="n">
        <v>16.473715</v>
      </c>
      <c r="AC33" t="n">
        <v>16.353365</v>
      </c>
      <c r="AD33" t="n">
        <v>16.210371</v>
      </c>
      <c r="AE33" t="inlineStr">
        <is>
          <t>-0.2%</t>
        </is>
      </c>
    </row>
    <row r="34">
      <c r="A34" t="inlineStr">
        <is>
          <t>Hydrogen</t>
        </is>
      </c>
      <c r="B34" t="inlineStr">
        <is>
          <t>Energy Prices: Transportation: Hydrogen: Alternative Electricity and Transportation</t>
        </is>
      </c>
      <c r="C34" t="inlineStr">
        <is>
          <t>AEO.2026.ELECTRNP.PRCE_REAL_TRN_NA_HDG_NA_NA_Y13DLRPMMBTU.A</t>
        </is>
      </c>
      <c r="D34" t="inlineStr">
        <is>
          <t>2025 $/MMBtu</t>
        </is>
      </c>
      <c r="E34" t="n">
        <v>62.374836</v>
      </c>
      <c r="F34" t="n">
        <v>62.746746</v>
      </c>
      <c r="G34" t="n">
        <v>62.738457</v>
      </c>
      <c r="H34" t="n">
        <v>63.015266</v>
      </c>
      <c r="I34" t="n">
        <v>63.048782</v>
      </c>
      <c r="J34" t="n">
        <v>63.657555</v>
      </c>
      <c r="K34" t="n">
        <v>64.01380899999999</v>
      </c>
      <c r="L34" t="n">
        <v>64.172546</v>
      </c>
      <c r="M34" t="n">
        <v>63.995075</v>
      </c>
      <c r="N34" t="n">
        <v>64.05296300000001</v>
      </c>
      <c r="O34" t="n">
        <v>64.01557200000001</v>
      </c>
      <c r="P34" t="n">
        <v>64.19388600000001</v>
      </c>
      <c r="Q34" t="n">
        <v>64.20079800000001</v>
      </c>
      <c r="R34" t="n">
        <v>64.280998</v>
      </c>
      <c r="S34" t="n">
        <v>64.31958</v>
      </c>
      <c r="T34" t="n">
        <v>64.38368199999999</v>
      </c>
      <c r="U34" t="n">
        <v>64.349739</v>
      </c>
      <c r="V34" t="n">
        <v>64.173012</v>
      </c>
      <c r="W34" t="n">
        <v>63.824421</v>
      </c>
      <c r="X34" t="n">
        <v>63.489323</v>
      </c>
      <c r="Y34" t="n">
        <v>63.327377</v>
      </c>
      <c r="Z34" t="n">
        <v>63.308292</v>
      </c>
      <c r="AA34" t="n">
        <v>63.319298</v>
      </c>
      <c r="AB34" t="n">
        <v>63.316147</v>
      </c>
      <c r="AC34" t="n">
        <v>63.268272</v>
      </c>
      <c r="AD34" t="n">
        <v>63.212685</v>
      </c>
      <c r="AE34" t="inlineStr">
        <is>
          <t>0.1%</t>
        </is>
      </c>
    </row>
    <row r="35">
      <c r="A35" t="inlineStr">
        <is>
          <t>Electricity</t>
        </is>
      </c>
      <c r="B35" t="inlineStr">
        <is>
          <t>Energy Prices: Transportation: Electricity: Alternative Electricity and Transportation</t>
        </is>
      </c>
      <c r="C35" t="inlineStr">
        <is>
          <t>AEO.2026.ELECTRNP.PRCE_REAL_TRN_NA_ELC_NA_NA_Y13DLRPMMBTU.A</t>
        </is>
      </c>
      <c r="D35" t="inlineStr">
        <is>
          <t>2025 $/MMBtu</t>
        </is>
      </c>
      <c r="E35" t="n">
        <v>45.167717</v>
      </c>
      <c r="F35" t="n">
        <v>45.211803</v>
      </c>
      <c r="G35" t="n">
        <v>43.827431</v>
      </c>
      <c r="H35" t="n">
        <v>42.073334</v>
      </c>
      <c r="I35" t="n">
        <v>42.334553</v>
      </c>
      <c r="J35" t="n">
        <v>42.817829</v>
      </c>
      <c r="K35" t="n">
        <v>42.929928</v>
      </c>
      <c r="L35" t="n">
        <v>42.931519</v>
      </c>
      <c r="M35" t="n">
        <v>43.02079</v>
      </c>
      <c r="N35" t="n">
        <v>43.47242</v>
      </c>
      <c r="O35" t="n">
        <v>43.645496</v>
      </c>
      <c r="P35" t="n">
        <v>43.821453</v>
      </c>
      <c r="Q35" t="n">
        <v>44.27552</v>
      </c>
      <c r="R35" t="n">
        <v>44.603706</v>
      </c>
      <c r="S35" t="n">
        <v>44.946266</v>
      </c>
      <c r="T35" t="n">
        <v>45.146526</v>
      </c>
      <c r="U35" t="n">
        <v>45.177845</v>
      </c>
      <c r="V35" t="n">
        <v>45.216255</v>
      </c>
      <c r="W35" t="n">
        <v>45.159939</v>
      </c>
      <c r="X35" t="n">
        <v>45.161938</v>
      </c>
      <c r="Y35" t="n">
        <v>45.029476</v>
      </c>
      <c r="Z35" t="n">
        <v>45.154152</v>
      </c>
      <c r="AA35" t="n">
        <v>45.380165</v>
      </c>
      <c r="AB35" t="n">
        <v>45.611683</v>
      </c>
      <c r="AC35" t="n">
        <v>45.634094</v>
      </c>
      <c r="AD35" t="n">
        <v>45.765835</v>
      </c>
      <c r="AE35" t="inlineStr">
        <is>
          <t>0.1%</t>
        </is>
      </c>
    </row>
    <row r="36">
      <c r="A36" t="inlineStr">
        <is>
          <t>Electric Power</t>
        </is>
      </c>
    </row>
    <row r="37">
      <c r="A37" t="inlineStr">
        <is>
          <t>Distillate Fuel Oil</t>
        </is>
      </c>
      <c r="B37" t="inlineStr">
        <is>
          <t>Energy Prices: Electric Power: Distillate Fuel Oil: Alternative Electricity and Transportation</t>
        </is>
      </c>
      <c r="C37" t="inlineStr">
        <is>
          <t>AEO.2026.ELECTRNP.PRCE_REAL_ELEP_NA_DFO_NA_NA_Y13DLRPMMBTU.A</t>
        </is>
      </c>
      <c r="D37" t="inlineStr">
        <is>
          <t>2025 $/MMBtu</t>
        </is>
      </c>
      <c r="E37" t="n">
        <v>26.278624</v>
      </c>
      <c r="F37" t="n">
        <v>23.83396</v>
      </c>
      <c r="G37" t="n">
        <v>23.667582</v>
      </c>
      <c r="H37" t="n">
        <v>23.0767</v>
      </c>
      <c r="I37" t="n">
        <v>22.468193</v>
      </c>
      <c r="J37" t="n">
        <v>21.169487</v>
      </c>
      <c r="K37" t="n">
        <v>20.318287</v>
      </c>
      <c r="L37" t="n">
        <v>20.499811</v>
      </c>
      <c r="M37" t="n">
        <v>20.884249</v>
      </c>
      <c r="N37" t="n">
        <v>20.985836</v>
      </c>
      <c r="O37" t="n">
        <v>21.269566</v>
      </c>
      <c r="P37" t="n">
        <v>21.363935</v>
      </c>
      <c r="Q37" t="n">
        <v>21.671391</v>
      </c>
      <c r="R37" t="n">
        <v>21.886341</v>
      </c>
      <c r="S37" t="n">
        <v>21.976656</v>
      </c>
      <c r="T37" t="n">
        <v>22.05175</v>
      </c>
      <c r="U37" t="n">
        <v>22.177374</v>
      </c>
      <c r="V37" t="n">
        <v>22.304358</v>
      </c>
      <c r="W37" t="n">
        <v>22.457405</v>
      </c>
      <c r="X37" t="n">
        <v>22.544127</v>
      </c>
      <c r="Y37" t="n">
        <v>22.767513</v>
      </c>
      <c r="Z37" t="n">
        <v>23.029613</v>
      </c>
      <c r="AA37" t="n">
        <v>23.194906</v>
      </c>
      <c r="AB37" t="n">
        <v>23.517214</v>
      </c>
      <c r="AC37" t="n">
        <v>23.876028</v>
      </c>
      <c r="AD37" t="n">
        <v>23.956615</v>
      </c>
      <c r="AE37" t="inlineStr">
        <is>
          <t>-0.4%</t>
        </is>
      </c>
    </row>
    <row r="38">
      <c r="A38" t="inlineStr">
        <is>
          <t>Residual Fuel Oil</t>
        </is>
      </c>
      <c r="B38" t="inlineStr">
        <is>
          <t>Energy Prices: Electric Power: Residual Fuel Oil: Alternative Electricity and Transportation</t>
        </is>
      </c>
      <c r="C38" t="inlineStr">
        <is>
          <t>AEO.2026.ELECTRNP.PRCE_REAL_ELEP_NA_RFO_NA_NA_Y13DLRPMMBTU.A</t>
        </is>
      </c>
      <c r="D38" t="inlineStr">
        <is>
          <t>2025 $/MMBtu</t>
        </is>
      </c>
      <c r="E38" t="n">
        <v>15.195043</v>
      </c>
      <c r="F38" t="n">
        <v>11.392761</v>
      </c>
      <c r="G38" t="n">
        <v>12.551583</v>
      </c>
      <c r="H38" t="n">
        <v>13.300132</v>
      </c>
      <c r="I38" t="n">
        <v>13.720533</v>
      </c>
      <c r="J38" t="n">
        <v>13.623014</v>
      </c>
      <c r="K38" t="n">
        <v>14.514482</v>
      </c>
      <c r="L38" t="n">
        <v>14.386337</v>
      </c>
      <c r="M38" t="n">
        <v>14.620389</v>
      </c>
      <c r="N38" t="n">
        <v>14.717921</v>
      </c>
      <c r="O38" t="n">
        <v>14.781165</v>
      </c>
      <c r="P38" t="n">
        <v>14.877487</v>
      </c>
      <c r="Q38" t="n">
        <v>14.899772</v>
      </c>
      <c r="R38" t="n">
        <v>14.996532</v>
      </c>
      <c r="S38" t="n">
        <v>15.10175</v>
      </c>
      <c r="T38" t="n">
        <v>15.246218</v>
      </c>
      <c r="U38" t="n">
        <v>15.251705</v>
      </c>
      <c r="V38" t="n">
        <v>15.076466</v>
      </c>
      <c r="W38" t="n">
        <v>14.716722</v>
      </c>
      <c r="X38" t="n">
        <v>14.241821</v>
      </c>
      <c r="Y38" t="n">
        <v>13.642546</v>
      </c>
      <c r="Z38" t="n">
        <v>13.774843</v>
      </c>
      <c r="AA38" t="n">
        <v>13.929864</v>
      </c>
      <c r="AB38" t="n">
        <v>14.288077</v>
      </c>
      <c r="AC38" t="n">
        <v>14.514351</v>
      </c>
      <c r="AD38" t="n">
        <v>14.621839</v>
      </c>
      <c r="AE38" t="inlineStr">
        <is>
          <t>-0.2%</t>
        </is>
      </c>
    </row>
    <row r="39">
      <c r="A39" t="inlineStr">
        <is>
          <t>Natural Gas</t>
        </is>
      </c>
      <c r="B39" t="inlineStr">
        <is>
          <t>Energy Prices: Electric Power: Natural Gas: Alternative Electricity and Transportation</t>
        </is>
      </c>
      <c r="C39" t="inlineStr">
        <is>
          <t>AEO.2026.ELECTRNP.PRCE_REAL_ELEP_NA_NG_NA_NA_Y13DLRPMMBTU.A</t>
        </is>
      </c>
      <c r="D39" t="inlineStr">
        <is>
          <t>2025 $/MMBtu</t>
        </is>
      </c>
      <c r="E39" t="n">
        <v>3.808666</v>
      </c>
      <c r="F39" t="n">
        <v>3.996138</v>
      </c>
      <c r="G39" t="n">
        <v>3.841855</v>
      </c>
      <c r="H39" t="n">
        <v>3.903839</v>
      </c>
      <c r="I39" t="n">
        <v>4.022358</v>
      </c>
      <c r="J39" t="n">
        <v>4.488593</v>
      </c>
      <c r="K39" t="n">
        <v>4.807109</v>
      </c>
      <c r="L39" t="n">
        <v>4.867753</v>
      </c>
      <c r="M39" t="n">
        <v>4.861639</v>
      </c>
      <c r="N39" t="n">
        <v>4.921796</v>
      </c>
      <c r="O39" t="n">
        <v>4.90788</v>
      </c>
      <c r="P39" t="n">
        <v>4.991194</v>
      </c>
      <c r="Q39" t="n">
        <v>5.102775</v>
      </c>
      <c r="R39" t="n">
        <v>5.07047</v>
      </c>
      <c r="S39" t="n">
        <v>5.177992</v>
      </c>
      <c r="T39" t="n">
        <v>5.210255</v>
      </c>
      <c r="U39" t="n">
        <v>5.140097</v>
      </c>
      <c r="V39" t="n">
        <v>4.979245</v>
      </c>
      <c r="W39" t="n">
        <v>4.803178</v>
      </c>
      <c r="X39" t="n">
        <v>4.618877</v>
      </c>
      <c r="Y39" t="n">
        <v>4.497294</v>
      </c>
      <c r="Z39" t="n">
        <v>4.476685</v>
      </c>
      <c r="AA39" t="n">
        <v>4.468712</v>
      </c>
      <c r="AB39" t="n">
        <v>4.490125</v>
      </c>
      <c r="AC39" t="n">
        <v>4.482105</v>
      </c>
      <c r="AD39" t="n">
        <v>4.460569</v>
      </c>
      <c r="AE39" t="inlineStr">
        <is>
          <t>0.6%</t>
        </is>
      </c>
    </row>
    <row r="40">
      <c r="A40" t="inlineStr">
        <is>
          <t>Steam Coal</t>
        </is>
      </c>
      <c r="B40" t="inlineStr">
        <is>
          <t>Energy Prices: Electric Power: Steam Coal: Alternative Electricity and Transportation</t>
        </is>
      </c>
      <c r="C40" t="inlineStr">
        <is>
          <t>AEO.2026.ELECTRNP.PRCE_REAL_ELEP_NA_STC_NA_NA_Y13DLRPMMBTU.A</t>
        </is>
      </c>
      <c r="D40" t="inlineStr">
        <is>
          <t>2025 $/MMBtu</t>
        </is>
      </c>
      <c r="E40" t="n">
        <v>2.563418</v>
      </c>
      <c r="F40" t="n">
        <v>2.517128</v>
      </c>
      <c r="G40" t="n">
        <v>2.476177</v>
      </c>
      <c r="H40" t="n">
        <v>2.460434</v>
      </c>
      <c r="I40" t="n">
        <v>2.453598</v>
      </c>
      <c r="J40" t="n">
        <v>2.465424</v>
      </c>
      <c r="K40" t="n">
        <v>2.420226</v>
      </c>
      <c r="L40" t="n">
        <v>2.404923</v>
      </c>
      <c r="M40" t="n">
        <v>2.399562</v>
      </c>
      <c r="N40" t="n">
        <v>2.37884</v>
      </c>
      <c r="O40" t="n">
        <v>2.376873</v>
      </c>
      <c r="P40" t="n">
        <v>2.373297</v>
      </c>
      <c r="Q40" t="n">
        <v>2.412463</v>
      </c>
      <c r="R40" t="n">
        <v>2.417426</v>
      </c>
      <c r="S40" t="n">
        <v>2.434603</v>
      </c>
      <c r="T40" t="n">
        <v>2.440476</v>
      </c>
      <c r="U40" t="n">
        <v>2.433299</v>
      </c>
      <c r="V40" t="n">
        <v>2.431062</v>
      </c>
      <c r="W40" t="n">
        <v>2.44073</v>
      </c>
      <c r="X40" t="n">
        <v>2.431652</v>
      </c>
      <c r="Y40" t="n">
        <v>2.441896</v>
      </c>
      <c r="Z40" t="n">
        <v>2.455096</v>
      </c>
      <c r="AA40" t="n">
        <v>2.464806</v>
      </c>
      <c r="AB40" t="n">
        <v>2.473632</v>
      </c>
      <c r="AC40" t="n">
        <v>2.503402</v>
      </c>
      <c r="AD40" t="n">
        <v>2.503686</v>
      </c>
      <c r="AE40" t="inlineStr">
        <is>
          <t>-0.1%</t>
        </is>
      </c>
    </row>
    <row r="41">
      <c r="A41" t="inlineStr">
        <is>
          <t>Nuclear Fuel</t>
        </is>
      </c>
      <c r="B41" t="inlineStr">
        <is>
          <t>Energy Prices: Electric Power: Nuclear Fuel: Alternative Electricity and Transportation</t>
        </is>
      </c>
      <c r="C41" t="inlineStr">
        <is>
          <t>AEO.2026.ELECTRNP.PRCE_REAL_ELEP_NA_U_NA_NA_Y13DLRPMMBTU.A</t>
        </is>
      </c>
      <c r="D41" t="inlineStr">
        <is>
          <t>2025 $/MMBtu</t>
        </is>
      </c>
      <c r="E41" t="n">
        <v>0.549997</v>
      </c>
      <c r="F41" t="n">
        <v>0.545068</v>
      </c>
      <c r="G41" t="n">
        <v>0.544083</v>
      </c>
      <c r="H41" t="n">
        <v>0.542111</v>
      </c>
      <c r="I41" t="n">
        <v>0.54014</v>
      </c>
      <c r="J41" t="n">
        <v>0.538169</v>
      </c>
      <c r="K41" t="n">
        <v>0.535212</v>
      </c>
      <c r="L41" t="n">
        <v>0.532255</v>
      </c>
      <c r="M41" t="n">
        <v>0.529298</v>
      </c>
      <c r="N41" t="n">
        <v>0.525355</v>
      </c>
      <c r="O41" t="n">
        <v>0.521413</v>
      </c>
      <c r="P41" t="n">
        <v>0.51747</v>
      </c>
      <c r="Q41" t="n">
        <v>0.514513</v>
      </c>
      <c r="R41" t="n">
        <v>0.511556</v>
      </c>
      <c r="S41" t="n">
        <v>0.508599</v>
      </c>
      <c r="T41" t="n">
        <v>0.504656</v>
      </c>
      <c r="U41" t="n">
        <v>0.501699</v>
      </c>
      <c r="V41" t="n">
        <v>0.497757</v>
      </c>
      <c r="W41" t="n">
        <v>0.4948</v>
      </c>
      <c r="X41" t="n">
        <v>0.490857</v>
      </c>
      <c r="Y41" t="n">
        <v>0.486915</v>
      </c>
      <c r="Z41" t="n">
        <v>0.482972</v>
      </c>
      <c r="AA41" t="n">
        <v>0.480015</v>
      </c>
      <c r="AB41" t="n">
        <v>0.476072</v>
      </c>
      <c r="AC41" t="n">
        <v>0.47213</v>
      </c>
      <c r="AD41" t="n">
        <v>0.468187</v>
      </c>
      <c r="AE41" t="inlineStr">
        <is>
          <t>-0.6%</t>
        </is>
      </c>
    </row>
    <row r="42">
      <c r="A42" t="inlineStr">
        <is>
          <t>Hydrogen</t>
        </is>
      </c>
      <c r="B42" t="inlineStr">
        <is>
          <t>Energy Prices: Electric Power: Hydrogen: Alternative Electricity and Transportation</t>
        </is>
      </c>
      <c r="C42" t="inlineStr">
        <is>
          <t>AEO.2026.ELECTRNP.PRCE_REAL_ELEP_NA_HDG_NA_NA_Y13DLRPMMBTU.A</t>
        </is>
      </c>
      <c r="D42" t="inlineStr">
        <is>
          <t>2025 $/MMBtu</t>
        </is>
      </c>
      <c r="E42" t="n">
        <v>11.501233</v>
      </c>
      <c r="F42" t="n">
        <v>11.889143</v>
      </c>
      <c r="G42" t="n">
        <v>11.882795</v>
      </c>
      <c r="H42" t="n">
        <v>12.018814</v>
      </c>
      <c r="I42" t="n">
        <v>12.101516</v>
      </c>
      <c r="J42" t="n">
        <v>12.795125</v>
      </c>
      <c r="K42" t="n">
        <v>13.07889</v>
      </c>
      <c r="L42" t="n">
        <v>13.222679</v>
      </c>
      <c r="M42" t="n">
        <v>13.297702</v>
      </c>
      <c r="N42" t="n">
        <v>13.326265</v>
      </c>
      <c r="O42" t="n">
        <v>13.258114</v>
      </c>
      <c r="P42" t="n">
        <v>13.428031</v>
      </c>
      <c r="Q42" t="n">
        <v>13.448741</v>
      </c>
      <c r="R42" t="n">
        <v>13.548419</v>
      </c>
      <c r="S42" t="n">
        <v>13.640569</v>
      </c>
      <c r="T42" t="n">
        <v>13.690514</v>
      </c>
      <c r="U42" t="n">
        <v>13.610089</v>
      </c>
      <c r="V42" t="n">
        <v>13.418937</v>
      </c>
      <c r="W42" t="n">
        <v>13.098224</v>
      </c>
      <c r="X42" t="n">
        <v>12.831071</v>
      </c>
      <c r="Y42" t="n">
        <v>12.693266</v>
      </c>
      <c r="Z42" t="n">
        <v>12.639281</v>
      </c>
      <c r="AA42" t="n">
        <v>12.648698</v>
      </c>
      <c r="AB42" t="n">
        <v>12.653787</v>
      </c>
      <c r="AC42" t="n">
        <v>12.621601</v>
      </c>
      <c r="AD42" t="n">
        <v>12.580778</v>
      </c>
      <c r="AE42" t="inlineStr">
        <is>
          <t>0.4%</t>
        </is>
      </c>
    </row>
    <row r="43">
      <c r="A43" t="inlineStr">
        <is>
          <t>Average Price to All Users</t>
        </is>
      </c>
    </row>
    <row r="44">
      <c r="A44" t="inlineStr">
        <is>
          <t>Propane</t>
        </is>
      </c>
      <c r="B44" t="inlineStr">
        <is>
          <t>Energy Prices: Average Price to All Users: Propane: Alternative Electricity and Transportation</t>
        </is>
      </c>
      <c r="C44" t="inlineStr">
        <is>
          <t>AEO.2026.ELECTRNP.PRCE_REAL_TEN_NA_PROP_NA_NA_Y13DLRPMMBTU.A</t>
        </is>
      </c>
      <c r="D44" t="inlineStr">
        <is>
          <t>2025 $/MMBtu</t>
        </is>
      </c>
      <c r="E44" t="n">
        <v>22.702044</v>
      </c>
      <c r="F44" t="n">
        <v>22.01132</v>
      </c>
      <c r="G44" t="n">
        <v>19.890575</v>
      </c>
      <c r="H44" t="n">
        <v>20.410051</v>
      </c>
      <c r="I44" t="n">
        <v>21.036221</v>
      </c>
      <c r="J44" t="n">
        <v>21.90551</v>
      </c>
      <c r="K44" t="n">
        <v>23.090216</v>
      </c>
      <c r="L44" t="n">
        <v>23.818689</v>
      </c>
      <c r="M44" t="n">
        <v>24.668346</v>
      </c>
      <c r="N44" t="n">
        <v>25.227968</v>
      </c>
      <c r="O44" t="n">
        <v>25.747189</v>
      </c>
      <c r="P44" t="n">
        <v>26.245014</v>
      </c>
      <c r="Q44" t="n">
        <v>26.785839</v>
      </c>
      <c r="R44" t="n">
        <v>27.313734</v>
      </c>
      <c r="S44" t="n">
        <v>27.835369</v>
      </c>
      <c r="T44" t="n">
        <v>28.224968</v>
      </c>
      <c r="U44" t="n">
        <v>28.504122</v>
      </c>
      <c r="V44" t="n">
        <v>28.541237</v>
      </c>
      <c r="W44" t="n">
        <v>28.373795</v>
      </c>
      <c r="X44" t="n">
        <v>28.155216</v>
      </c>
      <c r="Y44" t="n">
        <v>28.14237</v>
      </c>
      <c r="Z44" t="n">
        <v>28.278894</v>
      </c>
      <c r="AA44" t="n">
        <v>28.458744</v>
      </c>
      <c r="AB44" t="n">
        <v>28.665367</v>
      </c>
      <c r="AC44" t="n">
        <v>28.819273</v>
      </c>
      <c r="AD44" t="n">
        <v>28.935324</v>
      </c>
      <c r="AE44" t="inlineStr">
        <is>
          <t>1.0%</t>
        </is>
      </c>
    </row>
    <row r="45">
      <c r="A45" t="inlineStr">
        <is>
          <t>E85</t>
        </is>
      </c>
      <c r="B45" t="inlineStr">
        <is>
          <t>Energy Prices: Average Price to All Users: E85: Alternative Electricity and Transportation</t>
        </is>
      </c>
      <c r="C45" t="inlineStr">
        <is>
          <t>AEO.2026.ELECTRNP.PRCE_REAL_TEN_NA_E85_NA_NA_Y13DLRPMMBTU.A</t>
        </is>
      </c>
      <c r="D45" t="inlineStr">
        <is>
          <t>2025 $/MMBtu</t>
        </is>
      </c>
      <c r="E45" t="n">
        <v>30.587164</v>
      </c>
      <c r="F45" t="n">
        <v>30.36919</v>
      </c>
      <c r="G45" t="n">
        <v>28.677048</v>
      </c>
      <c r="H45" t="n">
        <v>28.2055</v>
      </c>
      <c r="I45" t="n">
        <v>28.333576</v>
      </c>
      <c r="J45" t="n">
        <v>27.90696</v>
      </c>
      <c r="K45" t="n">
        <v>28.297533</v>
      </c>
      <c r="L45" t="n">
        <v>28.363214</v>
      </c>
      <c r="M45" t="n">
        <v>28.906786</v>
      </c>
      <c r="N45" t="n">
        <v>29.033493</v>
      </c>
      <c r="O45" t="n">
        <v>29.410183</v>
      </c>
      <c r="P45" t="n">
        <v>29.609522</v>
      </c>
      <c r="Q45" t="n">
        <v>30.050383</v>
      </c>
      <c r="R45" t="n">
        <v>30.233578</v>
      </c>
      <c r="S45" t="n">
        <v>30.387833</v>
      </c>
      <c r="T45" t="n">
        <v>30.462471</v>
      </c>
      <c r="U45" t="n">
        <v>30.467457</v>
      </c>
      <c r="V45" t="n">
        <v>30.653212</v>
      </c>
      <c r="W45" t="n">
        <v>30.740496</v>
      </c>
      <c r="X45" t="n">
        <v>30.804457</v>
      </c>
      <c r="Y45" t="n">
        <v>31.101137</v>
      </c>
      <c r="Z45" t="n">
        <v>31.1141</v>
      </c>
      <c r="AA45" t="n">
        <v>31.294554</v>
      </c>
      <c r="AB45" t="n">
        <v>31.505432</v>
      </c>
      <c r="AC45" t="n">
        <v>31.763111</v>
      </c>
      <c r="AD45" t="n">
        <v>31.845535</v>
      </c>
      <c r="AE45" t="inlineStr">
        <is>
          <t>0.2%</t>
        </is>
      </c>
    </row>
    <row r="46">
      <c r="A46" t="inlineStr">
        <is>
          <t>Motor Gasoline</t>
        </is>
      </c>
      <c r="B46" t="inlineStr">
        <is>
          <t>Energy Prices: Average Price to All Users: Motor Gasoline: Alternative Electricity and Transportation</t>
        </is>
      </c>
      <c r="C46" t="inlineStr">
        <is>
          <t>AEO.2026.ELECTRNP.PRCE_REAL_TEN_NA_MGS_NA_NA_Y13DLRPMMBTU.A</t>
        </is>
      </c>
      <c r="D46" t="inlineStr">
        <is>
          <t>2025 $/MMBtu</t>
        </is>
      </c>
      <c r="E46" t="n">
        <v>26.495358</v>
      </c>
      <c r="F46" t="n">
        <v>24.872759</v>
      </c>
      <c r="G46" t="n">
        <v>23.603987</v>
      </c>
      <c r="H46" t="n">
        <v>23.102119</v>
      </c>
      <c r="I46" t="n">
        <v>23.124382</v>
      </c>
      <c r="J46" t="n">
        <v>23.349243</v>
      </c>
      <c r="K46" t="n">
        <v>23.592163</v>
      </c>
      <c r="L46" t="n">
        <v>23.708321</v>
      </c>
      <c r="M46" t="n">
        <v>24.476206</v>
      </c>
      <c r="N46" t="n">
        <v>24.552603</v>
      </c>
      <c r="O46" t="n">
        <v>24.845331</v>
      </c>
      <c r="P46" t="n">
        <v>25.016809</v>
      </c>
      <c r="Q46" t="n">
        <v>25.307272</v>
      </c>
      <c r="R46" t="n">
        <v>25.477606</v>
      </c>
      <c r="S46" t="n">
        <v>25.573629</v>
      </c>
      <c r="T46" t="n">
        <v>25.632381</v>
      </c>
      <c r="U46" t="n">
        <v>25.668381</v>
      </c>
      <c r="V46" t="n">
        <v>25.825891</v>
      </c>
      <c r="W46" t="n">
        <v>25.851852</v>
      </c>
      <c r="X46" t="n">
        <v>25.881882</v>
      </c>
      <c r="Y46" t="n">
        <v>26.082901</v>
      </c>
      <c r="Z46" t="n">
        <v>26.081779</v>
      </c>
      <c r="AA46" t="n">
        <v>26.328762</v>
      </c>
      <c r="AB46" t="n">
        <v>26.4711</v>
      </c>
      <c r="AC46" t="n">
        <v>26.700232</v>
      </c>
      <c r="AD46" t="n">
        <v>26.76704</v>
      </c>
      <c r="AE46" t="inlineStr">
        <is>
          <t>0.0%</t>
        </is>
      </c>
    </row>
    <row r="47">
      <c r="A47" t="inlineStr">
        <is>
          <t>Jet Fuel</t>
        </is>
      </c>
      <c r="B47" t="inlineStr">
        <is>
          <t>Energy Prices: Average Price to All Users: Jet Fuel: Alternative Electricity and Transportation</t>
        </is>
      </c>
      <c r="C47" t="inlineStr">
        <is>
          <t>AEO.2026.ELECTRNP.PRCE_REAL_TEN_NA_JFL_NA_NA_Y13DLRPMMBTU.A</t>
        </is>
      </c>
      <c r="D47" t="inlineStr">
        <is>
          <t>2025 $/MMBtu</t>
        </is>
      </c>
      <c r="E47" t="n">
        <v>16.24399</v>
      </c>
      <c r="F47" t="n">
        <v>14.4871</v>
      </c>
      <c r="G47" t="n">
        <v>15.513252</v>
      </c>
      <c r="H47" t="n">
        <v>16.03964</v>
      </c>
      <c r="I47" t="n">
        <v>16.462814</v>
      </c>
      <c r="J47" t="n">
        <v>16.312712</v>
      </c>
      <c r="K47" t="n">
        <v>16.80451</v>
      </c>
      <c r="L47" t="n">
        <v>16.986189</v>
      </c>
      <c r="M47" t="n">
        <v>17.484211</v>
      </c>
      <c r="N47" t="n">
        <v>17.613974</v>
      </c>
      <c r="O47" t="n">
        <v>17.961834</v>
      </c>
      <c r="P47" t="n">
        <v>18.126896</v>
      </c>
      <c r="Q47" t="n">
        <v>18.469297</v>
      </c>
      <c r="R47" t="n">
        <v>18.758896</v>
      </c>
      <c r="S47" t="n">
        <v>18.889296</v>
      </c>
      <c r="T47" t="n">
        <v>19.018703</v>
      </c>
      <c r="U47" t="n">
        <v>19.250025</v>
      </c>
      <c r="V47" t="n">
        <v>19.479725</v>
      </c>
      <c r="W47" t="n">
        <v>19.698156</v>
      </c>
      <c r="X47" t="n">
        <v>19.915535</v>
      </c>
      <c r="Y47" t="n">
        <v>20.284185</v>
      </c>
      <c r="Z47" t="n">
        <v>20.584663</v>
      </c>
      <c r="AA47" t="n">
        <v>20.83234</v>
      </c>
      <c r="AB47" t="n">
        <v>21.223341</v>
      </c>
      <c r="AC47" t="n">
        <v>21.568563</v>
      </c>
      <c r="AD47" t="n">
        <v>21.66478</v>
      </c>
      <c r="AE47" t="inlineStr">
        <is>
          <t>1.2%</t>
        </is>
      </c>
    </row>
    <row r="48">
      <c r="A48" t="inlineStr">
        <is>
          <t>Distillate Fuel Oil</t>
        </is>
      </c>
      <c r="B48" t="inlineStr">
        <is>
          <t>Energy Prices: Average Price to All Users: Distillate Fuel Oil: Alternative Electricity and Transportation</t>
        </is>
      </c>
      <c r="C48" t="inlineStr">
        <is>
          <t>AEO.2026.ELECTRNP.PRCE_REAL_TEN_NA_DFO_NA_NA_Y13DLRPMMBTU.A</t>
        </is>
      </c>
      <c r="D48" t="inlineStr">
        <is>
          <t>2025 $/MMBtu</t>
        </is>
      </c>
      <c r="E48" t="n">
        <v>26.48362</v>
      </c>
      <c r="F48" t="n">
        <v>24.537634</v>
      </c>
      <c r="G48" t="n">
        <v>24.933687</v>
      </c>
      <c r="H48" t="n">
        <v>24.947424</v>
      </c>
      <c r="I48" t="n">
        <v>24.864519</v>
      </c>
      <c r="J48" t="n">
        <v>24.596664</v>
      </c>
      <c r="K48" t="n">
        <v>24.478802</v>
      </c>
      <c r="L48" t="n">
        <v>24.558308</v>
      </c>
      <c r="M48" t="n">
        <v>25.454048</v>
      </c>
      <c r="N48" t="n">
        <v>25.480738</v>
      </c>
      <c r="O48" t="n">
        <v>25.735588</v>
      </c>
      <c r="P48" t="n">
        <v>25.989059</v>
      </c>
      <c r="Q48" t="n">
        <v>26.231991</v>
      </c>
      <c r="R48" t="n">
        <v>26.447695</v>
      </c>
      <c r="S48" t="n">
        <v>26.59292</v>
      </c>
      <c r="T48" t="n">
        <v>26.702436</v>
      </c>
      <c r="U48" t="n">
        <v>26.871063</v>
      </c>
      <c r="V48" t="n">
        <v>27.024204</v>
      </c>
      <c r="W48" t="n">
        <v>27.179129</v>
      </c>
      <c r="X48" t="n">
        <v>27.326935</v>
      </c>
      <c r="Y48" t="n">
        <v>27.619408</v>
      </c>
      <c r="Z48" t="n">
        <v>27.856705</v>
      </c>
      <c r="AA48" t="n">
        <v>28.047062</v>
      </c>
      <c r="AB48" t="n">
        <v>28.40428</v>
      </c>
      <c r="AC48" t="n">
        <v>28.716272</v>
      </c>
      <c r="AD48" t="n">
        <v>28.790123</v>
      </c>
      <c r="AE48" t="inlineStr">
        <is>
          <t>0.3%</t>
        </is>
      </c>
    </row>
    <row r="49">
      <c r="A49" t="inlineStr">
        <is>
          <t>Residual Fuel Oil</t>
        </is>
      </c>
      <c r="B49" t="inlineStr">
        <is>
          <t>Energy Prices: Average Price to All Users: Residual Fuel Oil: Alternative Electricity and Transportation</t>
        </is>
      </c>
      <c r="C49" t="inlineStr">
        <is>
          <t>AEO.2026.ELECTRNP.PRCE_REAL_TEN_NA_RFO_NA_NA_Y13DLRPMMBTU.A</t>
        </is>
      </c>
      <c r="D49" t="inlineStr">
        <is>
          <t>2025 $/MMBtu</t>
        </is>
      </c>
      <c r="E49" t="n">
        <v>11.658544</v>
      </c>
      <c r="F49" t="n">
        <v>9.018537999999999</v>
      </c>
      <c r="G49" t="n">
        <v>10.140831</v>
      </c>
      <c r="H49" t="n">
        <v>10.694611</v>
      </c>
      <c r="I49" t="n">
        <v>11.126874</v>
      </c>
      <c r="J49" t="n">
        <v>11.083372</v>
      </c>
      <c r="K49" t="n">
        <v>11.808846</v>
      </c>
      <c r="L49" t="n">
        <v>11.781062</v>
      </c>
      <c r="M49" t="n">
        <v>12.035919</v>
      </c>
      <c r="N49" t="n">
        <v>12.088141</v>
      </c>
      <c r="O49" t="n">
        <v>12.242559</v>
      </c>
      <c r="P49" t="n">
        <v>12.36689</v>
      </c>
      <c r="Q49" t="n">
        <v>12.420006</v>
      </c>
      <c r="R49" t="n">
        <v>12.556002</v>
      </c>
      <c r="S49" t="n">
        <v>12.649469</v>
      </c>
      <c r="T49" t="n">
        <v>12.854072</v>
      </c>
      <c r="U49" t="n">
        <v>13.074571</v>
      </c>
      <c r="V49" t="n">
        <v>13.178183</v>
      </c>
      <c r="W49" t="n">
        <v>13.26378</v>
      </c>
      <c r="X49" t="n">
        <v>13.350979</v>
      </c>
      <c r="Y49" t="n">
        <v>13.516272</v>
      </c>
      <c r="Z49" t="n">
        <v>13.647001</v>
      </c>
      <c r="AA49" t="n">
        <v>13.757747</v>
      </c>
      <c r="AB49" t="n">
        <v>14.050404</v>
      </c>
      <c r="AC49" t="n">
        <v>14.222381</v>
      </c>
      <c r="AD49" t="n">
        <v>14.306244</v>
      </c>
      <c r="AE49" t="inlineStr">
        <is>
          <t>0.8%</t>
        </is>
      </c>
    </row>
    <row r="50">
      <c r="A50" t="inlineStr">
        <is>
          <t>Natural Gas</t>
        </is>
      </c>
      <c r="B50" t="inlineStr">
        <is>
          <t>Energy Prices: Average Price to All Users: Natural Gas: Alternative Electricity and Transportation</t>
        </is>
      </c>
      <c r="C50" t="inlineStr">
        <is>
          <t>AEO.2026.ELECTRNP.PRCE_REAL_TEN_NA_NG_NA_NA_Y13DLRPMMBTU.A</t>
        </is>
      </c>
      <c r="D50" t="inlineStr">
        <is>
          <t>2025 $/MMBtu</t>
        </is>
      </c>
      <c r="E50" t="n">
        <v>6.555398</v>
      </c>
      <c r="F50" t="n">
        <v>6.404567</v>
      </c>
      <c r="G50" t="n">
        <v>6.472768</v>
      </c>
      <c r="H50" t="n">
        <v>6.604234</v>
      </c>
      <c r="I50" t="n">
        <v>6.772833</v>
      </c>
      <c r="J50" t="n">
        <v>7.227516</v>
      </c>
      <c r="K50" t="n">
        <v>7.473804</v>
      </c>
      <c r="L50" t="n">
        <v>7.557317</v>
      </c>
      <c r="M50" t="n">
        <v>7.646621</v>
      </c>
      <c r="N50" t="n">
        <v>7.692187</v>
      </c>
      <c r="O50" t="n">
        <v>7.754945</v>
      </c>
      <c r="P50" t="n">
        <v>7.822206</v>
      </c>
      <c r="Q50" t="n">
        <v>7.914823</v>
      </c>
      <c r="R50" t="n">
        <v>7.924808</v>
      </c>
      <c r="S50" t="n">
        <v>7.998958</v>
      </c>
      <c r="T50" t="n">
        <v>8.022047000000001</v>
      </c>
      <c r="U50" t="n">
        <v>7.968006</v>
      </c>
      <c r="V50" t="n">
        <v>7.79886</v>
      </c>
      <c r="W50" t="n">
        <v>7.590972</v>
      </c>
      <c r="X50" t="n">
        <v>7.379402</v>
      </c>
      <c r="Y50" t="n">
        <v>7.251836</v>
      </c>
      <c r="Z50" t="n">
        <v>7.218354</v>
      </c>
      <c r="AA50" t="n">
        <v>7.206153</v>
      </c>
      <c r="AB50" t="n">
        <v>7.201671</v>
      </c>
      <c r="AC50" t="n">
        <v>7.175305</v>
      </c>
      <c r="AD50" t="n">
        <v>7.138707</v>
      </c>
      <c r="AE50" t="inlineStr">
        <is>
          <t>0.3%</t>
        </is>
      </c>
    </row>
    <row r="51">
      <c r="A51" t="inlineStr">
        <is>
          <t>Metallurgical Coal</t>
        </is>
      </c>
      <c r="B51" t="inlineStr">
        <is>
          <t>Energy Prices: Average Price to All Users: Metallurgical Coal: Alternative Electricity and Transportation</t>
        </is>
      </c>
      <c r="C51" t="inlineStr">
        <is>
          <t>AEO.2026.ELECTRNP.PRCE_REAL_TEN_NA_MTC_NA_NA_Y13DLRPMMBTU.A</t>
        </is>
      </c>
      <c r="D51" t="inlineStr">
        <is>
          <t>2025 $/MMBtu</t>
        </is>
      </c>
      <c r="E51" t="n">
        <v>6.417383</v>
      </c>
      <c r="F51" t="n">
        <v>6.420651</v>
      </c>
      <c r="G51" t="n">
        <v>6.426186</v>
      </c>
      <c r="H51" t="n">
        <v>6.438872</v>
      </c>
      <c r="I51" t="n">
        <v>6.430643</v>
      </c>
      <c r="J51" t="n">
        <v>6.445238</v>
      </c>
      <c r="K51" t="n">
        <v>6.428822</v>
      </c>
      <c r="L51" t="n">
        <v>6.450939</v>
      </c>
      <c r="M51" t="n">
        <v>6.448793</v>
      </c>
      <c r="N51" t="n">
        <v>6.427662</v>
      </c>
      <c r="O51" t="n">
        <v>6.431542</v>
      </c>
      <c r="P51" t="n">
        <v>6.396736</v>
      </c>
      <c r="Q51" t="n">
        <v>6.402119</v>
      </c>
      <c r="R51" t="n">
        <v>6.399268</v>
      </c>
      <c r="S51" t="n">
        <v>6.369291</v>
      </c>
      <c r="T51" t="n">
        <v>6.372983</v>
      </c>
      <c r="U51" t="n">
        <v>6.362854</v>
      </c>
      <c r="V51" t="n">
        <v>6.351582</v>
      </c>
      <c r="W51" t="n">
        <v>6.346869</v>
      </c>
      <c r="X51" t="n">
        <v>6.336841</v>
      </c>
      <c r="Y51" t="n">
        <v>6.341089</v>
      </c>
      <c r="Z51" t="n">
        <v>6.332882</v>
      </c>
      <c r="AA51" t="n">
        <v>6.343362</v>
      </c>
      <c r="AB51" t="n">
        <v>6.351777</v>
      </c>
      <c r="AC51" t="n">
        <v>6.326384</v>
      </c>
      <c r="AD51" t="n">
        <v>6.320745</v>
      </c>
      <c r="AE51" t="inlineStr">
        <is>
          <t>-0.1%</t>
        </is>
      </c>
    </row>
    <row r="52">
      <c r="A52" t="inlineStr">
        <is>
          <t>Other Coal</t>
        </is>
      </c>
      <c r="B52" t="inlineStr">
        <is>
          <t>Energy Prices: Average Price to All Users: Other Coal: Alternative Electricity and Transportation</t>
        </is>
      </c>
      <c r="C52" t="inlineStr">
        <is>
          <t>AEO.2026.ELECTRNP.PRCE_REAL_TEN_NA_OCA_NA_NA_Y13DLRPMMBTU.A</t>
        </is>
      </c>
      <c r="D52" t="inlineStr">
        <is>
          <t>2025 $/MMBtu</t>
        </is>
      </c>
      <c r="E52" t="n">
        <v>2.638546</v>
      </c>
      <c r="F52" t="n">
        <v>2.585531</v>
      </c>
      <c r="G52" t="n">
        <v>2.547429</v>
      </c>
      <c r="H52" t="n">
        <v>2.539721</v>
      </c>
      <c r="I52" t="n">
        <v>2.534403</v>
      </c>
      <c r="J52" t="n">
        <v>2.543435</v>
      </c>
      <c r="K52" t="n">
        <v>2.514739</v>
      </c>
      <c r="L52" t="n">
        <v>2.507488</v>
      </c>
      <c r="M52" t="n">
        <v>2.505737</v>
      </c>
      <c r="N52" t="n">
        <v>2.491068</v>
      </c>
      <c r="O52" t="n">
        <v>2.488408</v>
      </c>
      <c r="P52" t="n">
        <v>2.486011</v>
      </c>
      <c r="Q52" t="n">
        <v>2.523105</v>
      </c>
      <c r="R52" t="n">
        <v>2.527074</v>
      </c>
      <c r="S52" t="n">
        <v>2.541106</v>
      </c>
      <c r="T52" t="n">
        <v>2.550905</v>
      </c>
      <c r="U52" t="n">
        <v>2.545491</v>
      </c>
      <c r="V52" t="n">
        <v>2.54495</v>
      </c>
      <c r="W52" t="n">
        <v>2.555517</v>
      </c>
      <c r="X52" t="n">
        <v>2.54824</v>
      </c>
      <c r="Y52" t="n">
        <v>2.558416</v>
      </c>
      <c r="Z52" t="n">
        <v>2.570222</v>
      </c>
      <c r="AA52" t="n">
        <v>2.577907</v>
      </c>
      <c r="AB52" t="n">
        <v>2.585665</v>
      </c>
      <c r="AC52" t="n">
        <v>2.617814</v>
      </c>
      <c r="AD52" t="n">
        <v>2.622758</v>
      </c>
      <c r="AE52" t="inlineStr">
        <is>
          <t>-0.0%</t>
        </is>
      </c>
    </row>
    <row r="53">
      <c r="A53" t="inlineStr">
        <is>
          <t>Hydrogen</t>
        </is>
      </c>
      <c r="B53" t="inlineStr">
        <is>
          <t>Energy Prices: Average Price to All Users: Hydrogen: Alternative Electricity and Transportation</t>
        </is>
      </c>
      <c r="C53" t="inlineStr">
        <is>
          <t>AEO.2026.ELECTRNP.PRCE_REAL_TEN_NA_HDG_NA_NA_Y13DLRPMMBTU.A</t>
        </is>
      </c>
      <c r="D53" t="inlineStr">
        <is>
          <t>2025 $/MMBtu</t>
        </is>
      </c>
      <c r="E53" t="n">
        <v>11.520918</v>
      </c>
      <c r="F53" t="n">
        <v>11.90908</v>
      </c>
      <c r="G53" t="n">
        <v>11.901854</v>
      </c>
      <c r="H53" t="n">
        <v>12.036937</v>
      </c>
      <c r="I53" t="n">
        <v>12.11853</v>
      </c>
      <c r="J53" t="n">
        <v>12.81115</v>
      </c>
      <c r="K53" t="n">
        <v>13.09416</v>
      </c>
      <c r="L53" t="n">
        <v>13.236961</v>
      </c>
      <c r="M53" t="n">
        <v>13.310853</v>
      </c>
      <c r="N53" t="n">
        <v>13.338182</v>
      </c>
      <c r="O53" t="n">
        <v>13.268966</v>
      </c>
      <c r="P53" t="n">
        <v>13.437925</v>
      </c>
      <c r="Q53" t="n">
        <v>13.457554</v>
      </c>
      <c r="R53" t="n">
        <v>13.556302</v>
      </c>
      <c r="S53" t="n">
        <v>13.647576</v>
      </c>
      <c r="T53" t="n">
        <v>13.696771</v>
      </c>
      <c r="U53" t="n">
        <v>13.615613</v>
      </c>
      <c r="V53" t="n">
        <v>13.423871</v>
      </c>
      <c r="W53" t="n">
        <v>13.102623</v>
      </c>
      <c r="X53" t="n">
        <v>12.835016</v>
      </c>
      <c r="Y53" t="n">
        <v>12.696754</v>
      </c>
      <c r="Z53" t="n">
        <v>12.642459</v>
      </c>
      <c r="AA53" t="n">
        <v>12.651646</v>
      </c>
      <c r="AB53" t="n">
        <v>12.656512</v>
      </c>
      <c r="AC53" t="n">
        <v>12.624175</v>
      </c>
      <c r="AD53" t="n">
        <v>12.583214</v>
      </c>
      <c r="AE53" t="inlineStr">
        <is>
          <t>0.4%</t>
        </is>
      </c>
    </row>
    <row r="54">
      <c r="A54" t="inlineStr">
        <is>
          <t>Electricity</t>
        </is>
      </c>
      <c r="B54" t="inlineStr">
        <is>
          <t>Energy Prices: Average Price to All Users: Electricity: Alternative Electricity and Transportation</t>
        </is>
      </c>
      <c r="C54" t="inlineStr">
        <is>
          <t>AEO.2026.ELECTRNP.PRCE_REAL_TEN_NA_ELC_NA_NA_Y13DLRPMMBTU.A</t>
        </is>
      </c>
      <c r="D54" t="inlineStr">
        <is>
          <t>2025 $/MMBtu</t>
        </is>
      </c>
      <c r="E54" t="n">
        <v>39.675659</v>
      </c>
      <c r="F54" t="n">
        <v>39.493042</v>
      </c>
      <c r="G54" t="n">
        <v>38.296406</v>
      </c>
      <c r="H54" t="n">
        <v>37.428562</v>
      </c>
      <c r="I54" t="n">
        <v>37.719357</v>
      </c>
      <c r="J54" t="n">
        <v>38.150036</v>
      </c>
      <c r="K54" t="n">
        <v>38.540874</v>
      </c>
      <c r="L54" t="n">
        <v>38.748714</v>
      </c>
      <c r="M54" t="n">
        <v>38.993256</v>
      </c>
      <c r="N54" t="n">
        <v>39.232204</v>
      </c>
      <c r="O54" t="n">
        <v>39.350903</v>
      </c>
      <c r="P54" t="n">
        <v>39.442905</v>
      </c>
      <c r="Q54" t="n">
        <v>39.661144</v>
      </c>
      <c r="R54" t="n">
        <v>39.805466</v>
      </c>
      <c r="S54" t="n">
        <v>40.015793</v>
      </c>
      <c r="T54" t="n">
        <v>40.238861</v>
      </c>
      <c r="U54" t="n">
        <v>40.301865</v>
      </c>
      <c r="V54" t="n">
        <v>40.256413</v>
      </c>
      <c r="W54" t="n">
        <v>40.148064</v>
      </c>
      <c r="X54" t="n">
        <v>40.062302</v>
      </c>
      <c r="Y54" t="n">
        <v>39.844402</v>
      </c>
      <c r="Z54" t="n">
        <v>40.021355</v>
      </c>
      <c r="AA54" t="n">
        <v>40.178123</v>
      </c>
      <c r="AB54" t="n">
        <v>40.333866</v>
      </c>
      <c r="AC54" t="n">
        <v>40.388382</v>
      </c>
      <c r="AD54" t="n">
        <v>40.523159</v>
      </c>
      <c r="AE54" t="inlineStr">
        <is>
          <t>0.1%</t>
        </is>
      </c>
    </row>
    <row r="55">
      <c r="A55" t="inlineStr">
        <is>
          <t>Non-Renewable Energy Expenditures by Sector</t>
        </is>
      </c>
    </row>
    <row r="56">
      <c r="A56" t="inlineStr">
        <is>
          <t>(billion 2025 dollars)</t>
        </is>
      </c>
    </row>
    <row r="57">
      <c r="A57" t="inlineStr">
        <is>
          <t>Residential</t>
        </is>
      </c>
      <c r="B57" t="inlineStr">
        <is>
          <t>Energy Expenditures: Non-Renewable Residential: Alternative Electricity and Transportation</t>
        </is>
      </c>
      <c r="C57" t="inlineStr">
        <is>
          <t>AEO.2026.ELECTRNP.EXPD_REAL_RESD_NA_NRN_NA_NA_BLNY13DLR.A</t>
        </is>
      </c>
      <c r="D57" t="inlineStr">
        <is>
          <t>billion 2025 $</t>
        </is>
      </c>
      <c r="E57" t="n">
        <v>354.078735</v>
      </c>
      <c r="F57" t="n">
        <v>347.31488</v>
      </c>
      <c r="G57" t="n">
        <v>338.068176</v>
      </c>
      <c r="H57" t="n">
        <v>335.793213</v>
      </c>
      <c r="I57" t="n">
        <v>339.531158</v>
      </c>
      <c r="J57" t="n">
        <v>343.626465</v>
      </c>
      <c r="K57" t="n">
        <v>346.998627</v>
      </c>
      <c r="L57" t="n">
        <v>349.593231</v>
      </c>
      <c r="M57" t="n">
        <v>353.895508</v>
      </c>
      <c r="N57" t="n">
        <v>356.787384</v>
      </c>
      <c r="O57" t="n">
        <v>359.661713</v>
      </c>
      <c r="P57" t="n">
        <v>362.281952</v>
      </c>
      <c r="Q57" t="n">
        <v>366.414246</v>
      </c>
      <c r="R57" t="n">
        <v>369.832855</v>
      </c>
      <c r="S57" t="n">
        <v>373.562042</v>
      </c>
      <c r="T57" t="n">
        <v>377.146973</v>
      </c>
      <c r="U57" t="n">
        <v>379.860291</v>
      </c>
      <c r="V57" t="n">
        <v>381.647888</v>
      </c>
      <c r="W57" t="n">
        <v>382.966675</v>
      </c>
      <c r="X57" t="n">
        <v>384.317841</v>
      </c>
      <c r="Y57" t="n">
        <v>385.418671</v>
      </c>
      <c r="Z57" t="n">
        <v>389.114197</v>
      </c>
      <c r="AA57" t="n">
        <v>392.74762</v>
      </c>
      <c r="AB57" t="n">
        <v>396.376648</v>
      </c>
      <c r="AC57" t="n">
        <v>399.442963</v>
      </c>
      <c r="AD57" t="n">
        <v>402.863525</v>
      </c>
      <c r="AE57" t="inlineStr">
        <is>
          <t>0.5%</t>
        </is>
      </c>
    </row>
    <row r="58">
      <c r="A58" t="inlineStr">
        <is>
          <t>Commercial</t>
        </is>
      </c>
      <c r="B58" t="inlineStr">
        <is>
          <t>Energy Expenditures: Non-Renewable Commercial: Alternative Electricity and Transportation</t>
        </is>
      </c>
      <c r="C58" t="inlineStr">
        <is>
          <t>AEO.2026.ELECTRNP.EXPD_REAL_COMM_NA_NRN_NA_NA_BLNY13DLR.A</t>
        </is>
      </c>
      <c r="D58" t="inlineStr">
        <is>
          <t>billion 2025 $</t>
        </is>
      </c>
      <c r="E58" t="n">
        <v>260.224518</v>
      </c>
      <c r="F58" t="n">
        <v>262.720642</v>
      </c>
      <c r="G58" t="n">
        <v>259.382721</v>
      </c>
      <c r="H58" t="n">
        <v>258.094604</v>
      </c>
      <c r="I58" t="n">
        <v>263.215698</v>
      </c>
      <c r="J58" t="n">
        <v>268.735718</v>
      </c>
      <c r="K58" t="n">
        <v>273.929565</v>
      </c>
      <c r="L58" t="n">
        <v>277.594482</v>
      </c>
      <c r="M58" t="n">
        <v>283.055115</v>
      </c>
      <c r="N58" t="n">
        <v>287.440155</v>
      </c>
      <c r="O58" t="n">
        <v>291.458435</v>
      </c>
      <c r="P58" t="n">
        <v>295.306793</v>
      </c>
      <c r="Q58" t="n">
        <v>300.547943</v>
      </c>
      <c r="R58" t="n">
        <v>305.070435</v>
      </c>
      <c r="S58" t="n">
        <v>309.924683</v>
      </c>
      <c r="T58" t="n">
        <v>314.565521</v>
      </c>
      <c r="U58" t="n">
        <v>318.102814</v>
      </c>
      <c r="V58" t="n">
        <v>320.84964</v>
      </c>
      <c r="W58" t="n">
        <v>322.855164</v>
      </c>
      <c r="X58" t="n">
        <v>324.886475</v>
      </c>
      <c r="Y58" t="n">
        <v>326.264557</v>
      </c>
      <c r="Z58" t="n">
        <v>330.376801</v>
      </c>
      <c r="AA58" t="n">
        <v>334.207916</v>
      </c>
      <c r="AB58" t="n">
        <v>337.890686</v>
      </c>
      <c r="AC58" t="n">
        <v>340.649841</v>
      </c>
      <c r="AD58" t="n">
        <v>343.664978</v>
      </c>
      <c r="AE58" t="inlineStr">
        <is>
          <t>1.1%</t>
        </is>
      </c>
    </row>
    <row r="59">
      <c r="A59" t="inlineStr">
        <is>
          <t>Industrial</t>
        </is>
      </c>
      <c r="B59" t="inlineStr">
        <is>
          <t>Energy Expenditures: Non-Renewable Industrial: Alternative Electricity and Transportation</t>
        </is>
      </c>
      <c r="C59" t="inlineStr">
        <is>
          <t>AEO.2026.ELECTRNP.EXPD_REAL_IDAL_NA_NRN_NA_NA_BLNY13DLR.A</t>
        </is>
      </c>
      <c r="D59" t="inlineStr">
        <is>
          <t>billion 2025 $</t>
        </is>
      </c>
      <c r="E59" t="n">
        <v>243.90741</v>
      </c>
      <c r="F59" t="n">
        <v>229.946838</v>
      </c>
      <c r="G59" t="n">
        <v>226.525009</v>
      </c>
      <c r="H59" t="n">
        <v>228.562973</v>
      </c>
      <c r="I59" t="n">
        <v>231.172546</v>
      </c>
      <c r="J59" t="n">
        <v>238.213455</v>
      </c>
      <c r="K59" t="n">
        <v>246.587952</v>
      </c>
      <c r="L59" t="n">
        <v>252.071808</v>
      </c>
      <c r="M59" t="n">
        <v>257.503021</v>
      </c>
      <c r="N59" t="n">
        <v>261.995544</v>
      </c>
      <c r="O59" t="n">
        <v>267.944519</v>
      </c>
      <c r="P59" t="n">
        <v>273.695068</v>
      </c>
      <c r="Q59" t="n">
        <v>280.214142</v>
      </c>
      <c r="R59" t="n">
        <v>286.419586</v>
      </c>
      <c r="S59" t="n">
        <v>293.453827</v>
      </c>
      <c r="T59" t="n">
        <v>299.44342</v>
      </c>
      <c r="U59" t="n">
        <v>303.627167</v>
      </c>
      <c r="V59" t="n">
        <v>305.330688</v>
      </c>
      <c r="W59" t="n">
        <v>304.926117</v>
      </c>
      <c r="X59" t="n">
        <v>304.743896</v>
      </c>
      <c r="Y59" t="n">
        <v>307.661438</v>
      </c>
      <c r="Z59" t="n">
        <v>313.089783</v>
      </c>
      <c r="AA59" t="n">
        <v>318.996094</v>
      </c>
      <c r="AB59" t="n">
        <v>324.757996</v>
      </c>
      <c r="AC59" t="n">
        <v>328.721802</v>
      </c>
      <c r="AD59" t="n">
        <v>332.703461</v>
      </c>
      <c r="AE59" t="inlineStr">
        <is>
          <t>1.2%</t>
        </is>
      </c>
    </row>
    <row r="60">
      <c r="A60" t="inlineStr">
        <is>
          <t>Transportation</t>
        </is>
      </c>
      <c r="B60" t="inlineStr">
        <is>
          <t>Energy Expenditures: Non-Renewable Transportation: Alternative Electricity and Transportation</t>
        </is>
      </c>
      <c r="C60" t="inlineStr">
        <is>
          <t>AEO.2026.ELECTRNP.EXPD_REAL_TRN_NA_NRN_NA_NA_BLNY13DLR.A</t>
        </is>
      </c>
      <c r="D60" t="inlineStr">
        <is>
          <t>billion 2025 $</t>
        </is>
      </c>
      <c r="E60" t="n">
        <v>667.073853</v>
      </c>
      <c r="F60" t="n">
        <v>619.486328</v>
      </c>
      <c r="G60" t="n">
        <v>603.306091</v>
      </c>
      <c r="H60" t="n">
        <v>592.851746</v>
      </c>
      <c r="I60" t="n">
        <v>589.449524</v>
      </c>
      <c r="J60" t="n">
        <v>586.279419</v>
      </c>
      <c r="K60" t="n">
        <v>586.483643</v>
      </c>
      <c r="L60" t="n">
        <v>584.546204</v>
      </c>
      <c r="M60" t="n">
        <v>598.998352</v>
      </c>
      <c r="N60" t="n">
        <v>597.391663</v>
      </c>
      <c r="O60" t="n">
        <v>601.326416</v>
      </c>
      <c r="P60" t="n">
        <v>601.79657</v>
      </c>
      <c r="Q60" t="n">
        <v>604.6188959999999</v>
      </c>
      <c r="R60" t="n">
        <v>605.944763</v>
      </c>
      <c r="S60" t="n">
        <v>605.280762</v>
      </c>
      <c r="T60" t="n">
        <v>604.794434</v>
      </c>
      <c r="U60" t="n">
        <v>604.847534</v>
      </c>
      <c r="V60" t="n">
        <v>605.778198</v>
      </c>
      <c r="W60" t="n">
        <v>605.89386</v>
      </c>
      <c r="X60" t="n">
        <v>605.740601</v>
      </c>
      <c r="Y60" t="n">
        <v>610.04248</v>
      </c>
      <c r="Z60" t="n">
        <v>610.820618</v>
      </c>
      <c r="AA60" t="n">
        <v>614.687683</v>
      </c>
      <c r="AB60" t="n">
        <v>617.941345</v>
      </c>
      <c r="AC60" t="n">
        <v>621.438843</v>
      </c>
      <c r="AD60" t="n">
        <v>621.120544</v>
      </c>
      <c r="AE60" t="inlineStr">
        <is>
          <t>-0.3%</t>
        </is>
      </c>
    </row>
    <row r="61">
      <c r="A61" t="inlineStr">
        <is>
          <t>Total Non-Renewable Expenditures</t>
        </is>
      </c>
      <c r="B61" t="inlineStr">
        <is>
          <t>Energy Expenditures: Total Non-Renewable: Alternative Electricity and Transportation</t>
        </is>
      </c>
      <c r="C61" t="inlineStr">
        <is>
          <t>AEO.2026.ELECTRNP.EXPD_REAL_TEN_NA_NRN_NA_NA_BLNY13DLR.A</t>
        </is>
      </c>
      <c r="D61" t="inlineStr">
        <is>
          <t>billion 2025 $</t>
        </is>
      </c>
      <c r="E61" t="n">
        <v>1525.284424</v>
      </c>
      <c r="F61" t="n">
        <v>1459.46875</v>
      </c>
      <c r="G61" t="n">
        <v>1427.281982</v>
      </c>
      <c r="H61" t="n">
        <v>1415.30249</v>
      </c>
      <c r="I61" t="n">
        <v>1423.368896</v>
      </c>
      <c r="J61" t="n">
        <v>1436.85498</v>
      </c>
      <c r="K61" t="n">
        <v>1453.999756</v>
      </c>
      <c r="L61" t="n">
        <v>1463.805664</v>
      </c>
      <c r="M61" t="n">
        <v>1493.451904</v>
      </c>
      <c r="N61" t="n">
        <v>1503.614746</v>
      </c>
      <c r="O61" t="n">
        <v>1520.391113</v>
      </c>
      <c r="P61" t="n">
        <v>1533.080322</v>
      </c>
      <c r="Q61" t="n">
        <v>1551.795166</v>
      </c>
      <c r="R61" t="n">
        <v>1567.267578</v>
      </c>
      <c r="S61" t="n">
        <v>1582.221313</v>
      </c>
      <c r="T61" t="n">
        <v>1595.950439</v>
      </c>
      <c r="U61" t="n">
        <v>1606.437866</v>
      </c>
      <c r="V61" t="n">
        <v>1613.606445</v>
      </c>
      <c r="W61" t="n">
        <v>1616.641846</v>
      </c>
      <c r="X61" t="n">
        <v>1619.688843</v>
      </c>
      <c r="Y61" t="n">
        <v>1629.387207</v>
      </c>
      <c r="Z61" t="n">
        <v>1643.401367</v>
      </c>
      <c r="AA61" t="n">
        <v>1660.639404</v>
      </c>
      <c r="AB61" t="n">
        <v>1676.966797</v>
      </c>
      <c r="AC61" t="n">
        <v>1690.253418</v>
      </c>
      <c r="AD61" t="n">
        <v>1700.352539</v>
      </c>
      <c r="AE61" t="inlineStr">
        <is>
          <t>0.4%</t>
        </is>
      </c>
    </row>
    <row r="62">
      <c r="A62" t="inlineStr">
        <is>
          <t>Transportation Renewable Expenditures</t>
        </is>
      </c>
      <c r="B62" t="inlineStr">
        <is>
          <t>Energy Expenditures: Renewable Transportation: Alternative Electricity and Transportation</t>
        </is>
      </c>
      <c r="C62" t="inlineStr">
        <is>
          <t>AEO.2026.ELECTRNP.EXPD_REAL_TRN_NA_RNW_NA_NA_BLNY13DLR.A</t>
        </is>
      </c>
      <c r="D62" t="inlineStr">
        <is>
          <t>billion 2025 $</t>
        </is>
      </c>
      <c r="E62" t="n">
        <v>1.210369</v>
      </c>
      <c r="F62" t="n">
        <v>0.959569</v>
      </c>
      <c r="G62" t="n">
        <v>0.859589</v>
      </c>
      <c r="H62" t="n">
        <v>0.791471</v>
      </c>
      <c r="I62" t="n">
        <v>0.730826</v>
      </c>
      <c r="J62" t="n">
        <v>0.747315</v>
      </c>
      <c r="K62" t="n">
        <v>0.650428</v>
      </c>
      <c r="L62" t="n">
        <v>0.596038</v>
      </c>
      <c r="M62" t="n">
        <v>0.553446</v>
      </c>
      <c r="N62" t="n">
        <v>0.515532</v>
      </c>
      <c r="O62" t="n">
        <v>0.469575</v>
      </c>
      <c r="P62" t="n">
        <v>0.428147</v>
      </c>
      <c r="Q62" t="n">
        <v>0.389896</v>
      </c>
      <c r="R62" t="n">
        <v>0.356048</v>
      </c>
      <c r="S62" t="n">
        <v>0.326322</v>
      </c>
      <c r="T62" t="n">
        <v>0.302609</v>
      </c>
      <c r="U62" t="n">
        <v>0.274971</v>
      </c>
      <c r="V62" t="n">
        <v>0.260407</v>
      </c>
      <c r="W62" t="n">
        <v>0.245229</v>
      </c>
      <c r="X62" t="n">
        <v>0.234761</v>
      </c>
      <c r="Y62" t="n">
        <v>0.21459</v>
      </c>
      <c r="Z62" t="n">
        <v>0.206599</v>
      </c>
      <c r="AA62" t="n">
        <v>0.20591</v>
      </c>
      <c r="AB62" t="n">
        <v>0.213404</v>
      </c>
      <c r="AC62" t="n">
        <v>0.199353</v>
      </c>
      <c r="AD62" t="n">
        <v>0.190357</v>
      </c>
      <c r="AE62" t="inlineStr">
        <is>
          <t>-7.1%</t>
        </is>
      </c>
    </row>
    <row r="63">
      <c r="A63" t="inlineStr">
        <is>
          <t>Total Expenditures</t>
        </is>
      </c>
      <c r="B63" t="inlineStr">
        <is>
          <t>Energy Expenditures: Alternative Electricity and Transportation</t>
        </is>
      </c>
      <c r="C63" t="inlineStr">
        <is>
          <t>AEO.2026.ELECTRNP.EXPD_REAL_TEN_NA_NA_NA_NA_BLNY13DLR.A</t>
        </is>
      </c>
      <c r="D63" t="inlineStr">
        <is>
          <t>billion 2025 $</t>
        </is>
      </c>
      <c r="E63" t="n">
        <v>1526.494751</v>
      </c>
      <c r="F63" t="n">
        <v>1460.428345</v>
      </c>
      <c r="G63" t="n">
        <v>1428.141602</v>
      </c>
      <c r="H63" t="n">
        <v>1416.093994</v>
      </c>
      <c r="I63" t="n">
        <v>1424.099731</v>
      </c>
      <c r="J63" t="n">
        <v>1437.602295</v>
      </c>
      <c r="K63" t="n">
        <v>1454.650146</v>
      </c>
      <c r="L63" t="n">
        <v>1464.401733</v>
      </c>
      <c r="M63" t="n">
        <v>1494.005371</v>
      </c>
      <c r="N63" t="n">
        <v>1504.130249</v>
      </c>
      <c r="O63" t="n">
        <v>1520.860718</v>
      </c>
      <c r="P63" t="n">
        <v>1533.508423</v>
      </c>
      <c r="Q63" t="n">
        <v>1552.185059</v>
      </c>
      <c r="R63" t="n">
        <v>1567.623657</v>
      </c>
      <c r="S63" t="n">
        <v>1582.547607</v>
      </c>
      <c r="T63" t="n">
        <v>1596.253052</v>
      </c>
      <c r="U63" t="n">
        <v>1606.712891</v>
      </c>
      <c r="V63" t="n">
        <v>1613.866821</v>
      </c>
      <c r="W63" t="n">
        <v>1616.887085</v>
      </c>
      <c r="X63" t="n">
        <v>1619.923584</v>
      </c>
      <c r="Y63" t="n">
        <v>1629.601807</v>
      </c>
      <c r="Z63" t="n">
        <v>1643.60791</v>
      </c>
      <c r="AA63" t="n">
        <v>1660.845337</v>
      </c>
      <c r="AB63" t="n">
        <v>1677.180176</v>
      </c>
      <c r="AC63" t="n">
        <v>1690.452759</v>
      </c>
      <c r="AD63" t="n">
        <v>1700.542847</v>
      </c>
      <c r="AE63" t="inlineStr">
        <is>
          <t>0.4%</t>
        </is>
      </c>
    </row>
    <row r="64">
      <c r="A64" t="inlineStr">
        <is>
          <t>Prices in Nominal Dollars</t>
        </is>
      </c>
    </row>
    <row r="65">
      <c r="A65" t="inlineStr">
        <is>
          <t>Residential</t>
        </is>
      </c>
    </row>
    <row r="66">
      <c r="A66" t="inlineStr">
        <is>
          <t>Propane</t>
        </is>
      </c>
      <c r="B66" t="inlineStr">
        <is>
          <t>Energy Prices: Nominal: Residential: Propane: Alternative Electricity and Transportation</t>
        </is>
      </c>
      <c r="C66" t="inlineStr">
        <is>
          <t>AEO.2026.ELECTRNP.PRCE_NOM_RESD_NA_PROP_NA_NA_NDLRPMBTU.A</t>
        </is>
      </c>
      <c r="D66" t="inlineStr">
        <is>
          <t>nom $/MMBtu</t>
        </is>
      </c>
      <c r="E66" t="n">
        <v>26.563074</v>
      </c>
      <c r="F66" t="n">
        <v>25.338081</v>
      </c>
      <c r="G66" t="n">
        <v>25.151426</v>
      </c>
      <c r="H66" t="n">
        <v>25.93597</v>
      </c>
      <c r="I66" t="n">
        <v>27.08181</v>
      </c>
      <c r="J66" t="n">
        <v>28.630949</v>
      </c>
      <c r="K66" t="n">
        <v>30.629786</v>
      </c>
      <c r="L66" t="n">
        <v>32.418201</v>
      </c>
      <c r="M66" t="n">
        <v>34.366539</v>
      </c>
      <c r="N66" t="n">
        <v>35.96629</v>
      </c>
      <c r="O66" t="n">
        <v>37.548069</v>
      </c>
      <c r="P66" t="n">
        <v>39.111217</v>
      </c>
      <c r="Q66" t="n">
        <v>40.752625</v>
      </c>
      <c r="R66" t="n">
        <v>42.417393</v>
      </c>
      <c r="S66" t="n">
        <v>44.113087</v>
      </c>
      <c r="T66" t="n">
        <v>45.702709</v>
      </c>
      <c r="U66" t="n">
        <v>47.138889</v>
      </c>
      <c r="V66" t="n">
        <v>48.266106</v>
      </c>
      <c r="W66" t="n">
        <v>49.070614</v>
      </c>
      <c r="X66" t="n">
        <v>49.718399</v>
      </c>
      <c r="Y66" t="n">
        <v>50.570896</v>
      </c>
      <c r="Z66" t="n">
        <v>51.664268</v>
      </c>
      <c r="AA66" t="n">
        <v>52.898483</v>
      </c>
      <c r="AB66" t="n">
        <v>54.238976</v>
      </c>
      <c r="AC66" t="n">
        <v>55.556618</v>
      </c>
      <c r="AD66" t="n">
        <v>56.833706</v>
      </c>
      <c r="AE66" t="inlineStr">
        <is>
          <t>3.1%</t>
        </is>
      </c>
    </row>
    <row r="67">
      <c r="A67" t="inlineStr">
        <is>
          <t>Distillate Fuel Oil</t>
        </is>
      </c>
      <c r="B67" t="inlineStr">
        <is>
          <t>Energy Prices: Nominal: Residential: Distillate Fuel Oil: Alternative Electricity and Transportation</t>
        </is>
      </c>
      <c r="C67" t="inlineStr">
        <is>
          <t>AEO.2026.ELECTRNP.PRCE_NOM_RESD_NA_DFO_NA_NA_NDLRPMBTU.A</t>
        </is>
      </c>
      <c r="D67" t="inlineStr">
        <is>
          <t>nom $/MMBtu</t>
        </is>
      </c>
      <c r="E67" t="n">
        <v>26.297781</v>
      </c>
      <c r="F67" t="n">
        <v>24.496302</v>
      </c>
      <c r="G67" t="n">
        <v>26.020481</v>
      </c>
      <c r="H67" t="n">
        <v>27.245842</v>
      </c>
      <c r="I67" t="n">
        <v>28.40785</v>
      </c>
      <c r="J67" t="n">
        <v>29.347084</v>
      </c>
      <c r="K67" t="n">
        <v>30.568167</v>
      </c>
      <c r="L67" t="n">
        <v>31.310013</v>
      </c>
      <c r="M67" t="n">
        <v>32.506752</v>
      </c>
      <c r="N67" t="n">
        <v>33.23975</v>
      </c>
      <c r="O67" t="n">
        <v>34.268425</v>
      </c>
      <c r="P67" t="n">
        <v>35.285744</v>
      </c>
      <c r="Q67" t="n">
        <v>36.235405</v>
      </c>
      <c r="R67" t="n">
        <v>37.251446</v>
      </c>
      <c r="S67" t="n">
        <v>38.166401</v>
      </c>
      <c r="T67" t="n">
        <v>39.071438</v>
      </c>
      <c r="U67" t="n">
        <v>40.074837</v>
      </c>
      <c r="V67" t="n">
        <v>41.058266</v>
      </c>
      <c r="W67" t="n">
        <v>42.061642</v>
      </c>
      <c r="X67" t="n">
        <v>43.058964</v>
      </c>
      <c r="Y67" t="n">
        <v>44.278942</v>
      </c>
      <c r="Z67" t="n">
        <v>45.449814</v>
      </c>
      <c r="AA67" t="n">
        <v>46.582829</v>
      </c>
      <c r="AB67" t="n">
        <v>47.982311</v>
      </c>
      <c r="AC67" t="n">
        <v>49.364098</v>
      </c>
      <c r="AD67" t="n">
        <v>50.3764</v>
      </c>
      <c r="AE67" t="inlineStr">
        <is>
          <t>2.6%</t>
        </is>
      </c>
    </row>
    <row r="68">
      <c r="A68" t="inlineStr">
        <is>
          <t>Natural Gas</t>
        </is>
      </c>
      <c r="B68" t="inlineStr">
        <is>
          <t>Energy Prices: Nominal: Residential: Natural Gas: Alternative Electricity and Transportation</t>
        </is>
      </c>
      <c r="C68" t="inlineStr">
        <is>
          <t>AEO.2026.ELECTRNP.PRCE_NOM_RESD_NA_NG_NA_NA_NDLRPMBTU.A</t>
        </is>
      </c>
      <c r="D68" t="inlineStr">
        <is>
          <t>nom $/MMBtu</t>
        </is>
      </c>
      <c r="E68" t="n">
        <v>14.67222</v>
      </c>
      <c r="F68" t="n">
        <v>14.246602</v>
      </c>
      <c r="G68" t="n">
        <v>14.240331</v>
      </c>
      <c r="H68" t="n">
        <v>14.554563</v>
      </c>
      <c r="I68" t="n">
        <v>14.960809</v>
      </c>
      <c r="J68" t="n">
        <v>15.529546</v>
      </c>
      <c r="K68" t="n">
        <v>16.035398</v>
      </c>
      <c r="L68" t="n">
        <v>16.569963</v>
      </c>
      <c r="M68" t="n">
        <v>17.449389</v>
      </c>
      <c r="N68" t="n">
        <v>17.95883</v>
      </c>
      <c r="O68" t="n">
        <v>18.542683</v>
      </c>
      <c r="P68" t="n">
        <v>19.02079</v>
      </c>
      <c r="Q68" t="n">
        <v>19.641548</v>
      </c>
      <c r="R68" t="n">
        <v>20.164225</v>
      </c>
      <c r="S68" t="n">
        <v>20.69857</v>
      </c>
      <c r="T68" t="n">
        <v>21.224005</v>
      </c>
      <c r="U68" t="n">
        <v>21.701794</v>
      </c>
      <c r="V68" t="n">
        <v>22.060627</v>
      </c>
      <c r="W68" t="n">
        <v>22.37958</v>
      </c>
      <c r="X68" t="n">
        <v>22.658274</v>
      </c>
      <c r="Y68" t="n">
        <v>23.053682</v>
      </c>
      <c r="Z68" t="n">
        <v>23.571747</v>
      </c>
      <c r="AA68" t="n">
        <v>24.121</v>
      </c>
      <c r="AB68" t="n">
        <v>24.668262</v>
      </c>
      <c r="AC68" t="n">
        <v>25.217583</v>
      </c>
      <c r="AD68" t="n">
        <v>25.735237</v>
      </c>
      <c r="AE68" t="inlineStr">
        <is>
          <t>2.3%</t>
        </is>
      </c>
    </row>
    <row r="69">
      <c r="A69" t="inlineStr">
        <is>
          <t>Electricity</t>
        </is>
      </c>
      <c r="B69" t="inlineStr">
        <is>
          <t>Energy Prices: Nominal: Residential: Electricity: Alternative Electricity and Transportation</t>
        </is>
      </c>
      <c r="C69" t="inlineStr">
        <is>
          <t>AEO.2026.ELECTRNP.PRCE_NOM_RESD_NA_ELC_NA_NA_NDLRPMBTU.A</t>
        </is>
      </c>
      <c r="D69" t="inlineStr">
        <is>
          <t>nom $/MMBtu</t>
        </is>
      </c>
      <c r="E69" t="n">
        <v>48.884674</v>
      </c>
      <c r="F69" t="n">
        <v>50.316559</v>
      </c>
      <c r="G69" t="n">
        <v>50.125633</v>
      </c>
      <c r="H69" t="n">
        <v>50.032383</v>
      </c>
      <c r="I69" t="n">
        <v>51.371841</v>
      </c>
      <c r="J69" t="n">
        <v>52.973396</v>
      </c>
      <c r="K69" t="n">
        <v>54.612778</v>
      </c>
      <c r="L69" t="n">
        <v>56.129864</v>
      </c>
      <c r="M69" t="n">
        <v>57.754536</v>
      </c>
      <c r="N69" t="n">
        <v>59.383076</v>
      </c>
      <c r="O69" t="n">
        <v>60.933887</v>
      </c>
      <c r="P69" t="n">
        <v>62.472244</v>
      </c>
      <c r="Q69" t="n">
        <v>64.18684399999999</v>
      </c>
      <c r="R69" t="n">
        <v>65.817291</v>
      </c>
      <c r="S69" t="n">
        <v>67.531853</v>
      </c>
      <c r="T69" t="n">
        <v>69.345917</v>
      </c>
      <c r="U69" t="n">
        <v>70.954483</v>
      </c>
      <c r="V69" t="n">
        <v>72.365486</v>
      </c>
      <c r="W69" t="n">
        <v>73.64305899999999</v>
      </c>
      <c r="X69" t="n">
        <v>74.957245</v>
      </c>
      <c r="Y69" t="n">
        <v>76.134491</v>
      </c>
      <c r="Z69" t="n">
        <v>77.900261</v>
      </c>
      <c r="AA69" t="n">
        <v>79.72017700000001</v>
      </c>
      <c r="AB69" t="n">
        <v>81.597176</v>
      </c>
      <c r="AC69" t="n">
        <v>83.32643899999999</v>
      </c>
      <c r="AD69" t="n">
        <v>85.20600899999999</v>
      </c>
      <c r="AE69" t="inlineStr">
        <is>
          <t>2.2%</t>
        </is>
      </c>
    </row>
    <row r="70">
      <c r="A70" t="inlineStr">
        <is>
          <t>Commercial</t>
        </is>
      </c>
    </row>
    <row r="71">
      <c r="A71" t="inlineStr">
        <is>
          <t>Propane</t>
        </is>
      </c>
      <c r="B71" t="inlineStr">
        <is>
          <t>Energy Prices: Nominal: Commercial: Propane: Alternative Electricity and Transportation</t>
        </is>
      </c>
      <c r="C71" t="inlineStr">
        <is>
          <t>AEO.2026.ELECTRNP.PRCE_NOM_COMM_NA_PROP_NA_NA_NDLRPMBTU.A</t>
        </is>
      </c>
      <c r="D71" t="inlineStr">
        <is>
          <t>nom $/MMBtu</t>
        </is>
      </c>
      <c r="E71" t="n">
        <v>19.614388</v>
      </c>
      <c r="F71" t="n">
        <v>18.262018</v>
      </c>
      <c r="G71" t="n">
        <v>18.791452</v>
      </c>
      <c r="H71" t="n">
        <v>20.082115</v>
      </c>
      <c r="I71" t="n">
        <v>21.306486</v>
      </c>
      <c r="J71" t="n">
        <v>22.781197</v>
      </c>
      <c r="K71" t="n">
        <v>24.607708</v>
      </c>
      <c r="L71" t="n">
        <v>25.8288</v>
      </c>
      <c r="M71" t="n">
        <v>27.295834</v>
      </c>
      <c r="N71" t="n">
        <v>28.385092</v>
      </c>
      <c r="O71" t="n">
        <v>29.496925</v>
      </c>
      <c r="P71" t="n">
        <v>30.620148</v>
      </c>
      <c r="Q71" t="n">
        <v>31.8745</v>
      </c>
      <c r="R71" t="n">
        <v>33.127972</v>
      </c>
      <c r="S71" t="n">
        <v>34.387367</v>
      </c>
      <c r="T71" t="n">
        <v>35.468678</v>
      </c>
      <c r="U71" t="n">
        <v>36.404152</v>
      </c>
      <c r="V71" t="n">
        <v>37.015388</v>
      </c>
      <c r="W71" t="n">
        <v>37.371391</v>
      </c>
      <c r="X71" t="n">
        <v>37.720455</v>
      </c>
      <c r="Y71" t="n">
        <v>38.461906</v>
      </c>
      <c r="Z71" t="n">
        <v>39.439796</v>
      </c>
      <c r="AA71" t="n">
        <v>40.464111</v>
      </c>
      <c r="AB71" t="n">
        <v>41.528179</v>
      </c>
      <c r="AC71" t="n">
        <v>42.495193</v>
      </c>
      <c r="AD71" t="n">
        <v>43.411278</v>
      </c>
      <c r="AE71" t="inlineStr">
        <is>
          <t>3.2%</t>
        </is>
      </c>
    </row>
    <row r="72">
      <c r="A72" t="inlineStr">
        <is>
          <t>Distillate Fuel Oil</t>
        </is>
      </c>
      <c r="B72" t="inlineStr">
        <is>
          <t>Energy Prices: Nominal: Commercial: Distillate Fuel Oil: Alternative Electricity and Transportation</t>
        </is>
      </c>
      <c r="C72" t="inlineStr">
        <is>
          <t>AEO.2026.ELECTRNP.PRCE_NOM_COMM_NA_DFO_NA_NA_NDLRPMBTU.A</t>
        </is>
      </c>
      <c r="D72" t="inlineStr">
        <is>
          <t>nom $/MMBtu</t>
        </is>
      </c>
      <c r="E72" t="n">
        <v>26.413055</v>
      </c>
      <c r="F72" t="n">
        <v>24.602383</v>
      </c>
      <c r="G72" t="n">
        <v>24.904596</v>
      </c>
      <c r="H72" t="n">
        <v>24.83279</v>
      </c>
      <c r="I72" t="n">
        <v>24.640816</v>
      </c>
      <c r="J72" t="n">
        <v>24.106083</v>
      </c>
      <c r="K72" t="n">
        <v>23.875996</v>
      </c>
      <c r="L72" t="n">
        <v>24.481064</v>
      </c>
      <c r="M72" t="n">
        <v>25.960096</v>
      </c>
      <c r="N72" t="n">
        <v>26.554029</v>
      </c>
      <c r="O72" t="n">
        <v>27.442789</v>
      </c>
      <c r="P72" t="n">
        <v>28.280367</v>
      </c>
      <c r="Q72" t="n">
        <v>29.17907</v>
      </c>
      <c r="R72" t="n">
        <v>30.053236</v>
      </c>
      <c r="S72" t="n">
        <v>30.811775</v>
      </c>
      <c r="T72" t="n">
        <v>31.55171</v>
      </c>
      <c r="U72" t="n">
        <v>32.39716</v>
      </c>
      <c r="V72" t="n">
        <v>33.2477</v>
      </c>
      <c r="W72" t="n">
        <v>34.096977</v>
      </c>
      <c r="X72" t="n">
        <v>34.962112</v>
      </c>
      <c r="Y72" t="n">
        <v>36.028336</v>
      </c>
      <c r="Z72" t="n">
        <v>37.044147</v>
      </c>
      <c r="AA72" t="n">
        <v>38.02597</v>
      </c>
      <c r="AB72" t="n">
        <v>39.258812</v>
      </c>
      <c r="AC72" t="n">
        <v>40.470852</v>
      </c>
      <c r="AD72" t="n">
        <v>41.311081</v>
      </c>
      <c r="AE72" t="inlineStr">
        <is>
          <t>1.8%</t>
        </is>
      </c>
    </row>
    <row r="73">
      <c r="A73" t="inlineStr">
        <is>
          <t>Residual Fuel Oil</t>
        </is>
      </c>
      <c r="B73" t="inlineStr">
        <is>
          <t>Energy Prices: Nominal: Commercial: Residual Fuel: Alternative Electricity and Transportation</t>
        </is>
      </c>
      <c r="C73" t="inlineStr">
        <is>
          <t>AEO.2026.ELECTRNP.PRCE_NOM_COMM_NA_RFL_NA_NA_NDLRPMBTU.A</t>
        </is>
      </c>
      <c r="D73" t="inlineStr">
        <is>
          <t>nom $/MMBtu</t>
        </is>
      </c>
      <c r="E73" t="n">
        <v>7.486679</v>
      </c>
      <c r="F73" t="n">
        <v>5.875155</v>
      </c>
      <c r="G73" t="n">
        <v>7.55196</v>
      </c>
      <c r="H73" t="n">
        <v>8.908465</v>
      </c>
      <c r="I73" t="n">
        <v>10.223339</v>
      </c>
      <c r="J73" t="n">
        <v>10.804075</v>
      </c>
      <c r="K73" t="n">
        <v>12.519503</v>
      </c>
      <c r="L73" t="n">
        <v>12.81381</v>
      </c>
      <c r="M73" t="n">
        <v>13.536977</v>
      </c>
      <c r="N73" t="n">
        <v>13.810558</v>
      </c>
      <c r="O73" t="n">
        <v>14.490627</v>
      </c>
      <c r="P73" t="n">
        <v>15.021338</v>
      </c>
      <c r="Q73" t="n">
        <v>15.452132</v>
      </c>
      <c r="R73" t="n">
        <v>16.019032</v>
      </c>
      <c r="S73" t="n">
        <v>16.519949</v>
      </c>
      <c r="T73" t="n">
        <v>17.218006</v>
      </c>
      <c r="U73" t="n">
        <v>17.996052</v>
      </c>
      <c r="V73" t="n">
        <v>18.587059</v>
      </c>
      <c r="W73" t="n">
        <v>19.147715</v>
      </c>
      <c r="X73" t="n">
        <v>19.728296</v>
      </c>
      <c r="Y73" t="n">
        <v>20.471619</v>
      </c>
      <c r="Z73" t="n">
        <v>21.110806</v>
      </c>
      <c r="AA73" t="n">
        <v>21.727749</v>
      </c>
      <c r="AB73" t="n">
        <v>22.717241</v>
      </c>
      <c r="AC73" t="n">
        <v>23.491835</v>
      </c>
      <c r="AD73" t="n">
        <v>24.16934</v>
      </c>
      <c r="AE73" t="inlineStr">
        <is>
          <t>4.8%</t>
        </is>
      </c>
    </row>
    <row r="74">
      <c r="A74" t="inlineStr">
        <is>
          <t>Natural Gas</t>
        </is>
      </c>
      <c r="B74" t="inlineStr">
        <is>
          <t>Energy Prices: Nominal: Commercial: Natural Gas: Alternative Electricity and Transportation</t>
        </is>
      </c>
      <c r="C74" t="inlineStr">
        <is>
          <t>AEO.2026.ELECTRNP.PRCE_NOM_COMM_NA_NG_NA_NA_NDLRPMBTU.A</t>
        </is>
      </c>
      <c r="D74" t="inlineStr">
        <is>
          <t>nom $/MMBtu</t>
        </is>
      </c>
      <c r="E74" t="n">
        <v>10.354016</v>
      </c>
      <c r="F74" t="n">
        <v>9.772798999999999</v>
      </c>
      <c r="G74" t="n">
        <v>10.22083</v>
      </c>
      <c r="H74" t="n">
        <v>10.867184</v>
      </c>
      <c r="I74" t="n">
        <v>11.594604</v>
      </c>
      <c r="J74" t="n">
        <v>12.499109</v>
      </c>
      <c r="K74" t="n">
        <v>13.369481</v>
      </c>
      <c r="L74" t="n">
        <v>13.828997</v>
      </c>
      <c r="M74" t="n">
        <v>14.493234</v>
      </c>
      <c r="N74" t="n">
        <v>14.890263</v>
      </c>
      <c r="O74" t="n">
        <v>15.379936</v>
      </c>
      <c r="P74" t="n">
        <v>15.770547</v>
      </c>
      <c r="Q74" t="n">
        <v>16.290888</v>
      </c>
      <c r="R74" t="n">
        <v>16.73139</v>
      </c>
      <c r="S74" t="n">
        <v>17.186155</v>
      </c>
      <c r="T74" t="n">
        <v>17.627966</v>
      </c>
      <c r="U74" t="n">
        <v>18.015265</v>
      </c>
      <c r="V74" t="n">
        <v>18.281502</v>
      </c>
      <c r="W74" t="n">
        <v>18.507359</v>
      </c>
      <c r="X74" t="n">
        <v>18.688339</v>
      </c>
      <c r="Y74" t="n">
        <v>18.982462</v>
      </c>
      <c r="Z74" t="n">
        <v>19.393272</v>
      </c>
      <c r="AA74" t="n">
        <v>19.832045</v>
      </c>
      <c r="AB74" t="n">
        <v>20.265629</v>
      </c>
      <c r="AC74" t="n">
        <v>20.697998</v>
      </c>
      <c r="AD74" t="n">
        <v>21.09898</v>
      </c>
      <c r="AE74" t="inlineStr">
        <is>
          <t>2.9%</t>
        </is>
      </c>
    </row>
    <row r="75">
      <c r="A75" t="inlineStr">
        <is>
          <t>Electricity</t>
        </is>
      </c>
      <c r="B75" t="inlineStr">
        <is>
          <t>Energy Prices: Nominal: Commercial: Electricity: Alternative Electricity and Transportation</t>
        </is>
      </c>
      <c r="C75" t="inlineStr">
        <is>
          <t>AEO.2026.ELECTRNP.PRCE_NOM_COMM_NA_ELC_NA_NA_NDLRPMBTU.A</t>
        </is>
      </c>
      <c r="D75" t="inlineStr">
        <is>
          <t>nom $/MMBtu</t>
        </is>
      </c>
      <c r="E75" t="n">
        <v>39.50576</v>
      </c>
      <c r="F75" t="n">
        <v>40.333721</v>
      </c>
      <c r="G75" t="n">
        <v>39.793594</v>
      </c>
      <c r="H75" t="n">
        <v>39.573635</v>
      </c>
      <c r="I75" t="n">
        <v>40.652565</v>
      </c>
      <c r="J75" t="n">
        <v>41.951889</v>
      </c>
      <c r="K75" t="n">
        <v>43.213989</v>
      </c>
      <c r="L75" t="n">
        <v>44.285133</v>
      </c>
      <c r="M75" t="n">
        <v>45.478573</v>
      </c>
      <c r="N75" t="n">
        <v>46.730812</v>
      </c>
      <c r="O75" t="n">
        <v>47.820354</v>
      </c>
      <c r="P75" t="n">
        <v>48.872791</v>
      </c>
      <c r="Q75" t="n">
        <v>50.103378</v>
      </c>
      <c r="R75" t="n">
        <v>51.263645</v>
      </c>
      <c r="S75" t="n">
        <v>52.532436</v>
      </c>
      <c r="T75" t="n">
        <v>53.822857</v>
      </c>
      <c r="U75" t="n">
        <v>54.87598</v>
      </c>
      <c r="V75" t="n">
        <v>55.81892</v>
      </c>
      <c r="W75" t="n">
        <v>56.620163</v>
      </c>
      <c r="X75" t="n">
        <v>57.456181</v>
      </c>
      <c r="Y75" t="n">
        <v>58.048542</v>
      </c>
      <c r="Z75" t="n">
        <v>59.313152</v>
      </c>
      <c r="AA75" t="n">
        <v>60.579906</v>
      </c>
      <c r="AB75" t="n">
        <v>61.901981</v>
      </c>
      <c r="AC75" t="n">
        <v>63.040802</v>
      </c>
      <c r="AD75" t="n">
        <v>64.329987</v>
      </c>
      <c r="AE75" t="inlineStr">
        <is>
          <t>2.0%</t>
        </is>
      </c>
    </row>
    <row r="76">
      <c r="A76" t="inlineStr">
        <is>
          <t>Industrial</t>
        </is>
      </c>
    </row>
    <row r="77">
      <c r="A77" t="inlineStr">
        <is>
          <t>Propane</t>
        </is>
      </c>
      <c r="B77" t="inlineStr">
        <is>
          <t>Energy Prices: Nominal: Industrial: Propane: Alternative Electricity and Transportation</t>
        </is>
      </c>
      <c r="C77" t="inlineStr">
        <is>
          <t>AEO.2026.ELECTRNP.PRCE_NOM_IDAL_NA_PROP_NA_NA_NDLRPMBTU.A</t>
        </is>
      </c>
      <c r="D77" t="inlineStr">
        <is>
          <t>nom $/MMBtu</t>
        </is>
      </c>
      <c r="E77" t="n">
        <v>12.803329</v>
      </c>
      <c r="F77" t="n">
        <v>11.374785</v>
      </c>
      <c r="G77" t="n">
        <v>11.732965</v>
      </c>
      <c r="H77" t="n">
        <v>12.809592</v>
      </c>
      <c r="I77" t="n">
        <v>13.85447</v>
      </c>
      <c r="J77" t="n">
        <v>15.155042</v>
      </c>
      <c r="K77" t="n">
        <v>16.829517</v>
      </c>
      <c r="L77" t="n">
        <v>17.925089</v>
      </c>
      <c r="M77" t="n">
        <v>18.887888</v>
      </c>
      <c r="N77" t="n">
        <v>19.836891</v>
      </c>
      <c r="O77" t="n">
        <v>20.806917</v>
      </c>
      <c r="P77" t="n">
        <v>21.794609</v>
      </c>
      <c r="Q77" t="n">
        <v>22.875402</v>
      </c>
      <c r="R77" t="n">
        <v>24.016033</v>
      </c>
      <c r="S77" t="n">
        <v>25.168726</v>
      </c>
      <c r="T77" t="n">
        <v>26.12676</v>
      </c>
      <c r="U77" t="n">
        <v>26.923519</v>
      </c>
      <c r="V77" t="n">
        <v>27.361647</v>
      </c>
      <c r="W77" t="n">
        <v>27.513428</v>
      </c>
      <c r="X77" t="n">
        <v>27.65271</v>
      </c>
      <c r="Y77" t="n">
        <v>28.216715</v>
      </c>
      <c r="Z77" t="n">
        <v>29.040878</v>
      </c>
      <c r="AA77" t="n">
        <v>29.916945</v>
      </c>
      <c r="AB77" t="n">
        <v>30.832899</v>
      </c>
      <c r="AC77" t="n">
        <v>31.641119</v>
      </c>
      <c r="AD77" t="n">
        <v>32.391327</v>
      </c>
      <c r="AE77" t="inlineStr">
        <is>
          <t>3.8%</t>
        </is>
      </c>
    </row>
    <row r="78">
      <c r="A78" t="inlineStr">
        <is>
          <t>Distillate Fuel Oil</t>
        </is>
      </c>
      <c r="B78" t="inlineStr">
        <is>
          <t>Energy Prices: Nominal: Industrial: Distillate Fuel Oil: Alternative Electricity and Transportation</t>
        </is>
      </c>
      <c r="C78" t="inlineStr">
        <is>
          <t>AEO.2026.ELECTRNP.PRCE_NOM_IDAL_NA_DFO_NA_NA_NDLRPMBTU.A</t>
        </is>
      </c>
      <c r="D78" t="inlineStr">
        <is>
          <t>nom $/MMBtu</t>
        </is>
      </c>
      <c r="E78" t="n">
        <v>26.296053</v>
      </c>
      <c r="F78" t="n">
        <v>24.48868</v>
      </c>
      <c r="G78" t="n">
        <v>24.749483</v>
      </c>
      <c r="H78" t="n">
        <v>24.622332</v>
      </c>
      <c r="I78" t="n">
        <v>24.373558</v>
      </c>
      <c r="J78" t="n">
        <v>23.831984</v>
      </c>
      <c r="K78" t="n">
        <v>23.53397</v>
      </c>
      <c r="L78" t="n">
        <v>24.123369</v>
      </c>
      <c r="M78" t="n">
        <v>25.164715</v>
      </c>
      <c r="N78" t="n">
        <v>25.748924</v>
      </c>
      <c r="O78" t="n">
        <v>26.625229</v>
      </c>
      <c r="P78" t="n">
        <v>27.471087</v>
      </c>
      <c r="Q78" t="n">
        <v>28.270615</v>
      </c>
      <c r="R78" t="n">
        <v>29.119919</v>
      </c>
      <c r="S78" t="n">
        <v>29.875204</v>
      </c>
      <c r="T78" t="n">
        <v>30.605457</v>
      </c>
      <c r="U78" t="n">
        <v>31.439684</v>
      </c>
      <c r="V78" t="n">
        <v>32.274094</v>
      </c>
      <c r="W78" t="n">
        <v>33.110161</v>
      </c>
      <c r="X78" t="n">
        <v>33.959072</v>
      </c>
      <c r="Y78" t="n">
        <v>35.021137</v>
      </c>
      <c r="Z78" t="n">
        <v>36.027985</v>
      </c>
      <c r="AA78" t="n">
        <v>37.00074</v>
      </c>
      <c r="AB78" t="n">
        <v>38.238468</v>
      </c>
      <c r="AC78" t="n">
        <v>39.442677</v>
      </c>
      <c r="AD78" t="n">
        <v>40.275177</v>
      </c>
      <c r="AE78" t="inlineStr">
        <is>
          <t>1.7%</t>
        </is>
      </c>
    </row>
    <row r="79">
      <c r="A79" t="inlineStr">
        <is>
          <t>Residual Fuel Oil</t>
        </is>
      </c>
      <c r="B79" t="inlineStr">
        <is>
          <t>Energy Prices: Nominal: Industrial: Residual Fuel Oil: Alternative Electricity and Transportation</t>
        </is>
      </c>
      <c r="C79" t="inlineStr">
        <is>
          <t>AEO.2026.ELECTRNP.PRCE_NOM_IDAL_NA_RFO_NA_NA_NDLRPMBTU.A</t>
        </is>
      </c>
      <c r="D79" t="inlineStr">
        <is>
          <t>nom $/MMBtu</t>
        </is>
      </c>
      <c r="E79" t="n">
        <v>8.660570999999999</v>
      </c>
      <c r="F79" t="n">
        <v>6.900148</v>
      </c>
      <c r="G79" t="n">
        <v>8.92243</v>
      </c>
      <c r="H79" t="n">
        <v>10.552668</v>
      </c>
      <c r="I79" t="n">
        <v>12.106726</v>
      </c>
      <c r="J79" t="n">
        <v>12.984299</v>
      </c>
      <c r="K79" t="n">
        <v>15.015378</v>
      </c>
      <c r="L79" t="n">
        <v>15.346922</v>
      </c>
      <c r="M79" t="n">
        <v>16.120689</v>
      </c>
      <c r="N79" t="n">
        <v>16.456148</v>
      </c>
      <c r="O79" t="n">
        <v>17.199833</v>
      </c>
      <c r="P79" t="n">
        <v>17.809805</v>
      </c>
      <c r="Q79" t="n">
        <v>18.309252</v>
      </c>
      <c r="R79" t="n">
        <v>18.94578</v>
      </c>
      <c r="S79" t="n">
        <v>19.55621</v>
      </c>
      <c r="T79" t="n">
        <v>20.323803</v>
      </c>
      <c r="U79" t="n">
        <v>21.151136</v>
      </c>
      <c r="V79" t="n">
        <v>21.802668</v>
      </c>
      <c r="W79" t="n">
        <v>22.403984</v>
      </c>
      <c r="X79" t="n">
        <v>23.031214</v>
      </c>
      <c r="Y79" t="n">
        <v>23.831392</v>
      </c>
      <c r="Z79" t="n">
        <v>24.534489</v>
      </c>
      <c r="AA79" t="n">
        <v>25.215658</v>
      </c>
      <c r="AB79" t="n">
        <v>26.264496</v>
      </c>
      <c r="AC79" t="n">
        <v>27.098633</v>
      </c>
      <c r="AD79" t="n">
        <v>27.770151</v>
      </c>
      <c r="AE79" t="inlineStr">
        <is>
          <t>4.8%</t>
        </is>
      </c>
    </row>
    <row r="80">
      <c r="A80" t="inlineStr">
        <is>
          <t>Natural Gas</t>
        </is>
      </c>
      <c r="B80" t="inlineStr">
        <is>
          <t>Energy Prices: Nominal: Industrial: Natural Gas: Alternative Electricity and Transportation</t>
        </is>
      </c>
      <c r="C80" t="inlineStr">
        <is>
          <t>AEO.2026.ELECTRNP.PRCE_NOM_IDAL_NA_NG_NA_NA_NDLRPMBTU.A</t>
        </is>
      </c>
      <c r="D80" t="inlineStr">
        <is>
          <t>nom $/MMBtu</t>
        </is>
      </c>
      <c r="E80" t="n">
        <v>4.50558</v>
      </c>
      <c r="F80" t="n">
        <v>4.893209</v>
      </c>
      <c r="G80" t="n">
        <v>4.871906</v>
      </c>
      <c r="H80" t="n">
        <v>5.09076</v>
      </c>
      <c r="I80" t="n">
        <v>5.310991</v>
      </c>
      <c r="J80" t="n">
        <v>5.936819</v>
      </c>
      <c r="K80" t="n">
        <v>6.369852</v>
      </c>
      <c r="L80" t="n">
        <v>6.650794</v>
      </c>
      <c r="M80" t="n">
        <v>6.789828</v>
      </c>
      <c r="N80" t="n">
        <v>6.959946</v>
      </c>
      <c r="O80" t="n">
        <v>7.205581</v>
      </c>
      <c r="P80" t="n">
        <v>7.430627</v>
      </c>
      <c r="Q80" t="n">
        <v>7.654009</v>
      </c>
      <c r="R80" t="n">
        <v>7.882642</v>
      </c>
      <c r="S80" t="n">
        <v>8.131206000000001</v>
      </c>
      <c r="T80" t="n">
        <v>8.359671000000001</v>
      </c>
      <c r="U80" t="n">
        <v>8.464468999999999</v>
      </c>
      <c r="V80" t="n">
        <v>8.371309</v>
      </c>
      <c r="W80" t="n">
        <v>8.190097</v>
      </c>
      <c r="X80" t="n">
        <v>8.009321</v>
      </c>
      <c r="Y80" t="n">
        <v>7.994494</v>
      </c>
      <c r="Z80" t="n">
        <v>8.128809</v>
      </c>
      <c r="AA80" t="n">
        <v>8.296633</v>
      </c>
      <c r="AB80" t="n">
        <v>8.451707000000001</v>
      </c>
      <c r="AC80" t="n">
        <v>8.575507</v>
      </c>
      <c r="AD80" t="n">
        <v>8.668025999999999</v>
      </c>
      <c r="AE80" t="inlineStr">
        <is>
          <t>2.7%</t>
        </is>
      </c>
    </row>
    <row r="81">
      <c r="A81" t="inlineStr">
        <is>
          <t>Metallurgical Coal</t>
        </is>
      </c>
      <c r="B81" t="inlineStr">
        <is>
          <t>Energy Prices: Nominal: Industrial: Metallurgical Coal: Alternative Electricity and Transportation</t>
        </is>
      </c>
      <c r="C81" t="inlineStr">
        <is>
          <t>AEO.2026.ELECTRNP.PRCE_NOM_IDAL_NA_MTC_NA_NA_NDLRPMBTU.A</t>
        </is>
      </c>
      <c r="D81" t="inlineStr">
        <is>
          <t>nom $/MMBtu</t>
        </is>
      </c>
      <c r="E81" t="n">
        <v>6.417383</v>
      </c>
      <c r="F81" t="n">
        <v>6.597126</v>
      </c>
      <c r="G81" t="n">
        <v>6.728108</v>
      </c>
      <c r="H81" t="n">
        <v>6.881665</v>
      </c>
      <c r="I81" t="n">
        <v>7.014177</v>
      </c>
      <c r="J81" t="n">
        <v>7.176545</v>
      </c>
      <c r="K81" t="n">
        <v>7.308282</v>
      </c>
      <c r="L81" t="n">
        <v>7.484515</v>
      </c>
      <c r="M81" t="n">
        <v>7.641977</v>
      </c>
      <c r="N81" t="n">
        <v>7.775808</v>
      </c>
      <c r="O81" t="n">
        <v>7.944719</v>
      </c>
      <c r="P81" t="n">
        <v>8.064301</v>
      </c>
      <c r="Q81" t="n">
        <v>8.229307</v>
      </c>
      <c r="R81" t="n">
        <v>8.387159</v>
      </c>
      <c r="S81" t="n">
        <v>8.509911000000001</v>
      </c>
      <c r="T81" t="n">
        <v>8.680963</v>
      </c>
      <c r="U81" t="n">
        <v>8.833387</v>
      </c>
      <c r="V81" t="n">
        <v>8.983679</v>
      </c>
      <c r="W81" t="n">
        <v>9.143613</v>
      </c>
      <c r="X81" t="n">
        <v>9.296298999999999</v>
      </c>
      <c r="Y81" t="n">
        <v>9.471245</v>
      </c>
      <c r="Z81" t="n">
        <v>9.630311000000001</v>
      </c>
      <c r="AA81" t="n">
        <v>9.821401</v>
      </c>
      <c r="AB81" t="n">
        <v>10.014432</v>
      </c>
      <c r="AC81" t="n">
        <v>10.155501</v>
      </c>
      <c r="AD81" t="n">
        <v>10.327953</v>
      </c>
      <c r="AE81" t="inlineStr">
        <is>
          <t>1.9%</t>
        </is>
      </c>
    </row>
    <row r="82">
      <c r="A82" t="inlineStr">
        <is>
          <t>Other Industrial Coal</t>
        </is>
      </c>
      <c r="B82" t="inlineStr">
        <is>
          <t>Energy Prices: Nominal: Industrial: Other Industrial Coal: Alternative Electricity and Transportation</t>
        </is>
      </c>
      <c r="C82" t="inlineStr">
        <is>
          <t>AEO.2026.ELECTRNP.PRCE_NOM_IDAL_NA_OIC_NA_NA_NDLRPMBTU.A</t>
        </is>
      </c>
      <c r="D82" t="inlineStr">
        <is>
          <t>nom $/MMBtu</t>
        </is>
      </c>
      <c r="E82" t="n">
        <v>3.995581</v>
      </c>
      <c r="F82" t="n">
        <v>3.962253</v>
      </c>
      <c r="G82" t="n">
        <v>3.941394</v>
      </c>
      <c r="H82" t="n">
        <v>4.016377</v>
      </c>
      <c r="I82" t="n">
        <v>4.104921</v>
      </c>
      <c r="J82" t="n">
        <v>4.156437</v>
      </c>
      <c r="K82" t="n">
        <v>4.241232</v>
      </c>
      <c r="L82" t="n">
        <v>4.309848</v>
      </c>
      <c r="M82" t="n">
        <v>4.393622</v>
      </c>
      <c r="N82" t="n">
        <v>4.462495</v>
      </c>
      <c r="O82" t="n">
        <v>4.541896</v>
      </c>
      <c r="P82" t="n">
        <v>4.634819</v>
      </c>
      <c r="Q82" t="n">
        <v>4.732712</v>
      </c>
      <c r="R82" t="n">
        <v>4.834002</v>
      </c>
      <c r="S82" t="n">
        <v>4.908824</v>
      </c>
      <c r="T82" t="n">
        <v>5.025657</v>
      </c>
      <c r="U82" t="n">
        <v>5.1197</v>
      </c>
      <c r="V82" t="n">
        <v>5.225145</v>
      </c>
      <c r="W82" t="n">
        <v>5.320366</v>
      </c>
      <c r="X82" t="n">
        <v>5.415202</v>
      </c>
      <c r="Y82" t="n">
        <v>5.518361</v>
      </c>
      <c r="Z82" t="n">
        <v>5.602289</v>
      </c>
      <c r="AA82" t="n">
        <v>5.716237</v>
      </c>
      <c r="AB82" t="n">
        <v>5.83783</v>
      </c>
      <c r="AC82" t="n">
        <v>5.993599</v>
      </c>
      <c r="AD82" t="n">
        <v>6.101249</v>
      </c>
      <c r="AE82" t="inlineStr">
        <is>
          <t>1.7%</t>
        </is>
      </c>
    </row>
    <row r="83">
      <c r="A83" t="inlineStr">
        <is>
          <t>Hydrogen</t>
        </is>
      </c>
      <c r="B83" t="inlineStr">
        <is>
          <t>Energy Prices: Nominal: Industrial: Hydrogen: Alternative Electricity and Transportation</t>
        </is>
      </c>
      <c r="C83" t="inlineStr">
        <is>
          <t>AEO.2026.ELECTRNP.PRCE_NOM_IDAL_NA_HDG_NA_NA_NDLRPMBTU.A</t>
        </is>
      </c>
      <c r="D83" t="inlineStr">
        <is>
          <t>nom $/MMBtu</t>
        </is>
      </c>
      <c r="E83" t="n">
        <v>11.501233</v>
      </c>
      <c r="F83" t="n">
        <v>12.215922</v>
      </c>
      <c r="G83" t="n">
        <v>12.441085</v>
      </c>
      <c r="H83" t="n">
        <v>12.845333</v>
      </c>
      <c r="I83" t="n">
        <v>13.19964</v>
      </c>
      <c r="J83" t="n">
        <v>14.24692</v>
      </c>
      <c r="K83" t="n">
        <v>14.868075</v>
      </c>
      <c r="L83" t="n">
        <v>15.341229</v>
      </c>
      <c r="M83" t="n">
        <v>15.758101</v>
      </c>
      <c r="N83" t="n">
        <v>16.121334</v>
      </c>
      <c r="O83" t="n">
        <v>16.377409</v>
      </c>
      <c r="P83" t="n">
        <v>16.928585</v>
      </c>
      <c r="Q83" t="n">
        <v>17.287062</v>
      </c>
      <c r="R83" t="n">
        <v>17.757149</v>
      </c>
      <c r="S83" t="n">
        <v>18.224953</v>
      </c>
      <c r="T83" t="n">
        <v>18.648542</v>
      </c>
      <c r="U83" t="n">
        <v>18.894539</v>
      </c>
      <c r="V83" t="n">
        <v>18.979748</v>
      </c>
      <c r="W83" t="n">
        <v>18.869946</v>
      </c>
      <c r="X83" t="n">
        <v>18.823492</v>
      </c>
      <c r="Y83" t="n">
        <v>18.959051</v>
      </c>
      <c r="Z83" t="n">
        <v>19.220348</v>
      </c>
      <c r="AA83" t="n">
        <v>19.583923</v>
      </c>
      <c r="AB83" t="n">
        <v>19.950401</v>
      </c>
      <c r="AC83" t="n">
        <v>20.260973</v>
      </c>
      <c r="AD83" t="n">
        <v>20.556705</v>
      </c>
      <c r="AE83" t="inlineStr">
        <is>
          <t>2.4%</t>
        </is>
      </c>
    </row>
    <row r="84">
      <c r="A84" t="inlineStr">
        <is>
          <t>Electricity</t>
        </is>
      </c>
      <c r="B84" t="inlineStr">
        <is>
          <t>Energy Prices: Nominal: Industrial: Electricity: Alternative Electricity and Transportation</t>
        </is>
      </c>
      <c r="C84" t="inlineStr">
        <is>
          <t>AEO.2026.ELECTRNP.PRCE_NOM_IDAL_NA_ELC_NA_NA_NDLRPMBTU.A</t>
        </is>
      </c>
      <c r="D84" t="inlineStr">
        <is>
          <t>nom $/MMBtu</t>
        </is>
      </c>
      <c r="E84" t="n">
        <v>26.595726</v>
      </c>
      <c r="F84" t="n">
        <v>27.183186</v>
      </c>
      <c r="G84" t="n">
        <v>26.44618</v>
      </c>
      <c r="H84" t="n">
        <v>26.295322</v>
      </c>
      <c r="I84" t="n">
        <v>27.056814</v>
      </c>
      <c r="J84" t="n">
        <v>28.031288</v>
      </c>
      <c r="K84" t="n">
        <v>29.024605</v>
      </c>
      <c r="L84" t="n">
        <v>29.771095</v>
      </c>
      <c r="M84" t="n">
        <v>30.648407</v>
      </c>
      <c r="N84" t="n">
        <v>31.438168</v>
      </c>
      <c r="O84" t="n">
        <v>32.213593</v>
      </c>
      <c r="P84" t="n">
        <v>32.956795</v>
      </c>
      <c r="Q84" t="n">
        <v>33.768005</v>
      </c>
      <c r="R84" t="n">
        <v>34.526131</v>
      </c>
      <c r="S84" t="n">
        <v>35.399929</v>
      </c>
      <c r="T84" t="n">
        <v>36.310913</v>
      </c>
      <c r="U84" t="n">
        <v>36.998283</v>
      </c>
      <c r="V84" t="n">
        <v>37.489326</v>
      </c>
      <c r="W84" t="n">
        <v>37.965794</v>
      </c>
      <c r="X84" t="n">
        <v>38.455433</v>
      </c>
      <c r="Y84" t="n">
        <v>38.836315</v>
      </c>
      <c r="Z84" t="n">
        <v>39.743523</v>
      </c>
      <c r="AA84" t="n">
        <v>40.595776</v>
      </c>
      <c r="AB84" t="n">
        <v>41.425858</v>
      </c>
      <c r="AC84" t="n">
        <v>42.15052</v>
      </c>
      <c r="AD84" t="n">
        <v>42.968788</v>
      </c>
      <c r="AE84" t="inlineStr">
        <is>
          <t>1.9%</t>
        </is>
      </c>
    </row>
    <row r="85">
      <c r="A85" t="inlineStr">
        <is>
          <t>Transportation</t>
        </is>
      </c>
    </row>
    <row r="86">
      <c r="A86" t="inlineStr">
        <is>
          <t>Propane</t>
        </is>
      </c>
      <c r="B86" t="inlineStr">
        <is>
          <t>Energy Prices: Nominal: Transportation: Propane: Alternative Electricity and Transportation</t>
        </is>
      </c>
      <c r="C86" t="inlineStr">
        <is>
          <t>AEO.2026.ELECTRNP.PRCE_NOM_TRN_NA_PROP_NA_NA_NDLRPMBTU.A</t>
        </is>
      </c>
      <c r="D86" t="inlineStr">
        <is>
          <t>nom $/MMBtu</t>
        </is>
      </c>
      <c r="E86" t="n">
        <v>18.230301</v>
      </c>
      <c r="F86" t="n">
        <v>17.007212</v>
      </c>
      <c r="G86" t="n">
        <v>17.611189</v>
      </c>
      <c r="H86" t="n">
        <v>18.814934</v>
      </c>
      <c r="I86" t="n">
        <v>19.8965</v>
      </c>
      <c r="J86" t="n">
        <v>21.203777</v>
      </c>
      <c r="K86" t="n">
        <v>22.815506</v>
      </c>
      <c r="L86" t="n">
        <v>23.845697</v>
      </c>
      <c r="M86" t="n">
        <v>25.059345</v>
      </c>
      <c r="N86" t="n">
        <v>26.016788</v>
      </c>
      <c r="O86" t="n">
        <v>26.99688</v>
      </c>
      <c r="P86" t="n">
        <v>27.986801</v>
      </c>
      <c r="Q86" t="n">
        <v>29.083712</v>
      </c>
      <c r="R86" t="n">
        <v>30.18354</v>
      </c>
      <c r="S86" t="n">
        <v>31.284565</v>
      </c>
      <c r="T86" t="n">
        <v>32.224186</v>
      </c>
      <c r="U86" t="n">
        <v>33.044155</v>
      </c>
      <c r="V86" t="n">
        <v>33.582745</v>
      </c>
      <c r="W86" t="n">
        <v>33.912064</v>
      </c>
      <c r="X86" t="n">
        <v>34.252758</v>
      </c>
      <c r="Y86" t="n">
        <v>34.949593</v>
      </c>
      <c r="Z86" t="n">
        <v>35.837006</v>
      </c>
      <c r="AA86" t="n">
        <v>36.750656</v>
      </c>
      <c r="AB86" t="n">
        <v>37.696072</v>
      </c>
      <c r="AC86" t="n">
        <v>38.55262</v>
      </c>
      <c r="AD86" t="n">
        <v>39.369263</v>
      </c>
      <c r="AE86" t="inlineStr">
        <is>
          <t>3.1%</t>
        </is>
      </c>
    </row>
    <row r="87">
      <c r="A87" t="inlineStr">
        <is>
          <t>E85</t>
        </is>
      </c>
      <c r="B87" t="inlineStr">
        <is>
          <t>Energy Prices: Nominal: Transportation: E85: Alternative Electricity and Transportation</t>
        </is>
      </c>
      <c r="C87" t="inlineStr">
        <is>
          <t>AEO.2026.ELECTRNP.PRCE_NOM_TRN_NA_E85_NA_NA_NDLRPMBTU.A</t>
        </is>
      </c>
      <c r="D87" t="inlineStr">
        <is>
          <t>nom $/MMBtu</t>
        </is>
      </c>
      <c r="E87" t="n">
        <v>30.587164</v>
      </c>
      <c r="F87" t="n">
        <v>31.203903</v>
      </c>
      <c r="G87" t="n">
        <v>30.024382</v>
      </c>
      <c r="H87" t="n">
        <v>30.145155</v>
      </c>
      <c r="I87" t="n">
        <v>30.904642</v>
      </c>
      <c r="J87" t="n">
        <v>31.073414</v>
      </c>
      <c r="K87" t="n">
        <v>32.168621</v>
      </c>
      <c r="L87" t="n">
        <v>32.907597</v>
      </c>
      <c r="M87" t="n">
        <v>34.255245</v>
      </c>
      <c r="N87" t="n">
        <v>35.123013</v>
      </c>
      <c r="O87" t="n">
        <v>36.329647</v>
      </c>
      <c r="P87" t="n">
        <v>37.32843</v>
      </c>
      <c r="Q87" t="n">
        <v>38.626873</v>
      </c>
      <c r="R87" t="n">
        <v>39.625446</v>
      </c>
      <c r="S87" t="n">
        <v>40.600712</v>
      </c>
      <c r="T87" t="n">
        <v>41.494476</v>
      </c>
      <c r="U87" t="n">
        <v>42.297188</v>
      </c>
      <c r="V87" t="n">
        <v>43.355907</v>
      </c>
      <c r="W87" t="n">
        <v>44.286274</v>
      </c>
      <c r="X87" t="n">
        <v>45.190884</v>
      </c>
      <c r="Y87" t="n">
        <v>46.453613</v>
      </c>
      <c r="Z87" t="n">
        <v>47.314701</v>
      </c>
      <c r="AA87" t="n">
        <v>48.45322</v>
      </c>
      <c r="AB87" t="n">
        <v>49.672562</v>
      </c>
      <c r="AC87" t="n">
        <v>50.988106</v>
      </c>
      <c r="AD87" t="n">
        <v>52.034878</v>
      </c>
      <c r="AE87" t="inlineStr">
        <is>
          <t>2.1%</t>
        </is>
      </c>
    </row>
    <row r="88">
      <c r="A88" t="inlineStr">
        <is>
          <t>Motor Gasoline</t>
        </is>
      </c>
      <c r="B88" t="inlineStr">
        <is>
          <t>Energy Prices: Nominal: Transportation: Motor Gasoline: Alternative Electricity and Transportation</t>
        </is>
      </c>
      <c r="C88" t="inlineStr">
        <is>
          <t>AEO.2026.ELECTRNP.PRCE_NOM_TRN_NA_MGS_NA_NA_NDLRPMBTU.A</t>
        </is>
      </c>
      <c r="D88" t="inlineStr">
        <is>
          <t>nom $/MMBtu</t>
        </is>
      </c>
      <c r="E88" t="n">
        <v>26.463598</v>
      </c>
      <c r="F88" t="n">
        <v>25.51367</v>
      </c>
      <c r="G88" t="n">
        <v>24.623333</v>
      </c>
      <c r="H88" t="n">
        <v>24.58675</v>
      </c>
      <c r="I88" t="n">
        <v>25.128912</v>
      </c>
      <c r="J88" t="n">
        <v>25.932306</v>
      </c>
      <c r="K88" t="n">
        <v>26.792875</v>
      </c>
      <c r="L88" t="n">
        <v>27.478697</v>
      </c>
      <c r="M88" t="n">
        <v>28.974934</v>
      </c>
      <c r="N88" t="n">
        <v>29.670784</v>
      </c>
      <c r="O88" t="n">
        <v>30.657434</v>
      </c>
      <c r="P88" t="n">
        <v>31.503145</v>
      </c>
      <c r="Q88" t="n">
        <v>32.49255</v>
      </c>
      <c r="R88" t="n">
        <v>33.35247</v>
      </c>
      <c r="S88" t="n">
        <v>34.126793</v>
      </c>
      <c r="T88" t="n">
        <v>34.871441</v>
      </c>
      <c r="U88" t="n">
        <v>35.589207</v>
      </c>
      <c r="V88" t="n">
        <v>36.480637</v>
      </c>
      <c r="W88" t="n">
        <v>37.193615</v>
      </c>
      <c r="X88" t="n">
        <v>37.917572</v>
      </c>
      <c r="Y88" t="n">
        <v>38.904232</v>
      </c>
      <c r="Z88" t="n">
        <v>39.606155</v>
      </c>
      <c r="AA88" t="n">
        <v>40.70644</v>
      </c>
      <c r="AB88" t="n">
        <v>41.674114</v>
      </c>
      <c r="AC88" t="n">
        <v>42.796936</v>
      </c>
      <c r="AD88" t="n">
        <v>43.670364</v>
      </c>
      <c r="AE88" t="inlineStr">
        <is>
          <t>2.0%</t>
        </is>
      </c>
    </row>
    <row r="89">
      <c r="A89" t="inlineStr">
        <is>
          <t>Jet Fuel</t>
        </is>
      </c>
      <c r="B89" t="inlineStr">
        <is>
          <t>Energy Prices: Nominal: Transportation: Jet Fuel: Alternative Electricity and Transportation</t>
        </is>
      </c>
      <c r="C89" t="inlineStr">
        <is>
          <t>AEO.2026.ELECTRNP.PRCE_NOM_TRN_NA_JFL_NA_NA_NDLRPMBTU.A</t>
        </is>
      </c>
      <c r="D89" t="inlineStr">
        <is>
          <t>nom $/MMBtu</t>
        </is>
      </c>
      <c r="E89" t="n">
        <v>16.24399</v>
      </c>
      <c r="F89" t="n">
        <v>14.885285</v>
      </c>
      <c r="G89" t="n">
        <v>16.242111</v>
      </c>
      <c r="H89" t="n">
        <v>17.142666</v>
      </c>
      <c r="I89" t="n">
        <v>17.956694</v>
      </c>
      <c r="J89" t="n">
        <v>18.163628</v>
      </c>
      <c r="K89" t="n">
        <v>19.103359</v>
      </c>
      <c r="L89" t="n">
        <v>19.707733</v>
      </c>
      <c r="M89" t="n">
        <v>20.719217</v>
      </c>
      <c r="N89" t="n">
        <v>21.308352</v>
      </c>
      <c r="O89" t="n">
        <v>22.187794</v>
      </c>
      <c r="P89" t="n">
        <v>22.852396</v>
      </c>
      <c r="Q89" t="n">
        <v>23.740505</v>
      </c>
      <c r="R89" t="n">
        <v>24.586229</v>
      </c>
      <c r="S89" t="n">
        <v>25.237694</v>
      </c>
      <c r="T89" t="n">
        <v>25.906342</v>
      </c>
      <c r="U89" t="n">
        <v>26.724316</v>
      </c>
      <c r="V89" t="n">
        <v>27.552126</v>
      </c>
      <c r="W89" t="n">
        <v>28.378134</v>
      </c>
      <c r="X89" t="n">
        <v>29.21657</v>
      </c>
      <c r="Y89" t="n">
        <v>30.297083</v>
      </c>
      <c r="Z89" t="n">
        <v>31.302763</v>
      </c>
      <c r="AA89" t="n">
        <v>32.25462</v>
      </c>
      <c r="AB89" t="n">
        <v>33.46146</v>
      </c>
      <c r="AC89" t="n">
        <v>34.623188</v>
      </c>
      <c r="AD89" t="n">
        <v>35.399757</v>
      </c>
      <c r="AE89" t="inlineStr">
        <is>
          <t>3.2%</t>
        </is>
      </c>
    </row>
    <row r="90">
      <c r="A90" t="inlineStr">
        <is>
          <t>Diesel Fuel (distillate fuel oil)</t>
        </is>
      </c>
      <c r="B90" t="inlineStr">
        <is>
          <t>Energy Prices: Nominal: Transportation: Diesel Fuel: Alternative Electricity and Transportation</t>
        </is>
      </c>
      <c r="C90" t="inlineStr">
        <is>
          <t>AEO.2026.ELECTRNP.PRCE_NOM_TRN_NA_DFU_NA_NA_NDLRPMBTU.A</t>
        </is>
      </c>
      <c r="D90" t="inlineStr">
        <is>
          <t>nom $/MMBtu</t>
        </is>
      </c>
      <c r="E90" t="n">
        <v>26.549246</v>
      </c>
      <c r="F90" t="n">
        <v>25.43479</v>
      </c>
      <c r="G90" t="n">
        <v>26.327488</v>
      </c>
      <c r="H90" t="n">
        <v>27.129782</v>
      </c>
      <c r="I90" t="n">
        <v>27.798845</v>
      </c>
      <c r="J90" t="n">
        <v>28.406582</v>
      </c>
      <c r="K90" t="n">
        <v>28.930683</v>
      </c>
      <c r="L90" t="n">
        <v>29.511772</v>
      </c>
      <c r="M90" t="n">
        <v>31.42576</v>
      </c>
      <c r="N90" t="n">
        <v>32.097237</v>
      </c>
      <c r="O90" t="n">
        <v>32.981117</v>
      </c>
      <c r="P90" t="n">
        <v>34.054726</v>
      </c>
      <c r="Q90" t="n">
        <v>35.128605</v>
      </c>
      <c r="R90" t="n">
        <v>36.127502</v>
      </c>
      <c r="S90" t="n">
        <v>37.053776</v>
      </c>
      <c r="T90" t="n">
        <v>37.876621</v>
      </c>
      <c r="U90" t="n">
        <v>38.758858</v>
      </c>
      <c r="V90" t="n">
        <v>39.729298</v>
      </c>
      <c r="W90" t="n">
        <v>40.687374</v>
      </c>
      <c r="X90" t="n">
        <v>41.622158</v>
      </c>
      <c r="Y90" t="n">
        <v>42.852268</v>
      </c>
      <c r="Z90" t="n">
        <v>44.049931</v>
      </c>
      <c r="AA90" t="n">
        <v>45.010464</v>
      </c>
      <c r="AB90" t="n">
        <v>46.516361</v>
      </c>
      <c r="AC90" t="n">
        <v>47.931091</v>
      </c>
      <c r="AD90" t="n">
        <v>48.836582</v>
      </c>
      <c r="AE90" t="inlineStr">
        <is>
          <t>2.5%</t>
        </is>
      </c>
    </row>
    <row r="91">
      <c r="A91" t="inlineStr">
        <is>
          <t>Residual Fuel Oil</t>
        </is>
      </c>
      <c r="B91" t="inlineStr">
        <is>
          <t>Energy Prices: Nominal: Transportation: Residual Fuel Oil: Alternative Electricity and Transportation</t>
        </is>
      </c>
      <c r="C91" t="inlineStr">
        <is>
          <t>AEO.2026.ELECTRNP.PRCE_NOM_TRN_NA_RFO_NA_NA_NDLRPMBTU.A</t>
        </is>
      </c>
      <c r="D91" t="inlineStr">
        <is>
          <t>nom $/MMBtu</t>
        </is>
      </c>
      <c r="E91" t="n">
        <v>11.500687</v>
      </c>
      <c r="F91" t="n">
        <v>9.176508999999999</v>
      </c>
      <c r="G91" t="n">
        <v>10.461626</v>
      </c>
      <c r="H91" t="n">
        <v>11.215068</v>
      </c>
      <c r="I91" t="n">
        <v>11.870642</v>
      </c>
      <c r="J91" t="n">
        <v>12.038476</v>
      </c>
      <c r="K91" t="n">
        <v>13.052052</v>
      </c>
      <c r="L91" t="n">
        <v>13.308909</v>
      </c>
      <c r="M91" t="n">
        <v>13.903541</v>
      </c>
      <c r="N91" t="n">
        <v>14.270398</v>
      </c>
      <c r="O91" t="n">
        <v>14.772669</v>
      </c>
      <c r="P91" t="n">
        <v>15.242775</v>
      </c>
      <c r="Q91" t="n">
        <v>15.621075</v>
      </c>
      <c r="R91" t="n">
        <v>16.116737</v>
      </c>
      <c r="S91" t="n">
        <v>16.558672</v>
      </c>
      <c r="T91" t="n">
        <v>17.172087</v>
      </c>
      <c r="U91" t="n">
        <v>17.840195</v>
      </c>
      <c r="V91" t="n">
        <v>18.361521</v>
      </c>
      <c r="W91" t="n">
        <v>18.873005</v>
      </c>
      <c r="X91" t="n">
        <v>19.39221</v>
      </c>
      <c r="Y91" t="n">
        <v>20.033146</v>
      </c>
      <c r="Z91" t="n">
        <v>20.594845</v>
      </c>
      <c r="AA91" t="n">
        <v>21.138077</v>
      </c>
      <c r="AB91" t="n">
        <v>21.981722</v>
      </c>
      <c r="AC91" t="n">
        <v>22.654276</v>
      </c>
      <c r="AD91" t="n">
        <v>23.196024</v>
      </c>
      <c r="AE91" t="inlineStr">
        <is>
          <t>2.8%</t>
        </is>
      </c>
    </row>
    <row r="92">
      <c r="A92" t="inlineStr">
        <is>
          <t>Natural Gas</t>
        </is>
      </c>
      <c r="B92" t="inlineStr">
        <is>
          <t>Energy Prices: Nominal: Transportation: Natural Gas: Alternative Electricity and Transportation</t>
        </is>
      </c>
      <c r="C92" t="inlineStr">
        <is>
          <t>AEO.2026.ELECTRNP.PRCE_NOM_TRN_NA_NG_NA_NA_NDLRPMBTU.A</t>
        </is>
      </c>
      <c r="D92" t="inlineStr">
        <is>
          <t>nom $/MMBtu</t>
        </is>
      </c>
      <c r="E92" t="n">
        <v>17.201744</v>
      </c>
      <c r="F92" t="n">
        <v>17.844986</v>
      </c>
      <c r="G92" t="n">
        <v>18.013479</v>
      </c>
      <c r="H92" t="n">
        <v>18.415855</v>
      </c>
      <c r="I92" t="n">
        <v>18.820347</v>
      </c>
      <c r="J92" t="n">
        <v>19.577885</v>
      </c>
      <c r="K92" t="n">
        <v>20.192389</v>
      </c>
      <c r="L92" t="n">
        <v>20.608042</v>
      </c>
      <c r="M92" t="n">
        <v>21.747009</v>
      </c>
      <c r="N92" t="n">
        <v>22.089293</v>
      </c>
      <c r="O92" t="n">
        <v>22.516682</v>
      </c>
      <c r="P92" t="n">
        <v>22.906855</v>
      </c>
      <c r="Q92" t="n">
        <v>23.436966</v>
      </c>
      <c r="R92" t="n">
        <v>23.808046</v>
      </c>
      <c r="S92" t="n">
        <v>24.198341</v>
      </c>
      <c r="T92" t="n">
        <v>24.570103</v>
      </c>
      <c r="U92" t="n">
        <v>24.85453</v>
      </c>
      <c r="V92" t="n">
        <v>24.938988</v>
      </c>
      <c r="W92" t="n">
        <v>24.955359</v>
      </c>
      <c r="X92" t="n">
        <v>24.948904</v>
      </c>
      <c r="Y92" t="n">
        <v>25.065079</v>
      </c>
      <c r="Z92" t="n">
        <v>25.347883</v>
      </c>
      <c r="AA92" t="n">
        <v>25.664194</v>
      </c>
      <c r="AB92" t="n">
        <v>25.973032</v>
      </c>
      <c r="AC92" t="n">
        <v>26.251431</v>
      </c>
      <c r="AD92" t="n">
        <v>26.487377</v>
      </c>
      <c r="AE92" t="inlineStr">
        <is>
          <t>1.7%</t>
        </is>
      </c>
    </row>
    <row r="93">
      <c r="A93" t="inlineStr">
        <is>
          <t>Electricity</t>
        </is>
      </c>
      <c r="B93" t="inlineStr">
        <is>
          <t>Energy Prices: Nominal: Transportation: Electricity: Alternative Electricity and Transportation</t>
        </is>
      </c>
      <c r="C93" t="inlineStr">
        <is>
          <t>AEO.2026.ELECTRNP.PRCE_NOM_TRN_NA_ELC_NA_NA_NDLRPMBTU.A</t>
        </is>
      </c>
      <c r="D93" t="inlineStr">
        <is>
          <t>nom $/MMBtu</t>
        </is>
      </c>
      <c r="E93" t="n">
        <v>45.167717</v>
      </c>
      <c r="F93" t="n">
        <v>46.454472</v>
      </c>
      <c r="G93" t="n">
        <v>45.886574</v>
      </c>
      <c r="H93" t="n">
        <v>44.966663</v>
      </c>
      <c r="I93" t="n">
        <v>46.176102</v>
      </c>
      <c r="J93" t="n">
        <v>47.67614</v>
      </c>
      <c r="K93" t="n">
        <v>48.802723</v>
      </c>
      <c r="L93" t="n">
        <v>49.810047</v>
      </c>
      <c r="M93" t="n">
        <v>50.980686</v>
      </c>
      <c r="N93" t="n">
        <v>52.590382</v>
      </c>
      <c r="O93" t="n">
        <v>53.914162</v>
      </c>
      <c r="P93" t="n">
        <v>55.24527</v>
      </c>
      <c r="Q93" t="n">
        <v>56.911919</v>
      </c>
      <c r="R93" t="n">
        <v>58.459568</v>
      </c>
      <c r="S93" t="n">
        <v>60.05201</v>
      </c>
      <c r="T93" t="n">
        <v>61.496372</v>
      </c>
      <c r="U93" t="n">
        <v>62.719242</v>
      </c>
      <c r="V93" t="n">
        <v>63.953876</v>
      </c>
      <c r="W93" t="n">
        <v>65.059631</v>
      </c>
      <c r="X93" t="n">
        <v>66.253654</v>
      </c>
      <c r="Y93" t="n">
        <v>67.257408</v>
      </c>
      <c r="Z93" t="n">
        <v>68.665176</v>
      </c>
      <c r="AA93" t="n">
        <v>70.261909</v>
      </c>
      <c r="AB93" t="n">
        <v>71.912971</v>
      </c>
      <c r="AC93" t="n">
        <v>73.25466900000001</v>
      </c>
      <c r="AD93" t="n">
        <v>74.780334</v>
      </c>
      <c r="AE93" t="inlineStr">
        <is>
          <t>2.0%</t>
        </is>
      </c>
    </row>
    <row r="94">
      <c r="A94" t="inlineStr">
        <is>
          <t>Electric Power</t>
        </is>
      </c>
    </row>
    <row r="95">
      <c r="A95" t="inlineStr">
        <is>
          <t>Distillate Fuel Oil</t>
        </is>
      </c>
      <c r="B95" t="inlineStr">
        <is>
          <t>Energy Prices: Nominal: Electric Power: Distillate Fuel Oil: Alternative Electricity and Transportation</t>
        </is>
      </c>
      <c r="C95" t="inlineStr">
        <is>
          <t>AEO.2026.ELECTRNP.PRCE_NOM_ELEP_NA_DFO_NA_NA_NDLRPMBTU.A</t>
        </is>
      </c>
      <c r="D95" t="inlineStr">
        <is>
          <t>nom $/MMBtu</t>
        </is>
      </c>
      <c r="E95" t="n">
        <v>26.278624</v>
      </c>
      <c r="F95" t="n">
        <v>24.489048</v>
      </c>
      <c r="G95" t="n">
        <v>24.779556</v>
      </c>
      <c r="H95" t="n">
        <v>24.663654</v>
      </c>
      <c r="I95" t="n">
        <v>24.507017</v>
      </c>
      <c r="J95" t="n">
        <v>23.571476</v>
      </c>
      <c r="K95" t="n">
        <v>23.09782</v>
      </c>
      <c r="L95" t="n">
        <v>23.784311</v>
      </c>
      <c r="M95" t="n">
        <v>24.748344</v>
      </c>
      <c r="N95" t="n">
        <v>25.387434</v>
      </c>
      <c r="O95" t="n">
        <v>26.27375</v>
      </c>
      <c r="P95" t="n">
        <v>26.933302</v>
      </c>
      <c r="Q95" t="n">
        <v>27.856487</v>
      </c>
      <c r="R95" t="n">
        <v>28.685194</v>
      </c>
      <c r="S95" t="n">
        <v>29.362669</v>
      </c>
      <c r="T95" t="n">
        <v>30.037809</v>
      </c>
      <c r="U95" t="n">
        <v>30.788279</v>
      </c>
      <c r="V95" t="n">
        <v>31.547287</v>
      </c>
      <c r="W95" t="n">
        <v>32.353245</v>
      </c>
      <c r="X95" t="n">
        <v>33.072777</v>
      </c>
      <c r="Y95" t="n">
        <v>34.006256</v>
      </c>
      <c r="Z95" t="n">
        <v>35.020756</v>
      </c>
      <c r="AA95" t="n">
        <v>35.912571</v>
      </c>
      <c r="AB95" t="n">
        <v>37.078056</v>
      </c>
      <c r="AC95" t="n">
        <v>38.327274</v>
      </c>
      <c r="AD95" t="n">
        <v>39.144566</v>
      </c>
      <c r="AE95" t="inlineStr">
        <is>
          <t>1.6%</t>
        </is>
      </c>
    </row>
    <row r="96">
      <c r="A96" t="inlineStr">
        <is>
          <t>Residual Fuel Oil</t>
        </is>
      </c>
      <c r="B96" t="inlineStr">
        <is>
          <t>Energy Prices: Nominal: Electric Power: Residual Fuel Oil: Alternative Electricity and Transportation</t>
        </is>
      </c>
      <c r="C96" t="inlineStr">
        <is>
          <t>AEO.2026.ELECTRNP.PRCE_NOM_ELEP_NA_RFO_NA_NA_NDLRPMBTU.A</t>
        </is>
      </c>
      <c r="D96" t="inlineStr">
        <is>
          <t>nom $/MMBtu</t>
        </is>
      </c>
      <c r="E96" t="n">
        <v>15.195043</v>
      </c>
      <c r="F96" t="n">
        <v>11.705897</v>
      </c>
      <c r="G96" t="n">
        <v>13.141294</v>
      </c>
      <c r="H96" t="n">
        <v>14.214765</v>
      </c>
      <c r="I96" t="n">
        <v>14.965571</v>
      </c>
      <c r="J96" t="n">
        <v>15.168745</v>
      </c>
      <c r="K96" t="n">
        <v>16.500057</v>
      </c>
      <c r="L96" t="n">
        <v>16.69133</v>
      </c>
      <c r="M96" t="n">
        <v>17.325518</v>
      </c>
      <c r="N96" t="n">
        <v>17.804876</v>
      </c>
      <c r="O96" t="n">
        <v>18.258795</v>
      </c>
      <c r="P96" t="n">
        <v>18.755901</v>
      </c>
      <c r="Q96" t="n">
        <v>19.152222</v>
      </c>
      <c r="R96" t="n">
        <v>19.655111</v>
      </c>
      <c r="S96" t="n">
        <v>20.177216</v>
      </c>
      <c r="T96" t="n">
        <v>20.767647</v>
      </c>
      <c r="U96" t="n">
        <v>21.173552</v>
      </c>
      <c r="V96" t="n">
        <v>21.324156</v>
      </c>
      <c r="W96" t="n">
        <v>21.201637</v>
      </c>
      <c r="X96" t="n">
        <v>20.893095</v>
      </c>
      <c r="Y96" t="n">
        <v>20.376925</v>
      </c>
      <c r="Z96" t="n">
        <v>20.94718</v>
      </c>
      <c r="AA96" t="n">
        <v>21.567547</v>
      </c>
      <c r="AB96" t="n">
        <v>22.527081</v>
      </c>
      <c r="AC96" t="n">
        <v>23.299332</v>
      </c>
      <c r="AD96" t="n">
        <v>23.89175</v>
      </c>
      <c r="AE96" t="inlineStr">
        <is>
          <t>1.8%</t>
        </is>
      </c>
    </row>
    <row r="97">
      <c r="A97" t="inlineStr">
        <is>
          <t>Natural Gas</t>
        </is>
      </c>
      <c r="B97" t="inlineStr">
        <is>
          <t>Energy Prices: Nominal: Electric Power: Natural Gas: Alternative Electricity and Transportation</t>
        </is>
      </c>
      <c r="C97" t="inlineStr">
        <is>
          <t>AEO.2026.ELECTRNP.PRCE_NOM_ELEP_NA_NG_NA_NA_NDLRPMBTU.A</t>
        </is>
      </c>
      <c r="D97" t="inlineStr">
        <is>
          <t>nom $/MMBtu</t>
        </is>
      </c>
      <c r="E97" t="n">
        <v>3.808666</v>
      </c>
      <c r="F97" t="n">
        <v>4.105974</v>
      </c>
      <c r="G97" t="n">
        <v>4.022357</v>
      </c>
      <c r="H97" t="n">
        <v>4.172301</v>
      </c>
      <c r="I97" t="n">
        <v>4.387358</v>
      </c>
      <c r="J97" t="n">
        <v>4.99789</v>
      </c>
      <c r="K97" t="n">
        <v>5.464719</v>
      </c>
      <c r="L97" t="n">
        <v>5.647668</v>
      </c>
      <c r="M97" t="n">
        <v>5.76116</v>
      </c>
      <c r="N97" t="n">
        <v>5.954101</v>
      </c>
      <c r="O97" t="n">
        <v>6.062579</v>
      </c>
      <c r="P97" t="n">
        <v>6.292349</v>
      </c>
      <c r="Q97" t="n">
        <v>6.559125</v>
      </c>
      <c r="R97" t="n">
        <v>6.645579</v>
      </c>
      <c r="S97" t="n">
        <v>6.918235</v>
      </c>
      <c r="T97" t="n">
        <v>7.097153</v>
      </c>
      <c r="U97" t="n">
        <v>7.135865</v>
      </c>
      <c r="V97" t="n">
        <v>7.042644</v>
      </c>
      <c r="W97" t="n">
        <v>6.919695</v>
      </c>
      <c r="X97" t="n">
        <v>6.776004</v>
      </c>
      <c r="Y97" t="n">
        <v>6.717297</v>
      </c>
      <c r="Z97" t="n">
        <v>6.807622</v>
      </c>
      <c r="AA97" t="n">
        <v>6.918887</v>
      </c>
      <c r="AB97" t="n">
        <v>7.079287</v>
      </c>
      <c r="AC97" t="n">
        <v>7.194951</v>
      </c>
      <c r="AD97" t="n">
        <v>7.288468</v>
      </c>
      <c r="AE97" t="inlineStr">
        <is>
          <t>2.6%</t>
        </is>
      </c>
    </row>
    <row r="98">
      <c r="A98" t="inlineStr">
        <is>
          <t>Steam Coal</t>
        </is>
      </c>
      <c r="B98" t="inlineStr">
        <is>
          <t>Energy Prices: Nominal: Electric Power: Steam Coal: Alternative Electricity and Transportation</t>
        </is>
      </c>
      <c r="C98" t="inlineStr">
        <is>
          <t>AEO.2026.ELECTRNP.PRCE_NOM_ELEP_NA_STC_NA_NA_NDLRPMBTU.A</t>
        </is>
      </c>
      <c r="D98" t="inlineStr">
        <is>
          <t>nom $/MMBtu</t>
        </is>
      </c>
      <c r="E98" t="n">
        <v>2.563418</v>
      </c>
      <c r="F98" t="n">
        <v>2.586312</v>
      </c>
      <c r="G98" t="n">
        <v>2.592515</v>
      </c>
      <c r="H98" t="n">
        <v>2.629635</v>
      </c>
      <c r="I98" t="n">
        <v>2.676245</v>
      </c>
      <c r="J98" t="n">
        <v>2.745163</v>
      </c>
      <c r="K98" t="n">
        <v>2.751312</v>
      </c>
      <c r="L98" t="n">
        <v>2.790242</v>
      </c>
      <c r="M98" t="n">
        <v>2.84354</v>
      </c>
      <c r="N98" t="n">
        <v>2.877782</v>
      </c>
      <c r="O98" t="n">
        <v>2.936091</v>
      </c>
      <c r="P98" t="n">
        <v>2.991992</v>
      </c>
      <c r="Q98" t="n">
        <v>3.10099</v>
      </c>
      <c r="R98" t="n">
        <v>3.168385</v>
      </c>
      <c r="S98" t="n">
        <v>3.252835</v>
      </c>
      <c r="T98" t="n">
        <v>3.324297</v>
      </c>
      <c r="U98" t="n">
        <v>3.378087</v>
      </c>
      <c r="V98" t="n">
        <v>3.438494</v>
      </c>
      <c r="W98" t="n">
        <v>3.516237</v>
      </c>
      <c r="X98" t="n">
        <v>3.567292</v>
      </c>
      <c r="Y98" t="n">
        <v>3.64729</v>
      </c>
      <c r="Z98" t="n">
        <v>3.733424</v>
      </c>
      <c r="AA98" t="n">
        <v>3.816249</v>
      </c>
      <c r="AB98" t="n">
        <v>3.900015</v>
      </c>
      <c r="AC98" t="n">
        <v>4.018616</v>
      </c>
      <c r="AD98" t="n">
        <v>4.090966</v>
      </c>
      <c r="AE98" t="inlineStr">
        <is>
          <t>1.9%</t>
        </is>
      </c>
    </row>
    <row r="99">
      <c r="A99" t="inlineStr">
        <is>
          <t>Nuclear Fuel</t>
        </is>
      </c>
      <c r="B99" t="inlineStr">
        <is>
          <t>Energy Prices: Nominal: Electric Power: Uranium: Alternative Electricity and Transportation</t>
        </is>
      </c>
      <c r="C99" t="inlineStr">
        <is>
          <t>AEO.2026.ELECTRNP.PRCE_NOM_ELEP_NA_U_NA_NA_NDLRPMBTU.A</t>
        </is>
      </c>
      <c r="D99" t="inlineStr">
        <is>
          <t>nom $/MMBtu</t>
        </is>
      </c>
      <c r="E99" t="n">
        <v>0.549997</v>
      </c>
      <c r="F99" t="n">
        <v>0.56005</v>
      </c>
      <c r="G99" t="n">
        <v>0.569645</v>
      </c>
      <c r="H99" t="n">
        <v>0.579392</v>
      </c>
      <c r="I99" t="n">
        <v>0.589154</v>
      </c>
      <c r="J99" t="n">
        <v>0.599232</v>
      </c>
      <c r="K99" t="n">
        <v>0.608429</v>
      </c>
      <c r="L99" t="n">
        <v>0.617533</v>
      </c>
      <c r="M99" t="n">
        <v>0.627231</v>
      </c>
      <c r="N99" t="n">
        <v>0.635544</v>
      </c>
      <c r="O99" t="n">
        <v>0.644088</v>
      </c>
      <c r="P99" t="n">
        <v>0.652369</v>
      </c>
      <c r="Q99" t="n">
        <v>0.661357</v>
      </c>
      <c r="R99" t="n">
        <v>0.670468</v>
      </c>
      <c r="S99" t="n">
        <v>0.679531</v>
      </c>
      <c r="T99" t="n">
        <v>0.687418</v>
      </c>
      <c r="U99" t="n">
        <v>0.696496</v>
      </c>
      <c r="V99" t="n">
        <v>0.704027</v>
      </c>
      <c r="W99" t="n">
        <v>0.712833</v>
      </c>
      <c r="X99" t="n">
        <v>0.720099</v>
      </c>
      <c r="Y99" t="n">
        <v>0.727271</v>
      </c>
      <c r="Z99" t="n">
        <v>0.734448</v>
      </c>
      <c r="AA99" t="n">
        <v>0.743205</v>
      </c>
      <c r="AB99" t="n">
        <v>0.750592</v>
      </c>
      <c r="AC99" t="n">
        <v>0.757892</v>
      </c>
      <c r="AD99" t="n">
        <v>0.765007</v>
      </c>
      <c r="AE99" t="inlineStr">
        <is>
          <t>1.3%</t>
        </is>
      </c>
    </row>
    <row r="100">
      <c r="A100" t="inlineStr">
        <is>
          <t>Hydrogen</t>
        </is>
      </c>
      <c r="B100" t="inlineStr">
        <is>
          <t>Energy Prices: Nominal: Electric Power: Uranium: Alternative Electricity and Transportation</t>
        </is>
      </c>
      <c r="C100" t="inlineStr">
        <is>
          <t>AEO.2026.ELECTRNP.NA_NOM_ELEP_NA_HDG_NA_NA_NDLRPMBTU.A</t>
        </is>
      </c>
      <c r="D100" t="inlineStr">
        <is>
          <t>nom $/MMBtu</t>
        </is>
      </c>
      <c r="E100" t="n">
        <v>11.501233</v>
      </c>
      <c r="F100" t="n">
        <v>12.215922</v>
      </c>
      <c r="G100" t="n">
        <v>12.441085</v>
      </c>
      <c r="H100" t="n">
        <v>12.845333</v>
      </c>
      <c r="I100" t="n">
        <v>13.19964</v>
      </c>
      <c r="J100" t="n">
        <v>14.24692</v>
      </c>
      <c r="K100" t="n">
        <v>14.868075</v>
      </c>
      <c r="L100" t="n">
        <v>15.341229</v>
      </c>
      <c r="M100" t="n">
        <v>15.758101</v>
      </c>
      <c r="N100" t="n">
        <v>16.121334</v>
      </c>
      <c r="O100" t="n">
        <v>16.377409</v>
      </c>
      <c r="P100" t="n">
        <v>16.928585</v>
      </c>
      <c r="Q100" t="n">
        <v>17.287062</v>
      </c>
      <c r="R100" t="n">
        <v>17.757149</v>
      </c>
      <c r="S100" t="n">
        <v>18.224953</v>
      </c>
      <c r="T100" t="n">
        <v>18.648542</v>
      </c>
      <c r="U100" t="n">
        <v>18.894539</v>
      </c>
      <c r="V100" t="n">
        <v>18.979748</v>
      </c>
      <c r="W100" t="n">
        <v>18.869946</v>
      </c>
      <c r="X100" t="n">
        <v>18.823492</v>
      </c>
      <c r="Y100" t="n">
        <v>18.959051</v>
      </c>
      <c r="Z100" t="n">
        <v>19.220348</v>
      </c>
      <c r="AA100" t="n">
        <v>19.583923</v>
      </c>
      <c r="AB100" t="n">
        <v>19.950401</v>
      </c>
      <c r="AC100" t="n">
        <v>20.260973</v>
      </c>
      <c r="AD100" t="n">
        <v>20.556705</v>
      </c>
      <c r="AE100" t="inlineStr">
        <is>
          <t>2.4%</t>
        </is>
      </c>
    </row>
    <row r="101">
      <c r="A101" t="inlineStr">
        <is>
          <t>Average Price to All Users</t>
        </is>
      </c>
    </row>
    <row r="102">
      <c r="A102" t="inlineStr">
        <is>
          <t>Propane</t>
        </is>
      </c>
      <c r="B102" t="inlineStr">
        <is>
          <t>Energy Prices: Nominal: Average Price to All Users: Propane: Alternative Electricity and Transportation</t>
        </is>
      </c>
      <c r="C102" t="inlineStr">
        <is>
          <t>AEO.2026.ELECTRNP.PRCE_NOM_TEN_NA_PROP_NA_NA_NDLRPMBTU.A</t>
        </is>
      </c>
      <c r="D102" t="inlineStr">
        <is>
          <t>nom $/MMBtu</t>
        </is>
      </c>
      <c r="E102" t="n">
        <v>22.702044</v>
      </c>
      <c r="F102" t="n">
        <v>22.616314</v>
      </c>
      <c r="G102" t="n">
        <v>20.825096</v>
      </c>
      <c r="H102" t="n">
        <v>21.813625</v>
      </c>
      <c r="I102" t="n">
        <v>22.945105</v>
      </c>
      <c r="J102" t="n">
        <v>24.39101</v>
      </c>
      <c r="K102" t="n">
        <v>26.248945</v>
      </c>
      <c r="L102" t="n">
        <v>27.634941</v>
      </c>
      <c r="M102" t="n">
        <v>29.23259</v>
      </c>
      <c r="N102" t="n">
        <v>30.519314</v>
      </c>
      <c r="O102" t="n">
        <v>31.804844</v>
      </c>
      <c r="P102" t="n">
        <v>33.08683</v>
      </c>
      <c r="Q102" t="n">
        <v>34.430618</v>
      </c>
      <c r="R102" t="n">
        <v>35.798573</v>
      </c>
      <c r="S102" t="n">
        <v>37.190407</v>
      </c>
      <c r="T102" t="n">
        <v>38.446663</v>
      </c>
      <c r="U102" t="n">
        <v>39.571541</v>
      </c>
      <c r="V102" t="n">
        <v>40.368729</v>
      </c>
      <c r="W102" t="n">
        <v>40.876686</v>
      </c>
      <c r="X102" t="n">
        <v>41.304382</v>
      </c>
      <c r="Y102" t="n">
        <v>42.034309</v>
      </c>
      <c r="Z102" t="n">
        <v>43.003254</v>
      </c>
      <c r="AA102" t="n">
        <v>44.062546</v>
      </c>
      <c r="AB102" t="n">
        <v>45.194817</v>
      </c>
      <c r="AC102" t="n">
        <v>46.262474</v>
      </c>
      <c r="AD102" t="n">
        <v>47.279659</v>
      </c>
      <c r="AE102" t="inlineStr">
        <is>
          <t>3.0%</t>
        </is>
      </c>
    </row>
    <row r="103">
      <c r="A103" t="inlineStr">
        <is>
          <t>E85</t>
        </is>
      </c>
      <c r="B103" t="inlineStr">
        <is>
          <t>Energy Prices: Nominal: Average Price to All Users: E85: Alternative Electricity and Transportation</t>
        </is>
      </c>
      <c r="C103" t="inlineStr">
        <is>
          <t>AEO.2026.ELECTRNP.PRCE_NOM_TEN_NA_E85_NA_NA_NDLRPMBTU.A</t>
        </is>
      </c>
      <c r="D103" t="inlineStr">
        <is>
          <t>nom $/MMBtu</t>
        </is>
      </c>
      <c r="E103" t="n">
        <v>30.587164</v>
      </c>
      <c r="F103" t="n">
        <v>31.203903</v>
      </c>
      <c r="G103" t="n">
        <v>30.024382</v>
      </c>
      <c r="H103" t="n">
        <v>30.145155</v>
      </c>
      <c r="I103" t="n">
        <v>30.904642</v>
      </c>
      <c r="J103" t="n">
        <v>31.073414</v>
      </c>
      <c r="K103" t="n">
        <v>32.168621</v>
      </c>
      <c r="L103" t="n">
        <v>32.907597</v>
      </c>
      <c r="M103" t="n">
        <v>34.255245</v>
      </c>
      <c r="N103" t="n">
        <v>35.123013</v>
      </c>
      <c r="O103" t="n">
        <v>36.329647</v>
      </c>
      <c r="P103" t="n">
        <v>37.32843</v>
      </c>
      <c r="Q103" t="n">
        <v>38.626873</v>
      </c>
      <c r="R103" t="n">
        <v>39.625446</v>
      </c>
      <c r="S103" t="n">
        <v>40.600712</v>
      </c>
      <c r="T103" t="n">
        <v>41.494476</v>
      </c>
      <c r="U103" t="n">
        <v>42.297188</v>
      </c>
      <c r="V103" t="n">
        <v>43.355907</v>
      </c>
      <c r="W103" t="n">
        <v>44.286274</v>
      </c>
      <c r="X103" t="n">
        <v>45.190884</v>
      </c>
      <c r="Y103" t="n">
        <v>46.453613</v>
      </c>
      <c r="Z103" t="n">
        <v>47.314701</v>
      </c>
      <c r="AA103" t="n">
        <v>48.45322</v>
      </c>
      <c r="AB103" t="n">
        <v>49.672562</v>
      </c>
      <c r="AC103" t="n">
        <v>50.988106</v>
      </c>
      <c r="AD103" t="n">
        <v>52.034878</v>
      </c>
      <c r="AE103" t="inlineStr">
        <is>
          <t>2.1%</t>
        </is>
      </c>
    </row>
    <row r="104">
      <c r="A104" t="inlineStr">
        <is>
          <t>Motor Gasoline</t>
        </is>
      </c>
      <c r="B104" t="inlineStr">
        <is>
          <t>Energy Prices: Nominal: Average Price to All Users: Motor Gasoline: Alternative Electricity and Transportation</t>
        </is>
      </c>
      <c r="C104" t="inlineStr">
        <is>
          <t>AEO.2026.ELECTRNP.PRCE_NOM_TEN_NA_MGS_NA_NA_NDLRPMBTU.A</t>
        </is>
      </c>
      <c r="D104" t="inlineStr">
        <is>
          <t>nom $/MMBtu</t>
        </is>
      </c>
      <c r="E104" t="n">
        <v>26.495358</v>
      </c>
      <c r="F104" t="n">
        <v>25.556398</v>
      </c>
      <c r="G104" t="n">
        <v>24.712973</v>
      </c>
      <c r="H104" t="n">
        <v>24.690823</v>
      </c>
      <c r="I104" t="n">
        <v>25.222752</v>
      </c>
      <c r="J104" t="n">
        <v>25.998556</v>
      </c>
      <c r="K104" t="n">
        <v>26.819561</v>
      </c>
      <c r="L104" t="n">
        <v>27.506889</v>
      </c>
      <c r="M104" t="n">
        <v>29.0049</v>
      </c>
      <c r="N104" t="n">
        <v>29.702297</v>
      </c>
      <c r="O104" t="n">
        <v>30.690802</v>
      </c>
      <c r="P104" t="n">
        <v>31.538443</v>
      </c>
      <c r="Q104" t="n">
        <v>32.530064</v>
      </c>
      <c r="R104" t="n">
        <v>33.392063</v>
      </c>
      <c r="S104" t="n">
        <v>34.16853</v>
      </c>
      <c r="T104" t="n">
        <v>34.915165</v>
      </c>
      <c r="U104" t="n">
        <v>35.634754</v>
      </c>
      <c r="V104" t="n">
        <v>36.528145</v>
      </c>
      <c r="W104" t="n">
        <v>37.243454</v>
      </c>
      <c r="X104" t="n">
        <v>37.969349</v>
      </c>
      <c r="Y104" t="n">
        <v>38.958221</v>
      </c>
      <c r="Z104" t="n">
        <v>39.662136</v>
      </c>
      <c r="AA104" t="n">
        <v>40.764706</v>
      </c>
      <c r="AB104" t="n">
        <v>41.73526</v>
      </c>
      <c r="AC104" t="n">
        <v>42.860859</v>
      </c>
      <c r="AD104" t="n">
        <v>43.736732</v>
      </c>
      <c r="AE104" t="inlineStr">
        <is>
          <t>2.0%</t>
        </is>
      </c>
    </row>
    <row r="105">
      <c r="A105" t="inlineStr">
        <is>
          <t>Jet Fuel</t>
        </is>
      </c>
      <c r="B105" t="inlineStr">
        <is>
          <t>Energy Prices: Nominal: Average Price to All Users: Jet Fuel: Alternative Electricity and Transportation</t>
        </is>
      </c>
      <c r="C105" t="inlineStr">
        <is>
          <t>AEO.2026.ELECTRNP.PRCE_NOM_TEN_NA_JFL_NA_NA_NDLRPMBTU.A</t>
        </is>
      </c>
      <c r="D105" t="inlineStr">
        <is>
          <t>nom $/MMBtu</t>
        </is>
      </c>
      <c r="E105" t="n">
        <v>16.24399</v>
      </c>
      <c r="F105" t="n">
        <v>14.885285</v>
      </c>
      <c r="G105" t="n">
        <v>16.242111</v>
      </c>
      <c r="H105" t="n">
        <v>17.142666</v>
      </c>
      <c r="I105" t="n">
        <v>17.956694</v>
      </c>
      <c r="J105" t="n">
        <v>18.163628</v>
      </c>
      <c r="K105" t="n">
        <v>19.103359</v>
      </c>
      <c r="L105" t="n">
        <v>19.707733</v>
      </c>
      <c r="M105" t="n">
        <v>20.719217</v>
      </c>
      <c r="N105" t="n">
        <v>21.308352</v>
      </c>
      <c r="O105" t="n">
        <v>22.187794</v>
      </c>
      <c r="P105" t="n">
        <v>22.852396</v>
      </c>
      <c r="Q105" t="n">
        <v>23.740505</v>
      </c>
      <c r="R105" t="n">
        <v>24.586229</v>
      </c>
      <c r="S105" t="n">
        <v>25.237694</v>
      </c>
      <c r="T105" t="n">
        <v>25.906342</v>
      </c>
      <c r="U105" t="n">
        <v>26.724316</v>
      </c>
      <c r="V105" t="n">
        <v>27.552126</v>
      </c>
      <c r="W105" t="n">
        <v>28.378134</v>
      </c>
      <c r="X105" t="n">
        <v>29.21657</v>
      </c>
      <c r="Y105" t="n">
        <v>30.297083</v>
      </c>
      <c r="Z105" t="n">
        <v>31.302763</v>
      </c>
      <c r="AA105" t="n">
        <v>32.25462</v>
      </c>
      <c r="AB105" t="n">
        <v>33.46146</v>
      </c>
      <c r="AC105" t="n">
        <v>34.623188</v>
      </c>
      <c r="AD105" t="n">
        <v>35.399757</v>
      </c>
      <c r="AE105" t="inlineStr">
        <is>
          <t>3.2%</t>
        </is>
      </c>
    </row>
    <row r="106">
      <c r="A106" t="inlineStr">
        <is>
          <t>Distillate Fuel Oil</t>
        </is>
      </c>
      <c r="B106" t="inlineStr">
        <is>
          <t>Energy Prices: Nominal: Average Price to All Users: Distillate Fuel Oil: Alternative Electricity and Transportation</t>
        </is>
      </c>
      <c r="C106" t="inlineStr">
        <is>
          <t>AEO.2026.ELECTRNP.PRCE_NOM_TEN_NA_DFO_NA_NA_NDLRPMBTU.A</t>
        </is>
      </c>
      <c r="D106" t="inlineStr">
        <is>
          <t>nom $/MMBtu</t>
        </is>
      </c>
      <c r="E106" t="n">
        <v>26.48362</v>
      </c>
      <c r="F106" t="n">
        <v>25.212063</v>
      </c>
      <c r="G106" t="n">
        <v>26.105146</v>
      </c>
      <c r="H106" t="n">
        <v>26.663025</v>
      </c>
      <c r="I106" t="n">
        <v>27.120792</v>
      </c>
      <c r="J106" t="n">
        <v>27.387518</v>
      </c>
      <c r="K106" t="n">
        <v>27.82749</v>
      </c>
      <c r="L106" t="n">
        <v>28.493063</v>
      </c>
      <c r="M106" t="n">
        <v>30.163668</v>
      </c>
      <c r="N106" t="n">
        <v>30.8251</v>
      </c>
      <c r="O106" t="n">
        <v>31.790512</v>
      </c>
      <c r="P106" t="n">
        <v>32.764149</v>
      </c>
      <c r="Q106" t="n">
        <v>33.7187</v>
      </c>
      <c r="R106" t="n">
        <v>34.663502</v>
      </c>
      <c r="S106" t="n">
        <v>35.530388</v>
      </c>
      <c r="T106" t="n">
        <v>36.372742</v>
      </c>
      <c r="U106" t="n">
        <v>37.304409</v>
      </c>
      <c r="V106" t="n">
        <v>38.223038</v>
      </c>
      <c r="W106" t="n">
        <v>39.155594</v>
      </c>
      <c r="X106" t="n">
        <v>40.089275</v>
      </c>
      <c r="Y106" t="n">
        <v>41.253197</v>
      </c>
      <c r="Z106" t="n">
        <v>42.361237</v>
      </c>
      <c r="AA106" t="n">
        <v>43.42514</v>
      </c>
      <c r="AB106" t="n">
        <v>44.783176</v>
      </c>
      <c r="AC106" t="n">
        <v>46.097134</v>
      </c>
      <c r="AD106" t="n">
        <v>47.042404</v>
      </c>
      <c r="AE106" t="inlineStr">
        <is>
          <t>2.3%</t>
        </is>
      </c>
    </row>
    <row r="107">
      <c r="A107" t="inlineStr">
        <is>
          <t>Residual Fuel Oil</t>
        </is>
      </c>
      <c r="B107" t="inlineStr">
        <is>
          <t>Energy Prices: Nominal: Average Price to All Users: Residual Fuel Oil: Alternative Electricity and Transportation</t>
        </is>
      </c>
      <c r="C107" t="inlineStr">
        <is>
          <t>AEO.2026.ELECTRNP.PRCE_NOM_TEN_NA_RFO_NA_NA_NDLRPMBTU.A</t>
        </is>
      </c>
      <c r="D107" t="inlineStr">
        <is>
          <t>nom $/MMBtu</t>
        </is>
      </c>
      <c r="E107" t="n">
        <v>11.658544</v>
      </c>
      <c r="F107" t="n">
        <v>9.266418</v>
      </c>
      <c r="G107" t="n">
        <v>10.617278</v>
      </c>
      <c r="H107" t="n">
        <v>11.430065</v>
      </c>
      <c r="I107" t="n">
        <v>12.136557</v>
      </c>
      <c r="J107" t="n">
        <v>12.340943</v>
      </c>
      <c r="K107" t="n">
        <v>13.42429</v>
      </c>
      <c r="L107" t="n">
        <v>13.668635</v>
      </c>
      <c r="M107" t="n">
        <v>14.262857</v>
      </c>
      <c r="N107" t="n">
        <v>14.623524</v>
      </c>
      <c r="O107" t="n">
        <v>15.12292</v>
      </c>
      <c r="P107" t="n">
        <v>15.590816</v>
      </c>
      <c r="Q107" t="n">
        <v>15.964722</v>
      </c>
      <c r="R107" t="n">
        <v>16.456444</v>
      </c>
      <c r="S107" t="n">
        <v>16.900759</v>
      </c>
      <c r="T107" t="n">
        <v>17.509182</v>
      </c>
      <c r="U107" t="n">
        <v>18.151091</v>
      </c>
      <c r="V107" t="n">
        <v>18.639223</v>
      </c>
      <c r="W107" t="n">
        <v>19.108456</v>
      </c>
      <c r="X107" t="n">
        <v>19.586208</v>
      </c>
      <c r="Y107" t="n">
        <v>20.188318</v>
      </c>
      <c r="Z107" t="n">
        <v>20.752771</v>
      </c>
      <c r="AA107" t="n">
        <v>21.30106</v>
      </c>
      <c r="AB107" t="n">
        <v>22.152355</v>
      </c>
      <c r="AC107" t="n">
        <v>22.830643</v>
      </c>
      <c r="AD107" t="n">
        <v>23.376076</v>
      </c>
      <c r="AE107" t="inlineStr">
        <is>
          <t>2.8%</t>
        </is>
      </c>
    </row>
    <row r="108">
      <c r="A108" t="inlineStr">
        <is>
          <t>Natural Gas</t>
        </is>
      </c>
      <c r="B108" t="inlineStr">
        <is>
          <t>Energy Prices: Nominal: Average Price to All Users: Natural Gas: Alternative Electricity and Transportation</t>
        </is>
      </c>
      <c r="C108" t="inlineStr">
        <is>
          <t>AEO.2026.ELECTRNP.PRCE_NOM_TEN_NA_NG_NA_NA_NDLRPMBTU.A</t>
        </is>
      </c>
      <c r="D108" t="inlineStr">
        <is>
          <t>nom $/MMBtu</t>
        </is>
      </c>
      <c r="E108" t="n">
        <v>6.555398</v>
      </c>
      <c r="F108" t="n">
        <v>6.5806</v>
      </c>
      <c r="G108" t="n">
        <v>6.776878</v>
      </c>
      <c r="H108" t="n">
        <v>7.058399</v>
      </c>
      <c r="I108" t="n">
        <v>7.387418</v>
      </c>
      <c r="J108" t="n">
        <v>8.047584000000001</v>
      </c>
      <c r="K108" t="n">
        <v>8.496216</v>
      </c>
      <c r="L108" t="n">
        <v>8.768157</v>
      </c>
      <c r="M108" t="n">
        <v>9.061432</v>
      </c>
      <c r="N108" t="n">
        <v>9.305555999999999</v>
      </c>
      <c r="O108" t="n">
        <v>9.579485</v>
      </c>
      <c r="P108" t="n">
        <v>9.861378</v>
      </c>
      <c r="Q108" t="n">
        <v>10.173742</v>
      </c>
      <c r="R108" t="n">
        <v>10.3866</v>
      </c>
      <c r="S108" t="n">
        <v>10.687284</v>
      </c>
      <c r="T108" t="n">
        <v>10.927237</v>
      </c>
      <c r="U108" t="n">
        <v>11.061779</v>
      </c>
      <c r="V108" t="n">
        <v>11.030708</v>
      </c>
      <c r="W108" t="n">
        <v>10.935929</v>
      </c>
      <c r="X108" t="n">
        <v>10.825762</v>
      </c>
      <c r="Y108" t="n">
        <v>10.831565</v>
      </c>
      <c r="Z108" t="n">
        <v>10.976832</v>
      </c>
      <c r="AA108" t="n">
        <v>11.157255</v>
      </c>
      <c r="AB108" t="n">
        <v>11.354404</v>
      </c>
      <c r="AC108" t="n">
        <v>11.518243</v>
      </c>
      <c r="AD108" t="n">
        <v>11.664484</v>
      </c>
      <c r="AE108" t="inlineStr">
        <is>
          <t>2.3%</t>
        </is>
      </c>
    </row>
    <row r="109">
      <c r="A109" t="inlineStr">
        <is>
          <t>Metallurgical Coal</t>
        </is>
      </c>
      <c r="B109" t="inlineStr">
        <is>
          <t>Energy Prices: Nominal: Average Price to All Users: Metallurgical Coal: Alternative Electricity and Transportation</t>
        </is>
      </c>
      <c r="C109" t="inlineStr">
        <is>
          <t>AEO.2026.ELECTRNP.PRCE_NOM_TEN_NA_MTC_NA_NA_NDLRPMBTU.A</t>
        </is>
      </c>
      <c r="D109" t="inlineStr">
        <is>
          <t>nom $/MMBtu</t>
        </is>
      </c>
      <c r="E109" t="n">
        <v>6.417383</v>
      </c>
      <c r="F109" t="n">
        <v>6.597126</v>
      </c>
      <c r="G109" t="n">
        <v>6.728108</v>
      </c>
      <c r="H109" t="n">
        <v>6.881665</v>
      </c>
      <c r="I109" t="n">
        <v>7.014177</v>
      </c>
      <c r="J109" t="n">
        <v>7.176545</v>
      </c>
      <c r="K109" t="n">
        <v>7.308282</v>
      </c>
      <c r="L109" t="n">
        <v>7.484515</v>
      </c>
      <c r="M109" t="n">
        <v>7.641977</v>
      </c>
      <c r="N109" t="n">
        <v>7.775808</v>
      </c>
      <c r="O109" t="n">
        <v>7.944719</v>
      </c>
      <c r="P109" t="n">
        <v>8.064301</v>
      </c>
      <c r="Q109" t="n">
        <v>8.229307</v>
      </c>
      <c r="R109" t="n">
        <v>8.387159</v>
      </c>
      <c r="S109" t="n">
        <v>8.509911000000001</v>
      </c>
      <c r="T109" t="n">
        <v>8.680963</v>
      </c>
      <c r="U109" t="n">
        <v>8.833387</v>
      </c>
      <c r="V109" t="n">
        <v>8.983679</v>
      </c>
      <c r="W109" t="n">
        <v>9.143613</v>
      </c>
      <c r="X109" t="n">
        <v>9.296298999999999</v>
      </c>
      <c r="Y109" t="n">
        <v>9.471245</v>
      </c>
      <c r="Z109" t="n">
        <v>9.630311000000001</v>
      </c>
      <c r="AA109" t="n">
        <v>9.821401</v>
      </c>
      <c r="AB109" t="n">
        <v>10.014432</v>
      </c>
      <c r="AC109" t="n">
        <v>10.155501</v>
      </c>
      <c r="AD109" t="n">
        <v>10.327953</v>
      </c>
      <c r="AE109" t="inlineStr">
        <is>
          <t>1.9%</t>
        </is>
      </c>
    </row>
    <row r="110">
      <c r="A110" t="inlineStr">
        <is>
          <t>Other Coal</t>
        </is>
      </c>
      <c r="B110" t="inlineStr">
        <is>
          <t>Energy Prices: Nominal: Average Price to All Users: Other Coal: Alternative Electricity and Transportation</t>
        </is>
      </c>
      <c r="C110" t="inlineStr">
        <is>
          <t>AEO.2026.ELECTRNP.PRCE_NOM_TEN_NA_OCA_NA_NA_NDLRPMBTU.A</t>
        </is>
      </c>
      <c r="D110" t="inlineStr">
        <is>
          <t>nom $/MMBtu</t>
        </is>
      </c>
      <c r="E110" t="n">
        <v>2.638546</v>
      </c>
      <c r="F110" t="n">
        <v>2.656595</v>
      </c>
      <c r="G110" t="n">
        <v>2.667114</v>
      </c>
      <c r="H110" t="n">
        <v>2.714374</v>
      </c>
      <c r="I110" t="n">
        <v>2.764382</v>
      </c>
      <c r="J110" t="n">
        <v>2.832025</v>
      </c>
      <c r="K110" t="n">
        <v>2.858754</v>
      </c>
      <c r="L110" t="n">
        <v>2.90924</v>
      </c>
      <c r="M110" t="n">
        <v>2.96936</v>
      </c>
      <c r="N110" t="n">
        <v>3.013548</v>
      </c>
      <c r="O110" t="n">
        <v>3.073867</v>
      </c>
      <c r="P110" t="n">
        <v>3.134089</v>
      </c>
      <c r="Q110" t="n">
        <v>3.243209</v>
      </c>
      <c r="R110" t="n">
        <v>3.312093</v>
      </c>
      <c r="S110" t="n">
        <v>3.395133</v>
      </c>
      <c r="T110" t="n">
        <v>3.474717</v>
      </c>
      <c r="U110" t="n">
        <v>3.53384</v>
      </c>
      <c r="V110" t="n">
        <v>3.599578</v>
      </c>
      <c r="W110" t="n">
        <v>3.681604</v>
      </c>
      <c r="X110" t="n">
        <v>3.73833</v>
      </c>
      <c r="Y110" t="n">
        <v>3.821329</v>
      </c>
      <c r="Z110" t="n">
        <v>3.908495</v>
      </c>
      <c r="AA110" t="n">
        <v>3.991362</v>
      </c>
      <c r="AB110" t="n">
        <v>4.07665</v>
      </c>
      <c r="AC110" t="n">
        <v>4.202277</v>
      </c>
      <c r="AD110" t="n">
        <v>4.285527</v>
      </c>
      <c r="AE110" t="inlineStr">
        <is>
          <t>2.0%</t>
        </is>
      </c>
    </row>
    <row r="111">
      <c r="A111" t="inlineStr">
        <is>
          <t>Hydrogen</t>
        </is>
      </c>
      <c r="B111" t="inlineStr">
        <is>
          <t>Energy Prices: Nominal: Average Price to All Users: Other Coal: Alternative Electricity and Transportation</t>
        </is>
      </c>
      <c r="C111" t="inlineStr">
        <is>
          <t>AEO.2026.ELECTRNP.PRCE_NOM_TEN_NA_HDG_NA_NA_NDLRPMBTU.A</t>
        </is>
      </c>
      <c r="D111" t="inlineStr">
        <is>
          <t>nom $/MMBtu</t>
        </is>
      </c>
      <c r="E111" t="n">
        <v>11.520918</v>
      </c>
      <c r="F111" t="n">
        <v>12.236406</v>
      </c>
      <c r="G111" t="n">
        <v>12.461039</v>
      </c>
      <c r="H111" t="n">
        <v>12.864701</v>
      </c>
      <c r="I111" t="n">
        <v>13.218199</v>
      </c>
      <c r="J111" t="n">
        <v>14.264762</v>
      </c>
      <c r="K111" t="n">
        <v>14.885435</v>
      </c>
      <c r="L111" t="n">
        <v>15.3578</v>
      </c>
      <c r="M111" t="n">
        <v>15.773685</v>
      </c>
      <c r="N111" t="n">
        <v>16.13575</v>
      </c>
      <c r="O111" t="n">
        <v>16.390814</v>
      </c>
      <c r="P111" t="n">
        <v>16.941059</v>
      </c>
      <c r="Q111" t="n">
        <v>17.298389</v>
      </c>
      <c r="R111" t="n">
        <v>17.767483</v>
      </c>
      <c r="S111" t="n">
        <v>18.234314</v>
      </c>
      <c r="T111" t="n">
        <v>18.657066</v>
      </c>
      <c r="U111" t="n">
        <v>18.902206</v>
      </c>
      <c r="V111" t="n">
        <v>18.986727</v>
      </c>
      <c r="W111" t="n">
        <v>18.876286</v>
      </c>
      <c r="X111" t="n">
        <v>18.829279</v>
      </c>
      <c r="Y111" t="n">
        <v>18.96426</v>
      </c>
      <c r="Z111" t="n">
        <v>19.22518</v>
      </c>
      <c r="AA111" t="n">
        <v>19.588488</v>
      </c>
      <c r="AB111" t="n">
        <v>19.954697</v>
      </c>
      <c r="AC111" t="n">
        <v>20.265104</v>
      </c>
      <c r="AD111" t="n">
        <v>20.560684</v>
      </c>
      <c r="AE111" t="inlineStr">
        <is>
          <t>2.3%</t>
        </is>
      </c>
    </row>
    <row r="112">
      <c r="A112" t="inlineStr">
        <is>
          <t>Electricity</t>
        </is>
      </c>
      <c r="B112" t="inlineStr">
        <is>
          <t>Energy Prices: Nominal: Average Price to All Users: Electricity: Alternative Electricity and Transportation</t>
        </is>
      </c>
      <c r="C112" t="inlineStr">
        <is>
          <t>AEO.2026.ELECTRNP.PRCE_NOM_TEN_NA_ELC_NA_NA_NDLRPMBTU.A</t>
        </is>
      </c>
      <c r="D112" t="inlineStr">
        <is>
          <t>nom $/MMBtu</t>
        </is>
      </c>
      <c r="E112" t="n">
        <v>39.675659</v>
      </c>
      <c r="F112" t="n">
        <v>40.578529</v>
      </c>
      <c r="G112" t="n">
        <v>40.095688</v>
      </c>
      <c r="H112" t="n">
        <v>40.002476</v>
      </c>
      <c r="I112" t="n">
        <v>41.142113</v>
      </c>
      <c r="J112" t="n">
        <v>42.478718</v>
      </c>
      <c r="K112" t="n">
        <v>43.813251</v>
      </c>
      <c r="L112" t="n">
        <v>44.957069</v>
      </c>
      <c r="M112" t="n">
        <v>46.207958</v>
      </c>
      <c r="N112" t="n">
        <v>47.460815</v>
      </c>
      <c r="O112" t="n">
        <v>48.609161</v>
      </c>
      <c r="P112" t="n">
        <v>49.725281</v>
      </c>
      <c r="Q112" t="n">
        <v>50.980587</v>
      </c>
      <c r="R112" t="n">
        <v>52.17078</v>
      </c>
      <c r="S112" t="n">
        <v>53.464481</v>
      </c>
      <c r="T112" t="n">
        <v>54.811394</v>
      </c>
      <c r="U112" t="n">
        <v>55.950043</v>
      </c>
      <c r="V112" t="n">
        <v>56.938675</v>
      </c>
      <c r="W112" t="n">
        <v>57.839279</v>
      </c>
      <c r="X112" t="n">
        <v>58.772362</v>
      </c>
      <c r="Y112" t="n">
        <v>59.512825</v>
      </c>
      <c r="Z112" t="n">
        <v>60.859818</v>
      </c>
      <c r="AA112" t="n">
        <v>62.207611</v>
      </c>
      <c r="AB112" t="n">
        <v>63.591778</v>
      </c>
      <c r="AC112" t="n">
        <v>64.833923</v>
      </c>
      <c r="AD112" t="n">
        <v>66.213921</v>
      </c>
      <c r="AE112" t="inlineStr">
        <is>
          <t>2.1%</t>
        </is>
      </c>
    </row>
    <row r="113">
      <c r="A113" t="inlineStr">
        <is>
          <t>Non-Renewable Energy Expenditures by Sector</t>
        </is>
      </c>
    </row>
    <row r="114">
      <c r="A114" t="inlineStr">
        <is>
          <t>(billion nominal dollars)</t>
        </is>
      </c>
    </row>
    <row r="115">
      <c r="A115" t="inlineStr">
        <is>
          <t>Residential</t>
        </is>
      </c>
      <c r="B115" t="inlineStr">
        <is>
          <t>Energy Expenditures: Nominal: Non-Renewable Residential: Alternative Electricity and Transportation</t>
        </is>
      </c>
      <c r="C115" t="inlineStr">
        <is>
          <t>AEO.2026.ELECTRNP.EXPD_NOM_RESD_NA_NRN_NA_NA_BLNNOMDLR.A</t>
        </is>
      </c>
      <c r="D115" t="inlineStr">
        <is>
          <t>billion nom $</t>
        </is>
      </c>
      <c r="E115" t="n">
        <v>354.078735</v>
      </c>
      <c r="F115" t="n">
        <v>356.861023</v>
      </c>
      <c r="G115" t="n">
        <v>353.95163</v>
      </c>
      <c r="H115" t="n">
        <v>358.885284</v>
      </c>
      <c r="I115" t="n">
        <v>370.341125</v>
      </c>
      <c r="J115" t="n">
        <v>382.615906</v>
      </c>
      <c r="K115" t="n">
        <v>394.467865</v>
      </c>
      <c r="L115" t="n">
        <v>405.605408</v>
      </c>
      <c r="M115" t="n">
        <v>419.374817</v>
      </c>
      <c r="N115" t="n">
        <v>431.620453</v>
      </c>
      <c r="O115" t="n">
        <v>444.280914</v>
      </c>
      <c r="P115" t="n">
        <v>456.72522</v>
      </c>
      <c r="Q115" t="n">
        <v>470.990234</v>
      </c>
      <c r="R115" t="n">
        <v>484.719086</v>
      </c>
      <c r="S115" t="n">
        <v>499.110474</v>
      </c>
      <c r="T115" t="n">
        <v>513.7310179999999</v>
      </c>
      <c r="U115" t="n">
        <v>527.350281</v>
      </c>
      <c r="V115" t="n">
        <v>539.802856</v>
      </c>
      <c r="W115" t="n">
        <v>551.720642</v>
      </c>
      <c r="X115" t="n">
        <v>563.803528</v>
      </c>
      <c r="Y115" t="n">
        <v>575.6731569999999</v>
      </c>
      <c r="Z115" t="n">
        <v>591.719604</v>
      </c>
      <c r="AA115" t="n">
        <v>608.089417</v>
      </c>
      <c r="AB115" t="n">
        <v>624.941223</v>
      </c>
      <c r="AC115" t="n">
        <v>641.210449</v>
      </c>
      <c r="AD115" t="n">
        <v>658.2698360000001</v>
      </c>
      <c r="AE115" t="inlineStr">
        <is>
          <t>2.5%</t>
        </is>
      </c>
    </row>
    <row r="116">
      <c r="A116" t="inlineStr">
        <is>
          <t>Commercial</t>
        </is>
      </c>
      <c r="B116" t="inlineStr">
        <is>
          <t>Energy Expenditures: Nominal: Non-Renewable Commercial: Alternative Electricity and Transportation</t>
        </is>
      </c>
      <c r="C116" t="inlineStr">
        <is>
          <t>AEO.2026.ELECTRNP.EXPD_NOM_COMM_NA_NRN_NA_NA_BLNNOMDLR.A</t>
        </is>
      </c>
      <c r="D116" t="inlineStr">
        <is>
          <t>billion nom $</t>
        </is>
      </c>
      <c r="E116" t="n">
        <v>260.224518</v>
      </c>
      <c r="F116" t="n">
        <v>269.94165</v>
      </c>
      <c r="G116" t="n">
        <v>271.569305</v>
      </c>
      <c r="H116" t="n">
        <v>275.843445</v>
      </c>
      <c r="I116" t="n">
        <v>287.100616</v>
      </c>
      <c r="J116" t="n">
        <v>299.227722</v>
      </c>
      <c r="K116" t="n">
        <v>311.403015</v>
      </c>
      <c r="L116" t="n">
        <v>322.070953</v>
      </c>
      <c r="M116" t="n">
        <v>335.427185</v>
      </c>
      <c r="N116" t="n">
        <v>347.728241</v>
      </c>
      <c r="O116" t="n">
        <v>360.031128</v>
      </c>
      <c r="P116" t="n">
        <v>372.290344</v>
      </c>
      <c r="Q116" t="n">
        <v>386.32547</v>
      </c>
      <c r="R116" t="n">
        <v>399.838623</v>
      </c>
      <c r="S116" t="n">
        <v>414.085571</v>
      </c>
      <c r="T116" t="n">
        <v>428.485626</v>
      </c>
      <c r="U116" t="n">
        <v>441.614014</v>
      </c>
      <c r="V116" t="n">
        <v>453.809814</v>
      </c>
      <c r="W116" t="n">
        <v>465.121094</v>
      </c>
      <c r="X116" t="n">
        <v>476.616302</v>
      </c>
      <c r="Y116" t="n">
        <v>487.318726</v>
      </c>
      <c r="Z116" t="n">
        <v>502.39859</v>
      </c>
      <c r="AA116" t="n">
        <v>517.452637</v>
      </c>
      <c r="AB116" t="n">
        <v>532.730225</v>
      </c>
      <c r="AC116" t="n">
        <v>546.8321529999999</v>
      </c>
      <c r="AD116" t="n">
        <v>561.54071</v>
      </c>
      <c r="AE116" t="inlineStr">
        <is>
          <t>3.1%</t>
        </is>
      </c>
    </row>
    <row r="117">
      <c r="A117" t="inlineStr">
        <is>
          <t>Industrial</t>
        </is>
      </c>
      <c r="B117" t="inlineStr">
        <is>
          <t>Energy Expenditures: Nominal: Non-Renewable Industrial: Alternative Electricity and Transportation</t>
        </is>
      </c>
      <c r="C117" t="inlineStr">
        <is>
          <t>AEO.2026.ELECTRNP.EXPD_NOM_IDAL_NA_NRN_NA_NA_BLNNOMDLR.A</t>
        </is>
      </c>
      <c r="D117" t="inlineStr">
        <is>
          <t>billion nom $</t>
        </is>
      </c>
      <c r="E117" t="n">
        <v>243.90741</v>
      </c>
      <c r="F117" t="n">
        <v>236.267044</v>
      </c>
      <c r="G117" t="n">
        <v>237.167831</v>
      </c>
      <c r="H117" t="n">
        <v>244.280945</v>
      </c>
      <c r="I117" t="n">
        <v>252.149765</v>
      </c>
      <c r="J117" t="n">
        <v>265.242249</v>
      </c>
      <c r="K117" t="n">
        <v>280.321075</v>
      </c>
      <c r="L117" t="n">
        <v>292.458984</v>
      </c>
      <c r="M117" t="n">
        <v>305.147369</v>
      </c>
      <c r="N117" t="n">
        <v>316.946808</v>
      </c>
      <c r="O117" t="n">
        <v>330.984985</v>
      </c>
      <c r="P117" t="n">
        <v>345.044647</v>
      </c>
      <c r="Q117" t="n">
        <v>360.188293</v>
      </c>
      <c r="R117" t="n">
        <v>375.394012</v>
      </c>
      <c r="S117" t="n">
        <v>392.079102</v>
      </c>
      <c r="T117" t="n">
        <v>407.887085</v>
      </c>
      <c r="U117" t="n">
        <v>421.517822</v>
      </c>
      <c r="V117" t="n">
        <v>431.859772</v>
      </c>
      <c r="W117" t="n">
        <v>439.291595</v>
      </c>
      <c r="X117" t="n">
        <v>447.066681</v>
      </c>
      <c r="Y117" t="n">
        <v>459.532562</v>
      </c>
      <c r="Z117" t="n">
        <v>476.110535</v>
      </c>
      <c r="AA117" t="n">
        <v>493.900269</v>
      </c>
      <c r="AB117" t="n">
        <v>512.02478</v>
      </c>
      <c r="AC117" t="n">
        <v>527.684509</v>
      </c>
      <c r="AD117" t="n">
        <v>543.6298829999999</v>
      </c>
      <c r="AE117" t="inlineStr">
        <is>
          <t>3.3%</t>
        </is>
      </c>
    </row>
    <row r="118">
      <c r="A118" t="inlineStr">
        <is>
          <t>Transportation</t>
        </is>
      </c>
      <c r="B118" t="inlineStr">
        <is>
          <t>Energy Expenditures: Nominal: Non-Renewable Transportation: Alternative Electricity and Transportation</t>
        </is>
      </c>
      <c r="C118" t="inlineStr">
        <is>
          <t>AEO.2026.ELECTRNP.EXPD_NOM_TRN_NA_NRN_NA_NA_BLNNOMDLR.A</t>
        </is>
      </c>
      <c r="D118" t="inlineStr">
        <is>
          <t>billion nom $</t>
        </is>
      </c>
      <c r="E118" t="n">
        <v>667.073853</v>
      </c>
      <c r="F118" t="n">
        <v>636.513245</v>
      </c>
      <c r="G118" t="n">
        <v>631.651245</v>
      </c>
      <c r="H118" t="n">
        <v>633.621399</v>
      </c>
      <c r="I118" t="n">
        <v>642.937805</v>
      </c>
      <c r="J118" t="n">
        <v>652.801453</v>
      </c>
      <c r="K118" t="n">
        <v>666.714355</v>
      </c>
      <c r="L118" t="n">
        <v>678.202759</v>
      </c>
      <c r="M118" t="n">
        <v>709.827637</v>
      </c>
      <c r="N118" t="n">
        <v>722.689331</v>
      </c>
      <c r="O118" t="n">
        <v>742.803162</v>
      </c>
      <c r="P118" t="n">
        <v>758.678955</v>
      </c>
      <c r="Q118" t="n">
        <v>777.179382</v>
      </c>
      <c r="R118" t="n">
        <v>794.177673</v>
      </c>
      <c r="S118" t="n">
        <v>808.706238</v>
      </c>
      <c r="T118" t="n">
        <v>823.821228</v>
      </c>
      <c r="U118" t="n">
        <v>839.694336</v>
      </c>
      <c r="V118" t="n">
        <v>856.812744</v>
      </c>
      <c r="W118" t="n">
        <v>872.880554</v>
      </c>
      <c r="X118" t="n">
        <v>888.636108</v>
      </c>
      <c r="Y118" t="n">
        <v>911.178162</v>
      </c>
      <c r="Z118" t="n">
        <v>928.864929</v>
      </c>
      <c r="AA118" t="n">
        <v>951.718201</v>
      </c>
      <c r="AB118" t="n">
        <v>974.267822</v>
      </c>
      <c r="AC118" t="n">
        <v>997.57196</v>
      </c>
      <c r="AD118" t="n">
        <v>1014.89679</v>
      </c>
      <c r="AE118" t="inlineStr">
        <is>
          <t>1.7%</t>
        </is>
      </c>
    </row>
    <row r="119">
      <c r="A119" t="inlineStr">
        <is>
          <t>Total Non-Renewable Expenditures</t>
        </is>
      </c>
      <c r="B119" t="inlineStr">
        <is>
          <t>Energy Expenditures: Nominal: Total Non-Renewable: Alternative Electricity and Transportation</t>
        </is>
      </c>
      <c r="C119" t="inlineStr">
        <is>
          <t>AEO.2026.ELECTRNP.EXPD_NOM_TEN_NA_NRN_NA_NA_BLNNOMDLR.A</t>
        </is>
      </c>
      <c r="D119" t="inlineStr">
        <is>
          <t>billion nom $</t>
        </is>
      </c>
      <c r="E119" t="n">
        <v>1525.284424</v>
      </c>
      <c r="F119" t="n">
        <v>1499.583008</v>
      </c>
      <c r="G119" t="n">
        <v>1494.339966</v>
      </c>
      <c r="H119" t="n">
        <v>1512.630981</v>
      </c>
      <c r="I119" t="n">
        <v>1552.529175</v>
      </c>
      <c r="J119" t="n">
        <v>1599.887329</v>
      </c>
      <c r="K119" t="n">
        <v>1652.90625</v>
      </c>
      <c r="L119" t="n">
        <v>1698.338013</v>
      </c>
      <c r="M119" t="n">
        <v>1769.776978</v>
      </c>
      <c r="N119" t="n">
        <v>1818.984863</v>
      </c>
      <c r="O119" t="n">
        <v>1878.10022</v>
      </c>
      <c r="P119" t="n">
        <v>1932.739014</v>
      </c>
      <c r="Q119" t="n">
        <v>1994.68335</v>
      </c>
      <c r="R119" t="n">
        <v>2054.129395</v>
      </c>
      <c r="S119" t="n">
        <v>2113.981201</v>
      </c>
      <c r="T119" t="n">
        <v>2173.925049</v>
      </c>
      <c r="U119" t="n">
        <v>2230.176514</v>
      </c>
      <c r="V119" t="n">
        <v>2282.285156</v>
      </c>
      <c r="W119" t="n">
        <v>2329.013916</v>
      </c>
      <c r="X119" t="n">
        <v>2376.122803</v>
      </c>
      <c r="Y119" t="n">
        <v>2433.702881</v>
      </c>
      <c r="Z119" t="n">
        <v>2499.093506</v>
      </c>
      <c r="AA119" t="n">
        <v>2571.160645</v>
      </c>
      <c r="AB119" t="n">
        <v>2643.964355</v>
      </c>
      <c r="AC119" t="n">
        <v>2713.299072</v>
      </c>
      <c r="AD119" t="n">
        <v>2778.337158</v>
      </c>
      <c r="AE119" t="inlineStr">
        <is>
          <t>2.4%</t>
        </is>
      </c>
    </row>
    <row r="120">
      <c r="A120" t="inlineStr">
        <is>
          <t>Transportation Renewable Expenditures</t>
        </is>
      </c>
      <c r="B120" t="inlineStr">
        <is>
          <t>Energy Expenditures: Nominal: Renewable Transportation: Alternative Electricity and Transportation</t>
        </is>
      </c>
      <c r="C120" t="inlineStr">
        <is>
          <t>AEO.2026.ELECTRNP.EXPD_NOM_TRN_NA_RNW_NA_NA_BLNNOMDLR.A</t>
        </is>
      </c>
      <c r="D120" t="inlineStr">
        <is>
          <t>billion nom $</t>
        </is>
      </c>
      <c r="E120" t="n">
        <v>1.210369</v>
      </c>
      <c r="F120" t="n">
        <v>0.985943</v>
      </c>
      <c r="G120" t="n">
        <v>0.899975</v>
      </c>
      <c r="H120" t="n">
        <v>0.8459</v>
      </c>
      <c r="I120" t="n">
        <v>0.797143</v>
      </c>
      <c r="J120" t="n">
        <v>0.832109</v>
      </c>
      <c r="K120" t="n">
        <v>0.739406</v>
      </c>
      <c r="L120" t="n">
        <v>0.691536</v>
      </c>
      <c r="M120" t="n">
        <v>0.655847</v>
      </c>
      <c r="N120" t="n">
        <v>0.623661</v>
      </c>
      <c r="O120" t="n">
        <v>0.580054</v>
      </c>
      <c r="P120" t="n">
        <v>0.539761</v>
      </c>
      <c r="Q120" t="n">
        <v>0.501173</v>
      </c>
      <c r="R120" t="n">
        <v>0.466653</v>
      </c>
      <c r="S120" t="n">
        <v>0.435993</v>
      </c>
      <c r="T120" t="n">
        <v>0.412199</v>
      </c>
      <c r="U120" t="n">
        <v>0.381735</v>
      </c>
      <c r="V120" t="n">
        <v>0.36832</v>
      </c>
      <c r="W120" t="n">
        <v>0.35329</v>
      </c>
      <c r="X120" t="n">
        <v>0.3444</v>
      </c>
      <c r="Y120" t="n">
        <v>0.320518</v>
      </c>
      <c r="Z120" t="n">
        <v>0.314172</v>
      </c>
      <c r="AA120" t="n">
        <v>0.31881</v>
      </c>
      <c r="AB120" t="n">
        <v>0.336461</v>
      </c>
      <c r="AC120" t="n">
        <v>0.320014</v>
      </c>
      <c r="AD120" t="n">
        <v>0.31104</v>
      </c>
      <c r="AE120" t="inlineStr">
        <is>
          <t>-5.3%</t>
        </is>
      </c>
    </row>
    <row r="121">
      <c r="A121" t="inlineStr">
        <is>
          <t>Total Expenditures</t>
        </is>
      </c>
      <c r="B121" t="inlineStr">
        <is>
          <t>Energy Expenditures: Nominal: Alternative Electricity and Transportation</t>
        </is>
      </c>
      <c r="C121" t="inlineStr">
        <is>
          <t>AEO.2026.ELECTRNP.EXPD_NOM_TEN_NA_NA_NA_NA_BLNNOMDLR.A</t>
        </is>
      </c>
      <c r="D121" t="inlineStr">
        <is>
          <t>billion nom $</t>
        </is>
      </c>
      <c r="E121" t="n">
        <v>1526.494751</v>
      </c>
      <c r="F121" t="n">
        <v>1500.56897</v>
      </c>
      <c r="G121" t="n">
        <v>1495.23999</v>
      </c>
      <c r="H121" t="n">
        <v>1513.476929</v>
      </c>
      <c r="I121" t="n">
        <v>1553.326294</v>
      </c>
      <c r="J121" t="n">
        <v>1600.71936</v>
      </c>
      <c r="K121" t="n">
        <v>1653.64563</v>
      </c>
      <c r="L121" t="n">
        <v>1699.029541</v>
      </c>
      <c r="M121" t="n">
        <v>1770.432739</v>
      </c>
      <c r="N121" t="n">
        <v>1819.608521</v>
      </c>
      <c r="O121" t="n">
        <v>1878.680298</v>
      </c>
      <c r="P121" t="n">
        <v>1933.278809</v>
      </c>
      <c r="Q121" t="n">
        <v>1995.184448</v>
      </c>
      <c r="R121" t="n">
        <v>2054.595947</v>
      </c>
      <c r="S121" t="n">
        <v>2114.417236</v>
      </c>
      <c r="T121" t="n">
        <v>2174.337402</v>
      </c>
      <c r="U121" t="n">
        <v>2230.55835</v>
      </c>
      <c r="V121" t="n">
        <v>2282.653564</v>
      </c>
      <c r="W121" t="n">
        <v>2329.367188</v>
      </c>
      <c r="X121" t="n">
        <v>2376.467041</v>
      </c>
      <c r="Y121" t="n">
        <v>2434.023193</v>
      </c>
      <c r="Z121" t="n">
        <v>2499.407471</v>
      </c>
      <c r="AA121" t="n">
        <v>2571.479492</v>
      </c>
      <c r="AB121" t="n">
        <v>2644.300781</v>
      </c>
      <c r="AC121" t="n">
        <v>2713.619141</v>
      </c>
      <c r="AD121" t="n">
        <v>2778.648193</v>
      </c>
      <c r="AE121" t="inlineStr">
        <is>
          <t>2.4%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69"/>
  <sheetViews>
    <sheetView workbookViewId="0">
      <selection activeCell="A1" sqref="A1"/>
    </sheetView>
  </sheetViews>
  <sheetFormatPr baseColWidth="8" defaultRowHeight="14.25"/>
  <cols>
    <col width="32" customWidth="1" min="1" max="1"/>
  </cols>
  <sheetData>
    <row r="1">
      <c r="A1" t="inlineStr">
        <is>
          <t>Table 6.  Industrial Sector Key Indicators and Consumption</t>
        </is>
      </c>
    </row>
    <row r="2">
      <c r="A2" t="inlineStr">
        <is>
          <t>https://www.eia.gov/outlooks/aeo/data/browser/#/?id=6-AEO2026&amp;cases=electrnp&amp;sourcekey=0</t>
        </is>
      </c>
    </row>
    <row r="3">
      <c r="A3" t="inlineStr">
        <is>
          <t>Thu Apr 23 2026 14:57:55 GMT-0700 (Pacific Daylight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2025</v>
      </c>
      <c r="F5" t="n">
        <v>2026</v>
      </c>
      <c r="G5" t="n">
        <v>2027</v>
      </c>
      <c r="H5" t="n">
        <v>2028</v>
      </c>
      <c r="I5" t="n">
        <v>2029</v>
      </c>
      <c r="J5" t="n">
        <v>2030</v>
      </c>
      <c r="K5" t="n">
        <v>2031</v>
      </c>
      <c r="L5" t="n">
        <v>2032</v>
      </c>
      <c r="M5" t="n">
        <v>2033</v>
      </c>
      <c r="N5" t="n">
        <v>2034</v>
      </c>
      <c r="O5" t="n">
        <v>2035</v>
      </c>
      <c r="P5" t="n">
        <v>2036</v>
      </c>
      <c r="Q5" t="n">
        <v>2037</v>
      </c>
      <c r="R5" t="n">
        <v>2038</v>
      </c>
      <c r="S5" t="n">
        <v>2039</v>
      </c>
      <c r="T5" t="n">
        <v>2040</v>
      </c>
      <c r="U5" t="n">
        <v>2041</v>
      </c>
      <c r="V5" t="n">
        <v>2042</v>
      </c>
      <c r="W5" t="n">
        <v>2043</v>
      </c>
      <c r="X5" t="n">
        <v>2044</v>
      </c>
      <c r="Y5" t="n">
        <v>2045</v>
      </c>
      <c r="Z5" t="n">
        <v>2046</v>
      </c>
      <c r="AA5" t="n">
        <v>2047</v>
      </c>
      <c r="AB5" t="n">
        <v>2048</v>
      </c>
      <c r="AC5" t="n">
        <v>2049</v>
      </c>
      <c r="AD5" t="n">
        <v>2050</v>
      </c>
      <c r="AE5" t="inlineStr">
        <is>
          <t>Growth (2025-2050)</t>
        </is>
      </c>
    </row>
    <row r="6">
      <c r="A6" t="inlineStr">
        <is>
          <t>Value of Shipments</t>
        </is>
      </c>
    </row>
    <row r="7">
      <c r="A7" t="inlineStr">
        <is>
          <t>(billion 2012 dollars)</t>
        </is>
      </c>
    </row>
    <row r="8">
      <c r="A8" t="inlineStr">
        <is>
          <t>Manufacturing</t>
        </is>
      </c>
      <c r="B8" t="inlineStr">
        <is>
          <t>Industrial: Value of Shipments: Manufacturing: Alternative Electricity and Transportation</t>
        </is>
      </c>
      <c r="C8" t="inlineStr">
        <is>
          <t>AEO.2026.ELECTRNP.ECI_NA_IDAL_MANF_VOS_NA_USA_BLNY09DLR.A</t>
        </is>
      </c>
      <c r="D8" t="inlineStr">
        <is>
          <t>billion 2012 $</t>
        </is>
      </c>
      <c r="E8" t="n">
        <v>5899.852539</v>
      </c>
      <c r="F8" t="n">
        <v>5881.097656</v>
      </c>
      <c r="G8" t="n">
        <v>5978.772461</v>
      </c>
      <c r="H8" t="n">
        <v>6019.706543</v>
      </c>
      <c r="I8" t="n">
        <v>6054.288086</v>
      </c>
      <c r="J8" t="n">
        <v>6101.841309</v>
      </c>
      <c r="K8" t="n">
        <v>6141.223633</v>
      </c>
      <c r="L8" t="n">
        <v>6197.467773</v>
      </c>
      <c r="M8" t="n">
        <v>6240.304688</v>
      </c>
      <c r="N8" t="n">
        <v>6286.46582</v>
      </c>
      <c r="O8" t="n">
        <v>6340.753906</v>
      </c>
      <c r="P8" t="n">
        <v>6397.04248</v>
      </c>
      <c r="Q8" t="n">
        <v>6463.677734</v>
      </c>
      <c r="R8" t="n">
        <v>6528.740234</v>
      </c>
      <c r="S8" t="n">
        <v>6595.48584</v>
      </c>
      <c r="T8" t="n">
        <v>6667.615723</v>
      </c>
      <c r="U8" t="n">
        <v>6737.351562</v>
      </c>
      <c r="V8" t="n">
        <v>6809.279297</v>
      </c>
      <c r="W8" t="n">
        <v>6873.197266</v>
      </c>
      <c r="X8" t="n">
        <v>6941.602051</v>
      </c>
      <c r="Y8" t="n">
        <v>7019.035156</v>
      </c>
      <c r="Z8" t="n">
        <v>7100.902344</v>
      </c>
      <c r="AA8" t="n">
        <v>7181.124023</v>
      </c>
      <c r="AB8" t="n">
        <v>7251.294922</v>
      </c>
      <c r="AC8" t="n">
        <v>7325.6875</v>
      </c>
      <c r="AD8" t="n">
        <v>7395.408691</v>
      </c>
      <c r="AE8" t="inlineStr">
        <is>
          <t>0.9%</t>
        </is>
      </c>
    </row>
    <row r="9">
      <c r="A9" t="inlineStr">
        <is>
          <t>Agriculture</t>
        </is>
      </c>
      <c r="B9" t="inlineStr">
        <is>
          <t>Mining</t>
        </is>
      </c>
      <c r="C9" t="inlineStr">
        <is>
          <t>and Construction</t>
        </is>
      </c>
      <c r="D9" t="inlineStr">
        <is>
          <t>Industrial: Value of Shipments: Agriculture, Mining, and Construction: Alternative Electricity and Transportation</t>
        </is>
      </c>
      <c r="E9" t="inlineStr">
        <is>
          <t>AEO.2026.ELECTRNP.ECI_NA_IDAL_NMFG_VOS_NA_USA_BLNY09DLR.A</t>
        </is>
      </c>
      <c r="F9" t="inlineStr">
        <is>
          <t>billion 2012 $</t>
        </is>
      </c>
      <c r="G9" t="n">
        <v>2803.344238</v>
      </c>
      <c r="H9" t="n">
        <v>2871.466553</v>
      </c>
      <c r="I9" t="n">
        <v>2881.313965</v>
      </c>
      <c r="J9" t="n">
        <v>2905.505127</v>
      </c>
      <c r="K9" t="n">
        <v>2942.682617</v>
      </c>
      <c r="L9" t="n">
        <v>2994.171387</v>
      </c>
      <c r="M9" t="n">
        <v>3039.165039</v>
      </c>
      <c r="N9" t="n">
        <v>3083.439453</v>
      </c>
      <c r="O9" t="n">
        <v>3117.453613</v>
      </c>
      <c r="P9" t="n">
        <v>3149.968262</v>
      </c>
      <c r="Q9" t="n">
        <v>3179.411865</v>
      </c>
      <c r="R9" t="n">
        <v>3207.255615</v>
      </c>
      <c r="S9" t="n">
        <v>3233.686035</v>
      </c>
      <c r="T9" t="n">
        <v>3258.142578</v>
      </c>
      <c r="U9" t="n">
        <v>3282.637207</v>
      </c>
      <c r="V9" t="n">
        <v>3307.21167</v>
      </c>
      <c r="W9" t="n">
        <v>3331.680664</v>
      </c>
      <c r="X9" t="n">
        <v>3357.115234</v>
      </c>
      <c r="Y9" t="n">
        <v>3380.119141</v>
      </c>
      <c r="Z9" t="n">
        <v>3401.780518</v>
      </c>
      <c r="AA9" t="n">
        <v>3431.351074</v>
      </c>
      <c r="AB9" t="n">
        <v>3462.294922</v>
      </c>
      <c r="AC9" t="n">
        <v>3493.666992</v>
      </c>
      <c r="AD9" t="n">
        <v>3521.992188</v>
      </c>
      <c r="AE9" t="n">
        <v>3550.415771</v>
      </c>
      <c r="AF9" t="n">
        <v>3579.939941</v>
      </c>
      <c r="AG9" t="inlineStr">
        <is>
          <t>1.0%</t>
        </is>
      </c>
    </row>
    <row r="10">
      <c r="A10" t="inlineStr">
        <is>
          <t>Total</t>
        </is>
      </c>
      <c r="B10" t="inlineStr">
        <is>
          <t>Industrial: Value of Shipments: Total: Alternative Electricity and Transportation</t>
        </is>
      </c>
      <c r="C10" t="inlineStr">
        <is>
          <t>AEO.2026.ELECTRNP.ECI_NA_IDAL_NA_VOS_NA_USA_BLNY09DLR.A</t>
        </is>
      </c>
      <c r="D10" t="inlineStr">
        <is>
          <t>billion 2012 $</t>
        </is>
      </c>
      <c r="E10" t="n">
        <v>8703.197265999999</v>
      </c>
      <c r="F10" t="n">
        <v>8752.564453000001</v>
      </c>
      <c r="G10" t="n">
        <v>8860.085938</v>
      </c>
      <c r="H10" t="n">
        <v>8925.211914</v>
      </c>
      <c r="I10" t="n">
        <v>8996.970703000001</v>
      </c>
      <c r="J10" t="n">
        <v>9096.012694999999</v>
      </c>
      <c r="K10" t="n">
        <v>9180.388671999999</v>
      </c>
      <c r="L10" t="n">
        <v>9280.907227</v>
      </c>
      <c r="M10" t="n">
        <v>9357.757812</v>
      </c>
      <c r="N10" t="n">
        <v>9436.433594</v>
      </c>
      <c r="O10" t="n">
        <v>9520.166015999999</v>
      </c>
      <c r="P10" t="n">
        <v>9604.297852</v>
      </c>
      <c r="Q10" t="n">
        <v>9697.363281</v>
      </c>
      <c r="R10" t="n">
        <v>9786.882812</v>
      </c>
      <c r="S10" t="n">
        <v>9878.123046999999</v>
      </c>
      <c r="T10" t="n">
        <v>9974.827148</v>
      </c>
      <c r="U10" t="n">
        <v>10069.032227</v>
      </c>
      <c r="V10" t="n">
        <v>10166.394531</v>
      </c>
      <c r="W10" t="n">
        <v>10253.316406</v>
      </c>
      <c r="X10" t="n">
        <v>10343.382812</v>
      </c>
      <c r="Y10" t="n">
        <v>10450.386719</v>
      </c>
      <c r="Z10" t="n">
        <v>10563.197266</v>
      </c>
      <c r="AA10" t="n">
        <v>10674.791016</v>
      </c>
      <c r="AB10" t="n">
        <v>10773.287109</v>
      </c>
      <c r="AC10" t="n">
        <v>10876.103516</v>
      </c>
      <c r="AD10" t="n">
        <v>10975.348633</v>
      </c>
      <c r="AE10" t="inlineStr">
        <is>
          <t>0.9%</t>
        </is>
      </c>
    </row>
    <row r="11">
      <c r="A11" t="inlineStr">
        <is>
          <t>Energy Prices</t>
        </is>
      </c>
    </row>
    <row r="12">
      <c r="A12" t="inlineStr">
        <is>
          <t>(2025 dollars per MMBtu)</t>
        </is>
      </c>
    </row>
    <row r="13">
      <c r="A13" t="inlineStr">
        <is>
          <t>Propane</t>
        </is>
      </c>
      <c r="B13" t="inlineStr">
        <is>
          <t>Industrial: Energy Prices: Propane: Alternative Electricity and Transportation</t>
        </is>
      </c>
      <c r="C13" t="inlineStr">
        <is>
          <t>AEO.2026.ELECTRNP.PRCE_NA_IDAL_HAP_PROP_NA_USA_Y13DLRPMMBTU.A</t>
        </is>
      </c>
      <c r="D13" t="inlineStr">
        <is>
          <t>2025 $/MMBtu</t>
        </is>
      </c>
      <c r="E13" t="n">
        <v>12.803329</v>
      </c>
      <c r="F13" t="n">
        <v>11.070506</v>
      </c>
      <c r="G13" t="n">
        <v>11.206452</v>
      </c>
      <c r="H13" t="n">
        <v>11.985374</v>
      </c>
      <c r="I13" t="n">
        <v>12.701868</v>
      </c>
      <c r="J13" t="n">
        <v>13.610707</v>
      </c>
      <c r="K13" t="n">
        <v>14.804296</v>
      </c>
      <c r="L13" t="n">
        <v>15.44972</v>
      </c>
      <c r="M13" t="n">
        <v>15.938818</v>
      </c>
      <c r="N13" t="n">
        <v>16.397631</v>
      </c>
      <c r="O13" t="n">
        <v>16.843964</v>
      </c>
      <c r="P13" t="n">
        <v>17.28784</v>
      </c>
      <c r="Q13" t="n">
        <v>17.796278</v>
      </c>
      <c r="R13" t="n">
        <v>18.323847</v>
      </c>
      <c r="S13" t="n">
        <v>18.837675</v>
      </c>
      <c r="T13" t="n">
        <v>19.180521</v>
      </c>
      <c r="U13" t="n">
        <v>19.393515</v>
      </c>
      <c r="V13" t="n">
        <v>19.345053</v>
      </c>
      <c r="W13" t="n">
        <v>19.097935</v>
      </c>
      <c r="X13" t="n">
        <v>18.849525</v>
      </c>
      <c r="Y13" t="n">
        <v>18.891359</v>
      </c>
      <c r="Z13" t="n">
        <v>19.097252</v>
      </c>
      <c r="AA13" t="n">
        <v>19.322502</v>
      </c>
      <c r="AB13" t="n">
        <v>19.556145</v>
      </c>
      <c r="AC13" t="n">
        <v>19.710878</v>
      </c>
      <c r="AD13" t="n">
        <v>19.82361</v>
      </c>
      <c r="AE13" t="inlineStr">
        <is>
          <t>1.8%</t>
        </is>
      </c>
    </row>
    <row r="14">
      <c r="A14" t="inlineStr">
        <is>
          <t>Motor Gasoline</t>
        </is>
      </c>
      <c r="B14" t="inlineStr">
        <is>
          <t>Industrial: Energy Prices: Motor Gasoline: Alternative Electricity and Transportation</t>
        </is>
      </c>
      <c r="C14" t="inlineStr">
        <is>
          <t>AEO.2026.ELECTRNP.PRCE_NA_IDAL_NA_MGS_NA_USA_Y13DLRPMMBTU.A</t>
        </is>
      </c>
      <c r="D14" t="inlineStr">
        <is>
          <t>2025 $/MMBtu</t>
        </is>
      </c>
      <c r="E14" t="n">
        <v>27.046637</v>
      </c>
      <c r="F14" t="n">
        <v>25.614384</v>
      </c>
      <c r="G14" t="n">
        <v>25.28311</v>
      </c>
      <c r="H14" t="n">
        <v>24.970018</v>
      </c>
      <c r="I14" t="n">
        <v>24.680449</v>
      </c>
      <c r="J14" t="n">
        <v>24.29425</v>
      </c>
      <c r="K14" t="n">
        <v>23.777338</v>
      </c>
      <c r="L14" t="n">
        <v>23.904484</v>
      </c>
      <c r="M14" t="n">
        <v>24.295801</v>
      </c>
      <c r="N14" t="n">
        <v>24.387138</v>
      </c>
      <c r="O14" t="n">
        <v>24.698092</v>
      </c>
      <c r="P14" t="n">
        <v>24.885271</v>
      </c>
      <c r="Q14" t="n">
        <v>25.141201</v>
      </c>
      <c r="R14" t="n">
        <v>25.328222</v>
      </c>
      <c r="S14" t="n">
        <v>25.441729</v>
      </c>
      <c r="T14" t="n">
        <v>25.514853</v>
      </c>
      <c r="U14" t="n">
        <v>25.562849</v>
      </c>
      <c r="V14" t="n">
        <v>25.733829</v>
      </c>
      <c r="W14" t="n">
        <v>25.777195</v>
      </c>
      <c r="X14" t="n">
        <v>25.819979</v>
      </c>
      <c r="Y14" t="n">
        <v>26.036604</v>
      </c>
      <c r="Z14" t="n">
        <v>26.047813</v>
      </c>
      <c r="AA14" t="n">
        <v>26.309875</v>
      </c>
      <c r="AB14" t="n">
        <v>26.470896</v>
      </c>
      <c r="AC14" t="n">
        <v>26.716398</v>
      </c>
      <c r="AD14" t="n">
        <v>26.797764</v>
      </c>
      <c r="AE14" t="inlineStr">
        <is>
          <t>-0.0%</t>
        </is>
      </c>
    </row>
    <row r="15">
      <c r="A15" t="inlineStr">
        <is>
          <t>Distillate Fuel Oil</t>
        </is>
      </c>
      <c r="B15" t="inlineStr">
        <is>
          <t>Industrial: Energy Prices: Distillate Fuel Oil: Alternative Electricity and Transportation</t>
        </is>
      </c>
      <c r="C15" t="inlineStr">
        <is>
          <t>AEO.2026.ELECTRNP.PRCE_NA_IDAL_NA_DFO_NA_USA_Y13DLRPMMBTU.A</t>
        </is>
      </c>
      <c r="D15" t="inlineStr">
        <is>
          <t>2025 $/MMBtu</t>
        </is>
      </c>
      <c r="E15" t="n">
        <v>26.296053</v>
      </c>
      <c r="F15" t="n">
        <v>23.833601</v>
      </c>
      <c r="G15" t="n">
        <v>23.638857</v>
      </c>
      <c r="H15" t="n">
        <v>23.038036</v>
      </c>
      <c r="I15" t="n">
        <v>22.345837</v>
      </c>
      <c r="J15" t="n">
        <v>21.403448</v>
      </c>
      <c r="K15" t="n">
        <v>20.701952</v>
      </c>
      <c r="L15" t="n">
        <v>20.792048</v>
      </c>
      <c r="M15" t="n">
        <v>21.235609</v>
      </c>
      <c r="N15" t="n">
        <v>21.284655</v>
      </c>
      <c r="O15" t="n">
        <v>21.554102</v>
      </c>
      <c r="P15" t="n">
        <v>21.790516</v>
      </c>
      <c r="Q15" t="n">
        <v>21.993568</v>
      </c>
      <c r="R15" t="n">
        <v>22.218029</v>
      </c>
      <c r="S15" t="n">
        <v>22.360266</v>
      </c>
      <c r="T15" t="n">
        <v>22.468481</v>
      </c>
      <c r="U15" t="n">
        <v>22.646593</v>
      </c>
      <c r="V15" t="n">
        <v>22.818218</v>
      </c>
      <c r="W15" t="n">
        <v>22.982805</v>
      </c>
      <c r="X15" t="n">
        <v>23.14827</v>
      </c>
      <c r="Y15" t="n">
        <v>23.446985</v>
      </c>
      <c r="Z15" t="n">
        <v>23.691965</v>
      </c>
      <c r="AA15" t="n">
        <v>23.897724</v>
      </c>
      <c r="AB15" t="n">
        <v>24.253218</v>
      </c>
      <c r="AC15" t="n">
        <v>24.570869</v>
      </c>
      <c r="AD15" t="n">
        <v>24.648556</v>
      </c>
      <c r="AE15" t="inlineStr">
        <is>
          <t>-0.3%</t>
        </is>
      </c>
    </row>
    <row r="16">
      <c r="A16" t="inlineStr">
        <is>
          <t>Residual Fuel Oil</t>
        </is>
      </c>
      <c r="B16" t="inlineStr">
        <is>
          <t>Industrial: Energy Prices: Residual Fuel Oil: Alternative Electricity and Transportation</t>
        </is>
      </c>
      <c r="C16" t="inlineStr">
        <is>
          <t>AEO.2026.ELECTRNP.PRCE_NA_IDAL_NA_RFO_NA_USA_Y13DLRPMMBTU.A</t>
        </is>
      </c>
      <c r="D16" t="inlineStr">
        <is>
          <t>2025 $/MMBtu</t>
        </is>
      </c>
      <c r="E16" t="n">
        <v>8.660570999999999</v>
      </c>
      <c r="F16" t="n">
        <v>6.715567</v>
      </c>
      <c r="G16" t="n">
        <v>8.522038</v>
      </c>
      <c r="H16" t="n">
        <v>9.873669</v>
      </c>
      <c r="I16" t="n">
        <v>11.099524</v>
      </c>
      <c r="J16" t="n">
        <v>11.661168</v>
      </c>
      <c r="K16" t="n">
        <v>13.208466</v>
      </c>
      <c r="L16" t="n">
        <v>13.227586</v>
      </c>
      <c r="M16" t="n">
        <v>13.603677</v>
      </c>
      <c r="N16" t="n">
        <v>13.60303</v>
      </c>
      <c r="O16" t="n">
        <v>13.923897</v>
      </c>
      <c r="P16" t="n">
        <v>14.127029</v>
      </c>
      <c r="Q16" t="n">
        <v>14.24397</v>
      </c>
      <c r="R16" t="n">
        <v>14.455325</v>
      </c>
      <c r="S16" t="n">
        <v>14.636956</v>
      </c>
      <c r="T16" t="n">
        <v>14.920378</v>
      </c>
      <c r="U16" t="n">
        <v>15.235559</v>
      </c>
      <c r="V16" t="n">
        <v>15.414781</v>
      </c>
      <c r="W16" t="n">
        <v>15.55131</v>
      </c>
      <c r="X16" t="n">
        <v>15.699274</v>
      </c>
      <c r="Y16" t="n">
        <v>15.955344</v>
      </c>
      <c r="Z16" t="n">
        <v>16.133854</v>
      </c>
      <c r="AA16" t="n">
        <v>16.286076</v>
      </c>
      <c r="AB16" t="n">
        <v>16.658579</v>
      </c>
      <c r="AC16" t="n">
        <v>16.88113</v>
      </c>
      <c r="AD16" t="n">
        <v>16.995434</v>
      </c>
      <c r="AE16" t="inlineStr">
        <is>
          <t>2.7%</t>
        </is>
      </c>
    </row>
    <row r="17">
      <c r="A17" t="inlineStr">
        <is>
          <t>Asphalt and Road Oil</t>
        </is>
      </c>
      <c r="B17" t="inlineStr">
        <is>
          <t>Industrial: Energy Prices: Asphalt and Road Oil: Alternative Electricity and Transportation</t>
        </is>
      </c>
      <c r="C17" t="inlineStr">
        <is>
          <t>AEO.2026.ELECTRNP.PRCE_NA_IDAL_NA_ARO_NA_USA_Y13DLRPMMBTU.A</t>
        </is>
      </c>
      <c r="D17" t="inlineStr">
        <is>
          <t>2025 $/MMBtu</t>
        </is>
      </c>
      <c r="E17" t="n">
        <v>9.075931000000001</v>
      </c>
      <c r="F17" t="n">
        <v>8.794853</v>
      </c>
      <c r="G17" t="n">
        <v>9.05226</v>
      </c>
      <c r="H17" t="n">
        <v>9.073217</v>
      </c>
      <c r="I17" t="n">
        <v>9.036738</v>
      </c>
      <c r="J17" t="n">
        <v>8.445354</v>
      </c>
      <c r="K17" t="n">
        <v>8.637475</v>
      </c>
      <c r="L17" t="n">
        <v>8.634036999999999</v>
      </c>
      <c r="M17" t="n">
        <v>8.92023</v>
      </c>
      <c r="N17" t="n">
        <v>8.870782</v>
      </c>
      <c r="O17" t="n">
        <v>9.090534</v>
      </c>
      <c r="P17" t="n">
        <v>9.218040999999999</v>
      </c>
      <c r="Q17" t="n">
        <v>9.282598999999999</v>
      </c>
      <c r="R17" t="n">
        <v>9.431849</v>
      </c>
      <c r="S17" t="n">
        <v>9.514701000000001</v>
      </c>
      <c r="T17" t="n">
        <v>9.738488</v>
      </c>
      <c r="U17" t="n">
        <v>10.016398</v>
      </c>
      <c r="V17" t="n">
        <v>10.156859</v>
      </c>
      <c r="W17" t="n">
        <v>10.293107</v>
      </c>
      <c r="X17" t="n">
        <v>10.406645</v>
      </c>
      <c r="Y17" t="n">
        <v>10.574753</v>
      </c>
      <c r="Z17" t="n">
        <v>10.668862</v>
      </c>
      <c r="AA17" t="n">
        <v>10.761957</v>
      </c>
      <c r="AB17" t="n">
        <v>11.035574</v>
      </c>
      <c r="AC17" t="n">
        <v>11.198298</v>
      </c>
      <c r="AD17" t="n">
        <v>11.249902</v>
      </c>
      <c r="AE17" t="inlineStr">
        <is>
          <t>0.9%</t>
        </is>
      </c>
    </row>
    <row r="18">
      <c r="A18" t="inlineStr">
        <is>
          <t>Natural Gas</t>
        </is>
      </c>
      <c r="B18" t="inlineStr">
        <is>
          <t>Industrial: Energy Prices: Natural Gas: Alternative Electricity and Transportation</t>
        </is>
      </c>
      <c r="C18" t="inlineStr">
        <is>
          <t>AEO.2026.ELECTRNP.PRCE_NA_IDAL_NA_NG_NA_USA_Y13DLRPMMBTU.A</t>
        </is>
      </c>
      <c r="D18" t="inlineStr">
        <is>
          <t>2025 $/MMBtu</t>
        </is>
      </c>
      <c r="E18" t="n">
        <v>4.509136</v>
      </c>
      <c r="F18" t="n">
        <v>4.764119</v>
      </c>
      <c r="G18" t="n">
        <v>4.665577</v>
      </c>
      <c r="H18" t="n">
        <v>4.783669</v>
      </c>
      <c r="I18" t="n">
        <v>4.890954</v>
      </c>
      <c r="J18" t="n">
        <v>5.354433</v>
      </c>
      <c r="K18" t="n">
        <v>5.625842</v>
      </c>
      <c r="L18" t="n">
        <v>5.754683</v>
      </c>
      <c r="M18" t="n">
        <v>5.742256</v>
      </c>
      <c r="N18" t="n">
        <v>5.764211</v>
      </c>
      <c r="O18" t="n">
        <v>5.843868</v>
      </c>
      <c r="P18" t="n">
        <v>5.905561</v>
      </c>
      <c r="Q18" t="n">
        <v>5.964227</v>
      </c>
      <c r="R18" t="n">
        <v>6.027159</v>
      </c>
      <c r="S18" t="n">
        <v>6.096057</v>
      </c>
      <c r="T18" t="n">
        <v>6.148338</v>
      </c>
      <c r="U18" t="n">
        <v>6.110136</v>
      </c>
      <c r="V18" t="n">
        <v>5.931714</v>
      </c>
      <c r="W18" t="n">
        <v>5.697002</v>
      </c>
      <c r="X18" t="n">
        <v>5.469577</v>
      </c>
      <c r="Y18" t="n">
        <v>5.364461</v>
      </c>
      <c r="Z18" t="n">
        <v>5.361475</v>
      </c>
      <c r="AA18" t="n">
        <v>5.37717</v>
      </c>
      <c r="AB18" t="n">
        <v>5.378205</v>
      </c>
      <c r="AC18" t="n">
        <v>5.360557</v>
      </c>
      <c r="AD18" t="n">
        <v>5.322999</v>
      </c>
      <c r="AE18" t="inlineStr">
        <is>
          <t>0.7%</t>
        </is>
      </c>
    </row>
    <row r="19">
      <c r="A19" t="inlineStr">
        <is>
          <t>Hydrogen</t>
        </is>
      </c>
      <c r="B19" t="inlineStr">
        <is>
          <t>Industrial: Energy Prices: Hydrogen: Alternative Electricity and Transportation</t>
        </is>
      </c>
      <c r="C19" t="inlineStr">
        <is>
          <t>AEO.2026.ELECTRNP.PRCE_NA_IDAL_NA_HDG_NA_USA_Y13DLRPMMBTU.A</t>
        </is>
      </c>
      <c r="D19" t="inlineStr">
        <is>
          <t>2025 $/MMBtu</t>
        </is>
      </c>
      <c r="E19" t="n">
        <v>11.501233</v>
      </c>
      <c r="F19" t="n">
        <v>11.889143</v>
      </c>
      <c r="G19" t="n">
        <v>11.882795</v>
      </c>
      <c r="H19" t="n">
        <v>12.018814</v>
      </c>
      <c r="I19" t="n">
        <v>12.101516</v>
      </c>
      <c r="J19" t="n">
        <v>12.795125</v>
      </c>
      <c r="K19" t="n">
        <v>13.07889</v>
      </c>
      <c r="L19" t="n">
        <v>13.222679</v>
      </c>
      <c r="M19" t="n">
        <v>13.297702</v>
      </c>
      <c r="N19" t="n">
        <v>13.326265</v>
      </c>
      <c r="O19" t="n">
        <v>13.258114</v>
      </c>
      <c r="P19" t="n">
        <v>13.428031</v>
      </c>
      <c r="Q19" t="n">
        <v>13.448741</v>
      </c>
      <c r="R19" t="n">
        <v>13.548419</v>
      </c>
      <c r="S19" t="n">
        <v>13.640569</v>
      </c>
      <c r="T19" t="n">
        <v>13.690514</v>
      </c>
      <c r="U19" t="n">
        <v>13.610089</v>
      </c>
      <c r="V19" t="n">
        <v>13.418937</v>
      </c>
      <c r="W19" t="n">
        <v>13.098224</v>
      </c>
      <c r="X19" t="n">
        <v>12.831071</v>
      </c>
      <c r="Y19" t="n">
        <v>12.693266</v>
      </c>
      <c r="Z19" t="n">
        <v>12.639281</v>
      </c>
      <c r="AA19" t="n">
        <v>12.648698</v>
      </c>
      <c r="AB19" t="n">
        <v>12.653787</v>
      </c>
      <c r="AC19" t="n">
        <v>12.621601</v>
      </c>
      <c r="AD19" t="n">
        <v>12.580778</v>
      </c>
      <c r="AE19" t="inlineStr">
        <is>
          <t>0.4%</t>
        </is>
      </c>
    </row>
    <row r="20">
      <c r="A20" t="inlineStr">
        <is>
          <t>Metallurgical Coal</t>
        </is>
      </c>
      <c r="B20" t="inlineStr">
        <is>
          <t>Industrial: Energy Prices: Metallurgical Coal: Alternative Electricity and Transportation</t>
        </is>
      </c>
      <c r="C20" t="inlineStr">
        <is>
          <t>AEO.2026.ELECTRNP.PRCE_NA_IDAL_NA_MTC_NA_USA_Y13DLRPMMBTU.A</t>
        </is>
      </c>
      <c r="D20" t="inlineStr">
        <is>
          <t>2025 $/MMBtu</t>
        </is>
      </c>
      <c r="E20" t="n">
        <v>6.417383</v>
      </c>
      <c r="F20" t="n">
        <v>6.420651</v>
      </c>
      <c r="G20" t="n">
        <v>6.426186</v>
      </c>
      <c r="H20" t="n">
        <v>6.438872</v>
      </c>
      <c r="I20" t="n">
        <v>6.430643</v>
      </c>
      <c r="J20" t="n">
        <v>6.445238</v>
      </c>
      <c r="K20" t="n">
        <v>6.428822</v>
      </c>
      <c r="L20" t="n">
        <v>6.450939</v>
      </c>
      <c r="M20" t="n">
        <v>6.448793</v>
      </c>
      <c r="N20" t="n">
        <v>6.427662</v>
      </c>
      <c r="O20" t="n">
        <v>6.431542</v>
      </c>
      <c r="P20" t="n">
        <v>6.396736</v>
      </c>
      <c r="Q20" t="n">
        <v>6.402119</v>
      </c>
      <c r="R20" t="n">
        <v>6.399268</v>
      </c>
      <c r="S20" t="n">
        <v>6.369291</v>
      </c>
      <c r="T20" t="n">
        <v>6.372983</v>
      </c>
      <c r="U20" t="n">
        <v>6.362854</v>
      </c>
      <c r="V20" t="n">
        <v>6.351582</v>
      </c>
      <c r="W20" t="n">
        <v>6.346869</v>
      </c>
      <c r="X20" t="n">
        <v>6.336841</v>
      </c>
      <c r="Y20" t="n">
        <v>6.341089</v>
      </c>
      <c r="Z20" t="n">
        <v>6.332882</v>
      </c>
      <c r="AA20" t="n">
        <v>6.343362</v>
      </c>
      <c r="AB20" t="n">
        <v>6.351777</v>
      </c>
      <c r="AC20" t="n">
        <v>6.326384</v>
      </c>
      <c r="AD20" t="n">
        <v>6.320745</v>
      </c>
      <c r="AE20" t="inlineStr">
        <is>
          <t>-0.1%</t>
        </is>
      </c>
    </row>
    <row r="21">
      <c r="A21" t="inlineStr">
        <is>
          <t>Steam Coal</t>
        </is>
      </c>
      <c r="B21" t="inlineStr">
        <is>
          <t>Industrial: Energy Prices: Other Industrial Coal: Alternative Electricity and Transportation</t>
        </is>
      </c>
      <c r="C21" t="inlineStr">
        <is>
          <t>AEO.2026.ELECTRNP.PRCE_NA_IDAL_NA_STC_NA_USA_Y13DLRPMMBTU.A</t>
        </is>
      </c>
      <c r="D21" t="inlineStr">
        <is>
          <t>2025 $/MMBtu</t>
        </is>
      </c>
      <c r="E21" t="n">
        <v>3.995581</v>
      </c>
      <c r="F21" t="n">
        <v>3.856261</v>
      </c>
      <c r="G21" t="n">
        <v>3.764525</v>
      </c>
      <c r="H21" t="n">
        <v>3.757948</v>
      </c>
      <c r="I21" t="n">
        <v>3.763418</v>
      </c>
      <c r="J21" t="n">
        <v>3.732887</v>
      </c>
      <c r="K21" t="n">
        <v>3.730853</v>
      </c>
      <c r="L21" t="n">
        <v>3.714679</v>
      </c>
      <c r="M21" t="n">
        <v>3.707622</v>
      </c>
      <c r="N21" t="n">
        <v>3.688801</v>
      </c>
      <c r="O21" t="n">
        <v>3.676832</v>
      </c>
      <c r="P21" t="n">
        <v>3.676414</v>
      </c>
      <c r="Q21" t="n">
        <v>3.681888</v>
      </c>
      <c r="R21" t="n">
        <v>3.688266</v>
      </c>
      <c r="S21" t="n">
        <v>3.674037</v>
      </c>
      <c r="T21" t="n">
        <v>3.689501</v>
      </c>
      <c r="U21" t="n">
        <v>3.687816</v>
      </c>
      <c r="V21" t="n">
        <v>3.694248</v>
      </c>
      <c r="W21" t="n">
        <v>3.693033</v>
      </c>
      <c r="X21" t="n">
        <v>3.691283</v>
      </c>
      <c r="Y21" t="n">
        <v>3.694595</v>
      </c>
      <c r="Z21" t="n">
        <v>3.684059</v>
      </c>
      <c r="AA21" t="n">
        <v>3.691954</v>
      </c>
      <c r="AB21" t="n">
        <v>3.702715</v>
      </c>
      <c r="AC21" t="n">
        <v>3.733721</v>
      </c>
      <c r="AD21" t="n">
        <v>3.733987</v>
      </c>
      <c r="AE21" t="inlineStr">
        <is>
          <t>-0.3%</t>
        </is>
      </c>
    </row>
    <row r="22">
      <c r="A22" t="inlineStr">
        <is>
          <t>Electricity</t>
        </is>
      </c>
      <c r="B22" t="inlineStr">
        <is>
          <t>Industrial: Energy Prices: Electricity: Alternative Electricity and Transportation</t>
        </is>
      </c>
      <c r="C22" t="inlineStr">
        <is>
          <t>AEO.2026.ELECTRNP.PRCE_NA_IDAL_NA_ELC_NA_USA_Y13DLRPMMBTU.A</t>
        </is>
      </c>
      <c r="D22" t="inlineStr">
        <is>
          <t>2025 $/MMBtu</t>
        </is>
      </c>
      <c r="E22" t="n">
        <v>26.595726</v>
      </c>
      <c r="F22" t="n">
        <v>26.456028</v>
      </c>
      <c r="G22" t="n">
        <v>25.259417</v>
      </c>
      <c r="H22" t="n">
        <v>24.60338</v>
      </c>
      <c r="I22" t="n">
        <v>24.805864</v>
      </c>
      <c r="J22" t="n">
        <v>25.174835</v>
      </c>
      <c r="K22" t="n">
        <v>25.531858</v>
      </c>
      <c r="L22" t="n">
        <v>25.659849</v>
      </c>
      <c r="M22" t="n">
        <v>25.863104</v>
      </c>
      <c r="N22" t="n">
        <v>25.987514</v>
      </c>
      <c r="O22" t="n">
        <v>26.078087</v>
      </c>
      <c r="P22" t="n">
        <v>26.141869</v>
      </c>
      <c r="Q22" t="n">
        <v>26.27035</v>
      </c>
      <c r="R22" t="n">
        <v>26.342882</v>
      </c>
      <c r="S22" t="n">
        <v>26.495277</v>
      </c>
      <c r="T22" t="n">
        <v>26.657043</v>
      </c>
      <c r="U22" t="n">
        <v>26.650555</v>
      </c>
      <c r="V22" t="n">
        <v>26.505461</v>
      </c>
      <c r="W22" t="n">
        <v>26.353251</v>
      </c>
      <c r="X22" t="n">
        <v>26.213223</v>
      </c>
      <c r="Y22" t="n">
        <v>26.001282</v>
      </c>
      <c r="Z22" t="n">
        <v>26.1353</v>
      </c>
      <c r="AA22" t="n">
        <v>26.219656</v>
      </c>
      <c r="AB22" t="n">
        <v>26.274858</v>
      </c>
      <c r="AC22" t="n">
        <v>26.257725</v>
      </c>
      <c r="AD22" t="n">
        <v>26.297056</v>
      </c>
      <c r="AE22" t="inlineStr">
        <is>
          <t>-0.0%</t>
        </is>
      </c>
    </row>
    <row r="23">
      <c r="A23" t="inlineStr">
        <is>
          <t>(nominal dollars per MMBtu)</t>
        </is>
      </c>
    </row>
    <row r="24">
      <c r="A24" t="inlineStr">
        <is>
          <t>Propane</t>
        </is>
      </c>
      <c r="B24" t="inlineStr">
        <is>
          <t>Industrial: Energy Prices: Nominal: Propane: Alternative Electricity and Transportation</t>
        </is>
      </c>
      <c r="C24" t="inlineStr">
        <is>
          <t>AEO.2026.ELECTRNP.PRCE_NA_IDAL_HAP_PROP_NA_USA_NDLRPMBTU.A</t>
        </is>
      </c>
      <c r="D24" t="inlineStr">
        <is>
          <t>nom $/MMBtu</t>
        </is>
      </c>
      <c r="E24" t="n">
        <v>12.803329</v>
      </c>
      <c r="F24" t="n">
        <v>11.374785</v>
      </c>
      <c r="G24" t="n">
        <v>11.732965</v>
      </c>
      <c r="H24" t="n">
        <v>12.809592</v>
      </c>
      <c r="I24" t="n">
        <v>13.85447</v>
      </c>
      <c r="J24" t="n">
        <v>15.155042</v>
      </c>
      <c r="K24" t="n">
        <v>16.829517</v>
      </c>
      <c r="L24" t="n">
        <v>17.925089</v>
      </c>
      <c r="M24" t="n">
        <v>18.887888</v>
      </c>
      <c r="N24" t="n">
        <v>19.836891</v>
      </c>
      <c r="O24" t="n">
        <v>20.806917</v>
      </c>
      <c r="P24" t="n">
        <v>21.794609</v>
      </c>
      <c r="Q24" t="n">
        <v>22.875402</v>
      </c>
      <c r="R24" t="n">
        <v>24.016033</v>
      </c>
      <c r="S24" t="n">
        <v>25.168726</v>
      </c>
      <c r="T24" t="n">
        <v>26.12676</v>
      </c>
      <c r="U24" t="n">
        <v>26.923519</v>
      </c>
      <c r="V24" t="n">
        <v>27.361647</v>
      </c>
      <c r="W24" t="n">
        <v>27.513428</v>
      </c>
      <c r="X24" t="n">
        <v>27.65271</v>
      </c>
      <c r="Y24" t="n">
        <v>28.216715</v>
      </c>
      <c r="Z24" t="n">
        <v>29.040878</v>
      </c>
      <c r="AA24" t="n">
        <v>29.916945</v>
      </c>
      <c r="AB24" t="n">
        <v>30.832899</v>
      </c>
      <c r="AC24" t="n">
        <v>31.641119</v>
      </c>
      <c r="AD24" t="n">
        <v>32.391327</v>
      </c>
      <c r="AE24" t="inlineStr">
        <is>
          <t>3.8%</t>
        </is>
      </c>
    </row>
    <row r="25">
      <c r="A25" t="inlineStr">
        <is>
          <t>Motor Gasoline</t>
        </is>
      </c>
      <c r="B25" t="inlineStr">
        <is>
          <t>Industrial: Energy Prices: Nominal: Motor Gasoline: Alternative Electricity and Transportation</t>
        </is>
      </c>
      <c r="C25" t="inlineStr">
        <is>
          <t>AEO.2026.ELECTRNP.PRCE_NA_IDAL_NA_MGS_NA_USA_NDLRPMBTU.A</t>
        </is>
      </c>
      <c r="D25" t="inlineStr">
        <is>
          <t>nom $/MMBtu</t>
        </is>
      </c>
      <c r="E25" t="n">
        <v>27.046637</v>
      </c>
      <c r="F25" t="n">
        <v>26.318407</v>
      </c>
      <c r="G25" t="n">
        <v>26.470987</v>
      </c>
      <c r="H25" t="n">
        <v>26.687174</v>
      </c>
      <c r="I25" t="n">
        <v>26.920019</v>
      </c>
      <c r="J25" t="n">
        <v>27.050789</v>
      </c>
      <c r="K25" t="n">
        <v>27.030067</v>
      </c>
      <c r="L25" t="n">
        <v>27.734482</v>
      </c>
      <c r="M25" t="n">
        <v>28.791115</v>
      </c>
      <c r="N25" t="n">
        <v>29.502127</v>
      </c>
      <c r="O25" t="n">
        <v>30.508919</v>
      </c>
      <c r="P25" t="n">
        <v>31.372614</v>
      </c>
      <c r="Q25" t="n">
        <v>32.316593</v>
      </c>
      <c r="R25" t="n">
        <v>33.196274</v>
      </c>
      <c r="S25" t="n">
        <v>33.992298</v>
      </c>
      <c r="T25" t="n">
        <v>34.755074</v>
      </c>
      <c r="U25" t="n">
        <v>35.488247</v>
      </c>
      <c r="V25" t="n">
        <v>36.397934</v>
      </c>
      <c r="W25" t="n">
        <v>37.135899</v>
      </c>
      <c r="X25" t="n">
        <v>37.878532</v>
      </c>
      <c r="Y25" t="n">
        <v>38.889072</v>
      </c>
      <c r="Z25" t="n">
        <v>39.610485</v>
      </c>
      <c r="AA25" t="n">
        <v>40.735466</v>
      </c>
      <c r="AB25" t="n">
        <v>41.734936</v>
      </c>
      <c r="AC25" t="n">
        <v>42.88681</v>
      </c>
      <c r="AD25" t="n">
        <v>43.786934</v>
      </c>
      <c r="AE25" t="inlineStr">
        <is>
          <t>1.9%</t>
        </is>
      </c>
    </row>
    <row r="26">
      <c r="A26" t="inlineStr">
        <is>
          <t>Distillate Fuel Oil</t>
        </is>
      </c>
      <c r="B26" t="inlineStr">
        <is>
          <t>Industrial: Energy Prices: Nominal: Distillate Fuel Oil: Alternative Electricity and Transportation</t>
        </is>
      </c>
      <c r="C26" t="inlineStr">
        <is>
          <t>AEO.2026.ELECTRNP.PRCE_NA_IDAL_NA_DFO_NA_USA_NDLRPMBTU.A</t>
        </is>
      </c>
      <c r="D26" t="inlineStr">
        <is>
          <t>nom $/MMBtu</t>
        </is>
      </c>
      <c r="E26" t="n">
        <v>26.296053</v>
      </c>
      <c r="F26" t="n">
        <v>24.48868</v>
      </c>
      <c r="G26" t="n">
        <v>24.749483</v>
      </c>
      <c r="H26" t="n">
        <v>24.622332</v>
      </c>
      <c r="I26" t="n">
        <v>24.373558</v>
      </c>
      <c r="J26" t="n">
        <v>23.831984</v>
      </c>
      <c r="K26" t="n">
        <v>23.53397</v>
      </c>
      <c r="L26" t="n">
        <v>24.123369</v>
      </c>
      <c r="M26" t="n">
        <v>25.164715</v>
      </c>
      <c r="N26" t="n">
        <v>25.748924</v>
      </c>
      <c r="O26" t="n">
        <v>26.625229</v>
      </c>
      <c r="P26" t="n">
        <v>27.471087</v>
      </c>
      <c r="Q26" t="n">
        <v>28.270615</v>
      </c>
      <c r="R26" t="n">
        <v>29.119919</v>
      </c>
      <c r="S26" t="n">
        <v>29.875204</v>
      </c>
      <c r="T26" t="n">
        <v>30.605457</v>
      </c>
      <c r="U26" t="n">
        <v>31.439684</v>
      </c>
      <c r="V26" t="n">
        <v>32.274094</v>
      </c>
      <c r="W26" t="n">
        <v>33.110161</v>
      </c>
      <c r="X26" t="n">
        <v>33.959072</v>
      </c>
      <c r="Y26" t="n">
        <v>35.021137</v>
      </c>
      <c r="Z26" t="n">
        <v>36.027985</v>
      </c>
      <c r="AA26" t="n">
        <v>37.00074</v>
      </c>
      <c r="AB26" t="n">
        <v>38.238468</v>
      </c>
      <c r="AC26" t="n">
        <v>39.442677</v>
      </c>
      <c r="AD26" t="n">
        <v>40.275177</v>
      </c>
      <c r="AE26" t="inlineStr">
        <is>
          <t>1.7%</t>
        </is>
      </c>
    </row>
    <row r="27">
      <c r="A27" t="inlineStr">
        <is>
          <t>Residual Fuel Oil</t>
        </is>
      </c>
      <c r="B27" t="inlineStr">
        <is>
          <t>Industrial: Energy Prices: Nominal: Residual Fuel Oil: Alternative Electricity and Transportation</t>
        </is>
      </c>
      <c r="C27" t="inlineStr">
        <is>
          <t>AEO.2026.ELECTRNP.PRCE_NA_IDAL_NA_RFO_NA_USA_NDLRPMBTU.A</t>
        </is>
      </c>
      <c r="D27" t="inlineStr">
        <is>
          <t>nom $/MMBtu</t>
        </is>
      </c>
      <c r="E27" t="n">
        <v>8.660570999999999</v>
      </c>
      <c r="F27" t="n">
        <v>6.900148</v>
      </c>
      <c r="G27" t="n">
        <v>8.92243</v>
      </c>
      <c r="H27" t="n">
        <v>10.552668</v>
      </c>
      <c r="I27" t="n">
        <v>12.106726</v>
      </c>
      <c r="J27" t="n">
        <v>12.984299</v>
      </c>
      <c r="K27" t="n">
        <v>15.015378</v>
      </c>
      <c r="L27" t="n">
        <v>15.346922</v>
      </c>
      <c r="M27" t="n">
        <v>16.120689</v>
      </c>
      <c r="N27" t="n">
        <v>16.456148</v>
      </c>
      <c r="O27" t="n">
        <v>17.199833</v>
      </c>
      <c r="P27" t="n">
        <v>17.809805</v>
      </c>
      <c r="Q27" t="n">
        <v>18.309252</v>
      </c>
      <c r="R27" t="n">
        <v>18.94578</v>
      </c>
      <c r="S27" t="n">
        <v>19.55621</v>
      </c>
      <c r="T27" t="n">
        <v>20.323803</v>
      </c>
      <c r="U27" t="n">
        <v>21.151136</v>
      </c>
      <c r="V27" t="n">
        <v>21.802668</v>
      </c>
      <c r="W27" t="n">
        <v>22.403984</v>
      </c>
      <c r="X27" t="n">
        <v>23.031214</v>
      </c>
      <c r="Y27" t="n">
        <v>23.831392</v>
      </c>
      <c r="Z27" t="n">
        <v>24.534489</v>
      </c>
      <c r="AA27" t="n">
        <v>25.215658</v>
      </c>
      <c r="AB27" t="n">
        <v>26.264496</v>
      </c>
      <c r="AC27" t="n">
        <v>27.098633</v>
      </c>
      <c r="AD27" t="n">
        <v>27.770151</v>
      </c>
      <c r="AE27" t="inlineStr">
        <is>
          <t>4.8%</t>
        </is>
      </c>
    </row>
    <row r="28">
      <c r="A28" t="inlineStr">
        <is>
          <t>Asphalt and Road Oil</t>
        </is>
      </c>
      <c r="B28" t="inlineStr">
        <is>
          <t>Industrial: Energy Prices: Nominal: Asphalt and Road Oil: Alternative Electricity and Transportation</t>
        </is>
      </c>
      <c r="C28" t="inlineStr">
        <is>
          <t>AEO.2026.ELECTRNP.PRCE_NA_IDAL_NA_ARO_NA_USA_NDLRPMBTU.A</t>
        </is>
      </c>
      <c r="D28" t="inlineStr">
        <is>
          <t>nom $/MMBtu</t>
        </is>
      </c>
      <c r="E28" t="n">
        <v>9.075931000000001</v>
      </c>
      <c r="F28" t="n">
        <v>9.036584</v>
      </c>
      <c r="G28" t="n">
        <v>9.477563</v>
      </c>
      <c r="H28" t="n">
        <v>9.697171000000001</v>
      </c>
      <c r="I28" t="n">
        <v>9.856756000000001</v>
      </c>
      <c r="J28" t="n">
        <v>9.403603</v>
      </c>
      <c r="K28" t="n">
        <v>9.819077</v>
      </c>
      <c r="L28" t="n">
        <v>10.01739</v>
      </c>
      <c r="M28" t="n">
        <v>10.57069</v>
      </c>
      <c r="N28" t="n">
        <v>10.731351</v>
      </c>
      <c r="O28" t="n">
        <v>11.229304</v>
      </c>
      <c r="P28" t="n">
        <v>11.621094</v>
      </c>
      <c r="Q28" t="n">
        <v>11.931889</v>
      </c>
      <c r="R28" t="n">
        <v>12.361793</v>
      </c>
      <c r="S28" t="n">
        <v>12.712444</v>
      </c>
      <c r="T28" t="n">
        <v>13.265288</v>
      </c>
      <c r="U28" t="n">
        <v>13.905509</v>
      </c>
      <c r="V28" t="n">
        <v>14.365863</v>
      </c>
      <c r="W28" t="n">
        <v>14.828757</v>
      </c>
      <c r="X28" t="n">
        <v>15.2668</v>
      </c>
      <c r="Y28" t="n">
        <v>15.794775</v>
      </c>
      <c r="Z28" t="n">
        <v>16.223965</v>
      </c>
      <c r="AA28" t="n">
        <v>16.662691</v>
      </c>
      <c r="AB28" t="n">
        <v>17.399071</v>
      </c>
      <c r="AC28" t="n">
        <v>17.976198</v>
      </c>
      <c r="AD28" t="n">
        <v>18.382082</v>
      </c>
      <c r="AE28" t="inlineStr">
        <is>
          <t>2.9%</t>
        </is>
      </c>
    </row>
    <row r="29">
      <c r="A29" t="inlineStr">
        <is>
          <t>Natural Gas</t>
        </is>
      </c>
      <c r="B29" t="inlineStr">
        <is>
          <t>Industrial: Energy Prices: Nominal: Natural Gas Heat: Alternative Electricity and Transportation</t>
        </is>
      </c>
      <c r="C29" t="inlineStr">
        <is>
          <t>AEO.2026.ELECTRNP.PRCE_NA_IDAL_NA_NG_NA_USA_NDLRPMBTU.A</t>
        </is>
      </c>
      <c r="D29" t="inlineStr">
        <is>
          <t>nom $/MMBtu</t>
        </is>
      </c>
      <c r="E29" t="n">
        <v>4.509136</v>
      </c>
      <c r="F29" t="n">
        <v>4.895063</v>
      </c>
      <c r="G29" t="n">
        <v>4.88478</v>
      </c>
      <c r="H29" t="n">
        <v>5.112636</v>
      </c>
      <c r="I29" t="n">
        <v>5.334773</v>
      </c>
      <c r="J29" t="n">
        <v>5.961971</v>
      </c>
      <c r="K29" t="n">
        <v>6.395454</v>
      </c>
      <c r="L29" t="n">
        <v>6.676704</v>
      </c>
      <c r="M29" t="n">
        <v>6.804713</v>
      </c>
      <c r="N29" t="n">
        <v>6.973204</v>
      </c>
      <c r="O29" t="n">
        <v>7.218781</v>
      </c>
      <c r="P29" t="n">
        <v>7.445083</v>
      </c>
      <c r="Q29" t="n">
        <v>7.66644</v>
      </c>
      <c r="R29" t="n">
        <v>7.899457</v>
      </c>
      <c r="S29" t="n">
        <v>8.144847</v>
      </c>
      <c r="T29" t="n">
        <v>8.374962999999999</v>
      </c>
      <c r="U29" t="n">
        <v>8.482545</v>
      </c>
      <c r="V29" t="n">
        <v>8.389817000000001</v>
      </c>
      <c r="W29" t="n">
        <v>8.207382000000001</v>
      </c>
      <c r="X29" t="n">
        <v>8.024001</v>
      </c>
      <c r="Y29" t="n">
        <v>8.012525</v>
      </c>
      <c r="Z29" t="n">
        <v>8.153107</v>
      </c>
      <c r="AA29" t="n">
        <v>8.325449000000001</v>
      </c>
      <c r="AB29" t="n">
        <v>8.479464999999999</v>
      </c>
      <c r="AC29" t="n">
        <v>8.605097000000001</v>
      </c>
      <c r="AD29" t="n">
        <v>8.697660000000001</v>
      </c>
      <c r="AE29" t="inlineStr">
        <is>
          <t>2.7%</t>
        </is>
      </c>
    </row>
    <row r="30">
      <c r="A30" t="inlineStr">
        <is>
          <t>Hydrogen</t>
        </is>
      </c>
      <c r="B30" t="inlineStr">
        <is>
          <t>Industrial: Energy Prices: Nominal: Hydrogen: Alternative Electricity and Transportation</t>
        </is>
      </c>
      <c r="C30" t="inlineStr">
        <is>
          <t>AEO.2026.ELECTRNP.PRCE_NA_IDAL_NA_HDG_NA_USA_NDLRPMBTU.A</t>
        </is>
      </c>
      <c r="D30" t="inlineStr">
        <is>
          <t>nom $/MMBtu</t>
        </is>
      </c>
      <c r="E30" t="n">
        <v>11.501233</v>
      </c>
      <c r="F30" t="n">
        <v>12.215922</v>
      </c>
      <c r="G30" t="n">
        <v>12.441085</v>
      </c>
      <c r="H30" t="n">
        <v>12.845333</v>
      </c>
      <c r="I30" t="n">
        <v>13.19964</v>
      </c>
      <c r="J30" t="n">
        <v>14.24692</v>
      </c>
      <c r="K30" t="n">
        <v>14.868075</v>
      </c>
      <c r="L30" t="n">
        <v>15.341229</v>
      </c>
      <c r="M30" t="n">
        <v>15.758101</v>
      </c>
      <c r="N30" t="n">
        <v>16.121334</v>
      </c>
      <c r="O30" t="n">
        <v>16.377409</v>
      </c>
      <c r="P30" t="n">
        <v>16.928585</v>
      </c>
      <c r="Q30" t="n">
        <v>17.287062</v>
      </c>
      <c r="R30" t="n">
        <v>17.757149</v>
      </c>
      <c r="S30" t="n">
        <v>18.224953</v>
      </c>
      <c r="T30" t="n">
        <v>18.648542</v>
      </c>
      <c r="U30" t="n">
        <v>18.894539</v>
      </c>
      <c r="V30" t="n">
        <v>18.979748</v>
      </c>
      <c r="W30" t="n">
        <v>18.869946</v>
      </c>
      <c r="X30" t="n">
        <v>18.823492</v>
      </c>
      <c r="Y30" t="n">
        <v>18.959051</v>
      </c>
      <c r="Z30" t="n">
        <v>19.220348</v>
      </c>
      <c r="AA30" t="n">
        <v>19.583923</v>
      </c>
      <c r="AB30" t="n">
        <v>19.950401</v>
      </c>
      <c r="AC30" t="n">
        <v>20.260973</v>
      </c>
      <c r="AD30" t="n">
        <v>20.556705</v>
      </c>
      <c r="AE30" t="inlineStr">
        <is>
          <t>2.4%</t>
        </is>
      </c>
    </row>
    <row r="31">
      <c r="A31" t="inlineStr">
        <is>
          <t>Metallurgical Coal</t>
        </is>
      </c>
      <c r="B31" t="inlineStr">
        <is>
          <t>Industrial: Energy Prices: Nominal: Metallurgical Coal: Alternative Electricity and Transportation</t>
        </is>
      </c>
      <c r="C31" t="inlineStr">
        <is>
          <t>AEO.2026.ELECTRNP.PRCE_NA_IDAL_NA_MTC_NA_USA_NDLRPMBTU.A</t>
        </is>
      </c>
      <c r="D31" t="inlineStr">
        <is>
          <t>nom $/MMBtu</t>
        </is>
      </c>
      <c r="E31" t="n">
        <v>6.417383</v>
      </c>
      <c r="F31" t="n">
        <v>6.597126</v>
      </c>
      <c r="G31" t="n">
        <v>6.728108</v>
      </c>
      <c r="H31" t="n">
        <v>6.881665</v>
      </c>
      <c r="I31" t="n">
        <v>7.014177</v>
      </c>
      <c r="J31" t="n">
        <v>7.176545</v>
      </c>
      <c r="K31" t="n">
        <v>7.308282</v>
      </c>
      <c r="L31" t="n">
        <v>7.484515</v>
      </c>
      <c r="M31" t="n">
        <v>7.641977</v>
      </c>
      <c r="N31" t="n">
        <v>7.775808</v>
      </c>
      <c r="O31" t="n">
        <v>7.944719</v>
      </c>
      <c r="P31" t="n">
        <v>8.064301</v>
      </c>
      <c r="Q31" t="n">
        <v>8.229307</v>
      </c>
      <c r="R31" t="n">
        <v>8.387159</v>
      </c>
      <c r="S31" t="n">
        <v>8.509911000000001</v>
      </c>
      <c r="T31" t="n">
        <v>8.680963</v>
      </c>
      <c r="U31" t="n">
        <v>8.833387</v>
      </c>
      <c r="V31" t="n">
        <v>8.983679</v>
      </c>
      <c r="W31" t="n">
        <v>9.143613</v>
      </c>
      <c r="X31" t="n">
        <v>9.296298999999999</v>
      </c>
      <c r="Y31" t="n">
        <v>9.471245</v>
      </c>
      <c r="Z31" t="n">
        <v>9.630311000000001</v>
      </c>
      <c r="AA31" t="n">
        <v>9.821401</v>
      </c>
      <c r="AB31" t="n">
        <v>10.014432</v>
      </c>
      <c r="AC31" t="n">
        <v>10.155501</v>
      </c>
      <c r="AD31" t="n">
        <v>10.327953</v>
      </c>
      <c r="AE31" t="inlineStr">
        <is>
          <t>1.9%</t>
        </is>
      </c>
    </row>
    <row r="32">
      <c r="A32" t="inlineStr">
        <is>
          <t>Steam Coal</t>
        </is>
      </c>
      <c r="B32" t="inlineStr">
        <is>
          <t>Industrial: Energy Prices: Nominal: Other Industrial Coal: Alternative Electricity and Transportation</t>
        </is>
      </c>
      <c r="C32" t="inlineStr">
        <is>
          <t>AEO.2026.ELECTRNP.PRCE_NA_IDAL_NA_STC_NA_USA_NDLRPMBTU.A</t>
        </is>
      </c>
      <c r="D32" t="inlineStr">
        <is>
          <t>nom $/MMBtu</t>
        </is>
      </c>
      <c r="E32" t="n">
        <v>3.995581</v>
      </c>
      <c r="F32" t="n">
        <v>3.962253</v>
      </c>
      <c r="G32" t="n">
        <v>3.941394</v>
      </c>
      <c r="H32" t="n">
        <v>4.016377</v>
      </c>
      <c r="I32" t="n">
        <v>4.104921</v>
      </c>
      <c r="J32" t="n">
        <v>4.156437</v>
      </c>
      <c r="K32" t="n">
        <v>4.241232</v>
      </c>
      <c r="L32" t="n">
        <v>4.309848</v>
      </c>
      <c r="M32" t="n">
        <v>4.393622</v>
      </c>
      <c r="N32" t="n">
        <v>4.462495</v>
      </c>
      <c r="O32" t="n">
        <v>4.541896</v>
      </c>
      <c r="P32" t="n">
        <v>4.634819</v>
      </c>
      <c r="Q32" t="n">
        <v>4.732712</v>
      </c>
      <c r="R32" t="n">
        <v>4.834002</v>
      </c>
      <c r="S32" t="n">
        <v>4.908824</v>
      </c>
      <c r="T32" t="n">
        <v>5.025657</v>
      </c>
      <c r="U32" t="n">
        <v>5.1197</v>
      </c>
      <c r="V32" t="n">
        <v>5.225145</v>
      </c>
      <c r="W32" t="n">
        <v>5.320366</v>
      </c>
      <c r="X32" t="n">
        <v>5.415202</v>
      </c>
      <c r="Y32" t="n">
        <v>5.518361</v>
      </c>
      <c r="Z32" t="n">
        <v>5.602289</v>
      </c>
      <c r="AA32" t="n">
        <v>5.716237</v>
      </c>
      <c r="AB32" t="n">
        <v>5.83783</v>
      </c>
      <c r="AC32" t="n">
        <v>5.993599</v>
      </c>
      <c r="AD32" t="n">
        <v>6.101249</v>
      </c>
      <c r="AE32" t="inlineStr">
        <is>
          <t>1.7%</t>
        </is>
      </c>
    </row>
    <row r="33">
      <c r="A33" t="inlineStr">
        <is>
          <t>Electricity</t>
        </is>
      </c>
      <c r="B33" t="inlineStr">
        <is>
          <t>Industrial: Energy Prices: Nominal: Electricity: Alternative Electricity and Transportation</t>
        </is>
      </c>
      <c r="C33" t="inlineStr">
        <is>
          <t>AEO.2026.ELECTRNP.PRCE_NA_IDAL_NA_ELC_NA_USA_NDLRPMBTU.A</t>
        </is>
      </c>
      <c r="D33" t="inlineStr">
        <is>
          <t>nom $/MMBtu</t>
        </is>
      </c>
      <c r="E33" t="n">
        <v>26.595726</v>
      </c>
      <c r="F33" t="n">
        <v>27.183186</v>
      </c>
      <c r="G33" t="n">
        <v>26.44618</v>
      </c>
      <c r="H33" t="n">
        <v>26.295322</v>
      </c>
      <c r="I33" t="n">
        <v>27.056814</v>
      </c>
      <c r="J33" t="n">
        <v>28.031288</v>
      </c>
      <c r="K33" t="n">
        <v>29.024605</v>
      </c>
      <c r="L33" t="n">
        <v>29.771095</v>
      </c>
      <c r="M33" t="n">
        <v>30.648407</v>
      </c>
      <c r="N33" t="n">
        <v>31.438168</v>
      </c>
      <c r="O33" t="n">
        <v>32.213593</v>
      </c>
      <c r="P33" t="n">
        <v>32.956795</v>
      </c>
      <c r="Q33" t="n">
        <v>33.768005</v>
      </c>
      <c r="R33" t="n">
        <v>34.526131</v>
      </c>
      <c r="S33" t="n">
        <v>35.399929</v>
      </c>
      <c r="T33" t="n">
        <v>36.310913</v>
      </c>
      <c r="U33" t="n">
        <v>36.998283</v>
      </c>
      <c r="V33" t="n">
        <v>37.489326</v>
      </c>
      <c r="W33" t="n">
        <v>37.965794</v>
      </c>
      <c r="X33" t="n">
        <v>38.455433</v>
      </c>
      <c r="Y33" t="n">
        <v>38.836315</v>
      </c>
      <c r="Z33" t="n">
        <v>39.743523</v>
      </c>
      <c r="AA33" t="n">
        <v>40.595776</v>
      </c>
      <c r="AB33" t="n">
        <v>41.425858</v>
      </c>
      <c r="AC33" t="n">
        <v>42.15052</v>
      </c>
      <c r="AD33" t="n">
        <v>42.968788</v>
      </c>
      <c r="AE33" t="inlineStr">
        <is>
          <t>1.9%</t>
        </is>
      </c>
    </row>
    <row r="34">
      <c r="A34" t="inlineStr">
        <is>
          <t>Energy Consumption (quadrillion Btu)</t>
        </is>
      </c>
    </row>
    <row r="35">
      <c r="A35" t="inlineStr">
        <is>
          <t>Industrial End-Use Consumption Excluding Refining and Hydrogen Production</t>
        </is>
      </c>
    </row>
    <row r="36">
      <c r="A36" t="inlineStr">
        <is>
          <t>Propane Heat and Power</t>
        </is>
      </c>
      <c r="B36" t="inlineStr">
        <is>
          <t>Industrial: Energy Use: Excluding Refining: Propane Heat and Power: Alternative Electricity and Transportation</t>
        </is>
      </c>
      <c r="C36" t="inlineStr">
        <is>
          <t>AEO.2026.ELECTRNP.CNSM_NA_IDAL_IDEI_LPGHP_NA_USA_QBTU.A</t>
        </is>
      </c>
      <c r="D36" t="inlineStr">
        <is>
          <t>quads</t>
        </is>
      </c>
      <c r="E36" t="n">
        <v>0.124467</v>
      </c>
      <c r="F36" t="n">
        <v>0.026135</v>
      </c>
      <c r="G36" t="n">
        <v>0.182581</v>
      </c>
      <c r="H36" t="n">
        <v>0.180743</v>
      </c>
      <c r="I36" t="n">
        <v>0.180365</v>
      </c>
      <c r="J36" t="n">
        <v>0.181238</v>
      </c>
      <c r="K36" t="n">
        <v>0.181122</v>
      </c>
      <c r="L36" t="n">
        <v>0.188451</v>
      </c>
      <c r="M36" t="n">
        <v>0.186918</v>
      </c>
      <c r="N36" t="n">
        <v>0.187642</v>
      </c>
      <c r="O36" t="n">
        <v>0.188551</v>
      </c>
      <c r="P36" t="n">
        <v>0.189361</v>
      </c>
      <c r="Q36" t="n">
        <v>0.192619</v>
      </c>
      <c r="R36" t="n">
        <v>0.195625</v>
      </c>
      <c r="S36" t="n">
        <v>0.198038</v>
      </c>
      <c r="T36" t="n">
        <v>0.199532</v>
      </c>
      <c r="U36" t="n">
        <v>0.199423</v>
      </c>
      <c r="V36" t="n">
        <v>0.19977</v>
      </c>
      <c r="W36" t="n">
        <v>0.199908</v>
      </c>
      <c r="X36" t="n">
        <v>0.200169</v>
      </c>
      <c r="Y36" t="n">
        <v>0.200928</v>
      </c>
      <c r="Z36" t="n">
        <v>0.201934</v>
      </c>
      <c r="AA36" t="n">
        <v>0.20294</v>
      </c>
      <c r="AB36" t="n">
        <v>0.203759</v>
      </c>
      <c r="AC36" t="n">
        <v>0.204574</v>
      </c>
      <c r="AD36" t="n">
        <v>0.205582</v>
      </c>
      <c r="AE36" t="inlineStr">
        <is>
          <t>2.0%</t>
        </is>
      </c>
    </row>
    <row r="37">
      <c r="A37" t="inlineStr">
        <is>
          <t>Hydrocarbon Gas Liquid Feedstocks</t>
        </is>
      </c>
      <c r="B37" t="inlineStr">
        <is>
          <t>Industrial: Energy Use: Excluding Refining: LPG and Other Feedstocks: Alternative Electricity and Transportation</t>
        </is>
      </c>
      <c r="C37" t="inlineStr">
        <is>
          <t>AEO.2026.ELECTRNP.CNSM_NA_IDAL_IDEI_LPGF_NA_USA_QBTU.A</t>
        </is>
      </c>
      <c r="D37" t="inlineStr">
        <is>
          <t>quads</t>
        </is>
      </c>
      <c r="E37" t="n">
        <v>3.529603</v>
      </c>
      <c r="F37" t="n">
        <v>3.585603</v>
      </c>
      <c r="G37" t="n">
        <v>3.632402</v>
      </c>
      <c r="H37" t="n">
        <v>3.523206</v>
      </c>
      <c r="I37" t="n">
        <v>3.447896</v>
      </c>
      <c r="J37" t="n">
        <v>3.438571</v>
      </c>
      <c r="K37" t="n">
        <v>3.469113</v>
      </c>
      <c r="L37" t="n">
        <v>3.486946</v>
      </c>
      <c r="M37" t="n">
        <v>3.52364</v>
      </c>
      <c r="N37" t="n">
        <v>3.563568</v>
      </c>
      <c r="O37" t="n">
        <v>3.609877</v>
      </c>
      <c r="P37" t="n">
        <v>3.667288</v>
      </c>
      <c r="Q37" t="n">
        <v>3.709755</v>
      </c>
      <c r="R37" t="n">
        <v>3.754002</v>
      </c>
      <c r="S37" t="n">
        <v>3.829764</v>
      </c>
      <c r="T37" t="n">
        <v>3.897878</v>
      </c>
      <c r="U37" t="n">
        <v>3.974275</v>
      </c>
      <c r="V37" t="n">
        <v>4.062888</v>
      </c>
      <c r="W37" t="n">
        <v>4.145109</v>
      </c>
      <c r="X37" t="n">
        <v>4.228109</v>
      </c>
      <c r="Y37" t="n">
        <v>4.318028</v>
      </c>
      <c r="Z37" t="n">
        <v>4.408636</v>
      </c>
      <c r="AA37" t="n">
        <v>4.508538</v>
      </c>
      <c r="AB37" t="n">
        <v>4.597084</v>
      </c>
      <c r="AC37" t="n">
        <v>4.659564</v>
      </c>
      <c r="AD37" t="n">
        <v>4.746164</v>
      </c>
      <c r="AE37" t="inlineStr">
        <is>
          <t>1.2%</t>
        </is>
      </c>
    </row>
    <row r="38">
      <c r="A38" t="inlineStr">
        <is>
          <t>Ethane</t>
        </is>
      </c>
      <c r="B38" t="inlineStr">
        <is>
          <t>Industrial: Energy Use: Excluding Refining: Ethane: Alternative Electricity and Transportation</t>
        </is>
      </c>
      <c r="C38" t="inlineStr">
        <is>
          <t>AEO.2026.ELECTRNP.CNSM_NA_IDAL_IDEI_C2H6_NA_USA_QBTU.A</t>
        </is>
      </c>
      <c r="D38" t="inlineStr">
        <is>
          <t>quads</t>
        </is>
      </c>
      <c r="E38" t="n">
        <v>2.430603</v>
      </c>
      <c r="F38" t="n">
        <v>2.504303</v>
      </c>
      <c r="G38" t="n">
        <v>2.540703</v>
      </c>
      <c r="H38" t="n">
        <v>2.546124</v>
      </c>
      <c r="I38" t="n">
        <v>2.469537</v>
      </c>
      <c r="J38" t="n">
        <v>2.479396</v>
      </c>
      <c r="K38" t="n">
        <v>2.486906</v>
      </c>
      <c r="L38" t="n">
        <v>2.48388</v>
      </c>
      <c r="M38" t="n">
        <v>2.519274</v>
      </c>
      <c r="N38" t="n">
        <v>2.527763</v>
      </c>
      <c r="O38" t="n">
        <v>2.606571</v>
      </c>
      <c r="P38" t="n">
        <v>2.639744</v>
      </c>
      <c r="Q38" t="n">
        <v>2.627038</v>
      </c>
      <c r="R38" t="n">
        <v>2.686461</v>
      </c>
      <c r="S38" t="n">
        <v>2.716612</v>
      </c>
      <c r="T38" t="n">
        <v>2.744902</v>
      </c>
      <c r="U38" t="n">
        <v>2.808221</v>
      </c>
      <c r="V38" t="n">
        <v>2.851235</v>
      </c>
      <c r="W38" t="n">
        <v>2.89945</v>
      </c>
      <c r="X38" t="n">
        <v>2.917346</v>
      </c>
      <c r="Y38" t="n">
        <v>2.938831</v>
      </c>
      <c r="Z38" t="n">
        <v>2.985767</v>
      </c>
      <c r="AA38" t="n">
        <v>3.031848</v>
      </c>
      <c r="AB38" t="n">
        <v>3.072489</v>
      </c>
      <c r="AC38" t="n">
        <v>3.101851</v>
      </c>
      <c r="AD38" t="n">
        <v>3.139861</v>
      </c>
      <c r="AE38" t="inlineStr">
        <is>
          <t>1.0%</t>
        </is>
      </c>
    </row>
    <row r="39">
      <c r="A39" t="inlineStr">
        <is>
          <t>Propane</t>
        </is>
      </c>
      <c r="B39" t="inlineStr">
        <is>
          <t>Industrial: Energy Use: Excluding Refining: Propane: Alternative Electricity and Transportation</t>
        </is>
      </c>
      <c r="C39" t="inlineStr">
        <is>
          <t>AEO.2026.ELECTRNP.CNSM_NA_IDAL_IDEI_PROP_NA_USA_QBTU.A</t>
        </is>
      </c>
      <c r="D39" t="inlineStr">
        <is>
          <t>quads</t>
        </is>
      </c>
      <c r="E39" t="n">
        <v>0.2579</v>
      </c>
      <c r="F39" t="n">
        <v>0.2607</v>
      </c>
      <c r="G39" t="n">
        <v>0.2633</v>
      </c>
      <c r="H39" t="n">
        <v>0.209292</v>
      </c>
      <c r="I39" t="n">
        <v>0.209774</v>
      </c>
      <c r="J39" t="n">
        <v>0.202531</v>
      </c>
      <c r="K39" t="n">
        <v>0.211227</v>
      </c>
      <c r="L39" t="n">
        <v>0.219102</v>
      </c>
      <c r="M39" t="n">
        <v>0.219593</v>
      </c>
      <c r="N39" t="n">
        <v>0.231462</v>
      </c>
      <c r="O39" t="n">
        <v>0.219192</v>
      </c>
      <c r="P39" t="n">
        <v>0.228343</v>
      </c>
      <c r="Q39" t="n">
        <v>0.249174</v>
      </c>
      <c r="R39" t="n">
        <v>0.243444</v>
      </c>
      <c r="S39" t="n">
        <v>0.260664</v>
      </c>
      <c r="T39" t="n">
        <v>0.2757</v>
      </c>
      <c r="U39" t="n">
        <v>0.280637</v>
      </c>
      <c r="V39" t="n">
        <v>0.297853</v>
      </c>
      <c r="W39" t="n">
        <v>0.310692</v>
      </c>
      <c r="X39" t="n">
        <v>0.335271</v>
      </c>
      <c r="Y39" t="n">
        <v>0.361108</v>
      </c>
      <c r="Z39" t="n">
        <v>0.377596</v>
      </c>
      <c r="AA39" t="n">
        <v>0.397916</v>
      </c>
      <c r="AB39" t="n">
        <v>0.416002</v>
      </c>
      <c r="AC39" t="n">
        <v>0.428506</v>
      </c>
      <c r="AD39" t="n">
        <v>0.446851</v>
      </c>
      <c r="AE39" t="inlineStr">
        <is>
          <t>2.2%</t>
        </is>
      </c>
    </row>
    <row r="40">
      <c r="A40" t="inlineStr">
        <is>
          <t>Propylene</t>
        </is>
      </c>
      <c r="B40" t="inlineStr">
        <is>
          <t>Industrial: Energy Use: Excluding Refining: Propylene: Alternative Electricity and Transportation</t>
        </is>
      </c>
      <c r="C40" t="inlineStr">
        <is>
          <t>AEO.2026.ELECTRNP.CNSM_NA_IDAL_IDEI_PPL_NA_USA_QBTU.A</t>
        </is>
      </c>
      <c r="D40" t="inlineStr">
        <is>
          <t>quads</t>
        </is>
      </c>
      <c r="E40" t="n">
        <v>0.3863</v>
      </c>
      <c r="F40" t="n">
        <v>0.3905</v>
      </c>
      <c r="G40" t="n">
        <v>0.3943</v>
      </c>
      <c r="H40" t="n">
        <v>0.422732</v>
      </c>
      <c r="I40" t="n">
        <v>0.422732</v>
      </c>
      <c r="J40" t="n">
        <v>0.422732</v>
      </c>
      <c r="K40" t="n">
        <v>0.422732</v>
      </c>
      <c r="L40" t="n">
        <v>0.422732</v>
      </c>
      <c r="M40" t="n">
        <v>0.422732</v>
      </c>
      <c r="N40" t="n">
        <v>0.422732</v>
      </c>
      <c r="O40" t="n">
        <v>0.422732</v>
      </c>
      <c r="P40" t="n">
        <v>0.422732</v>
      </c>
      <c r="Q40" t="n">
        <v>0.422732</v>
      </c>
      <c r="R40" t="n">
        <v>0.422732</v>
      </c>
      <c r="S40" t="n">
        <v>0.422732</v>
      </c>
      <c r="T40" t="n">
        <v>0.422732</v>
      </c>
      <c r="U40" t="n">
        <v>0.422732</v>
      </c>
      <c r="V40" t="n">
        <v>0.422732</v>
      </c>
      <c r="W40" t="n">
        <v>0.422732</v>
      </c>
      <c r="X40" t="n">
        <v>0.422732</v>
      </c>
      <c r="Y40" t="n">
        <v>0.422732</v>
      </c>
      <c r="Z40" t="n">
        <v>0.422732</v>
      </c>
      <c r="AA40" t="n">
        <v>0.422732</v>
      </c>
      <c r="AB40" t="n">
        <v>0.422732</v>
      </c>
      <c r="AC40" t="n">
        <v>0.422732</v>
      </c>
      <c r="AD40" t="n">
        <v>0.422732</v>
      </c>
      <c r="AE40" t="inlineStr">
        <is>
          <t>0.4%</t>
        </is>
      </c>
    </row>
    <row r="41">
      <c r="A41" t="inlineStr">
        <is>
          <t>Butane</t>
        </is>
      </c>
      <c r="B41" t="inlineStr">
        <is>
          <t>Industrial: Energy Use: Excluding Refining: Butane: Alternative Electricity and Transportation</t>
        </is>
      </c>
      <c r="C41" t="inlineStr">
        <is>
          <t>AEO.2026.ELECTRNP.CNSM_NA_IDAL_IDEI_NBTN_NA_USA_QBTU.A</t>
        </is>
      </c>
      <c r="D41" t="inlineStr">
        <is>
          <t>quads</t>
        </is>
      </c>
      <c r="E41" t="n">
        <v>0.4548</v>
      </c>
      <c r="F41" t="n">
        <v>0.4301</v>
      </c>
      <c r="G41" t="n">
        <v>0.4341</v>
      </c>
      <c r="H41" t="n">
        <v>0.345058</v>
      </c>
      <c r="I41" t="n">
        <v>0.345853</v>
      </c>
      <c r="J41" t="n">
        <v>0.333912</v>
      </c>
      <c r="K41" t="n">
        <v>0.348248</v>
      </c>
      <c r="L41" t="n">
        <v>0.361232</v>
      </c>
      <c r="M41" t="n">
        <v>0.362041</v>
      </c>
      <c r="N41" t="n">
        <v>0.38161</v>
      </c>
      <c r="O41" t="n">
        <v>0.361381</v>
      </c>
      <c r="P41" t="n">
        <v>0.376468</v>
      </c>
      <c r="Q41" t="n">
        <v>0.410811</v>
      </c>
      <c r="R41" t="n">
        <v>0.401365</v>
      </c>
      <c r="S41" t="n">
        <v>0.429756</v>
      </c>
      <c r="T41" t="n">
        <v>0.454544</v>
      </c>
      <c r="U41" t="n">
        <v>0.462685</v>
      </c>
      <c r="V41" t="n">
        <v>0.491068</v>
      </c>
      <c r="W41" t="n">
        <v>0.512235</v>
      </c>
      <c r="X41" t="n">
        <v>0.55276</v>
      </c>
      <c r="Y41" t="n">
        <v>0.595357</v>
      </c>
      <c r="Z41" t="n">
        <v>0.62254</v>
      </c>
      <c r="AA41" t="n">
        <v>0.656042</v>
      </c>
      <c r="AB41" t="n">
        <v>0.68586</v>
      </c>
      <c r="AC41" t="n">
        <v>0.706475</v>
      </c>
      <c r="AD41" t="n">
        <v>0.73672</v>
      </c>
      <c r="AE41" t="inlineStr">
        <is>
          <t>1.9%</t>
        </is>
      </c>
    </row>
    <row r="42">
      <c r="A42" t="inlineStr">
        <is>
          <t>Motor Gasoline</t>
        </is>
      </c>
      <c r="B42" t="inlineStr">
        <is>
          <t>Industrial: Energy Use: Excluding Refining: Motor Gasoline: Alternative Electricity and Transportation</t>
        </is>
      </c>
      <c r="C42" t="inlineStr">
        <is>
          <t>AEO.2026.ELECTRNP.CNSM_NA_IDAL_IDEI_MGS_NA_USA_QBTU.A</t>
        </is>
      </c>
      <c r="D42" t="inlineStr">
        <is>
          <t>quads</t>
        </is>
      </c>
      <c r="E42" t="n">
        <v>0.274134</v>
      </c>
      <c r="F42" t="n">
        <v>0.272877</v>
      </c>
      <c r="G42" t="n">
        <v>0.274898</v>
      </c>
      <c r="H42" t="n">
        <v>0.278423</v>
      </c>
      <c r="I42" t="n">
        <v>0.281926</v>
      </c>
      <c r="J42" t="n">
        <v>0.286878</v>
      </c>
      <c r="K42" t="n">
        <v>0.291053</v>
      </c>
      <c r="L42" t="n">
        <v>0.295224</v>
      </c>
      <c r="M42" t="n">
        <v>0.298205</v>
      </c>
      <c r="N42" t="n">
        <v>0.30178</v>
      </c>
      <c r="O42" t="n">
        <v>0.304799</v>
      </c>
      <c r="P42" t="n">
        <v>0.307633</v>
      </c>
      <c r="Q42" t="n">
        <v>0.310316</v>
      </c>
      <c r="R42" t="n">
        <v>0.312839</v>
      </c>
      <c r="S42" t="n">
        <v>0.315401</v>
      </c>
      <c r="T42" t="n">
        <v>0.317999</v>
      </c>
      <c r="U42" t="n">
        <v>0.320688</v>
      </c>
      <c r="V42" t="n">
        <v>0.323215</v>
      </c>
      <c r="W42" t="n">
        <v>0.325655</v>
      </c>
      <c r="X42" t="n">
        <v>0.327945</v>
      </c>
      <c r="Y42" t="n">
        <v>0.330613</v>
      </c>
      <c r="Z42" t="n">
        <v>0.333403</v>
      </c>
      <c r="AA42" t="n">
        <v>0.336337</v>
      </c>
      <c r="AB42" t="n">
        <v>0.338948</v>
      </c>
      <c r="AC42" t="n">
        <v>0.341414</v>
      </c>
      <c r="AD42" t="n">
        <v>0.34381</v>
      </c>
      <c r="AE42" t="inlineStr">
        <is>
          <t>0.9%</t>
        </is>
      </c>
    </row>
    <row r="43">
      <c r="A43" t="inlineStr">
        <is>
          <t>Distillate Fuel Oil</t>
        </is>
      </c>
      <c r="B43" t="inlineStr">
        <is>
          <t>Industrial: Energy Use: Excluding Refining: Distillate Fuel Oil: Alternative Electricity and Transportation</t>
        </is>
      </c>
      <c r="C43" t="inlineStr">
        <is>
          <t>AEO.2026.ELECTRNP.CNSM_NA_IDAL_IDEI_DFO_NA_USA_QBTU.A</t>
        </is>
      </c>
      <c r="D43" t="inlineStr">
        <is>
          <t>quads</t>
        </is>
      </c>
      <c r="E43" t="n">
        <v>1.159778</v>
      </c>
      <c r="F43" t="n">
        <v>1.160087</v>
      </c>
      <c r="G43" t="n">
        <v>1.162011</v>
      </c>
      <c r="H43" t="n">
        <v>1.168513</v>
      </c>
      <c r="I43" t="n">
        <v>1.179822</v>
      </c>
      <c r="J43" t="n">
        <v>1.196678</v>
      </c>
      <c r="K43" t="n">
        <v>1.2089</v>
      </c>
      <c r="L43" t="n">
        <v>1.228125</v>
      </c>
      <c r="M43" t="n">
        <v>1.237822</v>
      </c>
      <c r="N43" t="n">
        <v>1.249308</v>
      </c>
      <c r="O43" t="n">
        <v>1.260567</v>
      </c>
      <c r="P43" t="n">
        <v>1.270628</v>
      </c>
      <c r="Q43" t="n">
        <v>1.281835</v>
      </c>
      <c r="R43" t="n">
        <v>1.292388</v>
      </c>
      <c r="S43" t="n">
        <v>1.302165</v>
      </c>
      <c r="T43" t="n">
        <v>1.31047</v>
      </c>
      <c r="U43" t="n">
        <v>1.317658</v>
      </c>
      <c r="V43" t="n">
        <v>1.325369</v>
      </c>
      <c r="W43" t="n">
        <v>1.332637</v>
      </c>
      <c r="X43" t="n">
        <v>1.339916</v>
      </c>
      <c r="Y43" t="n">
        <v>1.349524</v>
      </c>
      <c r="Z43" t="n">
        <v>1.359533</v>
      </c>
      <c r="AA43" t="n">
        <v>1.369825</v>
      </c>
      <c r="AB43" t="n">
        <v>1.378923</v>
      </c>
      <c r="AC43" t="n">
        <v>1.387899</v>
      </c>
      <c r="AD43" t="n">
        <v>1.396855</v>
      </c>
      <c r="AE43" t="inlineStr">
        <is>
          <t>0.7%</t>
        </is>
      </c>
    </row>
    <row r="44">
      <c r="A44" t="inlineStr">
        <is>
          <t>Residual Fuel Oil</t>
        </is>
      </c>
      <c r="B44" t="inlineStr">
        <is>
          <t>Industrial: Energy Use: Excluding Refining: Residual Fuel Oil: Alternative Electricity and Transportation</t>
        </is>
      </c>
      <c r="C44" t="inlineStr">
        <is>
          <t>AEO.2026.ELECTRNP.CNSM_NA_IDAL_IDEI_RFO_NA_USA_QBTU.A</t>
        </is>
      </c>
      <c r="D44" t="inlineStr">
        <is>
          <t>quads</t>
        </is>
      </c>
      <c r="E44" t="n">
        <v>0.040108</v>
      </c>
      <c r="F44" t="n">
        <v>0.038761</v>
      </c>
      <c r="G44" t="n">
        <v>0.035322</v>
      </c>
      <c r="H44" t="n">
        <v>0.034547</v>
      </c>
      <c r="I44" t="n">
        <v>0.033736</v>
      </c>
      <c r="J44" t="n">
        <v>0.034748</v>
      </c>
      <c r="K44" t="n">
        <v>0.0339</v>
      </c>
      <c r="L44" t="n">
        <v>0.034136</v>
      </c>
      <c r="M44" t="n">
        <v>0.033707</v>
      </c>
      <c r="N44" t="n">
        <v>0.033753</v>
      </c>
      <c r="O44" t="n">
        <v>0.033499</v>
      </c>
      <c r="P44" t="n">
        <v>0.033284</v>
      </c>
      <c r="Q44" t="n">
        <v>0.033025</v>
      </c>
      <c r="R44" t="n">
        <v>0.032672</v>
      </c>
      <c r="S44" t="n">
        <v>0.03256</v>
      </c>
      <c r="T44" t="n">
        <v>0.032231</v>
      </c>
      <c r="U44" t="n">
        <v>0.031566</v>
      </c>
      <c r="V44" t="n">
        <v>0.030664</v>
      </c>
      <c r="W44" t="n">
        <v>0.029574</v>
      </c>
      <c r="X44" t="n">
        <v>0.028497</v>
      </c>
      <c r="Y44" t="n">
        <v>0.027718</v>
      </c>
      <c r="Z44" t="n">
        <v>0.027413</v>
      </c>
      <c r="AA44" t="n">
        <v>0.027218</v>
      </c>
      <c r="AB44" t="n">
        <v>0.026843</v>
      </c>
      <c r="AC44" t="n">
        <v>0.026572</v>
      </c>
      <c r="AD44" t="n">
        <v>0.026396</v>
      </c>
      <c r="AE44" t="inlineStr">
        <is>
          <t>-1.7%</t>
        </is>
      </c>
    </row>
    <row r="45">
      <c r="A45" t="inlineStr">
        <is>
          <t>Petrochemical Feedstocks</t>
        </is>
      </c>
      <c r="B45" t="inlineStr">
        <is>
          <t>Industrial: Energy Use: Excluding Refining: Petrochemical Feedstocks: Alternative Electricity and Transportation</t>
        </is>
      </c>
      <c r="C45" t="inlineStr">
        <is>
          <t>AEO.2026.ELECTRNP.CNSM_NA_IDAL_IDEI_PCF_NA_USA_QBTU.A</t>
        </is>
      </c>
      <c r="D45" t="inlineStr">
        <is>
          <t>quads</t>
        </is>
      </c>
      <c r="E45" t="n">
        <v>0.412934</v>
      </c>
      <c r="F45" t="n">
        <v>0.338138</v>
      </c>
      <c r="G45" t="n">
        <v>0.3482</v>
      </c>
      <c r="H45" t="n">
        <v>0.55</v>
      </c>
      <c r="I45" t="n">
        <v>0.55</v>
      </c>
      <c r="J45" t="n">
        <v>0.55</v>
      </c>
      <c r="K45" t="n">
        <v>0.55</v>
      </c>
      <c r="L45" t="n">
        <v>0.55</v>
      </c>
      <c r="M45" t="n">
        <v>0.55</v>
      </c>
      <c r="N45" t="n">
        <v>0.55</v>
      </c>
      <c r="O45" t="n">
        <v>0.55</v>
      </c>
      <c r="P45" t="n">
        <v>0.55</v>
      </c>
      <c r="Q45" t="n">
        <v>0.55</v>
      </c>
      <c r="R45" t="n">
        <v>0.55</v>
      </c>
      <c r="S45" t="n">
        <v>0.55</v>
      </c>
      <c r="T45" t="n">
        <v>0.55</v>
      </c>
      <c r="U45" t="n">
        <v>0.55</v>
      </c>
      <c r="V45" t="n">
        <v>0.55</v>
      </c>
      <c r="W45" t="n">
        <v>0.55</v>
      </c>
      <c r="X45" t="n">
        <v>0.55</v>
      </c>
      <c r="Y45" t="n">
        <v>0.55</v>
      </c>
      <c r="Z45" t="n">
        <v>0.55</v>
      </c>
      <c r="AA45" t="n">
        <v>0.55</v>
      </c>
      <c r="AB45" t="n">
        <v>0.55</v>
      </c>
      <c r="AC45" t="n">
        <v>0.55</v>
      </c>
      <c r="AD45" t="n">
        <v>0.55</v>
      </c>
      <c r="AE45" t="inlineStr">
        <is>
          <t>1.2%</t>
        </is>
      </c>
    </row>
    <row r="46">
      <c r="A46" t="inlineStr">
        <is>
          <t>Petroleum Coke</t>
        </is>
      </c>
      <c r="B46" t="inlineStr">
        <is>
          <t>Industrial: Energy Use: Excluding Refining: Petroleum Coke: Alternative Electricity and Transportation</t>
        </is>
      </c>
      <c r="C46" t="inlineStr">
        <is>
          <t>AEO.2026.ELECTRNP.CNSM_NA_IDAL_IDEI_PCK_NA_USA_QBTU.A</t>
        </is>
      </c>
      <c r="D46" t="inlineStr">
        <is>
          <t>quads</t>
        </is>
      </c>
      <c r="E46" t="n">
        <v>0.06916799999999999</v>
      </c>
      <c r="F46" t="n">
        <v>0.072853</v>
      </c>
      <c r="G46" t="n">
        <v>0.066769</v>
      </c>
      <c r="H46" t="n">
        <v>0.063541</v>
      </c>
      <c r="I46" t="n">
        <v>0.060999</v>
      </c>
      <c r="J46" t="n">
        <v>0.060531</v>
      </c>
      <c r="K46" t="n">
        <v>0.058099</v>
      </c>
      <c r="L46" t="n">
        <v>0.057272</v>
      </c>
      <c r="M46" t="n">
        <v>0.055752</v>
      </c>
      <c r="N46" t="n">
        <v>0.054785</v>
      </c>
      <c r="O46" t="n">
        <v>0.053535</v>
      </c>
      <c r="P46" t="n">
        <v>0.052467</v>
      </c>
      <c r="Q46" t="n">
        <v>0.051571</v>
      </c>
      <c r="R46" t="n">
        <v>0.050488</v>
      </c>
      <c r="S46" t="n">
        <v>0.049533</v>
      </c>
      <c r="T46" t="n">
        <v>0.04837</v>
      </c>
      <c r="U46" t="n">
        <v>0.046822</v>
      </c>
      <c r="V46" t="n">
        <v>0.04499</v>
      </c>
      <c r="W46" t="n">
        <v>0.043059</v>
      </c>
      <c r="X46" t="n">
        <v>0.041085</v>
      </c>
      <c r="Y46" t="n">
        <v>0.03938</v>
      </c>
      <c r="Z46" t="n">
        <v>0.038188</v>
      </c>
      <c r="AA46" t="n">
        <v>0.037047</v>
      </c>
      <c r="AB46" t="n">
        <v>0.035586</v>
      </c>
      <c r="AC46" t="n">
        <v>0.034285</v>
      </c>
      <c r="AD46" t="n">
        <v>0.033082</v>
      </c>
      <c r="AE46" t="inlineStr">
        <is>
          <t>-2.9%</t>
        </is>
      </c>
    </row>
    <row r="47">
      <c r="A47" t="inlineStr">
        <is>
          <t>Asphalt and Road Oil</t>
        </is>
      </c>
      <c r="B47" t="inlineStr">
        <is>
          <t>Industrial: Energy Use: Excluding Refining: Asphalt and Road Oil: Alternative Electricity and Transportation</t>
        </is>
      </c>
      <c r="C47" t="inlineStr">
        <is>
          <t>AEO.2026.ELECTRNP.CNSM_NA_IDAL_IDEI_ARO_NA_USA_QBTU.A</t>
        </is>
      </c>
      <c r="D47" t="inlineStr">
        <is>
          <t>quads</t>
        </is>
      </c>
      <c r="E47" t="n">
        <v>0.865515</v>
      </c>
      <c r="F47" t="n">
        <v>0.853366</v>
      </c>
      <c r="G47" t="n">
        <v>0.855181</v>
      </c>
      <c r="H47" t="n">
        <v>0.904765</v>
      </c>
      <c r="I47" t="n">
        <v>0.911755</v>
      </c>
      <c r="J47" t="n">
        <v>0.914112</v>
      </c>
      <c r="K47" t="n">
        <v>0.915526</v>
      </c>
      <c r="L47" t="n">
        <v>0.917858</v>
      </c>
      <c r="M47" t="n">
        <v>0.920938</v>
      </c>
      <c r="N47" t="n">
        <v>0.923486</v>
      </c>
      <c r="O47" t="n">
        <v>0.9242050000000001</v>
      </c>
      <c r="P47" t="n">
        <v>0.926433</v>
      </c>
      <c r="Q47" t="n">
        <v>0.930006</v>
      </c>
      <c r="R47" t="n">
        <v>0.933509</v>
      </c>
      <c r="S47" t="n">
        <v>0.937003</v>
      </c>
      <c r="T47" t="n">
        <v>0.940119</v>
      </c>
      <c r="U47" t="n">
        <v>0.942551</v>
      </c>
      <c r="V47" t="n">
        <v>0.944661</v>
      </c>
      <c r="W47" t="n">
        <v>0.945055</v>
      </c>
      <c r="X47" t="n">
        <v>0.950188</v>
      </c>
      <c r="Y47" t="n">
        <v>0.955967</v>
      </c>
      <c r="Z47" t="n">
        <v>0.9555670000000001</v>
      </c>
      <c r="AA47" t="n">
        <v>0.954441</v>
      </c>
      <c r="AB47" t="n">
        <v>0.954592</v>
      </c>
      <c r="AC47" t="n">
        <v>0.953116</v>
      </c>
      <c r="AD47" t="n">
        <v>0.9510960000000001</v>
      </c>
      <c r="AE47" t="inlineStr">
        <is>
          <t>0.4%</t>
        </is>
      </c>
    </row>
    <row r="48">
      <c r="A48" t="inlineStr">
        <is>
          <t>Miscellaneous Petroleum</t>
        </is>
      </c>
      <c r="B48" t="inlineStr">
        <is>
          <t>Industrial: Energy Use: Excluding Refining: Miscellaneous Petroleum: Alternative Electricity and Transportation</t>
        </is>
      </c>
      <c r="C48" t="inlineStr">
        <is>
          <t>AEO.2026.ELECTRNP.CNSM_NA_IDAL_IDEI_MPET_NA_USA_QBTU.A</t>
        </is>
      </c>
      <c r="D48" t="inlineStr">
        <is>
          <t>quads</t>
        </is>
      </c>
      <c r="E48" t="n">
        <v>0.340654</v>
      </c>
      <c r="F48" t="n">
        <v>0.344331</v>
      </c>
      <c r="G48" t="n">
        <v>0.345782</v>
      </c>
      <c r="H48" t="n">
        <v>0.349374</v>
      </c>
      <c r="I48" t="n">
        <v>0.351498</v>
      </c>
      <c r="J48" t="n">
        <v>0.355924</v>
      </c>
      <c r="K48" t="n">
        <v>0.361443</v>
      </c>
      <c r="L48" t="n">
        <v>0.366772</v>
      </c>
      <c r="M48" t="n">
        <v>0.372329</v>
      </c>
      <c r="N48" t="n">
        <v>0.377967</v>
      </c>
      <c r="O48" t="n">
        <v>0.38344</v>
      </c>
      <c r="P48" t="n">
        <v>0.389049</v>
      </c>
      <c r="Q48" t="n">
        <v>0.393875</v>
      </c>
      <c r="R48" t="n">
        <v>0.398451</v>
      </c>
      <c r="S48" t="n">
        <v>0.403648</v>
      </c>
      <c r="T48" t="n">
        <v>0.408696</v>
      </c>
      <c r="U48" t="n">
        <v>0.413683</v>
      </c>
      <c r="V48" t="n">
        <v>0.418685</v>
      </c>
      <c r="W48" t="n">
        <v>0.422557</v>
      </c>
      <c r="X48" t="n">
        <v>0.426616</v>
      </c>
      <c r="Y48" t="n">
        <v>0.431434</v>
      </c>
      <c r="Z48" t="n">
        <v>0.436588</v>
      </c>
      <c r="AA48" t="n">
        <v>0.441818</v>
      </c>
      <c r="AB48" t="n">
        <v>0.446466</v>
      </c>
      <c r="AC48" t="n">
        <v>0.450805</v>
      </c>
      <c r="AD48" t="n">
        <v>0.455622</v>
      </c>
      <c r="AE48" t="inlineStr">
        <is>
          <t>1.2%</t>
        </is>
      </c>
    </row>
    <row r="49">
      <c r="A49" t="inlineStr">
        <is>
          <t>Petroleum and Other Liquids Subtotal</t>
        </is>
      </c>
      <c r="B49" t="inlineStr">
        <is>
          <t>Industrial: Energy Use: Excluding Refining: Petroleum Subtotal: Alternative Electricity and Transportation</t>
        </is>
      </c>
      <c r="C49" t="inlineStr">
        <is>
          <t>AEO.2026.ELECTRNP.CNSM_NA_IDAL_IDEI_PET_NA_USA_QBTU.A</t>
        </is>
      </c>
      <c r="D49" t="inlineStr">
        <is>
          <t>quads</t>
        </is>
      </c>
      <c r="E49" t="n">
        <v>6.816361</v>
      </c>
      <c r="F49" t="n">
        <v>6.692151</v>
      </c>
      <c r="G49" t="n">
        <v>6.903146</v>
      </c>
      <c r="H49" t="n">
        <v>7.053113</v>
      </c>
      <c r="I49" t="n">
        <v>6.997997</v>
      </c>
      <c r="J49" t="n">
        <v>7.01868</v>
      </c>
      <c r="K49" t="n">
        <v>7.069158</v>
      </c>
      <c r="L49" t="n">
        <v>7.124786</v>
      </c>
      <c r="M49" t="n">
        <v>7.179313</v>
      </c>
      <c r="N49" t="n">
        <v>7.242289</v>
      </c>
      <c r="O49" t="n">
        <v>7.308474</v>
      </c>
      <c r="P49" t="n">
        <v>7.386142</v>
      </c>
      <c r="Q49" t="n">
        <v>7.453001</v>
      </c>
      <c r="R49" t="n">
        <v>7.519976</v>
      </c>
      <c r="S49" t="n">
        <v>7.618111</v>
      </c>
      <c r="T49" t="n">
        <v>7.705297</v>
      </c>
      <c r="U49" t="n">
        <v>7.796666</v>
      </c>
      <c r="V49" t="n">
        <v>7.900241</v>
      </c>
      <c r="W49" t="n">
        <v>7.993555</v>
      </c>
      <c r="X49" t="n">
        <v>8.092525</v>
      </c>
      <c r="Y49" t="n">
        <v>8.203592</v>
      </c>
      <c r="Z49" t="n">
        <v>8.311261</v>
      </c>
      <c r="AA49" t="n">
        <v>8.428164000000001</v>
      </c>
      <c r="AB49" t="n">
        <v>8.532202</v>
      </c>
      <c r="AC49" t="n">
        <v>8.608230000000001</v>
      </c>
      <c r="AD49" t="n">
        <v>8.708608999999999</v>
      </c>
      <c r="AE49" t="inlineStr">
        <is>
          <t>1.0%</t>
        </is>
      </c>
    </row>
    <row r="50">
      <c r="A50" t="inlineStr">
        <is>
          <t>Natural Gas Heat and Power</t>
        </is>
      </c>
      <c r="B50" t="inlineStr">
        <is>
          <t>Industrial: Energy Use: Excluding Refining: Natural Gas Heat and Power: Alternative Electricity and Transportation</t>
        </is>
      </c>
      <c r="C50" t="inlineStr">
        <is>
          <t>AEO.2026.ELECTRNP.CNSM_NA_IDAL_IDEI_NHP_NA_USA_QBTU.A</t>
        </is>
      </c>
      <c r="D50" t="inlineStr">
        <is>
          <t>quads</t>
        </is>
      </c>
      <c r="E50" t="n">
        <v>6.254089</v>
      </c>
      <c r="F50" t="n">
        <v>6.165445</v>
      </c>
      <c r="G50" t="n">
        <v>6.191799</v>
      </c>
      <c r="H50" t="n">
        <v>6.199468</v>
      </c>
      <c r="I50" t="n">
        <v>6.186009</v>
      </c>
      <c r="J50" t="n">
        <v>6.203806</v>
      </c>
      <c r="K50" t="n">
        <v>6.237382</v>
      </c>
      <c r="L50" t="n">
        <v>6.267235</v>
      </c>
      <c r="M50" t="n">
        <v>6.276794</v>
      </c>
      <c r="N50" t="n">
        <v>6.29187</v>
      </c>
      <c r="O50" t="n">
        <v>6.303739</v>
      </c>
      <c r="P50" t="n">
        <v>6.310087</v>
      </c>
      <c r="Q50" t="n">
        <v>6.305566</v>
      </c>
      <c r="R50" t="n">
        <v>6.309553</v>
      </c>
      <c r="S50" t="n">
        <v>6.329633</v>
      </c>
      <c r="T50" t="n">
        <v>6.358131</v>
      </c>
      <c r="U50" t="n">
        <v>6.396033</v>
      </c>
      <c r="V50" t="n">
        <v>6.4524</v>
      </c>
      <c r="W50" t="n">
        <v>6.506219</v>
      </c>
      <c r="X50" t="n">
        <v>6.564724</v>
      </c>
      <c r="Y50" t="n">
        <v>6.626627</v>
      </c>
      <c r="Z50" t="n">
        <v>6.68495</v>
      </c>
      <c r="AA50" t="n">
        <v>6.74468</v>
      </c>
      <c r="AB50" t="n">
        <v>6.797159</v>
      </c>
      <c r="AC50" t="n">
        <v>6.84499</v>
      </c>
      <c r="AD50" t="n">
        <v>6.903579</v>
      </c>
      <c r="AE50" t="inlineStr">
        <is>
          <t>0.4%</t>
        </is>
      </c>
    </row>
    <row r="51">
      <c r="A51" t="inlineStr">
        <is>
          <t>Natural Gas Feedstocks</t>
        </is>
      </c>
      <c r="B51" t="inlineStr">
        <is>
          <t>Industrial: Energy Use: Excluding Refining: Natural Gas Feedstocks: Alternative Electricity and Transportation</t>
        </is>
      </c>
      <c r="C51" t="inlineStr">
        <is>
          <t>AEO.2026.ELECTRNP.CNSM_NA_IDAL_IDEI_NGF_NA_USA_QBTU.A</t>
        </is>
      </c>
      <c r="D51" t="inlineStr">
        <is>
          <t>quads</t>
        </is>
      </c>
      <c r="E51" t="n">
        <v>0.302</v>
      </c>
      <c r="F51" t="n">
        <v>0.302</v>
      </c>
      <c r="G51" t="n">
        <v>0.289</v>
      </c>
      <c r="H51" t="n">
        <v>0.288993</v>
      </c>
      <c r="I51" t="n">
        <v>0.282343</v>
      </c>
      <c r="J51" t="n">
        <v>0.280323</v>
      </c>
      <c r="K51" t="n">
        <v>0.283853</v>
      </c>
      <c r="L51" t="n">
        <v>0.287406</v>
      </c>
      <c r="M51" t="n">
        <v>0.292304</v>
      </c>
      <c r="N51" t="n">
        <v>0.297761</v>
      </c>
      <c r="O51" t="n">
        <v>0.302278</v>
      </c>
      <c r="P51" t="n">
        <v>0.309406</v>
      </c>
      <c r="Q51" t="n">
        <v>0.312692</v>
      </c>
      <c r="R51" t="n">
        <v>0.316984</v>
      </c>
      <c r="S51" t="n">
        <v>0.325151</v>
      </c>
      <c r="T51" t="n">
        <v>0.331404</v>
      </c>
      <c r="U51" t="n">
        <v>0.338929</v>
      </c>
      <c r="V51" t="n">
        <v>0.346738</v>
      </c>
      <c r="W51" t="n">
        <v>0.355503</v>
      </c>
      <c r="X51" t="n">
        <v>0.364998</v>
      </c>
      <c r="Y51" t="n">
        <v>0.375146</v>
      </c>
      <c r="Z51" t="n">
        <v>0.384974</v>
      </c>
      <c r="AA51" t="n">
        <v>0.394715</v>
      </c>
      <c r="AB51" t="n">
        <v>0.403705</v>
      </c>
      <c r="AC51" t="n">
        <v>0.409926</v>
      </c>
      <c r="AD51" t="n">
        <v>0.418378</v>
      </c>
      <c r="AE51" t="inlineStr">
        <is>
          <t>1.3%</t>
        </is>
      </c>
    </row>
    <row r="52">
      <c r="A52" t="inlineStr">
        <is>
          <t>Lease and Plant Fuel</t>
        </is>
      </c>
      <c r="B52" t="inlineStr">
        <is>
          <t>Industrial: Energy Use: Excluding Refining: Lease and Plant Fuel: Alternative Electricity and Transportation</t>
        </is>
      </c>
      <c r="C52" t="inlineStr">
        <is>
          <t>AEO.2026.ELECTRNP.CNSM_NA_IDAL_IDEI_LSAPFL_NA_USA_QBTU.A</t>
        </is>
      </c>
      <c r="D52" t="inlineStr">
        <is>
          <t>quads</t>
        </is>
      </c>
      <c r="E52" t="n">
        <v>2.136239</v>
      </c>
      <c r="F52" t="n">
        <v>2.128485</v>
      </c>
      <c r="G52" t="n">
        <v>2.16034</v>
      </c>
      <c r="H52" t="n">
        <v>2.165232</v>
      </c>
      <c r="I52" t="n">
        <v>2.162156</v>
      </c>
      <c r="J52" t="n">
        <v>2.203182</v>
      </c>
      <c r="K52" t="n">
        <v>2.264353</v>
      </c>
      <c r="L52" t="n">
        <v>2.334959</v>
      </c>
      <c r="M52" t="n">
        <v>2.395234</v>
      </c>
      <c r="N52" t="n">
        <v>2.452581</v>
      </c>
      <c r="O52" t="n">
        <v>2.473735</v>
      </c>
      <c r="P52" t="n">
        <v>2.482664</v>
      </c>
      <c r="Q52" t="n">
        <v>2.492755</v>
      </c>
      <c r="R52" t="n">
        <v>2.506868</v>
      </c>
      <c r="S52" t="n">
        <v>2.524662</v>
      </c>
      <c r="T52" t="n">
        <v>2.567465</v>
      </c>
      <c r="U52" t="n">
        <v>2.601775</v>
      </c>
      <c r="V52" t="n">
        <v>2.630552</v>
      </c>
      <c r="W52" t="n">
        <v>2.644943</v>
      </c>
      <c r="X52" t="n">
        <v>2.647805</v>
      </c>
      <c r="Y52" t="n">
        <v>2.645955</v>
      </c>
      <c r="Z52" t="n">
        <v>2.656424</v>
      </c>
      <c r="AA52" t="n">
        <v>2.673549</v>
      </c>
      <c r="AB52" t="n">
        <v>2.689496</v>
      </c>
      <c r="AC52" t="n">
        <v>2.689622</v>
      </c>
      <c r="AD52" t="n">
        <v>2.684877</v>
      </c>
      <c r="AE52" t="inlineStr">
        <is>
          <t>0.9%</t>
        </is>
      </c>
    </row>
    <row r="53">
      <c r="A53" t="inlineStr">
        <is>
          <t>Natural Gas Subtotal</t>
        </is>
      </c>
      <c r="B53" t="inlineStr">
        <is>
          <t>Industrial: Energy Use: Excluding Refining: Natural Gas Subtotal: Alternative Electricity and Transportation</t>
        </is>
      </c>
      <c r="C53" t="inlineStr">
        <is>
          <t>AEO.2026.ELECTRNP.CNSM_NA_IDAL_IDEI_NGS_NA_USA_QBTU.A</t>
        </is>
      </c>
      <c r="D53" t="inlineStr">
        <is>
          <t>quads</t>
        </is>
      </c>
      <c r="E53" t="n">
        <v>8.692327000000001</v>
      </c>
      <c r="F53" t="n">
        <v>8.595929999999999</v>
      </c>
      <c r="G53" t="n">
        <v>8.641139000000001</v>
      </c>
      <c r="H53" t="n">
        <v>8.653693000000001</v>
      </c>
      <c r="I53" t="n">
        <v>8.630508000000001</v>
      </c>
      <c r="J53" t="n">
        <v>8.687310999999999</v>
      </c>
      <c r="K53" t="n">
        <v>8.785588000000001</v>
      </c>
      <c r="L53" t="n">
        <v>8.889601000000001</v>
      </c>
      <c r="M53" t="n">
        <v>8.964332000000001</v>
      </c>
      <c r="N53" t="n">
        <v>9.042211999999999</v>
      </c>
      <c r="O53" t="n">
        <v>9.079751999999999</v>
      </c>
      <c r="P53" t="n">
        <v>9.102157999999999</v>
      </c>
      <c r="Q53" t="n">
        <v>9.111012000000001</v>
      </c>
      <c r="R53" t="n">
        <v>9.133405</v>
      </c>
      <c r="S53" t="n">
        <v>9.179446</v>
      </c>
      <c r="T53" t="n">
        <v>9.257</v>
      </c>
      <c r="U53" t="n">
        <v>9.336738</v>
      </c>
      <c r="V53" t="n">
        <v>9.429689</v>
      </c>
      <c r="W53" t="n">
        <v>9.506665</v>
      </c>
      <c r="X53" t="n">
        <v>9.577527</v>
      </c>
      <c r="Y53" t="n">
        <v>9.647728000000001</v>
      </c>
      <c r="Z53" t="n">
        <v>9.726349000000001</v>
      </c>
      <c r="AA53" t="n">
        <v>9.812944</v>
      </c>
      <c r="AB53" t="n">
        <v>9.890359999999999</v>
      </c>
      <c r="AC53" t="n">
        <v>9.944538</v>
      </c>
      <c r="AD53" t="n">
        <v>10.006833</v>
      </c>
      <c r="AE53" t="inlineStr">
        <is>
          <t>0.6%</t>
        </is>
      </c>
    </row>
    <row r="54">
      <c r="A54" t="inlineStr">
        <is>
          <t>Hydrogen Consumed as Feedstocks</t>
        </is>
      </c>
      <c r="B54" t="inlineStr">
        <is>
          <t>Industrial: Energy Use: Excluding Refining: Hydrogen Feedstocks: Alternative Electricity and Transportation</t>
        </is>
      </c>
      <c r="C54" t="inlineStr">
        <is>
          <t>AEO.2026.ELECTRNP.CNSM_NA_IDAL_IDEI_H2FEEDSTK_NA_USA_QBTU.A</t>
        </is>
      </c>
      <c r="D54" t="inlineStr">
        <is>
          <t>quads</t>
        </is>
      </c>
      <c r="E54" t="n">
        <v>0.578958</v>
      </c>
      <c r="F54" t="n">
        <v>0.571518</v>
      </c>
      <c r="G54" t="n">
        <v>0.573192</v>
      </c>
      <c r="H54" t="n">
        <v>0.569591</v>
      </c>
      <c r="I54" t="n">
        <v>0.566626</v>
      </c>
      <c r="J54" t="n">
        <v>0.569752</v>
      </c>
      <c r="K54" t="n">
        <v>0.5743</v>
      </c>
      <c r="L54" t="n">
        <v>0.576082</v>
      </c>
      <c r="M54" t="n">
        <v>0.57897</v>
      </c>
      <c r="N54" t="n">
        <v>0.581996</v>
      </c>
      <c r="O54" t="n">
        <v>0.586367</v>
      </c>
      <c r="P54" t="n">
        <v>0.5921149999999999</v>
      </c>
      <c r="Q54" t="n">
        <v>0.597853</v>
      </c>
      <c r="R54" t="n">
        <v>0.603437</v>
      </c>
      <c r="S54" t="n">
        <v>0.609555</v>
      </c>
      <c r="T54" t="n">
        <v>0.616228</v>
      </c>
      <c r="U54" t="n">
        <v>0.623633</v>
      </c>
      <c r="V54" t="n">
        <v>0.631735</v>
      </c>
      <c r="W54" t="n">
        <v>0.638872</v>
      </c>
      <c r="X54" t="n">
        <v>0.645373</v>
      </c>
      <c r="Y54" t="n">
        <v>0.654443</v>
      </c>
      <c r="Z54" t="n">
        <v>0.663205</v>
      </c>
      <c r="AA54" t="n">
        <v>0.673062</v>
      </c>
      <c r="AB54" t="n">
        <v>0.6816410000000001</v>
      </c>
      <c r="AC54" t="n">
        <v>0.687922</v>
      </c>
      <c r="AD54" t="n">
        <v>0.696063</v>
      </c>
      <c r="AE54" t="inlineStr">
        <is>
          <t>0.7%</t>
        </is>
      </c>
    </row>
    <row r="55">
      <c r="A55" t="inlineStr">
        <is>
          <t>Metallurgical Coal and Coke</t>
        </is>
      </c>
      <c r="B55" t="inlineStr">
        <is>
          <t>Industrial: Energy Use: Excluding Refining: Metallurgical Coal and Coke: Alternative Electricity and Transportation</t>
        </is>
      </c>
      <c r="C55" t="inlineStr">
        <is>
          <t>AEO.2026.ELECTRNP.CNSM_NA_IDAL_IDEI_MCC_NA_USA_QBTU.A</t>
        </is>
      </c>
      <c r="D55" t="inlineStr">
        <is>
          <t>quads</t>
        </is>
      </c>
      <c r="E55" t="n">
        <v>0.387265</v>
      </c>
      <c r="F55" t="n">
        <v>0.402249</v>
      </c>
      <c r="G55" t="n">
        <v>0.420626</v>
      </c>
      <c r="H55" t="n">
        <v>0.405103</v>
      </c>
      <c r="I55" t="n">
        <v>0.394221</v>
      </c>
      <c r="J55" t="n">
        <v>0.388402</v>
      </c>
      <c r="K55" t="n">
        <v>0.380929</v>
      </c>
      <c r="L55" t="n">
        <v>0.375735</v>
      </c>
      <c r="M55" t="n">
        <v>0.369932</v>
      </c>
      <c r="N55" t="n">
        <v>0.360182</v>
      </c>
      <c r="O55" t="n">
        <v>0.352244</v>
      </c>
      <c r="P55" t="n">
        <v>0.342265</v>
      </c>
      <c r="Q55" t="n">
        <v>0.333511</v>
      </c>
      <c r="R55" t="n">
        <v>0.323925</v>
      </c>
      <c r="S55" t="n">
        <v>0.313946</v>
      </c>
      <c r="T55" t="n">
        <v>0.306124</v>
      </c>
      <c r="U55" t="n">
        <v>0.299091</v>
      </c>
      <c r="V55" t="n">
        <v>0.292269</v>
      </c>
      <c r="W55" t="n">
        <v>0.284813</v>
      </c>
      <c r="X55" t="n">
        <v>0.277462</v>
      </c>
      <c r="Y55" t="n">
        <v>0.272003</v>
      </c>
      <c r="Z55" t="n">
        <v>0.265519</v>
      </c>
      <c r="AA55" t="n">
        <v>0.25993</v>
      </c>
      <c r="AB55" t="n">
        <v>0.253888</v>
      </c>
      <c r="AC55" t="n">
        <v>0.246588</v>
      </c>
      <c r="AD55" t="n">
        <v>0.240534</v>
      </c>
      <c r="AE55" t="inlineStr">
        <is>
          <t>-1.9%</t>
        </is>
      </c>
    </row>
    <row r="56">
      <c r="A56" t="inlineStr">
        <is>
          <t>Other Industrial Coal</t>
        </is>
      </c>
      <c r="B56" t="inlineStr">
        <is>
          <t>Industrial: Energy Use: Excluding Refining: Other Industrial Coal: Alternative Electricity and Transportation</t>
        </is>
      </c>
      <c r="C56" t="inlineStr">
        <is>
          <t>AEO.2026.ELECTRNP.CNSM_NA_IDAL_IDEI_OIC_NA_USA_QBTU.A</t>
        </is>
      </c>
      <c r="D56" t="inlineStr">
        <is>
          <t>quads</t>
        </is>
      </c>
      <c r="E56" t="n">
        <v>0.275646</v>
      </c>
      <c r="F56" t="n">
        <v>0.243965</v>
      </c>
      <c r="G56" t="n">
        <v>0.243127</v>
      </c>
      <c r="H56" t="n">
        <v>0.239935</v>
      </c>
      <c r="I56" t="n">
        <v>0.236422</v>
      </c>
      <c r="J56" t="n">
        <v>0.233607</v>
      </c>
      <c r="K56" t="n">
        <v>0.22957</v>
      </c>
      <c r="L56" t="n">
        <v>0.230955</v>
      </c>
      <c r="M56" t="n">
        <v>0.231216</v>
      </c>
      <c r="N56" t="n">
        <v>0.2301</v>
      </c>
      <c r="O56" t="n">
        <v>0.228455</v>
      </c>
      <c r="P56" t="n">
        <v>0.225581</v>
      </c>
      <c r="Q56" t="n">
        <v>0.221894</v>
      </c>
      <c r="R56" t="n">
        <v>0.217635</v>
      </c>
      <c r="S56" t="n">
        <v>0.213126</v>
      </c>
      <c r="T56" t="n">
        <v>0.208722</v>
      </c>
      <c r="U56" t="n">
        <v>0.204464</v>
      </c>
      <c r="V56" t="n">
        <v>0.200041</v>
      </c>
      <c r="W56" t="n">
        <v>0.195529</v>
      </c>
      <c r="X56" t="n">
        <v>0.191148</v>
      </c>
      <c r="Y56" t="n">
        <v>0.187368</v>
      </c>
      <c r="Z56" t="n">
        <v>0.183829</v>
      </c>
      <c r="AA56" t="n">
        <v>0.180414</v>
      </c>
      <c r="AB56" t="n">
        <v>0.176951</v>
      </c>
      <c r="AC56" t="n">
        <v>0.173341</v>
      </c>
      <c r="AD56" t="n">
        <v>0.16995</v>
      </c>
      <c r="AE56" t="inlineStr">
        <is>
          <t>-1.9%</t>
        </is>
      </c>
    </row>
    <row r="57">
      <c r="A57" t="inlineStr">
        <is>
          <t>Coal Subtotal</t>
        </is>
      </c>
      <c r="B57" t="inlineStr">
        <is>
          <t>Industrial: Energy Use: Excluding Refining: Coal Subtotal: Alternative Electricity and Transportation</t>
        </is>
      </c>
      <c r="C57" t="inlineStr">
        <is>
          <t>AEO.2026.ELECTRNP.CNSM_NA_IDAL_IDEI_COS_NA_USA_QBTU.A</t>
        </is>
      </c>
      <c r="D57" t="inlineStr">
        <is>
          <t>quads</t>
        </is>
      </c>
      <c r="E57" t="n">
        <v>0.6629119999999999</v>
      </c>
      <c r="F57" t="n">
        <v>0.646214</v>
      </c>
      <c r="G57" t="n">
        <v>0.663753</v>
      </c>
      <c r="H57" t="n">
        <v>0.645037</v>
      </c>
      <c r="I57" t="n">
        <v>0.630644</v>
      </c>
      <c r="J57" t="n">
        <v>0.622008</v>
      </c>
      <c r="K57" t="n">
        <v>0.6105</v>
      </c>
      <c r="L57" t="n">
        <v>0.60669</v>
      </c>
      <c r="M57" t="n">
        <v>0.601148</v>
      </c>
      <c r="N57" t="n">
        <v>0.590283</v>
      </c>
      <c r="O57" t="n">
        <v>0.580699</v>
      </c>
      <c r="P57" t="n">
        <v>0.567847</v>
      </c>
      <c r="Q57" t="n">
        <v>0.555405</v>
      </c>
      <c r="R57" t="n">
        <v>0.54156</v>
      </c>
      <c r="S57" t="n">
        <v>0.527072</v>
      </c>
      <c r="T57" t="n">
        <v>0.514846</v>
      </c>
      <c r="U57" t="n">
        <v>0.503555</v>
      </c>
      <c r="V57" t="n">
        <v>0.49231</v>
      </c>
      <c r="W57" t="n">
        <v>0.480342</v>
      </c>
      <c r="X57" t="n">
        <v>0.46861</v>
      </c>
      <c r="Y57" t="n">
        <v>0.459371</v>
      </c>
      <c r="Z57" t="n">
        <v>0.449347</v>
      </c>
      <c r="AA57" t="n">
        <v>0.440344</v>
      </c>
      <c r="AB57" t="n">
        <v>0.430839</v>
      </c>
      <c r="AC57" t="n">
        <v>0.419929</v>
      </c>
      <c r="AD57" t="n">
        <v>0.410484</v>
      </c>
      <c r="AE57" t="inlineStr">
        <is>
          <t>-1.9%</t>
        </is>
      </c>
    </row>
    <row r="58">
      <c r="A58" t="inlineStr">
        <is>
          <t>Renewables</t>
        </is>
      </c>
      <c r="B58" t="inlineStr">
        <is>
          <t>Industrial: Energy Use: Excluding Refining: Renewables: Alternative Electricity and Transportation</t>
        </is>
      </c>
      <c r="C58" t="inlineStr">
        <is>
          <t>AEO.2026.ELECTRNP.CNSM_NA_IDAL_IDEI_REB_NA_USA_QBTU.A</t>
        </is>
      </c>
      <c r="D58" t="inlineStr">
        <is>
          <t>quads</t>
        </is>
      </c>
      <c r="E58" t="n">
        <v>1.497989</v>
      </c>
      <c r="F58" t="n">
        <v>1.6071</v>
      </c>
      <c r="G58" t="n">
        <v>1.568859</v>
      </c>
      <c r="H58" t="n">
        <v>1.550627</v>
      </c>
      <c r="I58" t="n">
        <v>1.543325</v>
      </c>
      <c r="J58" t="n">
        <v>1.514012</v>
      </c>
      <c r="K58" t="n">
        <v>1.479723</v>
      </c>
      <c r="L58" t="n">
        <v>1.458091</v>
      </c>
      <c r="M58" t="n">
        <v>1.446947</v>
      </c>
      <c r="N58" t="n">
        <v>1.448619</v>
      </c>
      <c r="O58" t="n">
        <v>1.452524</v>
      </c>
      <c r="P58" t="n">
        <v>1.463007</v>
      </c>
      <c r="Q58" t="n">
        <v>1.473162</v>
      </c>
      <c r="R58" t="n">
        <v>1.495779</v>
      </c>
      <c r="S58" t="n">
        <v>1.520454</v>
      </c>
      <c r="T58" t="n">
        <v>1.541369</v>
      </c>
      <c r="U58" t="n">
        <v>1.546718</v>
      </c>
      <c r="V58" t="n">
        <v>1.55775</v>
      </c>
      <c r="W58" t="n">
        <v>1.565254</v>
      </c>
      <c r="X58" t="n">
        <v>1.577919</v>
      </c>
      <c r="Y58" t="n">
        <v>1.602235</v>
      </c>
      <c r="Z58" t="n">
        <v>1.624774</v>
      </c>
      <c r="AA58" t="n">
        <v>1.650185</v>
      </c>
      <c r="AB58" t="n">
        <v>1.673621</v>
      </c>
      <c r="AC58" t="n">
        <v>1.702137</v>
      </c>
      <c r="AD58" t="n">
        <v>1.729226</v>
      </c>
      <c r="AE58" t="inlineStr">
        <is>
          <t>0.6%</t>
        </is>
      </c>
    </row>
    <row r="59">
      <c r="A59" t="inlineStr">
        <is>
          <t>Purchased Electricity</t>
        </is>
      </c>
      <c r="B59" t="inlineStr">
        <is>
          <t>Industrial: Energy Use: Excluding Refining: Purchased Electricity: Alternative Electricity and Transportation</t>
        </is>
      </c>
      <c r="C59" t="inlineStr">
        <is>
          <t>AEO.2026.ELECTRNP.CNSM_NA_IDAL_IDEI_PRC_NA_USA_QBTU.A</t>
        </is>
      </c>
      <c r="D59" t="inlineStr">
        <is>
          <t>quads</t>
        </is>
      </c>
      <c r="E59" t="n">
        <v>3.433135</v>
      </c>
      <c r="F59" t="n">
        <v>3.548085</v>
      </c>
      <c r="G59" t="n">
        <v>3.52721</v>
      </c>
      <c r="H59" t="n">
        <v>3.504411</v>
      </c>
      <c r="I59" t="n">
        <v>3.481147</v>
      </c>
      <c r="J59" t="n">
        <v>3.481034</v>
      </c>
      <c r="K59" t="n">
        <v>3.485816</v>
      </c>
      <c r="L59" t="n">
        <v>3.497935</v>
      </c>
      <c r="M59" t="n">
        <v>3.524119</v>
      </c>
      <c r="N59" t="n">
        <v>3.552263</v>
      </c>
      <c r="O59" t="n">
        <v>3.593289</v>
      </c>
      <c r="P59" t="n">
        <v>3.641934</v>
      </c>
      <c r="Q59" t="n">
        <v>3.700397</v>
      </c>
      <c r="R59" t="n">
        <v>3.756706</v>
      </c>
      <c r="S59" t="n">
        <v>3.81036</v>
      </c>
      <c r="T59" t="n">
        <v>3.858349</v>
      </c>
      <c r="U59" t="n">
        <v>3.898653</v>
      </c>
      <c r="V59" t="n">
        <v>3.929382</v>
      </c>
      <c r="W59" t="n">
        <v>3.948669</v>
      </c>
      <c r="X59" t="n">
        <v>3.966586</v>
      </c>
      <c r="Y59" t="n">
        <v>3.99961</v>
      </c>
      <c r="Z59" t="n">
        <v>4.035996</v>
      </c>
      <c r="AA59" t="n">
        <v>4.073911</v>
      </c>
      <c r="AB59" t="n">
        <v>4.106057</v>
      </c>
      <c r="AC59" t="n">
        <v>4.136119</v>
      </c>
      <c r="AD59" t="n">
        <v>4.165598</v>
      </c>
      <c r="AE59" t="inlineStr">
        <is>
          <t>0.8%</t>
        </is>
      </c>
    </row>
    <row r="60">
      <c r="A60" t="inlineStr">
        <is>
          <t>Delivered Energy</t>
        </is>
      </c>
      <c r="B60" t="inlineStr">
        <is>
          <t>Industrial: Energy Use: Excluding Refining: Delivered Energy: Alternative Electricity and Transportation</t>
        </is>
      </c>
      <c r="C60" t="inlineStr">
        <is>
          <t>AEO.2026.ELECTRNP.CNSM_NA_IDAL_IDEI_DELE_NA_USA_QBTU.A</t>
        </is>
      </c>
      <c r="D60" t="inlineStr">
        <is>
          <t>quads</t>
        </is>
      </c>
      <c r="E60" t="n">
        <v>21.681681</v>
      </c>
      <c r="F60" t="n">
        <v>21.660999</v>
      </c>
      <c r="G60" t="n">
        <v>21.8773</v>
      </c>
      <c r="H60" t="n">
        <v>21.976473</v>
      </c>
      <c r="I60" t="n">
        <v>21.850248</v>
      </c>
      <c r="J60" t="n">
        <v>21.892796</v>
      </c>
      <c r="K60" t="n">
        <v>22.005085</v>
      </c>
      <c r="L60" t="n">
        <v>22.153185</v>
      </c>
      <c r="M60" t="n">
        <v>22.294828</v>
      </c>
      <c r="N60" t="n">
        <v>22.457661</v>
      </c>
      <c r="O60" t="n">
        <v>22.601105</v>
      </c>
      <c r="P60" t="n">
        <v>22.753202</v>
      </c>
      <c r="Q60" t="n">
        <v>22.890831</v>
      </c>
      <c r="R60" t="n">
        <v>23.050863</v>
      </c>
      <c r="S60" t="n">
        <v>23.265001</v>
      </c>
      <c r="T60" t="n">
        <v>23.493088</v>
      </c>
      <c r="U60" t="n">
        <v>23.705963</v>
      </c>
      <c r="V60" t="n">
        <v>23.941105</v>
      </c>
      <c r="W60" t="n">
        <v>24.13336</v>
      </c>
      <c r="X60" t="n">
        <v>24.328539</v>
      </c>
      <c r="Y60" t="n">
        <v>24.566982</v>
      </c>
      <c r="Z60" t="n">
        <v>24.81093</v>
      </c>
      <c r="AA60" t="n">
        <v>25.078609</v>
      </c>
      <c r="AB60" t="n">
        <v>25.314718</v>
      </c>
      <c r="AC60" t="n">
        <v>25.498877</v>
      </c>
      <c r="AD60" t="n">
        <v>25.716814</v>
      </c>
      <c r="AE60" t="inlineStr">
        <is>
          <t>0.7%</t>
        </is>
      </c>
    </row>
    <row r="61">
      <c r="A61" t="inlineStr">
        <is>
          <t>Electricity-Related Losses</t>
        </is>
      </c>
      <c r="B61" t="inlineStr">
        <is>
          <t>Industrial: Energy Use: Excluding Refining: Electricity-Related Losses: Alternative Electricity and Transportation</t>
        </is>
      </c>
      <c r="C61" t="inlineStr">
        <is>
          <t>AEO.2026.ELECTRNP.CNSM_NA_IDAL_IDEI_ELECRELOS_NA_USA_QBTU.A</t>
        </is>
      </c>
      <c r="D61" t="inlineStr">
        <is>
          <t>quads</t>
        </is>
      </c>
      <c r="E61" t="n">
        <v>4.71732</v>
      </c>
      <c r="F61" t="n">
        <v>4.828405</v>
      </c>
      <c r="G61" t="n">
        <v>4.433475</v>
      </c>
      <c r="H61" t="n">
        <v>4.215569</v>
      </c>
      <c r="I61" t="n">
        <v>4.092884</v>
      </c>
      <c r="J61" t="n">
        <v>4.019797</v>
      </c>
      <c r="K61" t="n">
        <v>3.897061</v>
      </c>
      <c r="L61" t="n">
        <v>3.834351</v>
      </c>
      <c r="M61" t="n">
        <v>3.816578</v>
      </c>
      <c r="N61" t="n">
        <v>3.771861</v>
      </c>
      <c r="O61" t="n">
        <v>3.758565</v>
      </c>
      <c r="P61" t="n">
        <v>3.751005</v>
      </c>
      <c r="Q61" t="n">
        <v>3.773607</v>
      </c>
      <c r="R61" t="n">
        <v>3.802594</v>
      </c>
      <c r="S61" t="n">
        <v>3.82038</v>
      </c>
      <c r="T61" t="n">
        <v>3.822605</v>
      </c>
      <c r="U61" t="n">
        <v>3.8171</v>
      </c>
      <c r="V61" t="n">
        <v>3.820516</v>
      </c>
      <c r="W61" t="n">
        <v>3.81747</v>
      </c>
      <c r="X61" t="n">
        <v>3.81476</v>
      </c>
      <c r="Y61" t="n">
        <v>3.826989</v>
      </c>
      <c r="Z61" t="n">
        <v>3.843965</v>
      </c>
      <c r="AA61" t="n">
        <v>3.86611</v>
      </c>
      <c r="AB61" t="n">
        <v>3.881922</v>
      </c>
      <c r="AC61" t="n">
        <v>3.881508</v>
      </c>
      <c r="AD61" t="n">
        <v>3.892515</v>
      </c>
      <c r="AE61" t="inlineStr">
        <is>
          <t>-0.8%</t>
        </is>
      </c>
    </row>
    <row r="62">
      <c r="A62" t="inlineStr">
        <is>
          <t>Hydrogen-Related Losses</t>
        </is>
      </c>
      <c r="B62" t="inlineStr">
        <is>
          <t>Industrial: Energy Use: Excluding Refining: Hydrogen-Related Losses: Alternative Electricity and Transportation</t>
        </is>
      </c>
      <c r="C62" t="inlineStr">
        <is>
          <t>AEO.2026.ELECTRNP.CNSM_NA_IDAL_IDEI_H2RELLOS_NA_USA_QBTU.A</t>
        </is>
      </c>
      <c r="D62" t="inlineStr">
        <is>
          <t>quads</t>
        </is>
      </c>
      <c r="E62" t="n">
        <v>0.137171</v>
      </c>
      <c r="F62" t="n">
        <v>0.13466</v>
      </c>
      <c r="G62" t="n">
        <v>0.134124</v>
      </c>
      <c r="H62" t="n">
        <v>0.133065</v>
      </c>
      <c r="I62" t="n">
        <v>0.135163</v>
      </c>
      <c r="J62" t="n">
        <v>0.135742</v>
      </c>
      <c r="K62" t="n">
        <v>0.135853</v>
      </c>
      <c r="L62" t="n">
        <v>0.135959</v>
      </c>
      <c r="M62" t="n">
        <v>0.136409</v>
      </c>
      <c r="N62" t="n">
        <v>0.137619</v>
      </c>
      <c r="O62" t="n">
        <v>0.138336</v>
      </c>
      <c r="P62" t="n">
        <v>0.138975</v>
      </c>
      <c r="Q62" t="n">
        <v>0.13823</v>
      </c>
      <c r="R62" t="n">
        <v>0.138263</v>
      </c>
      <c r="S62" t="n">
        <v>0.139476</v>
      </c>
      <c r="T62" t="n">
        <v>0.140578</v>
      </c>
      <c r="U62" t="n">
        <v>0.140335</v>
      </c>
      <c r="V62" t="n">
        <v>0.141702</v>
      </c>
      <c r="W62" t="n">
        <v>0.143143</v>
      </c>
      <c r="X62" t="n">
        <v>0.145172</v>
      </c>
      <c r="Y62" t="n">
        <v>0.147374</v>
      </c>
      <c r="Z62" t="n">
        <v>0.149039</v>
      </c>
      <c r="AA62" t="n">
        <v>0.151056</v>
      </c>
      <c r="AB62" t="n">
        <v>0.152675</v>
      </c>
      <c r="AC62" t="n">
        <v>0.153882</v>
      </c>
      <c r="AD62" t="n">
        <v>0.15538</v>
      </c>
      <c r="AE62" t="inlineStr">
        <is>
          <t>0.5%</t>
        </is>
      </c>
    </row>
    <row r="63">
      <c r="A63" t="inlineStr">
        <is>
          <t>Total</t>
        </is>
      </c>
      <c r="B63" t="inlineStr">
        <is>
          <t>Industrial: Energy Use: Excluding Refining: Total: Alternative Electricity and Transportation</t>
        </is>
      </c>
      <c r="C63" t="inlineStr">
        <is>
          <t>AEO.2026.ELECTRNP.CNSM_NA_IDAL_IDEI_TOT_NA_USA_QBTU.A</t>
        </is>
      </c>
      <c r="D63" t="inlineStr">
        <is>
          <t>quads</t>
        </is>
      </c>
      <c r="E63" t="n">
        <v>26.536171</v>
      </c>
      <c r="F63" t="n">
        <v>26.624065</v>
      </c>
      <c r="G63" t="n">
        <v>26.444901</v>
      </c>
      <c r="H63" t="n">
        <v>26.325106</v>
      </c>
      <c r="I63" t="n">
        <v>26.078297</v>
      </c>
      <c r="J63" t="n">
        <v>26.048336</v>
      </c>
      <c r="K63" t="n">
        <v>26.037998</v>
      </c>
      <c r="L63" t="n">
        <v>26.123495</v>
      </c>
      <c r="M63" t="n">
        <v>26.247814</v>
      </c>
      <c r="N63" t="n">
        <v>26.367142</v>
      </c>
      <c r="O63" t="n">
        <v>26.498005</v>
      </c>
      <c r="P63" t="n">
        <v>26.643183</v>
      </c>
      <c r="Q63" t="n">
        <v>26.802668</v>
      </c>
      <c r="R63" t="n">
        <v>26.991722</v>
      </c>
      <c r="S63" t="n">
        <v>27.224857</v>
      </c>
      <c r="T63" t="n">
        <v>27.45627</v>
      </c>
      <c r="U63" t="n">
        <v>27.663399</v>
      </c>
      <c r="V63" t="n">
        <v>27.90332</v>
      </c>
      <c r="W63" t="n">
        <v>28.093973</v>
      </c>
      <c r="X63" t="n">
        <v>28.288471</v>
      </c>
      <c r="Y63" t="n">
        <v>28.541346</v>
      </c>
      <c r="Z63" t="n">
        <v>28.803934</v>
      </c>
      <c r="AA63" t="n">
        <v>29.095776</v>
      </c>
      <c r="AB63" t="n">
        <v>29.349316</v>
      </c>
      <c r="AC63" t="n">
        <v>29.534266</v>
      </c>
      <c r="AD63" t="n">
        <v>29.764709</v>
      </c>
      <c r="AE63" t="inlineStr">
        <is>
          <t>0.5%</t>
        </is>
      </c>
    </row>
    <row r="64">
      <c r="A64" t="inlineStr">
        <is>
          <t>Refining Consumption</t>
        </is>
      </c>
    </row>
    <row r="65">
      <c r="A65" t="inlineStr">
        <is>
          <t>Propane Heat and Power</t>
        </is>
      </c>
      <c r="B65" t="inlineStr">
        <is>
          <t>Industrial: Refining Use: Propane Heat and Power: Alternative Electricity and Transportation</t>
        </is>
      </c>
      <c r="C65" t="inlineStr">
        <is>
          <t>AEO.2026.ELECTRNP.CNSM_NA_IDAL_REFU_LPGHP_NA_USA_QBTU.A</t>
        </is>
      </c>
      <c r="D65" t="inlineStr">
        <is>
          <t>quads</t>
        </is>
      </c>
      <c r="E65" t="n">
        <v>0.008088</v>
      </c>
      <c r="F65" t="n">
        <v>0.008088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inlineStr">
        <is>
          <t>-100.0%</t>
        </is>
      </c>
    </row>
    <row r="66">
      <c r="A66" t="inlineStr">
        <is>
          <t>Distillate Fuel Oil</t>
        </is>
      </c>
      <c r="B66" t="inlineStr">
        <is>
          <t>Industrial: Refining Use: Distillate Fuel Oil: Alternative Electricity and Transportation</t>
        </is>
      </c>
      <c r="C66" t="inlineStr">
        <is>
          <t>AEO.2026.ELECTRNP.CNSM_NA_IDAL_REFU_DFO_NA_USA_QBTU.A</t>
        </is>
      </c>
      <c r="D66" t="inlineStr">
        <is>
          <t>quads</t>
        </is>
      </c>
      <c r="E66" t="n">
        <v>0.001357</v>
      </c>
      <c r="F66" t="n">
        <v>0.001357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inlineStr">
        <is>
          <t>-100.0%</t>
        </is>
      </c>
    </row>
    <row r="67">
      <c r="A67" t="inlineStr">
        <is>
          <t>Residual Fuel Oil</t>
        </is>
      </c>
      <c r="B67" t="inlineStr">
        <is>
          <t>Industrial: Refining Use: Residual Fuel Oil: Alternative Electricity and Transportation</t>
        </is>
      </c>
      <c r="C67" t="inlineStr">
        <is>
          <t>AEO.2026.ELECTRNP.CNSM_NA_IDAL_REFU_RFO_NA_USA_QBTU.A</t>
        </is>
      </c>
      <c r="D67" t="inlineStr">
        <is>
          <t>quads</t>
        </is>
      </c>
      <c r="E67" t="n">
        <v>0.000768</v>
      </c>
      <c r="F67" t="n">
        <v>0.000768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inlineStr">
        <is>
          <t>-100.0%</t>
        </is>
      </c>
    </row>
    <row r="68">
      <c r="A68" t="inlineStr">
        <is>
          <t>Petroleum Coke</t>
        </is>
      </c>
      <c r="B68" t="inlineStr">
        <is>
          <t>Industrial: Refining Use: Petroleum Coke: Alternative Electricity and Transportation</t>
        </is>
      </c>
      <c r="C68" t="inlineStr">
        <is>
          <t>AEO.2026.ELECTRNP.CNSM_NA_IDAL_REFU_PCK_NA_USA_QBTU.A</t>
        </is>
      </c>
      <c r="D68" t="inlineStr">
        <is>
          <t>quads</t>
        </is>
      </c>
      <c r="E68" t="n">
        <v>0.45</v>
      </c>
      <c r="F68" t="n">
        <v>0.466</v>
      </c>
      <c r="G68" t="n">
        <v>0.465202</v>
      </c>
      <c r="H68" t="n">
        <v>0.496413</v>
      </c>
      <c r="I68" t="n">
        <v>0.497066</v>
      </c>
      <c r="J68" t="n">
        <v>0.498035</v>
      </c>
      <c r="K68" t="n">
        <v>0.492579</v>
      </c>
      <c r="L68" t="n">
        <v>0.492375</v>
      </c>
      <c r="M68" t="n">
        <v>0.491355</v>
      </c>
      <c r="N68" t="n">
        <v>0.494013</v>
      </c>
      <c r="O68" t="n">
        <v>0.492587</v>
      </c>
      <c r="P68" t="n">
        <v>0.491021</v>
      </c>
      <c r="Q68" t="n">
        <v>0.490752</v>
      </c>
      <c r="R68" t="n">
        <v>0.48965</v>
      </c>
      <c r="S68" t="n">
        <v>0.487738</v>
      </c>
      <c r="T68" t="n">
        <v>0.490349</v>
      </c>
      <c r="U68" t="n">
        <v>0.49068</v>
      </c>
      <c r="V68" t="n">
        <v>0.491955</v>
      </c>
      <c r="W68" t="n">
        <v>0.492368</v>
      </c>
      <c r="X68" t="n">
        <v>0.491724</v>
      </c>
      <c r="Y68" t="n">
        <v>0.494013</v>
      </c>
      <c r="Z68" t="n">
        <v>0.490063</v>
      </c>
      <c r="AA68" t="n">
        <v>0.484299</v>
      </c>
      <c r="AB68" t="n">
        <v>0.484129</v>
      </c>
      <c r="AC68" t="n">
        <v>0.484812</v>
      </c>
      <c r="AD68" t="n">
        <v>0.484881</v>
      </c>
      <c r="AE68" t="inlineStr">
        <is>
          <t>0.3%</t>
        </is>
      </c>
    </row>
    <row r="69">
      <c r="A69" t="inlineStr">
        <is>
          <t>Still Gas</t>
        </is>
      </c>
      <c r="B69" t="inlineStr">
        <is>
          <t>Industrial: Refining Use: Still Gas: Alternative Electricity and Transportation</t>
        </is>
      </c>
      <c r="C69" t="inlineStr">
        <is>
          <t>AEO.2026.ELECTRNP.CNSM_NA_IDAL_REFU_SLG_NA_USA_QBTU.A</t>
        </is>
      </c>
      <c r="D69" t="inlineStr">
        <is>
          <t>quads</t>
        </is>
      </c>
      <c r="E69" t="n">
        <v>1.342787</v>
      </c>
      <c r="F69" t="n">
        <v>1.342787</v>
      </c>
      <c r="G69" t="n">
        <v>1.324129</v>
      </c>
      <c r="H69" t="n">
        <v>1.342398</v>
      </c>
      <c r="I69" t="n">
        <v>1.352354</v>
      </c>
      <c r="J69" t="n">
        <v>1.376874</v>
      </c>
      <c r="K69" t="n">
        <v>1.367112</v>
      </c>
      <c r="L69" t="n">
        <v>1.38999</v>
      </c>
      <c r="M69" t="n">
        <v>1.386209</v>
      </c>
      <c r="N69" t="n">
        <v>1.393017</v>
      </c>
      <c r="O69" t="n">
        <v>1.394128</v>
      </c>
      <c r="P69" t="n">
        <v>1.398946</v>
      </c>
      <c r="Q69" t="n">
        <v>1.406259</v>
      </c>
      <c r="R69" t="n">
        <v>1.404507</v>
      </c>
      <c r="S69" t="n">
        <v>1.402217</v>
      </c>
      <c r="T69" t="n">
        <v>1.416699</v>
      </c>
      <c r="U69" t="n">
        <v>1.417767</v>
      </c>
      <c r="V69" t="n">
        <v>1.418974</v>
      </c>
      <c r="W69" t="n">
        <v>1.428242</v>
      </c>
      <c r="X69" t="n">
        <v>1.42178</v>
      </c>
      <c r="Y69" t="n">
        <v>1.41749</v>
      </c>
      <c r="Z69" t="n">
        <v>1.401137</v>
      </c>
      <c r="AA69" t="n">
        <v>1.427122</v>
      </c>
      <c r="AB69" t="n">
        <v>1.408149</v>
      </c>
      <c r="AC69" t="n">
        <v>1.41645</v>
      </c>
      <c r="AD69" t="n">
        <v>1.403795</v>
      </c>
      <c r="AE69" t="inlineStr">
        <is>
          <t>0.2%</t>
        </is>
      </c>
    </row>
    <row r="70">
      <c r="A70" t="inlineStr">
        <is>
          <t>Petroleum and Other Liquids Subtotal</t>
        </is>
      </c>
      <c r="B70" t="inlineStr">
        <is>
          <t>Industrial: Refining Use: Petroleum Subtotal: Alternative Electricity and Transportation</t>
        </is>
      </c>
      <c r="C70" t="inlineStr">
        <is>
          <t>AEO.2026.ELECTRNP.CNSM_NA_IDAL_REFU_PET_NA_USA_QBTU.A</t>
        </is>
      </c>
      <c r="D70" t="inlineStr">
        <is>
          <t>quads</t>
        </is>
      </c>
      <c r="E70" t="n">
        <v>1.807547</v>
      </c>
      <c r="F70" t="n">
        <v>1.823547</v>
      </c>
      <c r="G70" t="n">
        <v>1.79252</v>
      </c>
      <c r="H70" t="n">
        <v>1.841968</v>
      </c>
      <c r="I70" t="n">
        <v>1.855495</v>
      </c>
      <c r="J70" t="n">
        <v>1.877854</v>
      </c>
      <c r="K70" t="n">
        <v>1.863952</v>
      </c>
      <c r="L70" t="n">
        <v>1.88535</v>
      </c>
      <c r="M70" t="n">
        <v>1.894413</v>
      </c>
      <c r="N70" t="n">
        <v>1.902921</v>
      </c>
      <c r="O70" t="n">
        <v>1.903011</v>
      </c>
      <c r="P70" t="n">
        <v>1.906512</v>
      </c>
      <c r="Q70" t="n">
        <v>1.919376</v>
      </c>
      <c r="R70" t="n">
        <v>1.919132</v>
      </c>
      <c r="S70" t="n">
        <v>1.918787</v>
      </c>
      <c r="T70" t="n">
        <v>1.930978</v>
      </c>
      <c r="U70" t="n">
        <v>1.935761</v>
      </c>
      <c r="V70" t="n">
        <v>1.939191</v>
      </c>
      <c r="W70" t="n">
        <v>1.946029</v>
      </c>
      <c r="X70" t="n">
        <v>1.941589</v>
      </c>
      <c r="Y70" t="n">
        <v>1.939232</v>
      </c>
      <c r="Z70" t="n">
        <v>1.920561</v>
      </c>
      <c r="AA70" t="n">
        <v>1.93841</v>
      </c>
      <c r="AB70" t="n">
        <v>1.924972</v>
      </c>
      <c r="AC70" t="n">
        <v>1.933335</v>
      </c>
      <c r="AD70" t="n">
        <v>1.917952</v>
      </c>
      <c r="AE70" t="inlineStr">
        <is>
          <t>0.2%</t>
        </is>
      </c>
    </row>
    <row r="71">
      <c r="A71" t="inlineStr">
        <is>
          <t>Natural Gas Heat and Power</t>
        </is>
      </c>
      <c r="B71" t="inlineStr">
        <is>
          <t>Industrial: Refining Use: Natural Gas Heat and Power: Alternative Electricity and Transportation</t>
        </is>
      </c>
      <c r="C71" t="inlineStr">
        <is>
          <t>AEO.2026.ELECTRNP.CNSM_NA_IDAL_REFU_NHP_NA_USA_QBTU.A</t>
        </is>
      </c>
      <c r="D71" t="inlineStr">
        <is>
          <t>quads</t>
        </is>
      </c>
      <c r="E71" t="n">
        <v>1.334234</v>
      </c>
      <c r="F71" t="n">
        <v>1.334234</v>
      </c>
      <c r="G71" t="n">
        <v>1.210208</v>
      </c>
      <c r="H71" t="n">
        <v>1.206031</v>
      </c>
      <c r="I71" t="n">
        <v>1.217694</v>
      </c>
      <c r="J71" t="n">
        <v>1.20511</v>
      </c>
      <c r="K71" t="n">
        <v>1.209845</v>
      </c>
      <c r="L71" t="n">
        <v>1.206034</v>
      </c>
      <c r="M71" t="n">
        <v>1.195081</v>
      </c>
      <c r="N71" t="n">
        <v>1.199233</v>
      </c>
      <c r="O71" t="n">
        <v>1.207638</v>
      </c>
      <c r="P71" t="n">
        <v>1.208382</v>
      </c>
      <c r="Q71" t="n">
        <v>1.204121</v>
      </c>
      <c r="R71" t="n">
        <v>1.209715</v>
      </c>
      <c r="S71" t="n">
        <v>1.202374</v>
      </c>
      <c r="T71" t="n">
        <v>1.209712</v>
      </c>
      <c r="U71" t="n">
        <v>1.210922</v>
      </c>
      <c r="V71" t="n">
        <v>1.221255</v>
      </c>
      <c r="W71" t="n">
        <v>1.237747</v>
      </c>
      <c r="X71" t="n">
        <v>1.242556</v>
      </c>
      <c r="Y71" t="n">
        <v>1.252679</v>
      </c>
      <c r="Z71" t="n">
        <v>1.254277</v>
      </c>
      <c r="AA71" t="n">
        <v>1.270511</v>
      </c>
      <c r="AB71" t="n">
        <v>1.276778</v>
      </c>
      <c r="AC71" t="n">
        <v>1.276947</v>
      </c>
      <c r="AD71" t="n">
        <v>1.293845</v>
      </c>
      <c r="AE71" t="inlineStr">
        <is>
          <t>-0.1%</t>
        </is>
      </c>
    </row>
    <row r="72">
      <c r="A72" t="inlineStr">
        <is>
          <t>Hydrogen Consumed as Feedstocks</t>
        </is>
      </c>
      <c r="B72" t="inlineStr">
        <is>
          <t>Industrial: Refining Use: Hydrogen Feedstocks: Alternative Electricity and Transportation</t>
        </is>
      </c>
      <c r="C72" t="inlineStr">
        <is>
          <t>AEO.2026.ELECTRNP.CNSM_NA_IDAL_REFU_H2FEEDSTK_NA_USA_QBTU.A</t>
        </is>
      </c>
      <c r="D72" t="inlineStr">
        <is>
          <t>quads</t>
        </is>
      </c>
      <c r="E72" t="n">
        <v>0.496198</v>
      </c>
      <c r="F72" t="n">
        <v>0.449231</v>
      </c>
      <c r="G72" t="n">
        <v>0.445402</v>
      </c>
      <c r="H72" t="n">
        <v>0.450369</v>
      </c>
      <c r="I72" t="n">
        <v>0.463343</v>
      </c>
      <c r="J72" t="n">
        <v>0.458</v>
      </c>
      <c r="K72" t="n">
        <v>0.441687</v>
      </c>
      <c r="L72" t="n">
        <v>0.437217</v>
      </c>
      <c r="M72" t="n">
        <v>0.439261</v>
      </c>
      <c r="N72" t="n">
        <v>0.457252</v>
      </c>
      <c r="O72" t="n">
        <v>0.462831</v>
      </c>
      <c r="P72" t="n">
        <v>0.459901</v>
      </c>
      <c r="Q72" t="n">
        <v>0.473037</v>
      </c>
      <c r="R72" t="n">
        <v>0.477263</v>
      </c>
      <c r="S72" t="n">
        <v>0.479154</v>
      </c>
      <c r="T72" t="n">
        <v>0.47378</v>
      </c>
      <c r="U72" t="n">
        <v>0.473119</v>
      </c>
      <c r="V72" t="n">
        <v>0.469937</v>
      </c>
      <c r="W72" t="n">
        <v>0.473021</v>
      </c>
      <c r="X72" t="n">
        <v>0.488825</v>
      </c>
      <c r="Y72" t="n">
        <v>0.494839</v>
      </c>
      <c r="Z72" t="n">
        <v>0.494057</v>
      </c>
      <c r="AA72" t="n">
        <v>0.495833</v>
      </c>
      <c r="AB72" t="n">
        <v>0.494878</v>
      </c>
      <c r="AC72" t="n">
        <v>0.494497</v>
      </c>
      <c r="AD72" t="n">
        <v>0.493198</v>
      </c>
      <c r="AE72" t="inlineStr">
        <is>
          <t>-0.0%</t>
        </is>
      </c>
    </row>
    <row r="73">
      <c r="A73" t="inlineStr">
        <is>
          <t>Steam Coal</t>
        </is>
      </c>
      <c r="B73" t="inlineStr">
        <is>
          <t>Industrial: Refining Use: Other Industrial Coal: Alternative Electricity and Transportation</t>
        </is>
      </c>
      <c r="C73" t="inlineStr">
        <is>
          <t>AEO.2026.ELECTRNP.CNSM_NA_IDAL_REFU_OIC_NA_USA_QBTU.A</t>
        </is>
      </c>
      <c r="D73" t="inlineStr">
        <is>
          <t>quads</t>
        </is>
      </c>
      <c r="E73" t="n">
        <v>0.124711</v>
      </c>
      <c r="F73" t="n">
        <v>0.124711</v>
      </c>
      <c r="G73" t="n">
        <v>0.124711</v>
      </c>
      <c r="H73" t="n">
        <v>0.124711</v>
      </c>
      <c r="I73" t="n">
        <v>0.124711</v>
      </c>
      <c r="J73" t="n">
        <v>0.124711</v>
      </c>
      <c r="K73" t="n">
        <v>0.124711</v>
      </c>
      <c r="L73" t="n">
        <v>0.124711</v>
      </c>
      <c r="M73" t="n">
        <v>0.124711</v>
      </c>
      <c r="N73" t="n">
        <v>0.124711</v>
      </c>
      <c r="O73" t="n">
        <v>0.124711</v>
      </c>
      <c r="P73" t="n">
        <v>0.124711</v>
      </c>
      <c r="Q73" t="n">
        <v>0.124711</v>
      </c>
      <c r="R73" t="n">
        <v>0.124711</v>
      </c>
      <c r="S73" t="n">
        <v>0.124711</v>
      </c>
      <c r="T73" t="n">
        <v>0.124711</v>
      </c>
      <c r="U73" t="n">
        <v>0.124711</v>
      </c>
      <c r="V73" t="n">
        <v>0.124711</v>
      </c>
      <c r="W73" t="n">
        <v>0.124711</v>
      </c>
      <c r="X73" t="n">
        <v>0.124711</v>
      </c>
      <c r="Y73" t="n">
        <v>0.124711</v>
      </c>
      <c r="Z73" t="n">
        <v>0.124711</v>
      </c>
      <c r="AA73" t="n">
        <v>0.124711</v>
      </c>
      <c r="AB73" t="n">
        <v>0.124711</v>
      </c>
      <c r="AC73" t="n">
        <v>0.124711</v>
      </c>
      <c r="AD73" t="n">
        <v>0.124711</v>
      </c>
      <c r="AE73" t="inlineStr">
        <is>
          <t>0.0%</t>
        </is>
      </c>
    </row>
    <row r="74">
      <c r="A74" t="inlineStr">
        <is>
          <t>Biofuels Heat and Coproducts</t>
        </is>
      </c>
      <c r="B74" t="inlineStr">
        <is>
          <t>Industrial: Refining Use: Biofuels Heat and Coproducts: Alternative Electricity and Transportation</t>
        </is>
      </c>
      <c r="C74" t="inlineStr">
        <is>
          <t>AEO.2026.ELECTRNP.CNSM_NA_IDAL_REFU_BFH_NA_USA_QBTU.A</t>
        </is>
      </c>
      <c r="D74" t="inlineStr">
        <is>
          <t>quads</t>
        </is>
      </c>
      <c r="E74" t="n">
        <v>0.908917</v>
      </c>
      <c r="F74" t="n">
        <v>0.924606</v>
      </c>
      <c r="G74" t="n">
        <v>0.937098</v>
      </c>
      <c r="H74" t="n">
        <v>0.941686</v>
      </c>
      <c r="I74" t="n">
        <v>0.9385599999999999</v>
      </c>
      <c r="J74" t="n">
        <v>0.940195</v>
      </c>
      <c r="K74" t="n">
        <v>0.9370849999999999</v>
      </c>
      <c r="L74" t="n">
        <v>0.935959</v>
      </c>
      <c r="M74" t="n">
        <v>0.9345909999999999</v>
      </c>
      <c r="N74" t="n">
        <v>0.936723</v>
      </c>
      <c r="O74" t="n">
        <v>0.93835</v>
      </c>
      <c r="P74" t="n">
        <v>0.944568</v>
      </c>
      <c r="Q74" t="n">
        <v>0.944168</v>
      </c>
      <c r="R74" t="n">
        <v>0.944952</v>
      </c>
      <c r="S74" t="n">
        <v>0.945946</v>
      </c>
      <c r="T74" t="n">
        <v>0.948555</v>
      </c>
      <c r="U74" t="n">
        <v>0.951308</v>
      </c>
      <c r="V74" t="n">
        <v>0.961144</v>
      </c>
      <c r="W74" t="n">
        <v>0.965054</v>
      </c>
      <c r="X74" t="n">
        <v>0.9677210000000001</v>
      </c>
      <c r="Y74" t="n">
        <v>0.968533</v>
      </c>
      <c r="Z74" t="n">
        <v>0.968565</v>
      </c>
      <c r="AA74" t="n">
        <v>0.972857</v>
      </c>
      <c r="AB74" t="n">
        <v>0.978918</v>
      </c>
      <c r="AC74" t="n">
        <v>0.981626</v>
      </c>
      <c r="AD74" t="n">
        <v>0.986055</v>
      </c>
      <c r="AE74" t="inlineStr">
        <is>
          <t>0.3%</t>
        </is>
      </c>
    </row>
    <row r="75">
      <c r="A75" t="inlineStr">
        <is>
          <t>Purchased Electricity</t>
        </is>
      </c>
      <c r="B75" t="inlineStr">
        <is>
          <t>Industrial: Refining Use: Purchased Electricity: Alternative Electricity and Transportation</t>
        </is>
      </c>
      <c r="C75" t="inlineStr">
        <is>
          <t>AEO.2026.ELECTRNP.CNSM_NA_IDAL_REFU_PRC_NA_USA_QBTU.A</t>
        </is>
      </c>
      <c r="D75" t="inlineStr">
        <is>
          <t>quads</t>
        </is>
      </c>
      <c r="E75" t="n">
        <v>0.180331</v>
      </c>
      <c r="F75" t="n">
        <v>0.180331</v>
      </c>
      <c r="G75" t="n">
        <v>0.165738</v>
      </c>
      <c r="H75" t="n">
        <v>0.169059</v>
      </c>
      <c r="I75" t="n">
        <v>0.171965</v>
      </c>
      <c r="J75" t="n">
        <v>0.175009</v>
      </c>
      <c r="K75" t="n">
        <v>0.172728</v>
      </c>
      <c r="L75" t="n">
        <v>0.173597</v>
      </c>
      <c r="M75" t="n">
        <v>0.173287</v>
      </c>
      <c r="N75" t="n">
        <v>0.17603</v>
      </c>
      <c r="O75" t="n">
        <v>0.177175</v>
      </c>
      <c r="P75" t="n">
        <v>0.177798</v>
      </c>
      <c r="Q75" t="n">
        <v>0.180129</v>
      </c>
      <c r="R75" t="n">
        <v>0.18127</v>
      </c>
      <c r="S75" t="n">
        <v>0.181501</v>
      </c>
      <c r="T75" t="n">
        <v>0.182221</v>
      </c>
      <c r="U75" t="n">
        <v>0.183318</v>
      </c>
      <c r="V75" t="n">
        <v>0.184765</v>
      </c>
      <c r="W75" t="n">
        <v>0.186448</v>
      </c>
      <c r="X75" t="n">
        <v>0.18817</v>
      </c>
      <c r="Y75" t="n">
        <v>0.189092</v>
      </c>
      <c r="Z75" t="n">
        <v>0.187366</v>
      </c>
      <c r="AA75" t="n">
        <v>0.186407</v>
      </c>
      <c r="AB75" t="n">
        <v>0.19032</v>
      </c>
      <c r="AC75" t="n">
        <v>0.190809</v>
      </c>
      <c r="AD75" t="n">
        <v>0.190757</v>
      </c>
      <c r="AE75" t="inlineStr">
        <is>
          <t>0.2%</t>
        </is>
      </c>
    </row>
    <row r="76">
      <c r="A76" t="inlineStr">
        <is>
          <t>Delivered Energy</t>
        </is>
      </c>
      <c r="B76" t="inlineStr">
        <is>
          <t>Industrial: Refining Use: Delivered Energy: Alternative Electricity and Transportation</t>
        </is>
      </c>
      <c r="C76" t="inlineStr">
        <is>
          <t>AEO.2026.ELECTRNP.CNSM_NA_IDAL_REFU_DELE_NA_USA_QBTU.A</t>
        </is>
      </c>
      <c r="D76" t="inlineStr">
        <is>
          <t>quads</t>
        </is>
      </c>
      <c r="E76" t="n">
        <v>4.851938</v>
      </c>
      <c r="F76" t="n">
        <v>4.83666</v>
      </c>
      <c r="G76" t="n">
        <v>4.675678</v>
      </c>
      <c r="H76" t="n">
        <v>4.733823</v>
      </c>
      <c r="I76" t="n">
        <v>4.771769</v>
      </c>
      <c r="J76" t="n">
        <v>4.780879</v>
      </c>
      <c r="K76" t="n">
        <v>4.750009</v>
      </c>
      <c r="L76" t="n">
        <v>4.762869</v>
      </c>
      <c r="M76" t="n">
        <v>4.761345</v>
      </c>
      <c r="N76" t="n">
        <v>4.796871</v>
      </c>
      <c r="O76" t="n">
        <v>4.813716</v>
      </c>
      <c r="P76" t="n">
        <v>4.821873</v>
      </c>
      <c r="Q76" t="n">
        <v>4.845542</v>
      </c>
      <c r="R76" t="n">
        <v>4.857043</v>
      </c>
      <c r="S76" t="n">
        <v>4.852474</v>
      </c>
      <c r="T76" t="n">
        <v>4.869958</v>
      </c>
      <c r="U76" t="n">
        <v>4.879139</v>
      </c>
      <c r="V76" t="n">
        <v>4.901003</v>
      </c>
      <c r="W76" t="n">
        <v>4.933009</v>
      </c>
      <c r="X76" t="n">
        <v>4.953572</v>
      </c>
      <c r="Y76" t="n">
        <v>4.969085</v>
      </c>
      <c r="Z76" t="n">
        <v>4.949537</v>
      </c>
      <c r="AA76" t="n">
        <v>4.98873</v>
      </c>
      <c r="AB76" t="n">
        <v>4.990577</v>
      </c>
      <c r="AC76" t="n">
        <v>5.001925</v>
      </c>
      <c r="AD76" t="n">
        <v>5.006517</v>
      </c>
      <c r="AE76" t="inlineStr">
        <is>
          <t>0.1%</t>
        </is>
      </c>
    </row>
    <row r="77">
      <c r="A77" t="inlineStr">
        <is>
          <t>Electricity-Related Losses</t>
        </is>
      </c>
      <c r="B77" t="inlineStr">
        <is>
          <t>Industrial: Refining Use: Electricity-Related Losses: Alternative Electricity and Transportation</t>
        </is>
      </c>
      <c r="C77" t="inlineStr">
        <is>
          <t>AEO.2026.ELECTRNP.CNSM_NA_IDAL_REFU_ELECRELOS_NA_USA_QBTU.A</t>
        </is>
      </c>
      <c r="D77" t="inlineStr">
        <is>
          <t>quads</t>
        </is>
      </c>
      <c r="E77" t="n">
        <v>0.247785</v>
      </c>
      <c r="F77" t="n">
        <v>0.245403</v>
      </c>
      <c r="G77" t="n">
        <v>0.208322</v>
      </c>
      <c r="H77" t="n">
        <v>0.203366</v>
      </c>
      <c r="I77" t="n">
        <v>0.202184</v>
      </c>
      <c r="J77" t="n">
        <v>0.202096</v>
      </c>
      <c r="K77" t="n">
        <v>0.193106</v>
      </c>
      <c r="L77" t="n">
        <v>0.190293</v>
      </c>
      <c r="M77" t="n">
        <v>0.187668</v>
      </c>
      <c r="N77" t="n">
        <v>0.186912</v>
      </c>
      <c r="O77" t="n">
        <v>0.185324</v>
      </c>
      <c r="P77" t="n">
        <v>0.183122</v>
      </c>
      <c r="Q77" t="n">
        <v>0.183693</v>
      </c>
      <c r="R77" t="n">
        <v>0.183484</v>
      </c>
      <c r="S77" t="n">
        <v>0.181979</v>
      </c>
      <c r="T77" t="n">
        <v>0.180533</v>
      </c>
      <c r="U77" t="n">
        <v>0.179483</v>
      </c>
      <c r="V77" t="n">
        <v>0.179646</v>
      </c>
      <c r="W77" t="n">
        <v>0.180253</v>
      </c>
      <c r="X77" t="n">
        <v>0.180968</v>
      </c>
      <c r="Y77" t="n">
        <v>0.18093</v>
      </c>
      <c r="Z77" t="n">
        <v>0.178452</v>
      </c>
      <c r="AA77" t="n">
        <v>0.176899</v>
      </c>
      <c r="AB77" t="n">
        <v>0.179931</v>
      </c>
      <c r="AC77" t="n">
        <v>0.179063</v>
      </c>
      <c r="AD77" t="n">
        <v>0.178251</v>
      </c>
      <c r="AE77" t="inlineStr">
        <is>
          <t>-1.3%</t>
        </is>
      </c>
    </row>
    <row r="78">
      <c r="A78" t="inlineStr">
        <is>
          <t>Hydrogen-Related Losses</t>
        </is>
      </c>
      <c r="B78" t="inlineStr">
        <is>
          <t>Industrial: Refining Use: Hydrogen-Related Losses: Alternative Electricity and Transportation</t>
        </is>
      </c>
      <c r="C78" t="inlineStr">
        <is>
          <t>AEO.2026.ELECTRNP.CNSM_NA_IDAL_REFU_H2RELLOS_NA_USA_QBTU.A</t>
        </is>
      </c>
      <c r="D78" t="inlineStr">
        <is>
          <t>quads</t>
        </is>
      </c>
      <c r="E78" t="n">
        <v>0.117563</v>
      </c>
      <c r="F78" t="n">
        <v>0.105847</v>
      </c>
      <c r="G78" t="n">
        <v>0.104222</v>
      </c>
      <c r="H78" t="n">
        <v>0.105213</v>
      </c>
      <c r="I78" t="n">
        <v>0.110526</v>
      </c>
      <c r="J78" t="n">
        <v>0.109118</v>
      </c>
      <c r="K78" t="n">
        <v>0.104483</v>
      </c>
      <c r="L78" t="n">
        <v>0.103186</v>
      </c>
      <c r="M78" t="n">
        <v>0.103492</v>
      </c>
      <c r="N78" t="n">
        <v>0.108122</v>
      </c>
      <c r="O78" t="n">
        <v>0.109191</v>
      </c>
      <c r="P78" t="n">
        <v>0.107943</v>
      </c>
      <c r="Q78" t="n">
        <v>0.109371</v>
      </c>
      <c r="R78" t="n">
        <v>0.109354</v>
      </c>
      <c r="S78" t="n">
        <v>0.109638</v>
      </c>
      <c r="T78" t="n">
        <v>0.108082</v>
      </c>
      <c r="U78" t="n">
        <v>0.106465</v>
      </c>
      <c r="V78" t="n">
        <v>0.105409</v>
      </c>
      <c r="W78" t="n">
        <v>0.105983</v>
      </c>
      <c r="X78" t="n">
        <v>0.109958</v>
      </c>
      <c r="Y78" t="n">
        <v>0.111433</v>
      </c>
      <c r="Z78" t="n">
        <v>0.111027</v>
      </c>
      <c r="AA78" t="n">
        <v>0.111281</v>
      </c>
      <c r="AB78" t="n">
        <v>0.110844</v>
      </c>
      <c r="AC78" t="n">
        <v>0.110615</v>
      </c>
      <c r="AD78" t="n">
        <v>0.110095</v>
      </c>
      <c r="AE78" t="inlineStr">
        <is>
          <t>-0.3%</t>
        </is>
      </c>
    </row>
    <row r="79">
      <c r="A79" t="inlineStr">
        <is>
          <t>Total</t>
        </is>
      </c>
      <c r="B79" t="inlineStr">
        <is>
          <t>Industrial: Refining Use: Total: Alternative Electricity and Transportation</t>
        </is>
      </c>
      <c r="C79" t="inlineStr">
        <is>
          <t>AEO.2026.ELECTRNP.CNSM_NA_IDAL_REFU_TOT_NA_USA_QBTU.A</t>
        </is>
      </c>
      <c r="D79" t="inlineStr">
        <is>
          <t>quads</t>
        </is>
      </c>
      <c r="E79" t="n">
        <v>5.217286</v>
      </c>
      <c r="F79" t="n">
        <v>5.187911</v>
      </c>
      <c r="G79" t="n">
        <v>4.988222</v>
      </c>
      <c r="H79" t="n">
        <v>5.042402</v>
      </c>
      <c r="I79" t="n">
        <v>5.084479</v>
      </c>
      <c r="J79" t="n">
        <v>5.092092</v>
      </c>
      <c r="K79" t="n">
        <v>5.047597</v>
      </c>
      <c r="L79" t="n">
        <v>5.056347</v>
      </c>
      <c r="M79" t="n">
        <v>5.052505</v>
      </c>
      <c r="N79" t="n">
        <v>5.091905</v>
      </c>
      <c r="O79" t="n">
        <v>5.108231</v>
      </c>
      <c r="P79" t="n">
        <v>5.112938</v>
      </c>
      <c r="Q79" t="n">
        <v>5.138606</v>
      </c>
      <c r="R79" t="n">
        <v>5.149881</v>
      </c>
      <c r="S79" t="n">
        <v>5.144091</v>
      </c>
      <c r="T79" t="n">
        <v>5.158572</v>
      </c>
      <c r="U79" t="n">
        <v>5.165087</v>
      </c>
      <c r="V79" t="n">
        <v>5.186058</v>
      </c>
      <c r="W79" t="n">
        <v>5.219245</v>
      </c>
      <c r="X79" t="n">
        <v>5.244497</v>
      </c>
      <c r="Y79" t="n">
        <v>5.261449</v>
      </c>
      <c r="Z79" t="n">
        <v>5.239016</v>
      </c>
      <c r="AA79" t="n">
        <v>5.276909</v>
      </c>
      <c r="AB79" t="n">
        <v>5.281352</v>
      </c>
      <c r="AC79" t="n">
        <v>5.291603</v>
      </c>
      <c r="AD79" t="n">
        <v>5.294863</v>
      </c>
      <c r="AE79" t="inlineStr">
        <is>
          <t>0.1%</t>
        </is>
      </c>
    </row>
    <row r="80">
      <c r="A80" t="inlineStr">
        <is>
          <t>Hydrogen Production-Related Consumption (quadrillon Btu)</t>
        </is>
      </c>
    </row>
    <row r="81">
      <c r="A81" t="inlineStr">
        <is>
          <t>Natural Gas Heat and Power</t>
        </is>
      </c>
      <c r="B81" t="inlineStr">
        <is>
          <t>Industrial: Hydrogen Production: Natural Gas Heat and Power: Alternative Electricity and Transportation</t>
        </is>
      </c>
      <c r="C81" t="inlineStr">
        <is>
          <t>AEO.2026.ELECTRNP.CNSM_NA_IDAL_H2PROD_NHP_NA_NA_QBTU.A</t>
        </is>
      </c>
      <c r="D81" t="inlineStr">
        <is>
          <t>quads</t>
        </is>
      </c>
      <c r="E81" t="n">
        <v>0.17896</v>
      </c>
      <c r="F81" t="n">
        <v>0.165389</v>
      </c>
      <c r="G81" t="n">
        <v>0.164194</v>
      </c>
      <c r="H81" t="n">
        <v>0.164998</v>
      </c>
      <c r="I81" t="n">
        <v>0.168261</v>
      </c>
      <c r="J81" t="n">
        <v>0.167684</v>
      </c>
      <c r="K81" t="n">
        <v>0.165</v>
      </c>
      <c r="L81" t="n">
        <v>0.164422</v>
      </c>
      <c r="M81" t="n">
        <v>0.165048</v>
      </c>
      <c r="N81" t="n">
        <v>0.169389</v>
      </c>
      <c r="O81" t="n">
        <v>0.17075</v>
      </c>
      <c r="P81" t="n">
        <v>0.170794</v>
      </c>
      <c r="Q81" t="n">
        <v>0.17424</v>
      </c>
      <c r="R81" t="n">
        <v>0.175722</v>
      </c>
      <c r="S81" t="n">
        <v>0.176828</v>
      </c>
      <c r="T81" t="n">
        <v>0.176513</v>
      </c>
      <c r="U81" t="n">
        <v>0.177094</v>
      </c>
      <c r="V81" t="n">
        <v>0.177342</v>
      </c>
      <c r="W81" t="n">
        <v>0.178779</v>
      </c>
      <c r="X81" t="n">
        <v>0.183102</v>
      </c>
      <c r="Y81" t="n">
        <v>0.185755</v>
      </c>
      <c r="Z81" t="n">
        <v>0.186652</v>
      </c>
      <c r="AA81" t="n">
        <v>0.188303</v>
      </c>
      <c r="AB81" t="n">
        <v>0.189171</v>
      </c>
      <c r="AC81" t="n">
        <v>0.189894</v>
      </c>
      <c r="AD81" t="n">
        <v>0.190619</v>
      </c>
      <c r="AE81" t="inlineStr">
        <is>
          <t>0.3%</t>
        </is>
      </c>
    </row>
    <row r="82">
      <c r="A82" t="inlineStr">
        <is>
          <t>Natural Gas Feedstocks</t>
        </is>
      </c>
      <c r="B82" t="inlineStr">
        <is>
          <t>Industrial: Hydrogen Production: Natural Gas Feedstocks: Alternative Electricity and Transportation</t>
        </is>
      </c>
      <c r="C82" t="inlineStr">
        <is>
          <t>AEO.2026.ELECTRNP.CNSM_NA_IDAL_H2PROD_NGF_NA_NA_QBTU.A</t>
        </is>
      </c>
      <c r="D82" t="inlineStr">
        <is>
          <t>quads</t>
        </is>
      </c>
      <c r="E82" t="n">
        <v>0.873744</v>
      </c>
      <c r="F82" t="n">
        <v>0.807488</v>
      </c>
      <c r="G82" t="n">
        <v>0.801655</v>
      </c>
      <c r="H82" t="n">
        <v>0.805578</v>
      </c>
      <c r="I82" t="n">
        <v>0.821511</v>
      </c>
      <c r="J82" t="n">
        <v>0.818693</v>
      </c>
      <c r="K82" t="n">
        <v>0.805586</v>
      </c>
      <c r="L82" t="n">
        <v>0.802767</v>
      </c>
      <c r="M82" t="n">
        <v>0.80582</v>
      </c>
      <c r="N82" t="n">
        <v>0.8270189999999999</v>
      </c>
      <c r="O82" t="n">
        <v>0.833663</v>
      </c>
      <c r="P82" t="n">
        <v>0.833878</v>
      </c>
      <c r="Q82" t="n">
        <v>0.850701</v>
      </c>
      <c r="R82" t="n">
        <v>0.8579369999999999</v>
      </c>
      <c r="S82" t="n">
        <v>0.863338</v>
      </c>
      <c r="T82" t="n">
        <v>0.861798</v>
      </c>
      <c r="U82" t="n">
        <v>0.864634</v>
      </c>
      <c r="V82" t="n">
        <v>0.865845</v>
      </c>
      <c r="W82" t="n">
        <v>0.87286</v>
      </c>
      <c r="X82" t="n">
        <v>0.893969</v>
      </c>
      <c r="Y82" t="n">
        <v>0.906922</v>
      </c>
      <c r="Z82" t="n">
        <v>0.911303</v>
      </c>
      <c r="AA82" t="n">
        <v>0.919362</v>
      </c>
      <c r="AB82" t="n">
        <v>0.923598</v>
      </c>
      <c r="AC82" t="n">
        <v>0.927132</v>
      </c>
      <c r="AD82" t="n">
        <v>0.9306680000000001</v>
      </c>
      <c r="AE82" t="inlineStr">
        <is>
          <t>0.3%</t>
        </is>
      </c>
    </row>
    <row r="83">
      <c r="A83" t="inlineStr">
        <is>
          <t>Natural Gas Subtotal</t>
        </is>
      </c>
      <c r="B83" t="inlineStr">
        <is>
          <t>Industrial: Hydrogen Production: Natural Gas Subtotal: Alternative Electricity and Transportation</t>
        </is>
      </c>
      <c r="C83" t="inlineStr">
        <is>
          <t>AEO.2026.ELECTRNP.CNSM_NA_IDAL_H2PROD_NGS_NA_NA_QBTU.A</t>
        </is>
      </c>
      <c r="D83" t="inlineStr">
        <is>
          <t>quads</t>
        </is>
      </c>
      <c r="E83" t="n">
        <v>1.052703</v>
      </c>
      <c r="F83" t="n">
        <v>0.972878</v>
      </c>
      <c r="G83" t="n">
        <v>0.965849</v>
      </c>
      <c r="H83" t="n">
        <v>0.970576</v>
      </c>
      <c r="I83" t="n">
        <v>0.989773</v>
      </c>
      <c r="J83" t="n">
        <v>0.9863769999999999</v>
      </c>
      <c r="K83" t="n">
        <v>0.9705859999999999</v>
      </c>
      <c r="L83" t="n">
        <v>0.967189</v>
      </c>
      <c r="M83" t="n">
        <v>0.970868</v>
      </c>
      <c r="N83" t="n">
        <v>0.996409</v>
      </c>
      <c r="O83" t="n">
        <v>1.004413</v>
      </c>
      <c r="P83" t="n">
        <v>1.004673</v>
      </c>
      <c r="Q83" t="n">
        <v>1.024941</v>
      </c>
      <c r="R83" t="n">
        <v>1.033659</v>
      </c>
      <c r="S83" t="n">
        <v>1.040166</v>
      </c>
      <c r="T83" t="n">
        <v>1.03831</v>
      </c>
      <c r="U83" t="n">
        <v>1.041728</v>
      </c>
      <c r="V83" t="n">
        <v>1.043187</v>
      </c>
      <c r="W83" t="n">
        <v>1.051639</v>
      </c>
      <c r="X83" t="n">
        <v>1.077071</v>
      </c>
      <c r="Y83" t="n">
        <v>1.092677</v>
      </c>
      <c r="Z83" t="n">
        <v>1.097955</v>
      </c>
      <c r="AA83" t="n">
        <v>1.107665</v>
      </c>
      <c r="AB83" t="n">
        <v>1.112769</v>
      </c>
      <c r="AC83" t="n">
        <v>1.117026</v>
      </c>
      <c r="AD83" t="n">
        <v>1.121287</v>
      </c>
      <c r="AE83" t="inlineStr">
        <is>
          <t>0.3%</t>
        </is>
      </c>
    </row>
    <row r="84">
      <c r="A84" t="inlineStr">
        <is>
          <t>Purchased Electricity</t>
        </is>
      </c>
      <c r="B84" t="inlineStr">
        <is>
          <t>Industrial: Hydrogen Production: Purchased Electricity: Alternative Electricity and Transportation</t>
        </is>
      </c>
      <c r="C84" t="inlineStr">
        <is>
          <t>AEO.2026.ELECTRNP.CNSM_NA_IDAL_H2PROD_PRC_NA_NA_QBTU.A</t>
        </is>
      </c>
      <c r="D84" t="inlineStr">
        <is>
          <t>quads</t>
        </is>
      </c>
      <c r="E84" t="n">
        <v>0.004232</v>
      </c>
      <c r="F84" t="n">
        <v>0.008701</v>
      </c>
      <c r="G84" t="n">
        <v>0.009063</v>
      </c>
      <c r="H84" t="n">
        <v>0.007734</v>
      </c>
      <c r="I84" t="n">
        <v>0.010198</v>
      </c>
      <c r="J84" t="n">
        <v>0.01061</v>
      </c>
      <c r="K84" t="n">
        <v>0.009538</v>
      </c>
      <c r="L84" t="n">
        <v>0.008913000000000001</v>
      </c>
      <c r="M84" t="n">
        <v>0.008893</v>
      </c>
      <c r="N84" t="n">
        <v>0.009013999999999999</v>
      </c>
      <c r="O84" t="n">
        <v>0.009089</v>
      </c>
      <c r="P84" t="n">
        <v>0.008562</v>
      </c>
      <c r="Q84" t="n">
        <v>0.007197</v>
      </c>
      <c r="R84" t="n">
        <v>0.005265</v>
      </c>
      <c r="S84" t="n">
        <v>0.005281</v>
      </c>
      <c r="T84" t="n">
        <v>0.005276</v>
      </c>
      <c r="U84" t="n">
        <v>0.00264</v>
      </c>
      <c r="V84" t="n">
        <v>0.002644</v>
      </c>
      <c r="W84" t="n">
        <v>0.002666</v>
      </c>
      <c r="X84" t="n">
        <v>0.00273</v>
      </c>
      <c r="Y84" t="n">
        <v>0.00277</v>
      </c>
      <c r="Z84" t="n">
        <v>0.002783</v>
      </c>
      <c r="AA84" t="n">
        <v>0.002808</v>
      </c>
      <c r="AB84" t="n">
        <v>0.00282</v>
      </c>
      <c r="AC84" t="n">
        <v>0.002831</v>
      </c>
      <c r="AD84" t="n">
        <v>0.002842</v>
      </c>
      <c r="AE84" t="inlineStr">
        <is>
          <t>-1.6%</t>
        </is>
      </c>
    </row>
    <row r="85">
      <c r="A85" t="inlineStr">
        <is>
          <t>Byproduct Hydrogen</t>
        </is>
      </c>
      <c r="B85" t="inlineStr">
        <is>
          <t>Industrial: Hydrogen Production: Purchased Electricity: Alternative Electricity and Transportation</t>
        </is>
      </c>
      <c r="C85" t="inlineStr">
        <is>
          <t>AEO.2026.ELECTRNP.CNSM_NA_IDAL_H2PROD_BYH2_NA_NA_QBTU.A</t>
        </is>
      </c>
      <c r="D85" t="inlineStr">
        <is>
          <t>quads</t>
        </is>
      </c>
      <c r="E85" t="n">
        <v>0.271885</v>
      </c>
      <c r="F85" t="n">
        <v>0.277033</v>
      </c>
      <c r="G85" t="n">
        <v>0.280171</v>
      </c>
      <c r="H85" t="n">
        <v>0.278806</v>
      </c>
      <c r="I85" t="n">
        <v>0.274321</v>
      </c>
      <c r="J85" t="n">
        <v>0.274384</v>
      </c>
      <c r="K85" t="n">
        <v>0.27545</v>
      </c>
      <c r="L85" t="n">
        <v>0.275836</v>
      </c>
      <c r="M85" t="n">
        <v>0.27796</v>
      </c>
      <c r="N85" t="n">
        <v>0.279312</v>
      </c>
      <c r="O85" t="n">
        <v>0.283083</v>
      </c>
      <c r="P85" t="n">
        <v>0.285696</v>
      </c>
      <c r="Q85" t="n">
        <v>0.286439</v>
      </c>
      <c r="R85" t="n">
        <v>0.289535</v>
      </c>
      <c r="S85" t="n">
        <v>0.292548</v>
      </c>
      <c r="T85" t="n">
        <v>0.295295</v>
      </c>
      <c r="U85" t="n">
        <v>0.299385</v>
      </c>
      <c r="V85" t="n">
        <v>0.303157</v>
      </c>
      <c r="W85" t="n">
        <v>0.306922</v>
      </c>
      <c r="X85" t="n">
        <v>0.30974</v>
      </c>
      <c r="Y85" t="n">
        <v>0.312859</v>
      </c>
      <c r="Z85" t="n">
        <v>0.31681</v>
      </c>
      <c r="AA85" t="n">
        <v>0.320986</v>
      </c>
      <c r="AB85" t="n">
        <v>0.32468</v>
      </c>
      <c r="AC85" t="n">
        <v>0.327309</v>
      </c>
      <c r="AD85" t="n">
        <v>0.330866</v>
      </c>
      <c r="AE85" t="inlineStr">
        <is>
          <t>0.8%</t>
        </is>
      </c>
    </row>
    <row r="86">
      <c r="A86" t="inlineStr">
        <is>
          <t>Delivered Energy</t>
        </is>
      </c>
      <c r="B86" t="inlineStr">
        <is>
          <t>Industrial: Hydrogen Production: Delivered Energy: Alternative Electricity and Transportation</t>
        </is>
      </c>
      <c r="C86" t="inlineStr">
        <is>
          <t>AEO.2026.ELECTRNP.CNSM_NA_IDAL_H2PROD_DELE_NA_NA_QBTU.A</t>
        </is>
      </c>
      <c r="D86" t="inlineStr">
        <is>
          <t>quads</t>
        </is>
      </c>
      <c r="E86" t="n">
        <v>1.328821</v>
      </c>
      <c r="F86" t="n">
        <v>1.258612</v>
      </c>
      <c r="G86" t="n">
        <v>1.255083</v>
      </c>
      <c r="H86" t="n">
        <v>1.257116</v>
      </c>
      <c r="I86" t="n">
        <v>1.274292</v>
      </c>
      <c r="J86" t="n">
        <v>1.271371</v>
      </c>
      <c r="K86" t="n">
        <v>1.255574</v>
      </c>
      <c r="L86" t="n">
        <v>1.251938</v>
      </c>
      <c r="M86" t="n">
        <v>1.25772</v>
      </c>
      <c r="N86" t="n">
        <v>1.284734</v>
      </c>
      <c r="O86" t="n">
        <v>1.296585</v>
      </c>
      <c r="P86" t="n">
        <v>1.298931</v>
      </c>
      <c r="Q86" t="n">
        <v>1.318577</v>
      </c>
      <c r="R86" t="n">
        <v>1.328459</v>
      </c>
      <c r="S86" t="n">
        <v>1.337996</v>
      </c>
      <c r="T86" t="n">
        <v>1.338882</v>
      </c>
      <c r="U86" t="n">
        <v>1.343754</v>
      </c>
      <c r="V86" t="n">
        <v>1.348988</v>
      </c>
      <c r="W86" t="n">
        <v>1.361227</v>
      </c>
      <c r="X86" t="n">
        <v>1.389541</v>
      </c>
      <c r="Y86" t="n">
        <v>1.408305</v>
      </c>
      <c r="Z86" t="n">
        <v>1.417548</v>
      </c>
      <c r="AA86" t="n">
        <v>1.431458</v>
      </c>
      <c r="AB86" t="n">
        <v>1.44027</v>
      </c>
      <c r="AC86" t="n">
        <v>1.447167</v>
      </c>
      <c r="AD86" t="n">
        <v>1.454996</v>
      </c>
      <c r="AE86" t="inlineStr">
        <is>
          <t>0.4%</t>
        </is>
      </c>
    </row>
    <row r="87">
      <c r="A87" t="inlineStr">
        <is>
          <t>Electricity-Related Losses</t>
        </is>
      </c>
      <c r="B87" t="inlineStr">
        <is>
          <t>Industrial: Hydrogen Production: Electricity-Related Losses: Alternative Electricity and Transportation</t>
        </is>
      </c>
      <c r="C87" t="inlineStr">
        <is>
          <t>AEO.2026.ELECTRNP.CNSM_NA_IDAL_H2PROD_ELECRELOS_NA_NA_QBTU.A</t>
        </is>
      </c>
      <c r="D87" t="inlineStr">
        <is>
          <t>quads</t>
        </is>
      </c>
      <c r="E87" t="n">
        <v>0.005815</v>
      </c>
      <c r="F87" t="n">
        <v>0.011841</v>
      </c>
      <c r="G87" t="n">
        <v>0.011391</v>
      </c>
      <c r="H87" t="n">
        <v>0.009303000000000001</v>
      </c>
      <c r="I87" t="n">
        <v>0.01199</v>
      </c>
      <c r="J87" t="n">
        <v>0.012252</v>
      </c>
      <c r="K87" t="n">
        <v>0.010663</v>
      </c>
      <c r="L87" t="n">
        <v>0.009769999999999999</v>
      </c>
      <c r="M87" t="n">
        <v>0.009631000000000001</v>
      </c>
      <c r="N87" t="n">
        <v>0.009571</v>
      </c>
      <c r="O87" t="n">
        <v>0.009507</v>
      </c>
      <c r="P87" t="n">
        <v>0.008819</v>
      </c>
      <c r="Q87" t="n">
        <v>0.00734</v>
      </c>
      <c r="R87" t="n">
        <v>0.005329</v>
      </c>
      <c r="S87" t="n">
        <v>0.005295</v>
      </c>
      <c r="T87" t="n">
        <v>0.005228</v>
      </c>
      <c r="U87" t="n">
        <v>0.002585</v>
      </c>
      <c r="V87" t="n">
        <v>0.002571</v>
      </c>
      <c r="W87" t="n">
        <v>0.002577</v>
      </c>
      <c r="X87" t="n">
        <v>0.002625</v>
      </c>
      <c r="Y87" t="n">
        <v>0.00265</v>
      </c>
      <c r="Z87" t="n">
        <v>0.00265</v>
      </c>
      <c r="AA87" t="n">
        <v>0.002664</v>
      </c>
      <c r="AB87" t="n">
        <v>0.002666</v>
      </c>
      <c r="AC87" t="n">
        <v>0.002657</v>
      </c>
      <c r="AD87" t="n">
        <v>0.002656</v>
      </c>
      <c r="AE87" t="inlineStr">
        <is>
          <t>-3.1%</t>
        </is>
      </c>
    </row>
    <row r="88">
      <c r="A88" t="inlineStr">
        <is>
          <t>Total</t>
        </is>
      </c>
      <c r="B88" t="inlineStr">
        <is>
          <t>Industrial: Hydrogen Production: Total: Alternative Electricity and Transportation</t>
        </is>
      </c>
      <c r="C88" t="inlineStr">
        <is>
          <t>AEO.2026.ELECTRNP.CNSM_NA_IDAL_H2PROD_TOT_NA_NA_QBTU.A</t>
        </is>
      </c>
      <c r="D88" t="inlineStr">
        <is>
          <t>quads</t>
        </is>
      </c>
      <c r="E88" t="n">
        <v>1.334636</v>
      </c>
      <c r="F88" t="n">
        <v>1.270453</v>
      </c>
      <c r="G88" t="n">
        <v>1.266474</v>
      </c>
      <c r="H88" t="n">
        <v>1.26642</v>
      </c>
      <c r="I88" t="n">
        <v>1.286282</v>
      </c>
      <c r="J88" t="n">
        <v>1.283624</v>
      </c>
      <c r="K88" t="n">
        <v>1.266236</v>
      </c>
      <c r="L88" t="n">
        <v>1.261708</v>
      </c>
      <c r="M88" t="n">
        <v>1.267351</v>
      </c>
      <c r="N88" t="n">
        <v>1.294306</v>
      </c>
      <c r="O88" t="n">
        <v>1.306092</v>
      </c>
      <c r="P88" t="n">
        <v>1.307749</v>
      </c>
      <c r="Q88" t="n">
        <v>1.325917</v>
      </c>
      <c r="R88" t="n">
        <v>1.333788</v>
      </c>
      <c r="S88" t="n">
        <v>1.343291</v>
      </c>
      <c r="T88" t="n">
        <v>1.344109</v>
      </c>
      <c r="U88" t="n">
        <v>1.346339</v>
      </c>
      <c r="V88" t="n">
        <v>1.351559</v>
      </c>
      <c r="W88" t="n">
        <v>1.363804</v>
      </c>
      <c r="X88" t="n">
        <v>1.392166</v>
      </c>
      <c r="Y88" t="n">
        <v>1.410955</v>
      </c>
      <c r="Z88" t="n">
        <v>1.420199</v>
      </c>
      <c r="AA88" t="n">
        <v>1.434122</v>
      </c>
      <c r="AB88" t="n">
        <v>1.442936</v>
      </c>
      <c r="AC88" t="n">
        <v>1.449823</v>
      </c>
      <c r="AD88" t="n">
        <v>1.457651</v>
      </c>
      <c r="AE88" t="inlineStr">
        <is>
          <t>0.4%</t>
        </is>
      </c>
    </row>
    <row r="89">
      <c r="A89" t="inlineStr">
        <is>
          <t>Industrial Sector End-Use Consumption Excluding Hydrogen Production</t>
        </is>
      </c>
    </row>
    <row r="90">
      <c r="A90" t="inlineStr">
        <is>
          <t>Propane Heat and Power</t>
        </is>
      </c>
      <c r="B90" t="inlineStr">
        <is>
          <t>Industrial: Total Industrial Sector Use Excluding H2 Production: Propane Heat and Power: Alternative Electricity and Transportation</t>
        </is>
      </c>
      <c r="C90" t="inlineStr">
        <is>
          <t>AEO.2026.ELECTRNP.CNSM_NA_IDAL_NA_LPGHP_NA_USA_QBTU.A</t>
        </is>
      </c>
      <c r="D90" t="inlineStr">
        <is>
          <t>quads</t>
        </is>
      </c>
      <c r="E90" t="n">
        <v>0.132555</v>
      </c>
      <c r="F90" t="n">
        <v>0.034223</v>
      </c>
      <c r="G90" t="n">
        <v>0.182581</v>
      </c>
      <c r="H90" t="n">
        <v>0.180743</v>
      </c>
      <c r="I90" t="n">
        <v>0.180365</v>
      </c>
      <c r="J90" t="n">
        <v>0.181238</v>
      </c>
      <c r="K90" t="n">
        <v>0.181122</v>
      </c>
      <c r="L90" t="n">
        <v>0.188451</v>
      </c>
      <c r="M90" t="n">
        <v>0.186918</v>
      </c>
      <c r="N90" t="n">
        <v>0.187642</v>
      </c>
      <c r="O90" t="n">
        <v>0.188551</v>
      </c>
      <c r="P90" t="n">
        <v>0.189361</v>
      </c>
      <c r="Q90" t="n">
        <v>0.192619</v>
      </c>
      <c r="R90" t="n">
        <v>0.195625</v>
      </c>
      <c r="S90" t="n">
        <v>0.198038</v>
      </c>
      <c r="T90" t="n">
        <v>0.199532</v>
      </c>
      <c r="U90" t="n">
        <v>0.199423</v>
      </c>
      <c r="V90" t="n">
        <v>0.19977</v>
      </c>
      <c r="W90" t="n">
        <v>0.199908</v>
      </c>
      <c r="X90" t="n">
        <v>0.200169</v>
      </c>
      <c r="Y90" t="n">
        <v>0.200928</v>
      </c>
      <c r="Z90" t="n">
        <v>0.201934</v>
      </c>
      <c r="AA90" t="n">
        <v>0.20294</v>
      </c>
      <c r="AB90" t="n">
        <v>0.203759</v>
      </c>
      <c r="AC90" t="n">
        <v>0.204574</v>
      </c>
      <c r="AD90" t="n">
        <v>0.205582</v>
      </c>
      <c r="AE90" t="inlineStr">
        <is>
          <t>1.8%</t>
        </is>
      </c>
    </row>
    <row r="91">
      <c r="A91" t="inlineStr">
        <is>
          <t>Hydrocarbon Gas Liquid Feedstocks</t>
        </is>
      </c>
      <c r="B91" t="inlineStr">
        <is>
          <t>Industrial: Total Industrial Sector Use Excluding H2 Production: LPG and Other Feedstocks: Alternative Electricity and Transportation</t>
        </is>
      </c>
      <c r="C91" t="inlineStr">
        <is>
          <t>AEO.2026.ELECTRNP.CNSM_NA_IDAL_NA_LPGF_NA_USA_QBTU.A</t>
        </is>
      </c>
      <c r="D91" t="inlineStr">
        <is>
          <t>quads</t>
        </is>
      </c>
      <c r="E91" t="n">
        <v>3.529603</v>
      </c>
      <c r="F91" t="n">
        <v>3.585603</v>
      </c>
      <c r="G91" t="n">
        <v>3.632402</v>
      </c>
      <c r="H91" t="n">
        <v>3.523206</v>
      </c>
      <c r="I91" t="n">
        <v>3.447896</v>
      </c>
      <c r="J91" t="n">
        <v>3.438571</v>
      </c>
      <c r="K91" t="n">
        <v>3.469113</v>
      </c>
      <c r="L91" t="n">
        <v>3.486946</v>
      </c>
      <c r="M91" t="n">
        <v>3.52364</v>
      </c>
      <c r="N91" t="n">
        <v>3.563568</v>
      </c>
      <c r="O91" t="n">
        <v>3.609877</v>
      </c>
      <c r="P91" t="n">
        <v>3.667288</v>
      </c>
      <c r="Q91" t="n">
        <v>3.709755</v>
      </c>
      <c r="R91" t="n">
        <v>3.754002</v>
      </c>
      <c r="S91" t="n">
        <v>3.829764</v>
      </c>
      <c r="T91" t="n">
        <v>3.897878</v>
      </c>
      <c r="U91" t="n">
        <v>3.974275</v>
      </c>
      <c r="V91" t="n">
        <v>4.062888</v>
      </c>
      <c r="W91" t="n">
        <v>4.145109</v>
      </c>
      <c r="X91" t="n">
        <v>4.228109</v>
      </c>
      <c r="Y91" t="n">
        <v>4.318028</v>
      </c>
      <c r="Z91" t="n">
        <v>4.408636</v>
      </c>
      <c r="AA91" t="n">
        <v>4.508538</v>
      </c>
      <c r="AB91" t="n">
        <v>4.597084</v>
      </c>
      <c r="AC91" t="n">
        <v>4.659564</v>
      </c>
      <c r="AD91" t="n">
        <v>4.746164</v>
      </c>
      <c r="AE91" t="inlineStr">
        <is>
          <t>1.2%</t>
        </is>
      </c>
    </row>
    <row r="92" customFormat="1" s="32">
      <c r="A92" s="32" t="inlineStr">
        <is>
          <t>Motor Gasoline</t>
        </is>
      </c>
      <c r="B92" s="32" t="inlineStr">
        <is>
          <t>Industrial: Total Industrial Sector Use Excluding H2 Production: Motor Gasoline: Alternative Electricity and Transportation</t>
        </is>
      </c>
      <c r="C92" s="32" t="inlineStr">
        <is>
          <t>AEO.2026.ELECTRNP.CNSM_NA_IDAL_NA_MGS_NA_USA_QBTU.A</t>
        </is>
      </c>
      <c r="D92" s="32" t="inlineStr">
        <is>
          <t>quads</t>
        </is>
      </c>
      <c r="E92" s="32" t="n">
        <v>0.274134</v>
      </c>
      <c r="F92" s="32" t="n">
        <v>0.272877</v>
      </c>
      <c r="G92" s="32" t="n">
        <v>0.274898</v>
      </c>
      <c r="H92" s="32" t="n">
        <v>0.278423</v>
      </c>
      <c r="I92" s="32" t="n">
        <v>0.281926</v>
      </c>
      <c r="J92" s="32" t="n">
        <v>0.286878</v>
      </c>
      <c r="K92" s="32" t="n">
        <v>0.291053</v>
      </c>
      <c r="L92" s="32" t="n">
        <v>0.295224</v>
      </c>
      <c r="M92" s="32" t="n">
        <v>0.298205</v>
      </c>
      <c r="N92" s="32" t="n">
        <v>0.30178</v>
      </c>
      <c r="O92" s="32" t="n">
        <v>0.304799</v>
      </c>
      <c r="P92" s="32" t="n">
        <v>0.307633</v>
      </c>
      <c r="Q92" s="32" t="n">
        <v>0.310316</v>
      </c>
      <c r="R92" s="32" t="n">
        <v>0.312839</v>
      </c>
      <c r="S92" s="32" t="n">
        <v>0.315401</v>
      </c>
      <c r="T92" s="32" t="n">
        <v>0.317999</v>
      </c>
      <c r="U92" s="32" t="n">
        <v>0.320688</v>
      </c>
      <c r="V92" s="32" t="n">
        <v>0.323215</v>
      </c>
      <c r="W92" s="32" t="n">
        <v>0.325655</v>
      </c>
      <c r="X92" s="32" t="n">
        <v>0.327945</v>
      </c>
      <c r="Y92" s="32" t="n">
        <v>0.330613</v>
      </c>
      <c r="Z92" s="32" t="n">
        <v>0.333403</v>
      </c>
      <c r="AA92" s="32" t="n">
        <v>0.336337</v>
      </c>
      <c r="AB92" s="32" t="n">
        <v>0.338948</v>
      </c>
      <c r="AC92" s="32" t="n">
        <v>0.341414</v>
      </c>
      <c r="AD92" s="32" t="n">
        <v>0.34381</v>
      </c>
      <c r="AE92" s="32" t="inlineStr">
        <is>
          <t>0.9%</t>
        </is>
      </c>
    </row>
    <row r="93">
      <c r="A93" t="inlineStr">
        <is>
          <t>Distillate Fuel Oil</t>
        </is>
      </c>
      <c r="B93" t="inlineStr">
        <is>
          <t>Industrial: Total Industrial Sector Use Excluding H2 Production: Distillate Fuel Oil: Alternative Electricity and Transportation</t>
        </is>
      </c>
      <c r="C93" t="inlineStr">
        <is>
          <t>AEO.2026.ELECTRNP.CNSM_NA_IDAL_NA_DFO_NA_USA_QBTU.A</t>
        </is>
      </c>
      <c r="D93" t="inlineStr">
        <is>
          <t>quads</t>
        </is>
      </c>
      <c r="E93" t="n">
        <v>1.161135</v>
      </c>
      <c r="F93" t="n">
        <v>1.161444</v>
      </c>
      <c r="G93" t="n">
        <v>1.162011</v>
      </c>
      <c r="H93" t="n">
        <v>1.168513</v>
      </c>
      <c r="I93" t="n">
        <v>1.179822</v>
      </c>
      <c r="J93" t="n">
        <v>1.196678</v>
      </c>
      <c r="K93" t="n">
        <v>1.2089</v>
      </c>
      <c r="L93" t="n">
        <v>1.228125</v>
      </c>
      <c r="M93" t="n">
        <v>1.237822</v>
      </c>
      <c r="N93" t="n">
        <v>1.249308</v>
      </c>
      <c r="O93" t="n">
        <v>1.260567</v>
      </c>
      <c r="P93" t="n">
        <v>1.270628</v>
      </c>
      <c r="Q93" t="n">
        <v>1.281835</v>
      </c>
      <c r="R93" t="n">
        <v>1.292388</v>
      </c>
      <c r="S93" t="n">
        <v>1.302165</v>
      </c>
      <c r="T93" t="n">
        <v>1.31047</v>
      </c>
      <c r="U93" t="n">
        <v>1.317658</v>
      </c>
      <c r="V93" t="n">
        <v>1.325369</v>
      </c>
      <c r="W93" t="n">
        <v>1.332637</v>
      </c>
      <c r="X93" t="n">
        <v>1.339916</v>
      </c>
      <c r="Y93" t="n">
        <v>1.349524</v>
      </c>
      <c r="Z93" t="n">
        <v>1.359533</v>
      </c>
      <c r="AA93" t="n">
        <v>1.369825</v>
      </c>
      <c r="AB93" t="n">
        <v>1.378923</v>
      </c>
      <c r="AC93" t="n">
        <v>1.387899</v>
      </c>
      <c r="AD93" t="n">
        <v>1.396855</v>
      </c>
      <c r="AE93" t="inlineStr">
        <is>
          <t>0.7%</t>
        </is>
      </c>
    </row>
    <row r="94" customFormat="1" s="32">
      <c r="A94" s="32" t="inlineStr">
        <is>
          <t>Residual Fuel Oil</t>
        </is>
      </c>
      <c r="B94" s="32" t="inlineStr">
        <is>
          <t>Industrial: Total Industrial Sector Use Excluding H2 Production: Residual Fuel Oil: Alternative Electricity and Transportation</t>
        </is>
      </c>
      <c r="C94" s="32" t="inlineStr">
        <is>
          <t>AEO.2026.ELECTRNP.CNSM_NA_IDAL_NA_RFO_NA_USA_QBTU.A</t>
        </is>
      </c>
      <c r="D94" s="32" t="inlineStr">
        <is>
          <t>quads</t>
        </is>
      </c>
      <c r="E94" s="32" t="n">
        <v>0.040876</v>
      </c>
      <c r="F94" s="32" t="n">
        <v>0.039529</v>
      </c>
      <c r="G94" s="32" t="n">
        <v>0.035322</v>
      </c>
      <c r="H94" s="32" t="n">
        <v>0.034547</v>
      </c>
      <c r="I94" s="32" t="n">
        <v>0.033736</v>
      </c>
      <c r="J94" s="32" t="n">
        <v>0.034748</v>
      </c>
      <c r="K94" s="32" t="n">
        <v>0.0339</v>
      </c>
      <c r="L94" s="32" t="n">
        <v>0.034136</v>
      </c>
      <c r="M94" s="32" t="n">
        <v>0.033707</v>
      </c>
      <c r="N94" s="32" t="n">
        <v>0.033753</v>
      </c>
      <c r="O94" s="32" t="n">
        <v>0.033499</v>
      </c>
      <c r="P94" s="32" t="n">
        <v>0.033284</v>
      </c>
      <c r="Q94" s="32" t="n">
        <v>0.033025</v>
      </c>
      <c r="R94" s="32" t="n">
        <v>0.032672</v>
      </c>
      <c r="S94" s="32" t="n">
        <v>0.03256</v>
      </c>
      <c r="T94" s="32" t="n">
        <v>0.032231</v>
      </c>
      <c r="U94" s="32" t="n">
        <v>0.031566</v>
      </c>
      <c r="V94" s="32" t="n">
        <v>0.030664</v>
      </c>
      <c r="W94" s="32" t="n">
        <v>0.029574</v>
      </c>
      <c r="X94" s="32" t="n">
        <v>0.028497</v>
      </c>
      <c r="Y94" s="32" t="n">
        <v>0.027718</v>
      </c>
      <c r="Z94" s="32" t="n">
        <v>0.027413</v>
      </c>
      <c r="AA94" s="32" t="n">
        <v>0.027218</v>
      </c>
      <c r="AB94" s="32" t="n">
        <v>0.026843</v>
      </c>
      <c r="AC94" s="32" t="n">
        <v>0.026572</v>
      </c>
      <c r="AD94" s="32" t="n">
        <v>0.026396</v>
      </c>
      <c r="AE94" s="32" t="inlineStr">
        <is>
          <t>-1.7%</t>
        </is>
      </c>
    </row>
    <row r="95">
      <c r="A95" t="inlineStr">
        <is>
          <t>Petrochemical Feedstocks</t>
        </is>
      </c>
      <c r="B95" t="inlineStr">
        <is>
          <t>Industrial: Total Industrial Sector Use Excluding H2 Production: Petrochemical Feedstocks: Alternative Electricity and Transportation</t>
        </is>
      </c>
      <c r="C95" t="inlineStr">
        <is>
          <t>AEO.2026.ELECTRNP.CNSM_NA_IDAL_NA_PCF_NA_USA_QBTU.A</t>
        </is>
      </c>
      <c r="D95" t="inlineStr">
        <is>
          <t>quads</t>
        </is>
      </c>
      <c r="E95" t="n">
        <v>0.412934</v>
      </c>
      <c r="F95" t="n">
        <v>0.338138</v>
      </c>
      <c r="G95" t="n">
        <v>0.3482</v>
      </c>
      <c r="H95" t="n">
        <v>0.55</v>
      </c>
      <c r="I95" t="n">
        <v>0.55</v>
      </c>
      <c r="J95" t="n">
        <v>0.55</v>
      </c>
      <c r="K95" t="n">
        <v>0.55</v>
      </c>
      <c r="L95" t="n">
        <v>0.55</v>
      </c>
      <c r="M95" t="n">
        <v>0.55</v>
      </c>
      <c r="N95" t="n">
        <v>0.55</v>
      </c>
      <c r="O95" t="n">
        <v>0.55</v>
      </c>
      <c r="P95" t="n">
        <v>0.55</v>
      </c>
      <c r="Q95" t="n">
        <v>0.55</v>
      </c>
      <c r="R95" t="n">
        <v>0.55</v>
      </c>
      <c r="S95" t="n">
        <v>0.55</v>
      </c>
      <c r="T95" t="n">
        <v>0.55</v>
      </c>
      <c r="U95" t="n">
        <v>0.55</v>
      </c>
      <c r="V95" t="n">
        <v>0.55</v>
      </c>
      <c r="W95" t="n">
        <v>0.55</v>
      </c>
      <c r="X95" t="n">
        <v>0.55</v>
      </c>
      <c r="Y95" t="n">
        <v>0.55</v>
      </c>
      <c r="Z95" t="n">
        <v>0.55</v>
      </c>
      <c r="AA95" t="n">
        <v>0.55</v>
      </c>
      <c r="AB95" t="n">
        <v>0.55</v>
      </c>
      <c r="AC95" t="n">
        <v>0.55</v>
      </c>
      <c r="AD95" t="n">
        <v>0.55</v>
      </c>
      <c r="AE95" t="inlineStr">
        <is>
          <t>1.2%</t>
        </is>
      </c>
    </row>
    <row r="96">
      <c r="A96" t="inlineStr">
        <is>
          <t>Petroleum Coke</t>
        </is>
      </c>
      <c r="B96" t="inlineStr">
        <is>
          <t>Industrial: Total Industrial Sector Use Excluding H2 Production: Petroleum Coke: Alternative Electricity and Transportation</t>
        </is>
      </c>
      <c r="C96" t="inlineStr">
        <is>
          <t>AEO.2026.ELECTRNP.CNSM_NA_IDAL_NA_PCK_NA_USA_QBTU.A</t>
        </is>
      </c>
      <c r="D96" t="inlineStr">
        <is>
          <t>quads</t>
        </is>
      </c>
      <c r="E96" t="n">
        <v>0.519168</v>
      </c>
      <c r="F96" t="n">
        <v>0.538853</v>
      </c>
      <c r="G96" t="n">
        <v>0.531971</v>
      </c>
      <c r="H96" t="n">
        <v>0.559954</v>
      </c>
      <c r="I96" t="n">
        <v>0.558066</v>
      </c>
      <c r="J96" t="n">
        <v>0.558565</v>
      </c>
      <c r="K96" t="n">
        <v>0.550678</v>
      </c>
      <c r="L96" t="n">
        <v>0.549647</v>
      </c>
      <c r="M96" t="n">
        <v>0.547108</v>
      </c>
      <c r="N96" t="n">
        <v>0.548798</v>
      </c>
      <c r="O96" t="n">
        <v>0.546122</v>
      </c>
      <c r="P96" t="n">
        <v>0.5434870000000001</v>
      </c>
      <c r="Q96" t="n">
        <v>0.542323</v>
      </c>
      <c r="R96" t="n">
        <v>0.540138</v>
      </c>
      <c r="S96" t="n">
        <v>0.5372710000000001</v>
      </c>
      <c r="T96" t="n">
        <v>0.5387189999999999</v>
      </c>
      <c r="U96" t="n">
        <v>0.537502</v>
      </c>
      <c r="V96" t="n">
        <v>0.536945</v>
      </c>
      <c r="W96" t="n">
        <v>0.535427</v>
      </c>
      <c r="X96" t="n">
        <v>0.532809</v>
      </c>
      <c r="Y96" t="n">
        <v>0.533392</v>
      </c>
      <c r="Z96" t="n">
        <v>0.528251</v>
      </c>
      <c r="AA96" t="n">
        <v>0.521347</v>
      </c>
      <c r="AB96" t="n">
        <v>0.519714</v>
      </c>
      <c r="AC96" t="n">
        <v>0.519097</v>
      </c>
      <c r="AD96" t="n">
        <v>0.517963</v>
      </c>
      <c r="AE96" t="inlineStr">
        <is>
          <t>-0.0%</t>
        </is>
      </c>
    </row>
    <row r="97" customFormat="1" s="32">
      <c r="A97" s="32" t="inlineStr">
        <is>
          <t>Asphalt and Road Oil</t>
        </is>
      </c>
      <c r="B97" s="32" t="inlineStr">
        <is>
          <t>Industrial: Total Industrial Sector Use Excluding H2 Production: Asphalt and Road Oil: Alternative Electricity and Transportation</t>
        </is>
      </c>
      <c r="C97" s="32" t="inlineStr">
        <is>
          <t>AEO.2026.ELECTRNP.CNSM_NA_IDAL_NA_ARO_NA_USA_QBTU.A</t>
        </is>
      </c>
      <c r="D97" s="32" t="inlineStr">
        <is>
          <t>quads</t>
        </is>
      </c>
      <c r="E97" s="32" t="n">
        <v>0.865515</v>
      </c>
      <c r="F97" s="32" t="n">
        <v>0.853366</v>
      </c>
      <c r="G97" s="32" t="n">
        <v>0.855181</v>
      </c>
      <c r="H97" s="32" t="n">
        <v>0.904765</v>
      </c>
      <c r="I97" s="32" t="n">
        <v>0.911755</v>
      </c>
      <c r="J97" s="32" t="n">
        <v>0.914112</v>
      </c>
      <c r="K97" s="32" t="n">
        <v>0.915526</v>
      </c>
      <c r="L97" s="32" t="n">
        <v>0.917858</v>
      </c>
      <c r="M97" s="32" t="n">
        <v>0.920938</v>
      </c>
      <c r="N97" s="32" t="n">
        <v>0.923486</v>
      </c>
      <c r="O97" s="32" t="n">
        <v>0.9242050000000001</v>
      </c>
      <c r="P97" s="32" t="n">
        <v>0.926433</v>
      </c>
      <c r="Q97" s="32" t="n">
        <v>0.930006</v>
      </c>
      <c r="R97" s="32" t="n">
        <v>0.933509</v>
      </c>
      <c r="S97" s="32" t="n">
        <v>0.937003</v>
      </c>
      <c r="T97" s="32" t="n">
        <v>0.940119</v>
      </c>
      <c r="U97" s="32" t="n">
        <v>0.942551</v>
      </c>
      <c r="V97" s="32" t="n">
        <v>0.944661</v>
      </c>
      <c r="W97" s="32" t="n">
        <v>0.945055</v>
      </c>
      <c r="X97" s="32" t="n">
        <v>0.950188</v>
      </c>
      <c r="Y97" s="32" t="n">
        <v>0.955967</v>
      </c>
      <c r="Z97" s="32" t="n">
        <v>0.9555670000000001</v>
      </c>
      <c r="AA97" s="32" t="n">
        <v>0.954441</v>
      </c>
      <c r="AB97" s="32" t="n">
        <v>0.954592</v>
      </c>
      <c r="AC97" s="32" t="n">
        <v>0.953116</v>
      </c>
      <c r="AD97" s="32" t="n">
        <v>0.9510960000000001</v>
      </c>
      <c r="AE97" s="32" t="inlineStr">
        <is>
          <t>0.4%</t>
        </is>
      </c>
    </row>
    <row r="98">
      <c r="A98" t="inlineStr">
        <is>
          <t>Still Gas</t>
        </is>
      </c>
      <c r="B98" t="inlineStr">
        <is>
          <t>Industrial: Total Industrial Sector Use Excluding H2 Production: Still Gas: Alternative Electricity and Transportation</t>
        </is>
      </c>
      <c r="C98" t="inlineStr">
        <is>
          <t>AEO.2026.ELECTRNP.CNSM_NA_IDAL_NA_SLG_NA_USA_QBTU.A</t>
        </is>
      </c>
      <c r="D98" t="inlineStr">
        <is>
          <t>quads</t>
        </is>
      </c>
      <c r="E98" t="n">
        <v>1.342787</v>
      </c>
      <c r="F98" t="n">
        <v>1.342787</v>
      </c>
      <c r="G98" t="n">
        <v>1.324129</v>
      </c>
      <c r="H98" t="n">
        <v>1.342398</v>
      </c>
      <c r="I98" t="n">
        <v>1.352354</v>
      </c>
      <c r="J98" t="n">
        <v>1.376874</v>
      </c>
      <c r="K98" t="n">
        <v>1.367112</v>
      </c>
      <c r="L98" t="n">
        <v>1.38999</v>
      </c>
      <c r="M98" t="n">
        <v>1.386209</v>
      </c>
      <c r="N98" t="n">
        <v>1.393017</v>
      </c>
      <c r="O98" t="n">
        <v>1.394128</v>
      </c>
      <c r="P98" t="n">
        <v>1.398946</v>
      </c>
      <c r="Q98" t="n">
        <v>1.406259</v>
      </c>
      <c r="R98" t="n">
        <v>1.404507</v>
      </c>
      <c r="S98" t="n">
        <v>1.402217</v>
      </c>
      <c r="T98" t="n">
        <v>1.416699</v>
      </c>
      <c r="U98" t="n">
        <v>1.417767</v>
      </c>
      <c r="V98" t="n">
        <v>1.418974</v>
      </c>
      <c r="W98" t="n">
        <v>1.428242</v>
      </c>
      <c r="X98" t="n">
        <v>1.42178</v>
      </c>
      <c r="Y98" t="n">
        <v>1.41749</v>
      </c>
      <c r="Z98" t="n">
        <v>1.401137</v>
      </c>
      <c r="AA98" t="n">
        <v>1.427122</v>
      </c>
      <c r="AB98" t="n">
        <v>1.408149</v>
      </c>
      <c r="AC98" t="n">
        <v>1.41645</v>
      </c>
      <c r="AD98" t="n">
        <v>1.403795</v>
      </c>
      <c r="AE98" t="inlineStr">
        <is>
          <t>0.2%</t>
        </is>
      </c>
    </row>
    <row r="99">
      <c r="A99" t="inlineStr">
        <is>
          <t>Miscellaneous Petroleum</t>
        </is>
      </c>
      <c r="B99" t="inlineStr">
        <is>
          <t>Industrial: Total Industrial Sector Use Excluding H2 Production: Miscellaneous Petroleum: Alternative Electricity and Transportation</t>
        </is>
      </c>
      <c r="C99" t="inlineStr">
        <is>
          <t>AEO.2026.ELECTRNP.CNSM_NA_IDAL_NA_MPET_NA_USA_QBTU.A</t>
        </is>
      </c>
      <c r="D99" t="inlineStr">
        <is>
          <t>quads</t>
        </is>
      </c>
      <c r="E99" t="n">
        <v>0.345201</v>
      </c>
      <c r="F99" t="n">
        <v>0.348878</v>
      </c>
      <c r="G99" t="n">
        <v>0.348971</v>
      </c>
      <c r="H99" t="n">
        <v>0.352531</v>
      </c>
      <c r="I99" t="n">
        <v>0.357573</v>
      </c>
      <c r="J99" t="n">
        <v>0.358869</v>
      </c>
      <c r="K99" t="n">
        <v>0.365704</v>
      </c>
      <c r="L99" t="n">
        <v>0.369757</v>
      </c>
      <c r="M99" t="n">
        <v>0.389179</v>
      </c>
      <c r="N99" t="n">
        <v>0.393859</v>
      </c>
      <c r="O99" t="n">
        <v>0.399736</v>
      </c>
      <c r="P99" t="n">
        <v>0.405595</v>
      </c>
      <c r="Q99" t="n">
        <v>0.41624</v>
      </c>
      <c r="R99" t="n">
        <v>0.423427</v>
      </c>
      <c r="S99" t="n">
        <v>0.43248</v>
      </c>
      <c r="T99" t="n">
        <v>0.432627</v>
      </c>
      <c r="U99" t="n">
        <v>0.440997</v>
      </c>
      <c r="V99" t="n">
        <v>0.446946</v>
      </c>
      <c r="W99" t="n">
        <v>0.447976</v>
      </c>
      <c r="X99" t="n">
        <v>0.454701</v>
      </c>
      <c r="Y99" t="n">
        <v>0.459163</v>
      </c>
      <c r="Z99" t="n">
        <v>0.465948</v>
      </c>
      <c r="AA99" t="n">
        <v>0.468807</v>
      </c>
      <c r="AB99" t="n">
        <v>0.479161</v>
      </c>
      <c r="AC99" t="n">
        <v>0.482877</v>
      </c>
      <c r="AD99" t="n">
        <v>0.484898</v>
      </c>
      <c r="AE99" t="inlineStr">
        <is>
          <t>1.4%</t>
        </is>
      </c>
    </row>
    <row r="100">
      <c r="A100" t="inlineStr">
        <is>
          <t>Petroleum and Other Liquids Subtotal</t>
        </is>
      </c>
      <c r="B100" t="inlineStr">
        <is>
          <t>Industrial: Total Industrial Sector Use Excluding H2 Production: Petroleum Subtotal: Alternative Electricity and Transportation</t>
        </is>
      </c>
      <c r="C100" t="inlineStr">
        <is>
          <t>AEO.2026.ELECTRNP.CNSM_NA_IDAL_NA_PET_NA_USA_QBTU.A</t>
        </is>
      </c>
      <c r="D100" t="inlineStr">
        <is>
          <t>quads</t>
        </is>
      </c>
      <c r="E100" t="n">
        <v>8.623908</v>
      </c>
      <c r="F100" t="n">
        <v>8.515696999999999</v>
      </c>
      <c r="G100" t="n">
        <v>8.695665</v>
      </c>
      <c r="H100" t="n">
        <v>8.895080999999999</v>
      </c>
      <c r="I100" t="n">
        <v>8.853493</v>
      </c>
      <c r="J100" t="n">
        <v>8.896534000000001</v>
      </c>
      <c r="K100" t="n">
        <v>8.933109</v>
      </c>
      <c r="L100" t="n">
        <v>9.010137</v>
      </c>
      <c r="M100" t="n">
        <v>9.073727</v>
      </c>
      <c r="N100" t="n">
        <v>9.145210000000001</v>
      </c>
      <c r="O100" t="n">
        <v>9.211485</v>
      </c>
      <c r="P100" t="n">
        <v>9.292655</v>
      </c>
      <c r="Q100" t="n">
        <v>9.372377</v>
      </c>
      <c r="R100" t="n">
        <v>9.439107</v>
      </c>
      <c r="S100" t="n">
        <v>9.536899</v>
      </c>
      <c r="T100" t="n">
        <v>9.636274999999999</v>
      </c>
      <c r="U100" t="n">
        <v>9.732426999999999</v>
      </c>
      <c r="V100" t="n">
        <v>9.839432</v>
      </c>
      <c r="W100" t="n">
        <v>9.939584</v>
      </c>
      <c r="X100" t="n">
        <v>10.034115</v>
      </c>
      <c r="Y100" t="n">
        <v>10.142824</v>
      </c>
      <c r="Z100" t="n">
        <v>10.231821</v>
      </c>
      <c r="AA100" t="n">
        <v>10.366573</v>
      </c>
      <c r="AB100" t="n">
        <v>10.457174</v>
      </c>
      <c r="AC100" t="n">
        <v>10.541565</v>
      </c>
      <c r="AD100" t="n">
        <v>10.62656</v>
      </c>
      <c r="AE100" t="inlineStr">
        <is>
          <t>0.8%</t>
        </is>
      </c>
    </row>
    <row r="101">
      <c r="A101" t="inlineStr">
        <is>
          <t>Natural Gas Heat and Power</t>
        </is>
      </c>
      <c r="B101" t="inlineStr">
        <is>
          <t>Industrial: Total Industrial Sector Use Excluding H2 Production: Natural Gas Heat and Power: Alternative Electricity and Transportation</t>
        </is>
      </c>
      <c r="C101" t="inlineStr">
        <is>
          <t>AEO.2026.ELECTRNP.CNSM_NA_IDAL_NA_NHP_NA_USA_QBTU.A</t>
        </is>
      </c>
      <c r="D101" t="inlineStr">
        <is>
          <t>quads</t>
        </is>
      </c>
      <c r="E101" t="n">
        <v>7.588323</v>
      </c>
      <c r="F101" t="n">
        <v>7.499679</v>
      </c>
      <c r="G101" t="n">
        <v>7.402007</v>
      </c>
      <c r="H101" t="n">
        <v>7.405499</v>
      </c>
      <c r="I101" t="n">
        <v>7.403704</v>
      </c>
      <c r="J101" t="n">
        <v>7.408917</v>
      </c>
      <c r="K101" t="n">
        <v>7.447227</v>
      </c>
      <c r="L101" t="n">
        <v>7.473269</v>
      </c>
      <c r="M101" t="n">
        <v>7.471875</v>
      </c>
      <c r="N101" t="n">
        <v>7.491103</v>
      </c>
      <c r="O101" t="n">
        <v>7.511376</v>
      </c>
      <c r="P101" t="n">
        <v>7.518469</v>
      </c>
      <c r="Q101" t="n">
        <v>7.509687</v>
      </c>
      <c r="R101" t="n">
        <v>7.519268</v>
      </c>
      <c r="S101" t="n">
        <v>7.532007</v>
      </c>
      <c r="T101" t="n">
        <v>7.567843</v>
      </c>
      <c r="U101" t="n">
        <v>7.606956</v>
      </c>
      <c r="V101" t="n">
        <v>7.673655</v>
      </c>
      <c r="W101" t="n">
        <v>7.743966</v>
      </c>
      <c r="X101" t="n">
        <v>7.80728</v>
      </c>
      <c r="Y101" t="n">
        <v>7.879305</v>
      </c>
      <c r="Z101" t="n">
        <v>7.939228</v>
      </c>
      <c r="AA101" t="n">
        <v>8.01519</v>
      </c>
      <c r="AB101" t="n">
        <v>8.073936</v>
      </c>
      <c r="AC101" t="n">
        <v>8.121937000000001</v>
      </c>
      <c r="AD101" t="n">
        <v>8.197423000000001</v>
      </c>
      <c r="AE101" t="inlineStr">
        <is>
          <t>0.3%</t>
        </is>
      </c>
    </row>
    <row r="102">
      <c r="A102" t="inlineStr">
        <is>
          <t>Natural Gas Feedstocks</t>
        </is>
      </c>
      <c r="B102" t="inlineStr">
        <is>
          <t>Industrial: Total Industrial Sector Use Excluding H2 Production: Natural Gas Feedstocks: Alternative Electricity and Transportation</t>
        </is>
      </c>
      <c r="C102" t="inlineStr">
        <is>
          <t>AEO.2026.ELECTRNP.CNSM_NA_IDAL_NA_NGF_NA_USA_QBTU.A</t>
        </is>
      </c>
      <c r="D102" t="inlineStr">
        <is>
          <t>quads</t>
        </is>
      </c>
      <c r="E102" t="n">
        <v>0.302</v>
      </c>
      <c r="F102" t="n">
        <v>0.302</v>
      </c>
      <c r="G102" t="n">
        <v>0.289</v>
      </c>
      <c r="H102" t="n">
        <v>0.288993</v>
      </c>
      <c r="I102" t="n">
        <v>0.282343</v>
      </c>
      <c r="J102" t="n">
        <v>0.280323</v>
      </c>
      <c r="K102" t="n">
        <v>0.283853</v>
      </c>
      <c r="L102" t="n">
        <v>0.287406</v>
      </c>
      <c r="M102" t="n">
        <v>0.292304</v>
      </c>
      <c r="N102" t="n">
        <v>0.297761</v>
      </c>
      <c r="O102" t="n">
        <v>0.302278</v>
      </c>
      <c r="P102" t="n">
        <v>0.309406</v>
      </c>
      <c r="Q102" t="n">
        <v>0.312692</v>
      </c>
      <c r="R102" t="n">
        <v>0.316984</v>
      </c>
      <c r="S102" t="n">
        <v>0.325151</v>
      </c>
      <c r="T102" t="n">
        <v>0.331404</v>
      </c>
      <c r="U102" t="n">
        <v>0.338929</v>
      </c>
      <c r="V102" t="n">
        <v>0.346738</v>
      </c>
      <c r="W102" t="n">
        <v>0.355503</v>
      </c>
      <c r="X102" t="n">
        <v>0.364998</v>
      </c>
      <c r="Y102" t="n">
        <v>0.375146</v>
      </c>
      <c r="Z102" t="n">
        <v>0.384974</v>
      </c>
      <c r="AA102" t="n">
        <v>0.394715</v>
      </c>
      <c r="AB102" t="n">
        <v>0.403705</v>
      </c>
      <c r="AC102" t="n">
        <v>0.409926</v>
      </c>
      <c r="AD102" t="n">
        <v>0.418378</v>
      </c>
      <c r="AE102" t="inlineStr">
        <is>
          <t>1.3%</t>
        </is>
      </c>
    </row>
    <row r="103">
      <c r="A103" t="inlineStr">
        <is>
          <t>Lease and Plant Fuel</t>
        </is>
      </c>
      <c r="B103" t="inlineStr">
        <is>
          <t>Industrial: Total Industrial Sector Use Excluding H2 Production: Lease and Plant Fuel: Alternative Electricity and Transportation</t>
        </is>
      </c>
      <c r="C103" t="inlineStr">
        <is>
          <t>AEO.2026.ELECTRNP.CNSM_NA_IDAL_NA_LSAPFL_NA_USA_QBTU.A</t>
        </is>
      </c>
      <c r="D103" t="inlineStr">
        <is>
          <t>quads</t>
        </is>
      </c>
      <c r="E103" t="n">
        <v>2.136239</v>
      </c>
      <c r="F103" t="n">
        <v>2.128485</v>
      </c>
      <c r="G103" t="n">
        <v>2.16034</v>
      </c>
      <c r="H103" t="n">
        <v>2.165232</v>
      </c>
      <c r="I103" t="n">
        <v>2.162156</v>
      </c>
      <c r="J103" t="n">
        <v>2.203182</v>
      </c>
      <c r="K103" t="n">
        <v>2.264353</v>
      </c>
      <c r="L103" t="n">
        <v>2.334959</v>
      </c>
      <c r="M103" t="n">
        <v>2.395234</v>
      </c>
      <c r="N103" t="n">
        <v>2.452581</v>
      </c>
      <c r="O103" t="n">
        <v>2.473735</v>
      </c>
      <c r="P103" t="n">
        <v>2.482664</v>
      </c>
      <c r="Q103" t="n">
        <v>2.492755</v>
      </c>
      <c r="R103" t="n">
        <v>2.506868</v>
      </c>
      <c r="S103" t="n">
        <v>2.524662</v>
      </c>
      <c r="T103" t="n">
        <v>2.567465</v>
      </c>
      <c r="U103" t="n">
        <v>2.601775</v>
      </c>
      <c r="V103" t="n">
        <v>2.630552</v>
      </c>
      <c r="W103" t="n">
        <v>2.644943</v>
      </c>
      <c r="X103" t="n">
        <v>2.647805</v>
      </c>
      <c r="Y103" t="n">
        <v>2.645955</v>
      </c>
      <c r="Z103" t="n">
        <v>2.656424</v>
      </c>
      <c r="AA103" t="n">
        <v>2.673549</v>
      </c>
      <c r="AB103" t="n">
        <v>2.689496</v>
      </c>
      <c r="AC103" t="n">
        <v>2.689622</v>
      </c>
      <c r="AD103" t="n">
        <v>2.684877</v>
      </c>
      <c r="AE103" t="inlineStr">
        <is>
          <t>0.9%</t>
        </is>
      </c>
    </row>
    <row r="104">
      <c r="A104" t="inlineStr">
        <is>
          <t>Natural Gas Subtotal</t>
        </is>
      </c>
      <c r="B104" t="inlineStr">
        <is>
          <t>Industrial: Total Industrial Sector Use Excluding H2 Production: Natural Gas Subtotal: Alternative Electricity and Transportation</t>
        </is>
      </c>
      <c r="C104" t="inlineStr">
        <is>
          <t>AEO.2026.ELECTRNP.CNSM_NA_IDAL_NA_NGS_NA_USA_QBTU.A</t>
        </is>
      </c>
      <c r="D104" t="inlineStr">
        <is>
          <t>quads</t>
        </is>
      </c>
      <c r="E104" t="n">
        <v>10.026562</v>
      </c>
      <c r="F104" t="n">
        <v>9.930163</v>
      </c>
      <c r="G104" t="n">
        <v>9.851345999999999</v>
      </c>
      <c r="H104" t="n">
        <v>9.859723000000001</v>
      </c>
      <c r="I104" t="n">
        <v>9.848203</v>
      </c>
      <c r="J104" t="n">
        <v>9.892422</v>
      </c>
      <c r="K104" t="n">
        <v>9.995433999999999</v>
      </c>
      <c r="L104" t="n">
        <v>10.095634</v>
      </c>
      <c r="M104" t="n">
        <v>10.159412</v>
      </c>
      <c r="N104" t="n">
        <v>10.241445</v>
      </c>
      <c r="O104" t="n">
        <v>10.287389</v>
      </c>
      <c r="P104" t="n">
        <v>10.310538</v>
      </c>
      <c r="Q104" t="n">
        <v>10.315134</v>
      </c>
      <c r="R104" t="n">
        <v>10.34312</v>
      </c>
      <c r="S104" t="n">
        <v>10.38182</v>
      </c>
      <c r="T104" t="n">
        <v>10.466712</v>
      </c>
      <c r="U104" t="n">
        <v>10.54766</v>
      </c>
      <c r="V104" t="n">
        <v>10.650945</v>
      </c>
      <c r="W104" t="n">
        <v>10.744411</v>
      </c>
      <c r="X104" t="n">
        <v>10.820083</v>
      </c>
      <c r="Y104" t="n">
        <v>10.900405</v>
      </c>
      <c r="Z104" t="n">
        <v>10.980626</v>
      </c>
      <c r="AA104" t="n">
        <v>11.083455</v>
      </c>
      <c r="AB104" t="n">
        <v>11.167137</v>
      </c>
      <c r="AC104" t="n">
        <v>11.221485</v>
      </c>
      <c r="AD104" t="n">
        <v>11.300678</v>
      </c>
      <c r="AE104" t="inlineStr">
        <is>
          <t>0.5%</t>
        </is>
      </c>
    </row>
    <row r="105">
      <c r="A105" t="inlineStr">
        <is>
          <t>Hydrogen Consumed as Feedstocks</t>
        </is>
      </c>
      <c r="B105" t="inlineStr">
        <is>
          <t>Industrial: Total Industrial Sector Use Excluding H2 Production: Hydrogen Feedstocks: Alternative Electricity and Transportation</t>
        </is>
      </c>
      <c r="C105" t="inlineStr">
        <is>
          <t>AEO.2026.ELECTRNP.CNSM_NA_IDAL_NA_H2FEEDSTK_NA_USA_QBTU.A</t>
        </is>
      </c>
      <c r="D105" t="inlineStr">
        <is>
          <t>quads</t>
        </is>
      </c>
      <c r="E105" t="n">
        <v>1.075156</v>
      </c>
      <c r="F105" t="n">
        <v>1.020749</v>
      </c>
      <c r="G105" t="n">
        <v>1.018594</v>
      </c>
      <c r="H105" t="n">
        <v>1.01996</v>
      </c>
      <c r="I105" t="n">
        <v>1.029969</v>
      </c>
      <c r="J105" t="n">
        <v>1.027752</v>
      </c>
      <c r="K105" t="n">
        <v>1.015987</v>
      </c>
      <c r="L105" t="n">
        <v>1.013299</v>
      </c>
      <c r="M105" t="n">
        <v>1.018231</v>
      </c>
      <c r="N105" t="n">
        <v>1.039248</v>
      </c>
      <c r="O105" t="n">
        <v>1.049199</v>
      </c>
      <c r="P105" t="n">
        <v>1.052016</v>
      </c>
      <c r="Q105" t="n">
        <v>1.07089</v>
      </c>
      <c r="R105" t="n">
        <v>1.0807</v>
      </c>
      <c r="S105" t="n">
        <v>1.08871</v>
      </c>
      <c r="T105" t="n">
        <v>1.090008</v>
      </c>
      <c r="U105" t="n">
        <v>1.096752</v>
      </c>
      <c r="V105" t="n">
        <v>1.101672</v>
      </c>
      <c r="W105" t="n">
        <v>1.111893</v>
      </c>
      <c r="X105" t="n">
        <v>1.134199</v>
      </c>
      <c r="Y105" t="n">
        <v>1.149282</v>
      </c>
      <c r="Z105" t="n">
        <v>1.157262</v>
      </c>
      <c r="AA105" t="n">
        <v>1.168895</v>
      </c>
      <c r="AB105" t="n">
        <v>1.17652</v>
      </c>
      <c r="AC105" t="n">
        <v>1.182419</v>
      </c>
      <c r="AD105" t="n">
        <v>1.189262</v>
      </c>
      <c r="AE105" t="inlineStr">
        <is>
          <t>0.4%</t>
        </is>
      </c>
    </row>
    <row r="106">
      <c r="A106" t="inlineStr">
        <is>
          <t>Metallurgical Coal and Coke</t>
        </is>
      </c>
      <c r="B106" t="inlineStr">
        <is>
          <t>Industrial: Total Industrial Sector Use Excluding H2 Production: Metallurgical Coal and Coke: Alternative Electricity and Transportation</t>
        </is>
      </c>
      <c r="C106" t="inlineStr">
        <is>
          <t>AEO.2026.ELECTRNP.CNSM_NA_IDAL_NA_MCC_NA_USA_QBTU.A</t>
        </is>
      </c>
      <c r="D106" t="inlineStr">
        <is>
          <t>quads</t>
        </is>
      </c>
      <c r="E106" t="n">
        <v>0.387265</v>
      </c>
      <c r="F106" t="n">
        <v>0.402249</v>
      </c>
      <c r="G106" t="n">
        <v>0.420626</v>
      </c>
      <c r="H106" t="n">
        <v>0.405103</v>
      </c>
      <c r="I106" t="n">
        <v>0.394221</v>
      </c>
      <c r="J106" t="n">
        <v>0.388402</v>
      </c>
      <c r="K106" t="n">
        <v>0.380929</v>
      </c>
      <c r="L106" t="n">
        <v>0.375735</v>
      </c>
      <c r="M106" t="n">
        <v>0.369932</v>
      </c>
      <c r="N106" t="n">
        <v>0.360182</v>
      </c>
      <c r="O106" t="n">
        <v>0.352244</v>
      </c>
      <c r="P106" t="n">
        <v>0.342265</v>
      </c>
      <c r="Q106" t="n">
        <v>0.333511</v>
      </c>
      <c r="R106" t="n">
        <v>0.323925</v>
      </c>
      <c r="S106" t="n">
        <v>0.313946</v>
      </c>
      <c r="T106" t="n">
        <v>0.306124</v>
      </c>
      <c r="U106" t="n">
        <v>0.299091</v>
      </c>
      <c r="V106" t="n">
        <v>0.292269</v>
      </c>
      <c r="W106" t="n">
        <v>0.284813</v>
      </c>
      <c r="X106" t="n">
        <v>0.277462</v>
      </c>
      <c r="Y106" t="n">
        <v>0.272003</v>
      </c>
      <c r="Z106" t="n">
        <v>0.265519</v>
      </c>
      <c r="AA106" t="n">
        <v>0.25993</v>
      </c>
      <c r="AB106" t="n">
        <v>0.253888</v>
      </c>
      <c r="AC106" t="n">
        <v>0.246588</v>
      </c>
      <c r="AD106" t="n">
        <v>0.240534</v>
      </c>
      <c r="AE106" t="inlineStr">
        <is>
          <t>-1.9%</t>
        </is>
      </c>
    </row>
    <row r="107">
      <c r="A107" t="inlineStr">
        <is>
          <t>Steam Coal</t>
        </is>
      </c>
      <c r="B107" t="inlineStr">
        <is>
          <t>Industrial: Total Industrial Sector Use Excluding H2 Production: Other Industrial Coal: Alternative Electricity and Transportation</t>
        </is>
      </c>
      <c r="C107" t="inlineStr">
        <is>
          <t>AEO.2026.ELECTRNP.CNSM_NA_IDAL_NA_STC_NA_USA_QBTU.A</t>
        </is>
      </c>
      <c r="D107" t="inlineStr">
        <is>
          <t>quads</t>
        </is>
      </c>
      <c r="E107" t="n">
        <v>0.400357</v>
      </c>
      <c r="F107" t="n">
        <v>0.368676</v>
      </c>
      <c r="G107" t="n">
        <v>0.367838</v>
      </c>
      <c r="H107" t="n">
        <v>0.364646</v>
      </c>
      <c r="I107" t="n">
        <v>0.361133</v>
      </c>
      <c r="J107" t="n">
        <v>0.358318</v>
      </c>
      <c r="K107" t="n">
        <v>0.354281</v>
      </c>
      <c r="L107" t="n">
        <v>0.355666</v>
      </c>
      <c r="M107" t="n">
        <v>0.355927</v>
      </c>
      <c r="N107" t="n">
        <v>0.354811</v>
      </c>
      <c r="O107" t="n">
        <v>0.353166</v>
      </c>
      <c r="P107" t="n">
        <v>0.350292</v>
      </c>
      <c r="Q107" t="n">
        <v>0.346605</v>
      </c>
      <c r="R107" t="n">
        <v>0.342346</v>
      </c>
      <c r="S107" t="n">
        <v>0.337837</v>
      </c>
      <c r="T107" t="n">
        <v>0.333433</v>
      </c>
      <c r="U107" t="n">
        <v>0.329175</v>
      </c>
      <c r="V107" t="n">
        <v>0.324752</v>
      </c>
      <c r="W107" t="n">
        <v>0.32024</v>
      </c>
      <c r="X107" t="n">
        <v>0.315859</v>
      </c>
      <c r="Y107" t="n">
        <v>0.312079</v>
      </c>
      <c r="Z107" t="n">
        <v>0.30854</v>
      </c>
      <c r="AA107" t="n">
        <v>0.305125</v>
      </c>
      <c r="AB107" t="n">
        <v>0.301662</v>
      </c>
      <c r="AC107" t="n">
        <v>0.298052</v>
      </c>
      <c r="AD107" t="n">
        <v>0.294661</v>
      </c>
      <c r="AE107" t="inlineStr">
        <is>
          <t>-1.2%</t>
        </is>
      </c>
    </row>
    <row r="108">
      <c r="A108" t="inlineStr">
        <is>
          <t>Coal Subtotal</t>
        </is>
      </c>
      <c r="B108" t="inlineStr">
        <is>
          <t>Industrial: Total Industrial Sector Use Excluding H2 Production: Coal Subtotal: Alternative Electricity and Transportation</t>
        </is>
      </c>
      <c r="C108" t="inlineStr">
        <is>
          <t>AEO.2026.ELECTRNP.CNSM_NA_IDAL_NA_COS_NA_USA_QBTU.A</t>
        </is>
      </c>
      <c r="D108" t="inlineStr">
        <is>
          <t>quads</t>
        </is>
      </c>
      <c r="E108" t="n">
        <v>0.787623</v>
      </c>
      <c r="F108" t="n">
        <v>0.770925</v>
      </c>
      <c r="G108" t="n">
        <v>0.7884640000000001</v>
      </c>
      <c r="H108" t="n">
        <v>0.769748</v>
      </c>
      <c r="I108" t="n">
        <v>0.755355</v>
      </c>
      <c r="J108" t="n">
        <v>0.746719</v>
      </c>
      <c r="K108" t="n">
        <v>0.7352109999999999</v>
      </c>
      <c r="L108" t="n">
        <v>0.731401</v>
      </c>
      <c r="M108" t="n">
        <v>0.725859</v>
      </c>
      <c r="N108" t="n">
        <v>0.714994</v>
      </c>
      <c r="O108" t="n">
        <v>0.70541</v>
      </c>
      <c r="P108" t="n">
        <v>0.692558</v>
      </c>
      <c r="Q108" t="n">
        <v>0.6801160000000001</v>
      </c>
      <c r="R108" t="n">
        <v>0.6662709999999999</v>
      </c>
      <c r="S108" t="n">
        <v>0.651783</v>
      </c>
      <c r="T108" t="n">
        <v>0.639557</v>
      </c>
      <c r="U108" t="n">
        <v>0.628266</v>
      </c>
      <c r="V108" t="n">
        <v>0.617021</v>
      </c>
      <c r="W108" t="n">
        <v>0.605053</v>
      </c>
      <c r="X108" t="n">
        <v>0.593321</v>
      </c>
      <c r="Y108" t="n">
        <v>0.584082</v>
      </c>
      <c r="Z108" t="n">
        <v>0.574058</v>
      </c>
      <c r="AA108" t="n">
        <v>0.565055</v>
      </c>
      <c r="AB108" t="n">
        <v>0.55555</v>
      </c>
      <c r="AC108" t="n">
        <v>0.54464</v>
      </c>
      <c r="AD108" t="n">
        <v>0.535195</v>
      </c>
      <c r="AE108" t="inlineStr">
        <is>
          <t>-1.5%</t>
        </is>
      </c>
    </row>
    <row r="109">
      <c r="A109" t="inlineStr">
        <is>
          <t>Biofuels Heat and Coproducts</t>
        </is>
      </c>
      <c r="B109" t="inlineStr">
        <is>
          <t>Industrial: Total Industrial Sector Use Excluding H2 Production: Biofuels Heat and Coproducts: Alternative Electricity and Transportation</t>
        </is>
      </c>
      <c r="C109" t="inlineStr">
        <is>
          <t>AEO.2026.ELECTRNP.CNSM_NA_IDAL_NA_BFH_NA_USA_QBTU.A</t>
        </is>
      </c>
      <c r="D109" t="inlineStr">
        <is>
          <t>quads</t>
        </is>
      </c>
      <c r="E109" t="n">
        <v>0.908917</v>
      </c>
      <c r="F109" t="n">
        <v>0.924606</v>
      </c>
      <c r="G109" t="n">
        <v>0.937098</v>
      </c>
      <c r="H109" t="n">
        <v>0.941686</v>
      </c>
      <c r="I109" t="n">
        <v>0.9385599999999999</v>
      </c>
      <c r="J109" t="n">
        <v>0.940195</v>
      </c>
      <c r="K109" t="n">
        <v>0.9370849999999999</v>
      </c>
      <c r="L109" t="n">
        <v>0.935959</v>
      </c>
      <c r="M109" t="n">
        <v>0.9345909999999999</v>
      </c>
      <c r="N109" t="n">
        <v>0.936723</v>
      </c>
      <c r="O109" t="n">
        <v>0.93835</v>
      </c>
      <c r="P109" t="n">
        <v>0.944568</v>
      </c>
      <c r="Q109" t="n">
        <v>0.944168</v>
      </c>
      <c r="R109" t="n">
        <v>0.944952</v>
      </c>
      <c r="S109" t="n">
        <v>0.945946</v>
      </c>
      <c r="T109" t="n">
        <v>0.948555</v>
      </c>
      <c r="U109" t="n">
        <v>0.951308</v>
      </c>
      <c r="V109" t="n">
        <v>0.961144</v>
      </c>
      <c r="W109" t="n">
        <v>0.965054</v>
      </c>
      <c r="X109" t="n">
        <v>0.9677210000000001</v>
      </c>
      <c r="Y109" t="n">
        <v>0.968533</v>
      </c>
      <c r="Z109" t="n">
        <v>0.968565</v>
      </c>
      <c r="AA109" t="n">
        <v>0.972857</v>
      </c>
      <c r="AB109" t="n">
        <v>0.978918</v>
      </c>
      <c r="AC109" t="n">
        <v>0.981626</v>
      </c>
      <c r="AD109" t="n">
        <v>0.986055</v>
      </c>
      <c r="AE109" t="inlineStr">
        <is>
          <t>0.3%</t>
        </is>
      </c>
    </row>
    <row r="110">
      <c r="A110" t="inlineStr">
        <is>
          <t>Renewables</t>
        </is>
      </c>
      <c r="B110" t="inlineStr">
        <is>
          <t>Industrial: Total Industrial Sector Use Excluding H2 Production: Renewables: Alternative Electricity and Transportation</t>
        </is>
      </c>
      <c r="C110" t="inlineStr">
        <is>
          <t>AEO.2026.ELECTRNP.CNSM_NA_IDAL_NA_REB_NA_USA_QBTU.A</t>
        </is>
      </c>
      <c r="D110" t="inlineStr">
        <is>
          <t>quads</t>
        </is>
      </c>
      <c r="E110" t="n">
        <v>1.497989</v>
      </c>
      <c r="F110" t="n">
        <v>1.6071</v>
      </c>
      <c r="G110" t="n">
        <v>1.568859</v>
      </c>
      <c r="H110" t="n">
        <v>1.550627</v>
      </c>
      <c r="I110" t="n">
        <v>1.543325</v>
      </c>
      <c r="J110" t="n">
        <v>1.514012</v>
      </c>
      <c r="K110" t="n">
        <v>1.479723</v>
      </c>
      <c r="L110" t="n">
        <v>1.458091</v>
      </c>
      <c r="M110" t="n">
        <v>1.446947</v>
      </c>
      <c r="N110" t="n">
        <v>1.448619</v>
      </c>
      <c r="O110" t="n">
        <v>1.452524</v>
      </c>
      <c r="P110" t="n">
        <v>1.463007</v>
      </c>
      <c r="Q110" t="n">
        <v>1.473162</v>
      </c>
      <c r="R110" t="n">
        <v>1.495779</v>
      </c>
      <c r="S110" t="n">
        <v>1.520454</v>
      </c>
      <c r="T110" t="n">
        <v>1.541369</v>
      </c>
      <c r="U110" t="n">
        <v>1.546718</v>
      </c>
      <c r="V110" t="n">
        <v>1.55775</v>
      </c>
      <c r="W110" t="n">
        <v>1.565254</v>
      </c>
      <c r="X110" t="n">
        <v>1.577919</v>
      </c>
      <c r="Y110" t="n">
        <v>1.602235</v>
      </c>
      <c r="Z110" t="n">
        <v>1.624774</v>
      </c>
      <c r="AA110" t="n">
        <v>1.650185</v>
      </c>
      <c r="AB110" t="n">
        <v>1.673621</v>
      </c>
      <c r="AC110" t="n">
        <v>1.702137</v>
      </c>
      <c r="AD110" t="n">
        <v>1.729226</v>
      </c>
      <c r="AE110" t="inlineStr">
        <is>
          <t>0.6%</t>
        </is>
      </c>
    </row>
    <row r="111">
      <c r="A111" t="inlineStr">
        <is>
          <t>Purchased Electricity</t>
        </is>
      </c>
      <c r="B111" t="inlineStr">
        <is>
          <t>Industrial: Total Industrial Sector Use Excluding H2 Production: Purchased Electricity: Alternative Electricity and Transportation</t>
        </is>
      </c>
      <c r="C111" t="inlineStr">
        <is>
          <t>AEO.2026.ELECTRNP.CNSM_NA_IDAL_NA_PRC_NA_USA_QBTU.A</t>
        </is>
      </c>
      <c r="D111" t="inlineStr">
        <is>
          <t>quads</t>
        </is>
      </c>
      <c r="E111" t="n">
        <v>3.613466</v>
      </c>
      <c r="F111" t="n">
        <v>3.728416</v>
      </c>
      <c r="G111" t="n">
        <v>3.692948</v>
      </c>
      <c r="H111" t="n">
        <v>3.67347</v>
      </c>
      <c r="I111" t="n">
        <v>3.653112</v>
      </c>
      <c r="J111" t="n">
        <v>3.656043</v>
      </c>
      <c r="K111" t="n">
        <v>3.658544</v>
      </c>
      <c r="L111" t="n">
        <v>3.671531</v>
      </c>
      <c r="M111" t="n">
        <v>3.697406</v>
      </c>
      <c r="N111" t="n">
        <v>3.728293</v>
      </c>
      <c r="O111" t="n">
        <v>3.770464</v>
      </c>
      <c r="P111" t="n">
        <v>3.819732</v>
      </c>
      <c r="Q111" t="n">
        <v>3.880527</v>
      </c>
      <c r="R111" t="n">
        <v>3.937976</v>
      </c>
      <c r="S111" t="n">
        <v>3.991862</v>
      </c>
      <c r="T111" t="n">
        <v>4.040571</v>
      </c>
      <c r="U111" t="n">
        <v>4.081971</v>
      </c>
      <c r="V111" t="n">
        <v>4.114147</v>
      </c>
      <c r="W111" t="n">
        <v>4.135117</v>
      </c>
      <c r="X111" t="n">
        <v>4.154756</v>
      </c>
      <c r="Y111" t="n">
        <v>4.188702</v>
      </c>
      <c r="Z111" t="n">
        <v>4.223362</v>
      </c>
      <c r="AA111" t="n">
        <v>4.260318</v>
      </c>
      <c r="AB111" t="n">
        <v>4.296377</v>
      </c>
      <c r="AC111" t="n">
        <v>4.326928</v>
      </c>
      <c r="AD111" t="n">
        <v>4.356355</v>
      </c>
      <c r="AE111" t="inlineStr">
        <is>
          <t>0.8%</t>
        </is>
      </c>
    </row>
    <row r="112">
      <c r="A112" t="inlineStr">
        <is>
          <t>Delivered Energy</t>
        </is>
      </c>
      <c r="B112" t="inlineStr">
        <is>
          <t>Industrial: Total Industrial Sector Use Excluding H2 Production: Delivered Energy: Alternative Electricity and Transportation</t>
        </is>
      </c>
      <c r="C112" t="inlineStr">
        <is>
          <t>AEO.2026.ELECTRNP.CNSM_NA_IDAL_NA_DELE_NA_USA_QBTU.A</t>
        </is>
      </c>
      <c r="D112" t="inlineStr">
        <is>
          <t>quads</t>
        </is>
      </c>
      <c r="E112" t="n">
        <v>26.533618</v>
      </c>
      <c r="F112" t="n">
        <v>26.497657</v>
      </c>
      <c r="G112" t="n">
        <v>26.552974</v>
      </c>
      <c r="H112" t="n">
        <v>26.710294</v>
      </c>
      <c r="I112" t="n">
        <v>26.622017</v>
      </c>
      <c r="J112" t="n">
        <v>26.673677</v>
      </c>
      <c r="K112" t="n">
        <v>26.755093</v>
      </c>
      <c r="L112" t="n">
        <v>26.916053</v>
      </c>
      <c r="M112" t="n">
        <v>27.056172</v>
      </c>
      <c r="N112" t="n">
        <v>27.25453</v>
      </c>
      <c r="O112" t="n">
        <v>27.414819</v>
      </c>
      <c r="P112" t="n">
        <v>27.575074</v>
      </c>
      <c r="Q112" t="n">
        <v>27.736373</v>
      </c>
      <c r="R112" t="n">
        <v>27.907905</v>
      </c>
      <c r="S112" t="n">
        <v>28.117473</v>
      </c>
      <c r="T112" t="n">
        <v>28.363047</v>
      </c>
      <c r="U112" t="n">
        <v>28.5851</v>
      </c>
      <c r="V112" t="n">
        <v>28.842107</v>
      </c>
      <c r="W112" t="n">
        <v>29.066367</v>
      </c>
      <c r="X112" t="n">
        <v>29.282113</v>
      </c>
      <c r="Y112" t="n">
        <v>29.536064</v>
      </c>
      <c r="Z112" t="n">
        <v>29.76047</v>
      </c>
      <c r="AA112" t="n">
        <v>30.067338</v>
      </c>
      <c r="AB112" t="n">
        <v>30.305296</v>
      </c>
      <c r="AC112" t="n">
        <v>30.500799</v>
      </c>
      <c r="AD112" t="n">
        <v>30.72333</v>
      </c>
      <c r="AE112" t="inlineStr">
        <is>
          <t>0.6%</t>
        </is>
      </c>
    </row>
    <row r="113">
      <c r="A113" t="inlineStr">
        <is>
          <t>Electricity-Related Losses</t>
        </is>
      </c>
      <c r="B113" t="inlineStr">
        <is>
          <t>Industrial: Total Industrial Sector Use Excluding H2 Production: Electricity-Related Losses: Alternative Electricity and Transportation</t>
        </is>
      </c>
      <c r="C113" t="inlineStr">
        <is>
          <t>AEO.2026.ELECTRNP.CNSM_NA_IDAL_NA_ELECRELOS_NA_USA_QBTU.A</t>
        </is>
      </c>
      <c r="D113" t="inlineStr">
        <is>
          <t>quads</t>
        </is>
      </c>
      <c r="E113" t="n">
        <v>4.965105</v>
      </c>
      <c r="F113" t="n">
        <v>5.073808</v>
      </c>
      <c r="G113" t="n">
        <v>4.641797</v>
      </c>
      <c r="H113" t="n">
        <v>4.418935</v>
      </c>
      <c r="I113" t="n">
        <v>4.295069</v>
      </c>
      <c r="J113" t="n">
        <v>4.221893</v>
      </c>
      <c r="K113" t="n">
        <v>4.090166</v>
      </c>
      <c r="L113" t="n">
        <v>4.024643</v>
      </c>
      <c r="M113" t="n">
        <v>4.004245</v>
      </c>
      <c r="N113" t="n">
        <v>3.958773</v>
      </c>
      <c r="O113" t="n">
        <v>3.943889</v>
      </c>
      <c r="P113" t="n">
        <v>3.934127</v>
      </c>
      <c r="Q113" t="n">
        <v>3.9573</v>
      </c>
      <c r="R113" t="n">
        <v>3.986079</v>
      </c>
      <c r="S113" t="n">
        <v>4.002359</v>
      </c>
      <c r="T113" t="n">
        <v>4.003138</v>
      </c>
      <c r="U113" t="n">
        <v>3.996583</v>
      </c>
      <c r="V113" t="n">
        <v>4.000162</v>
      </c>
      <c r="W113" t="n">
        <v>3.997722</v>
      </c>
      <c r="X113" t="n">
        <v>3.995728</v>
      </c>
      <c r="Y113" t="n">
        <v>4.007919</v>
      </c>
      <c r="Z113" t="n">
        <v>4.022417</v>
      </c>
      <c r="AA113" t="n">
        <v>4.043008</v>
      </c>
      <c r="AB113" t="n">
        <v>4.061853</v>
      </c>
      <c r="AC113" t="n">
        <v>4.060571</v>
      </c>
      <c r="AD113" t="n">
        <v>4.070766</v>
      </c>
      <c r="AE113" t="inlineStr">
        <is>
          <t>-0.8%</t>
        </is>
      </c>
    </row>
    <row r="114">
      <c r="A114" t="inlineStr">
        <is>
          <t>Hydrogen-Related Losses</t>
        </is>
      </c>
      <c r="B114" t="inlineStr">
        <is>
          <t>Industrial: Total Industrial Sector Use Excluding H2 Production: Hydrogen-Related Losses: Alternative Electricity and Transportation</t>
        </is>
      </c>
      <c r="C114" t="inlineStr">
        <is>
          <t>AEO.2026.ELECTRNP.CNSM_NA_IDAL_NA_H2RELLOS_NA_USA_QBTU.A</t>
        </is>
      </c>
      <c r="D114" t="inlineStr">
        <is>
          <t>quads</t>
        </is>
      </c>
      <c r="E114" t="n">
        <v>0.254733</v>
      </c>
      <c r="F114" t="n">
        <v>0.240508</v>
      </c>
      <c r="G114" t="n">
        <v>0.238346</v>
      </c>
      <c r="H114" t="n">
        <v>0.238278</v>
      </c>
      <c r="I114" t="n">
        <v>0.245689</v>
      </c>
      <c r="J114" t="n">
        <v>0.24486</v>
      </c>
      <c r="K114" t="n">
        <v>0.240335</v>
      </c>
      <c r="L114" t="n">
        <v>0.239145</v>
      </c>
      <c r="M114" t="n">
        <v>0.239901</v>
      </c>
      <c r="N114" t="n">
        <v>0.245741</v>
      </c>
      <c r="O114" t="n">
        <v>0.247527</v>
      </c>
      <c r="P114" t="n">
        <v>0.246917</v>
      </c>
      <c r="Q114" t="n">
        <v>0.247601</v>
      </c>
      <c r="R114" t="n">
        <v>0.247617</v>
      </c>
      <c r="S114" t="n">
        <v>0.249115</v>
      </c>
      <c r="T114" t="n">
        <v>0.248659</v>
      </c>
      <c r="U114" t="n">
        <v>0.2468</v>
      </c>
      <c r="V114" t="n">
        <v>0.247111</v>
      </c>
      <c r="W114" t="n">
        <v>0.249127</v>
      </c>
      <c r="X114" t="n">
        <v>0.25513</v>
      </c>
      <c r="Y114" t="n">
        <v>0.258807</v>
      </c>
      <c r="Z114" t="n">
        <v>0.260065</v>
      </c>
      <c r="AA114" t="n">
        <v>0.262337</v>
      </c>
      <c r="AB114" t="n">
        <v>0.263519</v>
      </c>
      <c r="AC114" t="n">
        <v>0.264496</v>
      </c>
      <c r="AD114" t="n">
        <v>0.265474</v>
      </c>
      <c r="AE114" t="inlineStr">
        <is>
          <t>0.2%</t>
        </is>
      </c>
    </row>
    <row r="115">
      <c r="A115" t="inlineStr">
        <is>
          <t>Total</t>
        </is>
      </c>
      <c r="B115" t="inlineStr">
        <is>
          <t>Industrial: Total Industrial Sector Use: Total: Alternative Electricity and Transportation</t>
        </is>
      </c>
      <c r="C115" t="inlineStr">
        <is>
          <t>AEO.2026.ELECTRNP.CNSM_NA_IDAL_NA_TOT_NA_USA_QBTU.A</t>
        </is>
      </c>
      <c r="D115" t="inlineStr">
        <is>
          <t>quads</t>
        </is>
      </c>
      <c r="E115" t="n">
        <v>31.753456</v>
      </c>
      <c r="F115" t="n">
        <v>31.811973</v>
      </c>
      <c r="G115" t="n">
        <v>31.433117</v>
      </c>
      <c r="H115" t="n">
        <v>31.367507</v>
      </c>
      <c r="I115" t="n">
        <v>31.162775</v>
      </c>
      <c r="J115" t="n">
        <v>31.140431</v>
      </c>
      <c r="K115" t="n">
        <v>31.085595</v>
      </c>
      <c r="L115" t="n">
        <v>31.179842</v>
      </c>
      <c r="M115" t="n">
        <v>31.300318</v>
      </c>
      <c r="N115" t="n">
        <v>31.459045</v>
      </c>
      <c r="O115" t="n">
        <v>31.606235</v>
      </c>
      <c r="P115" t="n">
        <v>31.756118</v>
      </c>
      <c r="Q115" t="n">
        <v>31.941274</v>
      </c>
      <c r="R115" t="n">
        <v>32.1416</v>
      </c>
      <c r="S115" t="n">
        <v>32.368947</v>
      </c>
      <c r="T115" t="n">
        <v>32.614845</v>
      </c>
      <c r="U115" t="n">
        <v>32.828484</v>
      </c>
      <c r="V115" t="n">
        <v>33.08938</v>
      </c>
      <c r="W115" t="n">
        <v>33.313216</v>
      </c>
      <c r="X115" t="n">
        <v>33.53297</v>
      </c>
      <c r="Y115" t="n">
        <v>33.802791</v>
      </c>
      <c r="Z115" t="n">
        <v>34.042953</v>
      </c>
      <c r="AA115" t="n">
        <v>34.372684</v>
      </c>
      <c r="AB115" t="n">
        <v>34.630668</v>
      </c>
      <c r="AC115" t="n">
        <v>34.825866</v>
      </c>
      <c r="AD115" t="n">
        <v>35.059571</v>
      </c>
      <c r="AE115" t="inlineStr">
        <is>
          <t>0.4%</t>
        </is>
      </c>
    </row>
    <row r="116">
      <c r="A116" t="inlineStr">
        <is>
          <t>Total Industrial Sector Primary Consumption</t>
        </is>
      </c>
    </row>
    <row r="117">
      <c r="A117" t="inlineStr">
        <is>
          <t>Propane Heat and Power</t>
        </is>
      </c>
      <c r="B117" t="inlineStr">
        <is>
          <t>Industrial: Total Industrial Sector Primary Consumption: Propane Heat and Power: Alternative Electricity and Transportation</t>
        </is>
      </c>
      <c r="C117" t="inlineStr">
        <is>
          <t>AEO.2026.ELECTRNP.CNSM_NA_IDAL_NA_LPGHP_NA_USA_QBTU.A</t>
        </is>
      </c>
      <c r="D117" t="inlineStr">
        <is>
          <t>quads</t>
        </is>
      </c>
      <c r="E117" t="n">
        <v>0.132555</v>
      </c>
      <c r="F117" t="n">
        <v>0.034223</v>
      </c>
      <c r="G117" t="n">
        <v>0.182581</v>
      </c>
      <c r="H117" t="n">
        <v>0.180743</v>
      </c>
      <c r="I117" t="n">
        <v>0.180365</v>
      </c>
      <c r="J117" t="n">
        <v>0.181238</v>
      </c>
      <c r="K117" t="n">
        <v>0.181122</v>
      </c>
      <c r="L117" t="n">
        <v>0.188451</v>
      </c>
      <c r="M117" t="n">
        <v>0.186918</v>
      </c>
      <c r="N117" t="n">
        <v>0.187642</v>
      </c>
      <c r="O117" t="n">
        <v>0.188551</v>
      </c>
      <c r="P117" t="n">
        <v>0.189361</v>
      </c>
      <c r="Q117" t="n">
        <v>0.192619</v>
      </c>
      <c r="R117" t="n">
        <v>0.195625</v>
      </c>
      <c r="S117" t="n">
        <v>0.198038</v>
      </c>
      <c r="T117" t="n">
        <v>0.199532</v>
      </c>
      <c r="U117" t="n">
        <v>0.199423</v>
      </c>
      <c r="V117" t="n">
        <v>0.19977</v>
      </c>
      <c r="W117" t="n">
        <v>0.199908</v>
      </c>
      <c r="X117" t="n">
        <v>0.200169</v>
      </c>
      <c r="Y117" t="n">
        <v>0.200928</v>
      </c>
      <c r="Z117" t="n">
        <v>0.201934</v>
      </c>
      <c r="AA117" t="n">
        <v>0.20294</v>
      </c>
      <c r="AB117" t="n">
        <v>0.203759</v>
      </c>
      <c r="AC117" t="n">
        <v>0.204574</v>
      </c>
      <c r="AD117" t="n">
        <v>0.205582</v>
      </c>
      <c r="AE117" t="inlineStr">
        <is>
          <t>1.8%</t>
        </is>
      </c>
    </row>
    <row r="118">
      <c r="A118" t="inlineStr">
        <is>
          <t>Hydrocarbon Gas Liquid Feedstocks</t>
        </is>
      </c>
      <c r="B118" t="inlineStr">
        <is>
          <t>Industrial: Total Industrial Sector Primary Consumption: LPG and Other Feedstocks: Alternative Electricity and Transportation</t>
        </is>
      </c>
      <c r="C118" t="inlineStr">
        <is>
          <t>AEO.2026.ELECTRNP.CNSM_NA_IDAL_NA_LPGF_NA_USA_QBTU.A</t>
        </is>
      </c>
      <c r="D118" t="inlineStr">
        <is>
          <t>quads</t>
        </is>
      </c>
      <c r="E118" t="n">
        <v>3.529603</v>
      </c>
      <c r="F118" t="n">
        <v>3.585603</v>
      </c>
      <c r="G118" t="n">
        <v>3.632402</v>
      </c>
      <c r="H118" t="n">
        <v>3.523206</v>
      </c>
      <c r="I118" t="n">
        <v>3.447896</v>
      </c>
      <c r="J118" t="n">
        <v>3.438571</v>
      </c>
      <c r="K118" t="n">
        <v>3.469113</v>
      </c>
      <c r="L118" t="n">
        <v>3.486946</v>
      </c>
      <c r="M118" t="n">
        <v>3.52364</v>
      </c>
      <c r="N118" t="n">
        <v>3.563568</v>
      </c>
      <c r="O118" t="n">
        <v>3.609877</v>
      </c>
      <c r="P118" t="n">
        <v>3.667288</v>
      </c>
      <c r="Q118" t="n">
        <v>3.709755</v>
      </c>
      <c r="R118" t="n">
        <v>3.754002</v>
      </c>
      <c r="S118" t="n">
        <v>3.829764</v>
      </c>
      <c r="T118" t="n">
        <v>3.897878</v>
      </c>
      <c r="U118" t="n">
        <v>3.974275</v>
      </c>
      <c r="V118" t="n">
        <v>4.062888</v>
      </c>
      <c r="W118" t="n">
        <v>4.145109</v>
      </c>
      <c r="X118" t="n">
        <v>4.228109</v>
      </c>
      <c r="Y118" t="n">
        <v>4.318028</v>
      </c>
      <c r="Z118" t="n">
        <v>4.408636</v>
      </c>
      <c r="AA118" t="n">
        <v>4.508538</v>
      </c>
      <c r="AB118" t="n">
        <v>4.597084</v>
      </c>
      <c r="AC118" t="n">
        <v>4.659564</v>
      </c>
      <c r="AD118" t="n">
        <v>4.746164</v>
      </c>
      <c r="AE118" t="inlineStr">
        <is>
          <t>1.2%</t>
        </is>
      </c>
    </row>
    <row r="119">
      <c r="A119" t="inlineStr">
        <is>
          <t>Motor Gasoline</t>
        </is>
      </c>
      <c r="B119" t="inlineStr">
        <is>
          <t>Industrial: Total Industrial Sector Primary Consumption: Motor Gasoline: Alternative Electricity and Transportation</t>
        </is>
      </c>
      <c r="C119" t="inlineStr">
        <is>
          <t>AEO.2026.ELECTRNP.CNSM_NA_IDAL_NA_MGS_NA_USA_QBTU.A</t>
        </is>
      </c>
      <c r="D119" t="inlineStr">
        <is>
          <t>quads</t>
        </is>
      </c>
      <c r="E119" t="n">
        <v>0.274134</v>
      </c>
      <c r="F119" t="n">
        <v>0.272877</v>
      </c>
      <c r="G119" t="n">
        <v>0.274898</v>
      </c>
      <c r="H119" t="n">
        <v>0.278423</v>
      </c>
      <c r="I119" t="n">
        <v>0.281926</v>
      </c>
      <c r="J119" t="n">
        <v>0.286878</v>
      </c>
      <c r="K119" t="n">
        <v>0.291053</v>
      </c>
      <c r="L119" t="n">
        <v>0.295224</v>
      </c>
      <c r="M119" t="n">
        <v>0.298205</v>
      </c>
      <c r="N119" t="n">
        <v>0.30178</v>
      </c>
      <c r="O119" t="n">
        <v>0.304799</v>
      </c>
      <c r="P119" t="n">
        <v>0.307633</v>
      </c>
      <c r="Q119" t="n">
        <v>0.310316</v>
      </c>
      <c r="R119" t="n">
        <v>0.312839</v>
      </c>
      <c r="S119" t="n">
        <v>0.315401</v>
      </c>
      <c r="T119" t="n">
        <v>0.317999</v>
      </c>
      <c r="U119" t="n">
        <v>0.320688</v>
      </c>
      <c r="V119" t="n">
        <v>0.323215</v>
      </c>
      <c r="W119" t="n">
        <v>0.325655</v>
      </c>
      <c r="X119" t="n">
        <v>0.327945</v>
      </c>
      <c r="Y119" t="n">
        <v>0.330613</v>
      </c>
      <c r="Z119" t="n">
        <v>0.333403</v>
      </c>
      <c r="AA119" t="n">
        <v>0.336337</v>
      </c>
      <c r="AB119" t="n">
        <v>0.338948</v>
      </c>
      <c r="AC119" t="n">
        <v>0.341414</v>
      </c>
      <c r="AD119" t="n">
        <v>0.34381</v>
      </c>
      <c r="AE119" t="inlineStr">
        <is>
          <t>0.9%</t>
        </is>
      </c>
    </row>
    <row r="120">
      <c r="A120" t="inlineStr">
        <is>
          <t>Distillate Fuel Oil</t>
        </is>
      </c>
      <c r="B120" t="inlineStr">
        <is>
          <t>Industrial: Total Industrial Sector Primary Consumption: Distillate Fuel Oil: Alternative Electricity and Transportation</t>
        </is>
      </c>
      <c r="C120" t="inlineStr">
        <is>
          <t>AEO.2026.ELECTRNP.CNSM_NA_IDAL_NA_DFO_NA_USA_QBTU.A</t>
        </is>
      </c>
      <c r="D120" t="inlineStr">
        <is>
          <t>quads</t>
        </is>
      </c>
      <c r="E120" t="n">
        <v>1.161135</v>
      </c>
      <c r="F120" t="n">
        <v>1.161444</v>
      </c>
      <c r="G120" t="n">
        <v>1.162011</v>
      </c>
      <c r="H120" t="n">
        <v>1.168513</v>
      </c>
      <c r="I120" t="n">
        <v>1.179822</v>
      </c>
      <c r="J120" t="n">
        <v>1.196678</v>
      </c>
      <c r="K120" t="n">
        <v>1.2089</v>
      </c>
      <c r="L120" t="n">
        <v>1.228125</v>
      </c>
      <c r="M120" t="n">
        <v>1.237822</v>
      </c>
      <c r="N120" t="n">
        <v>1.249308</v>
      </c>
      <c r="O120" t="n">
        <v>1.260567</v>
      </c>
      <c r="P120" t="n">
        <v>1.270628</v>
      </c>
      <c r="Q120" t="n">
        <v>1.281835</v>
      </c>
      <c r="R120" t="n">
        <v>1.292388</v>
      </c>
      <c r="S120" t="n">
        <v>1.302165</v>
      </c>
      <c r="T120" t="n">
        <v>1.31047</v>
      </c>
      <c r="U120" t="n">
        <v>1.317658</v>
      </c>
      <c r="V120" t="n">
        <v>1.325369</v>
      </c>
      <c r="W120" t="n">
        <v>1.332637</v>
      </c>
      <c r="X120" t="n">
        <v>1.339916</v>
      </c>
      <c r="Y120" t="n">
        <v>1.349524</v>
      </c>
      <c r="Z120" t="n">
        <v>1.359533</v>
      </c>
      <c r="AA120" t="n">
        <v>1.369825</v>
      </c>
      <c r="AB120" t="n">
        <v>1.378923</v>
      </c>
      <c r="AC120" t="n">
        <v>1.387899</v>
      </c>
      <c r="AD120" t="n">
        <v>1.396855</v>
      </c>
      <c r="AE120" t="inlineStr">
        <is>
          <t>0.7%</t>
        </is>
      </c>
    </row>
    <row r="121">
      <c r="A121" t="inlineStr">
        <is>
          <t>Residual Fuel Oil</t>
        </is>
      </c>
      <c r="B121" t="inlineStr">
        <is>
          <t>Industrial: Total Industrial Sector Primary Consumption: Residual Fuel Oil: Alternative Electricity and Transportation</t>
        </is>
      </c>
      <c r="C121" t="inlineStr">
        <is>
          <t>AEO.2026.ELECTRNP.CNSM_NA_IDAL_NA_RFO_NA_USA_QBTU.A</t>
        </is>
      </c>
      <c r="D121" t="inlineStr">
        <is>
          <t>quads</t>
        </is>
      </c>
      <c r="E121" t="n">
        <v>0.040876</v>
      </c>
      <c r="F121" t="n">
        <v>0.039529</v>
      </c>
      <c r="G121" t="n">
        <v>0.035322</v>
      </c>
      <c r="H121" t="n">
        <v>0.034547</v>
      </c>
      <c r="I121" t="n">
        <v>0.033736</v>
      </c>
      <c r="J121" t="n">
        <v>0.034748</v>
      </c>
      <c r="K121" t="n">
        <v>0.0339</v>
      </c>
      <c r="L121" t="n">
        <v>0.034136</v>
      </c>
      <c r="M121" t="n">
        <v>0.033707</v>
      </c>
      <c r="N121" t="n">
        <v>0.033753</v>
      </c>
      <c r="O121" t="n">
        <v>0.033499</v>
      </c>
      <c r="P121" t="n">
        <v>0.033284</v>
      </c>
      <c r="Q121" t="n">
        <v>0.033025</v>
      </c>
      <c r="R121" t="n">
        <v>0.032672</v>
      </c>
      <c r="S121" t="n">
        <v>0.03256</v>
      </c>
      <c r="T121" t="n">
        <v>0.032231</v>
      </c>
      <c r="U121" t="n">
        <v>0.031566</v>
      </c>
      <c r="V121" t="n">
        <v>0.030664</v>
      </c>
      <c r="W121" t="n">
        <v>0.029574</v>
      </c>
      <c r="X121" t="n">
        <v>0.028497</v>
      </c>
      <c r="Y121" t="n">
        <v>0.027718</v>
      </c>
      <c r="Z121" t="n">
        <v>0.027413</v>
      </c>
      <c r="AA121" t="n">
        <v>0.027218</v>
      </c>
      <c r="AB121" t="n">
        <v>0.026843</v>
      </c>
      <c r="AC121" t="n">
        <v>0.026572</v>
      </c>
      <c r="AD121" t="n">
        <v>0.026396</v>
      </c>
      <c r="AE121" t="inlineStr">
        <is>
          <t>-1.7%</t>
        </is>
      </c>
    </row>
    <row r="122">
      <c r="A122" t="inlineStr">
        <is>
          <t>Petrochemical Feedstocks</t>
        </is>
      </c>
      <c r="B122" t="inlineStr">
        <is>
          <t>Industrial: Total Industrial Sector Primary Consumption: Petrochemical Feedstocks: Alternative Electricity and Transportation</t>
        </is>
      </c>
      <c r="C122" t="inlineStr">
        <is>
          <t>AEO.2026.ELECTRNP.CNSM_NA_IDAL_NA_PCF_NA_USA_QBTU.A</t>
        </is>
      </c>
      <c r="D122" t="inlineStr">
        <is>
          <t>quads</t>
        </is>
      </c>
      <c r="E122" t="n">
        <v>0.412934</v>
      </c>
      <c r="F122" t="n">
        <v>0.338138</v>
      </c>
      <c r="G122" t="n">
        <v>0.3482</v>
      </c>
      <c r="H122" t="n">
        <v>0.55</v>
      </c>
      <c r="I122" t="n">
        <v>0.55</v>
      </c>
      <c r="J122" t="n">
        <v>0.55</v>
      </c>
      <c r="K122" t="n">
        <v>0.55</v>
      </c>
      <c r="L122" t="n">
        <v>0.55</v>
      </c>
      <c r="M122" t="n">
        <v>0.55</v>
      </c>
      <c r="N122" t="n">
        <v>0.55</v>
      </c>
      <c r="O122" t="n">
        <v>0.55</v>
      </c>
      <c r="P122" t="n">
        <v>0.55</v>
      </c>
      <c r="Q122" t="n">
        <v>0.55</v>
      </c>
      <c r="R122" t="n">
        <v>0.55</v>
      </c>
      <c r="S122" t="n">
        <v>0.55</v>
      </c>
      <c r="T122" t="n">
        <v>0.55</v>
      </c>
      <c r="U122" t="n">
        <v>0.55</v>
      </c>
      <c r="V122" t="n">
        <v>0.55</v>
      </c>
      <c r="W122" t="n">
        <v>0.55</v>
      </c>
      <c r="X122" t="n">
        <v>0.55</v>
      </c>
      <c r="Y122" t="n">
        <v>0.55</v>
      </c>
      <c r="Z122" t="n">
        <v>0.55</v>
      </c>
      <c r="AA122" t="n">
        <v>0.55</v>
      </c>
      <c r="AB122" t="n">
        <v>0.55</v>
      </c>
      <c r="AC122" t="n">
        <v>0.55</v>
      </c>
      <c r="AD122" t="n">
        <v>0.55</v>
      </c>
      <c r="AE122" t="inlineStr">
        <is>
          <t>1.2%</t>
        </is>
      </c>
    </row>
    <row r="123">
      <c r="A123" t="inlineStr">
        <is>
          <t>Petroleum Coke</t>
        </is>
      </c>
      <c r="B123" t="inlineStr">
        <is>
          <t>Industrial: Total Industrial Sector Primary Consumption: Petroleum Coke: Alternative Electricity and Transportation</t>
        </is>
      </c>
      <c r="C123" t="inlineStr">
        <is>
          <t>AEO.2026.ELECTRNP.CNSM_NA_IDAL_NA_PCK_NA_USA_QBTU.A</t>
        </is>
      </c>
      <c r="D123" t="inlineStr">
        <is>
          <t>quads</t>
        </is>
      </c>
      <c r="E123" t="n">
        <v>0.519168</v>
      </c>
      <c r="F123" t="n">
        <v>0.538853</v>
      </c>
      <c r="G123" t="n">
        <v>0.531971</v>
      </c>
      <c r="H123" t="n">
        <v>0.559954</v>
      </c>
      <c r="I123" t="n">
        <v>0.558066</v>
      </c>
      <c r="J123" t="n">
        <v>0.558565</v>
      </c>
      <c r="K123" t="n">
        <v>0.550678</v>
      </c>
      <c r="L123" t="n">
        <v>0.549647</v>
      </c>
      <c r="M123" t="n">
        <v>0.547108</v>
      </c>
      <c r="N123" t="n">
        <v>0.548798</v>
      </c>
      <c r="O123" t="n">
        <v>0.546122</v>
      </c>
      <c r="P123" t="n">
        <v>0.5434870000000001</v>
      </c>
      <c r="Q123" t="n">
        <v>0.542323</v>
      </c>
      <c r="R123" t="n">
        <v>0.540138</v>
      </c>
      <c r="S123" t="n">
        <v>0.5372710000000001</v>
      </c>
      <c r="T123" t="n">
        <v>0.5387189999999999</v>
      </c>
      <c r="U123" t="n">
        <v>0.537502</v>
      </c>
      <c r="V123" t="n">
        <v>0.536945</v>
      </c>
      <c r="W123" t="n">
        <v>0.535427</v>
      </c>
      <c r="X123" t="n">
        <v>0.532809</v>
      </c>
      <c r="Y123" t="n">
        <v>0.533392</v>
      </c>
      <c r="Z123" t="n">
        <v>0.528251</v>
      </c>
      <c r="AA123" t="n">
        <v>0.521347</v>
      </c>
      <c r="AB123" t="n">
        <v>0.519714</v>
      </c>
      <c r="AC123" t="n">
        <v>0.519097</v>
      </c>
      <c r="AD123" t="n">
        <v>0.517963</v>
      </c>
      <c r="AE123" t="inlineStr">
        <is>
          <t>-0.0%</t>
        </is>
      </c>
    </row>
    <row r="124">
      <c r="A124" t="inlineStr">
        <is>
          <t>Asphalt and Road Oil</t>
        </is>
      </c>
      <c r="B124" t="inlineStr">
        <is>
          <t>Industrial: Total Industrial Sector Primary Consumption: Asphalt and Road Oil: Alternative Electricity and Transportation</t>
        </is>
      </c>
      <c r="C124" t="inlineStr">
        <is>
          <t>AEO.2026.ELECTRNP.CNSM_NA_IDAL_NA_ARO_NA_USA_QBTU.A</t>
        </is>
      </c>
      <c r="D124" t="inlineStr">
        <is>
          <t>quads</t>
        </is>
      </c>
      <c r="E124" t="n">
        <v>0.865515</v>
      </c>
      <c r="F124" t="n">
        <v>0.853366</v>
      </c>
      <c r="G124" t="n">
        <v>0.855181</v>
      </c>
      <c r="H124" t="n">
        <v>0.904765</v>
      </c>
      <c r="I124" t="n">
        <v>0.911755</v>
      </c>
      <c r="J124" t="n">
        <v>0.914112</v>
      </c>
      <c r="K124" t="n">
        <v>0.915526</v>
      </c>
      <c r="L124" t="n">
        <v>0.917858</v>
      </c>
      <c r="M124" t="n">
        <v>0.920938</v>
      </c>
      <c r="N124" t="n">
        <v>0.923486</v>
      </c>
      <c r="O124" t="n">
        <v>0.9242050000000001</v>
      </c>
      <c r="P124" t="n">
        <v>0.926433</v>
      </c>
      <c r="Q124" t="n">
        <v>0.930006</v>
      </c>
      <c r="R124" t="n">
        <v>0.933509</v>
      </c>
      <c r="S124" t="n">
        <v>0.937003</v>
      </c>
      <c r="T124" t="n">
        <v>0.940119</v>
      </c>
      <c r="U124" t="n">
        <v>0.942551</v>
      </c>
      <c r="V124" t="n">
        <v>0.944661</v>
      </c>
      <c r="W124" t="n">
        <v>0.945055</v>
      </c>
      <c r="X124" t="n">
        <v>0.950188</v>
      </c>
      <c r="Y124" t="n">
        <v>0.955967</v>
      </c>
      <c r="Z124" t="n">
        <v>0.9555670000000001</v>
      </c>
      <c r="AA124" t="n">
        <v>0.954441</v>
      </c>
      <c r="AB124" t="n">
        <v>0.954592</v>
      </c>
      <c r="AC124" t="n">
        <v>0.953116</v>
      </c>
      <c r="AD124" t="n">
        <v>0.9510960000000001</v>
      </c>
      <c r="AE124" t="inlineStr">
        <is>
          <t>0.4%</t>
        </is>
      </c>
    </row>
    <row r="125">
      <c r="A125" t="inlineStr">
        <is>
          <t>Still Gas</t>
        </is>
      </c>
      <c r="B125" t="inlineStr">
        <is>
          <t>Industrial: Total Industrial Sector Primary Consumption: Still Gas: Alternative Electricity and Transportation</t>
        </is>
      </c>
      <c r="C125" t="inlineStr">
        <is>
          <t>AEO.2026.ELECTRNP.CNSM_NA_IDAL_NA_SLG_NA_USA_QBTU.A</t>
        </is>
      </c>
      <c r="D125" t="inlineStr">
        <is>
          <t>quads</t>
        </is>
      </c>
      <c r="E125" t="n">
        <v>1.342787</v>
      </c>
      <c r="F125" t="n">
        <v>1.342787</v>
      </c>
      <c r="G125" t="n">
        <v>1.324129</v>
      </c>
      <c r="H125" t="n">
        <v>1.342398</v>
      </c>
      <c r="I125" t="n">
        <v>1.352354</v>
      </c>
      <c r="J125" t="n">
        <v>1.376874</v>
      </c>
      <c r="K125" t="n">
        <v>1.367112</v>
      </c>
      <c r="L125" t="n">
        <v>1.38999</v>
      </c>
      <c r="M125" t="n">
        <v>1.386209</v>
      </c>
      <c r="N125" t="n">
        <v>1.393017</v>
      </c>
      <c r="O125" t="n">
        <v>1.394128</v>
      </c>
      <c r="P125" t="n">
        <v>1.398946</v>
      </c>
      <c r="Q125" t="n">
        <v>1.406259</v>
      </c>
      <c r="R125" t="n">
        <v>1.404507</v>
      </c>
      <c r="S125" t="n">
        <v>1.402217</v>
      </c>
      <c r="T125" t="n">
        <v>1.416699</v>
      </c>
      <c r="U125" t="n">
        <v>1.417767</v>
      </c>
      <c r="V125" t="n">
        <v>1.418974</v>
      </c>
      <c r="W125" t="n">
        <v>1.428242</v>
      </c>
      <c r="X125" t="n">
        <v>1.42178</v>
      </c>
      <c r="Y125" t="n">
        <v>1.41749</v>
      </c>
      <c r="Z125" t="n">
        <v>1.401137</v>
      </c>
      <c r="AA125" t="n">
        <v>1.427122</v>
      </c>
      <c r="AB125" t="n">
        <v>1.408149</v>
      </c>
      <c r="AC125" t="n">
        <v>1.41645</v>
      </c>
      <c r="AD125" t="n">
        <v>1.403795</v>
      </c>
      <c r="AE125" t="inlineStr">
        <is>
          <t>0.2%</t>
        </is>
      </c>
    </row>
    <row r="126">
      <c r="A126" t="inlineStr">
        <is>
          <t>Miscellaneous Petroleum</t>
        </is>
      </c>
      <c r="B126" t="inlineStr">
        <is>
          <t>Industrial: Total Industrial Sector Primary Consumption: Miscellaneous Petroleum: Alternative Electricity and Transportation</t>
        </is>
      </c>
      <c r="C126" t="inlineStr">
        <is>
          <t>AEO.2026.ELECTRNP.CNSM_NA_IDAL_NA_MPET_NA_USA_QBTU.A</t>
        </is>
      </c>
      <c r="D126" t="inlineStr">
        <is>
          <t>quads</t>
        </is>
      </c>
      <c r="E126" t="n">
        <v>0.345201</v>
      </c>
      <c r="F126" t="n">
        <v>0.348878</v>
      </c>
      <c r="G126" t="n">
        <v>0.348971</v>
      </c>
      <c r="H126" t="n">
        <v>0.352531</v>
      </c>
      <c r="I126" t="n">
        <v>0.357573</v>
      </c>
      <c r="J126" t="n">
        <v>0.358869</v>
      </c>
      <c r="K126" t="n">
        <v>0.365704</v>
      </c>
      <c r="L126" t="n">
        <v>0.369757</v>
      </c>
      <c r="M126" t="n">
        <v>0.389179</v>
      </c>
      <c r="N126" t="n">
        <v>0.393859</v>
      </c>
      <c r="O126" t="n">
        <v>0.399736</v>
      </c>
      <c r="P126" t="n">
        <v>0.405595</v>
      </c>
      <c r="Q126" t="n">
        <v>0.41624</v>
      </c>
      <c r="R126" t="n">
        <v>0.423427</v>
      </c>
      <c r="S126" t="n">
        <v>0.43248</v>
      </c>
      <c r="T126" t="n">
        <v>0.432627</v>
      </c>
      <c r="U126" t="n">
        <v>0.440997</v>
      </c>
      <c r="V126" t="n">
        <v>0.446946</v>
      </c>
      <c r="W126" t="n">
        <v>0.447976</v>
      </c>
      <c r="X126" t="n">
        <v>0.454701</v>
      </c>
      <c r="Y126" t="n">
        <v>0.459163</v>
      </c>
      <c r="Z126" t="n">
        <v>0.465948</v>
      </c>
      <c r="AA126" t="n">
        <v>0.468807</v>
      </c>
      <c r="AB126" t="n">
        <v>0.479161</v>
      </c>
      <c r="AC126" t="n">
        <v>0.482877</v>
      </c>
      <c r="AD126" t="n">
        <v>0.484898</v>
      </c>
      <c r="AE126" t="inlineStr">
        <is>
          <t>1.4%</t>
        </is>
      </c>
    </row>
    <row r="127">
      <c r="A127" t="inlineStr">
        <is>
          <t>Petroleum and Other Liquids Subtotal</t>
        </is>
      </c>
      <c r="B127" t="inlineStr">
        <is>
          <t>Industrial: Total Industrial Sector Primary Consumption: Petroleum Subtotal: Alternative Electricity and Transportation</t>
        </is>
      </c>
      <c r="C127" t="inlineStr">
        <is>
          <t>AEO.2026.ELECTRNP.CNSM_NA_IDAL_NA_PET_NA_USA_QBTU.A</t>
        </is>
      </c>
      <c r="D127" t="inlineStr">
        <is>
          <t>quads</t>
        </is>
      </c>
      <c r="E127" t="n">
        <v>8.623908</v>
      </c>
      <c r="F127" t="n">
        <v>8.515696999999999</v>
      </c>
      <c r="G127" t="n">
        <v>8.695665</v>
      </c>
      <c r="H127" t="n">
        <v>8.895080999999999</v>
      </c>
      <c r="I127" t="n">
        <v>8.853493</v>
      </c>
      <c r="J127" t="n">
        <v>8.896534000000001</v>
      </c>
      <c r="K127" t="n">
        <v>8.933109</v>
      </c>
      <c r="L127" t="n">
        <v>9.010137</v>
      </c>
      <c r="M127" t="n">
        <v>9.073727</v>
      </c>
      <c r="N127" t="n">
        <v>9.145210000000001</v>
      </c>
      <c r="O127" t="n">
        <v>9.211485</v>
      </c>
      <c r="P127" t="n">
        <v>9.292655</v>
      </c>
      <c r="Q127" t="n">
        <v>9.372377</v>
      </c>
      <c r="R127" t="n">
        <v>9.439107</v>
      </c>
      <c r="S127" t="n">
        <v>9.536899</v>
      </c>
      <c r="T127" t="n">
        <v>9.636274999999999</v>
      </c>
      <c r="U127" t="n">
        <v>9.732426999999999</v>
      </c>
      <c r="V127" t="n">
        <v>9.839432</v>
      </c>
      <c r="W127" t="n">
        <v>9.939584</v>
      </c>
      <c r="X127" t="n">
        <v>10.034115</v>
      </c>
      <c r="Y127" t="n">
        <v>10.142824</v>
      </c>
      <c r="Z127" t="n">
        <v>10.231821</v>
      </c>
      <c r="AA127" t="n">
        <v>10.366573</v>
      </c>
      <c r="AB127" t="n">
        <v>10.457174</v>
      </c>
      <c r="AC127" t="n">
        <v>10.541565</v>
      </c>
      <c r="AD127" t="n">
        <v>10.62656</v>
      </c>
      <c r="AE127" t="inlineStr">
        <is>
          <t>0.8%</t>
        </is>
      </c>
    </row>
    <row r="128">
      <c r="A128" t="inlineStr">
        <is>
          <t>Natural Gas Heat and Power</t>
        </is>
      </c>
      <c r="B128" t="inlineStr">
        <is>
          <t>Industrial: Total Industrial Sector Primary Consumption: Natural Gas Heat and Power: Alternative Electricity and Transportation</t>
        </is>
      </c>
      <c r="C128" t="inlineStr">
        <is>
          <t>AEO.2026.ELECTRNP.CNSM_NA_IDAL_NA_NHP_NA_USA_QBTU.A</t>
        </is>
      </c>
      <c r="D128" t="inlineStr">
        <is>
          <t>quads</t>
        </is>
      </c>
      <c r="E128" t="n">
        <v>7.767282</v>
      </c>
      <c r="F128" t="n">
        <v>7.665068</v>
      </c>
      <c r="G128" t="n">
        <v>7.566202</v>
      </c>
      <c r="H128" t="n">
        <v>7.570497</v>
      </c>
      <c r="I128" t="n">
        <v>7.571965</v>
      </c>
      <c r="J128" t="n">
        <v>7.576601</v>
      </c>
      <c r="K128" t="n">
        <v>7.612227</v>
      </c>
      <c r="L128" t="n">
        <v>7.637692</v>
      </c>
      <c r="M128" t="n">
        <v>7.636922</v>
      </c>
      <c r="N128" t="n">
        <v>7.660493</v>
      </c>
      <c r="O128" t="n">
        <v>7.682127</v>
      </c>
      <c r="P128" t="n">
        <v>7.689263</v>
      </c>
      <c r="Q128" t="n">
        <v>7.683928</v>
      </c>
      <c r="R128" t="n">
        <v>7.69499</v>
      </c>
      <c r="S128" t="n">
        <v>7.708835</v>
      </c>
      <c r="T128" t="n">
        <v>7.744356</v>
      </c>
      <c r="U128" t="n">
        <v>7.78405</v>
      </c>
      <c r="V128" t="n">
        <v>7.850996</v>
      </c>
      <c r="W128" t="n">
        <v>7.922745</v>
      </c>
      <c r="X128" t="n">
        <v>7.990382</v>
      </c>
      <c r="Y128" t="n">
        <v>8.065061</v>
      </c>
      <c r="Z128" t="n">
        <v>8.12588</v>
      </c>
      <c r="AA128" t="n">
        <v>8.203493</v>
      </c>
      <c r="AB128" t="n">
        <v>8.263107</v>
      </c>
      <c r="AC128" t="n">
        <v>8.311831</v>
      </c>
      <c r="AD128" t="n">
        <v>8.388042</v>
      </c>
      <c r="AE128" t="inlineStr">
        <is>
          <t>0.3%</t>
        </is>
      </c>
    </row>
    <row r="129">
      <c r="A129" t="inlineStr">
        <is>
          <t>Natural Gas Feedstocks</t>
        </is>
      </c>
      <c r="B129" t="inlineStr">
        <is>
          <t>Industrial: Total Industrial Sector Primary Consumption: Natural Gas Feedstocks: Alternative Electricity and Transportation</t>
        </is>
      </c>
      <c r="C129" t="inlineStr">
        <is>
          <t>AEO.2026.ELECTRNP.CNSM_NA_IDAL_NA_NGF_NA_USA_QBTU.A</t>
        </is>
      </c>
      <c r="D129" t="inlineStr">
        <is>
          <t>quads</t>
        </is>
      </c>
      <c r="E129" t="n">
        <v>1.175744</v>
      </c>
      <c r="F129" t="n">
        <v>1.109488</v>
      </c>
      <c r="G129" t="n">
        <v>1.090655</v>
      </c>
      <c r="H129" t="n">
        <v>1.094571</v>
      </c>
      <c r="I129" t="n">
        <v>1.103854</v>
      </c>
      <c r="J129" t="n">
        <v>1.099015</v>
      </c>
      <c r="K129" t="n">
        <v>1.089439</v>
      </c>
      <c r="L129" t="n">
        <v>1.090173</v>
      </c>
      <c r="M129" t="n">
        <v>1.098124</v>
      </c>
      <c r="N129" t="n">
        <v>1.12478</v>
      </c>
      <c r="O129" t="n">
        <v>1.135941</v>
      </c>
      <c r="P129" t="n">
        <v>1.143284</v>
      </c>
      <c r="Q129" t="n">
        <v>1.163392</v>
      </c>
      <c r="R129" t="n">
        <v>1.174921</v>
      </c>
      <c r="S129" t="n">
        <v>1.188489</v>
      </c>
      <c r="T129" t="n">
        <v>1.193202</v>
      </c>
      <c r="U129" t="n">
        <v>1.203563</v>
      </c>
      <c r="V129" t="n">
        <v>1.212583</v>
      </c>
      <c r="W129" t="n">
        <v>1.228364</v>
      </c>
      <c r="X129" t="n">
        <v>1.258967</v>
      </c>
      <c r="Y129" t="n">
        <v>1.282068</v>
      </c>
      <c r="Z129" t="n">
        <v>1.296277</v>
      </c>
      <c r="AA129" t="n">
        <v>1.314077</v>
      </c>
      <c r="AB129" t="n">
        <v>1.327304</v>
      </c>
      <c r="AC129" t="n">
        <v>1.337058</v>
      </c>
      <c r="AD129" t="n">
        <v>1.349046</v>
      </c>
      <c r="AE129" t="inlineStr">
        <is>
          <t>0.6%</t>
        </is>
      </c>
    </row>
    <row r="130">
      <c r="A130" t="inlineStr">
        <is>
          <t>Lease and Plant Fuel</t>
        </is>
      </c>
      <c r="B130" t="inlineStr">
        <is>
          <t>Industrial: Total Industrial Sector Primary Consumption: Lease and Plant Fuel: Alternative Electricity and Transportation</t>
        </is>
      </c>
      <c r="C130" t="inlineStr">
        <is>
          <t>AEO.2026.ELECTRNP.CNSM_NA_IDAL_NA_LSAPFL_NA_USA_QBTU.A</t>
        </is>
      </c>
      <c r="D130" t="inlineStr">
        <is>
          <t>quads</t>
        </is>
      </c>
      <c r="E130" t="n">
        <v>2.136239</v>
      </c>
      <c r="F130" t="n">
        <v>2.128485</v>
      </c>
      <c r="G130" t="n">
        <v>2.16034</v>
      </c>
      <c r="H130" t="n">
        <v>2.165232</v>
      </c>
      <c r="I130" t="n">
        <v>2.162156</v>
      </c>
      <c r="J130" t="n">
        <v>2.203182</v>
      </c>
      <c r="K130" t="n">
        <v>2.264353</v>
      </c>
      <c r="L130" t="n">
        <v>2.334959</v>
      </c>
      <c r="M130" t="n">
        <v>2.395234</v>
      </c>
      <c r="N130" t="n">
        <v>2.452581</v>
      </c>
      <c r="O130" t="n">
        <v>2.473735</v>
      </c>
      <c r="P130" t="n">
        <v>2.482664</v>
      </c>
      <c r="Q130" t="n">
        <v>2.492755</v>
      </c>
      <c r="R130" t="n">
        <v>2.506868</v>
      </c>
      <c r="S130" t="n">
        <v>2.524662</v>
      </c>
      <c r="T130" t="n">
        <v>2.567465</v>
      </c>
      <c r="U130" t="n">
        <v>2.601775</v>
      </c>
      <c r="V130" t="n">
        <v>2.630552</v>
      </c>
      <c r="W130" t="n">
        <v>2.644943</v>
      </c>
      <c r="X130" t="n">
        <v>2.647805</v>
      </c>
      <c r="Y130" t="n">
        <v>2.645955</v>
      </c>
      <c r="Z130" t="n">
        <v>2.656424</v>
      </c>
      <c r="AA130" t="n">
        <v>2.673549</v>
      </c>
      <c r="AB130" t="n">
        <v>2.689496</v>
      </c>
      <c r="AC130" t="n">
        <v>2.689622</v>
      </c>
      <c r="AD130" t="n">
        <v>2.684877</v>
      </c>
      <c r="AE130" t="inlineStr">
        <is>
          <t>0.9%</t>
        </is>
      </c>
    </row>
    <row r="131">
      <c r="A131" t="inlineStr">
        <is>
          <t>Natural Gas Subtotal</t>
        </is>
      </c>
      <c r="B131" t="inlineStr">
        <is>
          <t>Industrial: Total Industrial Sector Primary Consumption: Natural Gas Subtotal: Alternative Electricity and Transportation</t>
        </is>
      </c>
      <c r="C131" t="inlineStr">
        <is>
          <t>AEO.2026.ELECTRNP.CNSM_NA_IDAL_NA_NGS_NA_USA_QBTU.A</t>
        </is>
      </c>
      <c r="D131" t="inlineStr">
        <is>
          <t>quads</t>
        </is>
      </c>
      <c r="E131" t="n">
        <v>11.079265</v>
      </c>
      <c r="F131" t="n">
        <v>10.903041</v>
      </c>
      <c r="G131" t="n">
        <v>10.817196</v>
      </c>
      <c r="H131" t="n">
        <v>10.830299</v>
      </c>
      <c r="I131" t="n">
        <v>10.837976</v>
      </c>
      <c r="J131" t="n">
        <v>10.878798</v>
      </c>
      <c r="K131" t="n">
        <v>10.966019</v>
      </c>
      <c r="L131" t="n">
        <v>11.062824</v>
      </c>
      <c r="M131" t="n">
        <v>11.13028</v>
      </c>
      <c r="N131" t="n">
        <v>11.237854</v>
      </c>
      <c r="O131" t="n">
        <v>11.291802</v>
      </c>
      <c r="P131" t="n">
        <v>11.315211</v>
      </c>
      <c r="Q131" t="n">
        <v>11.340075</v>
      </c>
      <c r="R131" t="n">
        <v>11.37678</v>
      </c>
      <c r="S131" t="n">
        <v>11.421986</v>
      </c>
      <c r="T131" t="n">
        <v>11.505024</v>
      </c>
      <c r="U131" t="n">
        <v>11.589388</v>
      </c>
      <c r="V131" t="n">
        <v>11.694132</v>
      </c>
      <c r="W131" t="n">
        <v>11.796051</v>
      </c>
      <c r="X131" t="n">
        <v>11.897155</v>
      </c>
      <c r="Y131" t="n">
        <v>11.993082</v>
      </c>
      <c r="Z131" t="n">
        <v>12.078581</v>
      </c>
      <c r="AA131" t="n">
        <v>12.19112</v>
      </c>
      <c r="AB131" t="n">
        <v>12.279907</v>
      </c>
      <c r="AC131" t="n">
        <v>12.338512</v>
      </c>
      <c r="AD131" t="n">
        <v>12.421966</v>
      </c>
      <c r="AE131" t="inlineStr">
        <is>
          <t>0.5%</t>
        </is>
      </c>
    </row>
    <row r="132">
      <c r="A132" t="inlineStr">
        <is>
          <t>Metallurgical Coal and Coke</t>
        </is>
      </c>
      <c r="B132" t="inlineStr">
        <is>
          <t>Industrial: Total Industrial Sector Primary Consumption: Metallurgical Coal and Coke: Alternative Electricity and Transportation</t>
        </is>
      </c>
      <c r="C132" t="inlineStr">
        <is>
          <t>AEO.2026.ELECTRNP.CNSM_NA_IDAL_NA_MCC_NA_USA_QBTU.A</t>
        </is>
      </c>
      <c r="D132" t="inlineStr">
        <is>
          <t>quads</t>
        </is>
      </c>
      <c r="E132" t="n">
        <v>0.387265</v>
      </c>
      <c r="F132" t="n">
        <v>0.402249</v>
      </c>
      <c r="G132" t="n">
        <v>0.420626</v>
      </c>
      <c r="H132" t="n">
        <v>0.405103</v>
      </c>
      <c r="I132" t="n">
        <v>0.394221</v>
      </c>
      <c r="J132" t="n">
        <v>0.388402</v>
      </c>
      <c r="K132" t="n">
        <v>0.380929</v>
      </c>
      <c r="L132" t="n">
        <v>0.375735</v>
      </c>
      <c r="M132" t="n">
        <v>0.369932</v>
      </c>
      <c r="N132" t="n">
        <v>0.360182</v>
      </c>
      <c r="O132" t="n">
        <v>0.352244</v>
      </c>
      <c r="P132" t="n">
        <v>0.342265</v>
      </c>
      <c r="Q132" t="n">
        <v>0.333511</v>
      </c>
      <c r="R132" t="n">
        <v>0.323925</v>
      </c>
      <c r="S132" t="n">
        <v>0.313946</v>
      </c>
      <c r="T132" t="n">
        <v>0.306124</v>
      </c>
      <c r="U132" t="n">
        <v>0.299091</v>
      </c>
      <c r="V132" t="n">
        <v>0.292269</v>
      </c>
      <c r="W132" t="n">
        <v>0.284813</v>
      </c>
      <c r="X132" t="n">
        <v>0.277462</v>
      </c>
      <c r="Y132" t="n">
        <v>0.272003</v>
      </c>
      <c r="Z132" t="n">
        <v>0.265519</v>
      </c>
      <c r="AA132" t="n">
        <v>0.25993</v>
      </c>
      <c r="AB132" t="n">
        <v>0.253888</v>
      </c>
      <c r="AC132" t="n">
        <v>0.246588</v>
      </c>
      <c r="AD132" t="n">
        <v>0.240534</v>
      </c>
      <c r="AE132" t="inlineStr">
        <is>
          <t>-1.9%</t>
        </is>
      </c>
    </row>
    <row r="133">
      <c r="A133" t="inlineStr">
        <is>
          <t>Steam Coal</t>
        </is>
      </c>
      <c r="B133" t="inlineStr">
        <is>
          <t>Industrial: Total Industrial Sector Primary Consumption: Steam Coal: Alternative Electricity and Transportation</t>
        </is>
      </c>
      <c r="C133" t="inlineStr">
        <is>
          <t>AEO.2026.ELECTRNP.CNSM_NA_IDAL_NA_STC_NA_USA_QBTU.A</t>
        </is>
      </c>
      <c r="D133" t="inlineStr">
        <is>
          <t>quads</t>
        </is>
      </c>
      <c r="E133" t="n">
        <v>0.400357</v>
      </c>
      <c r="F133" t="n">
        <v>0.368676</v>
      </c>
      <c r="G133" t="n">
        <v>0.367838</v>
      </c>
      <c r="H133" t="n">
        <v>0.364646</v>
      </c>
      <c r="I133" t="n">
        <v>0.361133</v>
      </c>
      <c r="J133" t="n">
        <v>0.358318</v>
      </c>
      <c r="K133" t="n">
        <v>0.354281</v>
      </c>
      <c r="L133" t="n">
        <v>0.355666</v>
      </c>
      <c r="M133" t="n">
        <v>0.355927</v>
      </c>
      <c r="N133" t="n">
        <v>0.354811</v>
      </c>
      <c r="O133" t="n">
        <v>0.353166</v>
      </c>
      <c r="P133" t="n">
        <v>0.350292</v>
      </c>
      <c r="Q133" t="n">
        <v>0.346605</v>
      </c>
      <c r="R133" t="n">
        <v>0.342346</v>
      </c>
      <c r="S133" t="n">
        <v>0.337837</v>
      </c>
      <c r="T133" t="n">
        <v>0.333433</v>
      </c>
      <c r="U133" t="n">
        <v>0.329175</v>
      </c>
      <c r="V133" t="n">
        <v>0.324752</v>
      </c>
      <c r="W133" t="n">
        <v>0.32024</v>
      </c>
      <c r="X133" t="n">
        <v>0.315859</v>
      </c>
      <c r="Y133" t="n">
        <v>0.312079</v>
      </c>
      <c r="Z133" t="n">
        <v>0.30854</v>
      </c>
      <c r="AA133" t="n">
        <v>0.305125</v>
      </c>
      <c r="AB133" t="n">
        <v>0.301662</v>
      </c>
      <c r="AC133" t="n">
        <v>0.298052</v>
      </c>
      <c r="AD133" t="n">
        <v>0.294661</v>
      </c>
      <c r="AE133" t="inlineStr">
        <is>
          <t>-1.2%</t>
        </is>
      </c>
    </row>
    <row r="134">
      <c r="A134" t="inlineStr">
        <is>
          <t>Coal Subtotal</t>
        </is>
      </c>
      <c r="B134" t="inlineStr">
        <is>
          <t>Industrial: Total Industrial Sector Primary Consumption: Coal Subtotal: Alternative Electricity and Transportation</t>
        </is>
      </c>
      <c r="C134" t="inlineStr">
        <is>
          <t>AEO.2026.ELECTRNP.CNSM_NA_IDAL_NA_COS_NA_USA_QBTU.A</t>
        </is>
      </c>
      <c r="D134" t="inlineStr">
        <is>
          <t>quads</t>
        </is>
      </c>
      <c r="E134" t="n">
        <v>0.787623</v>
      </c>
      <c r="F134" t="n">
        <v>0.770925</v>
      </c>
      <c r="G134" t="n">
        <v>0.7884640000000001</v>
      </c>
      <c r="H134" t="n">
        <v>0.769748</v>
      </c>
      <c r="I134" t="n">
        <v>0.755355</v>
      </c>
      <c r="J134" t="n">
        <v>0.746719</v>
      </c>
      <c r="K134" t="n">
        <v>0.7352109999999999</v>
      </c>
      <c r="L134" t="n">
        <v>0.731401</v>
      </c>
      <c r="M134" t="n">
        <v>0.725859</v>
      </c>
      <c r="N134" t="n">
        <v>0.714994</v>
      </c>
      <c r="O134" t="n">
        <v>0.70541</v>
      </c>
      <c r="P134" t="n">
        <v>0.692558</v>
      </c>
      <c r="Q134" t="n">
        <v>0.6801160000000001</v>
      </c>
      <c r="R134" t="n">
        <v>0.6662709999999999</v>
      </c>
      <c r="S134" t="n">
        <v>0.651783</v>
      </c>
      <c r="T134" t="n">
        <v>0.639557</v>
      </c>
      <c r="U134" t="n">
        <v>0.628266</v>
      </c>
      <c r="V134" t="n">
        <v>0.617021</v>
      </c>
      <c r="W134" t="n">
        <v>0.605053</v>
      </c>
      <c r="X134" t="n">
        <v>0.593321</v>
      </c>
      <c r="Y134" t="n">
        <v>0.584082</v>
      </c>
      <c r="Z134" t="n">
        <v>0.574058</v>
      </c>
      <c r="AA134" t="n">
        <v>0.565055</v>
      </c>
      <c r="AB134" t="n">
        <v>0.55555</v>
      </c>
      <c r="AC134" t="n">
        <v>0.54464</v>
      </c>
      <c r="AD134" t="n">
        <v>0.535195</v>
      </c>
      <c r="AE134" t="inlineStr">
        <is>
          <t>-1.5%</t>
        </is>
      </c>
    </row>
    <row r="135">
      <c r="A135" t="inlineStr">
        <is>
          <t>Biofuels Heat and Coproducts</t>
        </is>
      </c>
      <c r="B135" t="inlineStr">
        <is>
          <t>Industrial: Total Industrial Sector Primary Consumption: Biofuels Heat and Coproducts: Alternative Electricity and Transportation</t>
        </is>
      </c>
      <c r="C135" t="inlineStr">
        <is>
          <t>AEO.2026.ELECTRNP.CNSM_NA_IDAL_NA_BFH_NA_USA_QBTU.A</t>
        </is>
      </c>
      <c r="D135" t="inlineStr">
        <is>
          <t>quads</t>
        </is>
      </c>
      <c r="E135" t="n">
        <v>0.908917</v>
      </c>
      <c r="F135" t="n">
        <v>0.924606</v>
      </c>
      <c r="G135" t="n">
        <v>0.937098</v>
      </c>
      <c r="H135" t="n">
        <v>0.941686</v>
      </c>
      <c r="I135" t="n">
        <v>0.9385599999999999</v>
      </c>
      <c r="J135" t="n">
        <v>0.940195</v>
      </c>
      <c r="K135" t="n">
        <v>0.9370849999999999</v>
      </c>
      <c r="L135" t="n">
        <v>0.935959</v>
      </c>
      <c r="M135" t="n">
        <v>0.9345909999999999</v>
      </c>
      <c r="N135" t="n">
        <v>0.936723</v>
      </c>
      <c r="O135" t="n">
        <v>0.93835</v>
      </c>
      <c r="P135" t="n">
        <v>0.944568</v>
      </c>
      <c r="Q135" t="n">
        <v>0.944168</v>
      </c>
      <c r="R135" t="n">
        <v>0.944952</v>
      </c>
      <c r="S135" t="n">
        <v>0.945946</v>
      </c>
      <c r="T135" t="n">
        <v>0.948555</v>
      </c>
      <c r="U135" t="n">
        <v>0.951308</v>
      </c>
      <c r="V135" t="n">
        <v>0.961144</v>
      </c>
      <c r="W135" t="n">
        <v>0.965054</v>
      </c>
      <c r="X135" t="n">
        <v>0.9677210000000001</v>
      </c>
      <c r="Y135" t="n">
        <v>0.968533</v>
      </c>
      <c r="Z135" t="n">
        <v>0.968565</v>
      </c>
      <c r="AA135" t="n">
        <v>0.972857</v>
      </c>
      <c r="AB135" t="n">
        <v>0.978918</v>
      </c>
      <c r="AC135" t="n">
        <v>0.981626</v>
      </c>
      <c r="AD135" t="n">
        <v>0.986055</v>
      </c>
      <c r="AE135" t="inlineStr">
        <is>
          <t>0.3%</t>
        </is>
      </c>
    </row>
    <row r="136">
      <c r="A136" t="inlineStr">
        <is>
          <t>Renewables</t>
        </is>
      </c>
      <c r="B136" t="inlineStr">
        <is>
          <t>Industrial: Total Industrial Sector Primary Consumption: Renewables: Alternative Electricity and Transportation</t>
        </is>
      </c>
      <c r="C136" t="inlineStr">
        <is>
          <t>AEO.2026.ELECTRNP.CNSM_NA_IDAL_NA_REB_NA_USA_QBTU.A</t>
        </is>
      </c>
      <c r="D136" t="inlineStr">
        <is>
          <t>quads</t>
        </is>
      </c>
      <c r="E136" t="n">
        <v>1.497989</v>
      </c>
      <c r="F136" t="n">
        <v>1.6071</v>
      </c>
      <c r="G136" t="n">
        <v>1.568859</v>
      </c>
      <c r="H136" t="n">
        <v>1.550627</v>
      </c>
      <c r="I136" t="n">
        <v>1.543325</v>
      </c>
      <c r="J136" t="n">
        <v>1.514012</v>
      </c>
      <c r="K136" t="n">
        <v>1.479723</v>
      </c>
      <c r="L136" t="n">
        <v>1.458091</v>
      </c>
      <c r="M136" t="n">
        <v>1.446947</v>
      </c>
      <c r="N136" t="n">
        <v>1.448619</v>
      </c>
      <c r="O136" t="n">
        <v>1.452524</v>
      </c>
      <c r="P136" t="n">
        <v>1.463007</v>
      </c>
      <c r="Q136" t="n">
        <v>1.473162</v>
      </c>
      <c r="R136" t="n">
        <v>1.495779</v>
      </c>
      <c r="S136" t="n">
        <v>1.520454</v>
      </c>
      <c r="T136" t="n">
        <v>1.541369</v>
      </c>
      <c r="U136" t="n">
        <v>1.546718</v>
      </c>
      <c r="V136" t="n">
        <v>1.55775</v>
      </c>
      <c r="W136" t="n">
        <v>1.565254</v>
      </c>
      <c r="X136" t="n">
        <v>1.577919</v>
      </c>
      <c r="Y136" t="n">
        <v>1.602235</v>
      </c>
      <c r="Z136" t="n">
        <v>1.624774</v>
      </c>
      <c r="AA136" t="n">
        <v>1.650185</v>
      </c>
      <c r="AB136" t="n">
        <v>1.673621</v>
      </c>
      <c r="AC136" t="n">
        <v>1.702137</v>
      </c>
      <c r="AD136" t="n">
        <v>1.729226</v>
      </c>
      <c r="AE136" t="inlineStr">
        <is>
          <t>0.6%</t>
        </is>
      </c>
    </row>
    <row r="137">
      <c r="A137" t="inlineStr">
        <is>
          <t>Purchased Electricity</t>
        </is>
      </c>
      <c r="B137" t="inlineStr">
        <is>
          <t>Industrial: Total Industrial Sector Primary Consumption: Purchased Electricity: Alternative Electricity and Transportation</t>
        </is>
      </c>
      <c r="C137" t="inlineStr">
        <is>
          <t>AEO.2026.ELECTRNP.CNSM_NA_IDAL_NA_PRC_NA_USA_QBTU.A</t>
        </is>
      </c>
      <c r="D137" t="inlineStr">
        <is>
          <t>quads</t>
        </is>
      </c>
      <c r="E137" t="n">
        <v>3.617697</v>
      </c>
      <c r="F137" t="n">
        <v>3.737118</v>
      </c>
      <c r="G137" t="n">
        <v>3.70201</v>
      </c>
      <c r="H137" t="n">
        <v>3.681204</v>
      </c>
      <c r="I137" t="n">
        <v>3.66331</v>
      </c>
      <c r="J137" t="n">
        <v>3.666654</v>
      </c>
      <c r="K137" t="n">
        <v>3.668082</v>
      </c>
      <c r="L137" t="n">
        <v>3.680444</v>
      </c>
      <c r="M137" t="n">
        <v>3.706299</v>
      </c>
      <c r="N137" t="n">
        <v>3.737308</v>
      </c>
      <c r="O137" t="n">
        <v>3.779553</v>
      </c>
      <c r="P137" t="n">
        <v>3.828294</v>
      </c>
      <c r="Q137" t="n">
        <v>3.887724</v>
      </c>
      <c r="R137" t="n">
        <v>3.943241</v>
      </c>
      <c r="S137" t="n">
        <v>3.997143</v>
      </c>
      <c r="T137" t="n">
        <v>4.045847</v>
      </c>
      <c r="U137" t="n">
        <v>4.084611</v>
      </c>
      <c r="V137" t="n">
        <v>4.116791</v>
      </c>
      <c r="W137" t="n">
        <v>4.137783</v>
      </c>
      <c r="X137" t="n">
        <v>4.157485</v>
      </c>
      <c r="Y137" t="n">
        <v>4.191472</v>
      </c>
      <c r="Z137" t="n">
        <v>4.226145</v>
      </c>
      <c r="AA137" t="n">
        <v>4.263126</v>
      </c>
      <c r="AB137" t="n">
        <v>4.299197</v>
      </c>
      <c r="AC137" t="n">
        <v>4.329759</v>
      </c>
      <c r="AD137" t="n">
        <v>4.359198</v>
      </c>
      <c r="AE137" t="inlineStr">
        <is>
          <t>0.7%</t>
        </is>
      </c>
    </row>
    <row r="138">
      <c r="A138" t="inlineStr">
        <is>
          <t>Delivered Energy</t>
        </is>
      </c>
      <c r="B138" t="inlineStr">
        <is>
          <t>Industrial: Total Industrial Sector Primary Consumption: Delivered Energy: Alternative Electricity and Transportation</t>
        </is>
      </c>
      <c r="C138" t="inlineStr">
        <is>
          <t>AEO.2026.ELECTRNP.CNSM_NA_IDAL_NA_DELE_NA_USA_QBTU.A</t>
        </is>
      </c>
      <c r="D138" t="inlineStr">
        <is>
          <t>quads</t>
        </is>
      </c>
      <c r="E138" t="n">
        <v>26.515399</v>
      </c>
      <c r="F138" t="n">
        <v>26.458486</v>
      </c>
      <c r="G138" t="n">
        <v>26.509291</v>
      </c>
      <c r="H138" t="n">
        <v>26.668645</v>
      </c>
      <c r="I138" t="n">
        <v>26.59202</v>
      </c>
      <c r="J138" t="n">
        <v>26.642912</v>
      </c>
      <c r="K138" t="n">
        <v>26.71923</v>
      </c>
      <c r="L138" t="n">
        <v>26.878857</v>
      </c>
      <c r="M138" t="n">
        <v>27.017704</v>
      </c>
      <c r="N138" t="n">
        <v>27.220707</v>
      </c>
      <c r="O138" t="n">
        <v>27.379125</v>
      </c>
      <c r="P138" t="n">
        <v>27.536293</v>
      </c>
      <c r="Q138" t="n">
        <v>27.697622</v>
      </c>
      <c r="R138" t="n">
        <v>27.86613</v>
      </c>
      <c r="S138" t="n">
        <v>28.074211</v>
      </c>
      <c r="T138" t="n">
        <v>28.316626</v>
      </c>
      <c r="U138" t="n">
        <v>28.532719</v>
      </c>
      <c r="V138" t="n">
        <v>28.786268</v>
      </c>
      <c r="W138" t="n">
        <v>29.008778</v>
      </c>
      <c r="X138" t="n">
        <v>29.227716</v>
      </c>
      <c r="Y138" t="n">
        <v>29.482228</v>
      </c>
      <c r="Z138" t="n">
        <v>29.703945</v>
      </c>
      <c r="AA138" t="n">
        <v>30.008915</v>
      </c>
      <c r="AB138" t="n">
        <v>30.244368</v>
      </c>
      <c r="AC138" t="n">
        <v>30.438239</v>
      </c>
      <c r="AD138" t="n">
        <v>30.658199</v>
      </c>
      <c r="AE138" t="inlineStr">
        <is>
          <t>0.6%</t>
        </is>
      </c>
    </row>
    <row r="139">
      <c r="A139" t="inlineStr">
        <is>
          <t>Electricity Related Losses</t>
        </is>
      </c>
      <c r="B139" t="inlineStr">
        <is>
          <t>Industrial: Total Industrial Sector Primary Consumption: Electricity-Related Losses: Alternative Electricity and Transportation</t>
        </is>
      </c>
      <c r="C139" t="inlineStr">
        <is>
          <t>AEO.2026.ELECTRNP.CNSM_NA_IDAL_NA_ELECRELOS_NA_USA_QBTU.A</t>
        </is>
      </c>
      <c r="D139" t="inlineStr">
        <is>
          <t>quads</t>
        </is>
      </c>
      <c r="E139" t="n">
        <v>4.97092</v>
      </c>
      <c r="F139" t="n">
        <v>5.085649</v>
      </c>
      <c r="G139" t="n">
        <v>4.653188</v>
      </c>
      <c r="H139" t="n">
        <v>4.428238</v>
      </c>
      <c r="I139" t="n">
        <v>4.307059</v>
      </c>
      <c r="J139" t="n">
        <v>4.234146</v>
      </c>
      <c r="K139" t="n">
        <v>4.100829</v>
      </c>
      <c r="L139" t="n">
        <v>4.034413</v>
      </c>
      <c r="M139" t="n">
        <v>4.013876</v>
      </c>
      <c r="N139" t="n">
        <v>3.968344</v>
      </c>
      <c r="O139" t="n">
        <v>3.953396</v>
      </c>
      <c r="P139" t="n">
        <v>3.942945</v>
      </c>
      <c r="Q139" t="n">
        <v>3.96464</v>
      </c>
      <c r="R139" t="n">
        <v>3.991408</v>
      </c>
      <c r="S139" t="n">
        <v>4.007654</v>
      </c>
      <c r="T139" t="n">
        <v>4.008365</v>
      </c>
      <c r="U139" t="n">
        <v>3.999168</v>
      </c>
      <c r="V139" t="n">
        <v>4.002732</v>
      </c>
      <c r="W139" t="n">
        <v>4.000299</v>
      </c>
      <c r="X139" t="n">
        <v>3.998353</v>
      </c>
      <c r="Y139" t="n">
        <v>4.010569</v>
      </c>
      <c r="Z139" t="n">
        <v>4.025067</v>
      </c>
      <c r="AA139" t="n">
        <v>4.045673</v>
      </c>
      <c r="AB139" t="n">
        <v>4.064519</v>
      </c>
      <c r="AC139" t="n">
        <v>4.063228</v>
      </c>
      <c r="AD139" t="n">
        <v>4.073422</v>
      </c>
      <c r="AE139" t="inlineStr">
        <is>
          <t>-0.8%</t>
        </is>
      </c>
    </row>
    <row r="140">
      <c r="A140" t="inlineStr">
        <is>
          <t>Total</t>
        </is>
      </c>
      <c r="B140" t="inlineStr">
        <is>
          <t>Industrial: Total Industrial Sector Primary Consumption: Total: Alternative Electricity and Transportation</t>
        </is>
      </c>
      <c r="C140" t="inlineStr">
        <is>
          <t>AEO.2026.ELECTRNP.CNSM_NA_IDAL_NA_TOT_NA_USA_QBTU.A</t>
        </is>
      </c>
      <c r="D140" t="inlineStr">
        <is>
          <t>quads</t>
        </is>
      </c>
      <c r="E140" t="n">
        <v>31.486319</v>
      </c>
      <c r="F140" t="n">
        <v>31.544136</v>
      </c>
      <c r="G140" t="n">
        <v>31.162479</v>
      </c>
      <c r="H140" t="n">
        <v>31.096883</v>
      </c>
      <c r="I140" t="n">
        <v>30.899079</v>
      </c>
      <c r="J140" t="n">
        <v>30.877058</v>
      </c>
      <c r="K140" t="n">
        <v>30.820059</v>
      </c>
      <c r="L140" t="n">
        <v>30.91327</v>
      </c>
      <c r="M140" t="n">
        <v>31.03158</v>
      </c>
      <c r="N140" t="n">
        <v>31.189051</v>
      </c>
      <c r="O140" t="n">
        <v>31.33252</v>
      </c>
      <c r="P140" t="n">
        <v>31.479238</v>
      </c>
      <c r="Q140" t="n">
        <v>31.662262</v>
      </c>
      <c r="R140" t="n">
        <v>31.857538</v>
      </c>
      <c r="S140" t="n">
        <v>32.081865</v>
      </c>
      <c r="T140" t="n">
        <v>32.324991</v>
      </c>
      <c r="U140" t="n">
        <v>32.531887</v>
      </c>
      <c r="V140" t="n">
        <v>32.789001</v>
      </c>
      <c r="W140" t="n">
        <v>33.009077</v>
      </c>
      <c r="X140" t="n">
        <v>33.226069</v>
      </c>
      <c r="Y140" t="n">
        <v>33.492797</v>
      </c>
      <c r="Z140" t="n">
        <v>33.729013</v>
      </c>
      <c r="AA140" t="n">
        <v>34.054589</v>
      </c>
      <c r="AB140" t="n">
        <v>34.308887</v>
      </c>
      <c r="AC140" t="n">
        <v>34.501467</v>
      </c>
      <c r="AD140" t="n">
        <v>34.731621</v>
      </c>
      <c r="AE140" t="inlineStr">
        <is>
          <t>0.4%</t>
        </is>
      </c>
    </row>
    <row r="141">
      <c r="A141" t="inlineStr">
        <is>
          <t>Primary Energy Consumption per dollar of Shipments</t>
        </is>
      </c>
    </row>
    <row r="142">
      <c r="A142" t="inlineStr">
        <is>
          <t>(thousand Btu per 2012 dollar)</t>
        </is>
      </c>
    </row>
    <row r="143">
      <c r="A143" t="inlineStr">
        <is>
          <t>Propane Heat and Power</t>
        </is>
      </c>
      <c r="B143" t="inlineStr">
        <is>
          <t>Industrial: Energy Use per dollar of Shipment: Propane Heat and Power: Alternative Electricity and Transportation</t>
        </is>
      </c>
      <c r="C143" t="inlineStr">
        <is>
          <t>AEO.2026.ELECTRNP.INY_NA_IDAL_NA_LPGHP_NA_USA_THBTUPY05DLR.A</t>
        </is>
      </c>
      <c r="D143" t="inlineStr">
        <is>
          <t>thousand Btu/2012 $</t>
        </is>
      </c>
      <c r="E143" t="n">
        <v>0.015231</v>
      </c>
      <c r="F143" t="n">
        <v>0.00391</v>
      </c>
      <c r="G143" t="n">
        <v>0.020607</v>
      </c>
      <c r="H143" t="n">
        <v>0.020251</v>
      </c>
      <c r="I143" t="n">
        <v>0.020047</v>
      </c>
      <c r="J143" t="n">
        <v>0.019925</v>
      </c>
      <c r="K143" t="n">
        <v>0.019729</v>
      </c>
      <c r="L143" t="n">
        <v>0.020305</v>
      </c>
      <c r="M143" t="n">
        <v>0.019975</v>
      </c>
      <c r="N143" t="n">
        <v>0.019885</v>
      </c>
      <c r="O143" t="n">
        <v>0.019805</v>
      </c>
      <c r="P143" t="n">
        <v>0.019716</v>
      </c>
      <c r="Q143" t="n">
        <v>0.019863</v>
      </c>
      <c r="R143" t="n">
        <v>0.019988</v>
      </c>
      <c r="S143" t="n">
        <v>0.020048</v>
      </c>
      <c r="T143" t="n">
        <v>0.020004</v>
      </c>
      <c r="U143" t="n">
        <v>0.019806</v>
      </c>
      <c r="V143" t="n">
        <v>0.01965</v>
      </c>
      <c r="W143" t="n">
        <v>0.019497</v>
      </c>
      <c r="X143" t="n">
        <v>0.019352</v>
      </c>
      <c r="Y143" t="n">
        <v>0.019227</v>
      </c>
      <c r="Z143" t="n">
        <v>0.019117</v>
      </c>
      <c r="AA143" t="n">
        <v>0.019011</v>
      </c>
      <c r="AB143" t="n">
        <v>0.018913</v>
      </c>
      <c r="AC143" t="n">
        <v>0.018809</v>
      </c>
      <c r="AD143" t="n">
        <v>0.018731</v>
      </c>
      <c r="AE143" t="inlineStr">
        <is>
          <t>0.8%</t>
        </is>
      </c>
    </row>
    <row r="144">
      <c r="A144" t="inlineStr">
        <is>
          <t>Hydrocarbon Gas Liquid Feedstocks</t>
        </is>
      </c>
      <c r="B144" t="inlineStr">
        <is>
          <t>Industrial: Energy Use per dollar of Shipment: LPG and Other Feedstocks: Alternative Electricity and Transportation</t>
        </is>
      </c>
      <c r="C144" t="inlineStr">
        <is>
          <t>AEO.2026.ELECTRNP.INY_NA_IDAL_NA_LPGF_NA_USA_THBTUPY05DLR.A</t>
        </is>
      </c>
      <c r="D144" t="inlineStr">
        <is>
          <t>thousand Btu/2012 $</t>
        </is>
      </c>
      <c r="E144" t="n">
        <v>0.405552</v>
      </c>
      <c r="F144" t="n">
        <v>0.409663</v>
      </c>
      <c r="G144" t="n">
        <v>0.409974</v>
      </c>
      <c r="H144" t="n">
        <v>0.394748</v>
      </c>
      <c r="I144" t="n">
        <v>0.383228</v>
      </c>
      <c r="J144" t="n">
        <v>0.378031</v>
      </c>
      <c r="K144" t="n">
        <v>0.377883</v>
      </c>
      <c r="L144" t="n">
        <v>0.375712</v>
      </c>
      <c r="M144" t="n">
        <v>0.376547</v>
      </c>
      <c r="N144" t="n">
        <v>0.377639</v>
      </c>
      <c r="O144" t="n">
        <v>0.379182</v>
      </c>
      <c r="P144" t="n">
        <v>0.381838</v>
      </c>
      <c r="Q144" t="n">
        <v>0.382553</v>
      </c>
      <c r="R144" t="n">
        <v>0.383575</v>
      </c>
      <c r="S144" t="n">
        <v>0.387702</v>
      </c>
      <c r="T144" t="n">
        <v>0.390771</v>
      </c>
      <c r="U144" t="n">
        <v>0.394703</v>
      </c>
      <c r="V144" t="n">
        <v>0.399639</v>
      </c>
      <c r="W144" t="n">
        <v>0.40427</v>
      </c>
      <c r="X144" t="n">
        <v>0.408774</v>
      </c>
      <c r="Y144" t="n">
        <v>0.413193</v>
      </c>
      <c r="Z144" t="n">
        <v>0.417358</v>
      </c>
      <c r="AA144" t="n">
        <v>0.422354</v>
      </c>
      <c r="AB144" t="n">
        <v>0.426711</v>
      </c>
      <c r="AC144" t="n">
        <v>0.428422</v>
      </c>
      <c r="AD144" t="n">
        <v>0.432439</v>
      </c>
      <c r="AE144" t="inlineStr">
        <is>
          <t>0.3%</t>
        </is>
      </c>
    </row>
    <row r="145">
      <c r="A145" t="inlineStr">
        <is>
          <t>Motor Gasoline</t>
        </is>
      </c>
      <c r="B145" t="inlineStr">
        <is>
          <t>Industrial: Energy Use per dollar of Shipment: Motor Gasoline: Alternative Electricity and Transportation</t>
        </is>
      </c>
      <c r="C145" t="inlineStr">
        <is>
          <t>AEO.2026.ELECTRNP.INY_NA_IDAL_NA_MGS_NA_USA_THBTUPY05DLR.A</t>
        </is>
      </c>
      <c r="D145" t="inlineStr">
        <is>
          <t>thousand Btu/2012 $</t>
        </is>
      </c>
      <c r="E145" t="n">
        <v>0.031498</v>
      </c>
      <c r="F145" t="n">
        <v>0.031177</v>
      </c>
      <c r="G145" t="n">
        <v>0.031027</v>
      </c>
      <c r="H145" t="n">
        <v>0.031195</v>
      </c>
      <c r="I145" t="n">
        <v>0.031336</v>
      </c>
      <c r="J145" t="n">
        <v>0.031539</v>
      </c>
      <c r="K145" t="n">
        <v>0.031704</v>
      </c>
      <c r="L145" t="n">
        <v>0.03181</v>
      </c>
      <c r="M145" t="n">
        <v>0.031867</v>
      </c>
      <c r="N145" t="n">
        <v>0.03198</v>
      </c>
      <c r="O145" t="n">
        <v>0.032016</v>
      </c>
      <c r="P145" t="n">
        <v>0.032031</v>
      </c>
      <c r="Q145" t="n">
        <v>0.032</v>
      </c>
      <c r="R145" t="n">
        <v>0.031965</v>
      </c>
      <c r="S145" t="n">
        <v>0.031929</v>
      </c>
      <c r="T145" t="n">
        <v>0.03188</v>
      </c>
      <c r="U145" t="n">
        <v>0.031849</v>
      </c>
      <c r="V145" t="n">
        <v>0.031793</v>
      </c>
      <c r="W145" t="n">
        <v>0.031761</v>
      </c>
      <c r="X145" t="n">
        <v>0.031706</v>
      </c>
      <c r="Y145" t="n">
        <v>0.031636</v>
      </c>
      <c r="Z145" t="n">
        <v>0.031563</v>
      </c>
      <c r="AA145" t="n">
        <v>0.031508</v>
      </c>
      <c r="AB145" t="n">
        <v>0.031462</v>
      </c>
      <c r="AC145" t="n">
        <v>0.031391</v>
      </c>
      <c r="AD145" t="n">
        <v>0.031326</v>
      </c>
      <c r="AE145" t="inlineStr">
        <is>
          <t>-0.0%</t>
        </is>
      </c>
    </row>
    <row r="146">
      <c r="A146" t="inlineStr">
        <is>
          <t>Distillate Fuel Oil</t>
        </is>
      </c>
      <c r="B146" t="inlineStr">
        <is>
          <t>Industrial: Energy Use per dollar of Shipment: Distillate Fuel Oil: Alternative Electricity and Transportation</t>
        </is>
      </c>
      <c r="C146" t="inlineStr">
        <is>
          <t>AEO.2026.ELECTRNP.INY_NA_IDAL_NA_DFO_NA_USA_THBTUPY05DLR.A</t>
        </is>
      </c>
      <c r="D146" t="inlineStr">
        <is>
          <t>thousand Btu/2012 $</t>
        </is>
      </c>
      <c r="E146" t="n">
        <v>0.133415</v>
      </c>
      <c r="F146" t="n">
        <v>0.132698</v>
      </c>
      <c r="G146" t="n">
        <v>0.131151</v>
      </c>
      <c r="H146" t="n">
        <v>0.130923</v>
      </c>
      <c r="I146" t="n">
        <v>0.131135</v>
      </c>
      <c r="J146" t="n">
        <v>0.131561</v>
      </c>
      <c r="K146" t="n">
        <v>0.131683</v>
      </c>
      <c r="L146" t="n">
        <v>0.132328</v>
      </c>
      <c r="M146" t="n">
        <v>0.132278</v>
      </c>
      <c r="N146" t="n">
        <v>0.132392</v>
      </c>
      <c r="O146" t="n">
        <v>0.13241</v>
      </c>
      <c r="P146" t="n">
        <v>0.132298</v>
      </c>
      <c r="Q146" t="n">
        <v>0.132184</v>
      </c>
      <c r="R146" t="n">
        <v>0.132053</v>
      </c>
      <c r="S146" t="n">
        <v>0.131823</v>
      </c>
      <c r="T146" t="n">
        <v>0.131378</v>
      </c>
      <c r="U146" t="n">
        <v>0.130862</v>
      </c>
      <c r="V146" t="n">
        <v>0.130368</v>
      </c>
      <c r="W146" t="n">
        <v>0.129971</v>
      </c>
      <c r="X146" t="n">
        <v>0.129543</v>
      </c>
      <c r="Y146" t="n">
        <v>0.129136</v>
      </c>
      <c r="Z146" t="n">
        <v>0.128705</v>
      </c>
      <c r="AA146" t="n">
        <v>0.128323</v>
      </c>
      <c r="AB146" t="n">
        <v>0.127995</v>
      </c>
      <c r="AC146" t="n">
        <v>0.12761</v>
      </c>
      <c r="AD146" t="n">
        <v>0.127272</v>
      </c>
      <c r="AE146" t="inlineStr">
        <is>
          <t>-0.2%</t>
        </is>
      </c>
    </row>
    <row r="147">
      <c r="A147" t="inlineStr">
        <is>
          <t>Residual Fuel Oil</t>
        </is>
      </c>
      <c r="B147" t="inlineStr">
        <is>
          <t>Industrial: Energy Use per dollar of Shipment: Residual Fuel Oil: Alternative Electricity and Transportation</t>
        </is>
      </c>
      <c r="C147" t="inlineStr">
        <is>
          <t>AEO.2026.ELECTRNP.INY_NA_IDAL_NA_RFO_NA_USA_THBTUPY05DLR.A</t>
        </is>
      </c>
      <c r="D147" t="inlineStr">
        <is>
          <t>thousand Btu/2012 $</t>
        </is>
      </c>
      <c r="E147" t="n">
        <v>0.004697</v>
      </c>
      <c r="F147" t="n">
        <v>0.004516</v>
      </c>
      <c r="G147" t="n">
        <v>0.003987</v>
      </c>
      <c r="H147" t="n">
        <v>0.003871</v>
      </c>
      <c r="I147" t="n">
        <v>0.00375</v>
      </c>
      <c r="J147" t="n">
        <v>0.00382</v>
      </c>
      <c r="K147" t="n">
        <v>0.003693</v>
      </c>
      <c r="L147" t="n">
        <v>0.003678</v>
      </c>
      <c r="M147" t="n">
        <v>0.003602</v>
      </c>
      <c r="N147" t="n">
        <v>0.003577</v>
      </c>
      <c r="O147" t="n">
        <v>0.003519</v>
      </c>
      <c r="P147" t="n">
        <v>0.003466</v>
      </c>
      <c r="Q147" t="n">
        <v>0.003406</v>
      </c>
      <c r="R147" t="n">
        <v>0.003338</v>
      </c>
      <c r="S147" t="n">
        <v>0.003296</v>
      </c>
      <c r="T147" t="n">
        <v>0.003231</v>
      </c>
      <c r="U147" t="n">
        <v>0.003135</v>
      </c>
      <c r="V147" t="n">
        <v>0.003016</v>
      </c>
      <c r="W147" t="n">
        <v>0.002884</v>
      </c>
      <c r="X147" t="n">
        <v>0.002755</v>
      </c>
      <c r="Y147" t="n">
        <v>0.002652</v>
      </c>
      <c r="Z147" t="n">
        <v>0.002595</v>
      </c>
      <c r="AA147" t="n">
        <v>0.00255</v>
      </c>
      <c r="AB147" t="n">
        <v>0.002492</v>
      </c>
      <c r="AC147" t="n">
        <v>0.002443</v>
      </c>
      <c r="AD147" t="n">
        <v>0.002405</v>
      </c>
      <c r="AE147" t="inlineStr">
        <is>
          <t>-2.6%</t>
        </is>
      </c>
    </row>
    <row r="148">
      <c r="A148" t="inlineStr">
        <is>
          <t>Petrochemical Feedstocks</t>
        </is>
      </c>
      <c r="B148" t="inlineStr">
        <is>
          <t>Industrial: Energy Use per dollar of Shipment: Petrochemical Feedstocks: Alternative Electricity and Transportation</t>
        </is>
      </c>
      <c r="C148" t="inlineStr">
        <is>
          <t>AEO.2026.ELECTRNP.INY_NA_IDAL_NA_PCF_NA_USA_THBTUPY05DLR.A</t>
        </is>
      </c>
      <c r="D148" t="inlineStr">
        <is>
          <t>thousand Btu/2012 $</t>
        </is>
      </c>
      <c r="E148" t="n">
        <v>0.047446</v>
      </c>
      <c r="F148" t="n">
        <v>0.038633</v>
      </c>
      <c r="G148" t="n">
        <v>0.0393</v>
      </c>
      <c r="H148" t="n">
        <v>0.061623</v>
      </c>
      <c r="I148" t="n">
        <v>0.061132</v>
      </c>
      <c r="J148" t="n">
        <v>0.060466</v>
      </c>
      <c r="K148" t="n">
        <v>0.05991</v>
      </c>
      <c r="L148" t="n">
        <v>0.059261</v>
      </c>
      <c r="M148" t="n">
        <v>0.058775</v>
      </c>
      <c r="N148" t="n">
        <v>0.058285</v>
      </c>
      <c r="O148" t="n">
        <v>0.057772</v>
      </c>
      <c r="P148" t="n">
        <v>0.057266</v>
      </c>
      <c r="Q148" t="n">
        <v>0.056716</v>
      </c>
      <c r="R148" t="n">
        <v>0.056198</v>
      </c>
      <c r="S148" t="n">
        <v>0.055679</v>
      </c>
      <c r="T148" t="n">
        <v>0.055139</v>
      </c>
      <c r="U148" t="n">
        <v>0.054623</v>
      </c>
      <c r="V148" t="n">
        <v>0.0541</v>
      </c>
      <c r="W148" t="n">
        <v>0.053641</v>
      </c>
      <c r="X148" t="n">
        <v>0.053174</v>
      </c>
      <c r="Y148" t="n">
        <v>0.05263</v>
      </c>
      <c r="Z148" t="n">
        <v>0.052068</v>
      </c>
      <c r="AA148" t="n">
        <v>0.051523</v>
      </c>
      <c r="AB148" t="n">
        <v>0.051052</v>
      </c>
      <c r="AC148" t="n">
        <v>0.05057</v>
      </c>
      <c r="AD148" t="n">
        <v>0.050112</v>
      </c>
      <c r="AE148" t="inlineStr">
        <is>
          <t>0.2%</t>
        </is>
      </c>
    </row>
    <row r="149">
      <c r="A149" t="inlineStr">
        <is>
          <t>Petroleum Coke</t>
        </is>
      </c>
      <c r="B149" t="inlineStr">
        <is>
          <t>Industrial: Energy Use per dollar of Shipment: Petroleum Coke: Alternative Electricity and Transportation</t>
        </is>
      </c>
      <c r="C149" t="inlineStr">
        <is>
          <t>AEO.2026.ELECTRNP.INY_NA_IDAL_NA_PCK_NA_USA_THBTUPY05DLR.A</t>
        </is>
      </c>
      <c r="D149" t="inlineStr">
        <is>
          <t>thousand Btu/2012 $</t>
        </is>
      </c>
      <c r="E149" t="n">
        <v>0.059653</v>
      </c>
      <c r="F149" t="n">
        <v>0.061565</v>
      </c>
      <c r="G149" t="n">
        <v>0.060041</v>
      </c>
      <c r="H149" t="n">
        <v>0.062738</v>
      </c>
      <c r="I149" t="n">
        <v>0.062028</v>
      </c>
      <c r="J149" t="n">
        <v>0.061408</v>
      </c>
      <c r="K149" t="n">
        <v>0.059984</v>
      </c>
      <c r="L149" t="n">
        <v>0.059223</v>
      </c>
      <c r="M149" t="n">
        <v>0.058466</v>
      </c>
      <c r="N149" t="n">
        <v>0.058157</v>
      </c>
      <c r="O149" t="n">
        <v>0.057365</v>
      </c>
      <c r="P149" t="n">
        <v>0.056588</v>
      </c>
      <c r="Q149" t="n">
        <v>0.055925</v>
      </c>
      <c r="R149" t="n">
        <v>0.05519</v>
      </c>
      <c r="S149" t="n">
        <v>0.05439</v>
      </c>
      <c r="T149" t="n">
        <v>0.054008</v>
      </c>
      <c r="U149" t="n">
        <v>0.053382</v>
      </c>
      <c r="V149" t="n">
        <v>0.052816</v>
      </c>
      <c r="W149" t="n">
        <v>0.05222</v>
      </c>
      <c r="X149" t="n">
        <v>0.051512</v>
      </c>
      <c r="Y149" t="n">
        <v>0.05104</v>
      </c>
      <c r="Z149" t="n">
        <v>0.050009</v>
      </c>
      <c r="AA149" t="n">
        <v>0.048839</v>
      </c>
      <c r="AB149" t="n">
        <v>0.048241</v>
      </c>
      <c r="AC149" t="n">
        <v>0.047728</v>
      </c>
      <c r="AD149" t="n">
        <v>0.047193</v>
      </c>
      <c r="AE149" t="inlineStr">
        <is>
          <t>-0.9%</t>
        </is>
      </c>
    </row>
    <row r="150">
      <c r="A150" t="inlineStr">
        <is>
          <t>Asphalt and Road Oil</t>
        </is>
      </c>
      <c r="B150" t="inlineStr">
        <is>
          <t>Industrial: Energy Use per dollar of Shipment: Asphalt and Road Oil: Alternative Electricity and Transportation</t>
        </is>
      </c>
      <c r="C150" t="inlineStr">
        <is>
          <t>AEO.2026.ELECTRNP.INY_NA_IDAL_NA_ARO_NA_USA_THBTUPY05DLR.A</t>
        </is>
      </c>
      <c r="D150" t="inlineStr">
        <is>
          <t>thousand Btu/2012 $</t>
        </is>
      </c>
      <c r="E150" t="n">
        <v>0.09944799999999999</v>
      </c>
      <c r="F150" t="n">
        <v>0.097499</v>
      </c>
      <c r="G150" t="n">
        <v>0.096521</v>
      </c>
      <c r="H150" t="n">
        <v>0.101372</v>
      </c>
      <c r="I150" t="n">
        <v>0.10134</v>
      </c>
      <c r="J150" t="n">
        <v>0.100496</v>
      </c>
      <c r="K150" t="n">
        <v>0.099726</v>
      </c>
      <c r="L150" t="n">
        <v>0.098897</v>
      </c>
      <c r="M150" t="n">
        <v>0.098414</v>
      </c>
      <c r="N150" t="n">
        <v>0.09786400000000001</v>
      </c>
      <c r="O150" t="n">
        <v>0.097079</v>
      </c>
      <c r="P150" t="n">
        <v>0.09646</v>
      </c>
      <c r="Q150" t="n">
        <v>0.095903</v>
      </c>
      <c r="R150" t="n">
        <v>0.095384</v>
      </c>
      <c r="S150" t="n">
        <v>0.094856</v>
      </c>
      <c r="T150" t="n">
        <v>0.094249</v>
      </c>
      <c r="U150" t="n">
        <v>0.093609</v>
      </c>
      <c r="V150" t="n">
        <v>0.09292</v>
      </c>
      <c r="W150" t="n">
        <v>0.092171</v>
      </c>
      <c r="X150" t="n">
        <v>0.091864</v>
      </c>
      <c r="Y150" t="n">
        <v>0.091477</v>
      </c>
      <c r="Z150" t="n">
        <v>0.090462</v>
      </c>
      <c r="AA150" t="n">
        <v>0.089411</v>
      </c>
      <c r="AB150" t="n">
        <v>0.08860700000000001</v>
      </c>
      <c r="AC150" t="n">
        <v>0.087634</v>
      </c>
      <c r="AD150" t="n">
        <v>0.086658</v>
      </c>
      <c r="AE150" t="inlineStr">
        <is>
          <t>-0.5%</t>
        </is>
      </c>
    </row>
    <row r="151">
      <c r="A151" t="inlineStr">
        <is>
          <t>Still Gas</t>
        </is>
      </c>
      <c r="B151" t="inlineStr">
        <is>
          <t>Industrial: Energy Use per dollar of Shipment: Still Gas: Alternative Electricity and Transportation</t>
        </is>
      </c>
      <c r="C151" t="inlineStr">
        <is>
          <t>AEO.2026.ELECTRNP.INY_NA_IDAL_NA_SLG_NA_USA_THBTUPY05DLR.A</t>
        </is>
      </c>
      <c r="D151" t="inlineStr">
        <is>
          <t>thousand Btu/2012 $</t>
        </is>
      </c>
      <c r="E151" t="n">
        <v>0.154287</v>
      </c>
      <c r="F151" t="n">
        <v>0.153416</v>
      </c>
      <c r="G151" t="n">
        <v>0.149449</v>
      </c>
      <c r="H151" t="n">
        <v>0.150405</v>
      </c>
      <c r="I151" t="n">
        <v>0.150312</v>
      </c>
      <c r="J151" t="n">
        <v>0.151371</v>
      </c>
      <c r="K151" t="n">
        <v>0.148917</v>
      </c>
      <c r="L151" t="n">
        <v>0.149769</v>
      </c>
      <c r="M151" t="n">
        <v>0.148135</v>
      </c>
      <c r="N151" t="n">
        <v>0.147621</v>
      </c>
      <c r="O151" t="n">
        <v>0.146439</v>
      </c>
      <c r="P151" t="n">
        <v>0.145658</v>
      </c>
      <c r="Q151" t="n">
        <v>0.145015</v>
      </c>
      <c r="R151" t="n">
        <v>0.143509</v>
      </c>
      <c r="S151" t="n">
        <v>0.141952</v>
      </c>
      <c r="T151" t="n">
        <v>0.142027</v>
      </c>
      <c r="U151" t="n">
        <v>0.140805</v>
      </c>
      <c r="V151" t="n">
        <v>0.139575</v>
      </c>
      <c r="W151" t="n">
        <v>0.139296</v>
      </c>
      <c r="X151" t="n">
        <v>0.137458</v>
      </c>
      <c r="Y151" t="n">
        <v>0.13564</v>
      </c>
      <c r="Z151" t="n">
        <v>0.132643</v>
      </c>
      <c r="AA151" t="n">
        <v>0.133691</v>
      </c>
      <c r="AB151" t="n">
        <v>0.130707</v>
      </c>
      <c r="AC151" t="n">
        <v>0.130235</v>
      </c>
      <c r="AD151" t="n">
        <v>0.127904</v>
      </c>
      <c r="AE151" t="inlineStr">
        <is>
          <t>-0.7%</t>
        </is>
      </c>
    </row>
    <row r="152">
      <c r="A152" t="inlineStr">
        <is>
          <t>Miscellaneous Petroleum</t>
        </is>
      </c>
      <c r="B152" t="inlineStr">
        <is>
          <t>Industrial: Energy Use per dollar of Shipment: Miscellaneous Petroleum: Alternative Electricity and Transportation</t>
        </is>
      </c>
      <c r="C152" t="inlineStr">
        <is>
          <t>AEO.2026.ELECTRNP.INY_NA_IDAL_NA_MPET_NA_USA_THBTUPY05DLR.A</t>
        </is>
      </c>
      <c r="D152" t="inlineStr">
        <is>
          <t>thousand Btu/2012 $</t>
        </is>
      </c>
      <c r="E152" t="n">
        <v>0.039664</v>
      </c>
      <c r="F152" t="n">
        <v>0.03986</v>
      </c>
      <c r="G152" t="n">
        <v>0.039387</v>
      </c>
      <c r="H152" t="n">
        <v>0.039498</v>
      </c>
      <c r="I152" t="n">
        <v>0.039744</v>
      </c>
      <c r="J152" t="n">
        <v>0.039453</v>
      </c>
      <c r="K152" t="n">
        <v>0.039835</v>
      </c>
      <c r="L152" t="n">
        <v>0.039841</v>
      </c>
      <c r="M152" t="n">
        <v>0.041589</v>
      </c>
      <c r="N152" t="n">
        <v>0.041738</v>
      </c>
      <c r="O152" t="n">
        <v>0.041988</v>
      </c>
      <c r="P152" t="n">
        <v>0.042231</v>
      </c>
      <c r="Q152" t="n">
        <v>0.042923</v>
      </c>
      <c r="R152" t="n">
        <v>0.043265</v>
      </c>
      <c r="S152" t="n">
        <v>0.043782</v>
      </c>
      <c r="T152" t="n">
        <v>0.043372</v>
      </c>
      <c r="U152" t="n">
        <v>0.043797</v>
      </c>
      <c r="V152" t="n">
        <v>0.043963</v>
      </c>
      <c r="W152" t="n">
        <v>0.043691</v>
      </c>
      <c r="X152" t="n">
        <v>0.043961</v>
      </c>
      <c r="Y152" t="n">
        <v>0.043937</v>
      </c>
      <c r="Z152" t="n">
        <v>0.04411</v>
      </c>
      <c r="AA152" t="n">
        <v>0.043917</v>
      </c>
      <c r="AB152" t="n">
        <v>0.044477</v>
      </c>
      <c r="AC152" t="n">
        <v>0.044398</v>
      </c>
      <c r="AD152" t="n">
        <v>0.044181</v>
      </c>
      <c r="AE152" t="inlineStr">
        <is>
          <t>0.4%</t>
        </is>
      </c>
    </row>
    <row r="153">
      <c r="A153" t="inlineStr">
        <is>
          <t>Petroleum and Other Liquids Subtotal</t>
        </is>
      </c>
      <c r="B153" t="inlineStr">
        <is>
          <t>Industrial: Energy Use per dollar of Shipment: Petroleum Subtotal: Alternative Electricity and Transportation</t>
        </is>
      </c>
      <c r="C153" t="inlineStr">
        <is>
          <t>AEO.2026.ELECTRNP.INY_NA_IDAL_NA_PET_NA_USA_THBTUPY05DLR.A</t>
        </is>
      </c>
      <c r="D153" t="inlineStr">
        <is>
          <t>thousand Btu/2012 $</t>
        </is>
      </c>
      <c r="E153" t="n">
        <v>0.99089</v>
      </c>
      <c r="F153" t="n">
        <v>0.9729370000000001</v>
      </c>
      <c r="G153" t="n">
        <v>0.981443</v>
      </c>
      <c r="H153" t="n">
        <v>0.996624</v>
      </c>
      <c r="I153" t="n">
        <v>0.984053</v>
      </c>
      <c r="J153" t="n">
        <v>0.97807</v>
      </c>
      <c r="K153" t="n">
        <v>0.973064</v>
      </c>
      <c r="L153" t="n">
        <v>0.970825</v>
      </c>
      <c r="M153" t="n">
        <v>0.969647</v>
      </c>
      <c r="N153" t="n">
        <v>0.9691380000000001</v>
      </c>
      <c r="O153" t="n">
        <v>0.967576</v>
      </c>
      <c r="P153" t="n">
        <v>0.967552</v>
      </c>
      <c r="Q153" t="n">
        <v>0.966487</v>
      </c>
      <c r="R153" t="n">
        <v>0.964465</v>
      </c>
      <c r="S153" t="n">
        <v>0.965456</v>
      </c>
      <c r="T153" t="n">
        <v>0.966059</v>
      </c>
      <c r="U153" t="n">
        <v>0.96657</v>
      </c>
      <c r="V153" t="n">
        <v>0.967839</v>
      </c>
      <c r="W153" t="n">
        <v>0.969402</v>
      </c>
      <c r="X153" t="n">
        <v>0.9701</v>
      </c>
      <c r="Y153" t="n">
        <v>0.970569</v>
      </c>
      <c r="Z153" t="n">
        <v>0.968629</v>
      </c>
      <c r="AA153" t="n">
        <v>0.971127</v>
      </c>
      <c r="AB153" t="n">
        <v>0.970658</v>
      </c>
      <c r="AC153" t="n">
        <v>0.969241</v>
      </c>
      <c r="AD153" t="n">
        <v>0.968221</v>
      </c>
      <c r="AE153" t="inlineStr">
        <is>
          <t>-0.1%</t>
        </is>
      </c>
    </row>
    <row r="154">
      <c r="A154" t="inlineStr">
        <is>
          <t>Natural Gas Heat and Power</t>
        </is>
      </c>
      <c r="B154" t="inlineStr">
        <is>
          <t>Industrial: Energy Use per dollar of Shipment: Natural Gas Heat and Power: Alternative Electricity and Transportation</t>
        </is>
      </c>
      <c r="C154" t="inlineStr">
        <is>
          <t>AEO.2026.ELECTRNP.INY_NA_IDAL_NA_NHP_NA_USA_THBTUPY05DLR.A</t>
        </is>
      </c>
      <c r="D154" t="inlineStr">
        <is>
          <t>thousand Btu/2012 $</t>
        </is>
      </c>
      <c r="E154" t="n">
        <v>0.892463</v>
      </c>
      <c r="F154" t="n">
        <v>0.8757509999999999</v>
      </c>
      <c r="G154" t="n">
        <v>0.853965</v>
      </c>
      <c r="H154" t="n">
        <v>0.8482150000000001</v>
      </c>
      <c r="I154" t="n">
        <v>0.8416130000000001</v>
      </c>
      <c r="J154" t="n">
        <v>0.832958</v>
      </c>
      <c r="K154" t="n">
        <v>0.829183</v>
      </c>
      <c r="L154" t="n">
        <v>0.822947</v>
      </c>
      <c r="M154" t="n">
        <v>0.816106</v>
      </c>
      <c r="N154" t="n">
        <v>0.8118</v>
      </c>
      <c r="O154" t="n">
        <v>0.806932</v>
      </c>
      <c r="P154" t="n">
        <v>0.800606</v>
      </c>
      <c r="Q154" t="n">
        <v>0.792373</v>
      </c>
      <c r="R154" t="n">
        <v>0.786255</v>
      </c>
      <c r="S154" t="n">
        <v>0.7803949999999999</v>
      </c>
      <c r="T154" t="n">
        <v>0.77639</v>
      </c>
      <c r="U154" t="n">
        <v>0.773068</v>
      </c>
      <c r="V154" t="n">
        <v>0.77225</v>
      </c>
      <c r="W154" t="n">
        <v>0.772701</v>
      </c>
      <c r="X154" t="n">
        <v>0.7725109999999999</v>
      </c>
      <c r="Y154" t="n">
        <v>0.771748</v>
      </c>
      <c r="Z154" t="n">
        <v>0.769263</v>
      </c>
      <c r="AA154" t="n">
        <v>0.768492</v>
      </c>
      <c r="AB154" t="n">
        <v>0.767</v>
      </c>
      <c r="AC154" t="n">
        <v>0.764229</v>
      </c>
      <c r="AD154" t="n">
        <v>0.764262</v>
      </c>
      <c r="AE154" t="inlineStr">
        <is>
          <t>-0.6%</t>
        </is>
      </c>
    </row>
    <row r="155">
      <c r="A155" t="inlineStr">
        <is>
          <t>Natural Gas Feedstock</t>
        </is>
      </c>
      <c r="B155" t="inlineStr">
        <is>
          <t>Industrial: Energy Use per dollar of Shipment: Natural Gas Feedstock: Alternative Electricity and Transportation</t>
        </is>
      </c>
      <c r="C155" t="inlineStr">
        <is>
          <t>AEO.2026.ELECTRNP.INY_NA_IDAL_NA_NFS_NA_USA_THBTUPY05DLR.A</t>
        </is>
      </c>
      <c r="D155" t="inlineStr">
        <is>
          <t>thousand Btu/2012 $</t>
        </is>
      </c>
      <c r="E155" t="n">
        <v>0.135093</v>
      </c>
      <c r="F155" t="n">
        <v>0.126762</v>
      </c>
      <c r="G155" t="n">
        <v>0.123098</v>
      </c>
      <c r="H155" t="n">
        <v>0.122638</v>
      </c>
      <c r="I155" t="n">
        <v>0.122692</v>
      </c>
      <c r="J155" t="n">
        <v>0.120824</v>
      </c>
      <c r="K155" t="n">
        <v>0.11867</v>
      </c>
      <c r="L155" t="n">
        <v>0.117464</v>
      </c>
      <c r="M155" t="n">
        <v>0.117349</v>
      </c>
      <c r="N155" t="n">
        <v>0.119195</v>
      </c>
      <c r="O155" t="n">
        <v>0.119319</v>
      </c>
      <c r="P155" t="n">
        <v>0.119039</v>
      </c>
      <c r="Q155" t="n">
        <v>0.11997</v>
      </c>
      <c r="R155" t="n">
        <v>0.120051</v>
      </c>
      <c r="S155" t="n">
        <v>0.120315</v>
      </c>
      <c r="T155" t="n">
        <v>0.119621</v>
      </c>
      <c r="U155" t="n">
        <v>0.119531</v>
      </c>
      <c r="V155" t="n">
        <v>0.119274</v>
      </c>
      <c r="W155" t="n">
        <v>0.119802</v>
      </c>
      <c r="X155" t="n">
        <v>0.121717</v>
      </c>
      <c r="Y155" t="n">
        <v>0.122681</v>
      </c>
      <c r="Z155" t="n">
        <v>0.122716</v>
      </c>
      <c r="AA155" t="n">
        <v>0.123101</v>
      </c>
      <c r="AB155" t="n">
        <v>0.123203</v>
      </c>
      <c r="AC155" t="n">
        <v>0.122935</v>
      </c>
      <c r="AD155" t="n">
        <v>0.122916</v>
      </c>
      <c r="AE155" t="inlineStr">
        <is>
          <t>-0.4%</t>
        </is>
      </c>
    </row>
    <row r="156">
      <c r="A156" t="inlineStr">
        <is>
          <t>Lease and Plant Fuel</t>
        </is>
      </c>
      <c r="B156" t="inlineStr">
        <is>
          <t>Industrial: Energy Use per dollar of Shipment: Lease and Plant Fuel: Alternative Electricity and Transportation</t>
        </is>
      </c>
      <c r="C156" t="inlineStr">
        <is>
          <t>AEO.2026.ELECTRNP.INY_NA_IDAL_NA_LSAPFL_NA_USA_THBTUPY05DLR.A</t>
        </is>
      </c>
      <c r="D156" t="inlineStr">
        <is>
          <t>thousand Btu/2012 $</t>
        </is>
      </c>
      <c r="E156" t="n">
        <v>0.245455</v>
      </c>
      <c r="F156" t="n">
        <v>0.243184</v>
      </c>
      <c r="G156" t="n">
        <v>0.243828</v>
      </c>
      <c r="H156" t="n">
        <v>0.242597</v>
      </c>
      <c r="I156" t="n">
        <v>0.24032</v>
      </c>
      <c r="J156" t="n">
        <v>0.242214</v>
      </c>
      <c r="K156" t="n">
        <v>0.246651</v>
      </c>
      <c r="L156" t="n">
        <v>0.251587</v>
      </c>
      <c r="M156" t="n">
        <v>0.255962</v>
      </c>
      <c r="N156" t="n">
        <v>0.259905</v>
      </c>
      <c r="O156" t="n">
        <v>0.259842</v>
      </c>
      <c r="P156" t="n">
        <v>0.258495</v>
      </c>
      <c r="Q156" t="n">
        <v>0.257055</v>
      </c>
      <c r="R156" t="n">
        <v>0.256146</v>
      </c>
      <c r="S156" t="n">
        <v>0.255581</v>
      </c>
      <c r="T156" t="n">
        <v>0.257394</v>
      </c>
      <c r="U156" t="n">
        <v>0.258394</v>
      </c>
      <c r="V156" t="n">
        <v>0.25875</v>
      </c>
      <c r="W156" t="n">
        <v>0.25796</v>
      </c>
      <c r="X156" t="n">
        <v>0.25599</v>
      </c>
      <c r="Y156" t="n">
        <v>0.253192</v>
      </c>
      <c r="Z156" t="n">
        <v>0.251479</v>
      </c>
      <c r="AA156" t="n">
        <v>0.250454</v>
      </c>
      <c r="AB156" t="n">
        <v>0.249645</v>
      </c>
      <c r="AC156" t="n">
        <v>0.247296</v>
      </c>
      <c r="AD156" t="n">
        <v>0.244628</v>
      </c>
      <c r="AE156" t="inlineStr">
        <is>
          <t>-0.0%</t>
        </is>
      </c>
    </row>
    <row r="157">
      <c r="A157" t="inlineStr">
        <is>
          <t>Natural Gas Subtotal</t>
        </is>
      </c>
      <c r="B157" t="inlineStr">
        <is>
          <t>Industrial: Energy Use per dollar of Shipment: Natural Gas Subtotal: Alternative Electricity and Transportation</t>
        </is>
      </c>
      <c r="C157" t="inlineStr">
        <is>
          <t>AEO.2026.ELECTRNP.INY_NA_IDAL_NA_NGS_NA_USA_THBTUPY05DLR.A</t>
        </is>
      </c>
      <c r="D157" t="inlineStr">
        <is>
          <t>thousand Btu/2012 $</t>
        </is>
      </c>
      <c r="E157" t="n">
        <v>1.273011</v>
      </c>
      <c r="F157" t="n">
        <v>1.245697</v>
      </c>
      <c r="G157" t="n">
        <v>1.220891</v>
      </c>
      <c r="H157" t="n">
        <v>1.21345</v>
      </c>
      <c r="I157" t="n">
        <v>1.204625</v>
      </c>
      <c r="J157" t="n">
        <v>1.195996</v>
      </c>
      <c r="K157" t="n">
        <v>1.194505</v>
      </c>
      <c r="L157" t="n">
        <v>1.191998</v>
      </c>
      <c r="M157" t="n">
        <v>1.189417</v>
      </c>
      <c r="N157" t="n">
        <v>1.190901</v>
      </c>
      <c r="O157" t="n">
        <v>1.186093</v>
      </c>
      <c r="P157" t="n">
        <v>1.17814</v>
      </c>
      <c r="Q157" t="n">
        <v>1.169398</v>
      </c>
      <c r="R157" t="n">
        <v>1.162452</v>
      </c>
      <c r="S157" t="n">
        <v>1.156291</v>
      </c>
      <c r="T157" t="n">
        <v>1.153406</v>
      </c>
      <c r="U157" t="n">
        <v>1.150993</v>
      </c>
      <c r="V157" t="n">
        <v>1.150273</v>
      </c>
      <c r="W157" t="n">
        <v>1.150462</v>
      </c>
      <c r="X157" t="n">
        <v>1.150219</v>
      </c>
      <c r="Y157" t="n">
        <v>1.147621</v>
      </c>
      <c r="Z157" t="n">
        <v>1.143459</v>
      </c>
      <c r="AA157" t="n">
        <v>1.142048</v>
      </c>
      <c r="AB157" t="n">
        <v>1.139848</v>
      </c>
      <c r="AC157" t="n">
        <v>1.134461</v>
      </c>
      <c r="AD157" t="n">
        <v>1.131806</v>
      </c>
      <c r="AE157" t="inlineStr">
        <is>
          <t>-0.5%</t>
        </is>
      </c>
    </row>
    <row r="158">
      <c r="A158" t="inlineStr">
        <is>
          <t>Metallurgical Coal and Coke</t>
        </is>
      </c>
      <c r="B158" t="inlineStr">
        <is>
          <t>Industrial: Energy Use per dollar of Shipment: Metallurgical Coal and Coke: Alternative Electricity and Transportation</t>
        </is>
      </c>
      <c r="C158" t="inlineStr">
        <is>
          <t>AEO.2026.ELECTRNP.INY_NA_IDAL_NA_MCC_NA_USA_THBTUPY05DLR.A</t>
        </is>
      </c>
      <c r="D158" t="inlineStr">
        <is>
          <t>thousand Btu/2012 $</t>
        </is>
      </c>
      <c r="E158" t="n">
        <v>0.044497</v>
      </c>
      <c r="F158" t="n">
        <v>0.045958</v>
      </c>
      <c r="G158" t="n">
        <v>0.047474</v>
      </c>
      <c r="H158" t="n">
        <v>0.045389</v>
      </c>
      <c r="I158" t="n">
        <v>0.043817</v>
      </c>
      <c r="J158" t="n">
        <v>0.0427</v>
      </c>
      <c r="K158" t="n">
        <v>0.041494</v>
      </c>
      <c r="L158" t="n">
        <v>0.040485</v>
      </c>
      <c r="M158" t="n">
        <v>0.039532</v>
      </c>
      <c r="N158" t="n">
        <v>0.038169</v>
      </c>
      <c r="O158" t="n">
        <v>0.037</v>
      </c>
      <c r="P158" t="n">
        <v>0.035637</v>
      </c>
      <c r="Q158" t="n">
        <v>0.034392</v>
      </c>
      <c r="R158" t="n">
        <v>0.033098</v>
      </c>
      <c r="S158" t="n">
        <v>0.031782</v>
      </c>
      <c r="T158" t="n">
        <v>0.03069</v>
      </c>
      <c r="U158" t="n">
        <v>0.029704</v>
      </c>
      <c r="V158" t="n">
        <v>0.028749</v>
      </c>
      <c r="W158" t="n">
        <v>0.027778</v>
      </c>
      <c r="X158" t="n">
        <v>0.026825</v>
      </c>
      <c r="Y158" t="n">
        <v>0.026028</v>
      </c>
      <c r="Z158" t="n">
        <v>0.025136</v>
      </c>
      <c r="AA158" t="n">
        <v>0.02435</v>
      </c>
      <c r="AB158" t="n">
        <v>0.023566</v>
      </c>
      <c r="AC158" t="n">
        <v>0.022672</v>
      </c>
      <c r="AD158" t="n">
        <v>0.021916</v>
      </c>
      <c r="AE158" t="inlineStr">
        <is>
          <t>-2.8%</t>
        </is>
      </c>
    </row>
    <row r="159">
      <c r="A159" t="inlineStr">
        <is>
          <t>Steam Coal</t>
        </is>
      </c>
      <c r="B159" t="inlineStr">
        <is>
          <t>Industrial: Energy Use per dollar of Shipment: Steam Coal: Alternative Electricity and Transportation</t>
        </is>
      </c>
      <c r="C159" t="inlineStr">
        <is>
          <t>AEO.2026.ELECTRNP.INY_NA_IDAL_NA_OIC_NA_USA_THBTUPY05DLR.A</t>
        </is>
      </c>
      <c r="D159" t="inlineStr">
        <is>
          <t>thousand Btu/2012 $</t>
        </is>
      </c>
      <c r="E159" t="n">
        <v>0.046001</v>
      </c>
      <c r="F159" t="n">
        <v>0.042122</v>
      </c>
      <c r="G159" t="n">
        <v>0.041516</v>
      </c>
      <c r="H159" t="n">
        <v>0.040856</v>
      </c>
      <c r="I159" t="n">
        <v>0.040139</v>
      </c>
      <c r="J159" t="n">
        <v>0.039393</v>
      </c>
      <c r="K159" t="n">
        <v>0.038591</v>
      </c>
      <c r="L159" t="n">
        <v>0.038322</v>
      </c>
      <c r="M159" t="n">
        <v>0.038035</v>
      </c>
      <c r="N159" t="n">
        <v>0.0376</v>
      </c>
      <c r="O159" t="n">
        <v>0.037097</v>
      </c>
      <c r="P159" t="n">
        <v>0.036472</v>
      </c>
      <c r="Q159" t="n">
        <v>0.035742</v>
      </c>
      <c r="R159" t="n">
        <v>0.03498</v>
      </c>
      <c r="S159" t="n">
        <v>0.034201</v>
      </c>
      <c r="T159" t="n">
        <v>0.033427</v>
      </c>
      <c r="U159" t="n">
        <v>0.032692</v>
      </c>
      <c r="V159" t="n">
        <v>0.031944</v>
      </c>
      <c r="W159" t="n">
        <v>0.031233</v>
      </c>
      <c r="X159" t="n">
        <v>0.030537</v>
      </c>
      <c r="Y159" t="n">
        <v>0.029863</v>
      </c>
      <c r="Z159" t="n">
        <v>0.029209</v>
      </c>
      <c r="AA159" t="n">
        <v>0.028584</v>
      </c>
      <c r="AB159" t="n">
        <v>0.028001</v>
      </c>
      <c r="AC159" t="n">
        <v>0.027404</v>
      </c>
      <c r="AD159" t="n">
        <v>0.026848</v>
      </c>
      <c r="AE159" t="inlineStr">
        <is>
          <t>-2.1%</t>
        </is>
      </c>
    </row>
    <row r="160">
      <c r="A160" t="inlineStr">
        <is>
          <t>Coal Subtotal</t>
        </is>
      </c>
      <c r="B160" t="inlineStr">
        <is>
          <t>Industrial: Energy Use per dollar of Shipment: Coal Subtotal: Alternative Electricity and Transportation</t>
        </is>
      </c>
      <c r="C160" t="inlineStr">
        <is>
          <t>AEO.2026.ELECTRNP.INY_NA_IDAL_NA_COS_NA_USA_THBTUPY05DLR.A</t>
        </is>
      </c>
      <c r="D160" t="inlineStr">
        <is>
          <t>thousand Btu/2012 $</t>
        </is>
      </c>
      <c r="E160" t="n">
        <v>0.090498</v>
      </c>
      <c r="F160" t="n">
        <v>0.08808000000000001</v>
      </c>
      <c r="G160" t="n">
        <v>0.088991</v>
      </c>
      <c r="H160" t="n">
        <v>0.086244</v>
      </c>
      <c r="I160" t="n">
        <v>0.083957</v>
      </c>
      <c r="J160" t="n">
        <v>0.082093</v>
      </c>
      <c r="K160" t="n">
        <v>0.080085</v>
      </c>
      <c r="L160" t="n">
        <v>0.078807</v>
      </c>
      <c r="M160" t="n">
        <v>0.077568</v>
      </c>
      <c r="N160" t="n">
        <v>0.075769</v>
      </c>
      <c r="O160" t="n">
        <v>0.074096</v>
      </c>
      <c r="P160" t="n">
        <v>0.07210900000000001</v>
      </c>
      <c r="Q160" t="n">
        <v>0.070134</v>
      </c>
      <c r="R160" t="n">
        <v>0.068078</v>
      </c>
      <c r="S160" t="n">
        <v>0.065982</v>
      </c>
      <c r="T160" t="n">
        <v>0.06411699999999999</v>
      </c>
      <c r="U160" t="n">
        <v>0.062396</v>
      </c>
      <c r="V160" t="n">
        <v>0.060692</v>
      </c>
      <c r="W160" t="n">
        <v>0.05901</v>
      </c>
      <c r="X160" t="n">
        <v>0.057362</v>
      </c>
      <c r="Y160" t="n">
        <v>0.055891</v>
      </c>
      <c r="Z160" t="n">
        <v>0.054345</v>
      </c>
      <c r="AA160" t="n">
        <v>0.052934</v>
      </c>
      <c r="AB160" t="n">
        <v>0.051567</v>
      </c>
      <c r="AC160" t="n">
        <v>0.050077</v>
      </c>
      <c r="AD160" t="n">
        <v>0.048763</v>
      </c>
      <c r="AE160" t="inlineStr">
        <is>
          <t>-2.4%</t>
        </is>
      </c>
    </row>
    <row r="161">
      <c r="A161" t="inlineStr">
        <is>
          <t>Biofuels Heat and Coproducts</t>
        </is>
      </c>
      <c r="B161" t="inlineStr">
        <is>
          <t>Industrial: Energy Use per dollar of Shipment: Biofuels Heat and Coproducts: Alternative Electricity and Transportation</t>
        </is>
      </c>
      <c r="C161" t="inlineStr">
        <is>
          <t>AEO.2026.ELECTRNP.INY_NA_IDAL_NA_BFH_NA_USA_THBTUPY05DLR.A</t>
        </is>
      </c>
      <c r="D161" t="inlineStr">
        <is>
          <t>thousand Btu/2012 $</t>
        </is>
      </c>
      <c r="E161" t="n">
        <v>0.104435</v>
      </c>
      <c r="F161" t="n">
        <v>0.105638</v>
      </c>
      <c r="G161" t="n">
        <v>0.105766</v>
      </c>
      <c r="H161" t="n">
        <v>0.105509</v>
      </c>
      <c r="I161" t="n">
        <v>0.10432</v>
      </c>
      <c r="J161" t="n">
        <v>0.103363</v>
      </c>
      <c r="K161" t="n">
        <v>0.102075</v>
      </c>
      <c r="L161" t="n">
        <v>0.100848</v>
      </c>
      <c r="M161" t="n">
        <v>0.099873</v>
      </c>
      <c r="N161" t="n">
        <v>0.09926699999999999</v>
      </c>
      <c r="O161" t="n">
        <v>0.098564</v>
      </c>
      <c r="P161" t="n">
        <v>0.098348</v>
      </c>
      <c r="Q161" t="n">
        <v>0.09736300000000001</v>
      </c>
      <c r="R161" t="n">
        <v>0.096553</v>
      </c>
      <c r="S161" t="n">
        <v>0.095762</v>
      </c>
      <c r="T161" t="n">
        <v>0.095095</v>
      </c>
      <c r="U161" t="n">
        <v>0.09447899999999999</v>
      </c>
      <c r="V161" t="n">
        <v>0.094541</v>
      </c>
      <c r="W161" t="n">
        <v>0.094121</v>
      </c>
      <c r="X161" t="n">
        <v>0.093559</v>
      </c>
      <c r="Y161" t="n">
        <v>0.092679</v>
      </c>
      <c r="Z161" t="n">
        <v>0.091692</v>
      </c>
      <c r="AA161" t="n">
        <v>0.09113599999999999</v>
      </c>
      <c r="AB161" t="n">
        <v>0.090865</v>
      </c>
      <c r="AC161" t="n">
        <v>0.090255</v>
      </c>
      <c r="AD161" t="n">
        <v>0.08984300000000001</v>
      </c>
      <c r="AE161" t="inlineStr">
        <is>
          <t>-0.6%</t>
        </is>
      </c>
    </row>
    <row r="162">
      <c r="A162" t="inlineStr">
        <is>
          <t>Renewables</t>
        </is>
      </c>
      <c r="B162" t="inlineStr">
        <is>
          <t>Industrial: Energy Use per dollar of Shipment: Renewables: Alternative Electricity and Transportation</t>
        </is>
      </c>
      <c r="C162" t="inlineStr">
        <is>
          <t>AEO.2026.ELECTRNP.INY_NA_IDAL_NA_REB_NA_USA_THBTUPY05DLR.A</t>
        </is>
      </c>
      <c r="D162" t="inlineStr">
        <is>
          <t>thousand Btu/2012 $</t>
        </is>
      </c>
      <c r="E162" t="n">
        <v>0.172119</v>
      </c>
      <c r="F162" t="n">
        <v>0.183615</v>
      </c>
      <c r="G162" t="n">
        <v>0.17707</v>
      </c>
      <c r="H162" t="n">
        <v>0.173736</v>
      </c>
      <c r="I162" t="n">
        <v>0.171538</v>
      </c>
      <c r="J162" t="n">
        <v>0.166448</v>
      </c>
      <c r="K162" t="n">
        <v>0.161183</v>
      </c>
      <c r="L162" t="n">
        <v>0.157107</v>
      </c>
      <c r="M162" t="n">
        <v>0.154625</v>
      </c>
      <c r="N162" t="n">
        <v>0.153513</v>
      </c>
      <c r="O162" t="n">
        <v>0.152573</v>
      </c>
      <c r="P162" t="n">
        <v>0.152328</v>
      </c>
      <c r="Q162" t="n">
        <v>0.151914</v>
      </c>
      <c r="R162" t="n">
        <v>0.152835</v>
      </c>
      <c r="S162" t="n">
        <v>0.153921</v>
      </c>
      <c r="T162" t="n">
        <v>0.154526</v>
      </c>
      <c r="U162" t="n">
        <v>0.153611</v>
      </c>
      <c r="V162" t="n">
        <v>0.153225</v>
      </c>
      <c r="W162" t="n">
        <v>0.152658</v>
      </c>
      <c r="X162" t="n">
        <v>0.152553</v>
      </c>
      <c r="Y162" t="n">
        <v>0.153318</v>
      </c>
      <c r="Z162" t="n">
        <v>0.153815</v>
      </c>
      <c r="AA162" t="n">
        <v>0.154587</v>
      </c>
      <c r="AB162" t="n">
        <v>0.155349</v>
      </c>
      <c r="AC162" t="n">
        <v>0.156502</v>
      </c>
      <c r="AD162" t="n">
        <v>0.157555</v>
      </c>
      <c r="AE162" t="inlineStr">
        <is>
          <t>-0.4%</t>
        </is>
      </c>
    </row>
    <row r="163">
      <c r="A163" t="inlineStr">
        <is>
          <t>Purchased Electricity</t>
        </is>
      </c>
      <c r="B163" t="inlineStr">
        <is>
          <t>Industrial: Energy Use per dollar of Shipment: Purchased Electricity: Alternative Electricity and Transportation</t>
        </is>
      </c>
      <c r="C163" t="inlineStr">
        <is>
          <t>AEO.2026.ELECTRNP.INY_NA_IDAL_NA_PRC_NA_USA_THBTUPY05DLR.A</t>
        </is>
      </c>
      <c r="D163" t="inlineStr">
        <is>
          <t>thousand Btu/2012 $</t>
        </is>
      </c>
      <c r="E163" t="n">
        <v>0.415675</v>
      </c>
      <c r="F163" t="n">
        <v>0.426974</v>
      </c>
      <c r="G163" t="n">
        <v>0.41783</v>
      </c>
      <c r="H163" t="n">
        <v>0.41245</v>
      </c>
      <c r="I163" t="n">
        <v>0.407171</v>
      </c>
      <c r="J163" t="n">
        <v>0.403106</v>
      </c>
      <c r="K163" t="n">
        <v>0.399556</v>
      </c>
      <c r="L163" t="n">
        <v>0.396561</v>
      </c>
      <c r="M163" t="n">
        <v>0.396067</v>
      </c>
      <c r="N163" t="n">
        <v>0.396051</v>
      </c>
      <c r="O163" t="n">
        <v>0.397005</v>
      </c>
      <c r="P163" t="n">
        <v>0.398602</v>
      </c>
      <c r="Q163" t="n">
        <v>0.400905</v>
      </c>
      <c r="R163" t="n">
        <v>0.402911</v>
      </c>
      <c r="S163" t="n">
        <v>0.404646</v>
      </c>
      <c r="T163" t="n">
        <v>0.405606</v>
      </c>
      <c r="U163" t="n">
        <v>0.405661</v>
      </c>
      <c r="V163" t="n">
        <v>0.404941</v>
      </c>
      <c r="W163" t="n">
        <v>0.403556</v>
      </c>
      <c r="X163" t="n">
        <v>0.401946</v>
      </c>
      <c r="Y163" t="n">
        <v>0.401083</v>
      </c>
      <c r="Z163" t="n">
        <v>0.400082</v>
      </c>
      <c r="AA163" t="n">
        <v>0.399364</v>
      </c>
      <c r="AB163" t="n">
        <v>0.399061</v>
      </c>
      <c r="AC163" t="n">
        <v>0.398098</v>
      </c>
      <c r="AD163" t="n">
        <v>0.397181</v>
      </c>
      <c r="AE163" t="inlineStr">
        <is>
          <t>-0.2%</t>
        </is>
      </c>
    </row>
    <row r="164">
      <c r="A164" t="inlineStr">
        <is>
          <t>Delivered Energy</t>
        </is>
      </c>
      <c r="B164" t="inlineStr">
        <is>
          <t>Industrial: Energy Use per dollar of Shipment: Delivered Energy: Alternative Electricity and Transportation</t>
        </is>
      </c>
      <c r="C164" t="inlineStr">
        <is>
          <t>AEO.2026.ELECTRNP.INY_NA_IDAL_NA_DELE_NA_USA_THBTUPY05DLR.A</t>
        </is>
      </c>
      <c r="D164" t="inlineStr">
        <is>
          <t>thousand Btu/2012 $</t>
        </is>
      </c>
      <c r="E164" t="n">
        <v>3.046627</v>
      </c>
      <c r="F164" t="n">
        <v>3.022941</v>
      </c>
      <c r="G164" t="n">
        <v>2.99199</v>
      </c>
      <c r="H164" t="n">
        <v>2.988012</v>
      </c>
      <c r="I164" t="n">
        <v>2.955663</v>
      </c>
      <c r="J164" t="n">
        <v>2.929076</v>
      </c>
      <c r="K164" t="n">
        <v>2.910468</v>
      </c>
      <c r="L164" t="n">
        <v>2.896145</v>
      </c>
      <c r="M164" t="n">
        <v>2.887198</v>
      </c>
      <c r="N164" t="n">
        <v>2.884639</v>
      </c>
      <c r="O164" t="n">
        <v>2.875908</v>
      </c>
      <c r="P164" t="n">
        <v>2.86708</v>
      </c>
      <c r="Q164" t="n">
        <v>2.856201</v>
      </c>
      <c r="R164" t="n">
        <v>2.847294</v>
      </c>
      <c r="S164" t="n">
        <v>2.842059</v>
      </c>
      <c r="T164" t="n">
        <v>2.838808</v>
      </c>
      <c r="U164" t="n">
        <v>2.83371</v>
      </c>
      <c r="V164" t="n">
        <v>2.831512</v>
      </c>
      <c r="W164" t="n">
        <v>2.829209</v>
      </c>
      <c r="X164" t="n">
        <v>2.825741</v>
      </c>
      <c r="Y164" t="n">
        <v>2.821161</v>
      </c>
      <c r="Z164" t="n">
        <v>2.812022</v>
      </c>
      <c r="AA164" t="n">
        <v>2.811195</v>
      </c>
      <c r="AB164" t="n">
        <v>2.807348</v>
      </c>
      <c r="AC164" t="n">
        <v>2.798634</v>
      </c>
      <c r="AD164" t="n">
        <v>2.793369</v>
      </c>
      <c r="AE164" t="inlineStr">
        <is>
          <t>-0.3%</t>
        </is>
      </c>
    </row>
    <row r="165">
      <c r="A165" t="inlineStr">
        <is>
          <t>Electricity-Related Losses</t>
        </is>
      </c>
      <c r="B165" t="inlineStr">
        <is>
          <t>Industrial: Energy Use per dollar of Shipment: Electricity Related Losses: Alternative Electricity and Transportation</t>
        </is>
      </c>
      <c r="C165" t="inlineStr">
        <is>
          <t>AEO.2026.ELECTRNP.INY_NA_IDAL_NA_ERL_NA_USA_THBTUPY05DLR.A</t>
        </is>
      </c>
      <c r="D165" t="inlineStr">
        <is>
          <t>thousand Btu/2012 $</t>
        </is>
      </c>
      <c r="E165" t="n">
        <v>0.57116</v>
      </c>
      <c r="F165" t="n">
        <v>0.581047</v>
      </c>
      <c r="G165" t="n">
        <v>0.525185</v>
      </c>
      <c r="H165" t="n">
        <v>0.496149</v>
      </c>
      <c r="I165" t="n">
        <v>0.478723</v>
      </c>
      <c r="J165" t="n">
        <v>0.465495</v>
      </c>
      <c r="K165" t="n">
        <v>0.446694</v>
      </c>
      <c r="L165" t="n">
        <v>0.4347</v>
      </c>
      <c r="M165" t="n">
        <v>0.428936</v>
      </c>
      <c r="N165" t="n">
        <v>0.420534</v>
      </c>
      <c r="O165" t="n">
        <v>0.415265</v>
      </c>
      <c r="P165" t="n">
        <v>0.41054</v>
      </c>
      <c r="Q165" t="n">
        <v>0.408837</v>
      </c>
      <c r="R165" t="n">
        <v>0.407832</v>
      </c>
      <c r="S165" t="n">
        <v>0.40571</v>
      </c>
      <c r="T165" t="n">
        <v>0.401848</v>
      </c>
      <c r="U165" t="n">
        <v>0.397175</v>
      </c>
      <c r="V165" t="n">
        <v>0.393722</v>
      </c>
      <c r="W165" t="n">
        <v>0.390147</v>
      </c>
      <c r="X165" t="n">
        <v>0.386561</v>
      </c>
      <c r="Y165" t="n">
        <v>0.383772</v>
      </c>
      <c r="Z165" t="n">
        <v>0.381046</v>
      </c>
      <c r="AA165" t="n">
        <v>0.378993</v>
      </c>
      <c r="AB165" t="n">
        <v>0.377278</v>
      </c>
      <c r="AC165" t="n">
        <v>0.373592</v>
      </c>
      <c r="AD165" t="n">
        <v>0.371143</v>
      </c>
      <c r="AE165" t="inlineStr">
        <is>
          <t>-1.7%</t>
        </is>
      </c>
    </row>
    <row r="166">
      <c r="A166" t="inlineStr">
        <is>
          <t>Total</t>
        </is>
      </c>
      <c r="B166" t="inlineStr">
        <is>
          <t>Industrial: Energy Use per dollar of Shipment: Total: Alternative Electricity and Transportation</t>
        </is>
      </c>
      <c r="C166" t="inlineStr">
        <is>
          <t>AEO.2026.ELECTRNP.INY_NA_IDAL_NA_EUS_NA_USA_THBTUPY05DLR.A</t>
        </is>
      </c>
      <c r="D166" t="inlineStr">
        <is>
          <t>thousand Btu/2012 $</t>
        </is>
      </c>
      <c r="E166" t="n">
        <v>3.617787</v>
      </c>
      <c r="F166" t="n">
        <v>3.603988</v>
      </c>
      <c r="G166" t="n">
        <v>3.517176</v>
      </c>
      <c r="H166" t="n">
        <v>3.484162</v>
      </c>
      <c r="I166" t="n">
        <v>3.434386</v>
      </c>
      <c r="J166" t="n">
        <v>3.394571</v>
      </c>
      <c r="K166" t="n">
        <v>3.357163</v>
      </c>
      <c r="L166" t="n">
        <v>3.330846</v>
      </c>
      <c r="M166" t="n">
        <v>3.316134</v>
      </c>
      <c r="N166" t="n">
        <v>3.305174</v>
      </c>
      <c r="O166" t="n">
        <v>3.291173</v>
      </c>
      <c r="P166" t="n">
        <v>3.27762</v>
      </c>
      <c r="Q166" t="n">
        <v>3.265038</v>
      </c>
      <c r="R166" t="n">
        <v>3.255126</v>
      </c>
      <c r="S166" t="n">
        <v>3.247769</v>
      </c>
      <c r="T166" t="n">
        <v>3.240656</v>
      </c>
      <c r="U166" t="n">
        <v>3.230885</v>
      </c>
      <c r="V166" t="n">
        <v>3.225234</v>
      </c>
      <c r="W166" t="n">
        <v>3.219356</v>
      </c>
      <c r="X166" t="n">
        <v>3.212302</v>
      </c>
      <c r="Y166" t="n">
        <v>3.204934</v>
      </c>
      <c r="Z166" t="n">
        <v>3.193068</v>
      </c>
      <c r="AA166" t="n">
        <v>3.190188</v>
      </c>
      <c r="AB166" t="n">
        <v>3.184625</v>
      </c>
      <c r="AC166" t="n">
        <v>3.172226</v>
      </c>
      <c r="AD166" t="n">
        <v>3.164512</v>
      </c>
      <c r="AE166" t="inlineStr">
        <is>
          <t>-0.5%</t>
        </is>
      </c>
    </row>
    <row r="167">
      <c r="A167" t="inlineStr">
        <is>
          <t>Total Industrial Combined Heat and Power</t>
        </is>
      </c>
    </row>
    <row r="168">
      <c r="A168" t="inlineStr">
        <is>
          <t>Capacity (gigawatts)</t>
        </is>
      </c>
      <c r="B168" t="inlineStr">
        <is>
          <t>Industrial: Total Industrial Combined Heat and Power: Capacity: Alternative Electricity and Transportation</t>
        </is>
      </c>
      <c r="C168" t="inlineStr">
        <is>
          <t>AEO.2026.ELECTRNP.CAP_NA_IDAL_TOTINDCHP_CHP_NA_USA_GW.A</t>
        </is>
      </c>
      <c r="D168" t="inlineStr">
        <is>
          <t>GW</t>
        </is>
      </c>
      <c r="E168" t="n">
        <v>26.339537</v>
      </c>
      <c r="F168" t="n">
        <v>26.573221</v>
      </c>
      <c r="G168" t="n">
        <v>26.81114</v>
      </c>
      <c r="H168" t="n">
        <v>26.865728</v>
      </c>
      <c r="I168" t="n">
        <v>26.963961</v>
      </c>
      <c r="J168" t="n">
        <v>27.07873</v>
      </c>
      <c r="K168" t="n">
        <v>27.162342</v>
      </c>
      <c r="L168" t="n">
        <v>27.245224</v>
      </c>
      <c r="M168" t="n">
        <v>27.317181</v>
      </c>
      <c r="N168" t="n">
        <v>27.390951</v>
      </c>
      <c r="O168" t="n">
        <v>27.4713</v>
      </c>
      <c r="P168" t="n">
        <v>27.552269</v>
      </c>
      <c r="Q168" t="n">
        <v>27.620161</v>
      </c>
      <c r="R168" t="n">
        <v>27.718142</v>
      </c>
      <c r="S168" t="n">
        <v>27.832121</v>
      </c>
      <c r="T168" t="n">
        <v>27.963213</v>
      </c>
      <c r="U168" t="n">
        <v>28.090628</v>
      </c>
      <c r="V168" t="n">
        <v>28.229336</v>
      </c>
      <c r="W168" t="n">
        <v>28.381279</v>
      </c>
      <c r="X168" t="n">
        <v>28.546347</v>
      </c>
      <c r="Y168" t="n">
        <v>28.722832</v>
      </c>
      <c r="Z168" t="n">
        <v>28.895828</v>
      </c>
      <c r="AA168" t="n">
        <v>29.077826</v>
      </c>
      <c r="AB168" t="n">
        <v>29.256762</v>
      </c>
      <c r="AC168" t="n">
        <v>29.446539</v>
      </c>
      <c r="AD168" t="n">
        <v>29.63954</v>
      </c>
      <c r="AE168" t="inlineStr">
        <is>
          <t>0.5%</t>
        </is>
      </c>
    </row>
    <row r="169">
      <c r="A169" t="inlineStr">
        <is>
          <t>Generation (billion kilowatthours)</t>
        </is>
      </c>
      <c r="B169" t="inlineStr">
        <is>
          <t>Industrial: Total Industrial Combined Heat and Power: Generation: Alternative Electricity and Transportation</t>
        </is>
      </c>
      <c r="C169" t="inlineStr">
        <is>
          <t>AEO.2026.ELECTRNP.GEN_NA_IDAL_TOTINDCHP_CHP_NA_USA_BLNKWH.A</t>
        </is>
      </c>
      <c r="D169" t="inlineStr">
        <is>
          <t>BkWh</t>
        </is>
      </c>
      <c r="E169" t="n">
        <v>144.787399</v>
      </c>
      <c r="F169" t="n">
        <v>146.078125</v>
      </c>
      <c r="G169" t="n">
        <v>146.642212</v>
      </c>
      <c r="H169" t="n">
        <v>146.79892</v>
      </c>
      <c r="I169" t="n">
        <v>147.192322</v>
      </c>
      <c r="J169" t="n">
        <v>146.949844</v>
      </c>
      <c r="K169" t="n">
        <v>147.294235</v>
      </c>
      <c r="L169" t="n">
        <v>147.681458</v>
      </c>
      <c r="M169" t="n">
        <v>147.890976</v>
      </c>
      <c r="N169" t="n">
        <v>148.218628</v>
      </c>
      <c r="O169" t="n">
        <v>148.545761</v>
      </c>
      <c r="P169" t="n">
        <v>148.86322</v>
      </c>
      <c r="Q169" t="n">
        <v>148.870407</v>
      </c>
      <c r="R169" t="n">
        <v>149.166962</v>
      </c>
      <c r="S169" t="n">
        <v>149.516464</v>
      </c>
      <c r="T169" t="n">
        <v>150.419815</v>
      </c>
      <c r="U169" t="n">
        <v>150.862671</v>
      </c>
      <c r="V169" t="n">
        <v>151.488419</v>
      </c>
      <c r="W169" t="n">
        <v>152.440796</v>
      </c>
      <c r="X169" t="n">
        <v>153.058899</v>
      </c>
      <c r="Y169" t="n">
        <v>153.965546</v>
      </c>
      <c r="Z169" t="n">
        <v>154.67627</v>
      </c>
      <c r="AA169" t="n">
        <v>156.598068</v>
      </c>
      <c r="AB169" t="n">
        <v>156.347565</v>
      </c>
      <c r="AC169" t="n">
        <v>157.348495</v>
      </c>
      <c r="AD169" t="n">
        <v>158.44043</v>
      </c>
      <c r="AE169" t="inlineStr">
        <is>
          <t>0.4%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Table 17.  Renewable Energy Consumption by Sector and Source</t>
        </is>
      </c>
    </row>
    <row r="2">
      <c r="A2" t="inlineStr">
        <is>
          <t>https://www.eia.gov/outlooks/aeo/data/browser/#/?id=24-AEO2026&amp;cases=electrnp&amp;sourcekey=0</t>
        </is>
      </c>
    </row>
    <row r="3">
      <c r="A3" t="inlineStr">
        <is>
          <t>Thu Apr 23 2026 14:59:47 GMT-0700 (Pacific Daylight Time)</t>
        </is>
      </c>
    </row>
    <row r="4">
      <c r="A4" t="inlineStr">
        <is>
          <t>Source: U.S. Energy Information Administration</t>
        </is>
      </c>
    </row>
    <row r="5">
      <c r="B5" t="inlineStr">
        <is>
          <t>full name</t>
        </is>
      </c>
      <c r="C5" t="inlineStr">
        <is>
          <t>api key</t>
        </is>
      </c>
      <c r="D5" t="inlineStr">
        <is>
          <t>units</t>
        </is>
      </c>
      <c r="E5" t="n">
        <v>2025</v>
      </c>
      <c r="F5" t="n">
        <v>2026</v>
      </c>
      <c r="G5" t="n">
        <v>2027</v>
      </c>
      <c r="H5" t="n">
        <v>2028</v>
      </c>
      <c r="I5" t="n">
        <v>2029</v>
      </c>
      <c r="J5" t="n">
        <v>2030</v>
      </c>
      <c r="K5" t="n">
        <v>2031</v>
      </c>
      <c r="L5" t="n">
        <v>2032</v>
      </c>
      <c r="M5" t="n">
        <v>2033</v>
      </c>
      <c r="N5" t="n">
        <v>2034</v>
      </c>
      <c r="O5" t="n">
        <v>2035</v>
      </c>
      <c r="P5" t="n">
        <v>2036</v>
      </c>
      <c r="Q5" t="n">
        <v>2037</v>
      </c>
      <c r="R5" t="n">
        <v>2038</v>
      </c>
      <c r="S5" t="n">
        <v>2039</v>
      </c>
      <c r="T5" t="n">
        <v>2040</v>
      </c>
      <c r="U5" t="n">
        <v>2041</v>
      </c>
      <c r="V5" t="n">
        <v>2042</v>
      </c>
      <c r="W5" t="n">
        <v>2043</v>
      </c>
      <c r="X5" t="n">
        <v>2044</v>
      </c>
      <c r="Y5" t="n">
        <v>2045</v>
      </c>
      <c r="Z5" t="n">
        <v>2046</v>
      </c>
      <c r="AA5" t="n">
        <v>2047</v>
      </c>
      <c r="AB5" t="n">
        <v>2048</v>
      </c>
      <c r="AC5" t="n">
        <v>2049</v>
      </c>
      <c r="AD5" t="n">
        <v>2050</v>
      </c>
      <c r="AE5" t="inlineStr">
        <is>
          <t>Growth (2025-2050)</t>
        </is>
      </c>
    </row>
    <row r="6">
      <c r="A6" t="inlineStr">
        <is>
          <t>Marketed Renewable Energy</t>
        </is>
      </c>
    </row>
    <row r="7">
      <c r="A7" t="inlineStr">
        <is>
          <t>Residential (wood)</t>
        </is>
      </c>
      <c r="B7" t="inlineStr">
        <is>
          <t>Renewable Energy: Marketed Use: Residential: Wood: Alternative Electricity and Transportation</t>
        </is>
      </c>
      <c r="C7" t="inlineStr">
        <is>
          <t>AEO.2026.ELECTRNP.CNSM_NA_RESD_NA_BMS_NA_NA_QBTU.A</t>
        </is>
      </c>
      <c r="D7" t="inlineStr">
        <is>
          <t>quads</t>
        </is>
      </c>
      <c r="E7" t="n">
        <v>0.371387</v>
      </c>
      <c r="F7" t="n">
        <v>0.342901</v>
      </c>
      <c r="G7" t="n">
        <v>0.33499</v>
      </c>
      <c r="H7" t="n">
        <v>0.331205</v>
      </c>
      <c r="I7" t="n">
        <v>0.328954</v>
      </c>
      <c r="J7" t="n">
        <v>0.323627</v>
      </c>
      <c r="K7" t="n">
        <v>0.319369</v>
      </c>
      <c r="L7" t="n">
        <v>0.315643</v>
      </c>
      <c r="M7" t="n">
        <v>0.312812</v>
      </c>
      <c r="N7" t="n">
        <v>0.309126</v>
      </c>
      <c r="O7" t="n">
        <v>0.305829</v>
      </c>
      <c r="P7" t="n">
        <v>0.302008</v>
      </c>
      <c r="Q7" t="n">
        <v>0.298094</v>
      </c>
      <c r="R7" t="n">
        <v>0.294199</v>
      </c>
      <c r="S7" t="n">
        <v>0.289954</v>
      </c>
      <c r="T7" t="n">
        <v>0.285538</v>
      </c>
      <c r="U7" t="n">
        <v>0.28127</v>
      </c>
      <c r="V7" t="n">
        <v>0.277378</v>
      </c>
      <c r="W7" t="n">
        <v>0.273631</v>
      </c>
      <c r="X7" t="n">
        <v>0.270078</v>
      </c>
      <c r="Y7" t="n">
        <v>0.266974</v>
      </c>
      <c r="Z7" t="n">
        <v>0.263978</v>
      </c>
      <c r="AA7" t="n">
        <v>0.26129</v>
      </c>
      <c r="AB7" t="n">
        <v>0.258824</v>
      </c>
      <c r="AC7" t="n">
        <v>0.256576</v>
      </c>
      <c r="AD7" t="n">
        <v>0.254137</v>
      </c>
      <c r="AE7" t="inlineStr">
        <is>
          <t>-1.5%</t>
        </is>
      </c>
    </row>
    <row r="8">
      <c r="A8" t="inlineStr">
        <is>
          <t>Commercial (biomass)</t>
        </is>
      </c>
      <c r="B8" t="inlineStr">
        <is>
          <t>Renewable Energy: Marketed Use: Commercial: Biomass: Alternative Electricity and Transportation</t>
        </is>
      </c>
      <c r="C8" t="inlineStr">
        <is>
          <t>AEO.2026.ELECTRNP.CNSM_NA_COMM_NA_BMS_NA_NA_QBTU.A</t>
        </is>
      </c>
      <c r="D8" t="inlineStr">
        <is>
          <t>quads</t>
        </is>
      </c>
      <c r="E8" t="n">
        <v>0.143682</v>
      </c>
      <c r="F8" t="n">
        <v>0.143682</v>
      </c>
      <c r="G8" t="n">
        <v>0.143682</v>
      </c>
      <c r="H8" t="n">
        <v>0.143682</v>
      </c>
      <c r="I8" t="n">
        <v>0.143682</v>
      </c>
      <c r="J8" t="n">
        <v>0.143682</v>
      </c>
      <c r="K8" t="n">
        <v>0.143682</v>
      </c>
      <c r="L8" t="n">
        <v>0.143682</v>
      </c>
      <c r="M8" t="n">
        <v>0.143682</v>
      </c>
      <c r="N8" t="n">
        <v>0.143682</v>
      </c>
      <c r="O8" t="n">
        <v>0.143682</v>
      </c>
      <c r="P8" t="n">
        <v>0.143682</v>
      </c>
      <c r="Q8" t="n">
        <v>0.143682</v>
      </c>
      <c r="R8" t="n">
        <v>0.143682</v>
      </c>
      <c r="S8" t="n">
        <v>0.143682</v>
      </c>
      <c r="T8" t="n">
        <v>0.143682</v>
      </c>
      <c r="U8" t="n">
        <v>0.143682</v>
      </c>
      <c r="V8" t="n">
        <v>0.143682</v>
      </c>
      <c r="W8" t="n">
        <v>0.143682</v>
      </c>
      <c r="X8" t="n">
        <v>0.143682</v>
      </c>
      <c r="Y8" t="n">
        <v>0.143682</v>
      </c>
      <c r="Z8" t="n">
        <v>0.143682</v>
      </c>
      <c r="AA8" t="n">
        <v>0.143682</v>
      </c>
      <c r="AB8" t="n">
        <v>0.143682</v>
      </c>
      <c r="AC8" t="n">
        <v>0.143682</v>
      </c>
      <c r="AD8" t="n">
        <v>0.143682</v>
      </c>
      <c r="AE8" t="inlineStr">
        <is>
          <t>0.0%</t>
        </is>
      </c>
    </row>
    <row r="9">
      <c r="A9" t="inlineStr">
        <is>
          <t>Industrial</t>
        </is>
      </c>
      <c r="B9" t="inlineStr">
        <is>
          <t>Renewable Energy: Marketed Use: Industrial: Alternative Electricity and Transportation</t>
        </is>
      </c>
      <c r="C9" t="inlineStr">
        <is>
          <t>AEO.2026.ELECTRNP.CNSM_NA_IDAL_NA_MRE_NA_NA_QBTU.A</t>
        </is>
      </c>
      <c r="D9" t="inlineStr">
        <is>
          <t>quads</t>
        </is>
      </c>
      <c r="E9" t="n">
        <v>2.406906</v>
      </c>
      <c r="F9" t="n">
        <v>2.531706</v>
      </c>
      <c r="G9" t="n">
        <v>2.505957</v>
      </c>
      <c r="H9" t="n">
        <v>2.492313</v>
      </c>
      <c r="I9" t="n">
        <v>2.481885</v>
      </c>
      <c r="J9" t="n">
        <v>2.454206</v>
      </c>
      <c r="K9" t="n">
        <v>2.416808</v>
      </c>
      <c r="L9" t="n">
        <v>2.394051</v>
      </c>
      <c r="M9" t="n">
        <v>2.381538</v>
      </c>
      <c r="N9" t="n">
        <v>2.385342</v>
      </c>
      <c r="O9" t="n">
        <v>2.390874</v>
      </c>
      <c r="P9" t="n">
        <v>2.407575</v>
      </c>
      <c r="Q9" t="n">
        <v>2.41733</v>
      </c>
      <c r="R9" t="n">
        <v>2.44073</v>
      </c>
      <c r="S9" t="n">
        <v>2.4664</v>
      </c>
      <c r="T9" t="n">
        <v>2.489924</v>
      </c>
      <c r="U9" t="n">
        <v>2.498026</v>
      </c>
      <c r="V9" t="n">
        <v>2.518893</v>
      </c>
      <c r="W9" t="n">
        <v>2.530308</v>
      </c>
      <c r="X9" t="n">
        <v>2.545641</v>
      </c>
      <c r="Y9" t="n">
        <v>2.570769</v>
      </c>
      <c r="Z9" t="n">
        <v>2.59334</v>
      </c>
      <c r="AA9" t="n">
        <v>2.623042</v>
      </c>
      <c r="AB9" t="n">
        <v>2.652539</v>
      </c>
      <c r="AC9" t="n">
        <v>2.683762</v>
      </c>
      <c r="AD9" t="n">
        <v>2.715281</v>
      </c>
      <c r="AE9" t="inlineStr">
        <is>
          <t>0.5%</t>
        </is>
      </c>
    </row>
    <row r="10">
      <c r="A10" t="inlineStr">
        <is>
          <t>Conventional Hydroelectric Power</t>
        </is>
      </c>
      <c r="B10" t="inlineStr">
        <is>
          <t>Renewable Energy: Marketed Use: Industrial: Hydropower: Alternative Electricity and Transportation</t>
        </is>
      </c>
      <c r="C10" t="inlineStr">
        <is>
          <t>AEO.2026.ELECTRNP.CNSM_NA_IDAL_NA_HYD_CNV_NA_QBTU.A</t>
        </is>
      </c>
      <c r="D10" t="inlineStr">
        <is>
          <t>quads</t>
        </is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inlineStr">
        <is>
          <t>- -</t>
        </is>
      </c>
    </row>
    <row r="11">
      <c r="A11" t="inlineStr">
        <is>
          <t>Municipal Waste</t>
        </is>
      </c>
      <c r="B11" t="inlineStr">
        <is>
          <t>Renewable Energy: Marketed Use: Industrial: Municipal Waste: Alternative Electricity and Transportation</t>
        </is>
      </c>
      <c r="C11" t="inlineStr">
        <is>
          <t>AEO.2026.ELECTRNP.CNSM_NA_IDAL_NA_MUNWST_NA_NA_QBTU.A</t>
        </is>
      </c>
      <c r="D11" t="inlineStr">
        <is>
          <t>quads</t>
        </is>
      </c>
      <c r="E11" t="n">
        <v>0.151724</v>
      </c>
      <c r="F11" t="n">
        <v>0.15005</v>
      </c>
      <c r="G11" t="n">
        <v>0.151278</v>
      </c>
      <c r="H11" t="n">
        <v>0.153696</v>
      </c>
      <c r="I11" t="n">
        <v>0.154827</v>
      </c>
      <c r="J11" t="n">
        <v>0.156486</v>
      </c>
      <c r="K11" t="n">
        <v>0.157313</v>
      </c>
      <c r="L11" t="n">
        <v>0.158297</v>
      </c>
      <c r="M11" t="n">
        <v>0.158283</v>
      </c>
      <c r="N11" t="n">
        <v>0.160437</v>
      </c>
      <c r="O11" t="n">
        <v>0.162733</v>
      </c>
      <c r="P11" t="n">
        <v>0.165324</v>
      </c>
      <c r="Q11" t="n">
        <v>0.168123</v>
      </c>
      <c r="R11" t="n">
        <v>0.171071</v>
      </c>
      <c r="S11" t="n">
        <v>0.174035</v>
      </c>
      <c r="T11" t="n">
        <v>0.176852</v>
      </c>
      <c r="U11" t="n">
        <v>0.17968</v>
      </c>
      <c r="V11" t="n">
        <v>0.182538</v>
      </c>
      <c r="W11" t="n">
        <v>0.18546</v>
      </c>
      <c r="X11" t="n">
        <v>0.188405</v>
      </c>
      <c r="Y11" t="n">
        <v>0.191217</v>
      </c>
      <c r="Z11" t="n">
        <v>0.194142</v>
      </c>
      <c r="AA11" t="n">
        <v>0.197109</v>
      </c>
      <c r="AB11" t="n">
        <v>0.200105</v>
      </c>
      <c r="AC11" t="n">
        <v>0.203135</v>
      </c>
      <c r="AD11" t="n">
        <v>0.206247</v>
      </c>
      <c r="AE11" t="inlineStr">
        <is>
          <t>1.2%</t>
        </is>
      </c>
    </row>
    <row r="12">
      <c r="A12" t="inlineStr">
        <is>
          <t>Biomass</t>
        </is>
      </c>
      <c r="B12" t="inlineStr">
        <is>
          <t>Renewable Energy: Marketed Use: Industrial: Biomass: Alternative Electricity and Transportation</t>
        </is>
      </c>
      <c r="C12" t="inlineStr">
        <is>
          <t>AEO.2026.ELECTRNP.CNSM_NA_IDAL_NA_BMS_NA_NA_QBTU.A</t>
        </is>
      </c>
      <c r="D12" t="inlineStr">
        <is>
          <t>quads</t>
        </is>
      </c>
      <c r="E12" t="n">
        <v>1.346264</v>
      </c>
      <c r="F12" t="n">
        <v>1.457051</v>
      </c>
      <c r="G12" t="n">
        <v>1.417581</v>
      </c>
      <c r="H12" t="n">
        <v>1.396931</v>
      </c>
      <c r="I12" t="n">
        <v>1.388497</v>
      </c>
      <c r="J12" t="n">
        <v>1.357526</v>
      </c>
      <c r="K12" t="n">
        <v>1.32241</v>
      </c>
      <c r="L12" t="n">
        <v>1.299795</v>
      </c>
      <c r="M12" t="n">
        <v>1.288664</v>
      </c>
      <c r="N12" t="n">
        <v>1.288181</v>
      </c>
      <c r="O12" t="n">
        <v>1.289791</v>
      </c>
      <c r="P12" t="n">
        <v>1.297683</v>
      </c>
      <c r="Q12" t="n">
        <v>1.305039</v>
      </c>
      <c r="R12" t="n">
        <v>1.324708</v>
      </c>
      <c r="S12" t="n">
        <v>1.34642</v>
      </c>
      <c r="T12" t="n">
        <v>1.364517</v>
      </c>
      <c r="U12" t="n">
        <v>1.367038</v>
      </c>
      <c r="V12" t="n">
        <v>1.375212</v>
      </c>
      <c r="W12" t="n">
        <v>1.379794</v>
      </c>
      <c r="X12" t="n">
        <v>1.389514</v>
      </c>
      <c r="Y12" t="n">
        <v>1.411018</v>
      </c>
      <c r="Z12" t="n">
        <v>1.430632</v>
      </c>
      <c r="AA12" t="n">
        <v>1.453076</v>
      </c>
      <c r="AB12" t="n">
        <v>1.473516</v>
      </c>
      <c r="AC12" t="n">
        <v>1.499001</v>
      </c>
      <c r="AD12" t="n">
        <v>1.522979</v>
      </c>
      <c r="AE12" t="inlineStr">
        <is>
          <t>0.5%</t>
        </is>
      </c>
    </row>
    <row r="13">
      <c r="A13" t="inlineStr">
        <is>
          <t>Biofuels Heat and Coproducts</t>
        </is>
      </c>
      <c r="B13" t="inlineStr">
        <is>
          <t>Renewable Energy: Marketed Use: Industrial: Biofuels Heat and Coproducts: Alternative Electricity and Transportation</t>
        </is>
      </c>
      <c r="C13" t="inlineStr">
        <is>
          <t>AEO.2026.ELECTRNP.CNSM_NA_IDAL_NA_BFH_NA_NA_QBTU.A</t>
        </is>
      </c>
      <c r="D13" t="inlineStr">
        <is>
          <t>quads</t>
        </is>
      </c>
      <c r="E13" t="n">
        <v>0.908917</v>
      </c>
      <c r="F13" t="n">
        <v>0.924606</v>
      </c>
      <c r="G13" t="n">
        <v>0.937098</v>
      </c>
      <c r="H13" t="n">
        <v>0.941686</v>
      </c>
      <c r="I13" t="n">
        <v>0.9385599999999999</v>
      </c>
      <c r="J13" t="n">
        <v>0.940195</v>
      </c>
      <c r="K13" t="n">
        <v>0.9370849999999999</v>
      </c>
      <c r="L13" t="n">
        <v>0.935959</v>
      </c>
      <c r="M13" t="n">
        <v>0.9345909999999999</v>
      </c>
      <c r="N13" t="n">
        <v>0.936723</v>
      </c>
      <c r="O13" t="n">
        <v>0.93835</v>
      </c>
      <c r="P13" t="n">
        <v>0.944568</v>
      </c>
      <c r="Q13" t="n">
        <v>0.944168</v>
      </c>
      <c r="R13" t="n">
        <v>0.944952</v>
      </c>
      <c r="S13" t="n">
        <v>0.945946</v>
      </c>
      <c r="T13" t="n">
        <v>0.948555</v>
      </c>
      <c r="U13" t="n">
        <v>0.951308</v>
      </c>
      <c r="V13" t="n">
        <v>0.961144</v>
      </c>
      <c r="W13" t="n">
        <v>0.965054</v>
      </c>
      <c r="X13" t="n">
        <v>0.9677210000000001</v>
      </c>
      <c r="Y13" t="n">
        <v>0.968533</v>
      </c>
      <c r="Z13" t="n">
        <v>0.968565</v>
      </c>
      <c r="AA13" t="n">
        <v>0.972857</v>
      </c>
      <c r="AB13" t="n">
        <v>0.978918</v>
      </c>
      <c r="AC13" t="n">
        <v>0.981626</v>
      </c>
      <c r="AD13" t="n">
        <v>0.986055</v>
      </c>
      <c r="AE13" t="inlineStr">
        <is>
          <t>0.3%</t>
        </is>
      </c>
    </row>
    <row r="14">
      <c r="A14" t="inlineStr">
        <is>
          <t>Transportation</t>
        </is>
      </c>
      <c r="B14" t="inlineStr">
        <is>
          <t>Renewable Energy: Marketed Use: Transportation: Alternative Electricity and Transportation</t>
        </is>
      </c>
      <c r="C14" t="inlineStr">
        <is>
          <t>AEO.2026.ELECTRNP.CNSM_NA_TRN_NA_NA_NA_NA_QBTU.A</t>
        </is>
      </c>
      <c r="D14" t="inlineStr">
        <is>
          <t>quads</t>
        </is>
      </c>
      <c r="E14" t="n">
        <v>1.70788</v>
      </c>
      <c r="F14" t="n">
        <v>1.738308</v>
      </c>
      <c r="G14" t="n">
        <v>1.769661</v>
      </c>
      <c r="H14" t="n">
        <v>1.782336</v>
      </c>
      <c r="I14" t="n">
        <v>1.776101</v>
      </c>
      <c r="J14" t="n">
        <v>1.714539</v>
      </c>
      <c r="K14" t="n">
        <v>1.714677</v>
      </c>
      <c r="L14" t="n">
        <v>1.714626</v>
      </c>
      <c r="M14" t="n">
        <v>1.714716</v>
      </c>
      <c r="N14" t="n">
        <v>1.714594</v>
      </c>
      <c r="O14" t="n">
        <v>1.714504</v>
      </c>
      <c r="P14" t="n">
        <v>1.713527</v>
      </c>
      <c r="Q14" t="n">
        <v>1.715132</v>
      </c>
      <c r="R14" t="n">
        <v>1.71343</v>
      </c>
      <c r="S14" t="n">
        <v>1.715019</v>
      </c>
      <c r="T14" t="n">
        <v>1.720775</v>
      </c>
      <c r="U14" t="n">
        <v>1.721565</v>
      </c>
      <c r="V14" t="n">
        <v>1.730307</v>
      </c>
      <c r="W14" t="n">
        <v>1.735295</v>
      </c>
      <c r="X14" t="n">
        <v>1.735723</v>
      </c>
      <c r="Y14" t="n">
        <v>1.736582</v>
      </c>
      <c r="Z14" t="n">
        <v>1.738617</v>
      </c>
      <c r="AA14" t="n">
        <v>1.739908</v>
      </c>
      <c r="AB14" t="n">
        <v>1.747869</v>
      </c>
      <c r="AC14" t="n">
        <v>1.774405</v>
      </c>
      <c r="AD14" t="n">
        <v>1.777692</v>
      </c>
      <c r="AE14" t="inlineStr">
        <is>
          <t>0.2%</t>
        </is>
      </c>
    </row>
    <row r="15">
      <c r="A15" t="inlineStr">
        <is>
          <t>Ethanol used in E85</t>
        </is>
      </c>
      <c r="B15" t="inlineStr">
        <is>
          <t>Renewable Energy: Marketed Use: Transportation: Ethanol used in E85: Alternative Electricity and Transportation</t>
        </is>
      </c>
      <c r="C15" t="inlineStr">
        <is>
          <t>AEO.2026.ELECTRNP.CNSM_NA_TRN_NA_ETE_NA_NA_QBTU.A</t>
        </is>
      </c>
      <c r="D15" t="inlineStr">
        <is>
          <t>quads</t>
        </is>
      </c>
      <c r="E15" t="n">
        <v>0.02612</v>
      </c>
      <c r="F15" t="n">
        <v>0.020856</v>
      </c>
      <c r="G15" t="n">
        <v>0.019786</v>
      </c>
      <c r="H15" t="n">
        <v>0.018522</v>
      </c>
      <c r="I15" t="n">
        <v>0.017026</v>
      </c>
      <c r="J15" t="n">
        <v>0.017676</v>
      </c>
      <c r="K15" t="n">
        <v>0.015172</v>
      </c>
      <c r="L15" t="n">
        <v>0.013871</v>
      </c>
      <c r="M15" t="n">
        <v>0.012638</v>
      </c>
      <c r="N15" t="n">
        <v>0.011721</v>
      </c>
      <c r="O15" t="n">
        <v>0.010539</v>
      </c>
      <c r="P15" t="n">
        <v>0.009545</v>
      </c>
      <c r="Q15" t="n">
        <v>0.008564</v>
      </c>
      <c r="R15" t="n">
        <v>0.007773</v>
      </c>
      <c r="S15" t="n">
        <v>0.007088</v>
      </c>
      <c r="T15" t="n">
        <v>0.006557</v>
      </c>
      <c r="U15" t="n">
        <v>0.005957</v>
      </c>
      <c r="V15" t="n">
        <v>0.005608</v>
      </c>
      <c r="W15" t="n">
        <v>0.005266</v>
      </c>
      <c r="X15" t="n">
        <v>0.00503</v>
      </c>
      <c r="Y15" t="n">
        <v>0.004554</v>
      </c>
      <c r="Z15" t="n">
        <v>0.004383</v>
      </c>
      <c r="AA15" t="n">
        <v>0.004343</v>
      </c>
      <c r="AB15" t="n">
        <v>0.004471</v>
      </c>
      <c r="AC15" t="n">
        <v>0.004143</v>
      </c>
      <c r="AD15" t="n">
        <v>0.003946</v>
      </c>
      <c r="AE15" t="inlineStr">
        <is>
          <t>-7.3%</t>
        </is>
      </c>
    </row>
    <row r="16">
      <c r="A16" t="inlineStr">
        <is>
          <t>Ethanol used in Gasoline Blending</t>
        </is>
      </c>
      <c r="B16" t="inlineStr">
        <is>
          <t>Renewable Energy: Marketed Use: Transportation: Ethanol used in Gasoline Blending: Alternative Electricity and Transportation</t>
        </is>
      </c>
      <c r="C16" t="inlineStr">
        <is>
          <t>AEO.2026.ELECTRNP.CNSM_NA_TRN_NA_EBL_NA_NA_QBTU.A</t>
        </is>
      </c>
      <c r="D16" t="inlineStr">
        <is>
          <t>quads</t>
        </is>
      </c>
      <c r="E16" t="n">
        <v>1.141321</v>
      </c>
      <c r="F16" t="n">
        <v>1.144675</v>
      </c>
      <c r="G16" t="n">
        <v>1.160822</v>
      </c>
      <c r="H16" t="n">
        <v>1.155661</v>
      </c>
      <c r="I16" t="n">
        <v>1.148128</v>
      </c>
      <c r="J16" t="n">
        <v>1.137765</v>
      </c>
      <c r="K16" t="n">
        <v>1.130869</v>
      </c>
      <c r="L16" t="n">
        <v>1.12546</v>
      </c>
      <c r="M16" t="n">
        <v>1.119023</v>
      </c>
      <c r="N16" t="n">
        <v>1.117741</v>
      </c>
      <c r="O16" t="n">
        <v>1.115767</v>
      </c>
      <c r="P16" t="n">
        <v>1.109883</v>
      </c>
      <c r="Q16" t="n">
        <v>1.104153</v>
      </c>
      <c r="R16" t="n">
        <v>1.099969</v>
      </c>
      <c r="S16" t="n">
        <v>1.095884</v>
      </c>
      <c r="T16" t="n">
        <v>1.093754</v>
      </c>
      <c r="U16" t="n">
        <v>1.091755</v>
      </c>
      <c r="V16" t="n">
        <v>1.08743</v>
      </c>
      <c r="W16" t="n">
        <v>1.086257</v>
      </c>
      <c r="X16" t="n">
        <v>1.083843</v>
      </c>
      <c r="Y16" t="n">
        <v>1.082705</v>
      </c>
      <c r="Z16" t="n">
        <v>1.080268</v>
      </c>
      <c r="AA16" t="n">
        <v>1.078741</v>
      </c>
      <c r="AB16" t="n">
        <v>1.074461</v>
      </c>
      <c r="AC16" t="n">
        <v>1.070485</v>
      </c>
      <c r="AD16" t="n">
        <v>1.068693</v>
      </c>
      <c r="AE16" t="inlineStr">
        <is>
          <t>-0.3%</t>
        </is>
      </c>
    </row>
    <row r="17">
      <c r="A17" t="inlineStr">
        <is>
          <t>Biodiesel used in Distillate Blending</t>
        </is>
      </c>
      <c r="B17" t="inlineStr">
        <is>
          <t>Renewable Energy: Marketed Use: Transportation: Biodiesel used in Distillate Blending: Alternative Electricity and Transportation</t>
        </is>
      </c>
      <c r="C17" t="inlineStr">
        <is>
          <t>AEO.2026.ELECTRNP.CNSM_NA_TRN_NA_BUD_NA_NA_QBTU.A</t>
        </is>
      </c>
      <c r="D17" t="inlineStr">
        <is>
          <t>quads</t>
        </is>
      </c>
      <c r="E17" t="n">
        <v>0.147984</v>
      </c>
      <c r="F17" t="n">
        <v>0.17835</v>
      </c>
      <c r="G17" t="n">
        <v>0.17033</v>
      </c>
      <c r="H17" t="n">
        <v>0.175433</v>
      </c>
      <c r="I17" t="n">
        <v>0.178637</v>
      </c>
      <c r="J17" t="n">
        <v>0.147307</v>
      </c>
      <c r="K17" t="n">
        <v>0.154408</v>
      </c>
      <c r="L17" t="n">
        <v>0.157498</v>
      </c>
      <c r="M17" t="n">
        <v>0.164863</v>
      </c>
      <c r="N17" t="n">
        <v>0.167759</v>
      </c>
      <c r="O17" t="n">
        <v>0.170187</v>
      </c>
      <c r="P17" t="n">
        <v>0.159511</v>
      </c>
      <c r="Q17" t="n">
        <v>0.167192</v>
      </c>
      <c r="R17" t="n">
        <v>0.165509</v>
      </c>
      <c r="S17" t="n">
        <v>0.162888</v>
      </c>
      <c r="T17" t="n">
        <v>0.160219</v>
      </c>
      <c r="U17" t="n">
        <v>0.157276</v>
      </c>
      <c r="V17" t="n">
        <v>0.154354</v>
      </c>
      <c r="W17" t="n">
        <v>0.151304</v>
      </c>
      <c r="X17" t="n">
        <v>0.148122</v>
      </c>
      <c r="Y17" t="n">
        <v>0.144805</v>
      </c>
      <c r="Z17" t="n">
        <v>0.141352</v>
      </c>
      <c r="AA17" t="n">
        <v>0.13827</v>
      </c>
      <c r="AB17" t="n">
        <v>0.134535</v>
      </c>
      <c r="AC17" t="n">
        <v>0.130655</v>
      </c>
      <c r="AD17" t="n">
        <v>0.126626</v>
      </c>
      <c r="AE17" t="inlineStr">
        <is>
          <t>-0.6%</t>
        </is>
      </c>
    </row>
    <row r="18">
      <c r="A18" t="inlineStr">
        <is>
          <t>Biobutanol</t>
        </is>
      </c>
      <c r="B18" t="inlineStr">
        <is>
          <t>Renewable Energy: Marketed Use: Transportation: Biobutanol: Alternative Electricity and Transportation</t>
        </is>
      </c>
      <c r="C18" t="inlineStr">
        <is>
          <t>AEO.2026.ELECTRNP.CNSM_NA_TRN_NA_BIOB_NA_NA_NA.A</t>
        </is>
      </c>
      <c r="D18" t="inlineStr">
        <is>
          <t>quads</t>
        </is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inlineStr">
        <is>
          <t>- -</t>
        </is>
      </c>
    </row>
    <row r="19">
      <c r="A19" t="inlineStr">
        <is>
          <t>Liquids from Biomass</t>
        </is>
      </c>
      <c r="B19" t="inlineStr">
        <is>
          <t>Renewable Energy: Marketed Use: Transportation: Liquids from Biomass: Alternative Electricity and Transportation</t>
        </is>
      </c>
      <c r="C19" t="inlineStr">
        <is>
          <t>AEO.2026.ELECTRNP.CNSM_NA_TRN_NA_LFB_NA_NA_QBTU.A</t>
        </is>
      </c>
      <c r="D19" t="inlineStr">
        <is>
          <t>quads</t>
        </is>
      </c>
      <c r="E19" t="n">
        <v>0.002745</v>
      </c>
      <c r="F19" t="n">
        <v>0.002745</v>
      </c>
      <c r="G19" t="n">
        <v>0.002745</v>
      </c>
      <c r="H19" t="n">
        <v>0.002745</v>
      </c>
      <c r="I19" t="n">
        <v>0.002745</v>
      </c>
      <c r="J19" t="n">
        <v>0.002745</v>
      </c>
      <c r="K19" t="n">
        <v>0.002745</v>
      </c>
      <c r="L19" t="n">
        <v>0.002745</v>
      </c>
      <c r="M19" t="n">
        <v>0.002745</v>
      </c>
      <c r="N19" t="n">
        <v>0.002745</v>
      </c>
      <c r="O19" t="n">
        <v>0.002745</v>
      </c>
      <c r="P19" t="n">
        <v>0.002745</v>
      </c>
      <c r="Q19" t="n">
        <v>0.002745</v>
      </c>
      <c r="R19" t="n">
        <v>0.002745</v>
      </c>
      <c r="S19" t="n">
        <v>0.002745</v>
      </c>
      <c r="T19" t="n">
        <v>0.002745</v>
      </c>
      <c r="U19" t="n">
        <v>0.002745</v>
      </c>
      <c r="V19" t="n">
        <v>0.002745</v>
      </c>
      <c r="W19" t="n">
        <v>0.002745</v>
      </c>
      <c r="X19" t="n">
        <v>0.002745</v>
      </c>
      <c r="Y19" t="n">
        <v>0.002745</v>
      </c>
      <c r="Z19" t="n">
        <v>0.002745</v>
      </c>
      <c r="AA19" t="n">
        <v>0.002745</v>
      </c>
      <c r="AB19" t="n">
        <v>0.002745</v>
      </c>
      <c r="AC19" t="n">
        <v>0.002745</v>
      </c>
      <c r="AD19" t="n">
        <v>0.002745</v>
      </c>
      <c r="AE19" t="inlineStr">
        <is>
          <t>0.0%</t>
        </is>
      </c>
    </row>
    <row r="20">
      <c r="A20" t="inlineStr">
        <is>
          <t>Renewable Diesel and Gasoline</t>
        </is>
      </c>
      <c r="B20" t="inlineStr">
        <is>
          <t>Renewable Energy: Marketed Use: Transportation: Green Liquids: Alternative Electricity and Transportation</t>
        </is>
      </c>
      <c r="C20" t="inlineStr">
        <is>
          <t>AEO.2026.ELECTRNP.CNSM_NA_TRN_NA_GLQ_NA_NA_QBTU.A</t>
        </is>
      </c>
      <c r="D20" t="inlineStr">
        <is>
          <t>quads</t>
        </is>
      </c>
      <c r="E20" t="n">
        <v>0.389709</v>
      </c>
      <c r="F20" t="n">
        <v>0.391682</v>
      </c>
      <c r="G20" t="n">
        <v>0.415978</v>
      </c>
      <c r="H20" t="n">
        <v>0.429974</v>
      </c>
      <c r="I20" t="n">
        <v>0.429566</v>
      </c>
      <c r="J20" t="n">
        <v>0.409046</v>
      </c>
      <c r="K20" t="n">
        <v>0.411483</v>
      </c>
      <c r="L20" t="n">
        <v>0.415052</v>
      </c>
      <c r="M20" t="n">
        <v>0.415447</v>
      </c>
      <c r="N20" t="n">
        <v>0.414628</v>
      </c>
      <c r="O20" t="n">
        <v>0.415267</v>
      </c>
      <c r="P20" t="n">
        <v>0.431843</v>
      </c>
      <c r="Q20" t="n">
        <v>0.432478</v>
      </c>
      <c r="R20" t="n">
        <v>0.437435</v>
      </c>
      <c r="S20" t="n">
        <v>0.446414</v>
      </c>
      <c r="T20" t="n">
        <v>0.457499</v>
      </c>
      <c r="U20" t="n">
        <v>0.463832</v>
      </c>
      <c r="V20" t="n">
        <v>0.48017</v>
      </c>
      <c r="W20" t="n">
        <v>0.489723</v>
      </c>
      <c r="X20" t="n">
        <v>0.495983</v>
      </c>
      <c r="Y20" t="n">
        <v>0.501773</v>
      </c>
      <c r="Z20" t="n">
        <v>0.509869</v>
      </c>
      <c r="AA20" t="n">
        <v>0.515809</v>
      </c>
      <c r="AB20" t="n">
        <v>0.531658</v>
      </c>
      <c r="AC20" t="n">
        <v>0.566377</v>
      </c>
      <c r="AD20" t="n">
        <v>0.575682</v>
      </c>
      <c r="AE20" t="inlineStr">
        <is>
          <t>1.6%</t>
        </is>
      </c>
    </row>
    <row r="21">
      <c r="A21" t="inlineStr">
        <is>
          <t>Electric Power</t>
        </is>
      </c>
      <c r="B21" t="inlineStr">
        <is>
          <t>Renewable Energy: Marketed Use: Electric Power: Alternative Electricity and Transportation</t>
        </is>
      </c>
      <c r="C21" t="inlineStr">
        <is>
          <t>AEO.2026.ELECTRNP.CNSM_NA_ELEP_NA_NA_NA_NA_QBTU.A</t>
        </is>
      </c>
      <c r="D21" t="inlineStr">
        <is>
          <t>quads</t>
        </is>
      </c>
      <c r="E21" t="n">
        <v>3.717869</v>
      </c>
      <c r="F21" t="n">
        <v>4.061839</v>
      </c>
      <c r="G21" t="n">
        <v>4.668332</v>
      </c>
      <c r="H21" t="n">
        <v>5.063529</v>
      </c>
      <c r="I21" t="n">
        <v>5.282516</v>
      </c>
      <c r="J21" t="n">
        <v>5.446819</v>
      </c>
      <c r="K21" t="n">
        <v>5.604444</v>
      </c>
      <c r="L21" t="n">
        <v>5.702966</v>
      </c>
      <c r="M21" t="n">
        <v>5.829032</v>
      </c>
      <c r="N21" t="n">
        <v>6.005537</v>
      </c>
      <c r="O21" t="n">
        <v>6.205722</v>
      </c>
      <c r="P21" t="n">
        <v>6.411592</v>
      </c>
      <c r="Q21" t="n">
        <v>6.558394</v>
      </c>
      <c r="R21" t="n">
        <v>6.678238</v>
      </c>
      <c r="S21" t="n">
        <v>6.802344</v>
      </c>
      <c r="T21" t="n">
        <v>6.919462</v>
      </c>
      <c r="U21" t="n">
        <v>7.019967</v>
      </c>
      <c r="V21" t="n">
        <v>7.063257</v>
      </c>
      <c r="W21" t="n">
        <v>7.081019</v>
      </c>
      <c r="X21" t="n">
        <v>7.095361</v>
      </c>
      <c r="Y21" t="n">
        <v>7.107095</v>
      </c>
      <c r="Z21" t="n">
        <v>7.12241</v>
      </c>
      <c r="AA21" t="n">
        <v>7.144881</v>
      </c>
      <c r="AB21" t="n">
        <v>7.160775</v>
      </c>
      <c r="AC21" t="n">
        <v>7.185832</v>
      </c>
      <c r="AD21" t="n">
        <v>7.39609</v>
      </c>
      <c r="AE21" t="inlineStr">
        <is>
          <t>2.8%</t>
        </is>
      </c>
    </row>
    <row r="22">
      <c r="A22" t="inlineStr">
        <is>
          <t>Conventional Hydroelectric Power</t>
        </is>
      </c>
      <c r="B22" t="inlineStr">
        <is>
          <t>Renewable Energy: Marketed Use: Electric Power: Hydropower: Alternative Electricity and Transportation</t>
        </is>
      </c>
      <c r="C22" t="inlineStr">
        <is>
          <t>AEO.2026.ELECTRNP.CNSM_NA_ELEP_NA_HYD_CNV_NA_QBTU.A</t>
        </is>
      </c>
      <c r="D22" t="inlineStr">
        <is>
          <t>quads</t>
        </is>
      </c>
      <c r="E22" t="n">
        <v>0.833386</v>
      </c>
      <c r="F22" t="n">
        <v>0.893707</v>
      </c>
      <c r="G22" t="n">
        <v>0.914331</v>
      </c>
      <c r="H22" t="n">
        <v>0.933283</v>
      </c>
      <c r="I22" t="n">
        <v>0.938944</v>
      </c>
      <c r="J22" t="n">
        <v>0.9399149999999999</v>
      </c>
      <c r="K22" t="n">
        <v>0.940947</v>
      </c>
      <c r="L22" t="n">
        <v>0.940738</v>
      </c>
      <c r="M22" t="n">
        <v>0.941016</v>
      </c>
      <c r="N22" t="n">
        <v>0.941605</v>
      </c>
      <c r="O22" t="n">
        <v>0.941869</v>
      </c>
      <c r="P22" t="n">
        <v>0.941762</v>
      </c>
      <c r="Q22" t="n">
        <v>0.943859</v>
      </c>
      <c r="R22" t="n">
        <v>0.944092</v>
      </c>
      <c r="S22" t="n">
        <v>0.944029</v>
      </c>
      <c r="T22" t="n">
        <v>0.943578</v>
      </c>
      <c r="U22" t="n">
        <v>0.944099</v>
      </c>
      <c r="V22" t="n">
        <v>0.944191</v>
      </c>
      <c r="W22" t="n">
        <v>0.944182</v>
      </c>
      <c r="X22" t="n">
        <v>0.944196</v>
      </c>
      <c r="Y22" t="n">
        <v>0.94409</v>
      </c>
      <c r="Z22" t="n">
        <v>0.944285</v>
      </c>
      <c r="AA22" t="n">
        <v>0.944356</v>
      </c>
      <c r="AB22" t="n">
        <v>0.944565</v>
      </c>
      <c r="AC22" t="n">
        <v>0.944563</v>
      </c>
      <c r="AD22" t="n">
        <v>0.944374</v>
      </c>
      <c r="AE22" t="inlineStr">
        <is>
          <t>0.5%</t>
        </is>
      </c>
    </row>
    <row r="23">
      <c r="A23" t="inlineStr">
        <is>
          <t>Geothermal</t>
        </is>
      </c>
      <c r="B23" t="inlineStr">
        <is>
          <t>Renewable Energy: Marketed Use: Electric Power: Geothermal: Alternative Electricity and Transportation</t>
        </is>
      </c>
      <c r="C23" t="inlineStr">
        <is>
          <t>AEO.2026.ELECTRNP.CNSM_NA_ELEP_NA_GEOTHM_NA_NA_QBTU.A</t>
        </is>
      </c>
      <c r="D23" t="inlineStr">
        <is>
          <t>quads</t>
        </is>
      </c>
      <c r="E23" t="n">
        <v>0.053646</v>
      </c>
      <c r="F23" t="n">
        <v>0.053928</v>
      </c>
      <c r="G23" t="n">
        <v>0.05768</v>
      </c>
      <c r="H23" t="n">
        <v>0.059187</v>
      </c>
      <c r="I23" t="n">
        <v>0.067804</v>
      </c>
      <c r="J23" t="n">
        <v>0.07778400000000001</v>
      </c>
      <c r="K23" t="n">
        <v>0.08763700000000001</v>
      </c>
      <c r="L23" t="n">
        <v>0.097931</v>
      </c>
      <c r="M23" t="n">
        <v>0.108794</v>
      </c>
      <c r="N23" t="n">
        <v>0.117951</v>
      </c>
      <c r="O23" t="n">
        <v>0.126332</v>
      </c>
      <c r="P23" t="n">
        <v>0.135068</v>
      </c>
      <c r="Q23" t="n">
        <v>0.143415</v>
      </c>
      <c r="R23" t="n">
        <v>0.150825</v>
      </c>
      <c r="S23" t="n">
        <v>0.156912</v>
      </c>
      <c r="T23" t="n">
        <v>0.16081</v>
      </c>
      <c r="U23" t="n">
        <v>0.164481</v>
      </c>
      <c r="V23" t="n">
        <v>0.16815</v>
      </c>
      <c r="W23" t="n">
        <v>0.171566</v>
      </c>
      <c r="X23" t="n">
        <v>0.174576</v>
      </c>
      <c r="Y23" t="n">
        <v>0.177376</v>
      </c>
      <c r="Z23" t="n">
        <v>0.179936</v>
      </c>
      <c r="AA23" t="n">
        <v>0.182247</v>
      </c>
      <c r="AB23" t="n">
        <v>0.184289</v>
      </c>
      <c r="AC23" t="n">
        <v>0.185953</v>
      </c>
      <c r="AD23" t="n">
        <v>0.186272</v>
      </c>
      <c r="AE23" t="inlineStr">
        <is>
          <t>5.1%</t>
        </is>
      </c>
    </row>
    <row r="24">
      <c r="A24" t="inlineStr">
        <is>
          <t>Biogenic Municipal Waste</t>
        </is>
      </c>
      <c r="B24" t="inlineStr">
        <is>
          <t>Renewable Energy: Marketed Use: Electric Power: Biogenic Municipal Waste: Alternative Electricity and Transportation</t>
        </is>
      </c>
      <c r="C24" t="inlineStr">
        <is>
          <t>AEO.2026.ELECTRNP.CNSM_NA_ELEP_NA_BGM_NA_NA_QBTU.A</t>
        </is>
      </c>
      <c r="D24" t="inlineStr">
        <is>
          <t>quads</t>
        </is>
      </c>
      <c r="E24" t="n">
        <v>0.153398</v>
      </c>
      <c r="F24" t="n">
        <v>0.158731</v>
      </c>
      <c r="G24" t="n">
        <v>0.16755</v>
      </c>
      <c r="H24" t="n">
        <v>0.172271</v>
      </c>
      <c r="I24" t="n">
        <v>0.17935</v>
      </c>
      <c r="J24" t="n">
        <v>0.18254</v>
      </c>
      <c r="K24" t="n">
        <v>0.188073</v>
      </c>
      <c r="L24" t="n">
        <v>0.194499</v>
      </c>
      <c r="M24" t="n">
        <v>0.201432</v>
      </c>
      <c r="N24" t="n">
        <v>0.209578</v>
      </c>
      <c r="O24" t="n">
        <v>0.216519</v>
      </c>
      <c r="P24" t="n">
        <v>0.223731</v>
      </c>
      <c r="Q24" t="n">
        <v>0.231484</v>
      </c>
      <c r="R24" t="n">
        <v>0.239009</v>
      </c>
      <c r="S24" t="n">
        <v>0.245939</v>
      </c>
      <c r="T24" t="n">
        <v>0.251182</v>
      </c>
      <c r="U24" t="n">
        <v>0.257748</v>
      </c>
      <c r="V24" t="n">
        <v>0.262828</v>
      </c>
      <c r="W24" t="n">
        <v>0.269592</v>
      </c>
      <c r="X24" t="n">
        <v>0.275254</v>
      </c>
      <c r="Y24" t="n">
        <v>0.278313</v>
      </c>
      <c r="Z24" t="n">
        <v>0.281255</v>
      </c>
      <c r="AA24" t="n">
        <v>0.284538</v>
      </c>
      <c r="AB24" t="n">
        <v>0.287484</v>
      </c>
      <c r="AC24" t="n">
        <v>0.290144</v>
      </c>
      <c r="AD24" t="n">
        <v>0.28993</v>
      </c>
      <c r="AE24" t="inlineStr">
        <is>
          <t>2.6%</t>
        </is>
      </c>
    </row>
    <row r="25">
      <c r="A25" t="inlineStr">
        <is>
          <t>Biomass</t>
        </is>
      </c>
      <c r="B25" t="inlineStr">
        <is>
          <t>Renewable Energy: Marketed Use: Electric Power: Biomass: Alternative Electricity and Transportation</t>
        </is>
      </c>
      <c r="C25" t="inlineStr">
        <is>
          <t>AEO.2026.ELECTRNP.CNSM_NA_ELEP_NA_BMS_NA_NA_QBTU.A</t>
        </is>
      </c>
      <c r="D25" t="inlineStr">
        <is>
          <t>quads</t>
        </is>
      </c>
      <c r="E25" t="n">
        <v>0.155495</v>
      </c>
      <c r="F25" t="n">
        <v>0.151948</v>
      </c>
      <c r="G25" t="n">
        <v>0.157636</v>
      </c>
      <c r="H25" t="n">
        <v>0.15757</v>
      </c>
      <c r="I25" t="n">
        <v>0.156237</v>
      </c>
      <c r="J25" t="n">
        <v>0.158707</v>
      </c>
      <c r="K25" t="n">
        <v>0.159197</v>
      </c>
      <c r="L25" t="n">
        <v>0.15902</v>
      </c>
      <c r="M25" t="n">
        <v>0.160061</v>
      </c>
      <c r="N25" t="n">
        <v>0.160604</v>
      </c>
      <c r="O25" t="n">
        <v>0.162198</v>
      </c>
      <c r="P25" t="n">
        <v>0.16433</v>
      </c>
      <c r="Q25" t="n">
        <v>0.166786</v>
      </c>
      <c r="R25" t="n">
        <v>0.165638</v>
      </c>
      <c r="S25" t="n">
        <v>0.165685</v>
      </c>
      <c r="T25" t="n">
        <v>0.16643</v>
      </c>
      <c r="U25" t="n">
        <v>0.163785</v>
      </c>
      <c r="V25" t="n">
        <v>0.163471</v>
      </c>
      <c r="W25" t="n">
        <v>0.163536</v>
      </c>
      <c r="X25" t="n">
        <v>0.163986</v>
      </c>
      <c r="Y25" t="n">
        <v>0.163968</v>
      </c>
      <c r="Z25" t="n">
        <v>0.162955</v>
      </c>
      <c r="AA25" t="n">
        <v>0.163999</v>
      </c>
      <c r="AB25" t="n">
        <v>0.168835</v>
      </c>
      <c r="AC25" t="n">
        <v>0.168179</v>
      </c>
      <c r="AD25" t="n">
        <v>0.349753</v>
      </c>
      <c r="AE25" t="inlineStr">
        <is>
          <t>3.3%</t>
        </is>
      </c>
    </row>
    <row r="26">
      <c r="A26" t="inlineStr">
        <is>
          <t>Solar Thermal</t>
        </is>
      </c>
      <c r="B26" t="inlineStr">
        <is>
          <t>Renewable Energy: Marketed Use: Electric Power: Solar Thermal: Alternative Electricity and Transportation</t>
        </is>
      </c>
      <c r="C26" t="inlineStr">
        <is>
          <t>AEO.2026.ELECTRNP.CNSM_NA_ELEP_NA_SLR_THERM_NA_QBTU.A</t>
        </is>
      </c>
      <c r="D26" t="inlineStr">
        <is>
          <t>quads</t>
        </is>
      </c>
      <c r="E26" t="n">
        <v>0.009854</v>
      </c>
      <c r="F26" t="n">
        <v>0.009257</v>
      </c>
      <c r="G26" t="n">
        <v>0.009959000000000001</v>
      </c>
      <c r="H26" t="n">
        <v>0.009953</v>
      </c>
      <c r="I26" t="n">
        <v>0.009943</v>
      </c>
      <c r="J26" t="n">
        <v>0.009955</v>
      </c>
      <c r="K26" t="n">
        <v>0.00996</v>
      </c>
      <c r="L26" t="n">
        <v>0.009932</v>
      </c>
      <c r="M26" t="n">
        <v>0.009927</v>
      </c>
      <c r="N26" t="n">
        <v>0.009934999999999999</v>
      </c>
      <c r="O26" t="n">
        <v>0.009943</v>
      </c>
      <c r="P26" t="n">
        <v>0.009941</v>
      </c>
      <c r="Q26" t="n">
        <v>0.009948</v>
      </c>
      <c r="R26" t="n">
        <v>0.009949</v>
      </c>
      <c r="S26" t="n">
        <v>0.009946999999999999</v>
      </c>
      <c r="T26" t="n">
        <v>0.009948</v>
      </c>
      <c r="U26" t="n">
        <v>0.009952000000000001</v>
      </c>
      <c r="V26" t="n">
        <v>0.009946</v>
      </c>
      <c r="W26" t="n">
        <v>0.009946</v>
      </c>
      <c r="X26" t="n">
        <v>0.009946999999999999</v>
      </c>
      <c r="Y26" t="n">
        <v>0.009948</v>
      </c>
      <c r="Z26" t="n">
        <v>0.009969</v>
      </c>
      <c r="AA26" t="n">
        <v>0.009958</v>
      </c>
      <c r="AB26" t="n">
        <v>0.009949</v>
      </c>
      <c r="AC26" t="n">
        <v>0.009952000000000001</v>
      </c>
      <c r="AD26" t="n">
        <v>0.009957000000000001</v>
      </c>
      <c r="AE26" t="inlineStr">
        <is>
          <t>0.0%</t>
        </is>
      </c>
    </row>
    <row r="27">
      <c r="A27" t="inlineStr">
        <is>
          <t>Solar Photovoltaic</t>
        </is>
      </c>
      <c r="B27" t="inlineStr">
        <is>
          <t>Renewable Energy: Marketed Use: Electric Power: Solar Photovoltaic: Alternative Electricity and Transportation</t>
        </is>
      </c>
      <c r="C27" t="inlineStr">
        <is>
          <t>AEO.2026.ELECTRNP.CNSM_NA_ELEP_NA_SLR_PHTVL_NA_QBTU.A</t>
        </is>
      </c>
      <c r="D27" t="inlineStr">
        <is>
          <t>quads</t>
        </is>
      </c>
      <c r="E27" t="n">
        <v>0.929314</v>
      </c>
      <c r="F27" t="n">
        <v>1.133521</v>
      </c>
      <c r="G27" t="n">
        <v>1.554765</v>
      </c>
      <c r="H27" t="n">
        <v>1.860386</v>
      </c>
      <c r="I27" t="n">
        <v>1.905911</v>
      </c>
      <c r="J27" t="n">
        <v>1.909793</v>
      </c>
      <c r="K27" t="n">
        <v>1.926283</v>
      </c>
      <c r="L27" t="n">
        <v>1.932431</v>
      </c>
      <c r="M27" t="n">
        <v>1.939554</v>
      </c>
      <c r="N27" t="n">
        <v>1.954037</v>
      </c>
      <c r="O27" t="n">
        <v>1.971629</v>
      </c>
      <c r="P27" t="n">
        <v>1.983284</v>
      </c>
      <c r="Q27" t="n">
        <v>1.989144</v>
      </c>
      <c r="R27" t="n">
        <v>1.997226</v>
      </c>
      <c r="S27" t="n">
        <v>2.017148</v>
      </c>
      <c r="T27" t="n">
        <v>2.041143</v>
      </c>
      <c r="U27" t="n">
        <v>2.054553</v>
      </c>
      <c r="V27" t="n">
        <v>2.060905</v>
      </c>
      <c r="W27" t="n">
        <v>2.061944</v>
      </c>
      <c r="X27" t="n">
        <v>2.063937</v>
      </c>
      <c r="Y27" t="n">
        <v>2.065635</v>
      </c>
      <c r="Z27" t="n">
        <v>2.066844</v>
      </c>
      <c r="AA27" t="n">
        <v>2.068636</v>
      </c>
      <c r="AB27" t="n">
        <v>2.06858</v>
      </c>
      <c r="AC27" t="n">
        <v>2.069755</v>
      </c>
      <c r="AD27" t="n">
        <v>2.070413</v>
      </c>
      <c r="AE27" t="inlineStr">
        <is>
          <t>3.3%</t>
        </is>
      </c>
    </row>
    <row r="28">
      <c r="A28" t="inlineStr">
        <is>
          <t>Wind</t>
        </is>
      </c>
      <c r="B28" t="inlineStr">
        <is>
          <t>Renewable Energy: Marketed Use: Electric Power: Wind: Alternative Electricity and Transportation</t>
        </is>
      </c>
      <c r="C28" t="inlineStr">
        <is>
          <t>AEO.2026.ELECTRNP.CNSM_NA_ELEP_NA_WND_NA_NA_QBTU.A</t>
        </is>
      </c>
      <c r="D28" t="inlineStr">
        <is>
          <t>quads</t>
        </is>
      </c>
      <c r="E28" t="n">
        <v>1.582776</v>
      </c>
      <c r="F28" t="n">
        <v>1.660746</v>
      </c>
      <c r="G28" t="n">
        <v>1.806411</v>
      </c>
      <c r="H28" t="n">
        <v>1.870878</v>
      </c>
      <c r="I28" t="n">
        <v>2.024327</v>
      </c>
      <c r="J28" t="n">
        <v>2.168126</v>
      </c>
      <c r="K28" t="n">
        <v>2.292346</v>
      </c>
      <c r="L28" t="n">
        <v>2.368416</v>
      </c>
      <c r="M28" t="n">
        <v>2.468249</v>
      </c>
      <c r="N28" t="n">
        <v>2.611829</v>
      </c>
      <c r="O28" t="n">
        <v>2.777233</v>
      </c>
      <c r="P28" t="n">
        <v>2.953477</v>
      </c>
      <c r="Q28" t="n">
        <v>3.073758</v>
      </c>
      <c r="R28" t="n">
        <v>3.171499</v>
      </c>
      <c r="S28" t="n">
        <v>3.262685</v>
      </c>
      <c r="T28" t="n">
        <v>3.34637</v>
      </c>
      <c r="U28" t="n">
        <v>3.42535</v>
      </c>
      <c r="V28" t="n">
        <v>3.453765</v>
      </c>
      <c r="W28" t="n">
        <v>3.460253</v>
      </c>
      <c r="X28" t="n">
        <v>3.463465</v>
      </c>
      <c r="Y28" t="n">
        <v>3.467763</v>
      </c>
      <c r="Z28" t="n">
        <v>3.477165</v>
      </c>
      <c r="AA28" t="n">
        <v>3.491147</v>
      </c>
      <c r="AB28" t="n">
        <v>3.497074</v>
      </c>
      <c r="AC28" t="n">
        <v>3.517286</v>
      </c>
      <c r="AD28" t="n">
        <v>3.545391</v>
      </c>
      <c r="AE28" t="inlineStr">
        <is>
          <t>3.3%</t>
        </is>
      </c>
    </row>
    <row r="29">
      <c r="A29" t="inlineStr">
        <is>
          <t>Total Marketed Renewable Energy</t>
        </is>
      </c>
      <c r="B29" t="inlineStr">
        <is>
          <t>Renewable Energy: Total Marketed Renewable Energy Use: Alternative Electricity and Transportation</t>
        </is>
      </c>
      <c r="C29" t="inlineStr">
        <is>
          <t>AEO.2026.ELECTRNP.CNSM_NA_NA_NA_NA_NA_NA_QBTU.A</t>
        </is>
      </c>
      <c r="D29" t="inlineStr">
        <is>
          <t>quads</t>
        </is>
      </c>
      <c r="E29" t="n">
        <v>8.347723</v>
      </c>
      <c r="F29" t="n">
        <v>8.818436</v>
      </c>
      <c r="G29" t="n">
        <v>9.422620999999999</v>
      </c>
      <c r="H29" t="n">
        <v>9.813064000000001</v>
      </c>
      <c r="I29" t="n">
        <v>10.013138</v>
      </c>
      <c r="J29" t="n">
        <v>10.082873</v>
      </c>
      <c r="K29" t="n">
        <v>10.19898</v>
      </c>
      <c r="L29" t="n">
        <v>10.270967</v>
      </c>
      <c r="M29" t="n">
        <v>10.381779</v>
      </c>
      <c r="N29" t="n">
        <v>10.558281</v>
      </c>
      <c r="O29" t="n">
        <v>10.760611</v>
      </c>
      <c r="P29" t="n">
        <v>10.978383</v>
      </c>
      <c r="Q29" t="n">
        <v>11.132632</v>
      </c>
      <c r="R29" t="n">
        <v>11.27028</v>
      </c>
      <c r="S29" t="n">
        <v>11.417399</v>
      </c>
      <c r="T29" t="n">
        <v>11.559381</v>
      </c>
      <c r="U29" t="n">
        <v>11.66451</v>
      </c>
      <c r="V29" t="n">
        <v>11.733516</v>
      </c>
      <c r="W29" t="n">
        <v>11.763935</v>
      </c>
      <c r="X29" t="n">
        <v>11.790484</v>
      </c>
      <c r="Y29" t="n">
        <v>11.825101</v>
      </c>
      <c r="Z29" t="n">
        <v>11.862027</v>
      </c>
      <c r="AA29" t="n">
        <v>11.912802</v>
      </c>
      <c r="AB29" t="n">
        <v>11.96369</v>
      </c>
      <c r="AC29" t="n">
        <v>12.044257</v>
      </c>
      <c r="AD29" t="n">
        <v>12.286882</v>
      </c>
      <c r="AE29" t="inlineStr">
        <is>
          <t>1.6%</t>
        </is>
      </c>
    </row>
    <row r="30">
      <c r="A30" t="inlineStr">
        <is>
          <t>Sources of Ethanol</t>
        </is>
      </c>
    </row>
    <row r="31">
      <c r="A31" t="inlineStr">
        <is>
          <t>From Corn and Other Starch</t>
        </is>
      </c>
      <c r="B31" t="inlineStr">
        <is>
          <t>Renewable Energy: Sources of Ethanol: From Corn: Alternative Electricity and Transportation</t>
        </is>
      </c>
      <c r="C31" t="inlineStr">
        <is>
          <t>AEO.2026.ELECTRNP.SUP_PRD_FCO_NA_ETH_NA_NA_QBTU.A</t>
        </is>
      </c>
      <c r="D31" t="inlineStr">
        <is>
          <t>quads</t>
        </is>
      </c>
      <c r="E31" t="n">
        <v>1.342129</v>
      </c>
      <c r="F31" t="n">
        <v>1.345911</v>
      </c>
      <c r="G31" t="n">
        <v>1.336637</v>
      </c>
      <c r="H31" t="n">
        <v>1.342422</v>
      </c>
      <c r="I31" t="n">
        <v>1.337657</v>
      </c>
      <c r="J31" t="n">
        <v>1.340242</v>
      </c>
      <c r="K31" t="n">
        <v>1.335484</v>
      </c>
      <c r="L31" t="n">
        <v>1.333526</v>
      </c>
      <c r="M31" t="n">
        <v>1.330719</v>
      </c>
      <c r="N31" t="n">
        <v>1.333509</v>
      </c>
      <c r="O31" t="n">
        <v>1.335468</v>
      </c>
      <c r="P31" t="n">
        <v>1.343603</v>
      </c>
      <c r="Q31" t="n">
        <v>1.342521</v>
      </c>
      <c r="R31" t="n">
        <v>1.343306</v>
      </c>
      <c r="S31" t="n">
        <v>1.344429</v>
      </c>
      <c r="T31" t="n">
        <v>1.347825</v>
      </c>
      <c r="U31" t="n">
        <v>1.351432</v>
      </c>
      <c r="V31" t="n">
        <v>1.364444</v>
      </c>
      <c r="W31" t="n">
        <v>1.369733</v>
      </c>
      <c r="X31" t="n">
        <v>1.374042</v>
      </c>
      <c r="Y31" t="n">
        <v>1.375246</v>
      </c>
      <c r="Z31" t="n">
        <v>1.375206</v>
      </c>
      <c r="AA31" t="n">
        <v>1.385507</v>
      </c>
      <c r="AB31" t="n">
        <v>1.393758</v>
      </c>
      <c r="AC31" t="n">
        <v>1.397342</v>
      </c>
      <c r="AD31" t="n">
        <v>1.403448</v>
      </c>
      <c r="AE31" t="inlineStr">
        <is>
          <t>0.2%</t>
        </is>
      </c>
    </row>
    <row r="32">
      <c r="A32" t="inlineStr">
        <is>
          <t>From Cellulose</t>
        </is>
      </c>
      <c r="B32" t="inlineStr">
        <is>
          <t>Renewable Energy: Sources of Ethanol: From Cellulose: Alternative Electricity and Transportation</t>
        </is>
      </c>
      <c r="C32" t="inlineStr">
        <is>
          <t>AEO.2026.ELECTRNP.SUP_PRD_FCE_NA_ETH_NA_NA_QBTU.A</t>
        </is>
      </c>
      <c r="D32" t="inlineStr">
        <is>
          <t>quads</t>
        </is>
      </c>
      <c r="E32" t="n">
        <v>0.000574</v>
      </c>
      <c r="F32" t="n">
        <v>0.00057</v>
      </c>
      <c r="G32" t="n">
        <v>0.000564</v>
      </c>
      <c r="H32" t="n">
        <v>0.000564</v>
      </c>
      <c r="I32" t="n">
        <v>0.000564</v>
      </c>
      <c r="J32" t="n">
        <v>0.000564</v>
      </c>
      <c r="K32" t="n">
        <v>0.000564</v>
      </c>
      <c r="L32" t="n">
        <v>0.000564</v>
      </c>
      <c r="M32" t="n">
        <v>0.000564</v>
      </c>
      <c r="N32" t="n">
        <v>0.000564</v>
      </c>
      <c r="O32" t="n">
        <v>0.000564</v>
      </c>
      <c r="P32" t="n">
        <v>0.000564</v>
      </c>
      <c r="Q32" t="n">
        <v>0.000564</v>
      </c>
      <c r="R32" t="n">
        <v>0.000564</v>
      </c>
      <c r="S32" t="n">
        <v>0.000564</v>
      </c>
      <c r="T32" t="n">
        <v>0.000564</v>
      </c>
      <c r="U32" t="n">
        <v>0.000564</v>
      </c>
      <c r="V32" t="n">
        <v>0.000564</v>
      </c>
      <c r="W32" t="n">
        <v>0.000564</v>
      </c>
      <c r="X32" t="n">
        <v>0.000564</v>
      </c>
      <c r="Y32" t="n">
        <v>0.000564</v>
      </c>
      <c r="Z32" t="n">
        <v>0.000564</v>
      </c>
      <c r="AA32" t="n">
        <v>0.000564</v>
      </c>
      <c r="AB32" t="n">
        <v>0.000564</v>
      </c>
      <c r="AC32" t="n">
        <v>0.000564</v>
      </c>
      <c r="AD32" t="n">
        <v>0.000564</v>
      </c>
      <c r="AE32" t="inlineStr">
        <is>
          <t>-0.1%</t>
        </is>
      </c>
    </row>
    <row r="33">
      <c r="A33" t="inlineStr">
        <is>
          <t>Net Imports</t>
        </is>
      </c>
      <c r="B33" t="inlineStr">
        <is>
          <t>Renewable Energy: Sources of Ethanol: Net Imports: Alternative Electricity and Transportation</t>
        </is>
      </c>
      <c r="C33" t="inlineStr">
        <is>
          <t>AEO.2026.ELECTRNP.SUP_NETIMP_NA_NA_ETH_NA_NA_QBTU.A</t>
        </is>
      </c>
      <c r="D33" t="inlineStr">
        <is>
          <t>quads</t>
        </is>
      </c>
      <c r="E33" t="n">
        <v>-0.175261</v>
      </c>
      <c r="F33" t="n">
        <v>-0.18095</v>
      </c>
      <c r="G33" t="n">
        <v>-0.156593</v>
      </c>
      <c r="H33" t="n">
        <v>-0.168802</v>
      </c>
      <c r="I33" t="n">
        <v>-0.173067</v>
      </c>
      <c r="J33" t="n">
        <v>-0.185365</v>
      </c>
      <c r="K33" t="n">
        <v>-0.190007</v>
      </c>
      <c r="L33" t="n">
        <v>-0.194759</v>
      </c>
      <c r="M33" t="n">
        <v>-0.199622</v>
      </c>
      <c r="N33" t="n">
        <v>-0.204611</v>
      </c>
      <c r="O33" t="n">
        <v>-0.209726</v>
      </c>
      <c r="P33" t="n">
        <v>-0.224739</v>
      </c>
      <c r="Q33" t="n">
        <v>-0.230367</v>
      </c>
      <c r="R33" t="n">
        <v>-0.236128</v>
      </c>
      <c r="S33" t="n">
        <v>-0.24202</v>
      </c>
      <c r="T33" t="n">
        <v>-0.248078</v>
      </c>
      <c r="U33" t="n">
        <v>-0.254284</v>
      </c>
      <c r="V33" t="n">
        <v>-0.271971</v>
      </c>
      <c r="W33" t="n">
        <v>-0.278774</v>
      </c>
      <c r="X33" t="n">
        <v>-0.285732</v>
      </c>
      <c r="Y33" t="n">
        <v>-0.288551</v>
      </c>
      <c r="Z33" t="n">
        <v>-0.291119</v>
      </c>
      <c r="AA33" t="n">
        <v>-0.302987</v>
      </c>
      <c r="AB33" t="n">
        <v>-0.31539</v>
      </c>
      <c r="AC33" t="n">
        <v>-0.323278</v>
      </c>
      <c r="AD33" t="n">
        <v>-0.331373</v>
      </c>
      <c r="AE33" t="inlineStr">
        <is>
          <t>2.6%</t>
        </is>
      </c>
    </row>
    <row r="34">
      <c r="A34" t="inlineStr">
        <is>
          <t>Total U.S. Supply of Ethanol</t>
        </is>
      </c>
      <c r="B34" t="inlineStr">
        <is>
          <t>Renewable Energy: Total U.S. Supply of Ethanol: Alternative Electricity and Transportation</t>
        </is>
      </c>
      <c r="C34" t="inlineStr">
        <is>
          <t>AEO.2026.ELECTRNP.SUP_NA_NA_NA_ETH_NA_NA_QBTU.A</t>
        </is>
      </c>
      <c r="D34" t="inlineStr">
        <is>
          <t>quads</t>
        </is>
      </c>
      <c r="E34" t="n">
        <v>1.167441</v>
      </c>
      <c r="F34" t="n">
        <v>1.165531</v>
      </c>
      <c r="G34" t="n">
        <v>1.180608</v>
      </c>
      <c r="H34" t="n">
        <v>1.174183</v>
      </c>
      <c r="I34" t="n">
        <v>1.165154</v>
      </c>
      <c r="J34" t="n">
        <v>1.155441</v>
      </c>
      <c r="K34" t="n">
        <v>1.146041</v>
      </c>
      <c r="L34" t="n">
        <v>1.139331</v>
      </c>
      <c r="M34" t="n">
        <v>1.13166</v>
      </c>
      <c r="N34" t="n">
        <v>1.129462</v>
      </c>
      <c r="O34" t="n">
        <v>1.126305</v>
      </c>
      <c r="P34" t="n">
        <v>1.119427</v>
      </c>
      <c r="Q34" t="n">
        <v>1.112717</v>
      </c>
      <c r="R34" t="n">
        <v>1.107742</v>
      </c>
      <c r="S34" t="n">
        <v>1.102973</v>
      </c>
      <c r="T34" t="n">
        <v>1.100311</v>
      </c>
      <c r="U34" t="n">
        <v>1.097712</v>
      </c>
      <c r="V34" t="n">
        <v>1.093037</v>
      </c>
      <c r="W34" t="n">
        <v>1.091523</v>
      </c>
      <c r="X34" t="n">
        <v>1.088874</v>
      </c>
      <c r="Y34" t="n">
        <v>1.087259</v>
      </c>
      <c r="Z34" t="n">
        <v>1.084651</v>
      </c>
      <c r="AA34" t="n">
        <v>1.083084</v>
      </c>
      <c r="AB34" t="n">
        <v>1.078932</v>
      </c>
      <c r="AC34" t="n">
        <v>1.074628</v>
      </c>
      <c r="AD34" t="n">
        <v>1.072638</v>
      </c>
      <c r="AE34" t="inlineStr">
        <is>
          <t>-0.3%</t>
        </is>
      </c>
    </row>
    <row r="35">
      <c r="A35" t="inlineStr">
        <is>
          <t>Nonmarketed Renewable Energy</t>
        </is>
      </c>
    </row>
    <row r="36">
      <c r="A36" t="inlineStr">
        <is>
          <t>Selected Consumption</t>
        </is>
      </c>
    </row>
    <row r="37">
      <c r="A37" t="inlineStr">
        <is>
          <t>Residential</t>
        </is>
      </c>
      <c r="B37" t="inlineStr">
        <is>
          <t>Renewable Energy: Nonmarketed Selected Use: Residential: Alternative Electricity and Transportation</t>
        </is>
      </c>
      <c r="C37" t="inlineStr">
        <is>
          <t>AEO.2026.ELECTRNP.CNSM_NA_RESD_NA_NA_NA_NA_QBTU.A</t>
        </is>
      </c>
      <c r="D37" t="inlineStr">
        <is>
          <t>quads</t>
        </is>
      </c>
      <c r="E37" t="n">
        <v>0.274658</v>
      </c>
      <c r="F37" t="n">
        <v>0.286575</v>
      </c>
      <c r="G37" t="n">
        <v>0.30164</v>
      </c>
      <c r="H37" t="n">
        <v>0.316028</v>
      </c>
      <c r="I37" t="n">
        <v>0.329612</v>
      </c>
      <c r="J37" t="n">
        <v>0.344035</v>
      </c>
      <c r="K37" t="n">
        <v>0.359664</v>
      </c>
      <c r="L37" t="n">
        <v>0.37496</v>
      </c>
      <c r="M37" t="n">
        <v>0.391284</v>
      </c>
      <c r="N37" t="n">
        <v>0.408679</v>
      </c>
      <c r="O37" t="n">
        <v>0.427104</v>
      </c>
      <c r="P37" t="n">
        <v>0.446461</v>
      </c>
      <c r="Q37" t="n">
        <v>0.467306</v>
      </c>
      <c r="R37" t="n">
        <v>0.48916</v>
      </c>
      <c r="S37" t="n">
        <v>0.512127</v>
      </c>
      <c r="T37" t="n">
        <v>0.535967</v>
      </c>
      <c r="U37" t="n">
        <v>0.56051</v>
      </c>
      <c r="V37" t="n">
        <v>0.585844</v>
      </c>
      <c r="W37" t="n">
        <v>0.611856</v>
      </c>
      <c r="X37" t="n">
        <v>0.638926</v>
      </c>
      <c r="Y37" t="n">
        <v>0.666667</v>
      </c>
      <c r="Z37" t="n">
        <v>0.695318</v>
      </c>
      <c r="AA37" t="n">
        <v>0.724702</v>
      </c>
      <c r="AB37" t="n">
        <v>0.755417</v>
      </c>
      <c r="AC37" t="n">
        <v>0.786555</v>
      </c>
      <c r="AD37" t="n">
        <v>0.81873</v>
      </c>
      <c r="AE37" t="inlineStr">
        <is>
          <t>4.5%</t>
        </is>
      </c>
    </row>
    <row r="38">
      <c r="A38" t="inlineStr">
        <is>
          <t>Solar Hot Water Heating</t>
        </is>
      </c>
      <c r="B38" t="inlineStr">
        <is>
          <t>Renewable Energy: Nonmarketed Selected Use: Residential: Solar Hot Water Heating: Alternative Electricity and Transportation</t>
        </is>
      </c>
      <c r="C38" t="inlineStr">
        <is>
          <t>AEO.2026.ELECTRNP.CNSM_NA_RESD_NA_SHW_NA_NA_QBTU.A</t>
        </is>
      </c>
      <c r="D38" t="inlineStr">
        <is>
          <t>quads</t>
        </is>
      </c>
      <c r="E38" t="n">
        <v>0.049686</v>
      </c>
      <c r="F38" t="n">
        <v>0.048802</v>
      </c>
      <c r="G38" t="n">
        <v>0.049417</v>
      </c>
      <c r="H38" t="n">
        <v>0.048901</v>
      </c>
      <c r="I38" t="n">
        <v>0.048595</v>
      </c>
      <c r="J38" t="n">
        <v>0.048426</v>
      </c>
      <c r="K38" t="n">
        <v>0.048259</v>
      </c>
      <c r="L38" t="n">
        <v>0.047826</v>
      </c>
      <c r="M38" t="n">
        <v>0.047667</v>
      </c>
      <c r="N38" t="n">
        <v>0.047592</v>
      </c>
      <c r="O38" t="n">
        <v>0.04739</v>
      </c>
      <c r="P38" t="n">
        <v>0.047233</v>
      </c>
      <c r="Q38" t="n">
        <v>0.047174</v>
      </c>
      <c r="R38" t="n">
        <v>0.04714</v>
      </c>
      <c r="S38" t="n">
        <v>0.047048</v>
      </c>
      <c r="T38" t="n">
        <v>0.047019</v>
      </c>
      <c r="U38" t="n">
        <v>0.046748</v>
      </c>
      <c r="V38" t="n">
        <v>0.046573</v>
      </c>
      <c r="W38" t="n">
        <v>0.046286</v>
      </c>
      <c r="X38" t="n">
        <v>0.04604</v>
      </c>
      <c r="Y38" t="n">
        <v>0.045849</v>
      </c>
      <c r="Z38" t="n">
        <v>0.045748</v>
      </c>
      <c r="AA38" t="n">
        <v>0.04554</v>
      </c>
      <c r="AB38" t="n">
        <v>0.045423</v>
      </c>
      <c r="AC38" t="n">
        <v>0.045241</v>
      </c>
      <c r="AD38" t="n">
        <v>0.044974</v>
      </c>
      <c r="AE38" t="inlineStr">
        <is>
          <t>-0.4%</t>
        </is>
      </c>
    </row>
    <row r="39">
      <c r="A39" t="inlineStr">
        <is>
          <t>Solar Photovoltaic</t>
        </is>
      </c>
      <c r="B39" t="inlineStr">
        <is>
          <t>Renewable Energy: Nonmarketed Selected Use: Residential: Solar Photovoltaic: Alternative Electricity and Transportation</t>
        </is>
      </c>
      <c r="C39" t="inlineStr">
        <is>
          <t>AEO.2026.ELECTRNP.CNSM_NA_RESD_NA_SLR_PHTVL_NA_QBTU.A</t>
        </is>
      </c>
      <c r="D39" t="inlineStr">
        <is>
          <t>quads</t>
        </is>
      </c>
      <c r="E39" t="n">
        <v>0.224384</v>
      </c>
      <c r="F39" t="n">
        <v>0.237185</v>
      </c>
      <c r="G39" t="n">
        <v>0.251634</v>
      </c>
      <c r="H39" t="n">
        <v>0.266537</v>
      </c>
      <c r="I39" t="n">
        <v>0.280427</v>
      </c>
      <c r="J39" t="n">
        <v>0.295017</v>
      </c>
      <c r="K39" t="n">
        <v>0.31081</v>
      </c>
      <c r="L39" t="n">
        <v>0.326533</v>
      </c>
      <c r="M39" t="n">
        <v>0.343009</v>
      </c>
      <c r="N39" t="n">
        <v>0.360468</v>
      </c>
      <c r="O39" t="n">
        <v>0.379082</v>
      </c>
      <c r="P39" t="n">
        <v>0.398583</v>
      </c>
      <c r="Q39" t="n">
        <v>0.419471</v>
      </c>
      <c r="R39" t="n">
        <v>0.441342</v>
      </c>
      <c r="S39" t="n">
        <v>0.464384</v>
      </c>
      <c r="T39" t="n">
        <v>0.488235</v>
      </c>
      <c r="U39" t="n">
        <v>0.513029</v>
      </c>
      <c r="V39" t="n">
        <v>0.538517</v>
      </c>
      <c r="W39" t="n">
        <v>0.564794</v>
      </c>
      <c r="X39" t="n">
        <v>0.592087</v>
      </c>
      <c r="Y39" t="n">
        <v>0.619996</v>
      </c>
      <c r="Z39" t="n">
        <v>0.648722</v>
      </c>
      <c r="AA39" t="n">
        <v>0.6782899999999999</v>
      </c>
      <c r="AB39" t="n">
        <v>0.709091</v>
      </c>
      <c r="AC39" t="n">
        <v>0.740381</v>
      </c>
      <c r="AD39" t="n">
        <v>0.772793</v>
      </c>
      <c r="AE39" t="inlineStr">
        <is>
          <t>5.1%</t>
        </is>
      </c>
    </row>
    <row r="40">
      <c r="A40" t="inlineStr">
        <is>
          <t>Wind</t>
        </is>
      </c>
      <c r="B40" t="inlineStr">
        <is>
          <t>Renewable Energy: Nonmarketed Selected Use: Residential: Wind: Alternative Electricity and Transportation</t>
        </is>
      </c>
      <c r="C40" t="inlineStr">
        <is>
          <t>AEO.2026.ELECTRNP.CNSM_NA_RESD_NA_WND_NA_NA_QBTU.A</t>
        </is>
      </c>
      <c r="D40" t="inlineStr">
        <is>
          <t>quads</t>
        </is>
      </c>
      <c r="E40" t="n">
        <v>0.000588</v>
      </c>
      <c r="F40" t="n">
        <v>0.000588</v>
      </c>
      <c r="G40" t="n">
        <v>0.000589</v>
      </c>
      <c r="H40" t="n">
        <v>0.00059</v>
      </c>
      <c r="I40" t="n">
        <v>0.0005910000000000001</v>
      </c>
      <c r="J40" t="n">
        <v>0.000592</v>
      </c>
      <c r="K40" t="n">
        <v>0.000596</v>
      </c>
      <c r="L40" t="n">
        <v>0.000601</v>
      </c>
      <c r="M40" t="n">
        <v>0.000608</v>
      </c>
      <c r="N40" t="n">
        <v>0.000619</v>
      </c>
      <c r="O40" t="n">
        <v>0.000632</v>
      </c>
      <c r="P40" t="n">
        <v>0.000646</v>
      </c>
      <c r="Q40" t="n">
        <v>0.000662</v>
      </c>
      <c r="R40" t="n">
        <v>0.000678</v>
      </c>
      <c r="S40" t="n">
        <v>0.000695</v>
      </c>
      <c r="T40" t="n">
        <v>0.000713</v>
      </c>
      <c r="U40" t="n">
        <v>0.000733</v>
      </c>
      <c r="V40" t="n">
        <v>0.000754</v>
      </c>
      <c r="W40" t="n">
        <v>0.000776</v>
      </c>
      <c r="X40" t="n">
        <v>0.000799</v>
      </c>
      <c r="Y40" t="n">
        <v>0.000822</v>
      </c>
      <c r="Z40" t="n">
        <v>0.000847</v>
      </c>
      <c r="AA40" t="n">
        <v>0.000873</v>
      </c>
      <c r="AB40" t="n">
        <v>0.000903</v>
      </c>
      <c r="AC40" t="n">
        <v>0.000933</v>
      </c>
      <c r="AD40" t="n">
        <v>0.000963</v>
      </c>
      <c r="AE40" t="inlineStr">
        <is>
          <t>2.0%</t>
        </is>
      </c>
    </row>
    <row r="41">
      <c r="A41" t="inlineStr">
        <is>
          <t>Commercial</t>
        </is>
      </c>
      <c r="B41" t="inlineStr">
        <is>
          <t>Renewable Energy: Nonmarketed Selected Use: Commercial: Alternative Electricity and Transportation</t>
        </is>
      </c>
      <c r="C41" t="inlineStr">
        <is>
          <t>AEO.2026.ELECTRNP.CNSM_NA_COMM_NA_NA_NA_NA_QBTU.A</t>
        </is>
      </c>
      <c r="D41" t="inlineStr">
        <is>
          <t>quads</t>
        </is>
      </c>
      <c r="E41" t="n">
        <v>0.225593</v>
      </c>
      <c r="F41" t="n">
        <v>0.242401</v>
      </c>
      <c r="G41" t="n">
        <v>0.25879</v>
      </c>
      <c r="H41" t="n">
        <v>0.265524</v>
      </c>
      <c r="I41" t="n">
        <v>0.269498</v>
      </c>
      <c r="J41" t="n">
        <v>0.274491</v>
      </c>
      <c r="K41" t="n">
        <v>0.278051</v>
      </c>
      <c r="L41" t="n">
        <v>0.280014</v>
      </c>
      <c r="M41" t="n">
        <v>0.283347</v>
      </c>
      <c r="N41" t="n">
        <v>0.288693</v>
      </c>
      <c r="O41" t="n">
        <v>0.292608</v>
      </c>
      <c r="P41" t="n">
        <v>0.295869</v>
      </c>
      <c r="Q41" t="n">
        <v>0.302195</v>
      </c>
      <c r="R41" t="n">
        <v>0.308441</v>
      </c>
      <c r="S41" t="n">
        <v>0.316061</v>
      </c>
      <c r="T41" t="n">
        <v>0.32269</v>
      </c>
      <c r="U41" t="n">
        <v>0.326035</v>
      </c>
      <c r="V41" t="n">
        <v>0.331217</v>
      </c>
      <c r="W41" t="n">
        <v>0.333756</v>
      </c>
      <c r="X41" t="n">
        <v>0.3366</v>
      </c>
      <c r="Y41" t="n">
        <v>0.338919</v>
      </c>
      <c r="Z41" t="n">
        <v>0.342714</v>
      </c>
      <c r="AA41" t="n">
        <v>0.347566</v>
      </c>
      <c r="AB41" t="n">
        <v>0.352509</v>
      </c>
      <c r="AC41" t="n">
        <v>0.356213</v>
      </c>
      <c r="AD41" t="n">
        <v>0.360991</v>
      </c>
      <c r="AE41" t="inlineStr">
        <is>
          <t>1.9%</t>
        </is>
      </c>
    </row>
    <row r="42">
      <c r="A42" t="inlineStr">
        <is>
          <t>Solar Thermal</t>
        </is>
      </c>
      <c r="B42" t="inlineStr">
        <is>
          <t>Renewable Energy: Nonmarketed Selected Use: Commercial: Solar Thermal: Alternative Electricity and Transportation</t>
        </is>
      </c>
      <c r="C42" t="inlineStr">
        <is>
          <t>AEO.2026.ELECTRNP.CNSM_NA_COMM_NA_SLR_THERM_NA_QBTU.A</t>
        </is>
      </c>
      <c r="D42" t="inlineStr">
        <is>
          <t>quads</t>
        </is>
      </c>
      <c r="E42" t="n">
        <v>0.065495</v>
      </c>
      <c r="F42" t="n">
        <v>0.063335</v>
      </c>
      <c r="G42" t="n">
        <v>0.063611</v>
      </c>
      <c r="H42" t="n">
        <v>0.062602</v>
      </c>
      <c r="I42" t="n">
        <v>0.061895</v>
      </c>
      <c r="J42" t="n">
        <v>0.061556</v>
      </c>
      <c r="K42" t="n">
        <v>0.061001</v>
      </c>
      <c r="L42" t="n">
        <v>0.059719</v>
      </c>
      <c r="M42" t="n">
        <v>0.0594</v>
      </c>
      <c r="N42" t="n">
        <v>0.059208</v>
      </c>
      <c r="O42" t="n">
        <v>0.058635</v>
      </c>
      <c r="P42" t="n">
        <v>0.058119</v>
      </c>
      <c r="Q42" t="n">
        <v>0.057821</v>
      </c>
      <c r="R42" t="n">
        <v>0.057597</v>
      </c>
      <c r="S42" t="n">
        <v>0.057361</v>
      </c>
      <c r="T42" t="n">
        <v>0.057212</v>
      </c>
      <c r="U42" t="n">
        <v>0.056903</v>
      </c>
      <c r="V42" t="n">
        <v>0.056644</v>
      </c>
      <c r="W42" t="n">
        <v>0.056244</v>
      </c>
      <c r="X42" t="n">
        <v>0.055781</v>
      </c>
      <c r="Y42" t="n">
        <v>0.055393</v>
      </c>
      <c r="Z42" t="n">
        <v>0.054973</v>
      </c>
      <c r="AA42" t="n">
        <v>0.054613</v>
      </c>
      <c r="AB42" t="n">
        <v>0.054244</v>
      </c>
      <c r="AC42" t="n">
        <v>0.053925</v>
      </c>
      <c r="AD42" t="n">
        <v>0.053519</v>
      </c>
      <c r="AE42" t="inlineStr">
        <is>
          <t>-0.8%</t>
        </is>
      </c>
    </row>
    <row r="43">
      <c r="A43" t="inlineStr">
        <is>
          <t>Solar Photovoltaic</t>
        </is>
      </c>
      <c r="B43" t="inlineStr">
        <is>
          <t>Renewable Energy: Nonmarketed Selected Use: Commercial: Solar Photovoltaic: Alternative Electricity and Transportation</t>
        </is>
      </c>
      <c r="C43" t="inlineStr">
        <is>
          <t>AEO.2026.ELECTRNP.CNSM_NA_COMM_NA_SLR_PHTVL_NA_QBTU.A</t>
        </is>
      </c>
      <c r="D43" t="inlineStr">
        <is>
          <t>quads</t>
        </is>
      </c>
      <c r="E43" t="n">
        <v>0.157573</v>
      </c>
      <c r="F43" t="n">
        <v>0.176538</v>
      </c>
      <c r="G43" t="n">
        <v>0.192646</v>
      </c>
      <c r="H43" t="n">
        <v>0.200389</v>
      </c>
      <c r="I43" t="n">
        <v>0.205067</v>
      </c>
      <c r="J43" t="n">
        <v>0.210395</v>
      </c>
      <c r="K43" t="n">
        <v>0.214509</v>
      </c>
      <c r="L43" t="n">
        <v>0.21775</v>
      </c>
      <c r="M43" t="n">
        <v>0.221398</v>
      </c>
      <c r="N43" t="n">
        <v>0.226933</v>
      </c>
      <c r="O43" t="n">
        <v>0.23142</v>
      </c>
      <c r="P43" t="n">
        <v>0.235197</v>
      </c>
      <c r="Q43" t="n">
        <v>0.241819</v>
      </c>
      <c r="R43" t="n">
        <v>0.248288</v>
      </c>
      <c r="S43" t="n">
        <v>0.256142</v>
      </c>
      <c r="T43" t="n">
        <v>0.262917</v>
      </c>
      <c r="U43" t="n">
        <v>0.266571</v>
      </c>
      <c r="V43" t="n">
        <v>0.272008</v>
      </c>
      <c r="W43" t="n">
        <v>0.274945</v>
      </c>
      <c r="X43" t="n">
        <v>0.278251</v>
      </c>
      <c r="Y43" t="n">
        <v>0.280957</v>
      </c>
      <c r="Z43" t="n">
        <v>0.285171</v>
      </c>
      <c r="AA43" t="n">
        <v>0.290382</v>
      </c>
      <c r="AB43" t="n">
        <v>0.295691</v>
      </c>
      <c r="AC43" t="n">
        <v>0.299714</v>
      </c>
      <c r="AD43" t="n">
        <v>0.304897</v>
      </c>
      <c r="AE43" t="inlineStr">
        <is>
          <t>2.7%</t>
        </is>
      </c>
    </row>
    <row r="44">
      <c r="A44" t="inlineStr">
        <is>
          <t>Wind</t>
        </is>
      </c>
      <c r="B44" t="inlineStr">
        <is>
          <t>Renewable Energy: Nonmarketed Selected Use: Commercial: Wind: Alternative Electricity and Transportation</t>
        </is>
      </c>
      <c r="C44" t="inlineStr">
        <is>
          <t>AEO.2026.ELECTRNP.CNSM_NA_COMM_NA_WND_NA_NA_QBTU.A</t>
        </is>
      </c>
      <c r="D44" t="inlineStr">
        <is>
          <t>quads</t>
        </is>
      </c>
      <c r="E44" t="n">
        <v>0.002524</v>
      </c>
      <c r="F44" t="n">
        <v>0.002527</v>
      </c>
      <c r="G44" t="n">
        <v>0.002533</v>
      </c>
      <c r="H44" t="n">
        <v>0.002533</v>
      </c>
      <c r="I44" t="n">
        <v>0.002536</v>
      </c>
      <c r="J44" t="n">
        <v>0.00254</v>
      </c>
      <c r="K44" t="n">
        <v>0.002542</v>
      </c>
      <c r="L44" t="n">
        <v>0.002545</v>
      </c>
      <c r="M44" t="n">
        <v>0.002549</v>
      </c>
      <c r="N44" t="n">
        <v>0.002552</v>
      </c>
      <c r="O44" t="n">
        <v>0.002553</v>
      </c>
      <c r="P44" t="n">
        <v>0.002554</v>
      </c>
      <c r="Q44" t="n">
        <v>0.002555</v>
      </c>
      <c r="R44" t="n">
        <v>0.002557</v>
      </c>
      <c r="S44" t="n">
        <v>0.002558</v>
      </c>
      <c r="T44" t="n">
        <v>0.00256</v>
      </c>
      <c r="U44" t="n">
        <v>0.002561</v>
      </c>
      <c r="V44" t="n">
        <v>0.002565</v>
      </c>
      <c r="W44" t="n">
        <v>0.002566</v>
      </c>
      <c r="X44" t="n">
        <v>0.002568</v>
      </c>
      <c r="Y44" t="n">
        <v>0.002568</v>
      </c>
      <c r="Z44" t="n">
        <v>0.002569</v>
      </c>
      <c r="AA44" t="n">
        <v>0.002572</v>
      </c>
      <c r="AB44" t="n">
        <v>0.002573</v>
      </c>
      <c r="AC44" t="n">
        <v>0.002574</v>
      </c>
      <c r="AD44" t="n">
        <v>0.002575</v>
      </c>
      <c r="AE44" t="inlineStr">
        <is>
          <t>0.1%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theme="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37" t="inlineStr">
        <is>
          <t>Validation checks (42-code sibling)</t>
        </is>
      </c>
    </row>
    <row r="2">
      <c r="A2" s="38" t="inlineStr">
        <is>
          <t>Allocation output rows sum to 1 across the 42 ISIC codes (rate files excluded — see note).</t>
        </is>
      </c>
    </row>
    <row r="4">
      <c r="A4" s="37" t="inlineStr">
        <is>
          <t>FoPTaFbIC.csv</t>
        </is>
      </c>
    </row>
    <row r="5">
      <c r="A5" t="inlineStr">
        <is>
          <t xml:space="preserve">  rate file — per-code fuel fraction, no sum-to-1 check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92D050"/>
    <outlinePr summaryBelow="1" summaryRight="1"/>
    <pageSetUpPr/>
  </sheetPr>
  <dimension ref="A1:D36"/>
  <sheetViews>
    <sheetView topLeftCell="A12" workbookViewId="0">
      <selection activeCell="C21" sqref="C21"/>
    </sheetView>
  </sheetViews>
  <sheetFormatPr baseColWidth="8" defaultRowHeight="14.25"/>
  <cols>
    <col width="18" customWidth="1" min="1" max="1"/>
    <col width="36.73046875" customWidth="1" min="2" max="2"/>
    <col width="26" customWidth="1" min="3" max="3"/>
    <col width="36.265625" customWidth="1" min="4" max="4"/>
    <col width="29.73046875" customWidth="1" min="5" max="5"/>
  </cols>
  <sheetData>
    <row r="1">
      <c r="A1" s="1" t="inlineStr">
        <is>
          <t>Fuel-Producing ISIC Codes</t>
        </is>
      </c>
    </row>
    <row r="3">
      <c r="A3" s="4" t="inlineStr">
        <is>
          <t>ISIC Code</t>
        </is>
      </c>
      <c r="B3" s="4" t="inlineStr">
        <is>
          <t>ISIC Code Meaning</t>
        </is>
      </c>
      <c r="C3" s="18" t="inlineStr">
        <is>
          <t>Fuel Fraction of Production</t>
        </is>
      </c>
      <c r="D3" s="4" t="inlineStr">
        <is>
          <t>Notes</t>
        </is>
      </c>
    </row>
    <row r="4">
      <c r="A4" s="6" t="inlineStr">
        <is>
          <t>ISIC 01T03</t>
        </is>
      </c>
      <c r="B4" s="6" t="inlineStr">
        <is>
          <t>Agriculture, forestry and fishing</t>
        </is>
      </c>
      <c r="C4" s="17">
        <f>C28</f>
        <v/>
      </c>
    </row>
    <row r="5">
      <c r="A5" s="6" t="inlineStr">
        <is>
          <t>ISIC 05</t>
        </is>
      </c>
      <c r="B5" s="6" t="inlineStr">
        <is>
          <t>Coal mining</t>
        </is>
      </c>
      <c r="C5" s="19" t="n">
        <v>1</v>
      </c>
      <c r="D5" t="inlineStr">
        <is>
          <t>We assume 100% of products are fuels</t>
        </is>
      </c>
    </row>
    <row r="6">
      <c r="A6" s="6" t="inlineStr">
        <is>
          <t>ISIC 06</t>
        </is>
      </c>
      <c r="B6" s="6" t="inlineStr">
        <is>
          <t>Oil and gas extraction</t>
        </is>
      </c>
      <c r="C6" s="19" t="n">
        <v>1</v>
      </c>
      <c r="D6" t="inlineStr">
        <is>
          <t>We assume 100% of products are fuels (refined products are from ISIC 19, not from ISIC 06)</t>
        </is>
      </c>
    </row>
    <row r="7" ht="29.55" customHeight="1">
      <c r="A7" s="6" t="inlineStr">
        <is>
          <t>ISIC 07T08</t>
        </is>
      </c>
      <c r="B7" s="6" t="inlineStr">
        <is>
          <t>Mining and quarrying of uranium and non-energy-producing products</t>
        </is>
      </c>
      <c r="C7" s="17">
        <f>C23</f>
        <v/>
      </c>
    </row>
    <row r="8">
      <c r="A8" s="6" t="inlineStr">
        <is>
          <t>ISIC 19</t>
        </is>
      </c>
      <c r="B8" s="6" t="inlineStr">
        <is>
          <t>Refining</t>
        </is>
      </c>
      <c r="C8" s="17">
        <f>C18</f>
        <v/>
      </c>
    </row>
    <row r="9">
      <c r="A9" s="6" t="inlineStr">
        <is>
          <t>ISIC 351</t>
        </is>
      </c>
      <c r="B9" s="6" t="inlineStr">
        <is>
          <t>Electricity generation and distribution</t>
        </is>
      </c>
      <c r="C9" s="19" t="n">
        <v>1</v>
      </c>
      <c r="D9" t="inlineStr">
        <is>
          <t>We assume 100% of products are fuels</t>
        </is>
      </c>
    </row>
    <row r="10">
      <c r="A10" s="6" t="inlineStr">
        <is>
          <t>ISIC 352T353</t>
        </is>
      </c>
      <c r="B10" s="6" t="inlineStr">
        <is>
          <t>Energy pipelines and gas processing</t>
        </is>
      </c>
      <c r="C10" s="19" t="n">
        <v>1</v>
      </c>
      <c r="D10" t="inlineStr">
        <is>
          <t>We assume 100% of products are fuels</t>
        </is>
      </c>
    </row>
    <row r="15">
      <c r="A15" s="13" t="inlineStr">
        <is>
          <t>ISIC 19</t>
        </is>
      </c>
      <c r="B15" s="13" t="inlineStr">
        <is>
          <t>Refining</t>
        </is>
      </c>
      <c r="C15" s="14" t="n"/>
      <c r="D15" s="16" t="inlineStr">
        <is>
          <t>Data Sources</t>
        </is>
      </c>
    </row>
    <row r="16">
      <c r="A16" t="inlineStr">
        <is>
          <t>Non-Fuel Share of Industrial Refinery Product Use</t>
        </is>
      </c>
      <c r="C16" s="8">
        <f>SUM('AEO 2026 Table 6'!E92,'AEO 2026 Table 6'!E94)/'AEO 2026 Table 6'!E97</f>
        <v/>
      </c>
      <c r="D16" s="17" t="inlineStr">
        <is>
          <t>AEO T6</t>
        </is>
      </c>
    </row>
    <row r="17">
      <c r="A17" t="inlineStr">
        <is>
          <t>Industrial Share of Refinery Product Use</t>
        </is>
      </c>
      <c r="C17" s="8">
        <f>'AEO 2026 Table 2'!E37/'AEO 2026 Table 2'!E86</f>
        <v/>
      </c>
      <c r="D17" s="17" t="inlineStr">
        <is>
          <t>AEO T2</t>
        </is>
      </c>
    </row>
    <row r="18">
      <c r="A18" t="inlineStr">
        <is>
          <t>Fuel Share of ISIC 19 products</t>
        </is>
      </c>
      <c r="C18" s="11">
        <f>1-C16*C17</f>
        <v/>
      </c>
    </row>
    <row r="20">
      <c r="A20" s="15" t="inlineStr">
        <is>
          <t>ISIC 07T08</t>
        </is>
      </c>
      <c r="B20" s="13" t="inlineStr">
        <is>
          <t>Mining and quarrying of uranium and non-energy-producing products</t>
        </is>
      </c>
      <c r="C20" s="14" t="n"/>
      <c r="D20" s="16" t="inlineStr">
        <is>
          <t>Data Sources</t>
        </is>
      </c>
    </row>
    <row r="21">
      <c r="A21" t="inlineStr">
        <is>
          <t>Uranium revenue</t>
        </is>
      </c>
      <c r="C21" s="7">
        <f>'AEO 2026 Table 2'!E145*'AEO 2026 Table 3'!E41*10^9</f>
        <v/>
      </c>
      <c r="D21" s="17" t="inlineStr">
        <is>
          <t>AEO T2, AEO T3</t>
        </is>
      </c>
    </row>
    <row r="22">
      <c r="A22" t="inlineStr">
        <is>
          <t>ISIC 07T08 total revenue</t>
        </is>
      </c>
      <c r="C22" s="7" t="n">
        <v>62857069088.71516</v>
      </c>
      <c r="D22" s="12" t="inlineStr">
        <is>
          <t>see io-model/BObIC</t>
        </is>
      </c>
    </row>
    <row r="23">
      <c r="A23" t="inlineStr">
        <is>
          <t>Fuel share of ISIC 07T08 products</t>
        </is>
      </c>
      <c r="C23" s="11">
        <f>C21/C22</f>
        <v/>
      </c>
      <c r="D23" s="17" t="n"/>
    </row>
    <row r="25">
      <c r="A25" s="15" t="inlineStr">
        <is>
          <t>ISIC 01T03</t>
        </is>
      </c>
      <c r="B25" s="13" t="inlineStr">
        <is>
          <t>Agriculture, forestry and fishing</t>
        </is>
      </c>
      <c r="C25" s="14" t="n"/>
      <c r="D25" s="16" t="inlineStr">
        <is>
          <t>Data Sources</t>
        </is>
      </c>
    </row>
    <row r="26">
      <c r="A26" t="inlineStr">
        <is>
          <t>Biomass revenue ($)</t>
        </is>
      </c>
      <c r="C26" s="7">
        <f>SUMPRODUCT(B31:B34,C31:C34)*10^15</f>
        <v/>
      </c>
      <c r="D26" s="12" t="inlineStr">
        <is>
          <t>see small table below</t>
        </is>
      </c>
    </row>
    <row r="27">
      <c r="A27" t="inlineStr">
        <is>
          <t>ISIC 01T03 total revenue</t>
        </is>
      </c>
      <c r="C27" s="7" t="n">
        <v>441483794392.8073</v>
      </c>
      <c r="D27" s="12" t="inlineStr">
        <is>
          <t>see io-model/BObIC</t>
        </is>
      </c>
    </row>
    <row r="28">
      <c r="A28" t="inlineStr">
        <is>
          <t>Fuel share of ISIC 01T03 products</t>
        </is>
      </c>
      <c r="C28" s="11">
        <f>C26/C27</f>
        <v/>
      </c>
      <c r="D28" s="17" t="n"/>
    </row>
    <row r="29" ht="15.5" customHeight="1" thickBot="1"/>
    <row r="30" ht="29.55" customHeight="1">
      <c r="A30" s="28" t="inlineStr">
        <is>
          <t>Biomass-Purchasing Sector</t>
        </is>
      </c>
      <c r="B30" s="29" t="inlineStr">
        <is>
          <t>Price for That Sector ($/BTU)</t>
        </is>
      </c>
      <c r="C30" s="30" t="inlineStr">
        <is>
          <t>Quantity Purchased (quadrillion BTU)</t>
        </is>
      </c>
    </row>
    <row r="31">
      <c r="A31" s="21" t="inlineStr">
        <is>
          <t>Electricity</t>
        </is>
      </c>
      <c r="B31" s="7" t="n">
        <v>2.22e-06</v>
      </c>
      <c r="C31" s="22">
        <f>'AEO 2026 Table 17'!E25</f>
        <v/>
      </c>
    </row>
    <row r="32">
      <c r="A32" s="21" t="inlineStr">
        <is>
          <t>Residential Bldg</t>
        </is>
      </c>
      <c r="B32" s="7" t="n">
        <v>8.85e-06</v>
      </c>
      <c r="C32" s="22">
        <f>'AEO 2026 Table 17'!E7</f>
        <v/>
      </c>
    </row>
    <row r="33" customFormat="1" s="6">
      <c r="A33" s="21" t="inlineStr">
        <is>
          <t>Comm Bldg</t>
        </is>
      </c>
      <c r="B33" s="7" t="n">
        <v>4.11e-06</v>
      </c>
      <c r="C33" s="22">
        <f>'AEO 2026 Table 17'!E8</f>
        <v/>
      </c>
    </row>
    <row r="34">
      <c r="A34" s="21" t="inlineStr">
        <is>
          <t>Industry</t>
        </is>
      </c>
      <c r="B34" s="7" t="n">
        <v>2.63e-06</v>
      </c>
      <c r="C34" s="22">
        <f>'AEO 2026 Table 17'!E12</f>
        <v/>
      </c>
    </row>
    <row r="35">
      <c r="A35" s="23" t="n"/>
      <c r="C35" s="24" t="n"/>
    </row>
    <row r="36" ht="15.5" customHeight="1" thickBot="1">
      <c r="A36" s="25" t="inlineStr">
        <is>
          <t>Sources:</t>
        </is>
      </c>
      <c r="B36" s="26" t="inlineStr">
        <is>
          <t>see fuels/BFPaT</t>
        </is>
      </c>
      <c r="C36" s="27" t="inlineStr">
        <is>
          <t>AEO T17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/>
  </sheetPr>
  <dimension ref="A1:AQ2"/>
  <sheetViews>
    <sheetView workbookViewId="0">
      <selection activeCell="B2" sqref="B2"/>
    </sheetView>
  </sheetViews>
  <sheetFormatPr baseColWidth="8" defaultRowHeight="14.25"/>
  <cols>
    <col width="36.53125" customWidth="1" min="1" max="1"/>
    <col width="10.1328125" customWidth="1" min="2" max="26"/>
    <col width="13.86328125" customWidth="1" min="27" max="27"/>
    <col width="10.73046875" customWidth="1" min="28" max="28"/>
    <col width="10.1328125" customWidth="1" min="29" max="43"/>
  </cols>
  <sheetData>
    <row r="1" customFormat="1" s="3">
      <c r="A1" s="2" t="inlineStr">
        <is>
          <t>Unit: dimensionless</t>
        </is>
      </c>
      <c r="B1" s="3" t="inlineStr">
        <is>
          <t>ISIC 01T03</t>
        </is>
      </c>
      <c r="C1" s="3" t="inlineStr">
        <is>
          <t>ISIC 05</t>
        </is>
      </c>
      <c r="D1" s="3" t="inlineStr">
        <is>
          <t>ISIC 06</t>
        </is>
      </c>
      <c r="E1" s="3" t="inlineStr">
        <is>
          <t>ISIC 07T08</t>
        </is>
      </c>
      <c r="F1" s="3" t="inlineStr">
        <is>
          <t>ISIC 09</t>
        </is>
      </c>
      <c r="G1" s="3" t="inlineStr">
        <is>
          <t>ISIC 10T12</t>
        </is>
      </c>
      <c r="H1" s="3" t="inlineStr">
        <is>
          <t>ISIC 13T15</t>
        </is>
      </c>
      <c r="I1" s="3" t="inlineStr">
        <is>
          <t>ISIC 16</t>
        </is>
      </c>
      <c r="J1" s="3" t="inlineStr">
        <is>
          <t>ISIC 17T18</t>
        </is>
      </c>
      <c r="K1" s="3" t="inlineStr">
        <is>
          <t>ISIC 19</t>
        </is>
      </c>
      <c r="L1" s="3" t="inlineStr">
        <is>
          <t>ISIC 20</t>
        </is>
      </c>
      <c r="M1" s="3" t="inlineStr">
        <is>
          <t>ISIC 21</t>
        </is>
      </c>
      <c r="N1" s="3" t="inlineStr">
        <is>
          <t>ISIC 22</t>
        </is>
      </c>
      <c r="O1" s="3" t="inlineStr">
        <is>
          <t>ISIC 231</t>
        </is>
      </c>
      <c r="P1" s="3" t="inlineStr">
        <is>
          <t>ISIC 239</t>
        </is>
      </c>
      <c r="Q1" s="3" t="inlineStr">
        <is>
          <t>ISIC 241</t>
        </is>
      </c>
      <c r="R1" s="3" t="inlineStr">
        <is>
          <t>ISIC 242</t>
        </is>
      </c>
      <c r="S1" s="3" t="inlineStr">
        <is>
          <t>ISIC 25</t>
        </is>
      </c>
      <c r="T1" s="3" t="inlineStr">
        <is>
          <t>ISIC 26</t>
        </is>
      </c>
      <c r="U1" s="3" t="inlineStr">
        <is>
          <t>ISIC 27</t>
        </is>
      </c>
      <c r="V1" s="3" t="inlineStr">
        <is>
          <t>ISIC 28</t>
        </is>
      </c>
      <c r="W1" s="3" t="inlineStr">
        <is>
          <t>ISIC 29</t>
        </is>
      </c>
      <c r="X1" s="3" t="inlineStr">
        <is>
          <t>ISIC 30</t>
        </is>
      </c>
      <c r="Y1" s="3" t="inlineStr">
        <is>
          <t>ISIC 31T33</t>
        </is>
      </c>
      <c r="Z1" s="3" t="inlineStr">
        <is>
          <t>ISIC 351</t>
        </is>
      </c>
      <c r="AA1" s="3" t="inlineStr">
        <is>
          <t>ISIC 352T353</t>
        </is>
      </c>
      <c r="AB1" s="3" t="inlineStr">
        <is>
          <t>ISIC 36T39</t>
        </is>
      </c>
      <c r="AC1" s="3" t="inlineStr">
        <is>
          <t>ISIC 41T43</t>
        </is>
      </c>
      <c r="AD1" s="3" t="inlineStr">
        <is>
          <t>ISIC 45T47</t>
        </is>
      </c>
      <c r="AE1" s="3" t="inlineStr">
        <is>
          <t>ISIC 49T53</t>
        </is>
      </c>
      <c r="AF1" s="3" t="inlineStr">
        <is>
          <t>ISIC 55T56</t>
        </is>
      </c>
      <c r="AG1" s="3" t="inlineStr">
        <is>
          <t>ISIC 58T60</t>
        </is>
      </c>
      <c r="AH1" s="3" t="inlineStr">
        <is>
          <t>ISIC 61</t>
        </is>
      </c>
      <c r="AI1" s="3" t="inlineStr">
        <is>
          <t>ISIC 62T63</t>
        </is>
      </c>
      <c r="AJ1" s="3" t="inlineStr">
        <is>
          <t>ISIC 64T66</t>
        </is>
      </c>
      <c r="AK1" s="3" t="inlineStr">
        <is>
          <t>ISIC 68</t>
        </is>
      </c>
      <c r="AL1" s="3" t="inlineStr">
        <is>
          <t>ISIC 69T82</t>
        </is>
      </c>
      <c r="AM1" s="3" t="inlineStr">
        <is>
          <t>ISIC 84</t>
        </is>
      </c>
      <c r="AN1" s="3" t="inlineStr">
        <is>
          <t>ISIC 85</t>
        </is>
      </c>
      <c r="AO1" s="3" t="inlineStr">
        <is>
          <t>ISIC 86T88</t>
        </is>
      </c>
      <c r="AP1" s="3" t="inlineStr">
        <is>
          <t>ISIC 90T96</t>
        </is>
      </c>
      <c r="AQ1" s="3" t="inlineStr">
        <is>
          <t>ISIC 97T98</t>
        </is>
      </c>
    </row>
    <row r="2">
      <c r="A2" t="inlineStr">
        <is>
          <t>Fraction of Products that are Fuels</t>
        </is>
      </c>
      <c r="B2">
        <f>IFERROR(INDEX(Calculations!$C$4:$C$10,MATCH(B$1,Calculations!$A$4:$A$10,0)),0)</f>
        <v/>
      </c>
      <c r="C2">
        <f>IFERROR(INDEX(Calculations!$C$4:$C$10,MATCH(C$1,Calculations!$A$4:$A$10,0)),0)</f>
        <v/>
      </c>
      <c r="D2">
        <f>IFERROR(INDEX(Calculations!$C$4:$C$10,MATCH(D$1,Calculations!$A$4:$A$10,0)),0)</f>
        <v/>
      </c>
      <c r="E2">
        <f>IFERROR(INDEX(Calculations!$C$4:$C$10,MATCH(E$1,Calculations!$A$4:$A$10,0)),0)</f>
        <v/>
      </c>
      <c r="F2">
        <f>IFERROR(INDEX(Calculations!$C$4:$C$10,MATCH(F$1,Calculations!$A$4:$A$10,0)),0)</f>
        <v/>
      </c>
      <c r="G2">
        <f>IFERROR(INDEX(Calculations!$C$4:$C$10,MATCH(G$1,Calculations!$A$4:$A$10,0)),0)</f>
        <v/>
      </c>
      <c r="H2">
        <f>IFERROR(INDEX(Calculations!$C$4:$C$10,MATCH(H$1,Calculations!$A$4:$A$10,0)),0)</f>
        <v/>
      </c>
      <c r="I2">
        <f>IFERROR(INDEX(Calculations!$C$4:$C$10,MATCH(I$1,Calculations!$A$4:$A$10,0)),0)</f>
        <v/>
      </c>
      <c r="J2">
        <f>IFERROR(INDEX(Calculations!$C$4:$C$10,MATCH(J$1,Calculations!$A$4:$A$10,0)),0)</f>
        <v/>
      </c>
      <c r="K2">
        <f>IFERROR(INDEX(Calculations!$C$4:$C$10,MATCH(K$1,Calculations!$A$4:$A$10,0)),0)</f>
        <v/>
      </c>
      <c r="L2">
        <f>IFERROR(INDEX(Calculations!$C$4:$C$10,MATCH(L$1,Calculations!$A$4:$A$10,0)),0)</f>
        <v/>
      </c>
      <c r="M2">
        <f>IFERROR(INDEX(Calculations!$C$4:$C$10,MATCH(M$1,Calculations!$A$4:$A$10,0)),0)</f>
        <v/>
      </c>
      <c r="N2">
        <f>IFERROR(INDEX(Calculations!$C$4:$C$10,MATCH(N$1,Calculations!$A$4:$A$10,0)),0)</f>
        <v/>
      </c>
      <c r="O2">
        <f>IFERROR(INDEX(Calculations!$C$4:$C$10,MATCH(O$1,Calculations!$A$4:$A$10,0)),0)</f>
        <v/>
      </c>
      <c r="P2">
        <f>IFERROR(INDEX(Calculations!$C$4:$C$10,MATCH(P$1,Calculations!$A$4:$A$10,0)),0)</f>
        <v/>
      </c>
      <c r="Q2">
        <f>IFERROR(INDEX(Calculations!$C$4:$C$10,MATCH(Q$1,Calculations!$A$4:$A$10,0)),0)</f>
        <v/>
      </c>
      <c r="R2">
        <f>IFERROR(INDEX(Calculations!$C$4:$C$10,MATCH(R$1,Calculations!$A$4:$A$10,0)),0)</f>
        <v/>
      </c>
      <c r="S2">
        <f>IFERROR(INDEX(Calculations!$C$4:$C$10,MATCH(S$1,Calculations!$A$4:$A$10,0)),0)</f>
        <v/>
      </c>
      <c r="T2">
        <f>IFERROR(INDEX(Calculations!$C$4:$C$10,MATCH(T$1,Calculations!$A$4:$A$10,0)),0)</f>
        <v/>
      </c>
      <c r="U2">
        <f>IFERROR(INDEX(Calculations!$C$4:$C$10,MATCH(U$1,Calculations!$A$4:$A$10,0)),0)</f>
        <v/>
      </c>
      <c r="V2">
        <f>IFERROR(INDEX(Calculations!$C$4:$C$10,MATCH(V$1,Calculations!$A$4:$A$10,0)),0)</f>
        <v/>
      </c>
      <c r="W2">
        <f>IFERROR(INDEX(Calculations!$C$4:$C$10,MATCH(W$1,Calculations!$A$4:$A$10,0)),0)</f>
        <v/>
      </c>
      <c r="X2">
        <f>IFERROR(INDEX(Calculations!$C$4:$C$10,MATCH(X$1,Calculations!$A$4:$A$10,0)),0)</f>
        <v/>
      </c>
      <c r="Y2">
        <f>IFERROR(INDEX(Calculations!$C$4:$C$10,MATCH(Y$1,Calculations!$A$4:$A$10,0)),0)</f>
        <v/>
      </c>
      <c r="Z2">
        <f>IFERROR(INDEX(Calculations!$C$4:$C$10,MATCH(Z$1,Calculations!$A$4:$A$10,0)),0)</f>
        <v/>
      </c>
      <c r="AA2">
        <f>IFERROR(INDEX(Calculations!$C$4:$C$10,MATCH(AA$1,Calculations!$A$4:$A$10,0)),0)</f>
        <v/>
      </c>
      <c r="AB2">
        <f>IFERROR(INDEX(Calculations!$C$4:$C$10,MATCH(AB$1,Calculations!$A$4:$A$10,0)),0)</f>
        <v/>
      </c>
      <c r="AC2">
        <f>IFERROR(INDEX(Calculations!$C$4:$C$10,MATCH(AC$1,Calculations!$A$4:$A$10,0)),0)</f>
        <v/>
      </c>
      <c r="AD2">
        <f>IFERROR(INDEX(Calculations!$C$4:$C$10,MATCH(AD$1,Calculations!$A$4:$A$10,0)),0)</f>
        <v/>
      </c>
      <c r="AE2">
        <f>IFERROR(INDEX(Calculations!$C$4:$C$10,MATCH(AE$1,Calculations!$A$4:$A$10,0)),0)</f>
        <v/>
      </c>
      <c r="AF2">
        <f>IFERROR(INDEX(Calculations!$C$4:$C$10,MATCH(AF$1,Calculations!$A$4:$A$10,0)),0)</f>
        <v/>
      </c>
      <c r="AG2">
        <f>IFERROR(INDEX(Calculations!$C$4:$C$10,MATCH(AG$1,Calculations!$A$4:$A$10,0)),0)</f>
        <v/>
      </c>
      <c r="AH2">
        <f>IFERROR(INDEX(Calculations!$C$4:$C$10,MATCH(AH$1,Calculations!$A$4:$A$10,0)),0)</f>
        <v/>
      </c>
      <c r="AI2">
        <f>IFERROR(INDEX(Calculations!$C$4:$C$10,MATCH(AI$1,Calculations!$A$4:$A$10,0)),0)</f>
        <v/>
      </c>
      <c r="AJ2">
        <f>IFERROR(INDEX(Calculations!$C$4:$C$10,MATCH(AJ$1,Calculations!$A$4:$A$10,0)),0)</f>
        <v/>
      </c>
      <c r="AK2">
        <f>IFERROR(INDEX(Calculations!$C$4:$C$10,MATCH(AK$1,Calculations!$A$4:$A$10,0)),0)</f>
        <v/>
      </c>
      <c r="AL2">
        <f>IFERROR(INDEX(Calculations!$C$4:$C$10,MATCH(AL$1,Calculations!$A$4:$A$10,0)),0)</f>
        <v/>
      </c>
      <c r="AM2">
        <f>IFERROR(INDEX(Calculations!$C$4:$C$10,MATCH(AM$1,Calculations!$A$4:$A$10,0)),0)</f>
        <v/>
      </c>
      <c r="AN2">
        <f>IFERROR(INDEX(Calculations!$C$4:$C$10,MATCH(AN$1,Calculations!$A$4:$A$10,0)),0)</f>
        <v/>
      </c>
      <c r="AO2">
        <f>IFERROR(INDEX(Calculations!$C$4:$C$10,MATCH(AO$1,Calculations!$A$4:$A$10,0)),0)</f>
        <v/>
      </c>
      <c r="AP2">
        <f>IFERROR(INDEX(Calculations!$C$4:$C$10,MATCH(AP$1,Calculations!$A$4:$A$10,0)),0)</f>
        <v/>
      </c>
      <c r="AQ2">
        <f>IFERROR(INDEX(Calculations!$C$4:$C$10,MATCH(AQ$1,Calculations!$A$4:$A$10,0)),0)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2021-03-22T23:06:52Z</dcterms:created>
  <dcterms:modified xmlns:dcterms="http://purl.org/dc/terms/" xmlns:xsi="http://www.w3.org/2001/XMLSchema-instance" xsi:type="dcterms:W3CDTF">2026-07-21T20:48:09Z</dcterms:modified>
  <cp:lastModifiedBy>Olivia Ashmoore</cp:lastModifiedBy>
</cp:coreProperties>
</file>