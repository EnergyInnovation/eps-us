
<file path=[Content_Types].xml><?xml version="1.0" encoding="utf-8"?>
<Types xmlns="http://schemas.openxmlformats.org/package/2006/content-types">
  <Default Extension="bin" ContentType="application/vnd.openxmlformats-officedocument.spreadsheetml.printerSettings"/>
  <Default Extension="gif" ContentType="image/gi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MeganMahajan\Documents\eps-us\InputData\fuels\BFPIaE\"/>
    </mc:Choice>
  </mc:AlternateContent>
  <xr:revisionPtr revIDLastSave="0" documentId="13_ncr:1_{639AEB0F-E72A-4BB7-80CB-6336BD036AD9}" xr6:coauthVersionLast="47" xr6:coauthVersionMax="47" xr10:uidLastSave="{00000000-0000-0000-0000-000000000000}"/>
  <bookViews>
    <workbookView xWindow="38280" yWindow="-120" windowWidth="29040" windowHeight="17520" xr2:uid="{10FA2978-E3EB-4F28-85A3-CFEE2EA73789}"/>
  </bookViews>
  <sheets>
    <sheet name="About" sheetId="4" r:id="rId1"/>
    <sheet name="Petroleum and Biofuel Data" sheetId="5" r:id="rId2"/>
    <sheet name="Petroleum and Biofuels " sheetId="32" r:id="rId3"/>
    <sheet name="Biomass Data" sheetId="6" r:id="rId4"/>
    <sheet name="Uranium, Coal, MSW, Hydrogen" sheetId="8" r:id="rId5"/>
    <sheet name="AEO 2025 HZC Table 1" sheetId="30" r:id="rId6"/>
    <sheet name="AEO 2025 Alt T Table 1" sheetId="31" r:id="rId7"/>
    <sheet name="AEO 2025 Alt T Table 19" sheetId="33" r:id="rId8"/>
    <sheet name="AEO Conversion Factors" sheetId="34" r:id="rId9"/>
    <sheet name="GREET1 Fuel_Specs" sheetId="16" r:id="rId10"/>
    <sheet name="Start Year Data" sheetId="9" r:id="rId11"/>
    <sheet name="Time Series Scaling Factors" sheetId="18" r:id="rId12"/>
    <sheet name="BFPIaE-production" sheetId="12" r:id="rId13"/>
    <sheet name="BFPIaE-imports" sheetId="19" r:id="rId14"/>
    <sheet name="BFPIaE-exports" sheetId="13" r:id="rId15"/>
  </sheets>
  <externalReferences>
    <externalReference r:id="rId16"/>
  </externalReferences>
  <definedNames>
    <definedName name="gal_per_barrel">[1]About!$A$63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8" i="9" l="1"/>
  <c r="H43" i="9"/>
  <c r="H42" i="9"/>
  <c r="H38" i="9"/>
  <c r="H37" i="9"/>
  <c r="H36" i="9"/>
  <c r="H35" i="9"/>
  <c r="H34" i="9"/>
  <c r="H27" i="9"/>
  <c r="D2" i="12"/>
  <c r="E2" i="12"/>
  <c r="F2" i="12"/>
  <c r="G2" i="12"/>
  <c r="H2" i="12"/>
  <c r="I2" i="12"/>
  <c r="J2" i="12"/>
  <c r="K2" i="12"/>
  <c r="L2" i="12"/>
  <c r="M2" i="12"/>
  <c r="N2" i="12"/>
  <c r="O2" i="12"/>
  <c r="P2" i="12"/>
  <c r="Q2" i="12"/>
  <c r="R2" i="12"/>
  <c r="S2" i="12"/>
  <c r="T2" i="12"/>
  <c r="U2" i="12"/>
  <c r="V2" i="12"/>
  <c r="W2" i="12"/>
  <c r="X2" i="12"/>
  <c r="Y2" i="12"/>
  <c r="Z2" i="12"/>
  <c r="AA2" i="12"/>
  <c r="AB2" i="12"/>
  <c r="D4" i="12"/>
  <c r="E4" i="12"/>
  <c r="F4" i="12"/>
  <c r="G4" i="12"/>
  <c r="H4" i="12"/>
  <c r="I4" i="12"/>
  <c r="J4" i="12"/>
  <c r="K4" i="12"/>
  <c r="L4" i="12"/>
  <c r="M4" i="12"/>
  <c r="N4" i="12"/>
  <c r="O4" i="12"/>
  <c r="P4" i="12"/>
  <c r="Q4" i="12"/>
  <c r="R4" i="12"/>
  <c r="S4" i="12"/>
  <c r="T4" i="12"/>
  <c r="U4" i="12"/>
  <c r="V4" i="12"/>
  <c r="W4" i="12"/>
  <c r="X4" i="12"/>
  <c r="Y4" i="12"/>
  <c r="Z4" i="12"/>
  <c r="AA4" i="12"/>
  <c r="AB4" i="12"/>
  <c r="D5" i="12"/>
  <c r="E5" i="12"/>
  <c r="F5" i="12"/>
  <c r="G5" i="12"/>
  <c r="H5" i="12"/>
  <c r="I5" i="12"/>
  <c r="J5" i="12"/>
  <c r="K5" i="12"/>
  <c r="L5" i="12"/>
  <c r="M5" i="12"/>
  <c r="N5" i="12"/>
  <c r="O5" i="12"/>
  <c r="P5" i="12"/>
  <c r="Q5" i="12"/>
  <c r="R5" i="12"/>
  <c r="S5" i="12"/>
  <c r="T5" i="12"/>
  <c r="U5" i="12"/>
  <c r="V5" i="12"/>
  <c r="W5" i="12"/>
  <c r="X5" i="12"/>
  <c r="Y5" i="12"/>
  <c r="Z5" i="12"/>
  <c r="AA5" i="12"/>
  <c r="AB5" i="12"/>
  <c r="D6" i="12"/>
  <c r="E6" i="12"/>
  <c r="F6" i="12"/>
  <c r="G6" i="12"/>
  <c r="H6" i="12"/>
  <c r="I6" i="12"/>
  <c r="J6" i="12"/>
  <c r="K6" i="12"/>
  <c r="L6" i="12"/>
  <c r="M6" i="12"/>
  <c r="N6" i="12"/>
  <c r="O6" i="12"/>
  <c r="P6" i="12"/>
  <c r="Q6" i="12"/>
  <c r="R6" i="12"/>
  <c r="S6" i="12"/>
  <c r="T6" i="12"/>
  <c r="U6" i="12"/>
  <c r="V6" i="12"/>
  <c r="W6" i="12"/>
  <c r="X6" i="12"/>
  <c r="Y6" i="12"/>
  <c r="Z6" i="12"/>
  <c r="AA6" i="12"/>
  <c r="AB6" i="12"/>
  <c r="D7" i="12"/>
  <c r="E7" i="12"/>
  <c r="F7" i="12"/>
  <c r="G7" i="12"/>
  <c r="H7" i="12"/>
  <c r="I7" i="12"/>
  <c r="J7" i="12"/>
  <c r="K7" i="12"/>
  <c r="L7" i="12"/>
  <c r="M7" i="12"/>
  <c r="N7" i="12"/>
  <c r="O7" i="12"/>
  <c r="P7" i="12"/>
  <c r="Q7" i="12"/>
  <c r="R7" i="12"/>
  <c r="S7" i="12"/>
  <c r="T7" i="12"/>
  <c r="U7" i="12"/>
  <c r="V7" i="12"/>
  <c r="W7" i="12"/>
  <c r="X7" i="12"/>
  <c r="Y7" i="12"/>
  <c r="Z7" i="12"/>
  <c r="AA7" i="12"/>
  <c r="AB7" i="12"/>
  <c r="D8" i="12"/>
  <c r="E8" i="12"/>
  <c r="F8" i="12"/>
  <c r="G8" i="12"/>
  <c r="H8" i="12"/>
  <c r="I8" i="12"/>
  <c r="J8" i="12"/>
  <c r="K8" i="12"/>
  <c r="L8" i="12"/>
  <c r="M8" i="12"/>
  <c r="N8" i="12"/>
  <c r="O8" i="12"/>
  <c r="P8" i="12"/>
  <c r="Q8" i="12"/>
  <c r="R8" i="12"/>
  <c r="S8" i="12"/>
  <c r="T8" i="12"/>
  <c r="U8" i="12"/>
  <c r="V8" i="12"/>
  <c r="W8" i="12"/>
  <c r="X8" i="12"/>
  <c r="Y8" i="12"/>
  <c r="Z8" i="12"/>
  <c r="AA8" i="12"/>
  <c r="AB8" i="12"/>
  <c r="D9" i="12"/>
  <c r="E9" i="12"/>
  <c r="F9" i="12"/>
  <c r="G9" i="12"/>
  <c r="H9" i="12"/>
  <c r="I9" i="12"/>
  <c r="J9" i="12"/>
  <c r="K9" i="12"/>
  <c r="L9" i="12"/>
  <c r="M9" i="12"/>
  <c r="N9" i="12"/>
  <c r="O9" i="12"/>
  <c r="P9" i="12"/>
  <c r="Q9" i="12"/>
  <c r="R9" i="12"/>
  <c r="S9" i="12"/>
  <c r="T9" i="12"/>
  <c r="U9" i="12"/>
  <c r="V9" i="12"/>
  <c r="W9" i="12"/>
  <c r="X9" i="12"/>
  <c r="Y9" i="12"/>
  <c r="Z9" i="12"/>
  <c r="AA9" i="12"/>
  <c r="AB9" i="12"/>
  <c r="D15" i="12"/>
  <c r="E15" i="12"/>
  <c r="F15" i="12"/>
  <c r="G15" i="12"/>
  <c r="H15" i="12"/>
  <c r="I15" i="12"/>
  <c r="J15" i="12"/>
  <c r="K15" i="12"/>
  <c r="L15" i="12"/>
  <c r="M15" i="12"/>
  <c r="N15" i="12"/>
  <c r="O15" i="12"/>
  <c r="P15" i="12"/>
  <c r="Q15" i="12"/>
  <c r="R15" i="12"/>
  <c r="S15" i="12"/>
  <c r="T15" i="12"/>
  <c r="U15" i="12"/>
  <c r="V15" i="12"/>
  <c r="W15" i="12"/>
  <c r="X15" i="12"/>
  <c r="Y15" i="12"/>
  <c r="Z15" i="12"/>
  <c r="AA15" i="12"/>
  <c r="AB15" i="12"/>
  <c r="D16" i="12"/>
  <c r="E16" i="12"/>
  <c r="F16" i="12"/>
  <c r="G16" i="12"/>
  <c r="H16" i="12"/>
  <c r="I16" i="12"/>
  <c r="J16" i="12"/>
  <c r="K16" i="12"/>
  <c r="L16" i="12"/>
  <c r="M16" i="12"/>
  <c r="N16" i="12"/>
  <c r="O16" i="12"/>
  <c r="P16" i="12"/>
  <c r="Q16" i="12"/>
  <c r="R16" i="12"/>
  <c r="S16" i="12"/>
  <c r="T16" i="12"/>
  <c r="U16" i="12"/>
  <c r="V16" i="12"/>
  <c r="W16" i="12"/>
  <c r="X16" i="12"/>
  <c r="Y16" i="12"/>
  <c r="Z16" i="12"/>
  <c r="AA16" i="12"/>
  <c r="AB16" i="12"/>
  <c r="D20" i="12"/>
  <c r="E20" i="12"/>
  <c r="F20" i="12"/>
  <c r="G20" i="12"/>
  <c r="H20" i="12"/>
  <c r="I20" i="12"/>
  <c r="J20" i="12"/>
  <c r="K20" i="12"/>
  <c r="L20" i="12"/>
  <c r="M20" i="12"/>
  <c r="N20" i="12"/>
  <c r="O20" i="12"/>
  <c r="P20" i="12"/>
  <c r="Q20" i="12"/>
  <c r="R20" i="12"/>
  <c r="S20" i="12"/>
  <c r="T20" i="12"/>
  <c r="U20" i="12"/>
  <c r="V20" i="12"/>
  <c r="W20" i="12"/>
  <c r="X20" i="12"/>
  <c r="Y20" i="12"/>
  <c r="Z20" i="12"/>
  <c r="AA20" i="12"/>
  <c r="AB20" i="12"/>
  <c r="D21" i="12"/>
  <c r="E21" i="12"/>
  <c r="F21" i="12"/>
  <c r="G21" i="12"/>
  <c r="H21" i="12"/>
  <c r="I21" i="12"/>
  <c r="J21" i="12"/>
  <c r="K21" i="12"/>
  <c r="L21" i="12"/>
  <c r="M21" i="12"/>
  <c r="N21" i="12"/>
  <c r="O21" i="12"/>
  <c r="P21" i="12"/>
  <c r="Q21" i="12"/>
  <c r="R21" i="12"/>
  <c r="S21" i="12"/>
  <c r="T21" i="12"/>
  <c r="U21" i="12"/>
  <c r="V21" i="12"/>
  <c r="W21" i="12"/>
  <c r="X21" i="12"/>
  <c r="Y21" i="12"/>
  <c r="Z21" i="12"/>
  <c r="AA21" i="12"/>
  <c r="AB21" i="12"/>
  <c r="D22" i="12"/>
  <c r="E22" i="12"/>
  <c r="F22" i="12"/>
  <c r="G22" i="12"/>
  <c r="H22" i="12"/>
  <c r="I22" i="12"/>
  <c r="J22" i="12"/>
  <c r="K22" i="12"/>
  <c r="L22" i="12"/>
  <c r="M22" i="12"/>
  <c r="N22" i="12"/>
  <c r="O22" i="12"/>
  <c r="P22" i="12"/>
  <c r="Q22" i="12"/>
  <c r="R22" i="12"/>
  <c r="S22" i="12"/>
  <c r="T22" i="12"/>
  <c r="U22" i="12"/>
  <c r="V22" i="12"/>
  <c r="W22" i="12"/>
  <c r="X22" i="12"/>
  <c r="Y22" i="12"/>
  <c r="Z22" i="12"/>
  <c r="AA22" i="12"/>
  <c r="AB22" i="12"/>
  <c r="C4" i="12"/>
  <c r="C5" i="12"/>
  <c r="C6" i="12"/>
  <c r="C7" i="12"/>
  <c r="C8" i="12"/>
  <c r="C9" i="12"/>
  <c r="C15" i="12"/>
  <c r="C16" i="12"/>
  <c r="C20" i="12"/>
  <c r="C21" i="12"/>
  <c r="C22" i="12"/>
  <c r="C2" i="12"/>
  <c r="D2" i="13"/>
  <c r="E2" i="13"/>
  <c r="F2" i="13"/>
  <c r="G2" i="13"/>
  <c r="H2" i="13"/>
  <c r="I2" i="13"/>
  <c r="J2" i="13"/>
  <c r="K2" i="13"/>
  <c r="L2" i="13"/>
  <c r="M2" i="13"/>
  <c r="N2" i="13"/>
  <c r="O2" i="13"/>
  <c r="P2" i="13"/>
  <c r="Q2" i="13"/>
  <c r="R2" i="13"/>
  <c r="S2" i="13"/>
  <c r="T2" i="13"/>
  <c r="U2" i="13"/>
  <c r="V2" i="13"/>
  <c r="W2" i="13"/>
  <c r="X2" i="13"/>
  <c r="Y2" i="13"/>
  <c r="Z2" i="13"/>
  <c r="AA2" i="13"/>
  <c r="AB2" i="13"/>
  <c r="D4" i="13"/>
  <c r="E4" i="13"/>
  <c r="F4" i="13"/>
  <c r="G4" i="13"/>
  <c r="H4" i="13"/>
  <c r="I4" i="13"/>
  <c r="J4" i="13"/>
  <c r="K4" i="13"/>
  <c r="L4" i="13"/>
  <c r="M4" i="13"/>
  <c r="N4" i="13"/>
  <c r="O4" i="13"/>
  <c r="P4" i="13"/>
  <c r="Q4" i="13"/>
  <c r="R4" i="13"/>
  <c r="S4" i="13"/>
  <c r="T4" i="13"/>
  <c r="U4" i="13"/>
  <c r="V4" i="13"/>
  <c r="W4" i="13"/>
  <c r="X4" i="13"/>
  <c r="Y4" i="13"/>
  <c r="Z4" i="13"/>
  <c r="AA4" i="13"/>
  <c r="AB4" i="13"/>
  <c r="D5" i="13"/>
  <c r="E5" i="13"/>
  <c r="F5" i="13"/>
  <c r="G5" i="13"/>
  <c r="H5" i="13"/>
  <c r="I5" i="13"/>
  <c r="J5" i="13"/>
  <c r="K5" i="13"/>
  <c r="L5" i="13"/>
  <c r="M5" i="13"/>
  <c r="N5" i="13"/>
  <c r="O5" i="13"/>
  <c r="P5" i="13"/>
  <c r="Q5" i="13"/>
  <c r="R5" i="13"/>
  <c r="S5" i="13"/>
  <c r="T5" i="13"/>
  <c r="U5" i="13"/>
  <c r="V5" i="13"/>
  <c r="W5" i="13"/>
  <c r="X5" i="13"/>
  <c r="Y5" i="13"/>
  <c r="Z5" i="13"/>
  <c r="AA5" i="13"/>
  <c r="AB5" i="13"/>
  <c r="D6" i="13"/>
  <c r="E6" i="13"/>
  <c r="F6" i="13"/>
  <c r="G6" i="13"/>
  <c r="H6" i="13"/>
  <c r="I6" i="13"/>
  <c r="J6" i="13"/>
  <c r="K6" i="13"/>
  <c r="L6" i="13"/>
  <c r="M6" i="13"/>
  <c r="N6" i="13"/>
  <c r="O6" i="13"/>
  <c r="P6" i="13"/>
  <c r="Q6" i="13"/>
  <c r="R6" i="13"/>
  <c r="S6" i="13"/>
  <c r="T6" i="13"/>
  <c r="U6" i="13"/>
  <c r="V6" i="13"/>
  <c r="W6" i="13"/>
  <c r="X6" i="13"/>
  <c r="Y6" i="13"/>
  <c r="Z6" i="13"/>
  <c r="AA6" i="13"/>
  <c r="AB6" i="13"/>
  <c r="D7" i="13"/>
  <c r="E7" i="13"/>
  <c r="F7" i="13"/>
  <c r="G7" i="13"/>
  <c r="H7" i="13"/>
  <c r="I7" i="13"/>
  <c r="J7" i="13"/>
  <c r="K7" i="13"/>
  <c r="L7" i="13"/>
  <c r="M7" i="13"/>
  <c r="N7" i="13"/>
  <c r="O7" i="13"/>
  <c r="P7" i="13"/>
  <c r="Q7" i="13"/>
  <c r="R7" i="13"/>
  <c r="S7" i="13"/>
  <c r="T7" i="13"/>
  <c r="U7" i="13"/>
  <c r="V7" i="13"/>
  <c r="W7" i="13"/>
  <c r="X7" i="13"/>
  <c r="Y7" i="13"/>
  <c r="Z7" i="13"/>
  <c r="AA7" i="13"/>
  <c r="AB7" i="13"/>
  <c r="D8" i="13"/>
  <c r="E8" i="13"/>
  <c r="F8" i="13"/>
  <c r="G8" i="13"/>
  <c r="H8" i="13"/>
  <c r="I8" i="13"/>
  <c r="J8" i="13"/>
  <c r="K8" i="13"/>
  <c r="L8" i="13"/>
  <c r="M8" i="13"/>
  <c r="N8" i="13"/>
  <c r="O8" i="13"/>
  <c r="P8" i="13"/>
  <c r="Q8" i="13"/>
  <c r="R8" i="13"/>
  <c r="S8" i="13"/>
  <c r="T8" i="13"/>
  <c r="U8" i="13"/>
  <c r="V8" i="13"/>
  <c r="W8" i="13"/>
  <c r="X8" i="13"/>
  <c r="Y8" i="13"/>
  <c r="Z8" i="13"/>
  <c r="AA8" i="13"/>
  <c r="AB8" i="13"/>
  <c r="D9" i="13"/>
  <c r="E9" i="13"/>
  <c r="F9" i="13"/>
  <c r="G9" i="13"/>
  <c r="H9" i="13"/>
  <c r="I9" i="13"/>
  <c r="J9" i="13"/>
  <c r="K9" i="13"/>
  <c r="L9" i="13"/>
  <c r="M9" i="13"/>
  <c r="N9" i="13"/>
  <c r="O9" i="13"/>
  <c r="P9" i="13"/>
  <c r="Q9" i="13"/>
  <c r="R9" i="13"/>
  <c r="S9" i="13"/>
  <c r="T9" i="13"/>
  <c r="U9" i="13"/>
  <c r="V9" i="13"/>
  <c r="W9" i="13"/>
  <c r="X9" i="13"/>
  <c r="Y9" i="13"/>
  <c r="Z9" i="13"/>
  <c r="AA9" i="13"/>
  <c r="AB9" i="13"/>
  <c r="D15" i="13"/>
  <c r="E15" i="13"/>
  <c r="F15" i="13"/>
  <c r="G15" i="13"/>
  <c r="H15" i="13"/>
  <c r="I15" i="13"/>
  <c r="J15" i="13"/>
  <c r="K15" i="13"/>
  <c r="L15" i="13"/>
  <c r="M15" i="13"/>
  <c r="N15" i="13"/>
  <c r="O15" i="13"/>
  <c r="P15" i="13"/>
  <c r="Q15" i="13"/>
  <c r="R15" i="13"/>
  <c r="S15" i="13"/>
  <c r="T15" i="13"/>
  <c r="U15" i="13"/>
  <c r="V15" i="13"/>
  <c r="W15" i="13"/>
  <c r="X15" i="13"/>
  <c r="Y15" i="13"/>
  <c r="Z15" i="13"/>
  <c r="AA15" i="13"/>
  <c r="AB15" i="13"/>
  <c r="D16" i="13"/>
  <c r="E16" i="13"/>
  <c r="F16" i="13"/>
  <c r="G16" i="13"/>
  <c r="H16" i="13"/>
  <c r="I16" i="13"/>
  <c r="J16" i="13"/>
  <c r="K16" i="13"/>
  <c r="L16" i="13"/>
  <c r="M16" i="13"/>
  <c r="N16" i="13"/>
  <c r="O16" i="13"/>
  <c r="P16" i="13"/>
  <c r="Q16" i="13"/>
  <c r="R16" i="13"/>
  <c r="S16" i="13"/>
  <c r="T16" i="13"/>
  <c r="U16" i="13"/>
  <c r="V16" i="13"/>
  <c r="W16" i="13"/>
  <c r="X16" i="13"/>
  <c r="Y16" i="13"/>
  <c r="Z16" i="13"/>
  <c r="AA16" i="13"/>
  <c r="AB16" i="13"/>
  <c r="D20" i="13"/>
  <c r="E20" i="13"/>
  <c r="F20" i="13"/>
  <c r="G20" i="13"/>
  <c r="H20" i="13"/>
  <c r="I20" i="13"/>
  <c r="J20" i="13"/>
  <c r="K20" i="13"/>
  <c r="L20" i="13"/>
  <c r="M20" i="13"/>
  <c r="N20" i="13"/>
  <c r="O20" i="13"/>
  <c r="P20" i="13"/>
  <c r="Q20" i="13"/>
  <c r="R20" i="13"/>
  <c r="S20" i="13"/>
  <c r="T20" i="13"/>
  <c r="U20" i="13"/>
  <c r="V20" i="13"/>
  <c r="W20" i="13"/>
  <c r="X20" i="13"/>
  <c r="Y20" i="13"/>
  <c r="Z20" i="13"/>
  <c r="AA20" i="13"/>
  <c r="AB20" i="13"/>
  <c r="D21" i="13"/>
  <c r="E21" i="13"/>
  <c r="F21" i="13"/>
  <c r="G21" i="13"/>
  <c r="H21" i="13"/>
  <c r="I21" i="13"/>
  <c r="J21" i="13"/>
  <c r="K21" i="13"/>
  <c r="L21" i="13"/>
  <c r="M21" i="13"/>
  <c r="N21" i="13"/>
  <c r="O21" i="13"/>
  <c r="P21" i="13"/>
  <c r="Q21" i="13"/>
  <c r="R21" i="13"/>
  <c r="S21" i="13"/>
  <c r="T21" i="13"/>
  <c r="U21" i="13"/>
  <c r="V21" i="13"/>
  <c r="W21" i="13"/>
  <c r="X21" i="13"/>
  <c r="Y21" i="13"/>
  <c r="Z21" i="13"/>
  <c r="AA21" i="13"/>
  <c r="AB21" i="13"/>
  <c r="D22" i="13"/>
  <c r="E22" i="13"/>
  <c r="F22" i="13"/>
  <c r="G22" i="13"/>
  <c r="H22" i="13"/>
  <c r="I22" i="13"/>
  <c r="J22" i="13"/>
  <c r="K22" i="13"/>
  <c r="L22" i="13"/>
  <c r="M22" i="13"/>
  <c r="N22" i="13"/>
  <c r="O22" i="13"/>
  <c r="P22" i="13"/>
  <c r="Q22" i="13"/>
  <c r="R22" i="13"/>
  <c r="S22" i="13"/>
  <c r="T22" i="13"/>
  <c r="U22" i="13"/>
  <c r="V22" i="13"/>
  <c r="W22" i="13"/>
  <c r="X22" i="13"/>
  <c r="Y22" i="13"/>
  <c r="Z22" i="13"/>
  <c r="AA22" i="13"/>
  <c r="AB22" i="13"/>
  <c r="F2" i="19"/>
  <c r="G2" i="19"/>
  <c r="H2" i="19"/>
  <c r="I2" i="19"/>
  <c r="J2" i="19"/>
  <c r="K2" i="19"/>
  <c r="L2" i="19"/>
  <c r="M2" i="19"/>
  <c r="N2" i="19"/>
  <c r="O2" i="19"/>
  <c r="P2" i="19"/>
  <c r="Q2" i="19"/>
  <c r="R2" i="19"/>
  <c r="S2" i="19"/>
  <c r="T2" i="19"/>
  <c r="U2" i="19"/>
  <c r="V2" i="19"/>
  <c r="W2" i="19"/>
  <c r="X2" i="19"/>
  <c r="Y2" i="19"/>
  <c r="Z2" i="19"/>
  <c r="AA2" i="19"/>
  <c r="AB2" i="19"/>
  <c r="F4" i="19"/>
  <c r="G4" i="19"/>
  <c r="H4" i="19"/>
  <c r="I4" i="19"/>
  <c r="J4" i="19"/>
  <c r="K4" i="19"/>
  <c r="L4" i="19"/>
  <c r="M4" i="19"/>
  <c r="N4" i="19"/>
  <c r="O4" i="19"/>
  <c r="P4" i="19"/>
  <c r="Q4" i="19"/>
  <c r="R4" i="19"/>
  <c r="S4" i="19"/>
  <c r="T4" i="19"/>
  <c r="U4" i="19"/>
  <c r="V4" i="19"/>
  <c r="W4" i="19"/>
  <c r="X4" i="19"/>
  <c r="Y4" i="19"/>
  <c r="Z4" i="19"/>
  <c r="AA4" i="19"/>
  <c r="AB4" i="19"/>
  <c r="F5" i="19"/>
  <c r="G5" i="19"/>
  <c r="H5" i="19"/>
  <c r="I5" i="19"/>
  <c r="J5" i="19"/>
  <c r="K5" i="19"/>
  <c r="L5" i="19"/>
  <c r="M5" i="19"/>
  <c r="N5" i="19"/>
  <c r="O5" i="19"/>
  <c r="P5" i="19"/>
  <c r="Q5" i="19"/>
  <c r="R5" i="19"/>
  <c r="S5" i="19"/>
  <c r="T5" i="19"/>
  <c r="U5" i="19"/>
  <c r="V5" i="19"/>
  <c r="W5" i="19"/>
  <c r="X5" i="19"/>
  <c r="Y5" i="19"/>
  <c r="Z5" i="19"/>
  <c r="AA5" i="19"/>
  <c r="AB5" i="19"/>
  <c r="F6" i="19"/>
  <c r="G6" i="19"/>
  <c r="H6" i="19"/>
  <c r="I6" i="19"/>
  <c r="J6" i="19"/>
  <c r="K6" i="19"/>
  <c r="L6" i="19"/>
  <c r="M6" i="19"/>
  <c r="N6" i="19"/>
  <c r="O6" i="19"/>
  <c r="P6" i="19"/>
  <c r="Q6" i="19"/>
  <c r="R6" i="19"/>
  <c r="S6" i="19"/>
  <c r="T6" i="19"/>
  <c r="U6" i="19"/>
  <c r="V6" i="19"/>
  <c r="W6" i="19"/>
  <c r="X6" i="19"/>
  <c r="Y6" i="19"/>
  <c r="Z6" i="19"/>
  <c r="AA6" i="19"/>
  <c r="AB6" i="19"/>
  <c r="F7" i="19"/>
  <c r="G7" i="19"/>
  <c r="H7" i="19"/>
  <c r="I7" i="19"/>
  <c r="J7" i="19"/>
  <c r="K7" i="19"/>
  <c r="L7" i="19"/>
  <c r="M7" i="19"/>
  <c r="N7" i="19"/>
  <c r="O7" i="19"/>
  <c r="P7" i="19"/>
  <c r="Q7" i="19"/>
  <c r="R7" i="19"/>
  <c r="S7" i="19"/>
  <c r="T7" i="19"/>
  <c r="U7" i="19"/>
  <c r="V7" i="19"/>
  <c r="W7" i="19"/>
  <c r="X7" i="19"/>
  <c r="Y7" i="19"/>
  <c r="Z7" i="19"/>
  <c r="AA7" i="19"/>
  <c r="AB7" i="19"/>
  <c r="F8" i="19"/>
  <c r="G8" i="19"/>
  <c r="H8" i="19"/>
  <c r="I8" i="19"/>
  <c r="J8" i="19"/>
  <c r="K8" i="19"/>
  <c r="L8" i="19"/>
  <c r="M8" i="19"/>
  <c r="N8" i="19"/>
  <c r="O8" i="19"/>
  <c r="P8" i="19"/>
  <c r="Q8" i="19"/>
  <c r="R8" i="19"/>
  <c r="S8" i="19"/>
  <c r="T8" i="19"/>
  <c r="U8" i="19"/>
  <c r="V8" i="19"/>
  <c r="W8" i="19"/>
  <c r="X8" i="19"/>
  <c r="Y8" i="19"/>
  <c r="Z8" i="19"/>
  <c r="AA8" i="19"/>
  <c r="AB8" i="19"/>
  <c r="F9" i="19"/>
  <c r="G9" i="19"/>
  <c r="H9" i="19"/>
  <c r="I9" i="19"/>
  <c r="J9" i="19"/>
  <c r="K9" i="19"/>
  <c r="L9" i="19"/>
  <c r="M9" i="19"/>
  <c r="N9" i="19"/>
  <c r="O9" i="19"/>
  <c r="P9" i="19"/>
  <c r="Q9" i="19"/>
  <c r="R9" i="19"/>
  <c r="S9" i="19"/>
  <c r="T9" i="19"/>
  <c r="U9" i="19"/>
  <c r="V9" i="19"/>
  <c r="W9" i="19"/>
  <c r="X9" i="19"/>
  <c r="Y9" i="19"/>
  <c r="Z9" i="19"/>
  <c r="AA9" i="19"/>
  <c r="AB9" i="19"/>
  <c r="F15" i="19"/>
  <c r="G15" i="19"/>
  <c r="H15" i="19"/>
  <c r="I15" i="19"/>
  <c r="J15" i="19"/>
  <c r="K15" i="19"/>
  <c r="L15" i="19"/>
  <c r="M15" i="19"/>
  <c r="N15" i="19"/>
  <c r="O15" i="19"/>
  <c r="P15" i="19"/>
  <c r="Q15" i="19"/>
  <c r="R15" i="19"/>
  <c r="S15" i="19"/>
  <c r="T15" i="19"/>
  <c r="U15" i="19"/>
  <c r="V15" i="19"/>
  <c r="W15" i="19"/>
  <c r="X15" i="19"/>
  <c r="Y15" i="19"/>
  <c r="Z15" i="19"/>
  <c r="AA15" i="19"/>
  <c r="AB15" i="19"/>
  <c r="F16" i="19"/>
  <c r="G16" i="19"/>
  <c r="H16" i="19"/>
  <c r="I16" i="19"/>
  <c r="J16" i="19"/>
  <c r="K16" i="19"/>
  <c r="L16" i="19"/>
  <c r="M16" i="19"/>
  <c r="N16" i="19"/>
  <c r="O16" i="19"/>
  <c r="P16" i="19"/>
  <c r="Q16" i="19"/>
  <c r="R16" i="19"/>
  <c r="S16" i="19"/>
  <c r="T16" i="19"/>
  <c r="U16" i="19"/>
  <c r="V16" i="19"/>
  <c r="W16" i="19"/>
  <c r="X16" i="19"/>
  <c r="Y16" i="19"/>
  <c r="Z16" i="19"/>
  <c r="AA16" i="19"/>
  <c r="AB16" i="19"/>
  <c r="F20" i="19"/>
  <c r="G20" i="19"/>
  <c r="H20" i="19"/>
  <c r="I20" i="19"/>
  <c r="J20" i="19"/>
  <c r="K20" i="19"/>
  <c r="L20" i="19"/>
  <c r="M20" i="19"/>
  <c r="N20" i="19"/>
  <c r="O20" i="19"/>
  <c r="P20" i="19"/>
  <c r="Q20" i="19"/>
  <c r="R20" i="19"/>
  <c r="S20" i="19"/>
  <c r="T20" i="19"/>
  <c r="U20" i="19"/>
  <c r="V20" i="19"/>
  <c r="W20" i="19"/>
  <c r="X20" i="19"/>
  <c r="Y20" i="19"/>
  <c r="Z20" i="19"/>
  <c r="AA20" i="19"/>
  <c r="AB20" i="19"/>
  <c r="F21" i="19"/>
  <c r="G21" i="19"/>
  <c r="H21" i="19"/>
  <c r="I21" i="19"/>
  <c r="J21" i="19"/>
  <c r="K21" i="19"/>
  <c r="L21" i="19"/>
  <c r="M21" i="19"/>
  <c r="N21" i="19"/>
  <c r="O21" i="19"/>
  <c r="P21" i="19"/>
  <c r="Q21" i="19"/>
  <c r="R21" i="19"/>
  <c r="S21" i="19"/>
  <c r="T21" i="19"/>
  <c r="U21" i="19"/>
  <c r="V21" i="19"/>
  <c r="W21" i="19"/>
  <c r="X21" i="19"/>
  <c r="Y21" i="19"/>
  <c r="Z21" i="19"/>
  <c r="AA21" i="19"/>
  <c r="AB21" i="19"/>
  <c r="F22" i="19"/>
  <c r="G22" i="19"/>
  <c r="H22" i="19"/>
  <c r="I22" i="19"/>
  <c r="J22" i="19"/>
  <c r="K22" i="19"/>
  <c r="L22" i="19"/>
  <c r="M22" i="19"/>
  <c r="N22" i="19"/>
  <c r="O22" i="19"/>
  <c r="P22" i="19"/>
  <c r="Q22" i="19"/>
  <c r="R22" i="19"/>
  <c r="S22" i="19"/>
  <c r="T22" i="19"/>
  <c r="U22" i="19"/>
  <c r="V22" i="19"/>
  <c r="W22" i="19"/>
  <c r="X22" i="19"/>
  <c r="Y22" i="19"/>
  <c r="Z22" i="19"/>
  <c r="AA22" i="19"/>
  <c r="AB22" i="19"/>
  <c r="D2" i="19"/>
  <c r="E2" i="19"/>
  <c r="D4" i="19"/>
  <c r="E4" i="19"/>
  <c r="D5" i="19"/>
  <c r="E5" i="19"/>
  <c r="D6" i="19"/>
  <c r="E6" i="19"/>
  <c r="D7" i="19"/>
  <c r="E7" i="19"/>
  <c r="D8" i="19"/>
  <c r="E8" i="19"/>
  <c r="D9" i="19"/>
  <c r="E9" i="19"/>
  <c r="D15" i="19"/>
  <c r="E15" i="19"/>
  <c r="D16" i="19"/>
  <c r="E16" i="19"/>
  <c r="D20" i="19"/>
  <c r="E20" i="19"/>
  <c r="D21" i="19"/>
  <c r="E21" i="19"/>
  <c r="D22" i="19"/>
  <c r="E22" i="19"/>
  <c r="C5" i="13"/>
  <c r="C6" i="13"/>
  <c r="C7" i="13"/>
  <c r="C8" i="13"/>
  <c r="C9" i="13"/>
  <c r="C15" i="13"/>
  <c r="C16" i="13"/>
  <c r="C21" i="13"/>
  <c r="C22" i="13"/>
  <c r="C2" i="13"/>
  <c r="C5" i="19"/>
  <c r="C6" i="19"/>
  <c r="C7" i="19"/>
  <c r="C8" i="19"/>
  <c r="C9" i="19"/>
  <c r="C15" i="19"/>
  <c r="C16" i="19"/>
  <c r="C21" i="19"/>
  <c r="C22" i="19"/>
  <c r="C2" i="19"/>
  <c r="D23" i="18"/>
  <c r="E23" i="18"/>
  <c r="F23" i="18"/>
  <c r="G23" i="18"/>
  <c r="H23" i="18"/>
  <c r="I23" i="18"/>
  <c r="J23" i="18"/>
  <c r="K23" i="18"/>
  <c r="L23" i="18"/>
  <c r="M23" i="18"/>
  <c r="N23" i="18"/>
  <c r="O23" i="18"/>
  <c r="P23" i="18"/>
  <c r="Q23" i="18"/>
  <c r="R23" i="18"/>
  <c r="S23" i="18"/>
  <c r="T23" i="18"/>
  <c r="U23" i="18"/>
  <c r="V23" i="18"/>
  <c r="W23" i="18"/>
  <c r="X23" i="18"/>
  <c r="Y23" i="18"/>
  <c r="Z23" i="18"/>
  <c r="AA23" i="18"/>
  <c r="AB23" i="18"/>
  <c r="C23" i="18"/>
  <c r="A31" i="8"/>
  <c r="A21" i="6"/>
  <c r="B14" i="8"/>
  <c r="B13" i="8"/>
  <c r="B3" i="8"/>
  <c r="C3" i="8" s="1"/>
  <c r="B20" i="9"/>
  <c r="B19" i="9"/>
  <c r="D20" i="9" l="1"/>
  <c r="C20" i="9"/>
  <c r="D19" i="9"/>
  <c r="C19" i="9"/>
  <c r="C18" i="9"/>
  <c r="D18" i="9"/>
  <c r="B18" i="9"/>
  <c r="C12" i="9"/>
  <c r="E12" i="9" s="1"/>
  <c r="D14" i="9"/>
  <c r="C14" i="9"/>
  <c r="B14" i="9"/>
  <c r="D13" i="9"/>
  <c r="C13" i="9"/>
  <c r="B13" i="9"/>
  <c r="D12" i="9"/>
  <c r="B12" i="9"/>
  <c r="D11" i="9"/>
  <c r="C11" i="9"/>
  <c r="B11" i="9"/>
  <c r="D10" i="9"/>
  <c r="C10" i="9"/>
  <c r="B10" i="9"/>
  <c r="C13" i="8"/>
  <c r="C22" i="18"/>
  <c r="D22" i="18"/>
  <c r="E22" i="18"/>
  <c r="F22" i="18"/>
  <c r="G22" i="18"/>
  <c r="H22" i="18"/>
  <c r="I22" i="18"/>
  <c r="J22" i="18"/>
  <c r="K22" i="18"/>
  <c r="L22" i="18"/>
  <c r="M22" i="18"/>
  <c r="N22" i="18"/>
  <c r="O22" i="18"/>
  <c r="P22" i="18"/>
  <c r="Q22" i="18"/>
  <c r="R22" i="18"/>
  <c r="S22" i="18"/>
  <c r="T22" i="18"/>
  <c r="U22" i="18"/>
  <c r="V22" i="18"/>
  <c r="W22" i="18"/>
  <c r="X22" i="18"/>
  <c r="Y22" i="18"/>
  <c r="Z22" i="18"/>
  <c r="AA22" i="18"/>
  <c r="AB22" i="18"/>
  <c r="B22" i="18"/>
  <c r="C21" i="18"/>
  <c r="D21" i="18"/>
  <c r="E21" i="18"/>
  <c r="F21" i="18"/>
  <c r="G21" i="18"/>
  <c r="H21" i="18"/>
  <c r="I21" i="18"/>
  <c r="J21" i="18"/>
  <c r="K21" i="18"/>
  <c r="L21" i="18"/>
  <c r="M21" i="18"/>
  <c r="N21" i="18"/>
  <c r="O21" i="18"/>
  <c r="P21" i="18"/>
  <c r="Q21" i="18"/>
  <c r="R21" i="18"/>
  <c r="S21" i="18"/>
  <c r="T21" i="18"/>
  <c r="U21" i="18"/>
  <c r="V21" i="18"/>
  <c r="W21" i="18"/>
  <c r="X21" i="18"/>
  <c r="Y21" i="18"/>
  <c r="Z21" i="18"/>
  <c r="AA21" i="18"/>
  <c r="AB21" i="18"/>
  <c r="B21" i="18"/>
  <c r="AB20" i="18"/>
  <c r="AA20" i="18"/>
  <c r="Z20" i="18"/>
  <c r="Y20" i="18"/>
  <c r="X20" i="18"/>
  <c r="W20" i="18"/>
  <c r="V20" i="18"/>
  <c r="U20" i="18"/>
  <c r="T20" i="18"/>
  <c r="S20" i="18"/>
  <c r="R20" i="18"/>
  <c r="Q20" i="18"/>
  <c r="P20" i="18"/>
  <c r="O20" i="18"/>
  <c r="N20" i="18"/>
  <c r="M20" i="18"/>
  <c r="L20" i="18"/>
  <c r="K20" i="18"/>
  <c r="J20" i="18"/>
  <c r="I20" i="18"/>
  <c r="H20" i="18"/>
  <c r="G20" i="18"/>
  <c r="F20" i="18"/>
  <c r="E20" i="18"/>
  <c r="D20" i="18"/>
  <c r="C20" i="18"/>
  <c r="B20" i="18"/>
  <c r="AB19" i="18"/>
  <c r="AA19" i="18"/>
  <c r="Z19" i="18"/>
  <c r="Y19" i="18"/>
  <c r="X19" i="18"/>
  <c r="W19" i="18"/>
  <c r="V19" i="18"/>
  <c r="U19" i="18"/>
  <c r="T19" i="18"/>
  <c r="S19" i="18"/>
  <c r="R19" i="18"/>
  <c r="Q19" i="18"/>
  <c r="P19" i="18"/>
  <c r="O19" i="18"/>
  <c r="N19" i="18"/>
  <c r="M19" i="18"/>
  <c r="L19" i="18"/>
  <c r="K19" i="18"/>
  <c r="J19" i="18"/>
  <c r="I19" i="18"/>
  <c r="H19" i="18"/>
  <c r="G19" i="18"/>
  <c r="F19" i="18"/>
  <c r="E19" i="18"/>
  <c r="D19" i="18"/>
  <c r="C19" i="18"/>
  <c r="B19" i="18"/>
  <c r="AB15" i="18"/>
  <c r="AA15" i="18"/>
  <c r="Z15" i="18"/>
  <c r="Y15" i="18"/>
  <c r="X15" i="18"/>
  <c r="W15" i="18"/>
  <c r="V15" i="18"/>
  <c r="U15" i="18"/>
  <c r="T15" i="18"/>
  <c r="S15" i="18"/>
  <c r="R15" i="18"/>
  <c r="Q15" i="18"/>
  <c r="P15" i="18"/>
  <c r="O15" i="18"/>
  <c r="N15" i="18"/>
  <c r="M15" i="18"/>
  <c r="L15" i="18"/>
  <c r="K15" i="18"/>
  <c r="J15" i="18"/>
  <c r="I15" i="18"/>
  <c r="H15" i="18"/>
  <c r="G15" i="18"/>
  <c r="F15" i="18"/>
  <c r="E15" i="18"/>
  <c r="D15" i="18"/>
  <c r="C15" i="18"/>
  <c r="B15" i="18"/>
  <c r="AB14" i="18"/>
  <c r="AA14" i="18"/>
  <c r="Z14" i="18"/>
  <c r="Y14" i="18"/>
  <c r="X14" i="18"/>
  <c r="W14" i="18"/>
  <c r="V14" i="18"/>
  <c r="U14" i="18"/>
  <c r="T14" i="18"/>
  <c r="S14" i="18"/>
  <c r="R14" i="18"/>
  <c r="Q14" i="18"/>
  <c r="P14" i="18"/>
  <c r="O14" i="18"/>
  <c r="N14" i="18"/>
  <c r="M14" i="18"/>
  <c r="L14" i="18"/>
  <c r="K14" i="18"/>
  <c r="J14" i="18"/>
  <c r="I14" i="18"/>
  <c r="H14" i="18"/>
  <c r="G14" i="18"/>
  <c r="F14" i="18"/>
  <c r="E14" i="18"/>
  <c r="D14" i="18"/>
  <c r="C14" i="18"/>
  <c r="B14" i="18"/>
  <c r="AB13" i="18"/>
  <c r="AA13" i="18"/>
  <c r="Z13" i="18"/>
  <c r="Y13" i="18"/>
  <c r="X13" i="18"/>
  <c r="W13" i="18"/>
  <c r="V13" i="18"/>
  <c r="U13" i="18"/>
  <c r="T13" i="18"/>
  <c r="S13" i="18"/>
  <c r="R13" i="18"/>
  <c r="Q13" i="18"/>
  <c r="P13" i="18"/>
  <c r="O13" i="18"/>
  <c r="N13" i="18"/>
  <c r="M13" i="18"/>
  <c r="L13" i="18"/>
  <c r="K13" i="18"/>
  <c r="J13" i="18"/>
  <c r="I13" i="18"/>
  <c r="H13" i="18"/>
  <c r="G13" i="18"/>
  <c r="F13" i="18"/>
  <c r="E13" i="18"/>
  <c r="D13" i="18"/>
  <c r="C13" i="18"/>
  <c r="B13" i="18"/>
  <c r="AB12" i="18"/>
  <c r="AA12" i="18"/>
  <c r="Z12" i="18"/>
  <c r="Y12" i="18"/>
  <c r="X12" i="18"/>
  <c r="W12" i="18"/>
  <c r="V12" i="18"/>
  <c r="U12" i="18"/>
  <c r="T12" i="18"/>
  <c r="S12" i="18"/>
  <c r="R12" i="18"/>
  <c r="Q12" i="18"/>
  <c r="P12" i="18"/>
  <c r="O12" i="18"/>
  <c r="N12" i="18"/>
  <c r="M12" i="18"/>
  <c r="L12" i="18"/>
  <c r="K12" i="18"/>
  <c r="J12" i="18"/>
  <c r="I12" i="18"/>
  <c r="H12" i="18"/>
  <c r="G12" i="18"/>
  <c r="F12" i="18"/>
  <c r="E12" i="18"/>
  <c r="D12" i="18"/>
  <c r="C12" i="18"/>
  <c r="B12" i="18"/>
  <c r="C11" i="18"/>
  <c r="D11" i="18"/>
  <c r="E11" i="18"/>
  <c r="F11" i="18"/>
  <c r="G11" i="18"/>
  <c r="H11" i="18"/>
  <c r="I11" i="18"/>
  <c r="J11" i="18"/>
  <c r="K11" i="18"/>
  <c r="L11" i="18"/>
  <c r="M11" i="18"/>
  <c r="N11" i="18"/>
  <c r="O11" i="18"/>
  <c r="P11" i="18"/>
  <c r="Q11" i="18"/>
  <c r="R11" i="18"/>
  <c r="S11" i="18"/>
  <c r="T11" i="18"/>
  <c r="U11" i="18"/>
  <c r="V11" i="18"/>
  <c r="W11" i="18"/>
  <c r="X11" i="18"/>
  <c r="Y11" i="18"/>
  <c r="Z11" i="18"/>
  <c r="AA11" i="18"/>
  <c r="AB11" i="18"/>
  <c r="B11" i="18"/>
  <c r="C10" i="18"/>
  <c r="D10" i="18"/>
  <c r="E10" i="18"/>
  <c r="F10" i="18"/>
  <c r="G10" i="18"/>
  <c r="H10" i="18"/>
  <c r="I10" i="18"/>
  <c r="J10" i="18"/>
  <c r="K10" i="18"/>
  <c r="L10" i="18"/>
  <c r="M10" i="18"/>
  <c r="N10" i="18"/>
  <c r="O10" i="18"/>
  <c r="P10" i="18"/>
  <c r="Q10" i="18"/>
  <c r="R10" i="18"/>
  <c r="S10" i="18"/>
  <c r="T10" i="18"/>
  <c r="U10" i="18"/>
  <c r="V10" i="18"/>
  <c r="W10" i="18"/>
  <c r="X10" i="18"/>
  <c r="Y10" i="18"/>
  <c r="Z10" i="18"/>
  <c r="AA10" i="18"/>
  <c r="AB10" i="18"/>
  <c r="B10" i="18"/>
  <c r="C6" i="18"/>
  <c r="D6" i="18"/>
  <c r="E6" i="18"/>
  <c r="F6" i="18"/>
  <c r="G6" i="18"/>
  <c r="H6" i="18"/>
  <c r="I6" i="18"/>
  <c r="J6" i="18"/>
  <c r="K6" i="18"/>
  <c r="L6" i="18"/>
  <c r="M6" i="18"/>
  <c r="N6" i="18"/>
  <c r="O6" i="18"/>
  <c r="P6" i="18"/>
  <c r="Q6" i="18"/>
  <c r="R6" i="18"/>
  <c r="S6" i="18"/>
  <c r="T6" i="18"/>
  <c r="U6" i="18"/>
  <c r="V6" i="18"/>
  <c r="W6" i="18"/>
  <c r="X6" i="18"/>
  <c r="Y6" i="18"/>
  <c r="Z6" i="18"/>
  <c r="AA6" i="18"/>
  <c r="AB6" i="18"/>
  <c r="B6" i="18"/>
  <c r="C5" i="18"/>
  <c r="D5" i="18"/>
  <c r="E5" i="18"/>
  <c r="F5" i="18"/>
  <c r="G5" i="18"/>
  <c r="H5" i="18"/>
  <c r="I5" i="18"/>
  <c r="J5" i="18"/>
  <c r="K5" i="18"/>
  <c r="L5" i="18"/>
  <c r="M5" i="18"/>
  <c r="N5" i="18"/>
  <c r="O5" i="18"/>
  <c r="P5" i="18"/>
  <c r="Q5" i="18"/>
  <c r="R5" i="18"/>
  <c r="S5" i="18"/>
  <c r="T5" i="18"/>
  <c r="U5" i="18"/>
  <c r="V5" i="18"/>
  <c r="W5" i="18"/>
  <c r="X5" i="18"/>
  <c r="Y5" i="18"/>
  <c r="Z5" i="18"/>
  <c r="AA5" i="18"/>
  <c r="AB5" i="18"/>
  <c r="B5" i="18"/>
  <c r="AB18" i="18"/>
  <c r="AA18" i="18"/>
  <c r="Z18" i="18"/>
  <c r="Y18" i="18"/>
  <c r="X18" i="18"/>
  <c r="W18" i="18"/>
  <c r="V18" i="18"/>
  <c r="U18" i="18"/>
  <c r="T18" i="18"/>
  <c r="S18" i="18"/>
  <c r="R18" i="18"/>
  <c r="Q18" i="18"/>
  <c r="P18" i="18"/>
  <c r="O18" i="18"/>
  <c r="N18" i="18"/>
  <c r="M18" i="18"/>
  <c r="L18" i="18"/>
  <c r="K18" i="18"/>
  <c r="J18" i="18"/>
  <c r="I18" i="18"/>
  <c r="H18" i="18"/>
  <c r="G18" i="18"/>
  <c r="F18" i="18"/>
  <c r="E18" i="18"/>
  <c r="D18" i="18"/>
  <c r="C18" i="18"/>
  <c r="B18" i="18"/>
  <c r="C4" i="18"/>
  <c r="D4" i="18"/>
  <c r="E4" i="18"/>
  <c r="F4" i="18"/>
  <c r="G4" i="18"/>
  <c r="H4" i="18"/>
  <c r="I4" i="18"/>
  <c r="J4" i="18"/>
  <c r="K4" i="18"/>
  <c r="L4" i="18"/>
  <c r="M4" i="18"/>
  <c r="N4" i="18"/>
  <c r="O4" i="18"/>
  <c r="P4" i="18"/>
  <c r="Q4" i="18"/>
  <c r="R4" i="18"/>
  <c r="S4" i="18"/>
  <c r="T4" i="18"/>
  <c r="U4" i="18"/>
  <c r="V4" i="18"/>
  <c r="W4" i="18"/>
  <c r="X4" i="18"/>
  <c r="Y4" i="18"/>
  <c r="Z4" i="18"/>
  <c r="AA4" i="18"/>
  <c r="AB4" i="18"/>
  <c r="B4" i="18"/>
  <c r="AB46" i="18"/>
  <c r="AA46" i="18"/>
  <c r="Z46" i="18"/>
  <c r="Y46" i="18"/>
  <c r="X46" i="18"/>
  <c r="W46" i="18"/>
  <c r="V46" i="18"/>
  <c r="U46" i="18"/>
  <c r="T46" i="18"/>
  <c r="S46" i="18"/>
  <c r="R46" i="18"/>
  <c r="Q46" i="18"/>
  <c r="P46" i="18"/>
  <c r="O46" i="18"/>
  <c r="N46" i="18"/>
  <c r="M46" i="18"/>
  <c r="L46" i="18"/>
  <c r="K46" i="18"/>
  <c r="J46" i="18"/>
  <c r="I46" i="18"/>
  <c r="H46" i="18"/>
  <c r="G46" i="18"/>
  <c r="F46" i="18"/>
  <c r="E46" i="18"/>
  <c r="D46" i="18"/>
  <c r="C46" i="18"/>
  <c r="C20" i="19" s="1"/>
  <c r="B46" i="18"/>
  <c r="AB45" i="18"/>
  <c r="AA45" i="18"/>
  <c r="Z45" i="18"/>
  <c r="Y45" i="18"/>
  <c r="X45" i="18"/>
  <c r="W45" i="18"/>
  <c r="V45" i="18"/>
  <c r="U45" i="18"/>
  <c r="T45" i="18"/>
  <c r="S45" i="18"/>
  <c r="R45" i="18"/>
  <c r="Q45" i="18"/>
  <c r="P45" i="18"/>
  <c r="O45" i="18"/>
  <c r="N45" i="18"/>
  <c r="M45" i="18"/>
  <c r="L45" i="18"/>
  <c r="K45" i="18"/>
  <c r="J45" i="18"/>
  <c r="I45" i="18"/>
  <c r="H45" i="18"/>
  <c r="G45" i="18"/>
  <c r="F45" i="18"/>
  <c r="E45" i="18"/>
  <c r="D45" i="18"/>
  <c r="C45" i="18"/>
  <c r="B45" i="18"/>
  <c r="B37" i="18"/>
  <c r="C37" i="18"/>
  <c r="D37" i="18"/>
  <c r="E37" i="18"/>
  <c r="F37" i="18"/>
  <c r="G37" i="18"/>
  <c r="H37" i="18"/>
  <c r="I37" i="18"/>
  <c r="J37" i="18"/>
  <c r="K37" i="18"/>
  <c r="L37" i="18"/>
  <c r="M37" i="18"/>
  <c r="N37" i="18"/>
  <c r="O37" i="18"/>
  <c r="P37" i="18"/>
  <c r="Q37" i="18"/>
  <c r="R37" i="18"/>
  <c r="S37" i="18"/>
  <c r="T37" i="18"/>
  <c r="U37" i="18"/>
  <c r="V37" i="18"/>
  <c r="W37" i="18"/>
  <c r="X37" i="18"/>
  <c r="Y37" i="18"/>
  <c r="Z37" i="18"/>
  <c r="AA37" i="18"/>
  <c r="AB37" i="18"/>
  <c r="B38" i="18"/>
  <c r="C38" i="18"/>
  <c r="D38" i="18"/>
  <c r="E38" i="18"/>
  <c r="F38" i="18"/>
  <c r="G38" i="18"/>
  <c r="H38" i="18"/>
  <c r="I38" i="18"/>
  <c r="J38" i="18"/>
  <c r="K38" i="18"/>
  <c r="L38" i="18"/>
  <c r="M38" i="18"/>
  <c r="N38" i="18"/>
  <c r="O38" i="18"/>
  <c r="P38" i="18"/>
  <c r="Q38" i="18"/>
  <c r="R38" i="18"/>
  <c r="S38" i="18"/>
  <c r="T38" i="18"/>
  <c r="U38" i="18"/>
  <c r="V38" i="18"/>
  <c r="W38" i="18"/>
  <c r="X38" i="18"/>
  <c r="Y38" i="18"/>
  <c r="Z38" i="18"/>
  <c r="AA38" i="18"/>
  <c r="AB38" i="18"/>
  <c r="B39" i="18"/>
  <c r="C39" i="18"/>
  <c r="D39" i="18"/>
  <c r="E39" i="18"/>
  <c r="F39" i="18"/>
  <c r="G39" i="18"/>
  <c r="H39" i="18"/>
  <c r="I39" i="18"/>
  <c r="J39" i="18"/>
  <c r="K39" i="18"/>
  <c r="L39" i="18"/>
  <c r="M39" i="18"/>
  <c r="N39" i="18"/>
  <c r="O39" i="18"/>
  <c r="P39" i="18"/>
  <c r="Q39" i="18"/>
  <c r="R39" i="18"/>
  <c r="S39" i="18"/>
  <c r="T39" i="18"/>
  <c r="U39" i="18"/>
  <c r="V39" i="18"/>
  <c r="W39" i="18"/>
  <c r="X39" i="18"/>
  <c r="Y39" i="18"/>
  <c r="Z39" i="18"/>
  <c r="AA39" i="18"/>
  <c r="AB39" i="18"/>
  <c r="B40" i="18"/>
  <c r="C40" i="18"/>
  <c r="D40" i="18"/>
  <c r="E40" i="18"/>
  <c r="F40" i="18"/>
  <c r="G40" i="18"/>
  <c r="H40" i="18"/>
  <c r="I40" i="18"/>
  <c r="J40" i="18"/>
  <c r="K40" i="18"/>
  <c r="L40" i="18"/>
  <c r="M40" i="18"/>
  <c r="N40" i="18"/>
  <c r="O40" i="18"/>
  <c r="P40" i="18"/>
  <c r="Q40" i="18"/>
  <c r="R40" i="18"/>
  <c r="S40" i="18"/>
  <c r="T40" i="18"/>
  <c r="U40" i="18"/>
  <c r="V40" i="18"/>
  <c r="W40" i="18"/>
  <c r="X40" i="18"/>
  <c r="Y40" i="18"/>
  <c r="Z40" i="18"/>
  <c r="AA40" i="18"/>
  <c r="AB40" i="18"/>
  <c r="C36" i="18"/>
  <c r="D36" i="18"/>
  <c r="E36" i="18"/>
  <c r="F36" i="18"/>
  <c r="G36" i="18"/>
  <c r="H36" i="18"/>
  <c r="I36" i="18"/>
  <c r="J36" i="18"/>
  <c r="K36" i="18"/>
  <c r="L36" i="18"/>
  <c r="M36" i="18"/>
  <c r="N36" i="18"/>
  <c r="O36" i="18"/>
  <c r="P36" i="18"/>
  <c r="Q36" i="18"/>
  <c r="R36" i="18"/>
  <c r="S36" i="18"/>
  <c r="T36" i="18"/>
  <c r="U36" i="18"/>
  <c r="V36" i="18"/>
  <c r="W36" i="18"/>
  <c r="X36" i="18"/>
  <c r="Y36" i="18"/>
  <c r="Z36" i="18"/>
  <c r="AA36" i="18"/>
  <c r="AB36" i="18"/>
  <c r="B36" i="18"/>
  <c r="C44" i="18"/>
  <c r="D44" i="18"/>
  <c r="E44" i="18"/>
  <c r="F44" i="18"/>
  <c r="G44" i="18"/>
  <c r="H44" i="18"/>
  <c r="I44" i="18"/>
  <c r="J44" i="18"/>
  <c r="K44" i="18"/>
  <c r="L44" i="18"/>
  <c r="M44" i="18"/>
  <c r="N44" i="18"/>
  <c r="O44" i="18"/>
  <c r="P44" i="18"/>
  <c r="Q44" i="18"/>
  <c r="R44" i="18"/>
  <c r="S44" i="18"/>
  <c r="T44" i="18"/>
  <c r="U44" i="18"/>
  <c r="V44" i="18"/>
  <c r="W44" i="18"/>
  <c r="X44" i="18"/>
  <c r="Y44" i="18"/>
  <c r="Z44" i="18"/>
  <c r="AA44" i="18"/>
  <c r="AB44" i="18"/>
  <c r="B44" i="18"/>
  <c r="AB43" i="18"/>
  <c r="AA43" i="18"/>
  <c r="Z43" i="18"/>
  <c r="Y43" i="18"/>
  <c r="X43" i="18"/>
  <c r="W43" i="18"/>
  <c r="V43" i="18"/>
  <c r="U43" i="18"/>
  <c r="T43" i="18"/>
  <c r="S43" i="18"/>
  <c r="R43" i="18"/>
  <c r="Q43" i="18"/>
  <c r="P43" i="18"/>
  <c r="O43" i="18"/>
  <c r="N43" i="18"/>
  <c r="M43" i="18"/>
  <c r="L43" i="18"/>
  <c r="K43" i="18"/>
  <c r="J43" i="18"/>
  <c r="I43" i="18"/>
  <c r="H43" i="18"/>
  <c r="G43" i="18"/>
  <c r="F43" i="18"/>
  <c r="E43" i="18"/>
  <c r="D43" i="18"/>
  <c r="C43" i="18"/>
  <c r="B43" i="18"/>
  <c r="C30" i="18"/>
  <c r="C4" i="19" s="1"/>
  <c r="D30" i="18"/>
  <c r="E30" i="18"/>
  <c r="F30" i="18"/>
  <c r="G30" i="18"/>
  <c r="H30" i="18"/>
  <c r="I30" i="18"/>
  <c r="J30" i="18"/>
  <c r="K30" i="18"/>
  <c r="L30" i="18"/>
  <c r="M30" i="18"/>
  <c r="N30" i="18"/>
  <c r="O30" i="18"/>
  <c r="P30" i="18"/>
  <c r="Q30" i="18"/>
  <c r="R30" i="18"/>
  <c r="S30" i="18"/>
  <c r="T30" i="18"/>
  <c r="U30" i="18"/>
  <c r="V30" i="18"/>
  <c r="W30" i="18"/>
  <c r="X30" i="18"/>
  <c r="Y30" i="18"/>
  <c r="Z30" i="18"/>
  <c r="AA30" i="18"/>
  <c r="AB30" i="18"/>
  <c r="B30" i="18"/>
  <c r="C29" i="18"/>
  <c r="D29" i="18"/>
  <c r="E29" i="18"/>
  <c r="F29" i="18"/>
  <c r="G29" i="18"/>
  <c r="H29" i="18"/>
  <c r="I29" i="18"/>
  <c r="J29" i="18"/>
  <c r="K29" i="18"/>
  <c r="L29" i="18"/>
  <c r="M29" i="18"/>
  <c r="N29" i="18"/>
  <c r="O29" i="18"/>
  <c r="P29" i="18"/>
  <c r="Q29" i="18"/>
  <c r="R29" i="18"/>
  <c r="S29" i="18"/>
  <c r="T29" i="18"/>
  <c r="U29" i="18"/>
  <c r="V29" i="18"/>
  <c r="W29" i="18"/>
  <c r="X29" i="18"/>
  <c r="Y29" i="18"/>
  <c r="Z29" i="18"/>
  <c r="AA29" i="18"/>
  <c r="AB29" i="18"/>
  <c r="B29" i="18"/>
  <c r="D4" i="9"/>
  <c r="C4" i="9"/>
  <c r="B4" i="9"/>
  <c r="B28" i="9" s="1"/>
  <c r="AB68" i="18"/>
  <c r="AA68" i="18"/>
  <c r="Z68" i="18"/>
  <c r="Y68" i="18"/>
  <c r="X68" i="18"/>
  <c r="W68" i="18"/>
  <c r="V68" i="18"/>
  <c r="U68" i="18"/>
  <c r="T68" i="18"/>
  <c r="S68" i="18"/>
  <c r="R68" i="18"/>
  <c r="Q68" i="18"/>
  <c r="P68" i="18"/>
  <c r="O68" i="18"/>
  <c r="N68" i="18"/>
  <c r="M68" i="18"/>
  <c r="L68" i="18"/>
  <c r="K68" i="18"/>
  <c r="J68" i="18"/>
  <c r="I68" i="18"/>
  <c r="H68" i="18"/>
  <c r="G68" i="18"/>
  <c r="F68" i="18"/>
  <c r="E68" i="18"/>
  <c r="D68" i="18"/>
  <c r="C68" i="18"/>
  <c r="B68" i="18"/>
  <c r="C54" i="18"/>
  <c r="D54" i="18"/>
  <c r="E54" i="18"/>
  <c r="F54" i="18"/>
  <c r="G54" i="18"/>
  <c r="H54" i="18"/>
  <c r="I54" i="18"/>
  <c r="J54" i="18"/>
  <c r="K54" i="18"/>
  <c r="L54" i="18"/>
  <c r="M54" i="18"/>
  <c r="N54" i="18"/>
  <c r="O54" i="18"/>
  <c r="P54" i="18"/>
  <c r="Q54" i="18"/>
  <c r="R54" i="18"/>
  <c r="S54" i="18"/>
  <c r="T54" i="18"/>
  <c r="U54" i="18"/>
  <c r="V54" i="18"/>
  <c r="W54" i="18"/>
  <c r="X54" i="18"/>
  <c r="Y54" i="18"/>
  <c r="Z54" i="18"/>
  <c r="AA54" i="18"/>
  <c r="AB54" i="18"/>
  <c r="B54" i="18"/>
  <c r="AB71" i="18"/>
  <c r="AA71" i="18"/>
  <c r="Z71" i="18"/>
  <c r="Y71" i="18"/>
  <c r="X71" i="18"/>
  <c r="W71" i="18"/>
  <c r="V71" i="18"/>
  <c r="U71" i="18"/>
  <c r="T71" i="18"/>
  <c r="S71" i="18"/>
  <c r="R71" i="18"/>
  <c r="Q71" i="18"/>
  <c r="P71" i="18"/>
  <c r="O71" i="18"/>
  <c r="N71" i="18"/>
  <c r="M71" i="18"/>
  <c r="L71" i="18"/>
  <c r="K71" i="18"/>
  <c r="J71" i="18"/>
  <c r="I71" i="18"/>
  <c r="H71" i="18"/>
  <c r="G71" i="18"/>
  <c r="F71" i="18"/>
  <c r="E71" i="18"/>
  <c r="D71" i="18"/>
  <c r="C71" i="18"/>
  <c r="C20" i="13" s="1"/>
  <c r="B71" i="18"/>
  <c r="AB70" i="18"/>
  <c r="AA70" i="18"/>
  <c r="Z70" i="18"/>
  <c r="Y70" i="18"/>
  <c r="X70" i="18"/>
  <c r="W70" i="18"/>
  <c r="V70" i="18"/>
  <c r="U70" i="18"/>
  <c r="T70" i="18"/>
  <c r="S70" i="18"/>
  <c r="R70" i="18"/>
  <c r="Q70" i="18"/>
  <c r="P70" i="18"/>
  <c r="O70" i="18"/>
  <c r="N70" i="18"/>
  <c r="M70" i="18"/>
  <c r="L70" i="18"/>
  <c r="K70" i="18"/>
  <c r="J70" i="18"/>
  <c r="I70" i="18"/>
  <c r="H70" i="18"/>
  <c r="G70" i="18"/>
  <c r="F70" i="18"/>
  <c r="E70" i="18"/>
  <c r="D70" i="18"/>
  <c r="C70" i="18"/>
  <c r="B70" i="18"/>
  <c r="AB69" i="18"/>
  <c r="AA69" i="18"/>
  <c r="Z69" i="18"/>
  <c r="Y69" i="18"/>
  <c r="X69" i="18"/>
  <c r="W69" i="18"/>
  <c r="V69" i="18"/>
  <c r="U69" i="18"/>
  <c r="T69" i="18"/>
  <c r="S69" i="18"/>
  <c r="R69" i="18"/>
  <c r="Q69" i="18"/>
  <c r="P69" i="18"/>
  <c r="O69" i="18"/>
  <c r="N69" i="18"/>
  <c r="M69" i="18"/>
  <c r="L69" i="18"/>
  <c r="K69" i="18"/>
  <c r="J69" i="18"/>
  <c r="I69" i="18"/>
  <c r="H69" i="18"/>
  <c r="G69" i="18"/>
  <c r="F69" i="18"/>
  <c r="E69" i="18"/>
  <c r="D69" i="18"/>
  <c r="C69" i="18"/>
  <c r="B69" i="18"/>
  <c r="AB65" i="18"/>
  <c r="AA65" i="18"/>
  <c r="Z65" i="18"/>
  <c r="Y65" i="18"/>
  <c r="X65" i="18"/>
  <c r="W65" i="18"/>
  <c r="V65" i="18"/>
  <c r="U65" i="18"/>
  <c r="T65" i="18"/>
  <c r="S65" i="18"/>
  <c r="R65" i="18"/>
  <c r="Q65" i="18"/>
  <c r="P65" i="18"/>
  <c r="O65" i="18"/>
  <c r="N65" i="18"/>
  <c r="M65" i="18"/>
  <c r="L65" i="18"/>
  <c r="K65" i="18"/>
  <c r="J65" i="18"/>
  <c r="I65" i="18"/>
  <c r="H65" i="18"/>
  <c r="G65" i="18"/>
  <c r="F65" i="18"/>
  <c r="E65" i="18"/>
  <c r="D65" i="18"/>
  <c r="C65" i="18"/>
  <c r="B65" i="18"/>
  <c r="AB64" i="18"/>
  <c r="AA64" i="18"/>
  <c r="Z64" i="18"/>
  <c r="Y64" i="18"/>
  <c r="X64" i="18"/>
  <c r="W64" i="18"/>
  <c r="V64" i="18"/>
  <c r="U64" i="18"/>
  <c r="T64" i="18"/>
  <c r="S64" i="18"/>
  <c r="R64" i="18"/>
  <c r="Q64" i="18"/>
  <c r="P64" i="18"/>
  <c r="O64" i="18"/>
  <c r="N64" i="18"/>
  <c r="M64" i="18"/>
  <c r="L64" i="18"/>
  <c r="K64" i="18"/>
  <c r="J64" i="18"/>
  <c r="I64" i="18"/>
  <c r="H64" i="18"/>
  <c r="G64" i="18"/>
  <c r="F64" i="18"/>
  <c r="E64" i="18"/>
  <c r="D64" i="18"/>
  <c r="C64" i="18"/>
  <c r="B64" i="18"/>
  <c r="AB63" i="18"/>
  <c r="AA63" i="18"/>
  <c r="Z63" i="18"/>
  <c r="Y63" i="18"/>
  <c r="X63" i="18"/>
  <c r="W63" i="18"/>
  <c r="V63" i="18"/>
  <c r="U63" i="18"/>
  <c r="T63" i="18"/>
  <c r="S63" i="18"/>
  <c r="R63" i="18"/>
  <c r="Q63" i="18"/>
  <c r="P63" i="18"/>
  <c r="O63" i="18"/>
  <c r="N63" i="18"/>
  <c r="M63" i="18"/>
  <c r="L63" i="18"/>
  <c r="K63" i="18"/>
  <c r="J63" i="18"/>
  <c r="I63" i="18"/>
  <c r="H63" i="18"/>
  <c r="G63" i="18"/>
  <c r="F63" i="18"/>
  <c r="E63" i="18"/>
  <c r="D63" i="18"/>
  <c r="C63" i="18"/>
  <c r="B63" i="18"/>
  <c r="B62" i="18"/>
  <c r="C62" i="18"/>
  <c r="D62" i="18"/>
  <c r="E62" i="18"/>
  <c r="F62" i="18"/>
  <c r="G62" i="18"/>
  <c r="H62" i="18"/>
  <c r="I62" i="18"/>
  <c r="J62" i="18"/>
  <c r="K62" i="18"/>
  <c r="L62" i="18"/>
  <c r="M62" i="18"/>
  <c r="N62" i="18"/>
  <c r="O62" i="18"/>
  <c r="P62" i="18"/>
  <c r="Q62" i="18"/>
  <c r="R62" i="18"/>
  <c r="S62" i="18"/>
  <c r="T62" i="18"/>
  <c r="U62" i="18"/>
  <c r="V62" i="18"/>
  <c r="W62" i="18"/>
  <c r="X62" i="18"/>
  <c r="Y62" i="18"/>
  <c r="Z62" i="18"/>
  <c r="AA62" i="18"/>
  <c r="AB62" i="18"/>
  <c r="C61" i="18"/>
  <c r="D61" i="18"/>
  <c r="E61" i="18"/>
  <c r="F61" i="18"/>
  <c r="G61" i="18"/>
  <c r="H61" i="18"/>
  <c r="I61" i="18"/>
  <c r="J61" i="18"/>
  <c r="K61" i="18"/>
  <c r="L61" i="18"/>
  <c r="M61" i="18"/>
  <c r="N61" i="18"/>
  <c r="O61" i="18"/>
  <c r="P61" i="18"/>
  <c r="Q61" i="18"/>
  <c r="R61" i="18"/>
  <c r="S61" i="18"/>
  <c r="T61" i="18"/>
  <c r="U61" i="18"/>
  <c r="V61" i="18"/>
  <c r="W61" i="18"/>
  <c r="X61" i="18"/>
  <c r="Y61" i="18"/>
  <c r="Z61" i="18"/>
  <c r="AA61" i="18"/>
  <c r="AB61" i="18"/>
  <c r="B61" i="18"/>
  <c r="C55" i="18"/>
  <c r="C4" i="13" s="1"/>
  <c r="D55" i="18"/>
  <c r="E55" i="18"/>
  <c r="F55" i="18"/>
  <c r="G55" i="18"/>
  <c r="H55" i="18"/>
  <c r="I55" i="18"/>
  <c r="J55" i="18"/>
  <c r="K55" i="18"/>
  <c r="L55" i="18"/>
  <c r="M55" i="18"/>
  <c r="N55" i="18"/>
  <c r="O55" i="18"/>
  <c r="P55" i="18"/>
  <c r="Q55" i="18"/>
  <c r="R55" i="18"/>
  <c r="S55" i="18"/>
  <c r="T55" i="18"/>
  <c r="U55" i="18"/>
  <c r="V55" i="18"/>
  <c r="W55" i="18"/>
  <c r="X55" i="18"/>
  <c r="Y55" i="18"/>
  <c r="Z55" i="18"/>
  <c r="AA55" i="18"/>
  <c r="AB55" i="18"/>
  <c r="B55" i="18"/>
  <c r="B4" i="12" l="1"/>
  <c r="H46" i="9"/>
  <c r="B21" i="13" l="1"/>
  <c r="B16" i="13"/>
  <c r="B15" i="13"/>
  <c r="B8" i="13"/>
  <c r="B7" i="13"/>
  <c r="B6" i="13"/>
  <c r="B2" i="13"/>
  <c r="B16" i="12"/>
  <c r="B15" i="12"/>
  <c r="B8" i="12"/>
  <c r="B7" i="12"/>
  <c r="B6" i="12"/>
  <c r="B2" i="12"/>
  <c r="B21" i="19"/>
  <c r="B16" i="19"/>
  <c r="B15" i="19"/>
  <c r="B8" i="19"/>
  <c r="B7" i="19"/>
  <c r="B6" i="19"/>
  <c r="B2" i="19"/>
  <c r="H49" i="9"/>
  <c r="A4" i="5"/>
  <c r="A5" i="5"/>
  <c r="A6"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7" i="5"/>
  <c r="H50" i="9" l="1"/>
  <c r="H51" i="9" s="1"/>
  <c r="B52" i="18"/>
  <c r="C52" i="18"/>
  <c r="D52" i="18"/>
  <c r="E52" i="18"/>
  <c r="F52" i="18"/>
  <c r="G52" i="18"/>
  <c r="H52" i="18"/>
  <c r="I52" i="18"/>
  <c r="J52" i="18"/>
  <c r="K52" i="18"/>
  <c r="L52" i="18"/>
  <c r="M52" i="18"/>
  <c r="N52" i="18"/>
  <c r="O52" i="18"/>
  <c r="P52" i="18"/>
  <c r="Q52" i="18"/>
  <c r="R52" i="18"/>
  <c r="S52" i="18"/>
  <c r="T52" i="18"/>
  <c r="U52" i="18"/>
  <c r="V52" i="18"/>
  <c r="W52" i="18"/>
  <c r="X52" i="18"/>
  <c r="Y52" i="18"/>
  <c r="Z52" i="18"/>
  <c r="AA52" i="18"/>
  <c r="AB52" i="18"/>
  <c r="B27" i="18"/>
  <c r="C27" i="18"/>
  <c r="D27" i="18"/>
  <c r="E27" i="18"/>
  <c r="F27" i="18"/>
  <c r="G27" i="18"/>
  <c r="H27" i="18"/>
  <c r="I27" i="18"/>
  <c r="J27" i="18"/>
  <c r="K27" i="18"/>
  <c r="L27" i="18"/>
  <c r="M27" i="18"/>
  <c r="N27" i="18"/>
  <c r="O27" i="18"/>
  <c r="P27" i="18"/>
  <c r="Q27" i="18"/>
  <c r="R27" i="18"/>
  <c r="S27" i="18"/>
  <c r="T27" i="18"/>
  <c r="U27" i="18"/>
  <c r="V27" i="18"/>
  <c r="W27" i="18"/>
  <c r="X27" i="18"/>
  <c r="Y27" i="18"/>
  <c r="Z27" i="18"/>
  <c r="AA27" i="18"/>
  <c r="AB27" i="18"/>
  <c r="H45" i="9"/>
  <c r="H44" i="9"/>
  <c r="H41" i="9"/>
  <c r="H33" i="9"/>
  <c r="C45" i="9" l="1"/>
  <c r="C46" i="9"/>
  <c r="B22" i="19" s="1"/>
  <c r="H29" i="9"/>
  <c r="H28" i="9"/>
  <c r="D45" i="9" l="1"/>
  <c r="D46" i="9"/>
  <c r="B22" i="13" s="1"/>
  <c r="B37" i="9" l="1"/>
  <c r="B13" i="12" s="1"/>
  <c r="C37" i="9"/>
  <c r="B13" i="19" s="1"/>
  <c r="D37" i="9"/>
  <c r="B13" i="13" s="1"/>
  <c r="D36" i="9"/>
  <c r="B12" i="13" s="1"/>
  <c r="C36" i="9"/>
  <c r="B12" i="19" s="1"/>
  <c r="B36" i="9"/>
  <c r="B12" i="12" s="1"/>
  <c r="B22" i="9"/>
  <c r="X12" i="19" l="1"/>
  <c r="Y12" i="19"/>
  <c r="AA12" i="19"/>
  <c r="F12" i="19"/>
  <c r="Z12" i="19"/>
  <c r="G12" i="19"/>
  <c r="H12" i="19"/>
  <c r="AB12" i="19"/>
  <c r="I12" i="19"/>
  <c r="J12" i="19"/>
  <c r="K12" i="19"/>
  <c r="D12" i="19"/>
  <c r="O12" i="19"/>
  <c r="L12" i="19"/>
  <c r="E12" i="19"/>
  <c r="N12" i="19"/>
  <c r="Q12" i="19"/>
  <c r="U12" i="19"/>
  <c r="W12" i="19"/>
  <c r="M12" i="19"/>
  <c r="P12" i="19"/>
  <c r="R12" i="19"/>
  <c r="S12" i="19"/>
  <c r="V12" i="19"/>
  <c r="T12" i="19"/>
  <c r="C12" i="19"/>
  <c r="V13" i="13"/>
  <c r="W13" i="13"/>
  <c r="D13" i="13"/>
  <c r="X13" i="13"/>
  <c r="E13" i="13"/>
  <c r="Y13" i="13"/>
  <c r="F13" i="13"/>
  <c r="Z13" i="13"/>
  <c r="G13" i="13"/>
  <c r="AA13" i="13"/>
  <c r="H13" i="13"/>
  <c r="AB13" i="13"/>
  <c r="T13" i="13"/>
  <c r="I13" i="13"/>
  <c r="U13" i="13"/>
  <c r="N13" i="13"/>
  <c r="P13" i="13"/>
  <c r="L13" i="13"/>
  <c r="M13" i="13"/>
  <c r="O13" i="13"/>
  <c r="J13" i="13"/>
  <c r="K13" i="13"/>
  <c r="R13" i="13"/>
  <c r="S13" i="13"/>
  <c r="Q13" i="13"/>
  <c r="C13" i="13"/>
  <c r="M12" i="12"/>
  <c r="N12" i="12"/>
  <c r="O12" i="12"/>
  <c r="P12" i="12"/>
  <c r="Q12" i="12"/>
  <c r="R12" i="12"/>
  <c r="S12" i="12"/>
  <c r="T12" i="12"/>
  <c r="E12" i="12"/>
  <c r="C12" i="12"/>
  <c r="W12" i="12"/>
  <c r="Z12" i="12"/>
  <c r="F12" i="12"/>
  <c r="L12" i="12"/>
  <c r="U12" i="12"/>
  <c r="Y12" i="12"/>
  <c r="AA12" i="12"/>
  <c r="AB12" i="12"/>
  <c r="G12" i="12"/>
  <c r="K12" i="12"/>
  <c r="H12" i="12"/>
  <c r="V12" i="12"/>
  <c r="I12" i="12"/>
  <c r="J12" i="12"/>
  <c r="X12" i="12"/>
  <c r="D12" i="12"/>
  <c r="U13" i="19"/>
  <c r="V13" i="19"/>
  <c r="W13" i="19"/>
  <c r="X13" i="19"/>
  <c r="Y13" i="19"/>
  <c r="F13" i="19"/>
  <c r="Z13" i="19"/>
  <c r="G13" i="19"/>
  <c r="AA13" i="19"/>
  <c r="N13" i="19"/>
  <c r="O13" i="19"/>
  <c r="Q13" i="19"/>
  <c r="T13" i="19"/>
  <c r="AB13" i="19"/>
  <c r="P13" i="19"/>
  <c r="I13" i="19"/>
  <c r="D13" i="19"/>
  <c r="S13" i="19"/>
  <c r="R13" i="19"/>
  <c r="E13" i="19"/>
  <c r="H13" i="19"/>
  <c r="K13" i="19"/>
  <c r="L13" i="19"/>
  <c r="M13" i="19"/>
  <c r="J13" i="19"/>
  <c r="C13" i="19"/>
  <c r="G12" i="13"/>
  <c r="AA12" i="13"/>
  <c r="H12" i="13"/>
  <c r="AB12" i="13"/>
  <c r="I12" i="13"/>
  <c r="J12" i="13"/>
  <c r="K12" i="13"/>
  <c r="L12" i="13"/>
  <c r="M12" i="13"/>
  <c r="N12" i="13"/>
  <c r="R12" i="13"/>
  <c r="E12" i="13"/>
  <c r="S12" i="13"/>
  <c r="X12" i="13"/>
  <c r="F12" i="13"/>
  <c r="T12" i="13"/>
  <c r="W12" i="13"/>
  <c r="Y12" i="13"/>
  <c r="D12" i="13"/>
  <c r="U12" i="13"/>
  <c r="V12" i="13"/>
  <c r="Z12" i="13"/>
  <c r="O12" i="13"/>
  <c r="Q12" i="13"/>
  <c r="P12" i="13"/>
  <c r="C12" i="13"/>
  <c r="H13" i="12"/>
  <c r="AB13" i="12"/>
  <c r="I13" i="12"/>
  <c r="J13" i="12"/>
  <c r="K13" i="12"/>
  <c r="L13" i="12"/>
  <c r="M13" i="12"/>
  <c r="N13" i="12"/>
  <c r="O13" i="12"/>
  <c r="P13" i="12"/>
  <c r="Q13" i="12"/>
  <c r="C13" i="12"/>
  <c r="Y13" i="12"/>
  <c r="Z13" i="12"/>
  <c r="R13" i="12"/>
  <c r="W13" i="12"/>
  <c r="X13" i="12"/>
  <c r="S13" i="12"/>
  <c r="AA13" i="12"/>
  <c r="T13" i="12"/>
  <c r="U13" i="12"/>
  <c r="V13" i="12"/>
  <c r="D13" i="12"/>
  <c r="E13" i="12"/>
  <c r="F13" i="12"/>
  <c r="G13" i="12"/>
  <c r="E22" i="9"/>
  <c r="E46" i="9" s="1"/>
  <c r="B46" i="9"/>
  <c r="B22" i="12" s="1"/>
  <c r="E13" i="9"/>
  <c r="E37" i="9" s="1"/>
  <c r="B21" i="9"/>
  <c r="E21" i="9" l="1"/>
  <c r="E45" i="9" s="1"/>
  <c r="B45" i="9"/>
  <c r="B21" i="12" s="1"/>
  <c r="D17" i="9"/>
  <c r="D41" i="9" s="1"/>
  <c r="B17" i="13" s="1"/>
  <c r="C17" i="9"/>
  <c r="C41" i="9" s="1"/>
  <c r="B17" i="19" s="1"/>
  <c r="B17" i="9"/>
  <c r="B41" i="9" s="1"/>
  <c r="B17" i="12" s="1"/>
  <c r="D13" i="8"/>
  <c r="H17" i="12" l="1"/>
  <c r="AB17" i="12"/>
  <c r="C17" i="12"/>
  <c r="I17" i="12"/>
  <c r="J17" i="12"/>
  <c r="K17" i="12"/>
  <c r="L17" i="12"/>
  <c r="M17" i="12"/>
  <c r="N17" i="12"/>
  <c r="O17" i="12"/>
  <c r="R17" i="12"/>
  <c r="S17" i="12"/>
  <c r="X17" i="12"/>
  <c r="Z17" i="12"/>
  <c r="AA17" i="12"/>
  <c r="D17" i="12"/>
  <c r="E17" i="12"/>
  <c r="T17" i="12"/>
  <c r="U17" i="12"/>
  <c r="F17" i="12"/>
  <c r="V17" i="12"/>
  <c r="W17" i="12"/>
  <c r="Y17" i="12"/>
  <c r="G17" i="12"/>
  <c r="P17" i="12"/>
  <c r="Q17" i="12"/>
  <c r="I17" i="19"/>
  <c r="J17" i="19"/>
  <c r="K17" i="19"/>
  <c r="L17" i="19"/>
  <c r="M17" i="19"/>
  <c r="N17" i="19"/>
  <c r="D17" i="19"/>
  <c r="O17" i="19"/>
  <c r="E17" i="19"/>
  <c r="W17" i="19"/>
  <c r="F17" i="19"/>
  <c r="Q17" i="19"/>
  <c r="X17" i="19"/>
  <c r="P17" i="19"/>
  <c r="Y17" i="19"/>
  <c r="G17" i="19"/>
  <c r="Z17" i="19"/>
  <c r="R17" i="19"/>
  <c r="AA17" i="19"/>
  <c r="AB17" i="19"/>
  <c r="H17" i="19"/>
  <c r="V17" i="19"/>
  <c r="T17" i="19"/>
  <c r="U17" i="19"/>
  <c r="S17" i="19"/>
  <c r="C17" i="19"/>
  <c r="V17" i="13"/>
  <c r="W17" i="13"/>
  <c r="D17" i="13"/>
  <c r="X17" i="13"/>
  <c r="E17" i="13"/>
  <c r="Y17" i="13"/>
  <c r="F17" i="13"/>
  <c r="Z17" i="13"/>
  <c r="G17" i="13"/>
  <c r="AA17" i="13"/>
  <c r="H17" i="13"/>
  <c r="AB17" i="13"/>
  <c r="S17" i="13"/>
  <c r="T17" i="13"/>
  <c r="J17" i="13"/>
  <c r="O17" i="13"/>
  <c r="U17" i="13"/>
  <c r="I17" i="13"/>
  <c r="M17" i="13"/>
  <c r="K17" i="13"/>
  <c r="L17" i="13"/>
  <c r="N17" i="13"/>
  <c r="Q17" i="13"/>
  <c r="R17" i="13"/>
  <c r="P17" i="13"/>
  <c r="C17" i="13"/>
  <c r="E17" i="9"/>
  <c r="E41" i="9" s="1"/>
  <c r="D44" i="9"/>
  <c r="B20" i="13" s="1"/>
  <c r="C44" i="9"/>
  <c r="B20" i="19" s="1"/>
  <c r="B44" i="9"/>
  <c r="B20" i="12" s="1"/>
  <c r="D43" i="9"/>
  <c r="B19" i="13" s="1"/>
  <c r="C43" i="9"/>
  <c r="B19" i="19" s="1"/>
  <c r="B43" i="9"/>
  <c r="B19" i="12" s="1"/>
  <c r="D42" i="9"/>
  <c r="B18" i="13" s="1"/>
  <c r="C42" i="9"/>
  <c r="B18" i="19" s="1"/>
  <c r="B42" i="9"/>
  <c r="B18" i="12" s="1"/>
  <c r="D38" i="9"/>
  <c r="B14" i="13" s="1"/>
  <c r="C38" i="9"/>
  <c r="B14" i="19" s="1"/>
  <c r="B38" i="9"/>
  <c r="B14" i="12" s="1"/>
  <c r="D35" i="9"/>
  <c r="B11" i="13" s="1"/>
  <c r="C35" i="9"/>
  <c r="B11" i="19" s="1"/>
  <c r="B35" i="9"/>
  <c r="B11" i="12" s="1"/>
  <c r="D34" i="9"/>
  <c r="B10" i="13" s="1"/>
  <c r="C34" i="9"/>
  <c r="B10" i="19" s="1"/>
  <c r="B34" i="9"/>
  <c r="B10" i="12" s="1"/>
  <c r="D9" i="9"/>
  <c r="D33" i="9" s="1"/>
  <c r="B9" i="13" s="1"/>
  <c r="D5" i="9"/>
  <c r="D29" i="9" s="1"/>
  <c r="B5" i="13" s="1"/>
  <c r="C5" i="9"/>
  <c r="C29" i="9" s="1"/>
  <c r="B5" i="19" s="1"/>
  <c r="B5" i="9"/>
  <c r="B29" i="9" s="1"/>
  <c r="B5" i="12" s="1"/>
  <c r="D28" i="9"/>
  <c r="B4" i="13" s="1"/>
  <c r="C28" i="9"/>
  <c r="B4" i="19" s="1"/>
  <c r="D3" i="9"/>
  <c r="D27" i="9" s="1"/>
  <c r="B3" i="13" s="1"/>
  <c r="C3" i="9"/>
  <c r="B3" i="9"/>
  <c r="B27" i="9" s="1"/>
  <c r="B3" i="12" s="1"/>
  <c r="B9" i="9"/>
  <c r="B33" i="9" s="1"/>
  <c r="B9" i="12" s="1"/>
  <c r="R3" i="12" l="1"/>
  <c r="S3" i="12"/>
  <c r="T3" i="12"/>
  <c r="U3" i="12"/>
  <c r="V3" i="12"/>
  <c r="W3" i="12"/>
  <c r="D3" i="12"/>
  <c r="X3" i="12"/>
  <c r="C3" i="12"/>
  <c r="AA3" i="12"/>
  <c r="E3" i="12"/>
  <c r="P3" i="12"/>
  <c r="AB3" i="12"/>
  <c r="G3" i="12"/>
  <c r="I3" i="12"/>
  <c r="L3" i="12"/>
  <c r="N3" i="12"/>
  <c r="H3" i="12"/>
  <c r="K3" i="12"/>
  <c r="O3" i="12"/>
  <c r="F3" i="12"/>
  <c r="J3" i="12"/>
  <c r="M3" i="12"/>
  <c r="Z3" i="12"/>
  <c r="Q3" i="12"/>
  <c r="Y3" i="12"/>
  <c r="W10" i="12"/>
  <c r="D10" i="12"/>
  <c r="X10" i="12"/>
  <c r="E10" i="12"/>
  <c r="Y10" i="12"/>
  <c r="F10" i="12"/>
  <c r="Z10" i="12"/>
  <c r="G10" i="12"/>
  <c r="AA10" i="12"/>
  <c r="H10" i="12"/>
  <c r="AB10" i="12"/>
  <c r="I10" i="12"/>
  <c r="J10" i="12"/>
  <c r="S10" i="12"/>
  <c r="L10" i="12"/>
  <c r="T10" i="12"/>
  <c r="M10" i="12"/>
  <c r="U10" i="12"/>
  <c r="K10" i="12"/>
  <c r="N10" i="12"/>
  <c r="V10" i="12"/>
  <c r="O10" i="12"/>
  <c r="R10" i="12"/>
  <c r="Q10" i="12"/>
  <c r="C10" i="12"/>
  <c r="P10" i="12"/>
  <c r="W18" i="12"/>
  <c r="D18" i="12"/>
  <c r="X18" i="12"/>
  <c r="C18" i="12"/>
  <c r="E18" i="12"/>
  <c r="Y18" i="12"/>
  <c r="F18" i="12"/>
  <c r="Z18" i="12"/>
  <c r="G18" i="12"/>
  <c r="AA18" i="12"/>
  <c r="H18" i="12"/>
  <c r="AB18" i="12"/>
  <c r="I18" i="12"/>
  <c r="J18" i="12"/>
  <c r="U18" i="12"/>
  <c r="N18" i="12"/>
  <c r="O18" i="12"/>
  <c r="V18" i="12"/>
  <c r="P18" i="12"/>
  <c r="Q18" i="12"/>
  <c r="L18" i="12"/>
  <c r="K18" i="12"/>
  <c r="M18" i="12"/>
  <c r="R18" i="12"/>
  <c r="S18" i="12"/>
  <c r="T18" i="12"/>
  <c r="Q10" i="13"/>
  <c r="R10" i="13"/>
  <c r="S10" i="13"/>
  <c r="T10" i="13"/>
  <c r="U10" i="13"/>
  <c r="V10" i="13"/>
  <c r="W10" i="13"/>
  <c r="D10" i="13"/>
  <c r="X10" i="13"/>
  <c r="E10" i="13"/>
  <c r="K10" i="13"/>
  <c r="L10" i="13"/>
  <c r="M10" i="13"/>
  <c r="Y10" i="13"/>
  <c r="AA10" i="13"/>
  <c r="F10" i="13"/>
  <c r="N10" i="13"/>
  <c r="O10" i="13"/>
  <c r="G10" i="13"/>
  <c r="I10" i="13"/>
  <c r="J10" i="13"/>
  <c r="H10" i="13"/>
  <c r="P10" i="13"/>
  <c r="Z10" i="13"/>
  <c r="AB10" i="13"/>
  <c r="C10" i="13"/>
  <c r="G11" i="19"/>
  <c r="AA11" i="19"/>
  <c r="H11" i="19"/>
  <c r="AB11" i="19"/>
  <c r="I11" i="19"/>
  <c r="J11" i="19"/>
  <c r="K11" i="19"/>
  <c r="L11" i="19"/>
  <c r="M11" i="19"/>
  <c r="Z11" i="19"/>
  <c r="E11" i="19"/>
  <c r="U11" i="19"/>
  <c r="N11" i="19"/>
  <c r="P11" i="19"/>
  <c r="R11" i="19"/>
  <c r="T11" i="19"/>
  <c r="F11" i="19"/>
  <c r="Q11" i="19"/>
  <c r="S11" i="19"/>
  <c r="O11" i="19"/>
  <c r="V11" i="19"/>
  <c r="X11" i="19"/>
  <c r="D11" i="19"/>
  <c r="W11" i="19"/>
  <c r="Y11" i="19"/>
  <c r="C11" i="19"/>
  <c r="Q18" i="13"/>
  <c r="R18" i="13"/>
  <c r="S18" i="13"/>
  <c r="T18" i="13"/>
  <c r="U18" i="13"/>
  <c r="V18" i="13"/>
  <c r="W18" i="13"/>
  <c r="AB18" i="13"/>
  <c r="M18" i="13"/>
  <c r="H18" i="13"/>
  <c r="N18" i="13"/>
  <c r="O18" i="13"/>
  <c r="P18" i="13"/>
  <c r="G18" i="13"/>
  <c r="I18" i="13"/>
  <c r="K18" i="13"/>
  <c r="L18" i="13"/>
  <c r="D18" i="13"/>
  <c r="J18" i="13"/>
  <c r="E18" i="13"/>
  <c r="F18" i="13"/>
  <c r="Z18" i="13"/>
  <c r="AA18" i="13"/>
  <c r="X18" i="13"/>
  <c r="Y18" i="13"/>
  <c r="C18" i="13"/>
  <c r="R11" i="12"/>
  <c r="S11" i="12"/>
  <c r="T11" i="12"/>
  <c r="U11" i="12"/>
  <c r="V11" i="12"/>
  <c r="W11" i="12"/>
  <c r="D11" i="12"/>
  <c r="X11" i="12"/>
  <c r="E11" i="12"/>
  <c r="Y11" i="12"/>
  <c r="O11" i="12"/>
  <c r="P11" i="12"/>
  <c r="H11" i="12"/>
  <c r="K11" i="12"/>
  <c r="M11" i="12"/>
  <c r="J11" i="12"/>
  <c r="L11" i="12"/>
  <c r="Z11" i="12"/>
  <c r="F11" i="12"/>
  <c r="G11" i="12"/>
  <c r="I11" i="12"/>
  <c r="N11" i="12"/>
  <c r="Q11" i="12"/>
  <c r="AA11" i="12"/>
  <c r="AB11" i="12"/>
  <c r="C11" i="12"/>
  <c r="W14" i="12"/>
  <c r="D14" i="12"/>
  <c r="X14" i="12"/>
  <c r="E14" i="12"/>
  <c r="Y14" i="12"/>
  <c r="F14" i="12"/>
  <c r="Z14" i="12"/>
  <c r="G14" i="12"/>
  <c r="AA14" i="12"/>
  <c r="H14" i="12"/>
  <c r="AB14" i="12"/>
  <c r="I14" i="12"/>
  <c r="J14" i="12"/>
  <c r="S14" i="12"/>
  <c r="K14" i="12"/>
  <c r="L14" i="12"/>
  <c r="N14" i="12"/>
  <c r="T14" i="12"/>
  <c r="U14" i="12"/>
  <c r="C14" i="12"/>
  <c r="V14" i="12"/>
  <c r="M14" i="12"/>
  <c r="O14" i="12"/>
  <c r="Q14" i="12"/>
  <c r="R14" i="12"/>
  <c r="P14" i="12"/>
  <c r="F18" i="19"/>
  <c r="Z18" i="19"/>
  <c r="G18" i="19"/>
  <c r="AA18" i="19"/>
  <c r="H18" i="19"/>
  <c r="AB18" i="19"/>
  <c r="I18" i="19"/>
  <c r="J18" i="19"/>
  <c r="K18" i="19"/>
  <c r="L18" i="19"/>
  <c r="O18" i="19"/>
  <c r="R18" i="19"/>
  <c r="E18" i="19"/>
  <c r="S18" i="19"/>
  <c r="N18" i="19"/>
  <c r="Q18" i="19"/>
  <c r="D18" i="19"/>
  <c r="T18" i="19"/>
  <c r="V18" i="19"/>
  <c r="M18" i="19"/>
  <c r="P18" i="19"/>
  <c r="U18" i="19"/>
  <c r="X18" i="19"/>
  <c r="Y18" i="19"/>
  <c r="W18" i="19"/>
  <c r="C18" i="19"/>
  <c r="W19" i="19"/>
  <c r="X19" i="19"/>
  <c r="Y19" i="19"/>
  <c r="F19" i="19"/>
  <c r="Z19" i="19"/>
  <c r="G19" i="19"/>
  <c r="AA19" i="19"/>
  <c r="H19" i="19"/>
  <c r="AB19" i="19"/>
  <c r="I19" i="19"/>
  <c r="K19" i="19"/>
  <c r="O19" i="19"/>
  <c r="S19" i="19"/>
  <c r="D19" i="19"/>
  <c r="L19" i="19"/>
  <c r="E19" i="19"/>
  <c r="M19" i="19"/>
  <c r="P19" i="19"/>
  <c r="N19" i="19"/>
  <c r="Q19" i="19"/>
  <c r="R19" i="19"/>
  <c r="T19" i="19"/>
  <c r="V19" i="19"/>
  <c r="U19" i="19"/>
  <c r="J19" i="19"/>
  <c r="C19" i="19"/>
  <c r="L19" i="13"/>
  <c r="M19" i="13"/>
  <c r="N19" i="13"/>
  <c r="O19" i="13"/>
  <c r="P19" i="13"/>
  <c r="Q19" i="13"/>
  <c r="R19" i="13"/>
  <c r="Y19" i="13"/>
  <c r="D19" i="13"/>
  <c r="W19" i="13"/>
  <c r="E19" i="13"/>
  <c r="I19" i="13"/>
  <c r="J19" i="13"/>
  <c r="F19" i="13"/>
  <c r="H19" i="13"/>
  <c r="X19" i="13"/>
  <c r="G19" i="13"/>
  <c r="K19" i="13"/>
  <c r="S19" i="13"/>
  <c r="T19" i="13"/>
  <c r="U19" i="13"/>
  <c r="V19" i="13"/>
  <c r="Z19" i="13"/>
  <c r="AA19" i="13"/>
  <c r="AB19" i="13"/>
  <c r="C19" i="13"/>
  <c r="J10" i="19"/>
  <c r="K10" i="19"/>
  <c r="L10" i="19"/>
  <c r="M10" i="19"/>
  <c r="N10" i="19"/>
  <c r="O10" i="19"/>
  <c r="P10" i="19"/>
  <c r="V10" i="19"/>
  <c r="G10" i="19"/>
  <c r="W10" i="19"/>
  <c r="F10" i="19"/>
  <c r="H10" i="19"/>
  <c r="I10" i="19"/>
  <c r="Q10" i="19"/>
  <c r="X10" i="19"/>
  <c r="Y10" i="19"/>
  <c r="Z10" i="19"/>
  <c r="AA10" i="19"/>
  <c r="AB10" i="19"/>
  <c r="R10" i="19"/>
  <c r="D10" i="19"/>
  <c r="E10" i="19"/>
  <c r="U10" i="19"/>
  <c r="S10" i="19"/>
  <c r="T10" i="19"/>
  <c r="C10" i="19"/>
  <c r="R14" i="19"/>
  <c r="E14" i="19"/>
  <c r="S14" i="19"/>
  <c r="T14" i="19"/>
  <c r="U14" i="19"/>
  <c r="V14" i="19"/>
  <c r="W14" i="19"/>
  <c r="X14" i="19"/>
  <c r="Y14" i="19"/>
  <c r="AB14" i="19"/>
  <c r="Z14" i="19"/>
  <c r="K14" i="19"/>
  <c r="AA14" i="19"/>
  <c r="G14" i="19"/>
  <c r="H14" i="19"/>
  <c r="D14" i="19"/>
  <c r="L14" i="19"/>
  <c r="M14" i="19"/>
  <c r="F14" i="19"/>
  <c r="I14" i="19"/>
  <c r="J14" i="19"/>
  <c r="P14" i="19"/>
  <c r="Q14" i="19"/>
  <c r="N14" i="19"/>
  <c r="O14" i="19"/>
  <c r="C14" i="19"/>
  <c r="R19" i="12"/>
  <c r="S19" i="12"/>
  <c r="T19" i="12"/>
  <c r="C19" i="12"/>
  <c r="U19" i="12"/>
  <c r="V19" i="12"/>
  <c r="W19" i="12"/>
  <c r="D19" i="12"/>
  <c r="X19" i="12"/>
  <c r="E19" i="12"/>
  <c r="Y19" i="12"/>
  <c r="M19" i="12"/>
  <c r="P19" i="12"/>
  <c r="AB19" i="12"/>
  <c r="K19" i="12"/>
  <c r="O19" i="12"/>
  <c r="Z19" i="12"/>
  <c r="F19" i="12"/>
  <c r="L19" i="12"/>
  <c r="Q19" i="12"/>
  <c r="G19" i="12"/>
  <c r="N19" i="12"/>
  <c r="AA19" i="12"/>
  <c r="H19" i="12"/>
  <c r="I19" i="12"/>
  <c r="J19" i="12"/>
  <c r="L11" i="13"/>
  <c r="M11" i="13"/>
  <c r="N11" i="13"/>
  <c r="O11" i="13"/>
  <c r="P11" i="13"/>
  <c r="Q11" i="13"/>
  <c r="R11" i="13"/>
  <c r="S11" i="13"/>
  <c r="G11" i="13"/>
  <c r="AB11" i="13"/>
  <c r="H11" i="13"/>
  <c r="Z11" i="13"/>
  <c r="AA11" i="13"/>
  <c r="I11" i="13"/>
  <c r="U11" i="13"/>
  <c r="W11" i="13"/>
  <c r="Y11" i="13"/>
  <c r="J11" i="13"/>
  <c r="K11" i="13"/>
  <c r="T11" i="13"/>
  <c r="V11" i="13"/>
  <c r="X11" i="13"/>
  <c r="E11" i="13"/>
  <c r="F11" i="13"/>
  <c r="D11" i="13"/>
  <c r="C11" i="13"/>
  <c r="Q14" i="13"/>
  <c r="R14" i="13"/>
  <c r="S14" i="13"/>
  <c r="T14" i="13"/>
  <c r="U14" i="13"/>
  <c r="V14" i="13"/>
  <c r="W14" i="13"/>
  <c r="N14" i="13"/>
  <c r="P14" i="13"/>
  <c r="Y14" i="13"/>
  <c r="X14" i="13"/>
  <c r="D14" i="13"/>
  <c r="K14" i="13"/>
  <c r="L14" i="13"/>
  <c r="M14" i="13"/>
  <c r="O14" i="13"/>
  <c r="E14" i="13"/>
  <c r="I14" i="13"/>
  <c r="J14" i="13"/>
  <c r="F14" i="13"/>
  <c r="G14" i="13"/>
  <c r="H14" i="13"/>
  <c r="Z14" i="13"/>
  <c r="AA14" i="13"/>
  <c r="AB14" i="13"/>
  <c r="C14" i="13"/>
  <c r="L3" i="13"/>
  <c r="M3" i="13"/>
  <c r="N3" i="13"/>
  <c r="O3" i="13"/>
  <c r="P3" i="13"/>
  <c r="Q3" i="13"/>
  <c r="R3" i="13"/>
  <c r="S3" i="13"/>
  <c r="J3" i="13"/>
  <c r="D3" i="13"/>
  <c r="E3" i="13"/>
  <c r="K3" i="13"/>
  <c r="AA3" i="13"/>
  <c r="T3" i="13"/>
  <c r="X3" i="13"/>
  <c r="U3" i="13"/>
  <c r="Y3" i="13"/>
  <c r="F3" i="13"/>
  <c r="V3" i="13"/>
  <c r="W3" i="13"/>
  <c r="Z3" i="13"/>
  <c r="AB3" i="13"/>
  <c r="G3" i="13"/>
  <c r="H3" i="13"/>
  <c r="I3" i="13"/>
  <c r="C3" i="13"/>
  <c r="C27" i="9"/>
  <c r="B3" i="19" s="1"/>
  <c r="C9" i="9"/>
  <c r="C33" i="9" s="1"/>
  <c r="B9" i="19" s="1"/>
  <c r="E18" i="9"/>
  <c r="E42" i="9" s="1"/>
  <c r="E10" i="9"/>
  <c r="E14" i="9"/>
  <c r="E11" i="9"/>
  <c r="E19" i="9"/>
  <c r="E43" i="9" s="1"/>
  <c r="E3" i="9"/>
  <c r="E5" i="9"/>
  <c r="E4" i="9"/>
  <c r="E20" i="9"/>
  <c r="E44" i="9" s="1"/>
  <c r="K3" i="19" l="1"/>
  <c r="L3" i="19"/>
  <c r="M3" i="19"/>
  <c r="N3" i="19"/>
  <c r="O3" i="19"/>
  <c r="P3" i="19"/>
  <c r="Q3" i="19"/>
  <c r="I3" i="19"/>
  <c r="J3" i="19"/>
  <c r="W3" i="19"/>
  <c r="X3" i="19"/>
  <c r="Z3" i="19"/>
  <c r="R3" i="19"/>
  <c r="V3" i="19"/>
  <c r="S3" i="19"/>
  <c r="D3" i="19"/>
  <c r="AA3" i="19"/>
  <c r="T3" i="19"/>
  <c r="E3" i="19"/>
  <c r="U3" i="19"/>
  <c r="Y3" i="19"/>
  <c r="AB3" i="19"/>
  <c r="F3" i="19"/>
  <c r="G3" i="19"/>
  <c r="H3" i="19"/>
  <c r="C3" i="19"/>
  <c r="E9" i="9"/>
  <c r="E33" i="9" s="1"/>
  <c r="E35" i="9"/>
  <c r="E36" i="9"/>
  <c r="E38" i="9"/>
  <c r="E27" i="9"/>
  <c r="E34" i="9"/>
  <c r="E28" i="9"/>
  <c r="E29"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Wang</author>
    <author>ywu</author>
    <author>Jeongwoo Han</author>
    <author>jhan</author>
    <author>A Elgowainy</author>
  </authors>
  <commentList>
    <comment ref="B4" authorId="0" shapeId="0" xr:uid="{00000000-0006-0000-0600-000001000000}">
      <text>
        <r>
          <rPr>
            <sz val="8"/>
            <color indexed="81"/>
            <rFont val="Tahoma"/>
            <family val="2"/>
          </rPr>
          <t>GREET's calculations use LHVs. If one decides to use HHVs, the HHV cell values in this sheet can be pasted into the cells in this column. However, combustion emission factors in the EF sheet need to be changed, according to the differences between LHV and HHV for each fuel.</t>
        </r>
      </text>
    </comment>
    <comment ref="H4" authorId="0" shapeId="0" xr:uid="{00000000-0006-0000-0600-000002000000}">
      <text>
        <r>
          <rPr>
            <sz val="8"/>
            <color indexed="81"/>
            <rFont val="Tahoma"/>
            <family val="2"/>
          </rPr>
          <t xml:space="preserve">Values in this column are calculated from those in the left column. Values here are used for calculations in other sheets. Values in the left column are inputted in ppm for high transparency.
</t>
        </r>
      </text>
    </comment>
    <comment ref="G15" authorId="0" shapeId="0" xr:uid="{00000000-0006-0000-0600-000003000000}">
      <text>
        <r>
          <rPr>
            <sz val="8"/>
            <color indexed="81"/>
            <rFont val="Arial"/>
            <family val="2"/>
          </rPr>
          <t>Value here is from a TS look-up table. User should not change the value here.</t>
        </r>
        <r>
          <rPr>
            <sz val="9"/>
            <color indexed="81"/>
            <rFont val="Tahoma"/>
            <family val="2"/>
          </rPr>
          <t xml:space="preserve">
</t>
        </r>
      </text>
    </comment>
    <comment ref="G20" authorId="0" shapeId="0" xr:uid="{00000000-0006-0000-0600-000004000000}">
      <text>
        <r>
          <rPr>
            <sz val="8"/>
            <color indexed="81"/>
            <rFont val="Arial"/>
            <family val="2"/>
          </rPr>
          <t>Value here is from a TS look-up table. User should not change the value here.</t>
        </r>
        <r>
          <rPr>
            <sz val="9"/>
            <color indexed="81"/>
            <rFont val="Tahoma"/>
            <family val="2"/>
          </rPr>
          <t xml:space="preserve">
</t>
        </r>
      </text>
    </comment>
    <comment ref="G21" authorId="0" shapeId="0" xr:uid="{00000000-0006-0000-0600-000005000000}">
      <text>
        <r>
          <rPr>
            <sz val="8"/>
            <color indexed="81"/>
            <rFont val="Arial"/>
            <family val="2"/>
          </rPr>
          <t>Value here is from a TS look-up table. User should not change the value here.</t>
        </r>
        <r>
          <rPr>
            <sz val="9"/>
            <color indexed="81"/>
            <rFont val="Tahoma"/>
            <family val="2"/>
          </rPr>
          <t xml:space="preserve">
</t>
        </r>
      </text>
    </comment>
    <comment ref="G22" authorId="0" shapeId="0" xr:uid="{00000000-0006-0000-0600-000006000000}">
      <text>
        <r>
          <rPr>
            <sz val="8"/>
            <color indexed="81"/>
            <rFont val="Arial"/>
            <family val="2"/>
          </rPr>
          <t>Value here is from a TS look-up table. User should not change the value here.
Beginning June 1, 2007, non-road diesel is required to have maxium of 500 ppm S; and beginning June 1, 2012, the S content is reduced to 15 ppm.
Sources: Final regulatory analysis: control of emissions from non-road diesel engines. US EPA, EPA420-R-04-007, 2004.</t>
        </r>
        <r>
          <rPr>
            <sz val="9"/>
            <color indexed="81"/>
            <rFont val="Tahoma"/>
            <family val="2"/>
          </rPr>
          <t xml:space="preserve">
</t>
        </r>
      </text>
    </comment>
    <comment ref="G29" authorId="1" shapeId="0" xr:uid="{00000000-0006-0000-0600-000007000000}">
      <text>
        <r>
          <rPr>
            <sz val="8"/>
            <color indexed="81"/>
            <rFont val="Tahoma"/>
            <family val="2"/>
          </rPr>
          <t>From a report prepaed by ENVIRON International Corporation (Los Angeles, CA, 2004) for the Port Authority of Long Beach Ports).</t>
        </r>
        <r>
          <rPr>
            <sz val="8"/>
            <color indexed="81"/>
            <rFont val="Tahoma"/>
            <family val="2"/>
          </rPr>
          <t xml:space="preserve">
</t>
        </r>
      </text>
    </comment>
    <comment ref="A43" authorId="2" shapeId="0" xr:uid="{00000000-0006-0000-0600-000008000000}">
      <text>
        <r>
          <rPr>
            <sz val="9"/>
            <color indexed="81"/>
            <rFont val="Tahoma"/>
            <family val="2"/>
          </rPr>
          <t>For algae-based renewable diesel only</t>
        </r>
      </text>
    </comment>
    <comment ref="A63" authorId="3" shapeId="0" xr:uid="{00000000-0006-0000-0600-000009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B65" authorId="4" shapeId="0" xr:uid="{00000000-0006-0000-0600-00000A000000}">
      <text>
        <r>
          <rPr>
            <b/>
            <sz val="10"/>
            <color indexed="81"/>
            <rFont val="Tahoma"/>
            <family val="2"/>
          </rPr>
          <t>Btu per (short ton, as received)</t>
        </r>
        <r>
          <rPr>
            <sz val="10"/>
            <color indexed="81"/>
            <rFont val="Tahoma"/>
            <family val="2"/>
          </rPr>
          <t xml:space="preserve">
</t>
        </r>
      </text>
    </comment>
    <comment ref="A66" authorId="0" shapeId="0" xr:uid="{00000000-0006-0000-0600-00000B000000}">
      <text>
        <r>
          <rPr>
            <sz val="8"/>
            <color indexed="81"/>
            <rFont val="Tahoma"/>
            <family val="2"/>
          </rPr>
          <t xml:space="preserve">As feedstock for coal-based H2 and FTD production pathways.
</t>
        </r>
      </text>
    </comment>
    <comment ref="B66" authorId="4" shapeId="0" xr:uid="{00000000-0006-0000-0600-00000C000000}">
      <text>
        <r>
          <rPr>
            <b/>
            <sz val="10"/>
            <color indexed="81"/>
            <rFont val="Tahoma"/>
            <family val="2"/>
          </rPr>
          <t>Btu per (short ton, as received)
Moisture Content: 4.5% wt.</t>
        </r>
        <r>
          <rPr>
            <sz val="10"/>
            <color indexed="81"/>
            <rFont val="Tahoma"/>
            <family val="2"/>
          </rPr>
          <t xml:space="preserve">
</t>
        </r>
      </text>
    </comment>
    <comment ref="D66" authorId="3" shapeId="0" xr:uid="{00000000-0006-0000-0600-00000D000000}">
      <text>
        <r>
          <rPr>
            <sz val="9"/>
            <color indexed="81"/>
            <rFont val="Tahoma"/>
            <family val="2"/>
          </rPr>
          <t>Based on EIA-423</t>
        </r>
      </text>
    </comment>
    <comment ref="F66" authorId="3" shapeId="0" xr:uid="{00000000-0006-0000-0600-00000E000000}">
      <text>
        <r>
          <rPr>
            <sz val="9"/>
            <color indexed="81"/>
            <rFont val="Tahoma"/>
            <family val="2"/>
          </rPr>
          <t>Calculated from the USGS database (2006)</t>
        </r>
      </text>
    </comment>
    <comment ref="G66" authorId="3" shapeId="0" xr:uid="{00000000-0006-0000-0600-00000F000000}">
      <text>
        <r>
          <rPr>
            <sz val="9"/>
            <color indexed="81"/>
            <rFont val="Tahoma"/>
            <family val="2"/>
          </rPr>
          <t>Based on EIA-423</t>
        </r>
      </text>
    </comment>
    <comment ref="I66" authorId="3" shapeId="0" xr:uid="{00000000-0006-0000-0600-000010000000}">
      <text>
        <r>
          <rPr>
            <sz val="9"/>
            <color indexed="81"/>
            <rFont val="Tahoma"/>
            <family val="2"/>
          </rPr>
          <t>Calculated from the USGS database (2006)</t>
        </r>
      </text>
    </comment>
    <comment ref="B67" authorId="4" shapeId="0" xr:uid="{00000000-0006-0000-0600-000011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22.4% wt.</t>
        </r>
      </text>
    </comment>
    <comment ref="D67" authorId="3" shapeId="0" xr:uid="{00000000-0006-0000-0600-000012000000}">
      <text>
        <r>
          <rPr>
            <sz val="9"/>
            <color indexed="81"/>
            <rFont val="Tahoma"/>
            <family val="2"/>
          </rPr>
          <t>Based on EIA-423</t>
        </r>
      </text>
    </comment>
    <comment ref="F67" authorId="3" shapeId="0" xr:uid="{00000000-0006-0000-0600-000013000000}">
      <text>
        <r>
          <rPr>
            <sz val="9"/>
            <color indexed="81"/>
            <rFont val="Tahoma"/>
            <family val="2"/>
          </rPr>
          <t>Calculated from the USGS database (2006)</t>
        </r>
      </text>
    </comment>
    <comment ref="G67" authorId="3" shapeId="0" xr:uid="{00000000-0006-0000-0600-000014000000}">
      <text>
        <r>
          <rPr>
            <sz val="9"/>
            <color indexed="81"/>
            <rFont val="Tahoma"/>
            <family val="2"/>
          </rPr>
          <t>Based on EIA-423</t>
        </r>
      </text>
    </comment>
    <comment ref="I67" authorId="3" shapeId="0" xr:uid="{00000000-0006-0000-0600-000015000000}">
      <text>
        <r>
          <rPr>
            <sz val="9"/>
            <color indexed="81"/>
            <rFont val="Tahoma"/>
            <family val="2"/>
          </rPr>
          <t>Calculated from the USGS database (2006)</t>
        </r>
      </text>
    </comment>
    <comment ref="B68" authorId="4" shapeId="0" xr:uid="{00000000-0006-0000-0600-000016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31.9% wt.</t>
        </r>
      </text>
    </comment>
    <comment ref="D68" authorId="3" shapeId="0" xr:uid="{00000000-0006-0000-0600-000017000000}">
      <text>
        <r>
          <rPr>
            <sz val="9"/>
            <color indexed="81"/>
            <rFont val="Tahoma"/>
            <family val="2"/>
          </rPr>
          <t>Based on EIA-423</t>
        </r>
      </text>
    </comment>
    <comment ref="F68" authorId="3" shapeId="0" xr:uid="{00000000-0006-0000-0600-000018000000}">
      <text>
        <r>
          <rPr>
            <sz val="9"/>
            <color indexed="81"/>
            <rFont val="Tahoma"/>
            <family val="2"/>
          </rPr>
          <t>Calculated from the USGS database (2006)</t>
        </r>
      </text>
    </comment>
    <comment ref="G68" authorId="3" shapeId="0" xr:uid="{00000000-0006-0000-0600-000019000000}">
      <text>
        <r>
          <rPr>
            <sz val="9"/>
            <color indexed="81"/>
            <rFont val="Tahoma"/>
            <family val="2"/>
          </rPr>
          <t>Based on EIA-423</t>
        </r>
      </text>
    </comment>
    <comment ref="I68" authorId="3" shapeId="0" xr:uid="{00000000-0006-0000-0600-00001A000000}">
      <text>
        <r>
          <rPr>
            <sz val="9"/>
            <color indexed="81"/>
            <rFont val="Tahoma"/>
            <family val="2"/>
          </rPr>
          <t>Calculated from the USGS database (2006)</t>
        </r>
      </text>
    </comment>
    <comment ref="B69" authorId="4" shapeId="0" xr:uid="{00000000-0006-0000-0600-00001B000000}">
      <text>
        <r>
          <rPr>
            <b/>
            <sz val="10"/>
            <color indexed="81"/>
            <rFont val="Tahoma"/>
            <family val="2"/>
          </rPr>
          <t>Btu per (short ton, as received)</t>
        </r>
        <r>
          <rPr>
            <sz val="10"/>
            <color indexed="81"/>
            <rFont val="Tahoma"/>
            <family val="2"/>
          </rPr>
          <t xml:space="preserve">
</t>
        </r>
      </text>
    </comment>
    <comment ref="D69" authorId="3" shapeId="0" xr:uid="{00000000-0006-0000-0600-00001C000000}">
      <text>
        <r>
          <rPr>
            <sz val="9"/>
            <color indexed="81"/>
            <rFont val="Tahoma"/>
            <family val="2"/>
          </rPr>
          <t>Assumed to be the same as bituminous coal</t>
        </r>
      </text>
    </comment>
    <comment ref="F69" authorId="3" shapeId="0" xr:uid="{00000000-0006-0000-0600-00001D000000}">
      <text>
        <r>
          <rPr>
            <sz val="9"/>
            <color indexed="81"/>
            <rFont val="Tahoma"/>
            <family val="2"/>
          </rPr>
          <t>Based on EIA-423</t>
        </r>
      </text>
    </comment>
    <comment ref="G69" authorId="3" shapeId="0" xr:uid="{00000000-0006-0000-0600-00001E000000}">
      <text>
        <r>
          <rPr>
            <sz val="9"/>
            <color indexed="81"/>
            <rFont val="Tahoma"/>
            <family val="2"/>
          </rPr>
          <t>Based on EIA-423</t>
        </r>
      </text>
    </comment>
    <comment ref="I69" authorId="3" shapeId="0" xr:uid="{00000000-0006-0000-0600-00001F000000}">
      <text>
        <r>
          <rPr>
            <sz val="9"/>
            <color indexed="81"/>
            <rFont val="Tahoma"/>
            <family val="2"/>
          </rPr>
          <t>Assumed to be the same as bituminous coal</t>
        </r>
      </text>
    </comment>
    <comment ref="B70" authorId="4" shapeId="0" xr:uid="{00000000-0006-0000-0600-000020000000}">
      <text>
        <r>
          <rPr>
            <b/>
            <sz val="10"/>
            <color indexed="81"/>
            <rFont val="Tahoma"/>
            <family val="2"/>
          </rPr>
          <t>Btu per (short ton, as received)</t>
        </r>
        <r>
          <rPr>
            <sz val="10"/>
            <color indexed="81"/>
            <rFont val="Tahoma"/>
            <family val="2"/>
          </rPr>
          <t xml:space="preserve">
</t>
        </r>
      </text>
    </comment>
    <comment ref="D70" authorId="3" shapeId="0" xr:uid="{00000000-0006-0000-0600-000021000000}">
      <text>
        <r>
          <rPr>
            <sz val="9"/>
            <color indexed="81"/>
            <rFont val="Tahoma"/>
            <family val="2"/>
          </rPr>
          <t>Based on EIA-423</t>
        </r>
      </text>
    </comment>
    <comment ref="F70" authorId="3" shapeId="0" xr:uid="{00000000-0006-0000-0600-000022000000}">
      <text>
        <r>
          <rPr>
            <sz val="9"/>
            <color indexed="81"/>
            <rFont val="Tahoma"/>
            <family val="2"/>
          </rPr>
          <t>Based on EIA-423</t>
        </r>
      </text>
    </comment>
    <comment ref="G70" authorId="3" shapeId="0" xr:uid="{00000000-0006-0000-0600-000023000000}">
      <text>
        <r>
          <rPr>
            <sz val="9"/>
            <color indexed="81"/>
            <rFont val="Tahoma"/>
            <family val="2"/>
          </rPr>
          <t>Assumed to be the same as lignite coal</t>
        </r>
      </text>
    </comment>
    <comment ref="I70" authorId="3" shapeId="0" xr:uid="{00000000-0006-0000-0600-000024000000}">
      <text>
        <r>
          <rPr>
            <sz val="9"/>
            <color indexed="81"/>
            <rFont val="Tahoma"/>
            <family val="2"/>
          </rPr>
          <t>Assumed to be the same as lignite coal</t>
        </r>
      </text>
    </comment>
    <comment ref="B71" authorId="4" shapeId="0" xr:uid="{00000000-0006-0000-0600-000025000000}">
      <text>
        <r>
          <rPr>
            <b/>
            <sz val="10"/>
            <color indexed="81"/>
            <rFont val="Tahoma"/>
            <family val="2"/>
          </rPr>
          <t>Btu per (short ton, as received)</t>
        </r>
        <r>
          <rPr>
            <sz val="10"/>
            <color indexed="81"/>
            <rFont val="Tahoma"/>
            <family val="2"/>
          </rPr>
          <t xml:space="preserve">
</t>
        </r>
      </text>
    </comment>
    <comment ref="D71" authorId="3" shapeId="0" xr:uid="{00000000-0006-0000-0600-000026000000}">
      <text>
        <r>
          <rPr>
            <sz val="9"/>
            <color indexed="81"/>
            <rFont val="Tahoma"/>
            <family val="2"/>
          </rPr>
          <t>Based on EIA-423</t>
        </r>
      </text>
    </comment>
    <comment ref="F71" authorId="3" shapeId="0" xr:uid="{00000000-0006-0000-0600-000027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G71" authorId="3" shapeId="0" xr:uid="{00000000-0006-0000-0600-000028000000}">
      <text>
        <r>
          <rPr>
            <sz val="9"/>
            <color indexed="81"/>
            <rFont val="Tahoma"/>
            <family val="2"/>
          </rPr>
          <t>Based on EIA-423</t>
        </r>
      </text>
    </comment>
    <comment ref="I71" authorId="3" shapeId="0" xr:uid="{00000000-0006-0000-0600-000029000000}">
      <text>
        <r>
          <rPr>
            <sz val="9"/>
            <color indexed="81"/>
            <rFont val="Tahoma"/>
            <family val="2"/>
          </rPr>
          <t>Based on the ratio in the previous GREET</t>
        </r>
      </text>
    </comment>
    <comment ref="B72" authorId="4" shapeId="0" xr:uid="{00000000-0006-0000-0600-00002A000000}">
      <text>
        <r>
          <rPr>
            <b/>
            <sz val="10"/>
            <color indexed="81"/>
            <rFont val="Tahoma"/>
            <family val="2"/>
          </rPr>
          <t>Btu per (short ton, as received)</t>
        </r>
        <r>
          <rPr>
            <sz val="10"/>
            <color indexed="81"/>
            <rFont val="Tahoma"/>
            <family val="2"/>
          </rPr>
          <t xml:space="preserve">
</t>
        </r>
      </text>
    </comment>
    <comment ref="D72" authorId="3" shapeId="0" xr:uid="{00000000-0006-0000-0600-00002B000000}">
      <text>
        <r>
          <rPr>
            <sz val="9"/>
            <color indexed="81"/>
            <rFont val="Tahoma"/>
            <family val="2"/>
          </rPr>
          <t>Based on EIA-423</t>
        </r>
      </text>
    </comment>
    <comment ref="F72" authorId="3" shapeId="0" xr:uid="{00000000-0006-0000-0600-00002C000000}">
      <text>
        <r>
          <rPr>
            <sz val="9"/>
            <color indexed="81"/>
            <rFont val="Tahoma"/>
            <family val="2"/>
          </rPr>
          <t>Based on EIA-423</t>
        </r>
      </text>
    </comment>
    <comment ref="G72" authorId="3" shapeId="0" xr:uid="{00000000-0006-0000-0600-00002D000000}">
      <text>
        <r>
          <rPr>
            <sz val="9"/>
            <color indexed="81"/>
            <rFont val="Tahoma"/>
            <family val="2"/>
          </rPr>
          <t>Assumed to be the same as pet coke</t>
        </r>
      </text>
    </comment>
    <comment ref="I72" authorId="3" shapeId="0" xr:uid="{00000000-0006-0000-0600-00002E000000}">
      <text>
        <r>
          <rPr>
            <sz val="9"/>
            <color indexed="81"/>
            <rFont val="Tahoma"/>
            <family val="2"/>
          </rPr>
          <t>Assumed to be the same as pet coke</t>
        </r>
      </text>
    </comment>
    <comment ref="B73" authorId="4" shapeId="0" xr:uid="{00000000-0006-0000-0600-00002F000000}">
      <text>
        <r>
          <rPr>
            <b/>
            <sz val="10"/>
            <color indexed="81"/>
            <rFont val="Tahoma"/>
            <family val="2"/>
          </rPr>
          <t>Btu per (short ton, as received)</t>
        </r>
        <r>
          <rPr>
            <sz val="10"/>
            <color indexed="81"/>
            <rFont val="Tahoma"/>
            <family val="2"/>
          </rPr>
          <t xml:space="preserve">
</t>
        </r>
      </text>
    </comment>
    <comment ref="B74" authorId="4" shapeId="0" xr:uid="{00000000-0006-0000-0600-000030000000}">
      <text>
        <r>
          <rPr>
            <b/>
            <sz val="10"/>
            <color indexed="81"/>
            <rFont val="Tahoma"/>
            <family val="2"/>
          </rPr>
          <t>Btu per (short ton, dry matter)</t>
        </r>
        <r>
          <rPr>
            <sz val="10"/>
            <color indexed="81"/>
            <rFont val="Tahoma"/>
            <family val="2"/>
          </rPr>
          <t xml:space="preserve">
</t>
        </r>
      </text>
    </comment>
    <comment ref="B76" authorId="4" shapeId="0" xr:uid="{00000000-0006-0000-0600-000031000000}">
      <text>
        <r>
          <rPr>
            <b/>
            <sz val="10"/>
            <color indexed="81"/>
            <rFont val="Tahoma"/>
            <family val="2"/>
          </rPr>
          <t>Btu per (short ton, dry matter)</t>
        </r>
        <r>
          <rPr>
            <sz val="10"/>
            <color indexed="81"/>
            <rFont val="Tahoma"/>
            <family val="2"/>
          </rPr>
          <t xml:space="preserve">
</t>
        </r>
      </text>
    </comment>
    <comment ref="B77" authorId="4" shapeId="0" xr:uid="{00000000-0006-0000-0600-000032000000}">
      <text>
        <r>
          <rPr>
            <b/>
            <sz val="10"/>
            <color indexed="81"/>
            <rFont val="Tahoma"/>
            <family val="2"/>
          </rPr>
          <t>Btu per (short ton, dry matter)</t>
        </r>
        <r>
          <rPr>
            <sz val="10"/>
            <color indexed="81"/>
            <rFont val="Tahoma"/>
            <family val="2"/>
          </rPr>
          <t xml:space="preserve">
</t>
        </r>
      </text>
    </comment>
    <comment ref="B78" authorId="4" shapeId="0" xr:uid="{00000000-0006-0000-0600-000033000000}">
      <text>
        <r>
          <rPr>
            <b/>
            <sz val="10"/>
            <color indexed="81"/>
            <rFont val="Tahoma"/>
            <family val="2"/>
          </rPr>
          <t>Btu per (short ton, dry matter)</t>
        </r>
        <r>
          <rPr>
            <sz val="10"/>
            <color indexed="81"/>
            <rFont val="Tahoma"/>
            <family val="2"/>
          </rPr>
          <t xml:space="preserve">
</t>
        </r>
      </text>
    </comment>
    <comment ref="B79" authorId="4" shapeId="0" xr:uid="{00000000-0006-0000-0600-000034000000}">
      <text>
        <r>
          <rPr>
            <b/>
            <sz val="10"/>
            <color indexed="81"/>
            <rFont val="Tahoma"/>
            <family val="2"/>
          </rPr>
          <t>Btu per (short ton, dry matter)</t>
        </r>
        <r>
          <rPr>
            <sz val="10"/>
            <color indexed="81"/>
            <rFont val="Tahoma"/>
            <family val="2"/>
          </rPr>
          <t xml:space="preserve">
</t>
        </r>
      </text>
    </comment>
    <comment ref="B80" authorId="4" shapeId="0" xr:uid="{00000000-0006-0000-0600-000035000000}">
      <text>
        <r>
          <rPr>
            <b/>
            <sz val="10"/>
            <color indexed="81"/>
            <rFont val="Tahoma"/>
            <family val="2"/>
          </rPr>
          <t>Btu per (short ton, dry matter)</t>
        </r>
        <r>
          <rPr>
            <sz val="10"/>
            <color indexed="81"/>
            <rFont val="Tahoma"/>
            <family val="2"/>
          </rPr>
          <t xml:space="preserve">
</t>
        </r>
      </text>
    </comment>
    <comment ref="B81" authorId="4" shapeId="0" xr:uid="{00000000-0006-0000-0600-000036000000}">
      <text>
        <r>
          <rPr>
            <b/>
            <sz val="10"/>
            <color indexed="81"/>
            <rFont val="Tahoma"/>
            <family val="2"/>
          </rPr>
          <t>Btu per (short ton, dry matter)</t>
        </r>
        <r>
          <rPr>
            <sz val="10"/>
            <color indexed="81"/>
            <rFont val="Tahoma"/>
            <family val="2"/>
          </rPr>
          <t xml:space="preserve">
</t>
        </r>
      </text>
    </comment>
    <comment ref="B82" authorId="4" shapeId="0" xr:uid="{00000000-0006-0000-0600-000037000000}">
      <text>
        <r>
          <rPr>
            <b/>
            <sz val="10"/>
            <color indexed="81"/>
            <rFont val="Tahoma"/>
            <family val="2"/>
          </rPr>
          <t>Btu per (short ton, dry matter)</t>
        </r>
        <r>
          <rPr>
            <sz val="10"/>
            <color indexed="81"/>
            <rFont val="Tahoma"/>
            <family val="2"/>
          </rPr>
          <t xml:space="preserve">
</t>
        </r>
      </text>
    </comment>
    <comment ref="B83" authorId="4" shapeId="0" xr:uid="{00000000-0006-0000-0600-000038000000}">
      <text>
        <r>
          <rPr>
            <b/>
            <sz val="10"/>
            <color indexed="81"/>
            <rFont val="Tahoma"/>
            <family val="2"/>
          </rPr>
          <t>Btu per (short ton, as received)</t>
        </r>
        <r>
          <rPr>
            <sz val="10"/>
            <color indexed="81"/>
            <rFont val="Tahoma"/>
            <family val="2"/>
          </rPr>
          <t xml:space="preserve">
</t>
        </r>
      </text>
    </comment>
    <comment ref="B84" authorId="4" shapeId="0" xr:uid="{00000000-0006-0000-0600-000039000000}">
      <text>
        <r>
          <rPr>
            <b/>
            <sz val="10"/>
            <color indexed="81"/>
            <rFont val="Tahoma"/>
            <family val="2"/>
          </rPr>
          <t>Btu per (short ton, as received)</t>
        </r>
        <r>
          <rPr>
            <sz val="10"/>
            <color indexed="81"/>
            <rFont val="Tahoma"/>
            <family val="2"/>
          </rPr>
          <t xml:space="preserve">
</t>
        </r>
      </text>
    </comment>
    <comment ref="B85" authorId="4" shapeId="0" xr:uid="{00000000-0006-0000-0600-00003A000000}">
      <text>
        <r>
          <rPr>
            <b/>
            <sz val="10"/>
            <color indexed="81"/>
            <rFont val="Tahoma"/>
            <family val="2"/>
          </rPr>
          <t>Btu per (short ton, as received)</t>
        </r>
        <r>
          <rPr>
            <sz val="10"/>
            <color indexed="81"/>
            <rFont val="Tahoma"/>
            <family val="2"/>
          </rPr>
          <t xml:space="preserve">
</t>
        </r>
      </text>
    </comment>
    <comment ref="B86" authorId="4" shapeId="0" xr:uid="{00000000-0006-0000-0600-00003B000000}">
      <text>
        <r>
          <rPr>
            <b/>
            <sz val="10"/>
            <color indexed="81"/>
            <rFont val="Tahoma"/>
            <family val="2"/>
          </rPr>
          <t>Btu per (short ton, as received)</t>
        </r>
        <r>
          <rPr>
            <sz val="10"/>
            <color indexed="81"/>
            <rFont val="Tahoma"/>
            <family val="2"/>
          </rPr>
          <t xml:space="preserve">
</t>
        </r>
      </text>
    </comment>
    <comment ref="B87" authorId="4" shapeId="0" xr:uid="{00000000-0006-0000-0600-00003C000000}">
      <text>
        <r>
          <rPr>
            <b/>
            <sz val="10"/>
            <color indexed="81"/>
            <rFont val="Tahoma"/>
            <family val="2"/>
          </rPr>
          <t>Btu per (short ton, dry matter)</t>
        </r>
        <r>
          <rPr>
            <sz val="10"/>
            <color indexed="81"/>
            <rFont val="Tahoma"/>
            <family val="2"/>
          </rPr>
          <t xml:space="preserve">
</t>
        </r>
      </text>
    </comment>
    <comment ref="B88" authorId="4" shapeId="0" xr:uid="{00000000-0006-0000-0600-00003D000000}">
      <text>
        <r>
          <rPr>
            <b/>
            <sz val="10"/>
            <color indexed="81"/>
            <rFont val="Tahoma"/>
            <family val="2"/>
          </rPr>
          <t>Btu per (short ton, dry matter)</t>
        </r>
        <r>
          <rPr>
            <sz val="10"/>
            <color indexed="81"/>
            <rFont val="Tahoma"/>
            <family val="2"/>
          </rPr>
          <t xml:space="preserve">
</t>
        </r>
      </text>
    </comment>
    <comment ref="A90" authorId="0" shapeId="0" xr:uid="{00000000-0006-0000-0600-00003E000000}">
      <text>
        <r>
          <rPr>
            <sz val="8"/>
            <color indexed="81"/>
            <rFont val="Tahoma"/>
            <family val="2"/>
          </rPr>
          <t>Different global warming potential values can be inputted here and GREET then takes the new values for calculations automatically.</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<sst xmlns="http://schemas.openxmlformats.org/spreadsheetml/2006/main" count="1846" uniqueCount="844">
  <si>
    <t>Source:</t>
  </si>
  <si>
    <t>Petroleum-based fuels, biofuels</t>
  </si>
  <si>
    <t>U.S. Energy Information Administration</t>
  </si>
  <si>
    <t>Petroleum &amp; Other Liquids: Supply and Disposition</t>
  </si>
  <si>
    <t>https://www.eia.gov/dnav/pet/pet_sum_snd_d_nus_mbbl_a_cur.htm</t>
  </si>
  <si>
    <t>Biomass Production and Exports</t>
  </si>
  <si>
    <t>https://www.eia.gov/outlooks/aeo/tables_ref.php</t>
  </si>
  <si>
    <t>Notes</t>
  </si>
  <si>
    <t>Hydro, wind, solar, and geothermal are neither fuels nor energy carriers</t>
  </si>
  <si>
    <t>and should always contain zeroes in this variable.</t>
  </si>
  <si>
    <t>Electricity and heat are energy carriers and are not handled in this</t>
  </si>
  <si>
    <t>part of the model.  (Electricity imports/exports are exogenous</t>
  </si>
  <si>
    <t>Hydrogen is an energy carrier, but can theoretically be imported</t>
  </si>
  <si>
    <t>Area: US</t>
  </si>
  <si>
    <t>Period: 2017 (Annual)</t>
  </si>
  <si>
    <t>Unit: Thousand Barrels</t>
  </si>
  <si>
    <t>Supply</t>
  </si>
  <si>
    <t>Disposition</t>
  </si>
  <si>
    <t>Ending Stocks</t>
  </si>
  <si>
    <t>Field Production</t>
  </si>
  <si>
    <t>Renewable Fuels &amp; Oxygenate Plant Net Production</t>
  </si>
  <si>
    <t>Refinery &amp; Blender Net Production</t>
  </si>
  <si>
    <t>Imports</t>
  </si>
  <si>
    <t>Net Receipts</t>
  </si>
  <si>
    <t>Adjust- ments</t>
  </si>
  <si>
    <t>Stock Change</t>
  </si>
  <si>
    <t>Refinery &amp; Blender Net Inputs</t>
  </si>
  <si>
    <t>Exports</t>
  </si>
  <si>
    <t>Products Supplied</t>
  </si>
  <si>
    <t>Crude Oil &amp; Petroleum Products</t>
  </si>
  <si>
    <t>Crude Oil</t>
  </si>
  <si>
    <t>- -</t>
  </si>
  <si>
    <t>Hydrocarbon Gas Liquids</t>
  </si>
  <si>
    <t>Natural Gas Liquids</t>
  </si>
  <si>
    <t>Ethane</t>
  </si>
  <si>
    <t>-</t>
  </si>
  <si>
    <t>Propane</t>
  </si>
  <si>
    <t>Normal Butane</t>
  </si>
  <si>
    <t>Isobutane</t>
  </si>
  <si>
    <t>Natural Gasoline</t>
  </si>
  <si>
    <t>Refinery Olefins</t>
  </si>
  <si>
    <t>Ethylene</t>
  </si>
  <si>
    <t>Propylene</t>
  </si>
  <si>
    <t>Normal Butylene</t>
  </si>
  <si>
    <t>Isobutylene</t>
  </si>
  <si>
    <t>Other Liquids</t>
  </si>
  <si>
    <t>Hydrogen/Oxygenates/Renewables/Other Hydrocarbons</t>
  </si>
  <si>
    <t>Hydrogen</t>
  </si>
  <si>
    <t>Oxygenates (excl. Fuel Ethanol)</t>
  </si>
  <si>
    <t>Renewable Fuels (incl. Fuel Ethanol)</t>
  </si>
  <si>
    <t>Fuel Ethanol</t>
  </si>
  <si>
    <t>Renewable Fuels Except Fuel Ethanol</t>
  </si>
  <si>
    <t>Other Hydrocarbons</t>
  </si>
  <si>
    <t>Unfinished Oils</t>
  </si>
  <si>
    <t>Motor Gasoline Blend. Comp.</t>
  </si>
  <si>
    <t>Reformulated</t>
  </si>
  <si>
    <t>Conventional</t>
  </si>
  <si>
    <t>Aviation Gasoline Blend. Comp.</t>
  </si>
  <si>
    <t>Finished Petroleum Products</t>
  </si>
  <si>
    <t>Finished Motor Gasoline</t>
  </si>
  <si>
    <t>Finished Aviation Gasoline</t>
  </si>
  <si>
    <t>Kerosene-Type Jet Fuel</t>
  </si>
  <si>
    <t>Kerosene</t>
  </si>
  <si>
    <t>Distillate Fuel Oil</t>
  </si>
  <si>
    <t>15 ppm Sulfur and Under</t>
  </si>
  <si>
    <t>Greater than 15 to 500 ppm Sulfur</t>
  </si>
  <si>
    <t>Greater than 500 ppm Sulfur</t>
  </si>
  <si>
    <t>Residual Fuel Oil</t>
  </si>
  <si>
    <t>Less than 0.31% Sulfur</t>
  </si>
  <si>
    <t>NA</t>
  </si>
  <si>
    <t>0.31 to 1.00% Sulfur</t>
  </si>
  <si>
    <t>Greater than 1.00% Sulfur</t>
  </si>
  <si>
    <t>Petrochemical Feedstocks</t>
  </si>
  <si>
    <t>Naphtha for Petro. Feed. Use</t>
  </si>
  <si>
    <t>Other Oils for Petro. Feed. Use</t>
  </si>
  <si>
    <t>Special Naphthas</t>
  </si>
  <si>
    <t>Lubricants</t>
  </si>
  <si>
    <t>Waxes</t>
  </si>
  <si>
    <t>Petroleum Coke</t>
  </si>
  <si>
    <t>Marketable</t>
  </si>
  <si>
    <t>Catalyst</t>
  </si>
  <si>
    <t>Asphalt and Road Oil</t>
  </si>
  <si>
    <t>Still Gas</t>
  </si>
  <si>
    <t>Miscellaneous Products</t>
  </si>
  <si>
    <t>Month</t>
  </si>
  <si>
    <t>Quantity (tons)</t>
  </si>
  <si>
    <t>Average Price (USD per ton)</t>
  </si>
  <si>
    <t>tons</t>
  </si>
  <si>
    <t>Total wood pellet exports</t>
  </si>
  <si>
    <t>Unit</t>
  </si>
  <si>
    <t>kg</t>
  </si>
  <si>
    <t>Total wood pellet imports</t>
  </si>
  <si>
    <t>Report</t>
  </si>
  <si>
    <t>Scenario</t>
  </si>
  <si>
    <t>Datekey</t>
  </si>
  <si>
    <t>Release Date</t>
  </si>
  <si>
    <t>Production</t>
  </si>
  <si>
    <t>- -</t>
  </si>
  <si>
    <t>Consumption</t>
  </si>
  <si>
    <t>Prices (nominal dollars per unit)</t>
  </si>
  <si>
    <t>Uranium</t>
  </si>
  <si>
    <t>million pounds U3O8</t>
  </si>
  <si>
    <t>million short tons</t>
  </si>
  <si>
    <t>Fuel</t>
  </si>
  <si>
    <t>Domestic Use</t>
  </si>
  <si>
    <t>Domestic use also includes change in domestic inventories, which should average to zero over multi-year timeframes.</t>
  </si>
  <si>
    <t>natural gas</t>
  </si>
  <si>
    <t>quads</t>
  </si>
  <si>
    <t>uranium</t>
  </si>
  <si>
    <t>biomass</t>
  </si>
  <si>
    <t>petroleum gasoline</t>
  </si>
  <si>
    <t>thousand barrels</t>
  </si>
  <si>
    <t>jet fuel or kerosene</t>
  </si>
  <si>
    <t>crude oil</t>
  </si>
  <si>
    <t>LPG propane or butane</t>
  </si>
  <si>
    <t>electricity (not used in this variable)</t>
  </si>
  <si>
    <t>hard coal</t>
  </si>
  <si>
    <t>nuclear</t>
  </si>
  <si>
    <t>hydro (is not a fuel)</t>
  </si>
  <si>
    <t>wind (is not a fuel)</t>
  </si>
  <si>
    <t>solar (is not a fuel)</t>
  </si>
  <si>
    <t>petroleum diesel</t>
  </si>
  <si>
    <t>biofuel gasoline</t>
  </si>
  <si>
    <t>biofuel diesel</t>
  </si>
  <si>
    <t>heat (energy carrier)</t>
  </si>
  <si>
    <t>geothermal (is not a fuel)</t>
  </si>
  <si>
    <t>lignite</t>
  </si>
  <si>
    <t>heavy fuel oil</t>
  </si>
  <si>
    <t>municipal solid waste</t>
  </si>
  <si>
    <t>hydrogen</t>
  </si>
  <si>
    <t>Hard Coal, Lignite</t>
  </si>
  <si>
    <t>Hard Coal</t>
  </si>
  <si>
    <t>Hard Coal and Lignite</t>
  </si>
  <si>
    <t>We assume that all imported and exported coal was hard coal, while all lignite produced was used domestically.</t>
  </si>
  <si>
    <t>Lignite</t>
  </si>
  <si>
    <t>Municipal Solid Waste</t>
  </si>
  <si>
    <t>MSW Tonnage Data for Year 2015</t>
  </si>
  <si>
    <t>U.S. MSW generated (million tons)</t>
  </si>
  <si>
    <t>Although the U.S. exports waste to other countries,</t>
  </si>
  <si>
    <t>it is difficult to find statistics for waste exports other than plastic waste.</t>
  </si>
  <si>
    <t>In this model, we are only concerned about MSW that is burned as a</t>
  </si>
  <si>
    <t>fuel.  We will assume that a negligible amount of exported waste</t>
  </si>
  <si>
    <t>is used as a fuel.</t>
  </si>
  <si>
    <t>million metric tons</t>
  </si>
  <si>
    <t>https://www.plasticpollutioncoalition.org/pft/2019/3/6/157000-shipping-containers-of-us-plastic-waste-exported-to-countries-with-poor-waste-management-in-2018</t>
  </si>
  <si>
    <t>(Plastic waste exports to other countries in 2018 were</t>
  </si>
  <si>
    <t>1.07 million metric tons in 2018.)</t>
  </si>
  <si>
    <t>We assume none was imported or exported.</t>
  </si>
  <si>
    <t>heat (not used in this variable)</t>
  </si>
  <si>
    <t>(from physical units to million Btu)</t>
  </si>
  <si>
    <t>Petroleum and Other Liquids</t>
  </si>
  <si>
    <t>(million Btu per barrel)</t>
  </si>
  <si>
    <t xml:space="preserve">  Asphalt and Road Oil</t>
  </si>
  <si>
    <t xml:space="preserve">  Aviation Gasoline</t>
  </si>
  <si>
    <t xml:space="preserve">  Biodiesel</t>
  </si>
  <si>
    <t xml:space="preserve">  Distillate Fuel Oil</t>
  </si>
  <si>
    <t xml:space="preserve">    Residential</t>
  </si>
  <si>
    <t xml:space="preserve">    Commercial</t>
  </si>
  <si>
    <t xml:space="preserve">    Transportation</t>
  </si>
  <si>
    <t xml:space="preserve">    Industrial</t>
  </si>
  <si>
    <t xml:space="preserve">    Electric Power</t>
  </si>
  <si>
    <t xml:space="preserve">      Total Distillate</t>
  </si>
  <si>
    <t xml:space="preserve">  Distillate Fuel Oil - Low Sulfur Diesel</t>
  </si>
  <si>
    <t xml:space="preserve">  Distillate Fuel Oil - Ultra Low Sulfur Diesel</t>
  </si>
  <si>
    <t xml:space="preserve">  Ethanol including denaturant</t>
  </si>
  <si>
    <t xml:space="preserve">  Jet Fuel - Kerosene</t>
  </si>
  <si>
    <t xml:space="preserve">  Lubricants</t>
  </si>
  <si>
    <t xml:space="preserve">  Motor Gasoline Average</t>
  </si>
  <si>
    <t xml:space="preserve">     Conventional Motor Gasoline</t>
  </si>
  <si>
    <t xml:space="preserve">     Reformulated Motor Gasoline</t>
  </si>
  <si>
    <t>CNV000:convert_cbob</t>
  </si>
  <si>
    <t xml:space="preserve">     Conventional before Blending</t>
  </si>
  <si>
    <t>CNV000:convert_rbob</t>
  </si>
  <si>
    <t xml:space="preserve">     Reformulated before Blending</t>
  </si>
  <si>
    <t>CNV000:aa_PentanesPlus</t>
  </si>
  <si>
    <t xml:space="preserve">  Natural Gasoline</t>
  </si>
  <si>
    <t>CNV000:aa_OtherPetroleu</t>
  </si>
  <si>
    <t xml:space="preserve">  Other Petroleum</t>
  </si>
  <si>
    <t>CNV000:aa_PetrochemFeed</t>
  </si>
  <si>
    <t xml:space="preserve">  Petrochemical Feedstocks</t>
  </si>
  <si>
    <t>CNV000:aa_PetroleumCoke</t>
  </si>
  <si>
    <t xml:space="preserve">  Petroleum Coke</t>
  </si>
  <si>
    <t>CNV000:aa_ResidualFuel</t>
  </si>
  <si>
    <t xml:space="preserve">  Residual Fuel</t>
  </si>
  <si>
    <t>CNV000:aa_StillGas</t>
  </si>
  <si>
    <t xml:space="preserve">  Still Gas</t>
  </si>
  <si>
    <t>CNV000:aa_UnfinishOilIm</t>
  </si>
  <si>
    <t xml:space="preserve">  Unfinished Oils</t>
  </si>
  <si>
    <t>CNV000:aa_TotalPetroleu</t>
  </si>
  <si>
    <t xml:space="preserve">  Total Petroleum Consumption</t>
  </si>
  <si>
    <t>CNV000:aa_Imports</t>
  </si>
  <si>
    <t xml:space="preserve">  Petroleum Product Imports</t>
  </si>
  <si>
    <t>CNV000:aa_Exports</t>
  </si>
  <si>
    <t xml:space="preserve">  Petroleum Product Exports</t>
  </si>
  <si>
    <t xml:space="preserve">  Crude Oil</t>
  </si>
  <si>
    <t>CNV000:aa_CrudeOilProdu</t>
  </si>
  <si>
    <t xml:space="preserve">    Production</t>
  </si>
  <si>
    <t>CNV000:aa_CrudeOilImpor</t>
  </si>
  <si>
    <t xml:space="preserve">    Imports</t>
  </si>
  <si>
    <t>CNV000:aa_CrudeOilExpor</t>
  </si>
  <si>
    <t xml:space="preserve">    Exports</t>
  </si>
  <si>
    <t>CNV000:aa_NaturalGasPla</t>
  </si>
  <si>
    <t xml:space="preserve">  Natural Gas Plant Liquids</t>
  </si>
  <si>
    <t>Natural Gas (thousand Btu per cubic foot)</t>
  </si>
  <si>
    <t>CNV000:ba_Consumption</t>
  </si>
  <si>
    <t xml:space="preserve">  Consumption</t>
  </si>
  <si>
    <t>CNV000:ba_Utility</t>
  </si>
  <si>
    <t xml:space="preserve">    Electric Power Sector 2/</t>
  </si>
  <si>
    <t>CNV000:ba_Nonutility</t>
  </si>
  <si>
    <t xml:space="preserve">    End-use Sector</t>
  </si>
  <si>
    <t>CNV000:ba_Production</t>
  </si>
  <si>
    <t xml:space="preserve">  Production</t>
  </si>
  <si>
    <t>CNV000:ba_Imports</t>
  </si>
  <si>
    <t xml:space="preserve">  Imports</t>
  </si>
  <si>
    <t>CNV000:ba_Exports</t>
  </si>
  <si>
    <t xml:space="preserve">  Exports</t>
  </si>
  <si>
    <t>CNV000:ba_CompressedNat</t>
  </si>
  <si>
    <t xml:space="preserve">  Compressed/Liquefied Natural Gas</t>
  </si>
  <si>
    <t>Coal (million Btu per short ton)</t>
  </si>
  <si>
    <t>CNV000:ca_Production</t>
  </si>
  <si>
    <t>CNV000:ca_EastoftheMiss</t>
  </si>
  <si>
    <t xml:space="preserve">    East of the Mississippi</t>
  </si>
  <si>
    <t>CNV000:ca_WestoftheMiss</t>
  </si>
  <si>
    <t xml:space="preserve">    West of the Mississippi</t>
  </si>
  <si>
    <t>CNV000:ca_Consumption</t>
  </si>
  <si>
    <t>CNV000:ca_Residentialan</t>
  </si>
  <si>
    <t xml:space="preserve">    Commercial and Institutional</t>
  </si>
  <si>
    <t>CNV000:ca_Industrial</t>
  </si>
  <si>
    <t xml:space="preserve">    Industrial 3/</t>
  </si>
  <si>
    <t>CNV000:ca_Coking</t>
  </si>
  <si>
    <t xml:space="preserve">    Coking</t>
  </si>
  <si>
    <t>CNV000:ca_ElectricPower</t>
  </si>
  <si>
    <t xml:space="preserve">    Electric Power 2/</t>
  </si>
  <si>
    <t>CNV000:ca_Imports</t>
  </si>
  <si>
    <t>CNV000:ca_Exports</t>
  </si>
  <si>
    <t>CNV000:ca_CoaltoLiquids</t>
  </si>
  <si>
    <t xml:space="preserve">  Coal to Liquids</t>
  </si>
  <si>
    <t>CNV000:ca_WasteCoal</t>
  </si>
  <si>
    <t xml:space="preserve">  Waste Coal</t>
  </si>
  <si>
    <t>CNV000:da_Electricity</t>
  </si>
  <si>
    <t>Specifications of Fuels, Global Warming Potentials of Greenhouse Gases, and Carbon and Sulfur Ratios of Pollutants</t>
  </si>
  <si>
    <t>1) Specifications of Fuels</t>
  </si>
  <si>
    <t>Heating Value</t>
  </si>
  <si>
    <t>Density</t>
  </si>
  <si>
    <t>C ratio</t>
  </si>
  <si>
    <t>S ratio</t>
  </si>
  <si>
    <t>Calculation: LHV</t>
  </si>
  <si>
    <t>LHV</t>
  </si>
  <si>
    <t>HHV</t>
  </si>
  <si>
    <t>(% by wt)</t>
  </si>
  <si>
    <t>(ppm by wt)</t>
  </si>
  <si>
    <t>Actual ratio by wt</t>
  </si>
  <si>
    <t>LHV/HHV</t>
  </si>
  <si>
    <t>Use LHV or HHV in calculations?</t>
  </si>
  <si>
    <t>1 -- LHV; 2 -- HHV</t>
  </si>
  <si>
    <t>Liquid Fuels:</t>
  </si>
  <si>
    <t>Btu/gal</t>
  </si>
  <si>
    <t>grams/gal</t>
  </si>
  <si>
    <t>Crude oil</t>
  </si>
  <si>
    <t>Synthetic crude oil (SCO)</t>
  </si>
  <si>
    <t>Bitumen</t>
  </si>
  <si>
    <t>Dilbit (After Recovery)</t>
  </si>
  <si>
    <t>Dilbit (Before Recovery)</t>
  </si>
  <si>
    <t>Diluent</t>
  </si>
  <si>
    <t>Shale Oil (Bakken)</t>
  </si>
  <si>
    <t>Shale Oil (Eagle Ford)</t>
  </si>
  <si>
    <t>Gasoline blendstock</t>
  </si>
  <si>
    <t>Gasoline</t>
  </si>
  <si>
    <t>CA gasoline</t>
  </si>
  <si>
    <t>High Octane Fuel (E25)</t>
  </si>
  <si>
    <t>High Octane Fuel (E40)</t>
  </si>
  <si>
    <t>U.S. conventional diesel</t>
  </si>
  <si>
    <t>Diesel for non-road engines</t>
  </si>
  <si>
    <t>Low-sulfur diesel</t>
  </si>
  <si>
    <t>Petroleum naphtha</t>
  </si>
  <si>
    <t>Conventional Jet Fuel</t>
  </si>
  <si>
    <t>ULS Jet Fuel</t>
  </si>
  <si>
    <t>NG-based FT naphtha</t>
  </si>
  <si>
    <t>Residual oil</t>
  </si>
  <si>
    <t>Bunker fuel for ocean tanker</t>
  </si>
  <si>
    <t>Methanol</t>
  </si>
  <si>
    <t>Ethanol</t>
  </si>
  <si>
    <t>Butanol</t>
  </si>
  <si>
    <t>Acetone</t>
  </si>
  <si>
    <t>E-Diesel Additives</t>
  </si>
  <si>
    <t>Liquefied petroleum gas (LPG)</t>
  </si>
  <si>
    <t>Liquefied natural gas (LNG)</t>
  </si>
  <si>
    <t>Dimethyl ether (DME)</t>
  </si>
  <si>
    <t>Dimethoxy methane (DMM)</t>
  </si>
  <si>
    <t>Methyl ester (biodiesel, BD)</t>
  </si>
  <si>
    <t>Fischer-Tropsch diesel (FTD)</t>
  </si>
  <si>
    <t>Renewable Diesel I (SuperCetane)</t>
  </si>
  <si>
    <t>Renewable Diesel II (UOP-HDO)</t>
  </si>
  <si>
    <t>Renewable Diesel III (PNNL-HTL)</t>
  </si>
  <si>
    <t>Renewable Gasoline</t>
  </si>
  <si>
    <t>Renewable Gasoline (IDL)</t>
  </si>
  <si>
    <t xml:space="preserve">SPK (FT Jet Fuel/HRJ) </t>
  </si>
  <si>
    <t>Liquid hydrogen</t>
  </si>
  <si>
    <t>Methyl tertiary butyl ether (MTBE)</t>
  </si>
  <si>
    <t>Ethyl tertiary butyl ether (ETBE)</t>
  </si>
  <si>
    <t>Tertiary amyl methyl ether (TAME)</t>
  </si>
  <si>
    <t>Butane</t>
  </si>
  <si>
    <t>Natural gas liquids</t>
  </si>
  <si>
    <t>n-Hexane</t>
  </si>
  <si>
    <t>Still gas (in refineries)</t>
  </si>
  <si>
    <t>Gaseous Fuels (at 32F and 1atm):</t>
  </si>
  <si>
    <t>Btu/ft3</t>
  </si>
  <si>
    <t>gms/ft3</t>
  </si>
  <si>
    <t>Natural gas</t>
  </si>
  <si>
    <t>Pure Methane</t>
  </si>
  <si>
    <t>Gaseous hydrogen</t>
  </si>
  <si>
    <t>Carbon Dioxide</t>
  </si>
  <si>
    <t>Solid Fuels:</t>
  </si>
  <si>
    <t>Btu/ton</t>
  </si>
  <si>
    <t>Coal Mix for Electricity Generation</t>
  </si>
  <si>
    <t>Bituminous coal</t>
  </si>
  <si>
    <t>Subbituminous coal</t>
  </si>
  <si>
    <t>Lignite coal</t>
  </si>
  <si>
    <t>Synthetic coal</t>
  </si>
  <si>
    <t>Waste coal</t>
  </si>
  <si>
    <t>Pet Coke</t>
  </si>
  <si>
    <t>Tire Derived Fuel</t>
  </si>
  <si>
    <t>Coking coal</t>
  </si>
  <si>
    <t>Willow</t>
  </si>
  <si>
    <t>Poplar</t>
  </si>
  <si>
    <t>Switchgrass</t>
  </si>
  <si>
    <t>Miscanthus</t>
  </si>
  <si>
    <t>Corn stover</t>
  </si>
  <si>
    <t>Forest residue</t>
  </si>
  <si>
    <t>Yard trimming waste</t>
  </si>
  <si>
    <t>Sugarcane straw</t>
  </si>
  <si>
    <t>Sugarcane bagasse</t>
  </si>
  <si>
    <t>Bio-char</t>
  </si>
  <si>
    <t>Grain sorghum bagasse</t>
  </si>
  <si>
    <t>Sweet sorghum bagasse</t>
  </si>
  <si>
    <t>Forage sorghum bagasse</t>
  </si>
  <si>
    <t>Municipal solid waste (defined by EISA)</t>
  </si>
  <si>
    <t>Convertible municipal solid waste</t>
  </si>
  <si>
    <t>2) Global Warming Potentials of Greenhouse Gases: relative to CO2</t>
  </si>
  <si>
    <t>Metrics for Carbon Dioxide, Methane, Nitrous Oxide</t>
  </si>
  <si>
    <t>AR Edition/Type</t>
  </si>
  <si>
    <t>AR5/GWP</t>
  </si>
  <si>
    <t>AR5/GTP</t>
  </si>
  <si>
    <t>AR4/GWP</t>
  </si>
  <si>
    <t>AR3/GWP</t>
  </si>
  <si>
    <t>AR2/GWP</t>
  </si>
  <si>
    <t>AR1/GWP</t>
  </si>
  <si>
    <t>Time Horizon (YR)</t>
  </si>
  <si>
    <t>CO2</t>
  </si>
  <si>
    <t>CH4</t>
  </si>
  <si>
    <t>N2O</t>
  </si>
  <si>
    <t>Metrics for Near Term Climate Forcers</t>
  </si>
  <si>
    <t>Type</t>
  </si>
  <si>
    <t>None</t>
  </si>
  <si>
    <t>GWP</t>
  </si>
  <si>
    <t>GTP</t>
  </si>
  <si>
    <t>VOC</t>
  </si>
  <si>
    <t>CO</t>
  </si>
  <si>
    <t>NOx</t>
  </si>
  <si>
    <t>BC</t>
  </si>
  <si>
    <t>OC</t>
  </si>
  <si>
    <t>3) Carbon and Sulfur Ratios of Pollutants</t>
  </si>
  <si>
    <t>Carbon ratio of VOC</t>
  </si>
  <si>
    <t>Carbon ratio of CO</t>
  </si>
  <si>
    <t>Carbon ratio of CH4</t>
  </si>
  <si>
    <t>Carbon ratio of CO2</t>
  </si>
  <si>
    <t>Sulfur ratio of SO2</t>
  </si>
  <si>
    <t>4) Regulated Sulfur Content in Gasoline Blendstock and Conventional Diesel over Time</t>
  </si>
  <si>
    <t>5-year period</t>
  </si>
  <si>
    <t>Sulfur Content in Gasoline Blendstock (ppm)</t>
  </si>
  <si>
    <t>Relative Change (to yr 2010)</t>
  </si>
  <si>
    <t>Sulfur Content in Conventional Diesel (ppm)</t>
  </si>
  <si>
    <t>Sulfur Content in California Diesel (ppm)</t>
  </si>
  <si>
    <t>Sulfur Content in non-Road Diesel (ppm)</t>
  </si>
  <si>
    <t>Sulfur Content in Residual Oil (ppm)</t>
  </si>
  <si>
    <t>Sulfur Content in Marine Disttillate (ppm)</t>
  </si>
  <si>
    <t>5) Unit Conversion</t>
  </si>
  <si>
    <t>Mass</t>
  </si>
  <si>
    <t>1 g</t>
  </si>
  <si>
    <t>1 kg</t>
  </si>
  <si>
    <t>1 metric tonne</t>
  </si>
  <si>
    <t>1 lb</t>
  </si>
  <si>
    <t>1 short ton</t>
  </si>
  <si>
    <t>g</t>
  </si>
  <si>
    <t>metric tonne</t>
  </si>
  <si>
    <t>lb</t>
  </si>
  <si>
    <t>short ton</t>
  </si>
  <si>
    <t>Volume</t>
  </si>
  <si>
    <t>1 m3</t>
  </si>
  <si>
    <t>1 ml</t>
  </si>
  <si>
    <t>1 L</t>
  </si>
  <si>
    <t>1 gal</t>
  </si>
  <si>
    <t>1 ft3</t>
  </si>
  <si>
    <t>m3</t>
  </si>
  <si>
    <t>ml</t>
  </si>
  <si>
    <t>L</t>
  </si>
  <si>
    <t>gal</t>
  </si>
  <si>
    <t>ft3</t>
  </si>
  <si>
    <t>Energy</t>
  </si>
  <si>
    <t>1 J</t>
  </si>
  <si>
    <t>1kJ</t>
  </si>
  <si>
    <t>1 MJ</t>
  </si>
  <si>
    <t>1Wh</t>
  </si>
  <si>
    <t>1 kWh</t>
  </si>
  <si>
    <t>1 BTU</t>
  </si>
  <si>
    <t>1 mmBTU</t>
  </si>
  <si>
    <t>1 hph</t>
  </si>
  <si>
    <t>J</t>
  </si>
  <si>
    <t>kJ</t>
  </si>
  <si>
    <t>MJ</t>
  </si>
  <si>
    <t>Wh</t>
  </si>
  <si>
    <t>kWh</t>
  </si>
  <si>
    <t>BTU</t>
  </si>
  <si>
    <t>mmBTU</t>
  </si>
  <si>
    <t>hph</t>
  </si>
  <si>
    <t>Converted to BTU</t>
  </si>
  <si>
    <t>Energy Information Administration</t>
  </si>
  <si>
    <t>Argonne National Laboratory</t>
  </si>
  <si>
    <t>https://greet.es.anl.gov/</t>
  </si>
  <si>
    <t>Tab "Fuel_Specs"</t>
  </si>
  <si>
    <t>Unit Conversions for hard coal, natural gas, petroleum fuels, liquid biofuels</t>
  </si>
  <si>
    <t>Unit Conversions for Lignite, Biomass, LPG, municipal solid waste, hydrogen</t>
  </si>
  <si>
    <t>Unit Conversion for Uranium (U3O8)</t>
  </si>
  <si>
    <t>TradeTech</t>
  </si>
  <si>
    <t>https://www.uranium.info/unit_conversion_table.php</t>
  </si>
  <si>
    <t>Uranium Primer - Price &amp; Unit Conversion Calculator &amp; Table</t>
  </si>
  <si>
    <t>short tons</t>
  </si>
  <si>
    <t>BTU per</t>
  </si>
  <si>
    <t>Conversion Factors</t>
  </si>
  <si>
    <t>quad</t>
  </si>
  <si>
    <t>The consolidated data in this variable (production, imports, exports, and domestic use of each fuel)</t>
  </si>
  <si>
    <t>is used in the variable fuels/CiFIaEpUDFS.  Therefore, even though this variable only outputs</t>
  </si>
  <si>
    <t>production and exports, you should also collect data on fuel imports.  (Domestic use data</t>
  </si>
  <si>
    <t>can be calculated from production, imports, and exports.  We ignore changes in fuel stocks,</t>
  </si>
  <si>
    <t>which should average to zero over multi-year timeframes.)</t>
  </si>
  <si>
    <t>Collect Export, Import, and Production Data for Each Fuel</t>
  </si>
  <si>
    <t>Time Series</t>
  </si>
  <si>
    <t>Included Fuels</t>
  </si>
  <si>
    <t>and handled in the power sector.  District heat imports/exports are assumed to be negligible.)</t>
  </si>
  <si>
    <t>or exported in bulk, so is included here.</t>
  </si>
  <si>
    <t>Units</t>
  </si>
  <si>
    <t>In this variable, units are standardized to BTU, the internal working energy unit of the model.</t>
  </si>
  <si>
    <t>Variable fuels/CiFIaEpUDFS is not sensitive to the units used, as long as the same unit is used</t>
  </si>
  <si>
    <t>for all quantities associated with the same fuel (imports, exports, production, use).</t>
  </si>
  <si>
    <t>However, only data from the first year are used in variable fuels/CiFIaEpUDFS.</t>
  </si>
  <si>
    <t>Production Scaling Factors</t>
  </si>
  <si>
    <t>Exports Scaling Factors</t>
  </si>
  <si>
    <t>In the future, fuels/CiFIaEpUDFS may be replaced with internal Vensim calculations,</t>
  </si>
  <si>
    <t>making those values sensitive to changes over time.</t>
  </si>
  <si>
    <t>This variable contains time series data.</t>
  </si>
  <si>
    <t>BFPIaE BAU Fuel Production</t>
  </si>
  <si>
    <t>BFPIaE BAU Fuel Imports</t>
  </si>
  <si>
    <t>BFPIaE BAU Fuel Exports</t>
  </si>
  <si>
    <t>Imports Scaling Factors</t>
  </si>
  <si>
    <t>Fuel (BTU)</t>
  </si>
  <si>
    <t>GREET1 2019</t>
  </si>
  <si>
    <t>CA diesel</t>
  </si>
  <si>
    <t>Low Octane Gasoline-Like Fuel (LOF)</t>
  </si>
  <si>
    <t>Renewable Gasoline (Ex Situ CFP)</t>
  </si>
  <si>
    <t>Catalyst Coke</t>
  </si>
  <si>
    <t>Clean Pine</t>
  </si>
  <si>
    <t>Asphalt</t>
  </si>
  <si>
    <t>Length</t>
  </si>
  <si>
    <t>mm</t>
  </si>
  <si>
    <t>m</t>
  </si>
  <si>
    <t>km</t>
  </si>
  <si>
    <t>ft</t>
  </si>
  <si>
    <t>mi</t>
  </si>
  <si>
    <t>- - = Not applicable.</t>
  </si>
  <si>
    <t>Approximate Heat Rates and Heat Content</t>
  </si>
  <si>
    <t>(Btu per kilowatthour)</t>
  </si>
  <si>
    <t xml:space="preserve">  Electricity Heat Content</t>
  </si>
  <si>
    <t>CNV000:fossil_hr_us</t>
  </si>
  <si>
    <t xml:space="preserve">  Fossil Fuel Heat Rate</t>
  </si>
  <si>
    <t>Table 8. Export sales and average price of densified biomass fuel, 2020</t>
  </si>
  <si>
    <t>--</t>
  </si>
  <si>
    <t>Change</t>
  </si>
  <si>
    <t>Annual</t>
  </si>
  <si>
    <t>Average</t>
  </si>
  <si>
    <t>Reference</t>
  </si>
  <si>
    <t>68. Conversion Factors</t>
  </si>
  <si>
    <t>Source: U.S. Energy Information Administration</t>
  </si>
  <si>
    <t>full name</t>
  </si>
  <si>
    <t>api key</t>
  </si>
  <si>
    <t>units</t>
  </si>
  <si>
    <t>ref2023.d020623a</t>
  </si>
  <si>
    <t>Annual Energy Outlook 2023</t>
  </si>
  <si>
    <t>ref2023</t>
  </si>
  <si>
    <t>d020623a</t>
  </si>
  <si>
    <t xml:space="preserve"> March 2023</t>
  </si>
  <si>
    <t>2022–2050</t>
  </si>
  <si>
    <t xml:space="preserve">  E85 1/</t>
  </si>
  <si>
    <t>1/ E85 refers to a blend of 85 percent ethanol (renewable) and 15 percent motor gasoline (nonrenewable).  To address cold starting issues,</t>
  </si>
  <si>
    <t>the percentage of ethanol varies seasonally.  The annual average ethanol content of 74% is used for these projections.</t>
  </si>
  <si>
    <t>2/ Includes all electricity-only and combined-heat-and-power plants that have a regulatory status.</t>
  </si>
  <si>
    <t>3/ Includes combined-heat-and-power plants that have a non-regulatory status and small on-site generating systems.</t>
  </si>
  <si>
    <t>Btu = British Thermal Unit.</t>
  </si>
  <si>
    <t>Data source: 2022:  U.S. Energy Information Administration (EIA), Short-Term Energy Outlook, November 2022 and EIA,</t>
  </si>
  <si>
    <t>AEO2023 National Energy Modeling System run ref2023.d020623a. Projections:  EIA, AEO2023 National Energy Modeling System run ref2023.d020623a.</t>
  </si>
  <si>
    <t>PPC001</t>
  </si>
  <si>
    <t>PPC001:ba_End-UserPrice</t>
  </si>
  <si>
    <t>PPC001:ba_FederalTaxes</t>
  </si>
  <si>
    <t>PPC001:ba_StateTaxes</t>
  </si>
  <si>
    <t>PPC001:Diesel_Tax_Allow</t>
  </si>
  <si>
    <t>PPC001:ba_DistributionC</t>
  </si>
  <si>
    <t>PPC001:ba_WholesalePric</t>
  </si>
  <si>
    <t>PPC001:ca_End-UserPrice</t>
  </si>
  <si>
    <t>PPC001:ca_FederalTaxes</t>
  </si>
  <si>
    <t>PPC001:ca_StateTaxes</t>
  </si>
  <si>
    <t>PPC001:MoGas_Tax_Allow</t>
  </si>
  <si>
    <t>PPC001:ca_DistributionC</t>
  </si>
  <si>
    <t>PPC001:ca_WholesalePric</t>
  </si>
  <si>
    <t>PPC001:da_End-UserPrice</t>
  </si>
  <si>
    <t>PPC001:da_FederalTaxes</t>
  </si>
  <si>
    <t>PPC001:da_StateTaxes</t>
  </si>
  <si>
    <t>2024 $/b</t>
  </si>
  <si>
    <t>Growth (2024-2050)</t>
  </si>
  <si>
    <t>Total</t>
  </si>
  <si>
    <t>Coal</t>
  </si>
  <si>
    <t>Natural Gas</t>
  </si>
  <si>
    <t>2024 $/MMBtu</t>
  </si>
  <si>
    <t>nom cents/kWh</t>
  </si>
  <si>
    <t>AEO.2025.HIGHZTC.PRCE_NOMP_TEN_NA_ELC_NA_USA_NCNTPKWH.A</t>
  </si>
  <si>
    <t>Total Energy: Nominal Prices: Electricity: High Zero-Carbon Technology Cost</t>
  </si>
  <si>
    <t>Electricity (cents per kilowatthour)</t>
  </si>
  <si>
    <t>nom $/MMBtu</t>
  </si>
  <si>
    <t>AEO.2025.HIGHZTC.PRCE_NOMP_TEN_NA_DCL_NA_USA_NDLRPMBTU.A</t>
  </si>
  <si>
    <t>Total Energy: Nominal Prices: Delivered Coal: High Zero-Carbon Technology Cost</t>
  </si>
  <si>
    <t xml:space="preserve"> Delivered (dollars per MMBtu)</t>
  </si>
  <si>
    <t>AEO.2025.HIGHZTC.PRCE_NOMP_TEN_NA_CMN_NA_USA_NDLRPMBTU.A</t>
  </si>
  <si>
    <t>Total Energy: Nominal Prices: Coal Minemouth: High Zero-Carbon Technology Cost</t>
  </si>
  <si>
    <t xml:space="preserve"> Minemouth (dollars per MMBtu)</t>
  </si>
  <si>
    <t>nom $/ton</t>
  </si>
  <si>
    <t>AEO.2025.HIGHZTC.PRCE_NOMP_TEN_NA_CAM_NA_USA_NDLRPTON.A</t>
  </si>
  <si>
    <t>Total Energy: Nominal Prices: Coal at Minemouth: High Zero-Carbon Technology Cost</t>
  </si>
  <si>
    <t xml:space="preserve"> Minemouth (dollars per ton)</t>
  </si>
  <si>
    <t>AEO.2025.HIGHZTC.PRCE_NOMP_TEN_NA_HHP_NA_USA_NDLRPMBTU.A</t>
  </si>
  <si>
    <t>Total Energy: Nominal Prices: Gas Price at Henry Hub: High Zero-Carbon Technology Cost</t>
  </si>
  <si>
    <t>Natural Gas at Henry Hub (dollars per MMBtu)</t>
  </si>
  <si>
    <t>nom $/b</t>
  </si>
  <si>
    <t>AEO.2025.HIGHZTC.PRCE_NOMP_TEN_NA_WTI_NA_USA_NDLRPBRL.A</t>
  </si>
  <si>
    <t>Total Energy: Nominal Prices: West Texas Intermediate: High Zero-Carbon Technology Cost</t>
  </si>
  <si>
    <t>West Texas Intermediate Spot Price (dollars per barrel)</t>
  </si>
  <si>
    <t>AEO.2025.HIGHZTC.PRCE_NOMP_TEN_NA_BRN_NA_USA_NDLRPBRL.A</t>
  </si>
  <si>
    <t>Total Energy: Nominal Prices: Brent: High Zero-Carbon Technology Cost</t>
  </si>
  <si>
    <t>Brent Spot Price (dollars per barrel)</t>
  </si>
  <si>
    <t>2024 cents/kWh</t>
  </si>
  <si>
    <t>AEO.2025.HIGHZTC.PRCE_RLP_TEN_NA_ELC_NA_USA_Y13CNTPKWH.A</t>
  </si>
  <si>
    <t>Total Energy: Real Prices: Electricity: High Zero-Carbon Technology Cost</t>
  </si>
  <si>
    <t>AEO.2025.HIGHZTC.PRCE_RLP_TEN_NA_DCL_NA_USA_Y13DLRPMMBTU.A</t>
  </si>
  <si>
    <t>Total Energy: Real Prices: Delivered Coal: High Zero-Carbon Technology Cost</t>
  </si>
  <si>
    <t>AEO.2025.HIGHZTC.PRCE_RLP_TEN_NA_CMN_NA_USA_Y13DLRPMMBTU.A</t>
  </si>
  <si>
    <t>Total Energy: Real Prices: Coal Minemouth: High Zero-Carbon Technology Cost</t>
  </si>
  <si>
    <t>2024 $/ton</t>
  </si>
  <si>
    <t>AEO.2025.HIGHZTC.PRCE_RLP_TEN_NA_CMN_NA_USA_Y13DLRPTN.A</t>
  </si>
  <si>
    <t>Total Energy: Real Prices: Coal at Minemouth: High Zero-Carbon Technology Cost</t>
  </si>
  <si>
    <t>AEO.2025.HIGHZTC.PRCE_RLP_TEN_NA_HHP_NA_USA_Y13DLRPMMBTU.A</t>
  </si>
  <si>
    <t>Total Energy: Real Prices: Gas Price at Henry Hub: High Zero-Carbon Technology Cost</t>
  </si>
  <si>
    <t>AEO.2025.HIGHZTC.PRCE_RLP_TEN_NA_WTI_NA_USA_Y13DLRPBBL.A</t>
  </si>
  <si>
    <t>Total Energy: Real Prices: West Texas Intermediate: High Zero-Carbon Technology Cost</t>
  </si>
  <si>
    <t>AEO.2025.HIGHZTC.PRCE_RLP_TEN_NA_BRN_NA_USA_Y13DLRPBBL.A</t>
  </si>
  <si>
    <t>Total Energy: Real Prices: Brent: High Zero-Carbon Technology Cost</t>
  </si>
  <si>
    <t>Prices (2024 dollars per unit)</t>
  </si>
  <si>
    <t>AEO.2025.HIGHZTC.CNSM_USE_TEN_NA_TOT_NA_USA_QBTU.A</t>
  </si>
  <si>
    <t>Total Energy: Use: Total: High Zero-Carbon Technology Cost</t>
  </si>
  <si>
    <t>AEO.2025.HIGHZTC.CNSM_USE_TEN_NA_OTH_NA_USA_QBTU.A</t>
  </si>
  <si>
    <t>Total Energy: Use: Other: High Zero-Carbon Technology Cost</t>
  </si>
  <si>
    <t>Other</t>
  </si>
  <si>
    <t>AEO.2025.HIGHZTC.CNSM_USE_TEN_NA_PRE_NA_USA_QBTU.A</t>
  </si>
  <si>
    <t>Total Energy: Use: Other Renewable Energy: High Zero-Carbon Technology Cost</t>
  </si>
  <si>
    <t>Other Renewable Energy</t>
  </si>
  <si>
    <t>AEO.2025.HIGHZTC.CNSM_USE_TEN_NA_BMS_NA_USA_QBTU.A</t>
  </si>
  <si>
    <t>Total Energy: Use: Biomass: High Zero-Carbon Technology Cost</t>
  </si>
  <si>
    <t>Biomass</t>
  </si>
  <si>
    <t>AEO.2025.HIGHZTC.CNSM_USE_TEN_NA_HYD_CNV_USA_QBTU.A</t>
  </si>
  <si>
    <t>Total Energy: Use: Hydropower: High Zero-Carbon Technology Cost</t>
  </si>
  <si>
    <t>Conventional Hydroelectric Power</t>
  </si>
  <si>
    <t>AEO.2025.HIGHZTC.CNSM_USE_TEN_NA_NUC_NA_USA_QBTU.A</t>
  </si>
  <si>
    <t>Total Energy: Use: Nuclear: High Zero-Carbon Technology Cost</t>
  </si>
  <si>
    <t>Nuclear / Uranium</t>
  </si>
  <si>
    <t>AEO.2025.HIGHZTC.CNSM_USE_TEN_NA_CL_NA_USA_QBTU.A</t>
  </si>
  <si>
    <t>Total Energy: Use: Coal: High Zero-Carbon Technology Cost</t>
  </si>
  <si>
    <t>AEO.2025.HIGHZTC.CNSM_USE_TEN_NA_NG_NA_USA_QBTU.A</t>
  </si>
  <si>
    <t>Total Energy: Use: Natural Gas: High Zero-Carbon Technology Cost</t>
  </si>
  <si>
    <t>AEO.2025.HIGHZTC.CNSM_USE_TEN_NA_LFL_NA_USA_QBTU.A</t>
  </si>
  <si>
    <t>Total Energy: Use: Liquid Fuels: High Zero-Carbon Technology Cost</t>
  </si>
  <si>
    <t>AEO.2025.HIGHZTC.UNC_NA_TEN_NA_DESCR_NA_USA_QBTU.A</t>
  </si>
  <si>
    <t>Total Energy: Discrepancy: High Zero-Carbon Technology Cost</t>
  </si>
  <si>
    <t>Discrepancy</t>
  </si>
  <si>
    <t>AEO.2025.HIGHZTC.TRAD_EXP_TEN_NA_TOT_NA_USA_QBTU.A</t>
  </si>
  <si>
    <t>Total Energy: Exports: Total: High Zero-Carbon Technology Cost</t>
  </si>
  <si>
    <t>AEO.2025.HIGHZTC.TRAD_EXP_TEN_NA_CL_NA_USA_QBTU.A</t>
  </si>
  <si>
    <t>Total Energy: Exports: Coal: High Zero-Carbon Technology Cost</t>
  </si>
  <si>
    <t>AEO.2025.HIGHZTC.TRAD_EXP_TEN_NA_NG_NA_USA_QBTU.A</t>
  </si>
  <si>
    <t>Total Energy: Exports: Natural Gas: High Zero-Carbon Technology Cost</t>
  </si>
  <si>
    <t>AEO.2025.HIGHZTC.TRAD_EXP_TEN_NA_PET_NA_USA_QBTU.A</t>
  </si>
  <si>
    <t>Total Energy: Exports: Petroleum: High Zero-Carbon Technology Cost</t>
  </si>
  <si>
    <t>AEO.2025.HIGHZTC.TRAD_IMP_TEN_NA_TOT_NA_USA_QBTU.A</t>
  </si>
  <si>
    <t>Total Energy: Imports: Total: High Zero-Carbon Technology Cost</t>
  </si>
  <si>
    <t>AEO.2025.HIGHZTC.TRAD_IMP_TEN_NA_OTH_NA_USA_QBTU.A</t>
  </si>
  <si>
    <t>Total Energy: Imports: Other: High Zero-Carbon Technology Cost</t>
  </si>
  <si>
    <t>AEO.2025.HIGHZTC.TRAD_IMP_TEN_NA_NG_NA_USA_QBTU.A</t>
  </si>
  <si>
    <t>Total Energy: Imports: Natural Gas: High Zero-Carbon Technology Cost</t>
  </si>
  <si>
    <t>AEO.2025.HIGHZTC.TRAD_IMP_TEN_NA_LFL_NA_USA_QBTU.A</t>
  </si>
  <si>
    <t>Total Energy: Imports: Liquid Fuels: High Zero-Carbon Technology Cost</t>
  </si>
  <si>
    <t>AEO.2025.HIGHZTC.TRAD_IMP_TEN_NA_CR_NA_USA_QBTU.A</t>
  </si>
  <si>
    <t>Total Energy: Imports: Crude Oil: High Zero-Carbon Technology Cost</t>
  </si>
  <si>
    <t>AEO.2025.HIGHZTC.SUP_PRD_TEN_NA_TOT_NA_USA_QBTU.A</t>
  </si>
  <si>
    <t>Total Energy: Production: Total: High Zero-Carbon Technology Cost</t>
  </si>
  <si>
    <t>AEO.2025.HIGHZTC.SUP_PRD_TEN_NA_OTH_NA_USA_QBTU.A</t>
  </si>
  <si>
    <t>Total Energy: Production: Other: High Zero-Carbon Technology Cost</t>
  </si>
  <si>
    <t>AEO.2025.HIGHZTC.SUP_PRD_TEN_NA_PRE_NA_USA_QBTU.A</t>
  </si>
  <si>
    <t>Total Energy: Production: Other Renewable Energy: High Zero-Carbon Technology Cost</t>
  </si>
  <si>
    <t>AEO.2025.HIGHZTC.SUP_PRD_TEN_NA_BMS_NA_USA_QBTU.A</t>
  </si>
  <si>
    <t>Total Energy: Production: Biomass: High Zero-Carbon Technology Cost</t>
  </si>
  <si>
    <t>AEO.2025.HIGHZTC.SUP_PRD_TEN_NA_HYD_CNV_USA_QBTU.A</t>
  </si>
  <si>
    <t>Total Energy: Production: Hydropower: High Zero-Carbon Technology Cost</t>
  </si>
  <si>
    <t>AEO.2025.HIGHZTC.SUP_PRD_TEN_NA_NUC_NA_USA_QBTU.A</t>
  </si>
  <si>
    <t>Total Energy: Production: Nuclear: High Zero-Carbon Technology Cost</t>
  </si>
  <si>
    <t>AEO.2025.HIGHZTC.SUP_PRD_TEN_NA_CL_NA_USA_QBTU.A</t>
  </si>
  <si>
    <t>Total Energy: Production: Coal: High Zero-Carbon Technology Cost</t>
  </si>
  <si>
    <t>AEO.2025.HIGHZTC.SUP_PRD_TEN_NA_DNG_NA_USA_QBTU.A</t>
  </si>
  <si>
    <t>Total Energy: Production: Dry Natural Gas: High Zero-Carbon Technology Cost</t>
  </si>
  <si>
    <t>Dry Natural Gas</t>
  </si>
  <si>
    <t>AEO.2025.HIGHZTC.SUP_PRD_TEN_NA_NGP_NA_USA_QBTU.A</t>
  </si>
  <si>
    <t>Total Energy: Production: Natural Gas Plant Liquids: High Zero-Carbon Technology Cost</t>
  </si>
  <si>
    <t>Natural Gas Plant Liquids</t>
  </si>
  <si>
    <t>AEO.2025.HIGHZTC.SUP_PRD_TEN_NA_CLC_NA_USA_QBTU.A</t>
  </si>
  <si>
    <t>Total Energy: Production: Crude Oil and Lease Condensate: High Zero-Carbon Technology Cost</t>
  </si>
  <si>
    <t>Crude Oil and Lease Condensate</t>
  </si>
  <si>
    <t>Tue Dec 02 2025 13:12:41 GMT-0800 (Pacific Standard Time)</t>
  </si>
  <si>
    <t>https://www.eia.gov/outlooks/aeo/data/browser/#/?id=1-AEO2025&amp;region=0-0&amp;cases=highZTC&amp;start=2023&amp;end=2050&amp;f=A&amp;sourcekey=0</t>
  </si>
  <si>
    <t>Table 1.  Total Energy Supply, Disposition, and Price Summary</t>
  </si>
  <si>
    <t>AEO.2025.ALTTRNP.PRCE_NOMP_TEN_NA_ELC_NA_USA_NCNTPKWH.A</t>
  </si>
  <si>
    <t>Total Energy: Nominal Prices: Electricity: Alternative Transportation</t>
  </si>
  <si>
    <t>AEO.2025.ALTTRNP.PRCE_NOMP_TEN_NA_DCL_NA_USA_NDLRPMBTU.A</t>
  </si>
  <si>
    <t>Total Energy: Nominal Prices: Delivered Coal: Alternative Transportation</t>
  </si>
  <si>
    <t>AEO.2025.ALTTRNP.PRCE_NOMP_TEN_NA_CMN_NA_USA_NDLRPMBTU.A</t>
  </si>
  <si>
    <t>Total Energy: Nominal Prices: Coal Minemouth: Alternative Transportation</t>
  </si>
  <si>
    <t>AEO.2025.ALTTRNP.PRCE_NOMP_TEN_NA_CAM_NA_USA_NDLRPTON.A</t>
  </si>
  <si>
    <t>Total Energy: Nominal Prices: Coal at Minemouth: Alternative Transportation</t>
  </si>
  <si>
    <t>AEO.2025.ALTTRNP.PRCE_NOMP_TEN_NA_HHP_NA_USA_NDLRPMBTU.A</t>
  </si>
  <si>
    <t>Total Energy: Nominal Prices: Gas Price at Henry Hub: Alternative Transportation</t>
  </si>
  <si>
    <t>AEO.2025.ALTTRNP.PRCE_NOMP_TEN_NA_WTI_NA_USA_NDLRPBRL.A</t>
  </si>
  <si>
    <t>Total Energy: Nominal Prices: West Texas Intermediate: Alternative Transportation</t>
  </si>
  <si>
    <t>AEO.2025.ALTTRNP.PRCE_NOMP_TEN_NA_BRN_NA_USA_NDLRPBRL.A</t>
  </si>
  <si>
    <t>Total Energy: Nominal Prices: Brent: Alternative Transportation</t>
  </si>
  <si>
    <t>AEO.2025.ALTTRNP.PRCE_RLP_TEN_NA_ELC_NA_USA_Y13CNTPKWH.A</t>
  </si>
  <si>
    <t>Total Energy: Real Prices: Electricity: Alternative Transportation</t>
  </si>
  <si>
    <t>AEO.2025.ALTTRNP.PRCE_RLP_TEN_NA_DCL_NA_USA_Y13DLRPMMBTU.A</t>
  </si>
  <si>
    <t>Total Energy: Real Prices: Delivered Coal: Alternative Transportation</t>
  </si>
  <si>
    <t>AEO.2025.ALTTRNP.PRCE_RLP_TEN_NA_CMN_NA_USA_Y13DLRPMMBTU.A</t>
  </si>
  <si>
    <t>Total Energy: Real Prices: Coal Minemouth: Alternative Transportation</t>
  </si>
  <si>
    <t>AEO.2025.ALTTRNP.PRCE_RLP_TEN_NA_CMN_NA_USA_Y13DLRPTN.A</t>
  </si>
  <si>
    <t>Total Energy: Real Prices: Coal at Minemouth: Alternative Transportation</t>
  </si>
  <si>
    <t>AEO.2025.ALTTRNP.PRCE_RLP_TEN_NA_HHP_NA_USA_Y13DLRPMMBTU.A</t>
  </si>
  <si>
    <t>Total Energy: Real Prices: Gas Price at Henry Hub: Alternative Transportation</t>
  </si>
  <si>
    <t>AEO.2025.ALTTRNP.PRCE_RLP_TEN_NA_WTI_NA_USA_Y13DLRPBBL.A</t>
  </si>
  <si>
    <t>Total Energy: Real Prices: West Texas Intermediate: Alternative Transportation</t>
  </si>
  <si>
    <t>AEO.2025.ALTTRNP.PRCE_RLP_TEN_NA_BRN_NA_USA_Y13DLRPBBL.A</t>
  </si>
  <si>
    <t>Total Energy: Real Prices: Brent: Alternative Transportation</t>
  </si>
  <si>
    <t>AEO.2025.ALTTRNP.CNSM_USE_TEN_NA_TOT_NA_USA_QBTU.A</t>
  </si>
  <si>
    <t>Total Energy: Use: Total: Alternative Transportation</t>
  </si>
  <si>
    <t>AEO.2025.ALTTRNP.CNSM_USE_TEN_NA_OTH_NA_USA_QBTU.A</t>
  </si>
  <si>
    <t>Total Energy: Use: Other: Alternative Transportation</t>
  </si>
  <si>
    <t>AEO.2025.ALTTRNP.CNSM_USE_TEN_NA_PRE_NA_USA_QBTU.A</t>
  </si>
  <si>
    <t>Total Energy: Use: Other Renewable Energy: Alternative Transportation</t>
  </si>
  <si>
    <t>AEO.2025.ALTTRNP.CNSM_USE_TEN_NA_BMS_NA_USA_QBTU.A</t>
  </si>
  <si>
    <t>Total Energy: Use: Biomass: Alternative Transportation</t>
  </si>
  <si>
    <t>AEO.2025.ALTTRNP.CNSM_USE_TEN_NA_HYD_CNV_USA_QBTU.A</t>
  </si>
  <si>
    <t>Total Energy: Use: Hydropower: Alternative Transportation</t>
  </si>
  <si>
    <t>AEO.2025.ALTTRNP.CNSM_USE_TEN_NA_NUC_NA_USA_QBTU.A</t>
  </si>
  <si>
    <t>Total Energy: Use: Nuclear: Alternative Transportation</t>
  </si>
  <si>
    <t>AEO.2025.ALTTRNP.CNSM_USE_TEN_NA_CL_NA_USA_QBTU.A</t>
  </si>
  <si>
    <t>Total Energy: Use: Coal: Alternative Transportation</t>
  </si>
  <si>
    <t>AEO.2025.ALTTRNP.CNSM_USE_TEN_NA_NG_NA_USA_QBTU.A</t>
  </si>
  <si>
    <t>Total Energy: Use: Natural Gas: Alternative Transportation</t>
  </si>
  <si>
    <t>AEO.2025.ALTTRNP.CNSM_USE_TEN_NA_LFL_NA_USA_QBTU.A</t>
  </si>
  <si>
    <t>Total Energy: Use: Liquid Fuels: Alternative Transportation</t>
  </si>
  <si>
    <t>AEO.2025.ALTTRNP.UNC_NA_TEN_NA_DESCR_NA_USA_QBTU.A</t>
  </si>
  <si>
    <t>Total Energy: Discrepancy: Alternative Transportation</t>
  </si>
  <si>
    <t>AEO.2025.ALTTRNP.TRAD_EXP_TEN_NA_TOT_NA_USA_QBTU.A</t>
  </si>
  <si>
    <t>Total Energy: Exports: Total: Alternative Transportation</t>
  </si>
  <si>
    <t>AEO.2025.ALTTRNP.TRAD_EXP_TEN_NA_CL_NA_USA_QBTU.A</t>
  </si>
  <si>
    <t>Total Energy: Exports: Coal: Alternative Transportation</t>
  </si>
  <si>
    <t>AEO.2025.ALTTRNP.TRAD_EXP_TEN_NA_NG_NA_USA_QBTU.A</t>
  </si>
  <si>
    <t>Total Energy: Exports: Natural Gas: Alternative Transportation</t>
  </si>
  <si>
    <t>AEO.2025.ALTTRNP.TRAD_EXP_TEN_NA_PET_NA_USA_QBTU.A</t>
  </si>
  <si>
    <t>Total Energy: Exports: Petroleum: Alternative Transportation</t>
  </si>
  <si>
    <t>AEO.2025.ALTTRNP.TRAD_IMP_TEN_NA_TOT_NA_USA_QBTU.A</t>
  </si>
  <si>
    <t>Total Energy: Imports: Total: Alternative Transportation</t>
  </si>
  <si>
    <t>AEO.2025.ALTTRNP.TRAD_IMP_TEN_NA_OTH_NA_USA_QBTU.A</t>
  </si>
  <si>
    <t>Total Energy: Imports: Other: Alternative Transportation</t>
  </si>
  <si>
    <t>AEO.2025.ALTTRNP.TRAD_IMP_TEN_NA_NG_NA_USA_QBTU.A</t>
  </si>
  <si>
    <t>Total Energy: Imports: Natural Gas: Alternative Transportation</t>
  </si>
  <si>
    <t>AEO.2025.ALTTRNP.TRAD_IMP_TEN_NA_LFL_NA_USA_QBTU.A</t>
  </si>
  <si>
    <t>Total Energy: Imports: Liquid Fuels: Alternative Transportation</t>
  </si>
  <si>
    <t>AEO.2025.ALTTRNP.TRAD_IMP_TEN_NA_CR_NA_USA_QBTU.A</t>
  </si>
  <si>
    <t>Total Energy: Imports: Crude Oil: Alternative Transportation</t>
  </si>
  <si>
    <t>AEO.2025.ALTTRNP.SUP_PRD_TEN_NA_TOT_NA_USA_QBTU.A</t>
  </si>
  <si>
    <t>Total Energy: Production: Total: Alternative Transportation</t>
  </si>
  <si>
    <t>AEO.2025.ALTTRNP.SUP_PRD_TEN_NA_OTH_NA_USA_QBTU.A</t>
  </si>
  <si>
    <t>Total Energy: Production: Other: Alternative Transportation</t>
  </si>
  <si>
    <t>AEO.2025.ALTTRNP.SUP_PRD_TEN_NA_PRE_NA_USA_QBTU.A</t>
  </si>
  <si>
    <t>Total Energy: Production: Other Renewable Energy: Alternative Transportation</t>
  </si>
  <si>
    <t>AEO.2025.ALTTRNP.SUP_PRD_TEN_NA_BMS_NA_USA_QBTU.A</t>
  </si>
  <si>
    <t>Total Energy: Production: Biomass: Alternative Transportation</t>
  </si>
  <si>
    <t>AEO.2025.ALTTRNP.SUP_PRD_TEN_NA_HYD_CNV_USA_QBTU.A</t>
  </si>
  <si>
    <t>Total Energy: Production: Hydropower: Alternative Transportation</t>
  </si>
  <si>
    <t>AEO.2025.ALTTRNP.SUP_PRD_TEN_NA_NUC_NA_USA_QBTU.A</t>
  </si>
  <si>
    <t>Total Energy: Production: Nuclear: Alternative Transportation</t>
  </si>
  <si>
    <t>AEO.2025.ALTTRNP.SUP_PRD_TEN_NA_CL_NA_USA_QBTU.A</t>
  </si>
  <si>
    <t>Total Energy: Production: Coal: Alternative Transportation</t>
  </si>
  <si>
    <t>AEO.2025.ALTTRNP.SUP_PRD_TEN_NA_DNG_NA_USA_QBTU.A</t>
  </si>
  <si>
    <t>Total Energy: Production: Dry Natural Gas: Alternative Transportation</t>
  </si>
  <si>
    <t>AEO.2025.ALTTRNP.SUP_PRD_TEN_NA_NGP_NA_USA_QBTU.A</t>
  </si>
  <si>
    <t>Total Energy: Production: Natural Gas Plant Liquids: Alternative Transportation</t>
  </si>
  <si>
    <t>AEO.2025.ALTTRNP.SUP_PRD_TEN_NA_CLC_NA_USA_QBTU.A</t>
  </si>
  <si>
    <t>Total Energy: Production: Crude Oil and Lease Condensate: Alternative Transportation</t>
  </si>
  <si>
    <t>Fri Dec 05 2025 14:39:56 GMT-0800 (Pacific Standard Time)</t>
  </si>
  <si>
    <t>https://www.eia.gov/outlooks/aeo/data/browser/#/?id=1-AEO2025&amp;region=0-0&amp;cases=alttrnp&amp;start=2023&amp;end=2050&amp;f=A&amp;sourcekey=0</t>
  </si>
  <si>
    <t>Annual Energy Outlook 2025</t>
  </si>
  <si>
    <t>Condensate and Scrubber Oil</t>
  </si>
  <si>
    <t>Biofuels (incl. Fuel Ethanol)</t>
  </si>
  <si>
    <t>Biofuels (excl. Fuel Ethanol)</t>
  </si>
  <si>
    <t>Biodiesel</t>
  </si>
  <si>
    <t>Renewable Diesel Fuel</t>
  </si>
  <si>
    <t>Other Biofuels</t>
  </si>
  <si>
    <t>Transfers to Crude Oil Supply</t>
  </si>
  <si>
    <t>Biofuels Plant Net Production</t>
  </si>
  <si>
    <t>2025 (with annual data for 2024)</t>
  </si>
  <si>
    <t>Area: US, Period: Annual 2024</t>
  </si>
  <si>
    <t>https://www.eia.gov/uranium/production/annual/umine.php</t>
  </si>
  <si>
    <t>Demand</t>
  </si>
  <si>
    <t>Nuclear Fuel (Uranium) Production</t>
  </si>
  <si>
    <t>Domestic Uranium Production Report - Annual</t>
  </si>
  <si>
    <t>Nuclear Fuel (Uranium) Domestic Demand</t>
  </si>
  <si>
    <t>Uranium Marketing Annual Report</t>
  </si>
  <si>
    <t>https://www.eia.gov/uranium/marketing/summarytable1a.php?</t>
  </si>
  <si>
    <t>https://www.eia.gov/coal/data/browser/</t>
  </si>
  <si>
    <t>million short tons of coal produced (of all types) in 2024</t>
  </si>
  <si>
    <t>https://www.eia.gov/coal/data/browser/#/topic/41?agg=0,2,1&amp;rank=g&amp;freq=A&amp;start=2001&amp;end=2024&amp;ctype=map&amp;ltype=pin&amp;rtype=s&amp;maptype=0&amp;rse=0&amp;pin=</t>
  </si>
  <si>
    <t>https://www.eia.gov/coal/data/browser/#/topic/39?agg=2,1,0&amp;rank=ok&amp;map=COAL.EXPORT_QTY.TOT-TOT-TOT.A&amp;freq=A&amp;start=2001&amp;end=2024&amp;ctype=map&amp;ltype=pin&amp;rtype=s&amp;pin=&amp;rse=0&amp;maptype=0</t>
  </si>
  <si>
    <t>million short tons of coal exported in 2024</t>
  </si>
  <si>
    <t>million short tons of coal imported in 2024</t>
  </si>
  <si>
    <t>million short tons of lignite produced in 2024</t>
  </si>
  <si>
    <t>https://www.eia.gov/coal/annual/pdf/tableES1.pdf</t>
  </si>
  <si>
    <t>Annual Coal Report and Browser Data</t>
  </si>
  <si>
    <t>We don't have biomass import data from EIA. Imports are assumed to be negligible.</t>
  </si>
  <si>
    <t>Total wood pellet production (Table 2)</t>
  </si>
  <si>
    <t>Tables 2 and 8</t>
  </si>
  <si>
    <t>https://www.eia.gov/biofuels/biomass/?year=2024&amp;month=12#table_data</t>
  </si>
  <si>
    <t>Monthly Densified Biomass Fuel Report, December 2024</t>
  </si>
  <si>
    <t>produced in 2024 (NOT including byproduct hydrogen)</t>
  </si>
  <si>
    <t>https://www.nationalacademies.org/read/27978/chapter/4</t>
  </si>
  <si>
    <t>Municipal Solid Waste Recycling in the United States: Analysis of Current and Alternative Approaches</t>
  </si>
  <si>
    <t>National Academies of Sciences</t>
  </si>
  <si>
    <t>Summary of Key Messages, first paragraph</t>
  </si>
  <si>
    <t>alttrnp.d032125a</t>
  </si>
  <si>
    <t>alttrnp</t>
  </si>
  <si>
    <t>Alternative Transportation</t>
  </si>
  <si>
    <t>d032125a</t>
  </si>
  <si>
    <t>April 2025</t>
  </si>
  <si>
    <t>19. Hydrogen Supply, Disposition, and Prices</t>
  </si>
  <si>
    <t>(million metric tons unless otherwise noted)</t>
  </si>
  <si>
    <t>Avg Annual Change</t>
  </si>
  <si>
    <t>2024-2050</t>
  </si>
  <si>
    <t>Supply 1/</t>
  </si>
  <si>
    <t xml:space="preserve"> Production By Technology</t>
  </si>
  <si>
    <t>HMM000:ba_smr</t>
  </si>
  <si>
    <t xml:space="preserve">  Steam Methane Reforming 2/</t>
  </si>
  <si>
    <t>HMM000:ba_smrccs</t>
  </si>
  <si>
    <t xml:space="preserve">  Steam Methane Reforming with CCS 2/</t>
  </si>
  <si>
    <t>HMM000:ba_electrolysis</t>
  </si>
  <si>
    <t xml:space="preserve">  Electrolysis</t>
  </si>
  <si>
    <t>HMM000:ba_byproduct</t>
  </si>
  <si>
    <t xml:space="preserve"> Byproduct Hydrogen Supply to Market 3/</t>
  </si>
  <si>
    <t>HMM000:ba_tothydrogen</t>
  </si>
  <si>
    <t xml:space="preserve"> Total Hydrogen Supply</t>
  </si>
  <si>
    <t>HMM000:ca_totconsumption</t>
  </si>
  <si>
    <t>HMM000:ca_industrial</t>
  </si>
  <si>
    <t xml:space="preserve"> Industrial feedstock 4/</t>
  </si>
  <si>
    <t>HMM000:ca_bulkchemical</t>
  </si>
  <si>
    <t xml:space="preserve">  Bulk Chemicals 5/</t>
  </si>
  <si>
    <t>HMM000:ca_refinery</t>
  </si>
  <si>
    <t xml:space="preserve">  Refinery 6/</t>
  </si>
  <si>
    <t>HMM000:ca_othercons</t>
  </si>
  <si>
    <t xml:space="preserve">  Other Industrial 7/</t>
  </si>
  <si>
    <t>HMM000:ca_transportation</t>
  </si>
  <si>
    <t xml:space="preserve"> Transportation</t>
  </si>
  <si>
    <t>HMM000:ca_transportationldv</t>
  </si>
  <si>
    <t xml:space="preserve">    Light-Duty Vehicles</t>
  </si>
  <si>
    <t>HMM000:ca_transportationclt</t>
  </si>
  <si>
    <t xml:space="preserve">    Commercial Light Trucks</t>
  </si>
  <si>
    <t>HMM000:ca_transportationft</t>
  </si>
  <si>
    <t xml:space="preserve">    Freight Trucks</t>
  </si>
  <si>
    <t>HMM000:ca_transportationbt</t>
  </si>
  <si>
    <t xml:space="preserve">    Bus Transportation</t>
  </si>
  <si>
    <t>HMM000:ca_electric</t>
  </si>
  <si>
    <t xml:space="preserve"> Electric Power</t>
  </si>
  <si>
    <t>HMM000:da_disc</t>
  </si>
  <si>
    <t>Discrepancy 8/</t>
  </si>
  <si>
    <t>Prices ($/MMBtu)</t>
  </si>
  <si>
    <t>HMM000:ea_spotprice</t>
  </si>
  <si>
    <t>Hydrogen average market spot price 9/</t>
  </si>
  <si>
    <t>Delivered End-Use Prices ($/MMBtu)</t>
  </si>
  <si>
    <t>HMM000:fa_indprice</t>
  </si>
  <si>
    <t xml:space="preserve"> Industrial 10/</t>
  </si>
  <si>
    <t>HMM000:fa_transprice</t>
  </si>
  <si>
    <t xml:space="preserve"> Transportation 11/</t>
  </si>
  <si>
    <t>HMM000:fa_epprice</t>
  </si>
  <si>
    <t xml:space="preserve"> Electric Power 10/</t>
  </si>
  <si>
    <t>Data source: 2024: U.S. Energy Information Administration (EIA), Short-Term Energy Outlook, December 2024 and EIA,</t>
  </si>
  <si>
    <t>AEO2025 National Energy Modeling System run alttrnp.d032125a. Projections: EIA, AEO2025 National Energy Modeling System run alttrnp.d032125a.</t>
  </si>
  <si>
    <t>1/ Supply is defined as hydrogen production from an industrial process that converts an energy feedstock of water</t>
  </si>
  <si>
    <t>into hydrogen gas as its primary output, plus byproduct hydrogen delivered to an end user (that is, not self-consumed for heat</t>
  </si>
  <si>
    <t>and power onsite).</t>
  </si>
  <si>
    <t>2/ Includes volumes produced for delivery to end users in the market as well as production at facilities that may be adjacent</t>
  </si>
  <si>
    <t>to/producing hydrogen for a specific industrial facility that requires hydrogen feedstock. Specifically, dedicated hydrogen</t>
  </si>
  <si>
    <t>associated with nitrogenous fertilizer plants, refineries, and other chemical industrial are included in this total.</t>
  </si>
  <si>
    <t>3/ Sources include the petrochemical industry, where hydrogen is a byproduct of ethane cracking. Byproduct supply does not</t>
  </si>
  <si>
    <t>include self-consumed hydrogen from other industrial subsectors; that is, byproduct supply here only includes byproduct hydrogen</t>
  </si>
  <si>
    <t>that is sold or transferred to another facility. Also excluded is hydrogen produced by refiners as a byproduct of catalytic cracking,</t>
  </si>
  <si>
    <t>where we assume it is used for heat and power and not further purified for input as a refinery feed during crude oil processing.</t>
  </si>
  <si>
    <t>4/ Currently, industrial facilities only demand hydrogen supply for processes where relatively pure hydrogen</t>
  </si>
  <si>
    <t>is used as a feedstock. There is no representation of end-use consumption of hydrogen fuel for heat and power.</t>
  </si>
  <si>
    <t>5/ Excludes consumption of syngas. Includes hydrogen used to produced ammonia at nitrogenous fertilizer plants in addition</t>
  </si>
  <si>
    <t>to hydrogen used in other bulk chemicals industries.</t>
  </si>
  <si>
    <t>6/ Equivalent to refinery "net hydrogen input" data series as collected in the EIA-810 and EIA-820 surveys and published in the</t>
  </si>
  <si>
    <t>Petroleum Supply Monthly and Petroleum Supply Annual</t>
  </si>
  <si>
    <t>7/ Other industrial use is limited to iron and steel manufacturing.</t>
  </si>
  <si>
    <t>8/ Discrepancy is defined as Supply (see Footnote 1)  minus Consumption. Non-zero values represent losses of hydrogen</t>
  </si>
  <si>
    <t>during transmission, distribution, and/or storage, or internal model adjustments required to balance supply and demand in a given year</t>
  </si>
  <si>
    <t>prior to solving.</t>
  </si>
  <si>
    <t>9/ The hydrogen average market spot price is defined as the consumption-weighted average of the marginal price at census division</t>
  </si>
  <si>
    <t>market clearing hubs</t>
  </si>
  <si>
    <t>10/ Delivered prices include the hydrogen average market spot price plus markups for transportation from supplier to consumer</t>
  </si>
  <si>
    <t>11/ Delivered prices include the hydrogen average market spot price, markups for transportation from supplier to consumer,</t>
  </si>
  <si>
    <t>as well as costs associated with the following: hydrogen purification to meet fuel cell requirements, hydrogen compression at</t>
  </si>
  <si>
    <t>dispensing stations, building and operating hydrogen dispensing stations, and state and federal taxes</t>
  </si>
  <si>
    <t>Natural Gas, Hydrogen, Time Series Scaling Factors</t>
  </si>
  <si>
    <t>AEO2023 Table 69</t>
  </si>
  <si>
    <t>https://www.eia.gov/outlooks/archive/aeo23/</t>
  </si>
  <si>
    <t>High Zero Carbon Technology and Alternative Transportation, Tables 1, 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</si>
</sst>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8" formatCode="&quot;$&quot;#,##0.00_);[Red]\(&quot;$&quot;#,##0.00\)"/>
    <numFmt numFmtId="43" formatCode="_(* #,##0.00_);_(* \(#,##0.00\);_(* &quot;-&quot;??_);_(@_)"/>
    <numFmt numFmtId="164" formatCode="0.0%"/>
    <numFmt numFmtId="165" formatCode="#,##0.0"/>
    <numFmt numFmtId="166" formatCode="#,##0.0000"/>
    <numFmt numFmtId="167" formatCode="0.0000"/>
    <numFmt numFmtId="168" formatCode="0.0"/>
    <numFmt numFmtId="169" formatCode="#,##0.000"/>
    <numFmt numFmtId="170" formatCode="0.000"/>
    <numFmt numFmtId="171" formatCode="#,##0.000000"/>
    <numFmt numFmtId="172" formatCode="0.000000"/>
    <numFmt numFmtId="173" formatCode="#,##0.000000000"/>
    <numFmt numFmtId="174" formatCode="#,##0.0000000000"/>
    <numFmt numFmtId="175" formatCode="#,##0.0000000"/>
    <numFmt numFmtId="176" formatCode="0.0000E+00"/>
    <numFmt numFmtId="177" formatCode="_(* #,##0_);_(* \(#,##0\);_(* &quot;-&quot;??_);_(@_)"/>
  </numFmts>
  <fonts count="39">
    <font>
      <sz val="11"/>
      <color theme="1"/>
      <name val="Calibri"/>
      <family val="2"/>
      <scheme val="minor"/>
    </font>
    <font>
      <b/>
      <sz val="11"/>
      <color theme="1"/>
      <name val="Calibri"/>
      <family val="2"/>
      <scheme val="minor"/>
    </font>
    <font>
      <u/>
      <sz val="11"/>
      <color theme="10"/>
      <name val="Calibri"/>
      <family val="2"/>
      <scheme val="minor"/>
    </font>
    <font>
      <b/>
      <sz val="9"/>
      <color rgb="FFFFFFFF"/>
      <name val="Arial"/>
      <family val="2"/>
    </font>
    <font>
      <b/>
      <sz val="9"/>
      <color rgb="FF000000"/>
      <name val="Arial"/>
      <family val="2"/>
    </font>
    <font>
      <sz val="9"/>
      <color rgb="FF000000"/>
      <name val="Arial"/>
      <family val="2"/>
    </font>
    <font>
      <sz val="9"/>
      <color indexed="8"/>
      <name val="Calibri"/>
      <family val="2"/>
    </font>
    <font>
      <b/>
      <sz val="9"/>
      <color indexed="8"/>
      <name val="Calibri"/>
      <family val="2"/>
    </font>
    <font>
      <sz val="10"/>
      <color indexed="8"/>
      <name val="Arial"/>
      <family val="2"/>
    </font>
    <font>
      <sz val="8"/>
      <name val="Arial"/>
      <family val="2"/>
    </font>
    <font>
      <b/>
      <sz val="12"/>
      <color indexed="30"/>
      <name val="Calibri"/>
      <family val="2"/>
    </font>
    <font>
      <sz val="9"/>
      <name val="Calibri"/>
      <family val="2"/>
    </font>
    <font>
      <i/>
      <sz val="11"/>
      <color theme="1"/>
      <name val="Calibri"/>
      <family val="2"/>
      <scheme val="minor"/>
    </font>
    <font>
      <sz val="11"/>
      <color theme="1"/>
      <name val="Calibri"/>
      <family val="2"/>
      <scheme val="minor"/>
    </font>
    <font>
      <b/>
      <sz val="12"/>
      <name val="Arial"/>
      <family val="2"/>
    </font>
    <font>
      <b/>
      <sz val="11"/>
      <name val="Arial"/>
      <family val="2"/>
    </font>
    <font>
      <b/>
      <sz val="10"/>
      <name val="Arial"/>
      <family val="2"/>
    </font>
    <font>
      <sz val="10"/>
      <name val="Arial"/>
      <family val="2"/>
    </font>
    <font>
      <sz val="8"/>
      <color indexed="81"/>
      <name val="Tahoma"/>
      <family val="2"/>
    </font>
    <font>
      <sz val="8"/>
      <color indexed="81"/>
      <name val="Arial"/>
      <family val="2"/>
    </font>
    <font>
      <sz val="9"/>
      <color indexed="81"/>
      <name val="Tahoma"/>
      <family val="2"/>
    </font>
    <font>
      <b/>
      <sz val="10"/>
      <color indexed="81"/>
      <name val="Tahoma"/>
      <family val="2"/>
    </font>
    <font>
      <sz val="10"/>
      <color indexed="81"/>
      <name val="Tahoma"/>
      <family val="2"/>
    </font>
    <font>
      <sz val="9"/>
      <color theme="1"/>
      <name val="Calibri"/>
      <family val="2"/>
      <scheme val="minor"/>
    </font>
    <font>
      <b/>
      <sz val="9"/>
      <color theme="1"/>
      <name val="Calibri"/>
      <family val="2"/>
      <scheme val="minor"/>
    </font>
    <font>
      <u/>
      <sz val="11"/>
      <color rgb="FF0070C0"/>
      <name val="Calibri"/>
      <family val="2"/>
      <scheme val="minor"/>
    </font>
    <font>
      <sz val="11"/>
      <name val="Calibri"/>
      <family val="2"/>
      <scheme val="minor"/>
    </font>
    <font>
      <sz val="10"/>
      <name val="Calibri"/>
      <family val="2"/>
    </font>
    <font>
      <b/>
      <sz val="9"/>
      <name val="Calibri"/>
      <family val="2"/>
    </font>
    <font>
      <b/>
      <sz val="12"/>
      <name val="Calibri"/>
      <family val="2"/>
    </font>
    <font>
      <sz val="9"/>
      <color rgb="FF333333"/>
      <name val="Arial"/>
      <family val="2"/>
    </font>
    <font>
      <b/>
      <sz val="9"/>
      <color rgb="FF333333"/>
      <name val="Arial"/>
      <family val="2"/>
    </font>
    <font>
      <sz val="11"/>
      <color rgb="FF000000"/>
      <name val="Arial"/>
      <family val="2"/>
    </font>
    <font>
      <sz val="11"/>
      <color rgb="FF007EB5"/>
      <name val="Arial"/>
      <family val="2"/>
    </font>
    <font>
      <b/>
      <sz val="8"/>
      <color rgb="FF000000"/>
      <name val="Arial"/>
      <family val="2"/>
    </font>
    <font>
      <sz val="6"/>
      <color rgb="FF333333"/>
      <name val="Inherit"/>
    </font>
    <font>
      <b/>
      <sz val="12"/>
      <color rgb="FF000000"/>
      <name val="Calibri"/>
      <family val="2"/>
      <scheme val="minor"/>
    </font>
    <font>
      <sz val="9"/>
      <color rgb="FF000000"/>
      <name val="Calibri"/>
      <family val="2"/>
      <scheme val="minor"/>
    </font>
    <font>
      <b/>
      <sz val="9"/>
      <color rgb="FF000000"/>
      <name val="Calibri"/>
      <family val="2"/>
      <scheme val="minor"/>
    </font>
  </fonts>
  <fills count="29">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rgb="FFFFC000"/>
        <bgColor indexed="64"/>
      </patternFill>
    </fill>
    <fill>
      <patternFill patternType="solid">
        <fgColor rgb="FF3F74B6"/>
        <bgColor indexed="64"/>
      </patternFill>
    </fill>
    <fill>
      <patternFill patternType="solid">
        <fgColor rgb="FF7D7D7D"/>
        <bgColor indexed="64"/>
      </patternFill>
    </fill>
    <fill>
      <patternFill patternType="solid">
        <fgColor rgb="FFFFFFFF"/>
        <bgColor indexed="64"/>
      </patternFill>
    </fill>
    <fill>
      <patternFill patternType="solid">
        <fgColor rgb="FFD2E2F2"/>
        <bgColor indexed="64"/>
      </patternFill>
    </fill>
    <fill>
      <patternFill patternType="solid">
        <fgColor rgb="FFCFCFCF"/>
        <bgColor indexed="64"/>
      </patternFill>
    </fill>
    <fill>
      <patternFill patternType="solid">
        <fgColor rgb="FFFFFFE1"/>
        <bgColor indexed="64"/>
      </patternFill>
    </fill>
    <fill>
      <patternFill patternType="solid">
        <fgColor theme="0" tint="-0.14999847407452621"/>
        <bgColor indexed="64"/>
      </patternFill>
    </fill>
    <fill>
      <patternFill patternType="solid">
        <fgColor rgb="FFFFFF00"/>
        <bgColor indexed="64"/>
      </patternFill>
    </fill>
    <fill>
      <patternFill patternType="solid">
        <fgColor theme="3" tint="0.59999389629810485"/>
        <bgColor indexed="64"/>
      </patternFill>
    </fill>
    <fill>
      <patternFill patternType="solid">
        <fgColor indexed="29"/>
        <bgColor indexed="64"/>
      </patternFill>
    </fill>
    <fill>
      <patternFill patternType="solid">
        <fgColor rgb="FF00FF00"/>
        <bgColor indexed="9"/>
      </patternFill>
    </fill>
    <fill>
      <patternFill patternType="solid">
        <fgColor indexed="13"/>
        <bgColor indexed="64"/>
      </patternFill>
    </fill>
    <fill>
      <patternFill patternType="solid">
        <fgColor rgb="FFFFFF00"/>
        <bgColor indexed="9"/>
      </patternFill>
    </fill>
    <fill>
      <patternFill patternType="solid">
        <fgColor theme="1" tint="0.34998626667073579"/>
        <bgColor indexed="64"/>
      </patternFill>
    </fill>
    <fill>
      <patternFill patternType="solid">
        <fgColor indexed="13"/>
        <bgColor indexed="9"/>
      </patternFill>
    </fill>
    <fill>
      <patternFill patternType="solid">
        <fgColor rgb="FF00FF00"/>
        <bgColor indexed="64"/>
      </patternFill>
    </fill>
    <fill>
      <patternFill patternType="solid">
        <fgColor rgb="FFFF8080"/>
        <bgColor indexed="64"/>
      </patternFill>
    </fill>
    <fill>
      <patternFill patternType="solid">
        <fgColor theme="4" tint="0.39997558519241921"/>
        <bgColor indexed="64"/>
      </patternFill>
    </fill>
    <fill>
      <patternFill patternType="solid">
        <fgColor rgb="FFCC99FF"/>
        <bgColor indexed="64"/>
      </patternFill>
    </fill>
    <fill>
      <patternFill patternType="solid">
        <fgColor theme="2" tint="-0.249977111117893"/>
        <bgColor indexed="64"/>
      </patternFill>
    </fill>
    <fill>
      <patternFill patternType="solid">
        <fgColor rgb="FFFF66FF"/>
        <bgColor indexed="64"/>
      </patternFill>
    </fill>
    <fill>
      <patternFill patternType="solid">
        <fgColor theme="2" tint="-9.9978637043366805E-2"/>
        <bgColor indexed="64"/>
      </patternFill>
    </fill>
    <fill>
      <patternFill patternType="solid">
        <fgColor rgb="FFF7F7F7"/>
        <bgColor indexed="64"/>
      </patternFill>
    </fill>
    <fill>
      <patternFill patternType="solid">
        <fgColor theme="6" tint="0.59999389629810485"/>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top style="thin">
        <color auto="1"/>
      </top>
      <bottom/>
      <diagonal/>
    </border>
    <border>
      <left/>
      <right/>
      <top style="thin">
        <color indexed="64"/>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style="thin">
        <color auto="1"/>
      </top>
      <bottom style="thin">
        <color indexed="64"/>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auto="1"/>
      </left>
      <right style="thin">
        <color auto="1"/>
      </right>
      <top/>
      <bottom/>
      <diagonal/>
    </border>
    <border>
      <left style="thin">
        <color indexed="64"/>
      </left>
      <right style="thin">
        <color indexed="64"/>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auto="1"/>
      </left>
      <right style="thin">
        <color indexed="64"/>
      </right>
      <top style="thin">
        <color indexed="64"/>
      </top>
      <bottom/>
      <diagonal/>
    </border>
    <border>
      <left style="thin">
        <color indexed="64"/>
      </left>
      <right/>
      <top/>
      <bottom style="thin">
        <color indexed="64"/>
      </bottom>
      <diagonal/>
    </border>
    <border>
      <left style="thick">
        <color theme="0"/>
      </left>
      <right style="thick">
        <color theme="0"/>
      </right>
      <top/>
      <bottom style="thin">
        <color theme="0" tint="-0.24994659260841701"/>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right/>
      <top/>
      <bottom style="mediumDashed">
        <color rgb="FFD8D8D8"/>
      </bottom>
      <diagonal/>
    </border>
    <border>
      <left/>
      <right/>
      <top/>
      <bottom style="medium">
        <color rgb="FF000000"/>
      </bottom>
      <diagonal/>
    </border>
    <border>
      <left/>
      <right style="thick">
        <color rgb="FFFFFFFF"/>
      </right>
      <top/>
      <bottom style="medium">
        <color rgb="FFD8D8D8"/>
      </bottom>
      <diagonal/>
    </border>
    <border>
      <left/>
      <right style="thick">
        <color rgb="FFFFFFFF"/>
      </right>
      <top/>
      <bottom/>
      <diagonal/>
    </border>
    <border>
      <left/>
      <right/>
      <top/>
      <bottom style="medium">
        <color rgb="FFD8D8D8"/>
      </bottom>
      <diagonal/>
    </border>
    <border>
      <left style="thick">
        <color rgb="FFFFFFFF"/>
      </left>
      <right/>
      <top/>
      <bottom/>
      <diagonal/>
    </border>
    <border>
      <left style="thick">
        <color rgb="FFFFFFFF"/>
      </left>
      <right/>
      <top/>
      <bottom style="medium">
        <color rgb="FFD8D8D8"/>
      </bottom>
      <diagonal/>
    </border>
  </borders>
  <cellStyleXfs count="37">
    <xf numFmtId="0" fontId="0" fillId="0" borderId="0"/>
    <xf numFmtId="0" fontId="2" fillId="0" borderId="0" applyNumberFormat="0" applyFill="0" applyBorder="0" applyAlignment="0" applyProtection="0"/>
    <xf numFmtId="0" fontId="6" fillId="0" borderId="0"/>
    <xf numFmtId="0" fontId="6" fillId="0" borderId="0" applyNumberFormat="0" applyFill="0" applyBorder="0" applyAlignment="0" applyProtection="0"/>
    <xf numFmtId="0" fontId="7" fillId="0" borderId="2" applyNumberFormat="0" applyProtection="0">
      <alignment wrapText="1"/>
    </xf>
    <xf numFmtId="0" fontId="10" fillId="0" borderId="0" applyNumberFormat="0" applyProtection="0">
      <alignment horizontal="left"/>
    </xf>
    <xf numFmtId="0" fontId="7" fillId="0" borderId="3" applyNumberFormat="0" applyProtection="0">
      <alignment wrapText="1"/>
    </xf>
    <xf numFmtId="0" fontId="6" fillId="0" borderId="4" applyNumberFormat="0" applyFont="0" applyProtection="0">
      <alignment wrapText="1"/>
    </xf>
    <xf numFmtId="0" fontId="6" fillId="0" borderId="5" applyNumberFormat="0" applyProtection="0">
      <alignment wrapText="1"/>
    </xf>
    <xf numFmtId="43" fontId="13" fillId="0" borderId="0" applyFont="0" applyFill="0" applyBorder="0" applyAlignment="0" applyProtection="0"/>
    <xf numFmtId="9" fontId="13" fillId="0" borderId="0" applyFont="0" applyFill="0" applyBorder="0" applyAlignment="0" applyProtection="0"/>
    <xf numFmtId="0" fontId="6" fillId="0" borderId="0" applyNumberFormat="0" applyFill="0" applyBorder="0" applyAlignment="0" applyProtection="0"/>
    <xf numFmtId="0" fontId="7" fillId="0" borderId="2" applyNumberFormat="0" applyProtection="0">
      <alignment wrapText="1"/>
    </xf>
    <xf numFmtId="0" fontId="10" fillId="0" borderId="0" applyNumberFormat="0" applyProtection="0">
      <alignment horizontal="left"/>
    </xf>
    <xf numFmtId="0" fontId="7" fillId="0" borderId="3" applyNumberFormat="0" applyProtection="0">
      <alignment wrapText="1"/>
    </xf>
    <xf numFmtId="0" fontId="6" fillId="0" borderId="4" applyNumberFormat="0" applyFont="0" applyProtection="0">
      <alignment wrapText="1"/>
    </xf>
    <xf numFmtId="0" fontId="6" fillId="0" borderId="5" applyNumberFormat="0" applyProtection="0">
      <alignment wrapText="1"/>
    </xf>
    <xf numFmtId="0" fontId="23" fillId="0" borderId="0" applyNumberFormat="0" applyProtection="0">
      <alignment vertical="top" wrapText="1"/>
    </xf>
    <xf numFmtId="0" fontId="24" fillId="0" borderId="20" applyNumberFormat="0" applyProtection="0">
      <alignment horizontal="left" wrapText="1"/>
    </xf>
    <xf numFmtId="0" fontId="23" fillId="0" borderId="21" applyNumberFormat="0" applyFont="0" applyFill="0" applyProtection="0">
      <alignment wrapText="1"/>
    </xf>
    <xf numFmtId="0" fontId="24" fillId="0" borderId="22" applyNumberFormat="0" applyFill="0" applyProtection="0">
      <alignment wrapText="1"/>
    </xf>
    <xf numFmtId="0" fontId="6" fillId="0" borderId="5">
      <alignment wrapText="1"/>
    </xf>
    <xf numFmtId="0" fontId="6" fillId="0" borderId="4">
      <alignment wrapText="1"/>
    </xf>
    <xf numFmtId="0" fontId="7" fillId="0" borderId="3">
      <alignment wrapText="1"/>
    </xf>
    <xf numFmtId="0" fontId="7" fillId="0" borderId="2">
      <alignment wrapText="1"/>
    </xf>
    <xf numFmtId="0" fontId="6" fillId="0" borderId="0"/>
    <xf numFmtId="0" fontId="10" fillId="0" borderId="0">
      <alignment horizontal="left"/>
    </xf>
    <xf numFmtId="9" fontId="6" fillId="0" borderId="0" applyFont="0" applyFill="0" applyBorder="0" applyAlignment="0" applyProtection="0"/>
    <xf numFmtId="0" fontId="13" fillId="0" borderId="0"/>
    <xf numFmtId="0" fontId="6" fillId="0" borderId="0"/>
    <xf numFmtId="0" fontId="13" fillId="0" borderId="0"/>
    <xf numFmtId="0" fontId="6" fillId="0" borderId="4">
      <alignment wrapText="1"/>
    </xf>
    <xf numFmtId="0" fontId="6" fillId="0" borderId="0"/>
    <xf numFmtId="0" fontId="6" fillId="0" borderId="5">
      <alignment wrapText="1"/>
    </xf>
    <xf numFmtId="0" fontId="7" fillId="0" borderId="2">
      <alignment wrapText="1"/>
    </xf>
    <xf numFmtId="0" fontId="7" fillId="0" borderId="3">
      <alignment wrapText="1"/>
    </xf>
    <xf numFmtId="0" fontId="10" fillId="0" borderId="0">
      <alignment horizontal="left"/>
    </xf>
  </cellStyleXfs>
  <cellXfs count="291">
    <xf numFmtId="0" fontId="0" fillId="0" borderId="0" xfId="0"/>
    <xf numFmtId="0" fontId="1" fillId="0" borderId="0" xfId="0" applyFont="1"/>
    <xf numFmtId="0" fontId="1" fillId="2" borderId="0" xfId="0" applyFont="1" applyFill="1"/>
    <xf numFmtId="0" fontId="0" fillId="0" borderId="0" xfId="0" applyAlignment="1">
      <alignment horizontal="left"/>
    </xf>
    <xf numFmtId="0" fontId="2" fillId="0" borderId="0" xfId="1"/>
    <xf numFmtId="0" fontId="0" fillId="3" borderId="0" xfId="0" applyFill="1"/>
    <xf numFmtId="0" fontId="0" fillId="4" borderId="0" xfId="0" applyFill="1"/>
    <xf numFmtId="0" fontId="0" fillId="2" borderId="0" xfId="0" applyFill="1"/>
    <xf numFmtId="0" fontId="4" fillId="8" borderId="1" xfId="0" applyFont="1" applyFill="1" applyBorder="1" applyAlignment="1">
      <alignment horizontal="center" wrapText="1"/>
    </xf>
    <xf numFmtId="0" fontId="4" fillId="9" borderId="1" xfId="0" applyFont="1" applyFill="1" applyBorder="1" applyAlignment="1">
      <alignment horizontal="center" wrapText="1"/>
    </xf>
    <xf numFmtId="0" fontId="4" fillId="10" borderId="1" xfId="0" applyFont="1" applyFill="1" applyBorder="1" applyAlignment="1">
      <alignment horizontal="left" vertical="center" wrapText="1"/>
    </xf>
    <xf numFmtId="0" fontId="0" fillId="0" borderId="1" xfId="0" applyBorder="1"/>
    <xf numFmtId="0" fontId="5" fillId="0" borderId="1" xfId="0" applyFont="1" applyBorder="1" applyAlignment="1">
      <alignment horizontal="right" vertical="center" wrapText="1"/>
    </xf>
    <xf numFmtId="0" fontId="0" fillId="11" borderId="1" xfId="0" applyFill="1" applyBorder="1"/>
    <xf numFmtId="0" fontId="5" fillId="10" borderId="1" xfId="0" applyFont="1" applyFill="1" applyBorder="1" applyAlignment="1">
      <alignment horizontal="left" vertical="center" wrapText="1" indent="1"/>
    </xf>
    <xf numFmtId="0" fontId="5" fillId="10" borderId="1" xfId="0" applyFont="1" applyFill="1" applyBorder="1" applyAlignment="1">
      <alignment horizontal="left" vertical="center" wrapText="1" indent="2"/>
    </xf>
    <xf numFmtId="0" fontId="5" fillId="11" borderId="1" xfId="0" applyFont="1" applyFill="1" applyBorder="1" applyAlignment="1">
      <alignment horizontal="right" vertical="center" wrapText="1"/>
    </xf>
    <xf numFmtId="0" fontId="5" fillId="10" borderId="1" xfId="0" applyFont="1" applyFill="1" applyBorder="1" applyAlignment="1">
      <alignment horizontal="left" vertical="center" wrapText="1" indent="3"/>
    </xf>
    <xf numFmtId="0" fontId="0" fillId="0" borderId="0" xfId="0" applyAlignment="1">
      <alignment horizontal="right"/>
    </xf>
    <xf numFmtId="1" fontId="0" fillId="3" borderId="0" xfId="0" applyNumberFormat="1" applyFill="1"/>
    <xf numFmtId="0" fontId="12" fillId="0" borderId="0" xfId="0" applyFont="1"/>
    <xf numFmtId="3" fontId="0" fillId="0" borderId="0" xfId="0" applyNumberFormat="1" applyAlignment="1">
      <alignment horizontal="right"/>
    </xf>
    <xf numFmtId="4" fontId="0" fillId="0" borderId="0" xfId="0" applyNumberFormat="1" applyAlignment="1">
      <alignment horizontal="right"/>
    </xf>
    <xf numFmtId="1" fontId="0" fillId="0" borderId="0" xfId="0" applyNumberFormat="1" applyAlignment="1">
      <alignment horizontal="right"/>
    </xf>
    <xf numFmtId="0" fontId="1" fillId="0" borderId="0" xfId="0" applyFont="1" applyAlignment="1">
      <alignment wrapText="1"/>
    </xf>
    <xf numFmtId="1" fontId="0" fillId="0" borderId="0" xfId="0" applyNumberFormat="1"/>
    <xf numFmtId="168" fontId="0" fillId="0" borderId="0" xfId="0" applyNumberFormat="1"/>
    <xf numFmtId="2" fontId="0" fillId="0" borderId="0" xfId="0" applyNumberFormat="1"/>
    <xf numFmtId="0" fontId="0" fillId="2" borderId="0" xfId="0" applyFill="1" applyAlignment="1">
      <alignment horizontal="right"/>
    </xf>
    <xf numFmtId="0" fontId="0" fillId="2" borderId="0" xfId="0" applyFill="1" applyAlignment="1">
      <alignment horizontal="left"/>
    </xf>
    <xf numFmtId="0" fontId="0" fillId="2" borderId="0" xfId="0" applyFill="1" applyAlignment="1">
      <alignment wrapText="1"/>
    </xf>
    <xf numFmtId="0" fontId="1" fillId="13" borderId="0" xfId="0" applyFont="1" applyFill="1"/>
    <xf numFmtId="0" fontId="1" fillId="13" borderId="0" xfId="0" applyFont="1" applyFill="1" applyAlignment="1">
      <alignment horizontal="right"/>
    </xf>
    <xf numFmtId="0" fontId="1" fillId="13" borderId="0" xfId="0" applyFont="1" applyFill="1" applyAlignment="1">
      <alignment horizontal="right" wrapText="1"/>
    </xf>
    <xf numFmtId="0" fontId="1" fillId="13" borderId="0" xfId="0" applyFont="1" applyFill="1" applyAlignment="1">
      <alignment horizontal="left"/>
    </xf>
    <xf numFmtId="0" fontId="14" fillId="0" borderId="0" xfId="0" applyFont="1"/>
    <xf numFmtId="0" fontId="15" fillId="0" borderId="0" xfId="0" applyFont="1"/>
    <xf numFmtId="0" fontId="16" fillId="0" borderId="6" xfId="0" applyFont="1" applyBorder="1" applyAlignment="1">
      <alignment horizontal="left"/>
    </xf>
    <xf numFmtId="0" fontId="16" fillId="0" borderId="6" xfId="0" applyFont="1" applyBorder="1" applyAlignment="1">
      <alignment horizontal="centerContinuous"/>
    </xf>
    <xf numFmtId="0" fontId="16" fillId="0" borderId="7" xfId="0" applyFont="1" applyBorder="1" applyAlignment="1">
      <alignment horizontal="centerContinuous"/>
    </xf>
    <xf numFmtId="0" fontId="16" fillId="0" borderId="7" xfId="0" applyFont="1" applyBorder="1" applyAlignment="1">
      <alignment horizontal="right"/>
    </xf>
    <xf numFmtId="170" fontId="16" fillId="0" borderId="8" xfId="0" applyNumberFormat="1" applyFont="1" applyBorder="1" applyAlignment="1">
      <alignment horizontal="right"/>
    </xf>
    <xf numFmtId="0" fontId="16" fillId="0" borderId="9" xfId="0" applyFont="1" applyBorder="1" applyAlignment="1">
      <alignment horizontal="right"/>
    </xf>
    <xf numFmtId="0" fontId="16" fillId="0" borderId="9" xfId="0" applyFont="1" applyBorder="1" applyAlignment="1">
      <alignment horizontal="right" wrapText="1"/>
    </xf>
    <xf numFmtId="0" fontId="16" fillId="0" borderId="0" xfId="0" applyFont="1" applyAlignment="1">
      <alignment horizontal="right"/>
    </xf>
    <xf numFmtId="0" fontId="16" fillId="0" borderId="0" xfId="0" applyFont="1" applyAlignment="1">
      <alignment horizontal="right" wrapText="1"/>
    </xf>
    <xf numFmtId="170" fontId="16" fillId="0" borderId="10" xfId="0" applyNumberFormat="1" applyFont="1" applyBorder="1" applyAlignment="1">
      <alignment horizontal="right" wrapText="1"/>
    </xf>
    <xf numFmtId="0" fontId="16" fillId="0" borderId="9" xfId="0" applyFont="1" applyBorder="1"/>
    <xf numFmtId="0" fontId="16" fillId="14" borderId="9" xfId="0" applyFont="1" applyFill="1" applyBorder="1"/>
    <xf numFmtId="0" fontId="17" fillId="0" borderId="0" xfId="0" applyFont="1"/>
    <xf numFmtId="0" fontId="16" fillId="0" borderId="0" xfId="0" applyFont="1"/>
    <xf numFmtId="170" fontId="16" fillId="0" borderId="10" xfId="0" applyNumberFormat="1" applyFont="1" applyBorder="1"/>
    <xf numFmtId="0" fontId="16" fillId="0" borderId="11" xfId="0" applyFont="1" applyBorder="1"/>
    <xf numFmtId="0" fontId="16" fillId="0" borderId="11" xfId="0" applyFont="1" applyBorder="1" applyAlignment="1">
      <alignment horizontal="right"/>
    </xf>
    <xf numFmtId="0" fontId="16" fillId="0" borderId="12" xfId="0" applyFont="1" applyBorder="1" applyAlignment="1">
      <alignment horizontal="right"/>
    </xf>
    <xf numFmtId="0" fontId="16" fillId="0" borderId="12" xfId="0" applyFont="1" applyBorder="1"/>
    <xf numFmtId="170" fontId="16" fillId="0" borderId="13" xfId="0" applyNumberFormat="1" applyFont="1" applyBorder="1"/>
    <xf numFmtId="0" fontId="0" fillId="0" borderId="9" xfId="0" applyBorder="1"/>
    <xf numFmtId="3" fontId="17" fillId="0" borderId="9" xfId="9" applyNumberFormat="1" applyFont="1" applyFill="1" applyBorder="1" applyAlignment="1"/>
    <xf numFmtId="3" fontId="17" fillId="15" borderId="0" xfId="9" applyNumberFormat="1" applyFont="1" applyFill="1" applyBorder="1" applyAlignment="1"/>
    <xf numFmtId="164" fontId="17" fillId="15" borderId="0" xfId="10" applyNumberFormat="1" applyFont="1" applyFill="1" applyBorder="1" applyAlignment="1"/>
    <xf numFmtId="3" fontId="17" fillId="16" borderId="0" xfId="9" applyNumberFormat="1" applyFont="1" applyFill="1" applyBorder="1" applyAlignment="1"/>
    <xf numFmtId="171" fontId="17" fillId="0" borderId="0" xfId="9" applyNumberFormat="1" applyFont="1" applyFill="1" applyBorder="1" applyAlignment="1"/>
    <xf numFmtId="170" fontId="17" fillId="0" borderId="10" xfId="9" applyNumberFormat="1" applyFont="1" applyFill="1" applyBorder="1" applyAlignment="1"/>
    <xf numFmtId="3" fontId="17" fillId="17" borderId="0" xfId="9" applyNumberFormat="1" applyFont="1" applyFill="1" applyBorder="1" applyAlignment="1"/>
    <xf numFmtId="164" fontId="17" fillId="17" borderId="0" xfId="10" applyNumberFormat="1" applyFont="1" applyFill="1" applyBorder="1" applyAlignment="1"/>
    <xf numFmtId="3" fontId="17" fillId="0" borderId="0" xfId="9" applyNumberFormat="1" applyFont="1" applyFill="1" applyBorder="1" applyAlignment="1"/>
    <xf numFmtId="164" fontId="17" fillId="0" borderId="0" xfId="10" applyNumberFormat="1" applyFont="1" applyFill="1" applyBorder="1" applyAlignment="1"/>
    <xf numFmtId="170" fontId="17" fillId="0" borderId="0" xfId="9" applyNumberFormat="1" applyFont="1" applyFill="1" applyBorder="1" applyAlignment="1"/>
    <xf numFmtId="3" fontId="0" fillId="0" borderId="0" xfId="0" applyNumberFormat="1"/>
    <xf numFmtId="3" fontId="17" fillId="0" borderId="0" xfId="0" applyNumberFormat="1" applyFont="1" applyAlignment="1">
      <alignment vertical="top"/>
    </xf>
    <xf numFmtId="0" fontId="0" fillId="18" borderId="0" xfId="0" applyFill="1"/>
    <xf numFmtId="164" fontId="0" fillId="0" borderId="0" xfId="0" applyNumberFormat="1"/>
    <xf numFmtId="1" fontId="17" fillId="0" borderId="0" xfId="10" applyNumberFormat="1" applyFont="1" applyFill="1" applyBorder="1" applyAlignment="1"/>
    <xf numFmtId="0" fontId="17" fillId="0" borderId="9" xfId="0" applyFont="1" applyBorder="1"/>
    <xf numFmtId="164" fontId="17" fillId="0" borderId="0" xfId="9" applyNumberFormat="1" applyFont="1" applyFill="1" applyBorder="1" applyAlignment="1"/>
    <xf numFmtId="3" fontId="17" fillId="12" borderId="0" xfId="9" applyNumberFormat="1" applyFont="1" applyFill="1" applyBorder="1" applyAlignment="1"/>
    <xf numFmtId="164" fontId="17" fillId="16" borderId="0" xfId="10" applyNumberFormat="1" applyFont="1" applyFill="1" applyBorder="1" applyAlignment="1"/>
    <xf numFmtId="3" fontId="0" fillId="12" borderId="0" xfId="0" applyNumberFormat="1" applyFill="1"/>
    <xf numFmtId="164" fontId="0" fillId="12" borderId="0" xfId="0" applyNumberFormat="1" applyFill="1"/>
    <xf numFmtId="164" fontId="17" fillId="12" borderId="0" xfId="10" applyNumberFormat="1" applyFont="1" applyFill="1" applyBorder="1" applyAlignment="1"/>
    <xf numFmtId="3" fontId="17" fillId="0" borderId="0" xfId="10" applyNumberFormat="1" applyFont="1" applyFill="1" applyBorder="1" applyAlignment="1"/>
    <xf numFmtId="3" fontId="17" fillId="0" borderId="0" xfId="9" applyNumberFormat="1" applyFont="1" applyBorder="1" applyAlignment="1"/>
    <xf numFmtId="164" fontId="17" fillId="0" borderId="0" xfId="10" applyNumberFormat="1" applyFont="1" applyBorder="1" applyAlignment="1"/>
    <xf numFmtId="3" fontId="16" fillId="0" borderId="11" xfId="9" applyNumberFormat="1" applyFont="1" applyFill="1" applyBorder="1" applyAlignment="1">
      <alignment horizontal="right"/>
    </xf>
    <xf numFmtId="3" fontId="16" fillId="0" borderId="12" xfId="9" applyNumberFormat="1" applyFont="1" applyFill="1" applyBorder="1" applyAlignment="1">
      <alignment horizontal="right"/>
    </xf>
    <xf numFmtId="164" fontId="16" fillId="0" borderId="12" xfId="10" applyNumberFormat="1" applyFont="1" applyFill="1" applyBorder="1" applyAlignment="1"/>
    <xf numFmtId="3" fontId="16" fillId="0" borderId="12" xfId="9" applyNumberFormat="1" applyFont="1" applyBorder="1" applyAlignment="1"/>
    <xf numFmtId="171" fontId="16" fillId="0" borderId="12" xfId="9" applyNumberFormat="1" applyFont="1" applyFill="1" applyBorder="1" applyAlignment="1"/>
    <xf numFmtId="170" fontId="16" fillId="0" borderId="13" xfId="9" applyNumberFormat="1" applyFont="1" applyFill="1" applyBorder="1" applyAlignment="1"/>
    <xf numFmtId="165" fontId="17" fillId="15" borderId="0" xfId="9" applyNumberFormat="1" applyFont="1" applyFill="1" applyBorder="1" applyAlignment="1"/>
    <xf numFmtId="3" fontId="17" fillId="19" borderId="0" xfId="9" applyNumberFormat="1" applyFont="1" applyFill="1" applyBorder="1" applyAlignment="1"/>
    <xf numFmtId="165" fontId="17" fillId="19" borderId="0" xfId="9" applyNumberFormat="1" applyFont="1" applyFill="1" applyBorder="1" applyAlignment="1"/>
    <xf numFmtId="165" fontId="17" fillId="12" borderId="0" xfId="9" applyNumberFormat="1" applyFont="1" applyFill="1" applyBorder="1" applyAlignment="1"/>
    <xf numFmtId="165" fontId="17" fillId="17" borderId="0" xfId="9" applyNumberFormat="1" applyFont="1" applyFill="1" applyBorder="1" applyAlignment="1"/>
    <xf numFmtId="3" fontId="16" fillId="0" borderId="12" xfId="9" applyNumberFormat="1" applyFont="1" applyBorder="1" applyAlignment="1">
      <alignment horizontal="right"/>
    </xf>
    <xf numFmtId="170" fontId="17" fillId="12" borderId="10" xfId="9" applyNumberFormat="1" applyFont="1" applyFill="1" applyBorder="1" applyAlignment="1"/>
    <xf numFmtId="10" fontId="0" fillId="0" borderId="0" xfId="0" applyNumberFormat="1"/>
    <xf numFmtId="3" fontId="17" fillId="20" borderId="0" xfId="9" applyNumberFormat="1" applyFont="1" applyFill="1" applyBorder="1" applyAlignment="1"/>
    <xf numFmtId="0" fontId="17" fillId="0" borderId="0" xfId="10" applyNumberFormat="1" applyFont="1" applyBorder="1" applyAlignment="1"/>
    <xf numFmtId="172" fontId="17" fillId="0" borderId="0" xfId="9" applyNumberFormat="1" applyFont="1" applyFill="1" applyBorder="1" applyAlignment="1"/>
    <xf numFmtId="164" fontId="17" fillId="16" borderId="0" xfId="0" applyNumberFormat="1" applyFont="1" applyFill="1"/>
    <xf numFmtId="171" fontId="0" fillId="0" borderId="0" xfId="0" applyNumberFormat="1"/>
    <xf numFmtId="170" fontId="0" fillId="0" borderId="10" xfId="0" applyNumberFormat="1" applyBorder="1"/>
    <xf numFmtId="0" fontId="17" fillId="0" borderId="14" xfId="0" applyFont="1" applyBorder="1"/>
    <xf numFmtId="164" fontId="17" fillId="12" borderId="0" xfId="0" applyNumberFormat="1" applyFont="1" applyFill="1"/>
    <xf numFmtId="164" fontId="17" fillId="0" borderId="0" xfId="0" applyNumberFormat="1" applyFont="1"/>
    <xf numFmtId="0" fontId="0" fillId="0" borderId="14" xfId="0" applyBorder="1"/>
    <xf numFmtId="0" fontId="0" fillId="0" borderId="15" xfId="0" applyBorder="1"/>
    <xf numFmtId="3" fontId="17" fillId="0" borderId="16" xfId="9" applyNumberFormat="1" applyFont="1" applyFill="1" applyBorder="1" applyAlignment="1"/>
    <xf numFmtId="3" fontId="17" fillId="12" borderId="16" xfId="9" applyNumberFormat="1" applyFont="1" applyFill="1" applyBorder="1" applyAlignment="1"/>
    <xf numFmtId="164" fontId="17" fillId="12" borderId="16" xfId="0" applyNumberFormat="1" applyFont="1" applyFill="1" applyBorder="1"/>
    <xf numFmtId="171" fontId="0" fillId="0" borderId="16" xfId="0" applyNumberFormat="1" applyBorder="1"/>
    <xf numFmtId="170" fontId="0" fillId="0" borderId="17" xfId="0" applyNumberFormat="1" applyBorder="1"/>
    <xf numFmtId="3" fontId="0" fillId="0" borderId="0" xfId="9" applyNumberFormat="1" applyFont="1" applyFill="1" applyBorder="1" applyAlignment="1"/>
    <xf numFmtId="0" fontId="0" fillId="0" borderId="0" xfId="9" applyNumberFormat="1" applyFont="1" applyFill="1" applyBorder="1" applyAlignment="1"/>
    <xf numFmtId="164" fontId="0" fillId="0" borderId="0" xfId="10" applyNumberFormat="1" applyFont="1" applyFill="1" applyBorder="1" applyAlignment="1"/>
    <xf numFmtId="170" fontId="0" fillId="0" borderId="0" xfId="0" applyNumberFormat="1"/>
    <xf numFmtId="0" fontId="17" fillId="0" borderId="0" xfId="9" applyNumberFormat="1" applyFont="1" applyBorder="1" applyAlignment="1"/>
    <xf numFmtId="0" fontId="0" fillId="0" borderId="6" xfId="0" applyBorder="1" applyAlignment="1">
      <alignment horizontal="right"/>
    </xf>
    <xf numFmtId="0" fontId="17" fillId="21" borderId="18" xfId="9" applyNumberFormat="1" applyFont="1" applyFill="1" applyBorder="1" applyAlignment="1">
      <alignment horizontal="right"/>
    </xf>
    <xf numFmtId="0" fontId="0" fillId="0" borderId="7" xfId="9" applyNumberFormat="1" applyFont="1" applyBorder="1" applyAlignment="1">
      <alignment horizontal="right"/>
    </xf>
    <xf numFmtId="0" fontId="0" fillId="0" borderId="7" xfId="9" applyNumberFormat="1" applyFont="1" applyFill="1" applyBorder="1" applyAlignment="1">
      <alignment horizontal="right"/>
    </xf>
    <xf numFmtId="0" fontId="0" fillId="0" borderId="8" xfId="9" applyNumberFormat="1" applyFont="1" applyFill="1" applyBorder="1" applyAlignment="1">
      <alignment horizontal="right"/>
    </xf>
    <xf numFmtId="0" fontId="0" fillId="0" borderId="19" xfId="0" applyBorder="1" applyAlignment="1">
      <alignment horizontal="right"/>
    </xf>
    <xf numFmtId="0" fontId="17" fillId="21" borderId="15" xfId="9" applyNumberFormat="1" applyFont="1" applyFill="1" applyBorder="1" applyAlignment="1">
      <alignment horizontal="right"/>
    </xf>
    <xf numFmtId="0" fontId="17" fillId="0" borderId="16" xfId="9" applyNumberFormat="1" applyFont="1" applyBorder="1" applyAlignment="1">
      <alignment horizontal="right"/>
    </xf>
    <xf numFmtId="0" fontId="17" fillId="0" borderId="17" xfId="9" applyNumberFormat="1" applyFont="1" applyBorder="1" applyAlignment="1">
      <alignment horizontal="right"/>
    </xf>
    <xf numFmtId="0" fontId="0" fillId="0" borderId="9" xfId="0" applyBorder="1" applyAlignment="1">
      <alignment horizontal="right"/>
    </xf>
    <xf numFmtId="3" fontId="0" fillId="0" borderId="14" xfId="0" applyNumberFormat="1" applyBorder="1"/>
    <xf numFmtId="0" fontId="0" fillId="0" borderId="10" xfId="0" applyBorder="1"/>
    <xf numFmtId="3" fontId="0" fillId="0" borderId="15" xfId="0" applyNumberFormat="1" applyBorder="1"/>
    <xf numFmtId="0" fontId="0" fillId="0" borderId="16" xfId="0" applyBorder="1"/>
    <xf numFmtId="0" fontId="0" fillId="0" borderId="17" xfId="0" applyBorder="1"/>
    <xf numFmtId="0" fontId="0" fillId="0" borderId="6" xfId="0" applyBorder="1" applyAlignment="1">
      <alignment horizontal="left"/>
    </xf>
    <xf numFmtId="3" fontId="0" fillId="21" borderId="18" xfId="0" applyNumberFormat="1" applyFill="1" applyBorder="1" applyAlignment="1">
      <alignment horizontal="right"/>
    </xf>
    <xf numFmtId="0" fontId="0" fillId="0" borderId="7" xfId="0" applyBorder="1" applyAlignment="1">
      <alignment horizontal="right"/>
    </xf>
    <xf numFmtId="0" fontId="0" fillId="0" borderId="8" xfId="0" applyBorder="1" applyAlignment="1">
      <alignment horizontal="right"/>
    </xf>
    <xf numFmtId="0" fontId="0" fillId="0" borderId="16" xfId="0" applyBorder="1" applyAlignment="1">
      <alignment horizontal="right"/>
    </xf>
    <xf numFmtId="0" fontId="0" fillId="0" borderId="17" xfId="0" applyBorder="1" applyAlignment="1">
      <alignment horizontal="right"/>
    </xf>
    <xf numFmtId="0" fontId="0" fillId="20" borderId="0" xfId="0" applyFill="1"/>
    <xf numFmtId="0" fontId="0" fillId="20" borderId="10" xfId="0" applyFill="1" applyBorder="1"/>
    <xf numFmtId="2" fontId="0" fillId="0" borderId="8" xfId="0" applyNumberFormat="1" applyBorder="1"/>
    <xf numFmtId="2" fontId="0" fillId="0" borderId="10" xfId="0" applyNumberFormat="1" applyBorder="1"/>
    <xf numFmtId="2" fontId="0" fillId="0" borderId="17" xfId="0" applyNumberFormat="1" applyBorder="1"/>
    <xf numFmtId="0" fontId="0" fillId="16" borderId="0" xfId="0" applyFill="1" applyAlignment="1">
      <alignment horizontal="center"/>
    </xf>
    <xf numFmtId="168" fontId="0" fillId="16" borderId="0" xfId="0" applyNumberFormat="1" applyFill="1" applyAlignment="1">
      <alignment horizontal="center"/>
    </xf>
    <xf numFmtId="165" fontId="0" fillId="16" borderId="0" xfId="0" applyNumberFormat="1" applyFill="1" applyAlignment="1">
      <alignment horizontal="center"/>
    </xf>
    <xf numFmtId="0" fontId="0" fillId="0" borderId="0" xfId="0" applyAlignment="1">
      <alignment horizontal="center"/>
    </xf>
    <xf numFmtId="168" fontId="0" fillId="0" borderId="0" xfId="0" applyNumberFormat="1" applyAlignment="1">
      <alignment horizontal="center"/>
    </xf>
    <xf numFmtId="165" fontId="0" fillId="0" borderId="0" xfId="0" applyNumberFormat="1" applyAlignment="1">
      <alignment horizontal="center"/>
    </xf>
    <xf numFmtId="0" fontId="16" fillId="0" borderId="11" xfId="0" applyFont="1" applyBorder="1" applyAlignment="1">
      <alignment horizontal="right" wrapText="1"/>
    </xf>
    <xf numFmtId="0" fontId="16" fillId="0" borderId="12" xfId="0" applyFont="1" applyBorder="1" applyAlignment="1">
      <alignment horizontal="center" wrapText="1"/>
    </xf>
    <xf numFmtId="0" fontId="16" fillId="0" borderId="13" xfId="0" applyFont="1" applyBorder="1" applyAlignment="1">
      <alignment horizontal="right" wrapText="1"/>
    </xf>
    <xf numFmtId="0" fontId="16" fillId="0" borderId="12" xfId="0" applyFont="1" applyBorder="1" applyAlignment="1">
      <alignment horizontal="right" wrapText="1"/>
    </xf>
    <xf numFmtId="0" fontId="0" fillId="0" borderId="6" xfId="0" applyBorder="1" applyAlignment="1">
      <alignment horizontal="center"/>
    </xf>
    <xf numFmtId="165" fontId="0" fillId="0" borderId="7" xfId="0" applyNumberFormat="1" applyBorder="1" applyAlignment="1">
      <alignment horizontal="center"/>
    </xf>
    <xf numFmtId="164" fontId="0" fillId="0" borderId="8" xfId="0" applyNumberFormat="1" applyBorder="1" applyAlignment="1">
      <alignment horizontal="center"/>
    </xf>
    <xf numFmtId="0" fontId="0" fillId="0" borderId="9" xfId="0" applyBorder="1" applyAlignment="1">
      <alignment horizontal="center"/>
    </xf>
    <xf numFmtId="164" fontId="0" fillId="0" borderId="10" xfId="0" applyNumberFormat="1" applyBorder="1" applyAlignment="1">
      <alignment horizontal="center"/>
    </xf>
    <xf numFmtId="0" fontId="16" fillId="0" borderId="9" xfId="0" applyFont="1" applyBorder="1" applyAlignment="1">
      <alignment horizontal="center"/>
    </xf>
    <xf numFmtId="165" fontId="16" fillId="0" borderId="0" xfId="0" applyNumberFormat="1" applyFont="1" applyAlignment="1">
      <alignment horizontal="center"/>
    </xf>
    <xf numFmtId="164" fontId="16" fillId="0" borderId="10" xfId="0" applyNumberFormat="1" applyFont="1" applyBorder="1" applyAlignment="1">
      <alignment horizontal="center"/>
    </xf>
    <xf numFmtId="0" fontId="0" fillId="0" borderId="19" xfId="0" applyBorder="1" applyAlignment="1">
      <alignment horizontal="center"/>
    </xf>
    <xf numFmtId="165" fontId="0" fillId="0" borderId="16" xfId="0" applyNumberFormat="1" applyBorder="1" applyAlignment="1">
      <alignment horizontal="center"/>
    </xf>
    <xf numFmtId="164" fontId="0" fillId="0" borderId="17" xfId="0" applyNumberFormat="1" applyBorder="1" applyAlignment="1">
      <alignment horizontal="center"/>
    </xf>
    <xf numFmtId="0" fontId="16" fillId="0" borderId="1" xfId="0" applyFont="1"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0" fillId="0" borderId="14" xfId="0" applyBorder="1" applyAlignment="1">
      <alignment horizontal="center"/>
    </xf>
    <xf numFmtId="3" fontId="0" fillId="0" borderId="0" xfId="0" applyNumberFormat="1" applyAlignment="1">
      <alignment horizontal="center"/>
    </xf>
    <xf numFmtId="169" fontId="0" fillId="0" borderId="0" xfId="0" applyNumberFormat="1" applyAlignment="1">
      <alignment horizontal="center"/>
    </xf>
    <xf numFmtId="3" fontId="0" fillId="0" borderId="10" xfId="0" applyNumberFormat="1" applyBorder="1" applyAlignment="1">
      <alignment horizontal="center"/>
    </xf>
    <xf numFmtId="171" fontId="0" fillId="0" borderId="0" xfId="0" applyNumberFormat="1" applyAlignment="1">
      <alignment horizontal="center"/>
    </xf>
    <xf numFmtId="169" fontId="0" fillId="0" borderId="10" xfId="0" applyNumberFormat="1" applyBorder="1" applyAlignment="1">
      <alignment horizontal="center"/>
    </xf>
    <xf numFmtId="0" fontId="0" fillId="0" borderId="15" xfId="0" applyBorder="1" applyAlignment="1">
      <alignment horizontal="center"/>
    </xf>
    <xf numFmtId="171" fontId="0" fillId="0" borderId="16" xfId="0" applyNumberFormat="1" applyBorder="1" applyAlignment="1">
      <alignment horizontal="center"/>
    </xf>
    <xf numFmtId="169" fontId="0" fillId="0" borderId="16" xfId="0" applyNumberFormat="1" applyBorder="1" applyAlignment="1">
      <alignment horizontal="center"/>
    </xf>
    <xf numFmtId="3" fontId="0" fillId="0" borderId="17" xfId="0" applyNumberFormat="1" applyBorder="1" applyAlignment="1">
      <alignment horizontal="center"/>
    </xf>
    <xf numFmtId="172" fontId="0" fillId="0" borderId="0" xfId="0" applyNumberFormat="1" applyAlignment="1">
      <alignment horizontal="center"/>
    </xf>
    <xf numFmtId="170" fontId="0" fillId="0" borderId="0" xfId="0" applyNumberFormat="1" applyAlignment="1">
      <alignment horizontal="center"/>
    </xf>
    <xf numFmtId="167" fontId="0" fillId="0" borderId="0" xfId="0" applyNumberFormat="1" applyAlignment="1">
      <alignment horizontal="center"/>
    </xf>
    <xf numFmtId="167" fontId="0" fillId="0" borderId="10" xfId="0" applyNumberFormat="1" applyBorder="1" applyAlignment="1">
      <alignment horizontal="center"/>
    </xf>
    <xf numFmtId="166" fontId="0" fillId="0" borderId="0" xfId="0" applyNumberFormat="1" applyAlignment="1">
      <alignment horizontal="center"/>
    </xf>
    <xf numFmtId="173" fontId="0" fillId="0" borderId="0" xfId="0" applyNumberFormat="1" applyAlignment="1">
      <alignment horizontal="center"/>
    </xf>
    <xf numFmtId="174" fontId="0" fillId="0" borderId="0" xfId="0" applyNumberFormat="1" applyAlignment="1">
      <alignment horizontal="center"/>
    </xf>
    <xf numFmtId="175" fontId="0" fillId="0" borderId="0" xfId="0" applyNumberFormat="1" applyAlignment="1">
      <alignment horizontal="center"/>
    </xf>
    <xf numFmtId="0" fontId="1" fillId="12" borderId="0" xfId="0" applyFont="1" applyFill="1"/>
    <xf numFmtId="0" fontId="0" fillId="12" borderId="0" xfId="0" applyFill="1" applyAlignment="1">
      <alignment horizontal="right"/>
    </xf>
    <xf numFmtId="0" fontId="0" fillId="12" borderId="0" xfId="0" applyFill="1" applyAlignment="1">
      <alignment horizontal="left"/>
    </xf>
    <xf numFmtId="176" fontId="0" fillId="0" borderId="0" xfId="0" applyNumberFormat="1" applyAlignment="1">
      <alignment horizontal="right"/>
    </xf>
    <xf numFmtId="176" fontId="0" fillId="2" borderId="0" xfId="0" applyNumberFormat="1" applyFill="1" applyAlignment="1">
      <alignment horizontal="right"/>
    </xf>
    <xf numFmtId="0" fontId="25" fillId="0" borderId="0" xfId="1" applyFont="1" applyAlignment="1" applyProtection="1"/>
    <xf numFmtId="11" fontId="0" fillId="0" borderId="0" xfId="0" applyNumberFormat="1"/>
    <xf numFmtId="0" fontId="1" fillId="4" borderId="0" xfId="0" applyFont="1" applyFill="1"/>
    <xf numFmtId="0" fontId="1" fillId="22" borderId="0" xfId="0" applyFont="1" applyFill="1"/>
    <xf numFmtId="0" fontId="0" fillId="22" borderId="0" xfId="0" applyFill="1"/>
    <xf numFmtId="0" fontId="26" fillId="0" borderId="0" xfId="1" applyFont="1"/>
    <xf numFmtId="0" fontId="9" fillId="0" borderId="0" xfId="0" applyFont="1"/>
    <xf numFmtId="0" fontId="6" fillId="0" borderId="0" xfId="2"/>
    <xf numFmtId="0" fontId="11" fillId="0" borderId="0" xfId="2" applyFont="1"/>
    <xf numFmtId="0" fontId="9" fillId="0" borderId="0" xfId="2" applyFont="1"/>
    <xf numFmtId="0" fontId="28" fillId="0" borderId="0" xfId="2" applyFont="1" applyAlignment="1">
      <alignment horizontal="right"/>
    </xf>
    <xf numFmtId="0" fontId="8" fillId="0" borderId="0" xfId="2" applyFont="1"/>
    <xf numFmtId="0" fontId="0" fillId="12" borderId="1" xfId="0" applyFill="1" applyBorder="1"/>
    <xf numFmtId="177" fontId="0" fillId="0" borderId="0" xfId="9" applyNumberFormat="1" applyFont="1"/>
    <xf numFmtId="176" fontId="0" fillId="12" borderId="0" xfId="0" applyNumberFormat="1" applyFill="1" applyAlignment="1">
      <alignment horizontal="right"/>
    </xf>
    <xf numFmtId="0" fontId="5" fillId="12" borderId="1" xfId="0" applyFont="1" applyFill="1" applyBorder="1" applyAlignment="1">
      <alignment horizontal="right" vertical="center" wrapText="1"/>
    </xf>
    <xf numFmtId="0" fontId="27" fillId="0" borderId="0" xfId="2" applyFont="1"/>
    <xf numFmtId="9" fontId="0" fillId="0" borderId="0" xfId="10" applyFont="1"/>
    <xf numFmtId="177" fontId="0" fillId="0" borderId="0" xfId="0" applyNumberFormat="1"/>
    <xf numFmtId="0" fontId="11" fillId="0" borderId="0" xfId="2" applyFont="1" applyAlignment="1">
      <alignment horizontal="left"/>
    </xf>
    <xf numFmtId="0" fontId="6" fillId="0" borderId="0" xfId="32"/>
    <xf numFmtId="0" fontId="7" fillId="0" borderId="2" xfId="34" applyAlignment="1"/>
    <xf numFmtId="0" fontId="29" fillId="0" borderId="0" xfId="36" applyFont="1">
      <alignment horizontal="left"/>
    </xf>
    <xf numFmtId="0" fontId="11" fillId="0" borderId="0" xfId="32" applyFont="1"/>
    <xf numFmtId="0" fontId="28" fillId="0" borderId="2" xfId="34" applyFont="1" applyAlignment="1"/>
    <xf numFmtId="0" fontId="28" fillId="0" borderId="2" xfId="34" applyFont="1" applyAlignment="1">
      <alignment horizontal="right"/>
    </xf>
    <xf numFmtId="0" fontId="28" fillId="0" borderId="3" xfId="35" applyFont="1" applyAlignment="1"/>
    <xf numFmtId="0" fontId="11" fillId="0" borderId="4" xfId="31" applyFont="1" applyAlignment="1"/>
    <xf numFmtId="4" fontId="11" fillId="0" borderId="4" xfId="31" applyNumberFormat="1" applyFont="1" applyAlignment="1">
      <alignment horizontal="right"/>
    </xf>
    <xf numFmtId="164" fontId="11" fillId="0" borderId="4" xfId="31" applyNumberFormat="1" applyFont="1" applyAlignment="1">
      <alignment horizontal="right"/>
    </xf>
    <xf numFmtId="0" fontId="11" fillId="0" borderId="5" xfId="2" applyFont="1" applyBorder="1"/>
    <xf numFmtId="3" fontId="11" fillId="0" borderId="4" xfId="31" applyNumberFormat="1" applyFont="1" applyAlignment="1">
      <alignment horizontal="right"/>
    </xf>
    <xf numFmtId="169" fontId="11" fillId="0" borderId="4" xfId="31" applyNumberFormat="1" applyFont="1" applyAlignment="1">
      <alignment horizontal="right"/>
    </xf>
    <xf numFmtId="4" fontId="0" fillId="23" borderId="0" xfId="0" applyNumberFormat="1" applyFill="1" applyAlignment="1">
      <alignment horizontal="right"/>
    </xf>
    <xf numFmtId="0" fontId="0" fillId="23" borderId="0" xfId="0" applyFill="1"/>
    <xf numFmtId="177" fontId="0" fillId="23" borderId="0" xfId="9" applyNumberFormat="1" applyFont="1" applyFill="1"/>
    <xf numFmtId="0" fontId="0" fillId="24" borderId="0" xfId="0" applyFill="1"/>
    <xf numFmtId="9" fontId="0" fillId="23" borderId="0" xfId="10" applyFont="1" applyFill="1"/>
    <xf numFmtId="0" fontId="0" fillId="25" borderId="0" xfId="0" applyFill="1"/>
    <xf numFmtId="0" fontId="0" fillId="26" borderId="0" xfId="0" applyFill="1"/>
    <xf numFmtId="9" fontId="0" fillId="2" borderId="0" xfId="10" applyFont="1" applyFill="1"/>
    <xf numFmtId="9" fontId="0" fillId="25" borderId="0" xfId="10" applyFont="1" applyFill="1"/>
    <xf numFmtId="0" fontId="31" fillId="0" borderId="23" xfId="0" applyFont="1" applyBorder="1" applyAlignment="1">
      <alignment horizontal="left" vertical="center" wrapText="1"/>
    </xf>
    <xf numFmtId="3" fontId="2" fillId="7" borderId="23" xfId="1" applyNumberFormat="1" applyFill="1" applyBorder="1" applyAlignment="1">
      <alignment horizontal="right" vertical="center" wrapText="1"/>
    </xf>
    <xf numFmtId="0" fontId="2" fillId="7" borderId="23" xfId="1" applyFill="1" applyBorder="1" applyAlignment="1">
      <alignment horizontal="right" vertical="center" wrapText="1"/>
    </xf>
    <xf numFmtId="0" fontId="5" fillId="7" borderId="23" xfId="0" applyFont="1" applyFill="1" applyBorder="1" applyAlignment="1">
      <alignment horizontal="right" vertical="center" wrapText="1"/>
    </xf>
    <xf numFmtId="3" fontId="2" fillId="27" borderId="23" xfId="1" applyNumberFormat="1" applyFill="1" applyBorder="1" applyAlignment="1">
      <alignment horizontal="right" vertical="center" wrapText="1"/>
    </xf>
    <xf numFmtId="0" fontId="32" fillId="0" borderId="0" xfId="0" applyFont="1" applyAlignment="1">
      <alignment horizontal="left" vertical="center" wrapText="1"/>
    </xf>
    <xf numFmtId="0" fontId="32" fillId="0" borderId="23" xfId="0" applyFont="1" applyBorder="1" applyAlignment="1">
      <alignment horizontal="left" vertical="center" wrapText="1"/>
    </xf>
    <xf numFmtId="0" fontId="2" fillId="27" borderId="23" xfId="1" applyFill="1" applyBorder="1" applyAlignment="1">
      <alignment horizontal="right" vertical="center" wrapText="1"/>
    </xf>
    <xf numFmtId="0" fontId="30" fillId="0" borderId="23" xfId="0" applyFont="1" applyBorder="1" applyAlignment="1">
      <alignment horizontal="left" vertical="center" wrapText="1"/>
    </xf>
    <xf numFmtId="0" fontId="5" fillId="27" borderId="23" xfId="0" applyFont="1" applyFill="1" applyBorder="1" applyAlignment="1">
      <alignment horizontal="right" vertical="center" wrapText="1"/>
    </xf>
    <xf numFmtId="0" fontId="32" fillId="0" borderId="24" xfId="0" applyFont="1" applyBorder="1" applyAlignment="1">
      <alignment horizontal="left" vertical="center" wrapText="1"/>
    </xf>
    <xf numFmtId="0" fontId="30" fillId="0" borderId="24" xfId="0" applyFont="1" applyBorder="1" applyAlignment="1">
      <alignment horizontal="left" vertical="center" wrapText="1"/>
    </xf>
    <xf numFmtId="0" fontId="5" fillId="7" borderId="24" xfId="0" applyFont="1" applyFill="1" applyBorder="1" applyAlignment="1">
      <alignment horizontal="right" vertical="center" wrapText="1"/>
    </xf>
    <xf numFmtId="3" fontId="2" fillId="7" borderId="24" xfId="1" applyNumberFormat="1" applyFill="1" applyBorder="1" applyAlignment="1">
      <alignment horizontal="right" vertical="center" wrapText="1"/>
    </xf>
    <xf numFmtId="0" fontId="2" fillId="7" borderId="24" xfId="1" applyFill="1" applyBorder="1" applyAlignment="1">
      <alignment horizontal="right" vertical="center" wrapText="1"/>
    </xf>
    <xf numFmtId="0" fontId="2" fillId="27" borderId="24" xfId="1" applyFill="1" applyBorder="1" applyAlignment="1">
      <alignment horizontal="right" vertical="center" wrapText="1"/>
    </xf>
    <xf numFmtId="0" fontId="5" fillId="27" borderId="24" xfId="0" applyFont="1" applyFill="1" applyBorder="1" applyAlignment="1">
      <alignment horizontal="right" vertical="center" wrapText="1"/>
    </xf>
    <xf numFmtId="3" fontId="2" fillId="27" borderId="24" xfId="1" applyNumberFormat="1" applyFill="1" applyBorder="1" applyAlignment="1">
      <alignment horizontal="right" vertical="center" wrapText="1"/>
    </xf>
    <xf numFmtId="0" fontId="33" fillId="0" borderId="0" xfId="0" applyFont="1" applyAlignment="1">
      <alignment horizontal="left" vertical="center" wrapText="1"/>
    </xf>
    <xf numFmtId="0" fontId="0" fillId="0" borderId="2" xfId="0" applyBorder="1"/>
    <xf numFmtId="0" fontId="34" fillId="0" borderId="2" xfId="0" applyFont="1" applyBorder="1" applyAlignment="1">
      <alignment horizontal="right" wrapText="1"/>
    </xf>
    <xf numFmtId="0" fontId="34" fillId="27" borderId="2" xfId="0" applyFont="1" applyFill="1" applyBorder="1" applyAlignment="1">
      <alignment horizontal="right" wrapText="1"/>
    </xf>
    <xf numFmtId="3" fontId="0" fillId="28" borderId="0" xfId="0" applyNumberFormat="1" applyFill="1" applyAlignment="1">
      <alignment horizontal="right"/>
    </xf>
    <xf numFmtId="0" fontId="0" fillId="28" borderId="0" xfId="0" applyFill="1" applyAlignment="1">
      <alignment horizontal="right"/>
    </xf>
    <xf numFmtId="3" fontId="0" fillId="12" borderId="0" xfId="0" applyNumberFormat="1" applyFill="1" applyAlignment="1">
      <alignment horizontal="right"/>
    </xf>
    <xf numFmtId="3" fontId="2" fillId="0" borderId="23" xfId="1" applyNumberFormat="1" applyFill="1" applyBorder="1" applyAlignment="1">
      <alignment horizontal="right" vertical="center" wrapText="1"/>
    </xf>
    <xf numFmtId="0" fontId="5" fillId="0" borderId="23" xfId="0" applyFont="1" applyBorder="1" applyAlignment="1">
      <alignment horizontal="right" vertical="center" wrapText="1"/>
    </xf>
    <xf numFmtId="0" fontId="2" fillId="0" borderId="23" xfId="1" applyFill="1" applyBorder="1" applyAlignment="1">
      <alignment horizontal="right" vertical="center" wrapText="1"/>
    </xf>
    <xf numFmtId="0" fontId="5" fillId="0" borderId="24" xfId="0" applyFont="1" applyBorder="1" applyAlignment="1">
      <alignment horizontal="right" vertical="center" wrapText="1"/>
    </xf>
    <xf numFmtId="3" fontId="2" fillId="0" borderId="24" xfId="1" applyNumberFormat="1" applyFill="1" applyBorder="1" applyAlignment="1">
      <alignment horizontal="right" vertical="center" wrapText="1"/>
    </xf>
    <xf numFmtId="0" fontId="35" fillId="0" borderId="0" xfId="0" applyFont="1" applyAlignment="1">
      <alignment horizontal="left" vertical="top" wrapText="1"/>
    </xf>
    <xf numFmtId="3" fontId="35" fillId="0" borderId="0" xfId="0" applyNumberFormat="1" applyFont="1" applyAlignment="1">
      <alignment horizontal="right" vertical="top" wrapText="1"/>
    </xf>
    <xf numFmtId="8" fontId="35" fillId="0" borderId="0" xfId="0" applyNumberFormat="1" applyFont="1" applyAlignment="1">
      <alignment horizontal="right" vertical="top" wrapText="1"/>
    </xf>
    <xf numFmtId="3" fontId="36" fillId="0" borderId="0" xfId="0" applyNumberFormat="1" applyFont="1"/>
    <xf numFmtId="3" fontId="37" fillId="0" borderId="0" xfId="0" applyNumberFormat="1" applyFont="1"/>
    <xf numFmtId="4" fontId="36" fillId="0" borderId="0" xfId="0" applyNumberFormat="1" applyFont="1"/>
    <xf numFmtId="4" fontId="37" fillId="0" borderId="0" xfId="0" applyNumberFormat="1" applyFont="1"/>
    <xf numFmtId="1" fontId="38" fillId="0" borderId="0" xfId="0" applyNumberFormat="1" applyFont="1"/>
    <xf numFmtId="4" fontId="38" fillId="0" borderId="0" xfId="0" applyNumberFormat="1" applyFont="1"/>
    <xf numFmtId="0" fontId="3" fillId="5" borderId="1" xfId="0" applyFont="1" applyFill="1" applyBorder="1" applyAlignment="1">
      <alignment horizontal="center" wrapText="1"/>
    </xf>
    <xf numFmtId="0" fontId="3" fillId="6" borderId="1" xfId="0" applyFont="1" applyFill="1" applyBorder="1" applyAlignment="1">
      <alignment horizontal="center" wrapText="1"/>
    </xf>
    <xf numFmtId="0" fontId="4" fillId="7" borderId="1" xfId="0" applyFont="1" applyFill="1" applyBorder="1" applyAlignment="1">
      <alignment horizontal="center" wrapText="1"/>
    </xf>
    <xf numFmtId="0" fontId="34" fillId="0" borderId="0" xfId="0" applyFont="1" applyAlignment="1">
      <alignment horizontal="right" wrapText="1"/>
    </xf>
    <xf numFmtId="0" fontId="34" fillId="0" borderId="2" xfId="0" applyFont="1" applyBorder="1" applyAlignment="1">
      <alignment horizontal="right" wrapText="1"/>
    </xf>
    <xf numFmtId="0" fontId="32" fillId="0" borderId="0" xfId="0" applyFont="1" applyAlignment="1">
      <alignment horizontal="left" vertical="center" wrapText="1"/>
    </xf>
    <xf numFmtId="0" fontId="32" fillId="0" borderId="2" xfId="0" applyFont="1" applyBorder="1" applyAlignment="1">
      <alignment horizontal="right" wrapText="1"/>
    </xf>
    <xf numFmtId="0" fontId="4" fillId="0" borderId="0" xfId="0" applyFont="1" applyAlignment="1">
      <alignment horizontal="left" wrapText="1"/>
    </xf>
    <xf numFmtId="0" fontId="4" fillId="0" borderId="26" xfId="0" applyFont="1" applyBorder="1" applyAlignment="1">
      <alignment horizontal="left" wrapText="1"/>
    </xf>
    <xf numFmtId="0" fontId="4" fillId="0" borderId="27" xfId="0" applyFont="1" applyBorder="1" applyAlignment="1">
      <alignment horizontal="left" wrapText="1"/>
    </xf>
    <xf numFmtId="0" fontId="4" fillId="0" borderId="25" xfId="0" applyFont="1" applyBorder="1" applyAlignment="1">
      <alignment horizontal="left" wrapText="1"/>
    </xf>
    <xf numFmtId="0" fontId="4" fillId="0" borderId="28" xfId="0" applyFont="1" applyBorder="1" applyAlignment="1">
      <alignment horizontal="left" wrapText="1"/>
    </xf>
    <xf numFmtId="0" fontId="4" fillId="0" borderId="29" xfId="0" applyFont="1" applyBorder="1" applyAlignment="1">
      <alignment horizontal="left" wrapText="1"/>
    </xf>
    <xf numFmtId="0" fontId="6" fillId="0" borderId="0" xfId="2"/>
    <xf numFmtId="0" fontId="0" fillId="0" borderId="0" xfId="0"/>
    <xf numFmtId="0" fontId="11" fillId="0" borderId="5" xfId="33" applyFont="1" applyAlignment="1"/>
    <xf numFmtId="0" fontId="6" fillId="0" borderId="5" xfId="2" applyBorder="1"/>
    <xf numFmtId="0" fontId="11" fillId="0" borderId="0" xfId="2" applyFont="1"/>
  </cellXfs>
  <cellStyles count="37">
    <cellStyle name="Body: normal cell" xfId="7" xr:uid="{00000000-0005-0000-0000-000000000000}"/>
    <cellStyle name="Body: normal cell 2" xfId="15" xr:uid="{00000000-0005-0000-0000-000001000000}"/>
    <cellStyle name="Body: normal cell 2 2" xfId="31" xr:uid="{D1FE2E30-B1FC-481B-BE3D-09B590B78790}"/>
    <cellStyle name="Body: normal cell 3" xfId="22" xr:uid="{B1293A1F-F4C6-4A3E-BD91-9A34733FCCAD}"/>
    <cellStyle name="Comma" xfId="9" builtinId="3"/>
    <cellStyle name="Font: Calibri, 9pt regular" xfId="3" xr:uid="{00000000-0005-0000-0000-000003000000}"/>
    <cellStyle name="Font: Calibri, 9pt regular 2" xfId="11" xr:uid="{00000000-0005-0000-0000-000004000000}"/>
    <cellStyle name="Font: Calibri, 9pt regular 2 2" xfId="32" xr:uid="{273FFB9A-635C-481F-B917-E0F5D2D4C1A0}"/>
    <cellStyle name="Font: Calibri, 9pt regular 3" xfId="25" xr:uid="{8475CEE1-2C32-49A6-8FA4-42C33F4120AF}"/>
    <cellStyle name="Footnotes: all except top row" xfId="17" xr:uid="{00000000-0005-0000-0000-000005000000}"/>
    <cellStyle name="Footnotes: top row" xfId="8" xr:uid="{00000000-0005-0000-0000-000006000000}"/>
    <cellStyle name="Footnotes: top row 2" xfId="16" xr:uid="{00000000-0005-0000-0000-000007000000}"/>
    <cellStyle name="Footnotes: top row 2 2" xfId="33" xr:uid="{C078E2A6-F48A-4B2F-98AB-C95F058ED1A5}"/>
    <cellStyle name="Footnotes: top row 3" xfId="21" xr:uid="{8A775C82-5C61-4D7B-A6D8-70CEAAAC375B}"/>
    <cellStyle name="Header: bottom row" xfId="4" xr:uid="{00000000-0005-0000-0000-000008000000}"/>
    <cellStyle name="Header: bottom row 2" xfId="12" xr:uid="{00000000-0005-0000-0000-000009000000}"/>
    <cellStyle name="Header: bottom row 2 2" xfId="34" xr:uid="{DA5B4D03-0D24-46E5-AD61-7A4EA198A6CA}"/>
    <cellStyle name="Header: bottom row 3" xfId="24" xr:uid="{AE126B05-B4CF-4974-9AFE-DDCD45802937}"/>
    <cellStyle name="Header: top rows" xfId="18" xr:uid="{00000000-0005-0000-0000-00000A000000}"/>
    <cellStyle name="Hyperlink" xfId="1" builtinId="8"/>
    <cellStyle name="Normal" xfId="0" builtinId="0"/>
    <cellStyle name="Normal 2" xfId="2" xr:uid="{00000000-0005-0000-0000-00000D000000}"/>
    <cellStyle name="Normal 3" xfId="30" xr:uid="{AC580BE3-4547-48E9-99FD-938AB06B9F6E}"/>
    <cellStyle name="Normal 4" xfId="29" xr:uid="{DEF297B8-1C43-46DE-9267-A0FE6F009557}"/>
    <cellStyle name="Normal 5" xfId="28" xr:uid="{745BDA17-13E3-4571-908A-E0B9276F5358}"/>
    <cellStyle name="Parent row" xfId="6" xr:uid="{00000000-0005-0000-0000-00000E000000}"/>
    <cellStyle name="Parent row 2" xfId="14" xr:uid="{00000000-0005-0000-0000-00000F000000}"/>
    <cellStyle name="Parent row 2 2" xfId="35" xr:uid="{FB6159C2-3816-462C-9C7E-597FA8726819}"/>
    <cellStyle name="Parent row 3" xfId="23" xr:uid="{331FC99C-93DD-42D6-8CB1-F9333C05A143}"/>
    <cellStyle name="Percent" xfId="10" builtinId="5"/>
    <cellStyle name="Percent 2" xfId="27" xr:uid="{9E1DDFDA-DFF4-4D40-BF83-8294F9197DDF}"/>
    <cellStyle name="Section Break" xfId="19" xr:uid="{00000000-0005-0000-0000-000011000000}"/>
    <cellStyle name="Section Break: parent row" xfId="20" xr:uid="{00000000-0005-0000-0000-000012000000}"/>
    <cellStyle name="Table title" xfId="5" xr:uid="{00000000-0005-0000-0000-000013000000}"/>
    <cellStyle name="Table title 2" xfId="13" xr:uid="{00000000-0005-0000-0000-000014000000}"/>
    <cellStyle name="Table title 2 2" xfId="36" xr:uid="{4DA32883-3F28-49DD-A335-06D63994080A}"/>
    <cellStyle name="Table title 3" xfId="26" xr:uid="{CE97C44B-4CC0-45E6-AB97-7B8144BE6342}"/>
  </cellStyles>
  <dxfs count="23">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font>
        <color rgb="FF000000"/>
      </font>
      <numFmt numFmtId="164" formatCode="0.0%"/>
    </dxf>
    <dxf>
      <font>
        <b/>
        <color rgb="FF000000"/>
      </font>
      <numFmt numFmtId="164" formatCode="0.0%"/>
    </dxf>
    <dxf>
      <border>
        <left/>
        <right/>
        <top/>
        <bottom style="thick">
          <color rgb="FF0096D7"/>
        </bottom>
        <vertical/>
        <horizontal/>
      </border>
    </dxf>
  </dxfs>
  <tableStyles count="0" defaultTableStyle="TableStyleMedium2" defaultPivotStyle="PivotStyleLight16"/>
  <colors>
    <mruColors>
      <color rgb="FFFF66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gif"/></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greet.es.anl.gov/" TargetMode="External"/><Relationship Id="rId2" Type="http://schemas.openxmlformats.org/officeDocument/2006/relationships/hyperlink" Target="https://www.uranium.info/unit_conversion_table.php" TargetMode="External"/><Relationship Id="rId1" Type="http://schemas.openxmlformats.org/officeDocument/2006/relationships/hyperlink" Target="https://www.eia.gov/outlooks/aeo/tables_ref.php"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17" Type="http://schemas.openxmlformats.org/officeDocument/2006/relationships/hyperlink" Target="https://www.eia.gov/dnav/pet/hist/LeafHandler.ashx?n=PET&amp;s=MOLIMUS1&amp;f=A" TargetMode="External"/><Relationship Id="rId299" Type="http://schemas.openxmlformats.org/officeDocument/2006/relationships/hyperlink" Target="https://www.eia.gov/dnav/pet/hist/LeafHandler.ashx?n=PET&amp;s=MD0UP_NUS_1&amp;f=A" TargetMode="External"/><Relationship Id="rId21" Type="http://schemas.openxmlformats.org/officeDocument/2006/relationships/hyperlink" Target="https://www.eia.gov/dnav/pet/hist/LeafHandler.ashx?n=PET&amp;s=MNGFPUS1&amp;f=A" TargetMode="External"/><Relationship Id="rId63" Type="http://schemas.openxmlformats.org/officeDocument/2006/relationships/hyperlink" Target="https://www.eia.gov/dnav/pet/hist/LeafHandler.ashx?n=PET&amp;s=MBUEX_NUS-Z00_1&amp;f=A" TargetMode="External"/><Relationship Id="rId159" Type="http://schemas.openxmlformats.org/officeDocument/2006/relationships/hyperlink" Target="https://www.eia.gov/dnav/pet/hist/LeafHandler.ashx?n=PET&amp;s=M_EPOORXFE_YNP_NUS_MBBL&amp;f=A" TargetMode="External"/><Relationship Id="rId324" Type="http://schemas.openxmlformats.org/officeDocument/2006/relationships/hyperlink" Target="https://www.eia.gov/dnav/pet/hist/LeafHandler.ashx?n=PET&amp;s=MRXSC_NUS_1&amp;f=A" TargetMode="External"/><Relationship Id="rId366" Type="http://schemas.openxmlformats.org/officeDocument/2006/relationships/hyperlink" Target="https://www.eia.gov/dnav/pet/hist/LeafHandler.ashx?n=PET&amp;s=MWXSCUS1&amp;f=A" TargetMode="External"/><Relationship Id="rId170" Type="http://schemas.openxmlformats.org/officeDocument/2006/relationships/hyperlink" Target="https://www.eia.gov/dnav/pet/hist/LeafHandler.ashx?n=PET&amp;s=M_EPOORDB_SCG_NUS_MBBL&amp;f=A" TargetMode="External"/><Relationship Id="rId226" Type="http://schemas.openxmlformats.org/officeDocument/2006/relationships/hyperlink" Target="https://www.eia.gov/dnav/pet/hist/LeafHandler.ashx?n=PET&amp;s=MO5UP_NUS_1&amp;f=A" TargetMode="External"/><Relationship Id="rId268" Type="http://schemas.openxmlformats.org/officeDocument/2006/relationships/hyperlink" Target="https://www.eia.gov/dnav/pet/hist/LeafHandler.ashx?n=PET&amp;s=MGAEXUS1&amp;f=A" TargetMode="External"/><Relationship Id="rId32" Type="http://schemas.openxmlformats.org/officeDocument/2006/relationships/hyperlink" Target="https://www.eia.gov/dnav/pet/hist/LeafHandler.ashx?n=PET&amp;s=M_EPL2_TVP_NUS_MBBL&amp;f=A" TargetMode="External"/><Relationship Id="rId74" Type="http://schemas.openxmlformats.org/officeDocument/2006/relationships/hyperlink" Target="https://www.eia.gov/dnav/pet/hist/LeafHandler.ashx?n=PET&amp;s=M_EPLLBAI_VPP_NUS_MBBL&amp;f=A" TargetMode="External"/><Relationship Id="rId128" Type="http://schemas.openxmlformats.org/officeDocument/2006/relationships/hyperlink" Target="https://www.eia.gov/dnav/pet/hist/LeafHandler.ashx?n=PET&amp;s=MOHRIUS1&amp;f=A" TargetMode="External"/><Relationship Id="rId335" Type="http://schemas.openxmlformats.org/officeDocument/2006/relationships/hyperlink" Target="https://www.eia.gov/dnav/pet/hist/LeafHandler.ashx?n=PET&amp;s=MPFIM_NUS-Z00_1&amp;f=A" TargetMode="External"/><Relationship Id="rId377" Type="http://schemas.openxmlformats.org/officeDocument/2006/relationships/hyperlink" Target="https://www.eia.gov/dnav/pet/hist/LeafHandler.ashx?n=PET&amp;s=MCMIM_NUS-Z00_1&amp;f=A" TargetMode="External"/><Relationship Id="rId5" Type="http://schemas.openxmlformats.org/officeDocument/2006/relationships/hyperlink" Target="https://www.eia.gov/dnav/pet/hist/LeafHandler.ashx?n=PET&amp;s=MTTIMUS1&amp;f=A" TargetMode="External"/><Relationship Id="rId181" Type="http://schemas.openxmlformats.org/officeDocument/2006/relationships/hyperlink" Target="https://www.eia.gov/dnav/pet/hist/LeafHandler.ashx?n=PET&amp;s=M_EPOORDO_VPP_NUS_MBBL&amp;f=A" TargetMode="External"/><Relationship Id="rId237" Type="http://schemas.openxmlformats.org/officeDocument/2006/relationships/hyperlink" Target="https://www.eia.gov/dnav/pet/hist/LeafHandler.ashx?n=PET&amp;s=MTPUA_NUS_1&amp;f=A" TargetMode="External"/><Relationship Id="rId279" Type="http://schemas.openxmlformats.org/officeDocument/2006/relationships/hyperlink" Target="https://www.eia.gov/dnav/pet/hist/LeafHandler.ashx?n=PET&amp;s=MKERPUS1&amp;f=A" TargetMode="External"/><Relationship Id="rId43" Type="http://schemas.openxmlformats.org/officeDocument/2006/relationships/hyperlink" Target="https://www.eia.gov/dnav/pet/hist/LeafHandler.ashx?n=PET&amp;s=MENIMUS1&amp;f=A" TargetMode="External"/><Relationship Id="rId139" Type="http://schemas.openxmlformats.org/officeDocument/2006/relationships/hyperlink" Target="https://www.eia.gov/dnav/pet/hist/LeafHandler.ashx?n=PET&amp;s=M_EPOOXXFE_YIR_NUS_MBBL&amp;f=A" TargetMode="External"/><Relationship Id="rId290" Type="http://schemas.openxmlformats.org/officeDocument/2006/relationships/hyperlink" Target="https://www.eia.gov/dnav/pet/hist/LeafHandler.ashx?n=PET&amp;s=MDIEXUS1&amp;f=A" TargetMode="External"/><Relationship Id="rId304" Type="http://schemas.openxmlformats.org/officeDocument/2006/relationships/hyperlink" Target="https://www.eia.gov/dnav/pet/hist/LeafHandler.ashx?n=PET&amp;s=M_EPDM10_VUA_NUS_1&amp;f=A" TargetMode="External"/><Relationship Id="rId346" Type="http://schemas.openxmlformats.org/officeDocument/2006/relationships/hyperlink" Target="https://www.eia.gov/dnav/pet/hist/LeafHandler.ashx?n=PET&amp;s=MOTRPUS1&amp;f=A" TargetMode="External"/><Relationship Id="rId388" Type="http://schemas.openxmlformats.org/officeDocument/2006/relationships/hyperlink" Target="https://www.eia.gov/dnav/pet/hist/LeafHandler.ashx?n=PET&amp;s=MAPUPUS1&amp;f=A" TargetMode="External"/><Relationship Id="rId85" Type="http://schemas.openxmlformats.org/officeDocument/2006/relationships/hyperlink" Target="https://www.eia.gov/dnav/pet/hist/LeafHandler.ashx?n=PET&amp;s=M_EPLLCS_FPF_NUS_MBBL&amp;f=A" TargetMode="External"/><Relationship Id="rId150" Type="http://schemas.openxmlformats.org/officeDocument/2006/relationships/hyperlink" Target="https://www.eia.gov/dnav/pet/hist/LeafHandler.ashx?n=PET&amp;s=M_EPOOR_SAE_NUS_MBBL&amp;f=A" TargetMode="External"/><Relationship Id="rId192" Type="http://schemas.openxmlformats.org/officeDocument/2006/relationships/hyperlink" Target="https://www.eia.gov/dnav/pet/hist/LeafHandler.ashx?n=PET&amp;s=M_EPOOOXH_VUA_NUS_MBBL&amp;f=A" TargetMode="External"/><Relationship Id="rId206" Type="http://schemas.openxmlformats.org/officeDocument/2006/relationships/hyperlink" Target="https://www.eia.gov/dnav/pet/hist/LeafHandler.ashx?n=PET&amp;s=MBCUA_NUS_1&amp;f=A" TargetMode="External"/><Relationship Id="rId248" Type="http://schemas.openxmlformats.org/officeDocument/2006/relationships/hyperlink" Target="https://www.eia.gov/dnav/pet/hist/LeafHandler.ashx?n=PET&amp;s=MGFUPUS1&amp;f=A" TargetMode="External"/><Relationship Id="rId12" Type="http://schemas.openxmlformats.org/officeDocument/2006/relationships/hyperlink" Target="https://www.eia.gov/dnav/pet/hist/LeafHandler.ashx?n=PET&amp;s=MCRFPUS1&amp;f=A" TargetMode="External"/><Relationship Id="rId108" Type="http://schemas.openxmlformats.org/officeDocument/2006/relationships/hyperlink" Target="https://www.eia.gov/dnav/pet/hist/LeafHandler.ashx?n=PET&amp;s=M_EPLLBYN_VPP_NUS_MBBL&amp;f=A" TargetMode="External"/><Relationship Id="rId315" Type="http://schemas.openxmlformats.org/officeDocument/2006/relationships/hyperlink" Target="https://www.eia.gov/dnav/pet/hist/LeafHandler.ashx?n=PET&amp;s=MDGSTUS1&amp;f=A" TargetMode="External"/><Relationship Id="rId357" Type="http://schemas.openxmlformats.org/officeDocument/2006/relationships/hyperlink" Target="https://www.eia.gov/dnav/pet/hist/LeafHandler.ashx?n=PET&amp;s=MNSSTUS1&amp;f=A" TargetMode="External"/><Relationship Id="rId54" Type="http://schemas.openxmlformats.org/officeDocument/2006/relationships/hyperlink" Target="https://www.eia.gov/dnav/pet/hist/LeafHandler.ashx?n=PET&amp;s=M_EPLLPA_VPP_NUS_MBBL&amp;f=A" TargetMode="External"/><Relationship Id="rId96" Type="http://schemas.openxmlformats.org/officeDocument/2006/relationships/hyperlink" Target="https://www.eia.gov/dnav/pet/hist/LeafHandler.ashx?n=PET&amp;s=MEYIMUS1&amp;f=A" TargetMode="External"/><Relationship Id="rId161" Type="http://schemas.openxmlformats.org/officeDocument/2006/relationships/hyperlink" Target="https://www.eia.gov/dnav/pet/hist/LeafHandler.ashx?n=PET&amp;s=M_EPOORXFE_VUA_NUS_MBBL&amp;f=A" TargetMode="External"/><Relationship Id="rId217" Type="http://schemas.openxmlformats.org/officeDocument/2006/relationships/hyperlink" Target="https://www.eia.gov/dnav/pet/hist/LeafHandler.ashx?n=PET&amp;s=MO1EX_NUS-Z00_1&amp;f=A" TargetMode="External"/><Relationship Id="rId259" Type="http://schemas.openxmlformats.org/officeDocument/2006/relationships/hyperlink" Target="https://www.eia.gov/dnav/pet/hist/LeafHandler.ashx?n=PET&amp;s=MG4IM_NUS-Z00_1&amp;f=A" TargetMode="External"/><Relationship Id="rId23" Type="http://schemas.openxmlformats.org/officeDocument/2006/relationships/hyperlink" Target="https://www.eia.gov/dnav/pet/hist/LeafHandler.ashx?n=PET&amp;s=M_EPL0_YNP_NUS_MBBL&amp;f=A" TargetMode="External"/><Relationship Id="rId119" Type="http://schemas.openxmlformats.org/officeDocument/2006/relationships/hyperlink" Target="https://www.eia.gov/dnav/pet/hist/LeafHandler.ashx?n=PET&amp;s=MOLSCUS1&amp;f=A" TargetMode="External"/><Relationship Id="rId270" Type="http://schemas.openxmlformats.org/officeDocument/2006/relationships/hyperlink" Target="https://www.eia.gov/dnav/pet/hist/LeafHandler.ashx?n=PET&amp;s=MGASTUS1&amp;f=A" TargetMode="External"/><Relationship Id="rId326" Type="http://schemas.openxmlformats.org/officeDocument/2006/relationships/hyperlink" Target="https://www.eia.gov/dnav/pet/hist/LeafHandler.ashx?n=PET&amp;s=MRMRPUS1&amp;f=A" TargetMode="External"/><Relationship Id="rId65" Type="http://schemas.openxmlformats.org/officeDocument/2006/relationships/hyperlink" Target="https://www.eia.gov/dnav/pet/hist/LeafHandler.ashx?n=PET&amp;s=M_EPLLBAN_SAE_NUS_MBBL&amp;f=A" TargetMode="External"/><Relationship Id="rId130" Type="http://schemas.openxmlformats.org/officeDocument/2006/relationships/hyperlink" Target="https://www.eia.gov/dnav/pet/hist/LeafHandler.ashx?n=PET&amp;s=MOHUPUS1&amp;f=A" TargetMode="External"/><Relationship Id="rId368" Type="http://schemas.openxmlformats.org/officeDocument/2006/relationships/hyperlink" Target="https://www.eia.gov/dnav/pet/hist/LeafHandler.ashx?n=PET&amp;s=MWXUPUS1&amp;f=A" TargetMode="External"/><Relationship Id="rId172" Type="http://schemas.openxmlformats.org/officeDocument/2006/relationships/hyperlink" Target="https://www.eia.gov/dnav/pet/hist/LeafHandler.ashx?n=PET&amp;s=M_EPOORDB_EEX_NUS-Z00_MBBL&amp;f=A" TargetMode="External"/><Relationship Id="rId228" Type="http://schemas.openxmlformats.org/officeDocument/2006/relationships/hyperlink" Target="https://www.eia.gov/dnav/pet/hist/LeafHandler.ashx?n=PET&amp;s=MBAIMUS1&amp;f=A" TargetMode="External"/><Relationship Id="rId281" Type="http://schemas.openxmlformats.org/officeDocument/2006/relationships/hyperlink" Target="https://www.eia.gov/dnav/pet/hist/LeafHandler.ashx?n=PET&amp;s=MKESCUS1&amp;f=A" TargetMode="External"/><Relationship Id="rId337" Type="http://schemas.openxmlformats.org/officeDocument/2006/relationships/hyperlink" Target="https://www.eia.gov/dnav/pet/hist/LeafHandler.ashx?n=PET&amp;s=MPCEX_NUS-Z00_1&amp;f=A" TargetMode="External"/><Relationship Id="rId34" Type="http://schemas.openxmlformats.org/officeDocument/2006/relationships/hyperlink" Target="https://www.eia.gov/dnav/pet/hist/LeafHandler.ashx?n=PET&amp;s=M_EPL2_YPR_NUS_MBBL&amp;f=A" TargetMode="External"/><Relationship Id="rId76" Type="http://schemas.openxmlformats.org/officeDocument/2006/relationships/hyperlink" Target="https://www.eia.gov/dnav/pet/hist/LeafHandler.ashx?n=PET&amp;s=M_EPLLNG_FPF_NUS_MBBL&amp;f=A" TargetMode="External"/><Relationship Id="rId141" Type="http://schemas.openxmlformats.org/officeDocument/2006/relationships/hyperlink" Target="https://www.eia.gov/dnav/pet/hist/LeafHandler.ashx?n=PET&amp;s=M_EPOOXXFE_VPP_NUS_MBBL&amp;f=A" TargetMode="External"/><Relationship Id="rId379" Type="http://schemas.openxmlformats.org/officeDocument/2006/relationships/hyperlink" Target="https://www.eia.gov/dnav/pet/hist/LeafHandler.ashx?n=PET&amp;s=MCMEX_NUS-Z00_1&amp;f=A" TargetMode="External"/><Relationship Id="rId7" Type="http://schemas.openxmlformats.org/officeDocument/2006/relationships/hyperlink" Target="https://www.eia.gov/dnav/pet/hist/LeafHandler.ashx?n=PET&amp;s=MTTSCUS1&amp;f=A" TargetMode="External"/><Relationship Id="rId183" Type="http://schemas.openxmlformats.org/officeDocument/2006/relationships/hyperlink" Target="https://www.eia.gov/dnav/pet/hist/LeafHandler.ashx?n=PET&amp;s=M_EPOORO_YNP_NUS_MBBL&amp;f=A" TargetMode="External"/><Relationship Id="rId239" Type="http://schemas.openxmlformats.org/officeDocument/2006/relationships/hyperlink" Target="https://www.eia.gov/dnav/pet/hist/LeafHandler.ashx?n=PET&amp;s=MTPEXUS1&amp;f=A" TargetMode="External"/><Relationship Id="rId390" Type="http://schemas.openxmlformats.org/officeDocument/2006/relationships/hyperlink" Target="https://www.eia.gov/dnav/pet/hist/LeafHandler.ashx?n=PET&amp;s=MSGRPUS1&amp;f=A" TargetMode="External"/><Relationship Id="rId250" Type="http://schemas.openxmlformats.org/officeDocument/2006/relationships/hyperlink" Target="https://www.eia.gov/dnav/pet/hist/LeafHandler.ashx?n=PET&amp;s=MGRRPUS1&amp;f=A" TargetMode="External"/><Relationship Id="rId292" Type="http://schemas.openxmlformats.org/officeDocument/2006/relationships/hyperlink" Target="https://www.eia.gov/dnav/pet/hist/LeafHandler.ashx?n=PET&amp;s=MDISTUS1&amp;f=A" TargetMode="External"/><Relationship Id="rId306" Type="http://schemas.openxmlformats.org/officeDocument/2006/relationships/hyperlink" Target="https://www.eia.gov/dnav/pet/hist/LeafHandler.ashx?n=PET&amp;s=MD1EX_NUS-Z00_1&amp;f=A" TargetMode="External"/><Relationship Id="rId45" Type="http://schemas.openxmlformats.org/officeDocument/2006/relationships/hyperlink" Target="https://www.eia.gov/dnav/pet/hist/LeafHandler.ashx?n=PET&amp;s=M_EPLLEA_EEX_NUS-Z00_1&amp;f=A" TargetMode="External"/><Relationship Id="rId87" Type="http://schemas.openxmlformats.org/officeDocument/2006/relationships/hyperlink" Target="https://www.eia.gov/dnav/pet/hist/LeafHandler.ashx?n=PET&amp;s=M_EPLLCS_SCG_NUS_MBBL&amp;f=A" TargetMode="External"/><Relationship Id="rId110" Type="http://schemas.openxmlformats.org/officeDocument/2006/relationships/hyperlink" Target="https://www.eia.gov/dnav/pet/hist/LeafHandler.ashx?n=PET&amp;s=MIYRPUS1&amp;f=A" TargetMode="External"/><Relationship Id="rId348" Type="http://schemas.openxmlformats.org/officeDocument/2006/relationships/hyperlink" Target="https://www.eia.gov/dnav/pet/hist/LeafHandler.ashx?n=PET&amp;s=MOTSCUS1&amp;f=A" TargetMode="External"/><Relationship Id="rId152" Type="http://schemas.openxmlformats.org/officeDocument/2006/relationships/hyperlink" Target="https://www.eia.gov/dnav/pet/hist/LeafHandler.ashx?n=PET&amp;s=MFEIMUS1&amp;f=A" TargetMode="External"/><Relationship Id="rId194" Type="http://schemas.openxmlformats.org/officeDocument/2006/relationships/hyperlink" Target="https://www.eia.gov/dnav/pet/hist/LeafHandler.ashx?n=PET&amp;s=M_EPOOOXH_YIR_NUS_MBBL&amp;f=A" TargetMode="External"/><Relationship Id="rId208" Type="http://schemas.openxmlformats.org/officeDocument/2006/relationships/hyperlink" Target="https://www.eia.gov/dnav/pet/hist/LeafHandler.ashx?n=PET&amp;s=MBCRIUS1&amp;f=A" TargetMode="External"/><Relationship Id="rId261" Type="http://schemas.openxmlformats.org/officeDocument/2006/relationships/hyperlink" Target="https://www.eia.gov/dnav/pet/hist/LeafHandler.ashx?n=PET&amp;s=MG4SC_NUS_1&amp;f=A" TargetMode="External"/><Relationship Id="rId14" Type="http://schemas.openxmlformats.org/officeDocument/2006/relationships/hyperlink" Target="https://www.eia.gov/dnav/pet/hist/LeafHandler.ashx?n=PET&amp;s=MCRIMUS1&amp;f=A" TargetMode="External"/><Relationship Id="rId56" Type="http://schemas.openxmlformats.org/officeDocument/2006/relationships/hyperlink" Target="https://www.eia.gov/dnav/pet/hist/LeafHandler.ashx?n=PET&amp;s=M_EPLLBAN_FPF_NUS_MBBL&amp;f=A" TargetMode="External"/><Relationship Id="rId317" Type="http://schemas.openxmlformats.org/officeDocument/2006/relationships/hyperlink" Target="https://www.eia.gov/dnav/pet/hist/LeafHandler.ashx?n=PET&amp;s=MREIMUS1&amp;f=A" TargetMode="External"/><Relationship Id="rId359" Type="http://schemas.openxmlformats.org/officeDocument/2006/relationships/hyperlink" Target="https://www.eia.gov/dnav/pet/hist/LeafHandler.ashx?n=PET&amp;s=MLUIMUS1&amp;f=A" TargetMode="External"/><Relationship Id="rId98" Type="http://schemas.openxmlformats.org/officeDocument/2006/relationships/hyperlink" Target="https://www.eia.gov/dnav/pet/hist/LeafHandler.ashx?n=PET&amp;s=M_EPLLEY_VPP_NUS_MBBL&amp;f=A" TargetMode="External"/><Relationship Id="rId121" Type="http://schemas.openxmlformats.org/officeDocument/2006/relationships/hyperlink" Target="https://www.eia.gov/dnav/pet/hist/LeafHandler.ashx?n=PET&amp;s=MOLEXUS1&amp;f=A" TargetMode="External"/><Relationship Id="rId163" Type="http://schemas.openxmlformats.org/officeDocument/2006/relationships/hyperlink" Target="https://www.eia.gov/dnav/pet/hist/LeafHandler.ashx?n=PET&amp;s=M_EPOORXFE_YIR_NUS_MBBL&amp;f=A" TargetMode="External"/><Relationship Id="rId219" Type="http://schemas.openxmlformats.org/officeDocument/2006/relationships/hyperlink" Target="https://www.eia.gov/dnav/pet/hist/LeafHandler.ashx?n=PET&amp;s=MO1ST_NUS_1&amp;f=A" TargetMode="External"/><Relationship Id="rId370" Type="http://schemas.openxmlformats.org/officeDocument/2006/relationships/hyperlink" Target="https://www.eia.gov/dnav/pet/hist/LeafHandler.ashx?n=PET&amp;s=MCKRPUS1&amp;f=A" TargetMode="External"/><Relationship Id="rId230" Type="http://schemas.openxmlformats.org/officeDocument/2006/relationships/hyperlink" Target="https://www.eia.gov/dnav/pet/hist/LeafHandler.ashx?n=PET&amp;s=MBARIUS1&amp;f=A" TargetMode="External"/><Relationship Id="rId25" Type="http://schemas.openxmlformats.org/officeDocument/2006/relationships/hyperlink" Target="https://www.eia.gov/dnav/pet/hist/LeafHandler.ashx?n=PET&amp;s=MNGIMUS1&amp;f=A" TargetMode="External"/><Relationship Id="rId67" Type="http://schemas.openxmlformats.org/officeDocument/2006/relationships/hyperlink" Target="https://www.eia.gov/dnav/pet/hist/LeafHandler.ashx?n=PET&amp;s=M_EPLLBAI_TVP_NUS_MBBL&amp;f=A" TargetMode="External"/><Relationship Id="rId272" Type="http://schemas.openxmlformats.org/officeDocument/2006/relationships/hyperlink" Target="https://www.eia.gov/dnav/pet/hist/LeafHandler.ashx?n=PET&amp;s=MKJRPUS1&amp;f=A" TargetMode="External"/><Relationship Id="rId328" Type="http://schemas.openxmlformats.org/officeDocument/2006/relationships/hyperlink" Target="https://www.eia.gov/dnav/pet/hist/LeafHandler.ashx?n=PET&amp;s=MRYSC_NUS_1&amp;f=A" TargetMode="External"/><Relationship Id="rId132" Type="http://schemas.openxmlformats.org/officeDocument/2006/relationships/hyperlink" Target="https://www.eia.gov/dnav/pet/hist/LeafHandler.ashx?n=PET&amp;s=M_EPOOOH_VUA_NUS_MBBL&amp;f=A" TargetMode="External"/><Relationship Id="rId174" Type="http://schemas.openxmlformats.org/officeDocument/2006/relationships/hyperlink" Target="https://www.eia.gov/dnav/pet/hist/LeafHandler.ashx?n=PET&amp;s=M_EPOORDB_SAE_NUS_MBBL&amp;f=A" TargetMode="External"/><Relationship Id="rId381" Type="http://schemas.openxmlformats.org/officeDocument/2006/relationships/hyperlink" Target="https://www.eia.gov/dnav/pet/hist/LeafHandler.ashx?n=PET&amp;s=MCMST_NUS_1&amp;f=A" TargetMode="External"/><Relationship Id="rId241" Type="http://schemas.openxmlformats.org/officeDocument/2006/relationships/hyperlink" Target="https://www.eia.gov/dnav/pet/hist/LeafHandler.ashx?n=PET&amp;s=MTPSTUS1&amp;f=A" TargetMode="External"/><Relationship Id="rId36" Type="http://schemas.openxmlformats.org/officeDocument/2006/relationships/hyperlink" Target="https://www.eia.gov/dnav/pet/hist/LeafHandler.ashx?n=PET&amp;s=M_EPL2_SCG_NUS_MBBL&amp;f=A" TargetMode="External"/><Relationship Id="rId283" Type="http://schemas.openxmlformats.org/officeDocument/2006/relationships/hyperlink" Target="https://www.eia.gov/dnav/pet/hist/LeafHandler.ashx?n=PET&amp;s=MKEUPUS1&amp;f=A" TargetMode="External"/><Relationship Id="rId339" Type="http://schemas.openxmlformats.org/officeDocument/2006/relationships/hyperlink" Target="https://www.eia.gov/dnav/pet/hist/LeafHandler.ashx?n=PET&amp;s=MPCST_NUS_1&amp;f=A" TargetMode="External"/><Relationship Id="rId78" Type="http://schemas.openxmlformats.org/officeDocument/2006/relationships/hyperlink" Target="https://www.eia.gov/dnav/pet/hist/LeafHandler.ashx?n=PET&amp;s=M_EPLLNG_YNP_NUS_MBBL&amp;f=A" TargetMode="External"/><Relationship Id="rId101" Type="http://schemas.openxmlformats.org/officeDocument/2006/relationships/hyperlink" Target="https://www.eia.gov/dnav/pet/hist/LeafHandler.ashx?n=PET&amp;s=MPLIMUS1&amp;f=A" TargetMode="External"/><Relationship Id="rId143" Type="http://schemas.openxmlformats.org/officeDocument/2006/relationships/hyperlink" Target="https://www.eia.gov/dnav/pet/hist/LeafHandler.ashx?n=PET&amp;s=M_EPOOR_YNP_NUS_MBBL&amp;f=A" TargetMode="External"/><Relationship Id="rId185" Type="http://schemas.openxmlformats.org/officeDocument/2006/relationships/hyperlink" Target="https://www.eia.gov/dnav/pet/hist/LeafHandler.ashx?n=PET&amp;s=M_EPOORO_VUA_NUS_MBBL&amp;f=A" TargetMode="External"/><Relationship Id="rId350" Type="http://schemas.openxmlformats.org/officeDocument/2006/relationships/hyperlink" Target="https://www.eia.gov/dnav/pet/hist/LeafHandler.ashx?n=PET&amp;s=MOTUPUS1&amp;f=A" TargetMode="External"/><Relationship Id="rId9" Type="http://schemas.openxmlformats.org/officeDocument/2006/relationships/hyperlink" Target="https://www.eia.gov/dnav/pet/hist/LeafHandler.ashx?n=PET&amp;s=MTTEXUS1&amp;f=A" TargetMode="External"/><Relationship Id="rId210" Type="http://schemas.openxmlformats.org/officeDocument/2006/relationships/hyperlink" Target="https://www.eia.gov/dnav/pet/hist/LeafHandler.ashx?n=PET&amp;s=MBCUPUS1&amp;f=A" TargetMode="External"/><Relationship Id="rId392" Type="http://schemas.openxmlformats.org/officeDocument/2006/relationships/hyperlink" Target="https://www.eia.gov/dnav/pet/hist/LeafHandler.ashx?n=PET&amp;s=MMSRPUS1&amp;f=A" TargetMode="External"/><Relationship Id="rId252" Type="http://schemas.openxmlformats.org/officeDocument/2006/relationships/hyperlink" Target="https://www.eia.gov/dnav/pet/hist/LeafHandler.ashx?n=PET&amp;s=MGRUA_NUS_1&amp;f=A" TargetMode="External"/><Relationship Id="rId294" Type="http://schemas.openxmlformats.org/officeDocument/2006/relationships/hyperlink" Target="https://www.eia.gov/dnav/pet/hist/LeafHandler.ashx?n=PET&amp;s=MD0RP_NUS_1&amp;f=A" TargetMode="External"/><Relationship Id="rId308" Type="http://schemas.openxmlformats.org/officeDocument/2006/relationships/hyperlink" Target="https://www.eia.gov/dnav/pet/hist/LeafHandler.ashx?n=PET&amp;s=MD1ST_NUS_1&amp;f=A" TargetMode="External"/><Relationship Id="rId47" Type="http://schemas.openxmlformats.org/officeDocument/2006/relationships/hyperlink" Target="https://www.eia.gov/dnav/pet/hist/LeafHandler.ashx?n=PET&amp;s=M_EPLLEA_SAE_NUS_MBBL&amp;f=A" TargetMode="External"/><Relationship Id="rId89" Type="http://schemas.openxmlformats.org/officeDocument/2006/relationships/hyperlink" Target="https://www.eia.gov/dnav/pet/hist/LeafHandler.ashx?n=PET&amp;s=M_EPLLCS_SAE_NUS_MBBL&amp;f=A" TargetMode="External"/><Relationship Id="rId112" Type="http://schemas.openxmlformats.org/officeDocument/2006/relationships/hyperlink" Target="https://www.eia.gov/dnav/pet/hist/LeafHandler.ashx?n=PET&amp;s=M_EPLLBYI_SCG_NUS_MBBL&amp;f=A" TargetMode="External"/><Relationship Id="rId154" Type="http://schemas.openxmlformats.org/officeDocument/2006/relationships/hyperlink" Target="https://www.eia.gov/dnav/pet/hist/LeafHandler.ashx?n=PET&amp;s=M_EPOOXE_SCG_NUS_MBBL&amp;f=A" TargetMode="External"/><Relationship Id="rId361" Type="http://schemas.openxmlformats.org/officeDocument/2006/relationships/hyperlink" Target="https://www.eia.gov/dnav/pet/hist/LeafHandler.ashx?n=PET&amp;s=MLUEXUS1&amp;f=A" TargetMode="External"/><Relationship Id="rId196" Type="http://schemas.openxmlformats.org/officeDocument/2006/relationships/hyperlink" Target="https://www.eia.gov/dnav/pet/hist/LeafHandler.ashx?n=PET&amp;s=M_EPOOOXH_SAE_NUS_MBBL&amp;f=A" TargetMode="External"/><Relationship Id="rId16" Type="http://schemas.openxmlformats.org/officeDocument/2006/relationships/hyperlink" Target="https://www.eia.gov/dnav/pet/hist/LeafHandler.ashx?n=PET&amp;s=MCRSCUS1&amp;f=A" TargetMode="External"/><Relationship Id="rId221" Type="http://schemas.openxmlformats.org/officeDocument/2006/relationships/hyperlink" Target="https://www.eia.gov/dnav/pet/hist/LeafHandler.ashx?n=PET&amp;s=MO5IM_NUS-Z00_1&amp;f=A" TargetMode="External"/><Relationship Id="rId263" Type="http://schemas.openxmlformats.org/officeDocument/2006/relationships/hyperlink" Target="https://www.eia.gov/dnav/pet/hist/LeafHandler.ashx?n=PET&amp;s=MG4UP_NUS_1&amp;f=A" TargetMode="External"/><Relationship Id="rId319" Type="http://schemas.openxmlformats.org/officeDocument/2006/relationships/hyperlink" Target="https://www.eia.gov/dnav/pet/hist/LeafHandler.ashx?n=PET&amp;s=MREEXUS1&amp;f=A" TargetMode="External"/><Relationship Id="rId37" Type="http://schemas.openxmlformats.org/officeDocument/2006/relationships/hyperlink" Target="https://www.eia.gov/dnav/pet/hist/LeafHandler.ashx?n=PET&amp;s=M_EPL2_YIR_NUS_MBBL&amp;f=A" TargetMode="External"/><Relationship Id="rId58" Type="http://schemas.openxmlformats.org/officeDocument/2006/relationships/hyperlink" Target="https://www.eia.gov/dnav/pet/hist/LeafHandler.ashx?n=PET&amp;s=M_EPLLBAN_YNP_NUS_MBBL&amp;f=A" TargetMode="External"/><Relationship Id="rId79" Type="http://schemas.openxmlformats.org/officeDocument/2006/relationships/hyperlink" Target="https://www.eia.gov/dnav/pet/hist/LeafHandler.ashx?n=PET&amp;s=M_EPLLNG_IM0_NUS-Z00_MBBL&amp;f=A" TargetMode="External"/><Relationship Id="rId102" Type="http://schemas.openxmlformats.org/officeDocument/2006/relationships/hyperlink" Target="https://www.eia.gov/dnav/pet/hist/LeafHandler.ashx?n=PET&amp;s=M_EPLLPY_SCG_NUS_MBBL&amp;f=A" TargetMode="External"/><Relationship Id="rId123" Type="http://schemas.openxmlformats.org/officeDocument/2006/relationships/hyperlink" Target="https://www.eia.gov/dnav/pet/hist/LeafHandler.ashx?n=PET&amp;s=MOLSTUS1&amp;f=A" TargetMode="External"/><Relationship Id="rId144" Type="http://schemas.openxmlformats.org/officeDocument/2006/relationships/hyperlink" Target="https://www.eia.gov/dnav/pet/hist/LeafHandler.ashx?n=PET&amp;s=M_EPOOR_IM0_NUS-Z00_MBBL&amp;f=A" TargetMode="External"/><Relationship Id="rId330" Type="http://schemas.openxmlformats.org/officeDocument/2006/relationships/hyperlink" Target="https://www.eia.gov/dnav/pet/hist/LeafHandler.ashx?n=PET&amp;s=MRGRPUS1&amp;f=A" TargetMode="External"/><Relationship Id="rId90" Type="http://schemas.openxmlformats.org/officeDocument/2006/relationships/hyperlink" Target="https://www.eia.gov/dnav/pet/hist/LeafHandler.ashx?n=PET&amp;s=M_EPLOLE_YPR_NUS_MBBL&amp;f=A" TargetMode="External"/><Relationship Id="rId165" Type="http://schemas.openxmlformats.org/officeDocument/2006/relationships/hyperlink" Target="https://www.eia.gov/dnav/pet/hist/LeafHandler.ashx?n=PET&amp;s=M_EPOORXFE_VPP_NUS_MBBL&amp;f=A" TargetMode="External"/><Relationship Id="rId186" Type="http://schemas.openxmlformats.org/officeDocument/2006/relationships/hyperlink" Target="https://www.eia.gov/dnav/pet/hist/LeafHandler.ashx?n=PET&amp;s=M_EPOORO_SCG_NUS_MBBL&amp;f=A" TargetMode="External"/><Relationship Id="rId351" Type="http://schemas.openxmlformats.org/officeDocument/2006/relationships/hyperlink" Target="https://www.eia.gov/dnav/pet/hist/LeafHandler.ashx?n=PET&amp;s=MOTSTUS1&amp;f=A" TargetMode="External"/><Relationship Id="rId372" Type="http://schemas.openxmlformats.org/officeDocument/2006/relationships/hyperlink" Target="https://www.eia.gov/dnav/pet/hist/LeafHandler.ashx?n=PET&amp;s=MCKSCUS1&amp;f=A" TargetMode="External"/><Relationship Id="rId393" Type="http://schemas.openxmlformats.org/officeDocument/2006/relationships/hyperlink" Target="https://www.eia.gov/dnav/pet/hist/LeafHandler.ashx?n=PET&amp;s=MMSIMUS1&amp;f=A" TargetMode="External"/><Relationship Id="rId211" Type="http://schemas.openxmlformats.org/officeDocument/2006/relationships/hyperlink" Target="https://www.eia.gov/dnav/pet/hist/LeafHandler.ashx?n=PET&amp;s=MBCSTUS1&amp;f=A" TargetMode="External"/><Relationship Id="rId232" Type="http://schemas.openxmlformats.org/officeDocument/2006/relationships/hyperlink" Target="https://www.eia.gov/dnav/pet/hist/LeafHandler.ashx?n=PET&amp;s=MBAUPUS1&amp;f=A" TargetMode="External"/><Relationship Id="rId253" Type="http://schemas.openxmlformats.org/officeDocument/2006/relationships/hyperlink" Target="https://www.eia.gov/dnav/pet/hist/LeafHandler.ashx?n=PET&amp;s=MGRSCUS1&amp;f=A" TargetMode="External"/><Relationship Id="rId274" Type="http://schemas.openxmlformats.org/officeDocument/2006/relationships/hyperlink" Target="https://www.eia.gov/dnav/pet/hist/LeafHandler.ashx?n=PET&amp;s=MKJSCUS1&amp;f=A" TargetMode="External"/><Relationship Id="rId295" Type="http://schemas.openxmlformats.org/officeDocument/2006/relationships/hyperlink" Target="https://www.eia.gov/dnav/pet/hist/LeafHandler.ashx?n=PET&amp;s=MD0IM_NUS-Z00_1&amp;f=A" TargetMode="External"/><Relationship Id="rId309" Type="http://schemas.openxmlformats.org/officeDocument/2006/relationships/hyperlink" Target="https://www.eia.gov/dnav/pet/hist/LeafHandler.ashx?n=PET&amp;s=M_EPD00H_YNP_NUS_MBBL&amp;f=A" TargetMode="External"/><Relationship Id="rId27" Type="http://schemas.openxmlformats.org/officeDocument/2006/relationships/hyperlink" Target="https://www.eia.gov/dnav/pet/hist/LeafHandler.ashx?n=PET&amp;s=MNGRIUS1&amp;f=A" TargetMode="External"/><Relationship Id="rId48" Type="http://schemas.openxmlformats.org/officeDocument/2006/relationships/hyperlink" Target="https://www.eia.gov/dnav/pet/hist/LeafHandler.ashx?n=PET&amp;s=M_EPLLPA_FPF_NUS_MBBL&amp;f=A" TargetMode="External"/><Relationship Id="rId69" Type="http://schemas.openxmlformats.org/officeDocument/2006/relationships/hyperlink" Target="https://www.eia.gov/dnav/pet/hist/LeafHandler.ashx?n=PET&amp;s=MIIRPUS1&amp;f=A" TargetMode="External"/><Relationship Id="rId113" Type="http://schemas.openxmlformats.org/officeDocument/2006/relationships/hyperlink" Target="https://www.eia.gov/dnav/pet/hist/LeafHandler.ashx?n=PET&amp;s=M_EPLLBYI_VPP_NUS_MBBL&amp;f=A" TargetMode="External"/><Relationship Id="rId134" Type="http://schemas.openxmlformats.org/officeDocument/2006/relationships/hyperlink" Target="https://www.eia.gov/dnav/pet/hist/LeafHandler.ashx?n=PET&amp;s=M_EPOOOH_VPP_NUS_MBBL&amp;f=A" TargetMode="External"/><Relationship Id="rId320" Type="http://schemas.openxmlformats.org/officeDocument/2006/relationships/hyperlink" Target="https://www.eia.gov/dnav/pet/hist/LeafHandler.ashx?n=PET&amp;s=MREUPUS1&amp;f=A" TargetMode="External"/><Relationship Id="rId80" Type="http://schemas.openxmlformats.org/officeDocument/2006/relationships/hyperlink" Target="https://www.eia.gov/dnav/pet/hist/LeafHandler.ashx?n=PET&amp;s=M_EPLLNG_SCG_NUS_MBBL&amp;f=A" TargetMode="External"/><Relationship Id="rId155" Type="http://schemas.openxmlformats.org/officeDocument/2006/relationships/hyperlink" Target="https://www.eia.gov/dnav/pet/hist/LeafHandler.ashx?n=PET&amp;s=MFERIUS1&amp;f=A" TargetMode="External"/><Relationship Id="rId176" Type="http://schemas.openxmlformats.org/officeDocument/2006/relationships/hyperlink" Target="https://www.eia.gov/dnav/pet/hist/LeafHandler.ashx?n=PET&amp;s=M_EPOORDO_IM0_NUS-Z00_MBBL&amp;f=A" TargetMode="External"/><Relationship Id="rId197" Type="http://schemas.openxmlformats.org/officeDocument/2006/relationships/hyperlink" Target="https://www.eia.gov/dnav/pet/hist/LeafHandler.ashx?n=PET&amp;s=M_EPPU_TVP_NUS_MBBL&amp;f=A" TargetMode="External"/><Relationship Id="rId341" Type="http://schemas.openxmlformats.org/officeDocument/2006/relationships/hyperlink" Target="https://www.eia.gov/dnav/pet/hist/LeafHandler.ashx?n=PET&amp;s=MNFIMUS1&amp;f=A" TargetMode="External"/><Relationship Id="rId362" Type="http://schemas.openxmlformats.org/officeDocument/2006/relationships/hyperlink" Target="https://www.eia.gov/dnav/pet/hist/LeafHandler.ashx?n=PET&amp;s=MLUUPUS1&amp;f=A" TargetMode="External"/><Relationship Id="rId383" Type="http://schemas.openxmlformats.org/officeDocument/2006/relationships/hyperlink" Target="https://www.eia.gov/dnav/pet/hist/LeafHandler.ashx?n=PET&amp;s=MCOUP_NUS_1&amp;f=A" TargetMode="External"/><Relationship Id="rId201" Type="http://schemas.openxmlformats.org/officeDocument/2006/relationships/hyperlink" Target="https://www.eia.gov/dnav/pet/hist/LeafHandler.ashx?n=PET&amp;s=MUOEXUS1&amp;f=A" TargetMode="External"/><Relationship Id="rId222" Type="http://schemas.openxmlformats.org/officeDocument/2006/relationships/hyperlink" Target="https://www.eia.gov/dnav/pet/hist/LeafHandler.ashx?n=PET&amp;s=MO5UA_NUS_1&amp;f=A" TargetMode="External"/><Relationship Id="rId243" Type="http://schemas.openxmlformats.org/officeDocument/2006/relationships/hyperlink" Target="https://www.eia.gov/dnav/pet/hist/LeafHandler.ashx?n=PET&amp;s=MGFRPUS1&amp;f=A" TargetMode="External"/><Relationship Id="rId264" Type="http://schemas.openxmlformats.org/officeDocument/2006/relationships/hyperlink" Target="https://www.eia.gov/dnav/pet/hist/LeafHandler.ashx?n=PET&amp;s=MG4ST_NUS_1&amp;f=A" TargetMode="External"/><Relationship Id="rId285" Type="http://schemas.openxmlformats.org/officeDocument/2006/relationships/hyperlink" Target="https://www.eia.gov/dnav/pet/hist/LeafHandler.ashx?n=PET&amp;s=M_EPD0_YNP_NUS_MBBL&amp;f=A" TargetMode="External"/><Relationship Id="rId17" Type="http://schemas.openxmlformats.org/officeDocument/2006/relationships/hyperlink" Target="https://www.eia.gov/dnav/pet/hist/LeafHandler.ashx?n=PET&amp;s=MCRRIUS1&amp;f=A" TargetMode="External"/><Relationship Id="rId38" Type="http://schemas.openxmlformats.org/officeDocument/2006/relationships/hyperlink" Target="https://www.eia.gov/dnav/pet/hist/LeafHandler.ashx?n=PET&amp;s=M_EPL2_EEX_NUS-Z00_MBBL&amp;f=A" TargetMode="External"/><Relationship Id="rId59" Type="http://schemas.openxmlformats.org/officeDocument/2006/relationships/hyperlink" Target="https://www.eia.gov/dnav/pet/hist/LeafHandler.ashx?n=PET&amp;s=MBURPUS1&amp;f=A" TargetMode="External"/><Relationship Id="rId103" Type="http://schemas.openxmlformats.org/officeDocument/2006/relationships/hyperlink" Target="https://www.eia.gov/dnav/pet/hist/LeafHandler.ashx?n=PET&amp;s=M_EPLLPY_VPP_NUS_MBBL&amp;f=A" TargetMode="External"/><Relationship Id="rId124" Type="http://schemas.openxmlformats.org/officeDocument/2006/relationships/hyperlink" Target="https://www.eia.gov/dnav/pet/hist/LeafHandler.ashx?n=PET&amp;s=M_EPOO_YNP_NUS_MBBL&amp;f=A" TargetMode="External"/><Relationship Id="rId310" Type="http://schemas.openxmlformats.org/officeDocument/2006/relationships/hyperlink" Target="https://www.eia.gov/dnav/pet/hist/LeafHandler.ashx?n=PET&amp;s=MDGRPUS1&amp;f=A" TargetMode="External"/><Relationship Id="rId70" Type="http://schemas.openxmlformats.org/officeDocument/2006/relationships/hyperlink" Target="https://www.eia.gov/dnav/pet/hist/LeafHandler.ashx?n=PET&amp;s=MIIIM_NUS-Z00_1&amp;f=A" TargetMode="External"/><Relationship Id="rId91" Type="http://schemas.openxmlformats.org/officeDocument/2006/relationships/hyperlink" Target="https://www.eia.gov/dnav/pet/hist/LeafHandler.ashx?n=PET&amp;s=M_EPLOLE_IM0_NUS-Z00_MBBL&amp;f=A" TargetMode="External"/><Relationship Id="rId145" Type="http://schemas.openxmlformats.org/officeDocument/2006/relationships/hyperlink" Target="https://www.eia.gov/dnav/pet/hist/LeafHandler.ashx?n=PET&amp;s=M_EPOOR_VUA_NUS_MBBL&amp;f=A" TargetMode="External"/><Relationship Id="rId166" Type="http://schemas.openxmlformats.org/officeDocument/2006/relationships/hyperlink" Target="https://www.eia.gov/dnav/pet/hist/LeafHandler.ashx?n=PET&amp;s=M_EPOORXFE_SAE_NUS_MBBL&amp;f=A" TargetMode="External"/><Relationship Id="rId187" Type="http://schemas.openxmlformats.org/officeDocument/2006/relationships/hyperlink" Target="https://www.eia.gov/dnav/pet/hist/LeafHandler.ashx?n=PET&amp;s=M_EPOORO_YIR_NUS_MBBL&amp;f=A" TargetMode="External"/><Relationship Id="rId331" Type="http://schemas.openxmlformats.org/officeDocument/2006/relationships/hyperlink" Target="https://www.eia.gov/dnav/pet/hist/LeafHandler.ashx?n=PET&amp;s=MRZIMUS1&amp;f=A" TargetMode="External"/><Relationship Id="rId352" Type="http://schemas.openxmlformats.org/officeDocument/2006/relationships/hyperlink" Target="https://www.eia.gov/dnav/pet/hist/LeafHandler.ashx?n=PET&amp;s=MNSRPUS1&amp;f=A" TargetMode="External"/><Relationship Id="rId373" Type="http://schemas.openxmlformats.org/officeDocument/2006/relationships/hyperlink" Target="https://www.eia.gov/dnav/pet/hist/LeafHandler.ashx?n=PET&amp;s=MCKEXUS1&amp;f=A" TargetMode="External"/><Relationship Id="rId394" Type="http://schemas.openxmlformats.org/officeDocument/2006/relationships/hyperlink" Target="https://www.eia.gov/dnav/pet/hist/LeafHandler.ashx?n=PET&amp;s=MMSSCUS1&amp;f=A" TargetMode="External"/><Relationship Id="rId1" Type="http://schemas.openxmlformats.org/officeDocument/2006/relationships/hyperlink" Target="https://www.eia.gov/dnav/pet/hist/LeafHandler.ashx?n=PET&amp;s=MTTFPUS1&amp;f=A" TargetMode="External"/><Relationship Id="rId212" Type="http://schemas.openxmlformats.org/officeDocument/2006/relationships/hyperlink" Target="https://www.eia.gov/dnav/pet/hist/LeafHandler.ashx?n=PET&amp;s=M_EPOBGR0_YNP_NUS_MBBL&amp;f=A" TargetMode="External"/><Relationship Id="rId233" Type="http://schemas.openxmlformats.org/officeDocument/2006/relationships/hyperlink" Target="https://www.eia.gov/dnav/pet/hist/LeafHandler.ashx?n=PET&amp;s=MBASTUS1&amp;f=A" TargetMode="External"/><Relationship Id="rId254" Type="http://schemas.openxmlformats.org/officeDocument/2006/relationships/hyperlink" Target="https://www.eia.gov/dnav/pet/hist/LeafHandler.ashx?n=PET&amp;s=MGREXUS1&amp;f=A" TargetMode="External"/><Relationship Id="rId28" Type="http://schemas.openxmlformats.org/officeDocument/2006/relationships/hyperlink" Target="https://www.eia.gov/dnav/pet/hist/LeafHandler.ashx?n=PET&amp;s=MNGEXUS1&amp;f=A" TargetMode="External"/><Relationship Id="rId49" Type="http://schemas.openxmlformats.org/officeDocument/2006/relationships/hyperlink" Target="https://www.eia.gov/dnav/pet/hist/LeafHandler.ashx?n=PET&amp;s=M_EPLLPA_TVP_NUS_MBBL&amp;f=A" TargetMode="External"/><Relationship Id="rId114" Type="http://schemas.openxmlformats.org/officeDocument/2006/relationships/hyperlink" Target="https://www.eia.gov/dnav/pet/hist/LeafHandler.ashx?n=PET&amp;s=M_EPLLBYI_SAE_NUS_MBBL&amp;f=A" TargetMode="External"/><Relationship Id="rId275" Type="http://schemas.openxmlformats.org/officeDocument/2006/relationships/hyperlink" Target="https://www.eia.gov/dnav/pet/hist/LeafHandler.ashx?n=PET&amp;s=MKJEXUS1&amp;f=A" TargetMode="External"/><Relationship Id="rId296" Type="http://schemas.openxmlformats.org/officeDocument/2006/relationships/hyperlink" Target="https://www.eia.gov/dnav/pet/hist/LeafHandler.ashx?n=PET&amp;s=M_EPDXL0_VUA_NUS_1&amp;f=A" TargetMode="External"/><Relationship Id="rId300" Type="http://schemas.openxmlformats.org/officeDocument/2006/relationships/hyperlink" Target="https://www.eia.gov/dnav/pet/hist/LeafHandler.ashx?n=PET&amp;s=MD0ST_NUS_1&amp;f=A" TargetMode="External"/><Relationship Id="rId60" Type="http://schemas.openxmlformats.org/officeDocument/2006/relationships/hyperlink" Target="https://www.eia.gov/dnav/pet/hist/LeafHandler.ashx?n=PET&amp;s=MBUIM_NUS-Z00_1&amp;f=A" TargetMode="External"/><Relationship Id="rId81" Type="http://schemas.openxmlformats.org/officeDocument/2006/relationships/hyperlink" Target="https://www.eia.gov/dnav/pet/hist/LeafHandler.ashx?n=PET&amp;s=M_EPLLNG_YIR_NUS_MBBL&amp;f=A" TargetMode="External"/><Relationship Id="rId135" Type="http://schemas.openxmlformats.org/officeDocument/2006/relationships/hyperlink" Target="https://www.eia.gov/dnav/pet/hist/LeafHandler.ashx?n=PET&amp;s=M_EPOOXXFE_YNP_NUS_MBBL&amp;f=A" TargetMode="External"/><Relationship Id="rId156" Type="http://schemas.openxmlformats.org/officeDocument/2006/relationships/hyperlink" Target="https://www.eia.gov/dnav/pet/hist/LeafHandler.ashx?n=PET&amp;s=M_EPOOXE_EEX_NUS-Z00_MBBL&amp;f=A" TargetMode="External"/><Relationship Id="rId177" Type="http://schemas.openxmlformats.org/officeDocument/2006/relationships/hyperlink" Target="https://www.eia.gov/dnav/pet/hist/LeafHandler.ashx?n=PET&amp;s=M_EPOORDO_VUA_NUS_MBBL&amp;f=A" TargetMode="External"/><Relationship Id="rId198" Type="http://schemas.openxmlformats.org/officeDocument/2006/relationships/hyperlink" Target="https://www.eia.gov/dnav/pet/hist/LeafHandler.ashx?n=PET&amp;s=MUOIMUS1&amp;f=A" TargetMode="External"/><Relationship Id="rId321" Type="http://schemas.openxmlformats.org/officeDocument/2006/relationships/hyperlink" Target="https://www.eia.gov/dnav/pet/hist/LeafHandler.ashx?n=PET&amp;s=MRESTUS1&amp;f=A" TargetMode="External"/><Relationship Id="rId342" Type="http://schemas.openxmlformats.org/officeDocument/2006/relationships/hyperlink" Target="https://www.eia.gov/dnav/pet/hist/LeafHandler.ashx?n=PET&amp;s=MNFSCUS1&amp;f=A" TargetMode="External"/><Relationship Id="rId363" Type="http://schemas.openxmlformats.org/officeDocument/2006/relationships/hyperlink" Target="https://www.eia.gov/dnav/pet/hist/LeafHandler.ashx?n=PET&amp;s=MLUSTUS1&amp;f=A" TargetMode="External"/><Relationship Id="rId384" Type="http://schemas.openxmlformats.org/officeDocument/2006/relationships/hyperlink" Target="https://www.eia.gov/dnav/pet/hist/LeafHandler.ashx?n=PET&amp;s=MAPRPUS1&amp;f=A" TargetMode="External"/><Relationship Id="rId202" Type="http://schemas.openxmlformats.org/officeDocument/2006/relationships/hyperlink" Target="https://www.eia.gov/dnav/pet/hist/LeafHandler.ashx?n=PET&amp;s=MUOUPUS1&amp;f=A" TargetMode="External"/><Relationship Id="rId223" Type="http://schemas.openxmlformats.org/officeDocument/2006/relationships/hyperlink" Target="https://www.eia.gov/dnav/pet/hist/LeafHandler.ashx?n=PET&amp;s=MO5SC_NUS_1&amp;f=A" TargetMode="External"/><Relationship Id="rId244" Type="http://schemas.openxmlformats.org/officeDocument/2006/relationships/hyperlink" Target="https://www.eia.gov/dnav/pet/hist/LeafHandler.ashx?n=PET&amp;s=MGFIMUS1&amp;f=A" TargetMode="External"/><Relationship Id="rId18" Type="http://schemas.openxmlformats.org/officeDocument/2006/relationships/hyperlink" Target="https://www.eia.gov/dnav/pet/hist/LeafHandler.ashx?n=PET&amp;s=MCREXUS1&amp;f=A" TargetMode="External"/><Relationship Id="rId39" Type="http://schemas.openxmlformats.org/officeDocument/2006/relationships/hyperlink" Target="https://www.eia.gov/dnav/pet/hist/LeafHandler.ashx?n=PET&amp;s=M_EPL2_VPP_NUS_MBBL&amp;f=A" TargetMode="External"/><Relationship Id="rId265" Type="http://schemas.openxmlformats.org/officeDocument/2006/relationships/hyperlink" Target="https://www.eia.gov/dnav/pet/hist/LeafHandler.ashx?n=PET&amp;s=MGARPUS1&amp;f=A" TargetMode="External"/><Relationship Id="rId286" Type="http://schemas.openxmlformats.org/officeDocument/2006/relationships/hyperlink" Target="https://www.eia.gov/dnav/pet/hist/LeafHandler.ashx?n=PET&amp;s=MDIRPUS1&amp;f=A" TargetMode="External"/><Relationship Id="rId50" Type="http://schemas.openxmlformats.org/officeDocument/2006/relationships/hyperlink" Target="https://www.eia.gov/dnav/pet/hist/LeafHandler.ashx?n=PET&amp;s=MPARP_NUS_1&amp;f=A" TargetMode="External"/><Relationship Id="rId104" Type="http://schemas.openxmlformats.org/officeDocument/2006/relationships/hyperlink" Target="https://www.eia.gov/dnav/pet/hist/LeafHandler.ashx?n=PET&amp;s=M_EPLLPY_SAE_NUS_MBBL&amp;f=A" TargetMode="External"/><Relationship Id="rId125" Type="http://schemas.openxmlformats.org/officeDocument/2006/relationships/hyperlink" Target="https://www.eia.gov/dnav/pet/hist/LeafHandler.ashx?n=PET&amp;s=MOHIMUS1&amp;f=A" TargetMode="External"/><Relationship Id="rId146" Type="http://schemas.openxmlformats.org/officeDocument/2006/relationships/hyperlink" Target="https://www.eia.gov/dnav/pet/hist/LeafHandler.ashx?n=PET&amp;s=M_EPOOR_SCG_NUS_MBBL&amp;f=A" TargetMode="External"/><Relationship Id="rId167" Type="http://schemas.openxmlformats.org/officeDocument/2006/relationships/hyperlink" Target="https://www.eia.gov/dnav/pet/hist/LeafHandler.ashx?n=PET&amp;s=M_EPOORDB_YNP_NUS_MBBL&amp;f=A" TargetMode="External"/><Relationship Id="rId188" Type="http://schemas.openxmlformats.org/officeDocument/2006/relationships/hyperlink" Target="https://www.eia.gov/dnav/pet/hist/LeafHandler.ashx?n=PET&amp;s=M_EPOORO_EEX_NUS-Z00_MBBL&amp;f=A" TargetMode="External"/><Relationship Id="rId311" Type="http://schemas.openxmlformats.org/officeDocument/2006/relationships/hyperlink" Target="https://www.eia.gov/dnav/pet/hist/LeafHandler.ashx?n=PET&amp;s=MDGIMUS1&amp;f=A" TargetMode="External"/><Relationship Id="rId332" Type="http://schemas.openxmlformats.org/officeDocument/2006/relationships/hyperlink" Target="https://www.eia.gov/dnav/pet/hist/LeafHandler.ashx?n=PET&amp;s=MRZSC_NUS_1&amp;f=A" TargetMode="External"/><Relationship Id="rId353" Type="http://schemas.openxmlformats.org/officeDocument/2006/relationships/hyperlink" Target="https://www.eia.gov/dnav/pet/hist/LeafHandler.ashx?n=PET&amp;s=MNSIMUS1&amp;f=A" TargetMode="External"/><Relationship Id="rId374" Type="http://schemas.openxmlformats.org/officeDocument/2006/relationships/hyperlink" Target="https://www.eia.gov/dnav/pet/hist/LeafHandler.ashx?n=PET&amp;s=MCKUPUS1&amp;f=A" TargetMode="External"/><Relationship Id="rId395" Type="http://schemas.openxmlformats.org/officeDocument/2006/relationships/hyperlink" Target="https://www.eia.gov/dnav/pet/hist/LeafHandler.ashx?n=PET&amp;s=MMSEXUS1&amp;f=A" TargetMode="External"/><Relationship Id="rId71" Type="http://schemas.openxmlformats.org/officeDocument/2006/relationships/hyperlink" Target="https://www.eia.gov/dnav/pet/hist/LeafHandler.ashx?n=PET&amp;s=M_EPLLBAI_SCG_NUS_MBBL&amp;f=A" TargetMode="External"/><Relationship Id="rId92" Type="http://schemas.openxmlformats.org/officeDocument/2006/relationships/hyperlink" Target="https://www.eia.gov/dnav/pet/hist/LeafHandler.ashx?n=PET&amp;s=M_EPLOLE_SCG_NUS_MBBL&amp;f=A" TargetMode="External"/><Relationship Id="rId213" Type="http://schemas.openxmlformats.org/officeDocument/2006/relationships/hyperlink" Target="https://www.eia.gov/dnav/pet/hist/LeafHandler.ashx?n=PET&amp;s=MO1IM_NUS-Z00_1&amp;f=A" TargetMode="External"/><Relationship Id="rId234" Type="http://schemas.openxmlformats.org/officeDocument/2006/relationships/hyperlink" Target="https://www.eia.gov/dnav/pet/hist/LeafHandler.ashx?n=PET&amp;s=M_EPP2_YNP_NUS_MBBL&amp;f=A" TargetMode="External"/><Relationship Id="rId2" Type="http://schemas.openxmlformats.org/officeDocument/2006/relationships/hyperlink" Target="https://www.eia.gov/dnav/pet/hist/LeafHandler.ashx?n=PET&amp;s=M_EP00_TVP_NUS_MBBL&amp;f=A" TargetMode="External"/><Relationship Id="rId29" Type="http://schemas.openxmlformats.org/officeDocument/2006/relationships/hyperlink" Target="https://www.eia.gov/dnav/pet/hist/LeafHandler.ashx?n=PET&amp;s=MNGUPUS1&amp;f=A" TargetMode="External"/><Relationship Id="rId255" Type="http://schemas.openxmlformats.org/officeDocument/2006/relationships/hyperlink" Target="https://www.eia.gov/dnav/pet/hist/LeafHandler.ashx?n=PET&amp;s=MGRUPUS1&amp;f=A" TargetMode="External"/><Relationship Id="rId276" Type="http://schemas.openxmlformats.org/officeDocument/2006/relationships/hyperlink" Target="https://www.eia.gov/dnav/pet/hist/LeafHandler.ashx?n=PET&amp;s=MKJUPUS1&amp;f=A" TargetMode="External"/><Relationship Id="rId297" Type="http://schemas.openxmlformats.org/officeDocument/2006/relationships/hyperlink" Target="https://www.eia.gov/dnav/pet/hist/LeafHandler.ashx?n=PET&amp;s=MD0SC_NUS_1&amp;f=A" TargetMode="External"/><Relationship Id="rId40" Type="http://schemas.openxmlformats.org/officeDocument/2006/relationships/hyperlink" Target="https://www.eia.gov/dnav/pet/hist/LeafHandler.ashx?n=PET&amp;s=M_EPL2_SAE_NUS_MBBL&amp;f=A" TargetMode="External"/><Relationship Id="rId115" Type="http://schemas.openxmlformats.org/officeDocument/2006/relationships/hyperlink" Target="https://www.eia.gov/dnav/pet/hist/LeafHandler.ashx?n=PET&amp;s=M_EPOL_TVP_NUS_MBBL&amp;f=A" TargetMode="External"/><Relationship Id="rId136" Type="http://schemas.openxmlformats.org/officeDocument/2006/relationships/hyperlink" Target="https://www.eia.gov/dnav/pet/hist/LeafHandler.ashx?n=PET&amp;s=M_EPOOXXFE_IM0_NUS-Z00_MBBL&amp;f=A" TargetMode="External"/><Relationship Id="rId157" Type="http://schemas.openxmlformats.org/officeDocument/2006/relationships/hyperlink" Target="https://www.eia.gov/dnav/pet/hist/LeafHandler.ashx?n=PET&amp;s=M_EPOOXE_VPP_NUS_MBBL&amp;f=A" TargetMode="External"/><Relationship Id="rId178" Type="http://schemas.openxmlformats.org/officeDocument/2006/relationships/hyperlink" Target="https://www.eia.gov/dnav/pet/hist/LeafHandler.ashx?n=PET&amp;s=M_EPOORDO_SCG_NUS_MBBL&amp;f=A" TargetMode="External"/><Relationship Id="rId301" Type="http://schemas.openxmlformats.org/officeDocument/2006/relationships/hyperlink" Target="https://www.eia.gov/dnav/pet/hist/LeafHandler.ashx?n=PET&amp;s=M_EPDM10_YNP_NUS_MBBL&amp;f=A" TargetMode="External"/><Relationship Id="rId322" Type="http://schemas.openxmlformats.org/officeDocument/2006/relationships/hyperlink" Target="https://www.eia.gov/dnav/pet/hist/LeafHandler.ashx?n=PET&amp;s=MRLRPUS1&amp;f=A" TargetMode="External"/><Relationship Id="rId343" Type="http://schemas.openxmlformats.org/officeDocument/2006/relationships/hyperlink" Target="https://www.eia.gov/dnav/pet/hist/LeafHandler.ashx?n=PET&amp;s=MNFEXUS1&amp;f=A" TargetMode="External"/><Relationship Id="rId364" Type="http://schemas.openxmlformats.org/officeDocument/2006/relationships/hyperlink" Target="https://www.eia.gov/dnav/pet/hist/LeafHandler.ashx?n=PET&amp;s=MWXRPUS1&amp;f=A" TargetMode="External"/><Relationship Id="rId61" Type="http://schemas.openxmlformats.org/officeDocument/2006/relationships/hyperlink" Target="https://www.eia.gov/dnav/pet/hist/LeafHandler.ashx?n=PET&amp;s=M_EPLLBAN_SCG_NUS_MBBL&amp;f=A" TargetMode="External"/><Relationship Id="rId82" Type="http://schemas.openxmlformats.org/officeDocument/2006/relationships/hyperlink" Target="https://www.eia.gov/dnav/pet/hist/LeafHandler.ashx?n=PET&amp;s=M_EPLLNG_EEX_NUS-Z00_MBBL&amp;f=A" TargetMode="External"/><Relationship Id="rId199" Type="http://schemas.openxmlformats.org/officeDocument/2006/relationships/hyperlink" Target="https://www.eia.gov/dnav/pet/hist/LeafHandler.ashx?n=PET&amp;s=MUOSCUS1&amp;f=A" TargetMode="External"/><Relationship Id="rId203" Type="http://schemas.openxmlformats.org/officeDocument/2006/relationships/hyperlink" Target="https://www.eia.gov/dnav/pet/hist/LeafHandler.ashx?n=PET&amp;s=MUOSTUS1&amp;f=A" TargetMode="External"/><Relationship Id="rId385" Type="http://schemas.openxmlformats.org/officeDocument/2006/relationships/hyperlink" Target="https://www.eia.gov/dnav/pet/hist/LeafHandler.ashx?n=PET&amp;s=MAPIMUS1&amp;f=A" TargetMode="External"/><Relationship Id="rId19" Type="http://schemas.openxmlformats.org/officeDocument/2006/relationships/hyperlink" Target="https://www.eia.gov/dnav/pet/hist/LeafHandler.ashx?n=PET&amp;s=MCRUPUS1&amp;f=A" TargetMode="External"/><Relationship Id="rId224" Type="http://schemas.openxmlformats.org/officeDocument/2006/relationships/hyperlink" Target="https://www.eia.gov/dnav/pet/hist/LeafHandler.ashx?n=PET&amp;s=MO5RI_NUS_1&amp;f=A" TargetMode="External"/><Relationship Id="rId245" Type="http://schemas.openxmlformats.org/officeDocument/2006/relationships/hyperlink" Target="https://www.eia.gov/dnav/pet/hist/LeafHandler.ashx?n=PET&amp;s=MGFUA_NUS_1&amp;f=A" TargetMode="External"/><Relationship Id="rId266" Type="http://schemas.openxmlformats.org/officeDocument/2006/relationships/hyperlink" Target="https://www.eia.gov/dnav/pet/hist/LeafHandler.ashx?n=PET&amp;s=MGAIMUS1&amp;f=A" TargetMode="External"/><Relationship Id="rId287" Type="http://schemas.openxmlformats.org/officeDocument/2006/relationships/hyperlink" Target="https://www.eia.gov/dnav/pet/hist/LeafHandler.ashx?n=PET&amp;s=MDIIMUS1&amp;f=A" TargetMode="External"/><Relationship Id="rId30" Type="http://schemas.openxmlformats.org/officeDocument/2006/relationships/hyperlink" Target="https://www.eia.gov/dnav/pet/hist/LeafHandler.ashx?n=PET&amp;s=MNGSTUS1&amp;f=A" TargetMode="External"/><Relationship Id="rId105" Type="http://schemas.openxmlformats.org/officeDocument/2006/relationships/hyperlink" Target="https://www.eia.gov/dnav/pet/hist/LeafHandler.ashx?n=PET&amp;s=MBYRPUS1&amp;f=A" TargetMode="External"/><Relationship Id="rId126" Type="http://schemas.openxmlformats.org/officeDocument/2006/relationships/hyperlink" Target="https://www.eia.gov/dnav/pet/hist/LeafHandler.ashx?n=PET&amp;s=MOHUA_NUS_1&amp;f=A" TargetMode="External"/><Relationship Id="rId147" Type="http://schemas.openxmlformats.org/officeDocument/2006/relationships/hyperlink" Target="https://www.eia.gov/dnav/pet/hist/LeafHandler.ashx?n=PET&amp;s=M_EPOOR_YIR_NUS_MBBL&amp;f=A" TargetMode="External"/><Relationship Id="rId168" Type="http://schemas.openxmlformats.org/officeDocument/2006/relationships/hyperlink" Target="https://www.eia.gov/dnav/pet/hist/LeafHandler.ashx?n=PET&amp;s=M_EPOORDB_IM0_NUS-Z00_MBBL&amp;f=A" TargetMode="External"/><Relationship Id="rId312" Type="http://schemas.openxmlformats.org/officeDocument/2006/relationships/hyperlink" Target="https://www.eia.gov/dnav/pet/hist/LeafHandler.ashx?n=PET&amp;s=MDGSCUS1&amp;f=A" TargetMode="External"/><Relationship Id="rId333" Type="http://schemas.openxmlformats.org/officeDocument/2006/relationships/hyperlink" Target="https://www.eia.gov/dnav/pet/hist/LeafHandler.ashx?n=PET&amp;s=MRGSTUS1&amp;f=A" TargetMode="External"/><Relationship Id="rId354" Type="http://schemas.openxmlformats.org/officeDocument/2006/relationships/hyperlink" Target="https://www.eia.gov/dnav/pet/hist/LeafHandler.ashx?n=PET&amp;s=MNSSCUS1&amp;f=A" TargetMode="External"/><Relationship Id="rId51" Type="http://schemas.openxmlformats.org/officeDocument/2006/relationships/hyperlink" Target="https://www.eia.gov/dnav/pet/hist/LeafHandler.ashx?n=PET&amp;s=MPAIM_NUS-Z00_1&amp;f=A" TargetMode="External"/><Relationship Id="rId72" Type="http://schemas.openxmlformats.org/officeDocument/2006/relationships/hyperlink" Target="https://www.eia.gov/dnav/pet/hist/LeafHandler.ashx?n=PET&amp;s=M_EPLLBAI_YIR_NUS_MBBL&amp;f=A" TargetMode="External"/><Relationship Id="rId93" Type="http://schemas.openxmlformats.org/officeDocument/2006/relationships/hyperlink" Target="https://www.eia.gov/dnav/pet/hist/LeafHandler.ashx?n=PET&amp;s=M_EPLOLE_VPP_NUS_MBBL&amp;f=A" TargetMode="External"/><Relationship Id="rId189" Type="http://schemas.openxmlformats.org/officeDocument/2006/relationships/hyperlink" Target="https://www.eia.gov/dnav/pet/hist/LeafHandler.ashx?n=PET&amp;s=M_EPOORO_VPP_NUS_MBBL&amp;f=A" TargetMode="External"/><Relationship Id="rId375" Type="http://schemas.openxmlformats.org/officeDocument/2006/relationships/hyperlink" Target="https://www.eia.gov/dnav/pet/hist/LeafHandler.ashx?n=PET&amp;s=MCKSTUS1&amp;f=A" TargetMode="External"/><Relationship Id="rId396" Type="http://schemas.openxmlformats.org/officeDocument/2006/relationships/hyperlink" Target="https://www.eia.gov/dnav/pet/hist/LeafHandler.ashx?n=PET&amp;s=MMSUPUS1&amp;f=A" TargetMode="External"/><Relationship Id="rId3" Type="http://schemas.openxmlformats.org/officeDocument/2006/relationships/hyperlink" Target="https://www.eia.gov/dnav/pet/hist/LeafHandler.ashx?n=PET&amp;s=M_EP00_YNP_NUS_MBBL&amp;f=A" TargetMode="External"/><Relationship Id="rId214" Type="http://schemas.openxmlformats.org/officeDocument/2006/relationships/hyperlink" Target="https://www.eia.gov/dnav/pet/hist/LeafHandler.ashx?n=PET&amp;s=MO1UA_NUS_1&amp;f=A" TargetMode="External"/><Relationship Id="rId235" Type="http://schemas.openxmlformats.org/officeDocument/2006/relationships/hyperlink" Target="https://www.eia.gov/dnav/pet/hist/LeafHandler.ashx?n=PET&amp;s=MTPRPUS1&amp;f=A" TargetMode="External"/><Relationship Id="rId256" Type="http://schemas.openxmlformats.org/officeDocument/2006/relationships/hyperlink" Target="https://www.eia.gov/dnav/pet/hist/LeafHandler.ashx?n=PET&amp;s=MGRSTUS1&amp;f=A" TargetMode="External"/><Relationship Id="rId277" Type="http://schemas.openxmlformats.org/officeDocument/2006/relationships/hyperlink" Target="https://www.eia.gov/dnav/pet/hist/LeafHandler.ashx?n=PET&amp;s=MKJSTUS1&amp;f=A" TargetMode="External"/><Relationship Id="rId298" Type="http://schemas.openxmlformats.org/officeDocument/2006/relationships/hyperlink" Target="https://www.eia.gov/dnav/pet/hist/LeafHandler.ashx?n=PET&amp;s=M_EPDXL0_EEX_NUS-Z00_MBBL&amp;f=A" TargetMode="External"/><Relationship Id="rId116" Type="http://schemas.openxmlformats.org/officeDocument/2006/relationships/hyperlink" Target="https://www.eia.gov/dnav/pet/hist/LeafHandler.ashx?n=PET&amp;s=M_EPOL_YNP_NUS_MBBL&amp;f=A" TargetMode="External"/><Relationship Id="rId137" Type="http://schemas.openxmlformats.org/officeDocument/2006/relationships/hyperlink" Target="https://www.eia.gov/dnav/pet/hist/LeafHandler.ashx?n=PET&amp;s=M_EPOOXXFE_VUA_NUS_MBBL&amp;f=A" TargetMode="External"/><Relationship Id="rId158" Type="http://schemas.openxmlformats.org/officeDocument/2006/relationships/hyperlink" Target="https://www.eia.gov/dnav/pet/hist/LeafHandler.ashx?n=PET&amp;s=MFESTUS1&amp;f=A" TargetMode="External"/><Relationship Id="rId302" Type="http://schemas.openxmlformats.org/officeDocument/2006/relationships/hyperlink" Target="https://www.eia.gov/dnav/pet/hist/LeafHandler.ashx?n=PET&amp;s=MD1RP_NUS_1&amp;f=A" TargetMode="External"/><Relationship Id="rId323" Type="http://schemas.openxmlformats.org/officeDocument/2006/relationships/hyperlink" Target="https://www.eia.gov/dnav/pet/hist/LeafHandler.ashx?n=PET&amp;s=MRXIMUS1&amp;f=A" TargetMode="External"/><Relationship Id="rId344" Type="http://schemas.openxmlformats.org/officeDocument/2006/relationships/hyperlink" Target="https://www.eia.gov/dnav/pet/hist/LeafHandler.ashx?n=PET&amp;s=MNFUPUS1&amp;f=A" TargetMode="External"/><Relationship Id="rId20" Type="http://schemas.openxmlformats.org/officeDocument/2006/relationships/hyperlink" Target="https://www.eia.gov/dnav/pet/hist/LeafHandler.ashx?n=PET&amp;s=MCRSTUS1&amp;f=A" TargetMode="External"/><Relationship Id="rId41" Type="http://schemas.openxmlformats.org/officeDocument/2006/relationships/hyperlink" Target="https://www.eia.gov/dnav/pet/hist/LeafHandler.ashx?n=PET&amp;s=M_EPLLEA_FPF_NUS_MBBL&amp;f=A" TargetMode="External"/><Relationship Id="rId62" Type="http://schemas.openxmlformats.org/officeDocument/2006/relationships/hyperlink" Target="https://www.eia.gov/dnav/pet/hist/LeafHandler.ashx?n=PET&amp;s=M_EPLLBAN_YIR_NUS_MBBL&amp;f=A" TargetMode="External"/><Relationship Id="rId83" Type="http://schemas.openxmlformats.org/officeDocument/2006/relationships/hyperlink" Target="https://www.eia.gov/dnav/pet/hist/LeafHandler.ashx?n=PET&amp;s=M_EPLLNG_VPP_NUS_MBBL&amp;f=A" TargetMode="External"/><Relationship Id="rId179" Type="http://schemas.openxmlformats.org/officeDocument/2006/relationships/hyperlink" Target="https://www.eia.gov/dnav/pet/hist/LeafHandler.ashx?n=PET&amp;s=M_EPOORDO_YIR_NUS_MBBL&amp;f=A" TargetMode="External"/><Relationship Id="rId365" Type="http://schemas.openxmlformats.org/officeDocument/2006/relationships/hyperlink" Target="https://www.eia.gov/dnav/pet/hist/LeafHandler.ashx?n=PET&amp;s=MWXIMUS1&amp;f=A" TargetMode="External"/><Relationship Id="rId386" Type="http://schemas.openxmlformats.org/officeDocument/2006/relationships/hyperlink" Target="https://www.eia.gov/dnav/pet/hist/LeafHandler.ashx?n=PET&amp;s=MAPSCUS1&amp;f=A" TargetMode="External"/><Relationship Id="rId190" Type="http://schemas.openxmlformats.org/officeDocument/2006/relationships/hyperlink" Target="https://www.eia.gov/dnav/pet/hist/LeafHandler.ashx?n=PET&amp;s=M_EPOORO_SAE_NUS_MBBL&amp;f=A" TargetMode="External"/><Relationship Id="rId204" Type="http://schemas.openxmlformats.org/officeDocument/2006/relationships/hyperlink" Target="https://www.eia.gov/dnav/pet/hist/LeafHandler.ashx?n=PET&amp;s=M_EPOBG_YNP_NUS_MBBL&amp;f=A" TargetMode="External"/><Relationship Id="rId225" Type="http://schemas.openxmlformats.org/officeDocument/2006/relationships/hyperlink" Target="https://www.eia.gov/dnav/pet/hist/LeafHandler.ashx?n=PET&amp;s=MO5EX_NUS-Z00_1&amp;f=A" TargetMode="External"/><Relationship Id="rId246" Type="http://schemas.openxmlformats.org/officeDocument/2006/relationships/hyperlink" Target="https://www.eia.gov/dnav/pet/hist/LeafHandler.ashx?n=PET&amp;s=MGFSCUS1&amp;f=A" TargetMode="External"/><Relationship Id="rId267" Type="http://schemas.openxmlformats.org/officeDocument/2006/relationships/hyperlink" Target="https://www.eia.gov/dnav/pet/hist/LeafHandler.ashx?n=PET&amp;s=MGASCUS1&amp;f=A" TargetMode="External"/><Relationship Id="rId288" Type="http://schemas.openxmlformats.org/officeDocument/2006/relationships/hyperlink" Target="https://www.eia.gov/dnav/pet/hist/LeafHandler.ashx?n=PET&amp;s=M_EPD0_VUA_NUS_1&amp;f=A" TargetMode="External"/><Relationship Id="rId106" Type="http://schemas.openxmlformats.org/officeDocument/2006/relationships/hyperlink" Target="https://www.eia.gov/dnav/pet/hist/LeafHandler.ashx?n=PET&amp;s=MBYIMUS1&amp;f=A" TargetMode="External"/><Relationship Id="rId127" Type="http://schemas.openxmlformats.org/officeDocument/2006/relationships/hyperlink" Target="https://www.eia.gov/dnav/pet/hist/LeafHandler.ashx?n=PET&amp;s=MOHSCUS1&amp;f=A" TargetMode="External"/><Relationship Id="rId313" Type="http://schemas.openxmlformats.org/officeDocument/2006/relationships/hyperlink" Target="https://www.eia.gov/dnav/pet/hist/LeafHandler.ashx?n=PET&amp;s=MDGEXUS1&amp;f=A" TargetMode="External"/><Relationship Id="rId10" Type="http://schemas.openxmlformats.org/officeDocument/2006/relationships/hyperlink" Target="https://www.eia.gov/dnav/pet/hist/LeafHandler.ashx?n=PET&amp;s=MTTUPUS1&amp;f=A" TargetMode="External"/><Relationship Id="rId31" Type="http://schemas.openxmlformats.org/officeDocument/2006/relationships/hyperlink" Target="https://www.eia.gov/dnav/pet/hist/LeafHandler.ashx?n=PET&amp;s=M_EPL2_FPF_NUS_MBBL&amp;f=A" TargetMode="External"/><Relationship Id="rId52" Type="http://schemas.openxmlformats.org/officeDocument/2006/relationships/hyperlink" Target="https://www.eia.gov/dnav/pet/hist/LeafHandler.ashx?n=PET&amp;s=M_EPLLPA_SCG_NUS_MBBL&amp;f=A" TargetMode="External"/><Relationship Id="rId73" Type="http://schemas.openxmlformats.org/officeDocument/2006/relationships/hyperlink" Target="https://www.eia.gov/dnav/pet/hist/LeafHandler.ashx?n=PET&amp;s=M_EPLLBAI_EEX_NUS-Z00_1&amp;f=A" TargetMode="External"/><Relationship Id="rId94" Type="http://schemas.openxmlformats.org/officeDocument/2006/relationships/hyperlink" Target="https://www.eia.gov/dnav/pet/hist/LeafHandler.ashx?n=PET&amp;s=M_EPLOLE_SAE_NUS_MBBL&amp;f=A" TargetMode="External"/><Relationship Id="rId148" Type="http://schemas.openxmlformats.org/officeDocument/2006/relationships/hyperlink" Target="https://www.eia.gov/dnav/pet/hist/LeafHandler.ashx?n=PET&amp;s=M_EPOOR_EEX_NUS-Z00_MBBL&amp;f=A" TargetMode="External"/><Relationship Id="rId169" Type="http://schemas.openxmlformats.org/officeDocument/2006/relationships/hyperlink" Target="https://www.eia.gov/dnav/pet/hist/LeafHandler.ashx?n=PET&amp;s=M_EPOORDB_VUA_NUS_MBBL&amp;f=A" TargetMode="External"/><Relationship Id="rId334" Type="http://schemas.openxmlformats.org/officeDocument/2006/relationships/hyperlink" Target="https://www.eia.gov/dnav/pet/hist/LeafHandler.ashx?n=PET&amp;s=MPCRPUS1&amp;f=A" TargetMode="External"/><Relationship Id="rId355" Type="http://schemas.openxmlformats.org/officeDocument/2006/relationships/hyperlink" Target="https://www.eia.gov/dnav/pet/hist/LeafHandler.ashx?n=PET&amp;s=MNSEXUS1&amp;f=A" TargetMode="External"/><Relationship Id="rId376" Type="http://schemas.openxmlformats.org/officeDocument/2006/relationships/hyperlink" Target="https://www.eia.gov/dnav/pet/hist/LeafHandler.ashx?n=PET&amp;s=MCMRPUS1&amp;f=A" TargetMode="External"/><Relationship Id="rId397" Type="http://schemas.openxmlformats.org/officeDocument/2006/relationships/hyperlink" Target="https://www.eia.gov/dnav/pet/hist/LeafHandler.ashx?n=PET&amp;s=MMSSTUS1&amp;f=A" TargetMode="External"/><Relationship Id="rId4" Type="http://schemas.openxmlformats.org/officeDocument/2006/relationships/hyperlink" Target="https://www.eia.gov/dnav/pet/hist/LeafHandler.ashx?n=PET&amp;s=MTTRPUS1&amp;f=A" TargetMode="External"/><Relationship Id="rId180" Type="http://schemas.openxmlformats.org/officeDocument/2006/relationships/hyperlink" Target="https://www.eia.gov/dnav/pet/hist/LeafHandler.ashx?n=PET&amp;s=M_EPOORDO_EEX_NUS-Z00_MBBL&amp;f=A" TargetMode="External"/><Relationship Id="rId215" Type="http://schemas.openxmlformats.org/officeDocument/2006/relationships/hyperlink" Target="https://www.eia.gov/dnav/pet/hist/LeafHandler.ashx?n=PET&amp;s=MO1SC_NUS_1&amp;f=A" TargetMode="External"/><Relationship Id="rId236" Type="http://schemas.openxmlformats.org/officeDocument/2006/relationships/hyperlink" Target="https://www.eia.gov/dnav/pet/hist/LeafHandler.ashx?n=PET&amp;s=MTPIMUS1&amp;f=A" TargetMode="External"/><Relationship Id="rId257" Type="http://schemas.openxmlformats.org/officeDocument/2006/relationships/hyperlink" Target="https://www.eia.gov/dnav/pet/hist/LeafHandler.ashx?n=PET&amp;s=M_EPM0C_YNP_NUS_MBBL&amp;f=A" TargetMode="External"/><Relationship Id="rId278" Type="http://schemas.openxmlformats.org/officeDocument/2006/relationships/hyperlink" Target="https://www.eia.gov/dnav/pet/hist/LeafHandler.ashx?n=PET&amp;s=M_EPPK_YNP_NUS_MBBL&amp;f=A" TargetMode="External"/><Relationship Id="rId303" Type="http://schemas.openxmlformats.org/officeDocument/2006/relationships/hyperlink" Target="https://www.eia.gov/dnav/pet/hist/LeafHandler.ashx?n=PET&amp;s=MD1IM_NUS-Z00_1&amp;f=A" TargetMode="External"/><Relationship Id="rId42" Type="http://schemas.openxmlformats.org/officeDocument/2006/relationships/hyperlink" Target="https://www.eia.gov/dnav/pet/hist/LeafHandler.ashx?n=PET&amp;s=MENRPUS1&amp;f=A" TargetMode="External"/><Relationship Id="rId84" Type="http://schemas.openxmlformats.org/officeDocument/2006/relationships/hyperlink" Target="https://www.eia.gov/dnav/pet/hist/LeafHandler.ashx?n=PET&amp;s=M_EPLLNG_SAE_NUS_MBBL&amp;f=A" TargetMode="External"/><Relationship Id="rId138" Type="http://schemas.openxmlformats.org/officeDocument/2006/relationships/hyperlink" Target="https://www.eia.gov/dnav/pet/hist/LeafHandler.ashx?n=PET&amp;s=M_EPOOXXFE_SCG_NUS_MBBL&amp;f=A" TargetMode="External"/><Relationship Id="rId345" Type="http://schemas.openxmlformats.org/officeDocument/2006/relationships/hyperlink" Target="https://www.eia.gov/dnav/pet/hist/LeafHandler.ashx?n=PET&amp;s=MNFSTUS1&amp;f=A" TargetMode="External"/><Relationship Id="rId387" Type="http://schemas.openxmlformats.org/officeDocument/2006/relationships/hyperlink" Target="https://www.eia.gov/dnav/pet/hist/LeafHandler.ashx?n=PET&amp;s=MAPEXUS1&amp;f=A" TargetMode="External"/><Relationship Id="rId191" Type="http://schemas.openxmlformats.org/officeDocument/2006/relationships/hyperlink" Target="https://www.eia.gov/dnav/pet/hist/LeafHandler.ashx?n=PET&amp;s=M_EPOOOXH_IM0_NUS-Z00_MBBL&amp;f=A" TargetMode="External"/><Relationship Id="rId205" Type="http://schemas.openxmlformats.org/officeDocument/2006/relationships/hyperlink" Target="https://www.eia.gov/dnav/pet/hist/LeafHandler.ashx?n=PET&amp;s=MBCIMUS1&amp;f=A" TargetMode="External"/><Relationship Id="rId247" Type="http://schemas.openxmlformats.org/officeDocument/2006/relationships/hyperlink" Target="https://www.eia.gov/dnav/pet/hist/LeafHandler.ashx?n=PET&amp;s=MGFEXUS1&amp;f=A" TargetMode="External"/><Relationship Id="rId107" Type="http://schemas.openxmlformats.org/officeDocument/2006/relationships/hyperlink" Target="https://www.eia.gov/dnav/pet/hist/LeafHandler.ashx?n=PET&amp;s=M_EPLLBYN_SCG_NUS_MBBL&amp;f=A" TargetMode="External"/><Relationship Id="rId289" Type="http://schemas.openxmlformats.org/officeDocument/2006/relationships/hyperlink" Target="https://www.eia.gov/dnav/pet/hist/LeafHandler.ashx?n=PET&amp;s=MDISCUS1&amp;f=A" TargetMode="External"/><Relationship Id="rId11" Type="http://schemas.openxmlformats.org/officeDocument/2006/relationships/hyperlink" Target="https://www.eia.gov/dnav/pet/hist/LeafHandler.ashx?n=PET&amp;s=MTTSTUS1&amp;f=A" TargetMode="External"/><Relationship Id="rId53" Type="http://schemas.openxmlformats.org/officeDocument/2006/relationships/hyperlink" Target="https://www.eia.gov/dnav/pet/hist/LeafHandler.ashx?n=PET&amp;s=MPAEX_NUS-Z00_1&amp;f=A" TargetMode="External"/><Relationship Id="rId149" Type="http://schemas.openxmlformats.org/officeDocument/2006/relationships/hyperlink" Target="https://www.eia.gov/dnav/pet/hist/LeafHandler.ashx?n=PET&amp;s=M_EPOOR_VPP_NUS_MBBL&amp;f=A" TargetMode="External"/><Relationship Id="rId314" Type="http://schemas.openxmlformats.org/officeDocument/2006/relationships/hyperlink" Target="https://www.eia.gov/dnav/pet/hist/LeafHandler.ashx?n=PET&amp;s=MDGUPUS1&amp;f=A" TargetMode="External"/><Relationship Id="rId356" Type="http://schemas.openxmlformats.org/officeDocument/2006/relationships/hyperlink" Target="https://www.eia.gov/dnav/pet/hist/LeafHandler.ashx?n=PET&amp;s=MNSUPUS1&amp;f=A" TargetMode="External"/><Relationship Id="rId95" Type="http://schemas.openxmlformats.org/officeDocument/2006/relationships/hyperlink" Target="https://www.eia.gov/dnav/pet/hist/LeafHandler.ashx?n=PET&amp;s=MEYRPUS1&amp;f=A" TargetMode="External"/><Relationship Id="rId160" Type="http://schemas.openxmlformats.org/officeDocument/2006/relationships/hyperlink" Target="https://www.eia.gov/dnav/pet/hist/LeafHandler.ashx?n=PET&amp;s=M_EPOORXFE_IM0_NUS-Z00_MBBL&amp;f=A" TargetMode="External"/><Relationship Id="rId216" Type="http://schemas.openxmlformats.org/officeDocument/2006/relationships/hyperlink" Target="https://www.eia.gov/dnav/pet/hist/LeafHandler.ashx?n=PET&amp;s=MO1RI_NUS_1&amp;f=A" TargetMode="External"/><Relationship Id="rId258" Type="http://schemas.openxmlformats.org/officeDocument/2006/relationships/hyperlink" Target="https://www.eia.gov/dnav/pet/hist/LeafHandler.ashx?n=PET&amp;s=MG4RP_NUS_1&amp;f=A" TargetMode="External"/><Relationship Id="rId22" Type="http://schemas.openxmlformats.org/officeDocument/2006/relationships/hyperlink" Target="https://www.eia.gov/dnav/pet/hist/LeafHandler.ashx?n=PET&amp;s=M_EPL0_TVP_NUS_MBBL&amp;f=A" TargetMode="External"/><Relationship Id="rId64" Type="http://schemas.openxmlformats.org/officeDocument/2006/relationships/hyperlink" Target="https://www.eia.gov/dnav/pet/hist/LeafHandler.ashx?n=PET&amp;s=M_EPLLBAN_VPP_NUS_MBBL&amp;f=A" TargetMode="External"/><Relationship Id="rId118" Type="http://schemas.openxmlformats.org/officeDocument/2006/relationships/hyperlink" Target="https://www.eia.gov/dnav/pet/hist/LeafHandler.ashx?n=PET&amp;s=MOLUA_NUS_1&amp;f=A" TargetMode="External"/><Relationship Id="rId325" Type="http://schemas.openxmlformats.org/officeDocument/2006/relationships/hyperlink" Target="https://www.eia.gov/dnav/pet/hist/LeafHandler.ashx?n=PET&amp;s=MRLSTUS1&amp;f=A" TargetMode="External"/><Relationship Id="rId367" Type="http://schemas.openxmlformats.org/officeDocument/2006/relationships/hyperlink" Target="https://www.eia.gov/dnav/pet/hist/LeafHandler.ashx?n=PET&amp;s=MWXEXUS1&amp;f=A" TargetMode="External"/><Relationship Id="rId171" Type="http://schemas.openxmlformats.org/officeDocument/2006/relationships/hyperlink" Target="https://www.eia.gov/dnav/pet/hist/LeafHandler.ashx?n=PET&amp;s=M_EPOORDB_YIR_NUS_MBBL&amp;f=A" TargetMode="External"/><Relationship Id="rId227" Type="http://schemas.openxmlformats.org/officeDocument/2006/relationships/hyperlink" Target="https://www.eia.gov/dnav/pet/hist/LeafHandler.ashx?n=PET&amp;s=MO5ST_NUS_1&amp;f=A" TargetMode="External"/><Relationship Id="rId269" Type="http://schemas.openxmlformats.org/officeDocument/2006/relationships/hyperlink" Target="https://www.eia.gov/dnav/pet/hist/LeafHandler.ashx?n=PET&amp;s=MGAUPUS1&amp;f=A" TargetMode="External"/><Relationship Id="rId33" Type="http://schemas.openxmlformats.org/officeDocument/2006/relationships/hyperlink" Target="https://www.eia.gov/dnav/pet/hist/LeafHandler.ashx?n=PET&amp;s=M_EPL2_YNP_NUS_MBBL&amp;f=A" TargetMode="External"/><Relationship Id="rId129" Type="http://schemas.openxmlformats.org/officeDocument/2006/relationships/hyperlink" Target="https://www.eia.gov/dnav/pet/hist/LeafHandler.ashx?n=PET&amp;s=MOHEXUS1&amp;f=A" TargetMode="External"/><Relationship Id="rId280" Type="http://schemas.openxmlformats.org/officeDocument/2006/relationships/hyperlink" Target="https://www.eia.gov/dnav/pet/hist/LeafHandler.ashx?n=PET&amp;s=MKEIMUS1&amp;f=A" TargetMode="External"/><Relationship Id="rId336" Type="http://schemas.openxmlformats.org/officeDocument/2006/relationships/hyperlink" Target="https://www.eia.gov/dnav/pet/hist/LeafHandler.ashx?n=PET&amp;s=MPCSC_NUS_1&amp;f=A" TargetMode="External"/><Relationship Id="rId75" Type="http://schemas.openxmlformats.org/officeDocument/2006/relationships/hyperlink" Target="https://www.eia.gov/dnav/pet/hist/LeafHandler.ashx?n=PET&amp;s=M_EPLLBAI_SAE_NUS_MBBL&amp;f=A" TargetMode="External"/><Relationship Id="rId140" Type="http://schemas.openxmlformats.org/officeDocument/2006/relationships/hyperlink" Target="https://www.eia.gov/dnav/pet/hist/LeafHandler.ashx?n=PET&amp;s=M_EPOOXXFE_EEX_NUS-Z00_MBBL&amp;f=A" TargetMode="External"/><Relationship Id="rId182" Type="http://schemas.openxmlformats.org/officeDocument/2006/relationships/hyperlink" Target="https://www.eia.gov/dnav/pet/hist/LeafHandler.ashx?n=PET&amp;s=M_EPOORDO_SAE_NUS_MBBL&amp;f=A" TargetMode="External"/><Relationship Id="rId378" Type="http://schemas.openxmlformats.org/officeDocument/2006/relationships/hyperlink" Target="https://www.eia.gov/dnav/pet/hist/LeafHandler.ashx?n=PET&amp;s=MCMSC_NUS_1&amp;f=A" TargetMode="External"/><Relationship Id="rId6" Type="http://schemas.openxmlformats.org/officeDocument/2006/relationships/hyperlink" Target="https://www.eia.gov/dnav/pet/hist/LeafHandler.ashx?n=PET&amp;s=MTTUA_NUS_1&amp;f=A" TargetMode="External"/><Relationship Id="rId238" Type="http://schemas.openxmlformats.org/officeDocument/2006/relationships/hyperlink" Target="https://www.eia.gov/dnav/pet/hist/LeafHandler.ashx?n=PET&amp;s=MTPSCUS1&amp;f=A" TargetMode="External"/><Relationship Id="rId291" Type="http://schemas.openxmlformats.org/officeDocument/2006/relationships/hyperlink" Target="https://www.eia.gov/dnav/pet/hist/LeafHandler.ashx?n=PET&amp;s=MDIUPUS1&amp;f=A" TargetMode="External"/><Relationship Id="rId305" Type="http://schemas.openxmlformats.org/officeDocument/2006/relationships/hyperlink" Target="https://www.eia.gov/dnav/pet/hist/LeafHandler.ashx?n=PET&amp;s=MD1SC_NUS_1&amp;f=A" TargetMode="External"/><Relationship Id="rId347" Type="http://schemas.openxmlformats.org/officeDocument/2006/relationships/hyperlink" Target="https://www.eia.gov/dnav/pet/hist/LeafHandler.ashx?n=PET&amp;s=MOTIMUS1&amp;f=A" TargetMode="External"/><Relationship Id="rId44" Type="http://schemas.openxmlformats.org/officeDocument/2006/relationships/hyperlink" Target="https://www.eia.gov/dnav/pet/hist/LeafHandler.ashx?n=PET&amp;s=M_EPLLEA_SCG_NUS_MBBL&amp;f=A" TargetMode="External"/><Relationship Id="rId86" Type="http://schemas.openxmlformats.org/officeDocument/2006/relationships/hyperlink" Target="https://www.eia.gov/dnav/pet/hist/LeafHandler.ashx?n=PET&amp;s=M_EPLLCS_TVP_NUS_MBBL&amp;f=A" TargetMode="External"/><Relationship Id="rId151" Type="http://schemas.openxmlformats.org/officeDocument/2006/relationships/hyperlink" Target="https://www.eia.gov/dnav/pet/hist/LeafHandler.ashx?n=PET&amp;s=M_EPOOXE_YNP_NUS_MBBL&amp;f=A" TargetMode="External"/><Relationship Id="rId389" Type="http://schemas.openxmlformats.org/officeDocument/2006/relationships/hyperlink" Target="https://www.eia.gov/dnav/pet/hist/LeafHandler.ashx?n=PET&amp;s=MAPSTUS1&amp;f=A" TargetMode="External"/><Relationship Id="rId193" Type="http://schemas.openxmlformats.org/officeDocument/2006/relationships/hyperlink" Target="https://www.eia.gov/dnav/pet/hist/LeafHandler.ashx?n=PET&amp;s=M_EPOOOXH_SCG_NUS_MBBL&amp;f=A" TargetMode="External"/><Relationship Id="rId207" Type="http://schemas.openxmlformats.org/officeDocument/2006/relationships/hyperlink" Target="https://www.eia.gov/dnav/pet/hist/LeafHandler.ashx?n=PET&amp;s=MBCSCUS1&amp;f=A" TargetMode="External"/><Relationship Id="rId249" Type="http://schemas.openxmlformats.org/officeDocument/2006/relationships/hyperlink" Target="https://www.eia.gov/dnav/pet/hist/LeafHandler.ashx?n=PET&amp;s=MGFSTUS1&amp;f=A" TargetMode="External"/><Relationship Id="rId13" Type="http://schemas.openxmlformats.org/officeDocument/2006/relationships/hyperlink" Target="https://www.eia.gov/dnav/pet/hist/LeafHandler.ashx?n=PET&amp;s=M_EPC0_TVP_NUS_MBBL&amp;f=A" TargetMode="External"/><Relationship Id="rId109" Type="http://schemas.openxmlformats.org/officeDocument/2006/relationships/hyperlink" Target="https://www.eia.gov/dnav/pet/hist/LeafHandler.ashx?n=PET&amp;s=M_EPLLBYN_SAE_NUS_MBBL&amp;f=A" TargetMode="External"/><Relationship Id="rId260" Type="http://schemas.openxmlformats.org/officeDocument/2006/relationships/hyperlink" Target="https://www.eia.gov/dnav/pet/hist/LeafHandler.ashx?n=PET&amp;s=MG4UA_NUS_1&amp;f=A" TargetMode="External"/><Relationship Id="rId316" Type="http://schemas.openxmlformats.org/officeDocument/2006/relationships/hyperlink" Target="https://www.eia.gov/dnav/pet/hist/LeafHandler.ashx?n=PET&amp;s=MRERPUS1&amp;f=A" TargetMode="External"/><Relationship Id="rId55" Type="http://schemas.openxmlformats.org/officeDocument/2006/relationships/hyperlink" Target="https://www.eia.gov/dnav/pet/hist/LeafHandler.ashx?n=PET&amp;s=M_EPLLPA_SAE_NUS_MBBL&amp;f=A" TargetMode="External"/><Relationship Id="rId97" Type="http://schemas.openxmlformats.org/officeDocument/2006/relationships/hyperlink" Target="https://www.eia.gov/dnav/pet/hist/LeafHandler.ashx?n=PET&amp;s=M_EPLLEY_SCG_NUS_MBBL&amp;f=A" TargetMode="External"/><Relationship Id="rId120" Type="http://schemas.openxmlformats.org/officeDocument/2006/relationships/hyperlink" Target="https://www.eia.gov/dnav/pet/hist/LeafHandler.ashx?n=PET&amp;s=MOLRIUS1&amp;f=A" TargetMode="External"/><Relationship Id="rId358" Type="http://schemas.openxmlformats.org/officeDocument/2006/relationships/hyperlink" Target="https://www.eia.gov/dnav/pet/hist/LeafHandler.ashx?n=PET&amp;s=MLURPUS1&amp;f=A" TargetMode="External"/><Relationship Id="rId162" Type="http://schemas.openxmlformats.org/officeDocument/2006/relationships/hyperlink" Target="https://www.eia.gov/dnav/pet/hist/LeafHandler.ashx?n=PET&amp;s=M_EPOORXFE_SCG_NUS_MBBL&amp;f=A" TargetMode="External"/><Relationship Id="rId218" Type="http://schemas.openxmlformats.org/officeDocument/2006/relationships/hyperlink" Target="https://www.eia.gov/dnav/pet/hist/LeafHandler.ashx?n=PET&amp;s=MO1UP_NUS_1&amp;f=A" TargetMode="External"/><Relationship Id="rId271" Type="http://schemas.openxmlformats.org/officeDocument/2006/relationships/hyperlink" Target="https://www.eia.gov/dnav/pet/hist/LeafHandler.ashx?n=PET&amp;s=M_EPJK_YNP_NUS_MBBL&amp;f=A" TargetMode="External"/><Relationship Id="rId24" Type="http://schemas.openxmlformats.org/officeDocument/2006/relationships/hyperlink" Target="https://www.eia.gov/dnav/pet/hist/LeafHandler.ashx?n=PET&amp;s=MNGRPUS1&amp;f=A" TargetMode="External"/><Relationship Id="rId66" Type="http://schemas.openxmlformats.org/officeDocument/2006/relationships/hyperlink" Target="https://www.eia.gov/dnav/pet/hist/LeafHandler.ashx?n=PET&amp;s=M_EPLLBAI_FPF_NUS_MBBL&amp;f=A" TargetMode="External"/><Relationship Id="rId131" Type="http://schemas.openxmlformats.org/officeDocument/2006/relationships/hyperlink" Target="https://www.eia.gov/dnav/pet/hist/LeafHandler.ashx?n=PET&amp;s=MOHSTUS1&amp;f=A" TargetMode="External"/><Relationship Id="rId327" Type="http://schemas.openxmlformats.org/officeDocument/2006/relationships/hyperlink" Target="https://www.eia.gov/dnav/pet/hist/LeafHandler.ashx?n=PET&amp;s=MRYIMUS1&amp;f=A" TargetMode="External"/><Relationship Id="rId369" Type="http://schemas.openxmlformats.org/officeDocument/2006/relationships/hyperlink" Target="https://www.eia.gov/dnav/pet/hist/LeafHandler.ashx?n=PET&amp;s=MWXSTUS1&amp;f=A" TargetMode="External"/><Relationship Id="rId173" Type="http://schemas.openxmlformats.org/officeDocument/2006/relationships/hyperlink" Target="https://www.eia.gov/dnav/pet/hist/LeafHandler.ashx?n=PET&amp;s=M_EPOORDB_VPP_NUS_MBBL&amp;f=A" TargetMode="External"/><Relationship Id="rId229" Type="http://schemas.openxmlformats.org/officeDocument/2006/relationships/hyperlink" Target="https://www.eia.gov/dnav/pet/hist/LeafHandler.ashx?n=PET&amp;s=MBASCUS1&amp;f=A" TargetMode="External"/><Relationship Id="rId380" Type="http://schemas.openxmlformats.org/officeDocument/2006/relationships/hyperlink" Target="https://www.eia.gov/dnav/pet/hist/LeafHandler.ashx?n=PET&amp;s=MCMUP_NUS_1&amp;f=A" TargetMode="External"/><Relationship Id="rId240" Type="http://schemas.openxmlformats.org/officeDocument/2006/relationships/hyperlink" Target="https://www.eia.gov/dnav/pet/hist/LeafHandler.ashx?n=PET&amp;s=MTPUPUS1&amp;f=A" TargetMode="External"/><Relationship Id="rId35" Type="http://schemas.openxmlformats.org/officeDocument/2006/relationships/hyperlink" Target="https://www.eia.gov/dnav/pet/hist/LeafHandler.ashx?n=PET&amp;s=M_EPL2_IM0_NUS-Z00_MBBL&amp;f=A" TargetMode="External"/><Relationship Id="rId77" Type="http://schemas.openxmlformats.org/officeDocument/2006/relationships/hyperlink" Target="https://www.eia.gov/dnav/pet/hist/LeafHandler.ashx?n=PET&amp;s=M_EPLLNG_TVP_NUS_MBBL&amp;f=A" TargetMode="External"/><Relationship Id="rId100" Type="http://schemas.openxmlformats.org/officeDocument/2006/relationships/hyperlink" Target="https://www.eia.gov/dnav/pet/hist/LeafHandler.ashx?n=PET&amp;s=MPLRPUS1&amp;f=A" TargetMode="External"/><Relationship Id="rId282" Type="http://schemas.openxmlformats.org/officeDocument/2006/relationships/hyperlink" Target="https://www.eia.gov/dnav/pet/hist/LeafHandler.ashx?n=PET&amp;s=MKEEXUS1&amp;f=A" TargetMode="External"/><Relationship Id="rId338" Type="http://schemas.openxmlformats.org/officeDocument/2006/relationships/hyperlink" Target="https://www.eia.gov/dnav/pet/hist/LeafHandler.ashx?n=PET&amp;s=MPCUP_NUS_1&amp;f=A" TargetMode="External"/><Relationship Id="rId8" Type="http://schemas.openxmlformats.org/officeDocument/2006/relationships/hyperlink" Target="https://www.eia.gov/dnav/pet/hist/LeafHandler.ashx?n=PET&amp;s=MTTRIUS1&amp;f=A" TargetMode="External"/><Relationship Id="rId142" Type="http://schemas.openxmlformats.org/officeDocument/2006/relationships/hyperlink" Target="https://www.eia.gov/dnav/pet/hist/LeafHandler.ashx?n=PET&amp;s=M_EPOOXXFE_SAE_NUS_MBBL&amp;f=A" TargetMode="External"/><Relationship Id="rId184" Type="http://schemas.openxmlformats.org/officeDocument/2006/relationships/hyperlink" Target="https://www.eia.gov/dnav/pet/hist/LeafHandler.ashx?n=PET&amp;s=M_EPOORO_IM0_NUS-Z00_MBBL&amp;f=A" TargetMode="External"/><Relationship Id="rId391" Type="http://schemas.openxmlformats.org/officeDocument/2006/relationships/hyperlink" Target="https://www.eia.gov/dnav/pet/hist/LeafHandler.ashx?n=PET&amp;s=MSGUPUS1&amp;f=A" TargetMode="External"/><Relationship Id="rId251" Type="http://schemas.openxmlformats.org/officeDocument/2006/relationships/hyperlink" Target="https://www.eia.gov/dnav/pet/hist/LeafHandler.ashx?n=PET&amp;s=MGRIMUS1&amp;f=A" TargetMode="External"/><Relationship Id="rId46" Type="http://schemas.openxmlformats.org/officeDocument/2006/relationships/hyperlink" Target="https://www.eia.gov/dnav/pet/hist/LeafHandler.ashx?n=PET&amp;s=M_EPLLEA_VPP_NUS_MBBL&amp;f=A" TargetMode="External"/><Relationship Id="rId293" Type="http://schemas.openxmlformats.org/officeDocument/2006/relationships/hyperlink" Target="https://www.eia.gov/dnav/pet/hist/LeafHandler.ashx?n=PET&amp;s=M_EPDXL0_YNP_NUS_MBBL&amp;f=A" TargetMode="External"/><Relationship Id="rId307" Type="http://schemas.openxmlformats.org/officeDocument/2006/relationships/hyperlink" Target="https://www.eia.gov/dnav/pet/hist/LeafHandler.ashx?n=PET&amp;s=MD1UP_NUS_1&amp;f=A" TargetMode="External"/><Relationship Id="rId349" Type="http://schemas.openxmlformats.org/officeDocument/2006/relationships/hyperlink" Target="https://www.eia.gov/dnav/pet/hist/LeafHandler.ashx?n=PET&amp;s=MOTEXUS1&amp;f=A" TargetMode="External"/><Relationship Id="rId88" Type="http://schemas.openxmlformats.org/officeDocument/2006/relationships/hyperlink" Target="https://www.eia.gov/dnav/pet/hist/LeafHandler.ashx?n=PET&amp;s=M_EPLLCS_VPP_NUS_MBBL&amp;f=A" TargetMode="External"/><Relationship Id="rId111" Type="http://schemas.openxmlformats.org/officeDocument/2006/relationships/hyperlink" Target="https://www.eia.gov/dnav/pet/hist/LeafHandler.ashx?n=PET&amp;s=MIYIMUS1&amp;f=A" TargetMode="External"/><Relationship Id="rId153" Type="http://schemas.openxmlformats.org/officeDocument/2006/relationships/hyperlink" Target="https://www.eia.gov/dnav/pet/hist/LeafHandler.ashx?n=PET&amp;s=M_EPOOXE_VUA_NUS_MBBL&amp;f=A" TargetMode="External"/><Relationship Id="rId195" Type="http://schemas.openxmlformats.org/officeDocument/2006/relationships/hyperlink" Target="https://www.eia.gov/dnav/pet/hist/LeafHandler.ashx?n=PET&amp;s=M_EPOOOXH_VPP_NUS_MBBL&amp;f=A" TargetMode="External"/><Relationship Id="rId209" Type="http://schemas.openxmlformats.org/officeDocument/2006/relationships/hyperlink" Target="https://www.eia.gov/dnav/pet/hist/LeafHandler.ashx?n=PET&amp;s=MBCEXUS1&amp;f=A" TargetMode="External"/><Relationship Id="rId360" Type="http://schemas.openxmlformats.org/officeDocument/2006/relationships/hyperlink" Target="https://www.eia.gov/dnav/pet/hist/LeafHandler.ashx?n=PET&amp;s=MLUSCUS1&amp;f=A" TargetMode="External"/><Relationship Id="rId220" Type="http://schemas.openxmlformats.org/officeDocument/2006/relationships/hyperlink" Target="https://www.eia.gov/dnav/pet/hist/LeafHandler.ashx?n=PET&amp;s=M_EPOBGC0_YNP_NUS_MBBL&amp;f=A" TargetMode="External"/><Relationship Id="rId15" Type="http://schemas.openxmlformats.org/officeDocument/2006/relationships/hyperlink" Target="https://www.eia.gov/dnav/pet/hist/LeafHandler.ashx?n=PET&amp;s=MCRUA_NUS_1&amp;f=A" TargetMode="External"/><Relationship Id="rId57" Type="http://schemas.openxmlformats.org/officeDocument/2006/relationships/hyperlink" Target="https://www.eia.gov/dnav/pet/hist/LeafHandler.ashx?n=PET&amp;s=M_EPLLBAN_TVP_NUS_MBBL&amp;f=A" TargetMode="External"/><Relationship Id="rId262" Type="http://schemas.openxmlformats.org/officeDocument/2006/relationships/hyperlink" Target="https://www.eia.gov/dnav/pet/hist/LeafHandler.ashx?n=PET&amp;s=MG4EX_NUS-Z00_1&amp;f=A" TargetMode="External"/><Relationship Id="rId318" Type="http://schemas.openxmlformats.org/officeDocument/2006/relationships/hyperlink" Target="https://www.eia.gov/dnav/pet/hist/LeafHandler.ashx?n=PET&amp;s=MRESCUS1&amp;f=A" TargetMode="External"/><Relationship Id="rId99" Type="http://schemas.openxmlformats.org/officeDocument/2006/relationships/hyperlink" Target="https://www.eia.gov/dnav/pet/hist/LeafHandler.ashx?n=PET&amp;s=M_EPLLEY_SAE_NUS_MBBL&amp;f=A" TargetMode="External"/><Relationship Id="rId122" Type="http://schemas.openxmlformats.org/officeDocument/2006/relationships/hyperlink" Target="https://www.eia.gov/dnav/pet/hist/LeafHandler.ashx?n=PET&amp;s=MOLUPUS1&amp;f=A" TargetMode="External"/><Relationship Id="rId164" Type="http://schemas.openxmlformats.org/officeDocument/2006/relationships/hyperlink" Target="https://www.eia.gov/dnav/pet/hist/LeafHandler.ashx?n=PET&amp;s=M_EPOORXFE_EEX_NUS-Z00_MBBL&amp;f=A" TargetMode="External"/><Relationship Id="rId371" Type="http://schemas.openxmlformats.org/officeDocument/2006/relationships/hyperlink" Target="https://www.eia.gov/dnav/pet/hist/LeafHandler.ashx?n=PET&amp;s=MCKIMUS1&amp;f=A" TargetMode="External"/><Relationship Id="rId26" Type="http://schemas.openxmlformats.org/officeDocument/2006/relationships/hyperlink" Target="https://www.eia.gov/dnav/pet/hist/LeafHandler.ashx?n=PET&amp;s=MNGSCUS1&amp;f=A" TargetMode="External"/><Relationship Id="rId231" Type="http://schemas.openxmlformats.org/officeDocument/2006/relationships/hyperlink" Target="https://www.eia.gov/dnav/pet/hist/LeafHandler.ashx?n=PET&amp;s=MBAEXUS1&amp;f=A" TargetMode="External"/><Relationship Id="rId273" Type="http://schemas.openxmlformats.org/officeDocument/2006/relationships/hyperlink" Target="https://www.eia.gov/dnav/pet/hist/LeafHandler.ashx?n=PET&amp;s=MKJIMUS1&amp;f=A" TargetMode="External"/><Relationship Id="rId329" Type="http://schemas.openxmlformats.org/officeDocument/2006/relationships/hyperlink" Target="https://www.eia.gov/dnav/pet/hist/LeafHandler.ashx?n=PET&amp;s=MRMSTUS1&amp;f=A" TargetMode="External"/><Relationship Id="rId68" Type="http://schemas.openxmlformats.org/officeDocument/2006/relationships/hyperlink" Target="https://www.eia.gov/dnav/pet/hist/LeafHandler.ashx?n=PET&amp;s=M_EPLLBAI_YNP_NUS_MBBL&amp;f=A" TargetMode="External"/><Relationship Id="rId133" Type="http://schemas.openxmlformats.org/officeDocument/2006/relationships/hyperlink" Target="https://www.eia.gov/dnav/pet/hist/LeafHandler.ashx?n=PET&amp;s=M_EPOOOH_YIR_NUS_MBBL&amp;f=A" TargetMode="External"/><Relationship Id="rId175" Type="http://schemas.openxmlformats.org/officeDocument/2006/relationships/hyperlink" Target="https://www.eia.gov/dnav/pet/hist/LeafHandler.ashx?n=PET&amp;s=M_EPOORDO_YNP_NUS_MBBL&amp;f=A" TargetMode="External"/><Relationship Id="rId340" Type="http://schemas.openxmlformats.org/officeDocument/2006/relationships/hyperlink" Target="https://www.eia.gov/dnav/pet/hist/LeafHandler.ashx?n=PET&amp;s=MNFRPUS1&amp;f=A" TargetMode="External"/><Relationship Id="rId200" Type="http://schemas.openxmlformats.org/officeDocument/2006/relationships/hyperlink" Target="https://www.eia.gov/dnav/pet/hist/LeafHandler.ashx?n=PET&amp;s=MUORIUS1&amp;f=A" TargetMode="External"/><Relationship Id="rId382" Type="http://schemas.openxmlformats.org/officeDocument/2006/relationships/hyperlink" Target="https://www.eia.gov/dnav/pet/hist/LeafHandler.ashx?n=PET&amp;s=MCORPUS1&amp;f=A" TargetMode="External"/><Relationship Id="rId242" Type="http://schemas.openxmlformats.org/officeDocument/2006/relationships/hyperlink" Target="https://www.eia.gov/dnav/pet/hist/LeafHandler.ashx?n=PET&amp;s=M_EPM0F_YNP_NUS_MBBL&amp;f=A" TargetMode="External"/><Relationship Id="rId284" Type="http://schemas.openxmlformats.org/officeDocument/2006/relationships/hyperlink" Target="https://www.eia.gov/dnav/pet/hist/LeafHandler.ashx?n=PET&amp;s=MKESTUS1&amp;f=A"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1"/>
  <sheetViews>
    <sheetView tabSelected="1" workbookViewId="0">
      <selection activeCell="B46" sqref="B46"/>
    </sheetView>
  </sheetViews>
  <sheetFormatPr defaultRowHeight="14.5"/>
  <cols>
    <col min="2" max="2" width="82.7265625" customWidth="1"/>
  </cols>
  <sheetData>
    <row r="1" spans="1:4">
      <c r="A1" s="1" t="s">
        <v>450</v>
      </c>
    </row>
    <row r="2" spans="1:4">
      <c r="A2" s="1" t="s">
        <v>451</v>
      </c>
    </row>
    <row r="3" spans="1:4">
      <c r="A3" s="1" t="s">
        <v>452</v>
      </c>
    </row>
    <row r="5" spans="1:4">
      <c r="A5" s="1" t="s">
        <v>0</v>
      </c>
      <c r="B5" s="2" t="s">
        <v>1</v>
      </c>
    </row>
    <row r="6" spans="1:4">
      <c r="B6" t="s">
        <v>2</v>
      </c>
    </row>
    <row r="7" spans="1:4">
      <c r="B7" s="3" t="s">
        <v>730</v>
      </c>
    </row>
    <row r="8" spans="1:4">
      <c r="B8" t="s">
        <v>3</v>
      </c>
    </row>
    <row r="9" spans="1:4">
      <c r="B9" s="4" t="s">
        <v>4</v>
      </c>
    </row>
    <row r="10" spans="1:4">
      <c r="B10" t="s">
        <v>731</v>
      </c>
    </row>
    <row r="12" spans="1:4">
      <c r="B12" s="2" t="s">
        <v>734</v>
      </c>
    </row>
    <row r="13" spans="1:4">
      <c r="B13" t="s">
        <v>2</v>
      </c>
    </row>
    <row r="14" spans="1:4">
      <c r="B14" s="3">
        <v>2025</v>
      </c>
    </row>
    <row r="15" spans="1:4">
      <c r="B15" t="s">
        <v>735</v>
      </c>
    </row>
    <row r="16" spans="1:4">
      <c r="B16" t="s">
        <v>732</v>
      </c>
      <c r="D16" s="4"/>
    </row>
    <row r="18" spans="2:2">
      <c r="B18" s="2" t="s">
        <v>736</v>
      </c>
    </row>
    <row r="19" spans="2:2">
      <c r="B19" t="s">
        <v>2</v>
      </c>
    </row>
    <row r="20" spans="2:2">
      <c r="B20" s="3">
        <v>2025</v>
      </c>
    </row>
    <row r="21" spans="2:2">
      <c r="B21" t="s">
        <v>737</v>
      </c>
    </row>
    <row r="22" spans="2:2">
      <c r="B22" t="s">
        <v>738</v>
      </c>
    </row>
    <row r="24" spans="2:2">
      <c r="B24" s="2" t="s">
        <v>130</v>
      </c>
    </row>
    <row r="25" spans="2:2">
      <c r="B25" t="s">
        <v>2</v>
      </c>
    </row>
    <row r="26" spans="2:2">
      <c r="B26" s="3">
        <v>2025</v>
      </c>
    </row>
    <row r="27" spans="2:2">
      <c r="B27" t="s">
        <v>747</v>
      </c>
    </row>
    <row r="28" spans="2:2">
      <c r="B28" t="s">
        <v>746</v>
      </c>
    </row>
    <row r="29" spans="2:2">
      <c r="B29" t="s">
        <v>739</v>
      </c>
    </row>
    <row r="30" spans="2:2">
      <c r="B30" t="s">
        <v>741</v>
      </c>
    </row>
    <row r="31" spans="2:2">
      <c r="B31" t="s">
        <v>742</v>
      </c>
    </row>
    <row r="33" spans="2:2">
      <c r="B33" s="2" t="s">
        <v>5</v>
      </c>
    </row>
    <row r="34" spans="2:2">
      <c r="B34" t="s">
        <v>2</v>
      </c>
    </row>
    <row r="35" spans="2:2">
      <c r="B35" s="3">
        <v>2025</v>
      </c>
    </row>
    <row r="36" spans="2:2">
      <c r="B36" t="s">
        <v>752</v>
      </c>
    </row>
    <row r="37" spans="2:2">
      <c r="B37" s="4" t="s">
        <v>751</v>
      </c>
    </row>
    <row r="38" spans="2:2">
      <c r="B38" t="s">
        <v>750</v>
      </c>
    </row>
    <row r="40" spans="2:2">
      <c r="B40" s="2" t="s">
        <v>840</v>
      </c>
    </row>
    <row r="41" spans="2:2">
      <c r="B41" t="s">
        <v>2</v>
      </c>
    </row>
    <row r="42" spans="2:2">
      <c r="B42" s="3">
        <v>2025</v>
      </c>
    </row>
    <row r="43" spans="2:2">
      <c r="B43" t="s">
        <v>721</v>
      </c>
    </row>
    <row r="44" spans="2:2">
      <c r="B44" s="4" t="s">
        <v>6</v>
      </c>
    </row>
    <row r="45" spans="2:2">
      <c r="B45" t="s">
        <v>843</v>
      </c>
    </row>
    <row r="47" spans="2:2">
      <c r="B47" s="2" t="s">
        <v>135</v>
      </c>
    </row>
    <row r="48" spans="2:2">
      <c r="B48" t="s">
        <v>756</v>
      </c>
    </row>
    <row r="49" spans="2:2">
      <c r="B49" s="3">
        <v>2025</v>
      </c>
    </row>
    <row r="50" spans="2:2">
      <c r="B50" t="s">
        <v>755</v>
      </c>
    </row>
    <row r="51" spans="2:2">
      <c r="B51" s="4" t="s">
        <v>754</v>
      </c>
    </row>
    <row r="52" spans="2:2">
      <c r="B52" t="s">
        <v>757</v>
      </c>
    </row>
    <row r="54" spans="2:2">
      <c r="B54" s="2" t="s">
        <v>420</v>
      </c>
    </row>
    <row r="55" spans="2:2">
      <c r="B55" t="s">
        <v>416</v>
      </c>
    </row>
    <row r="56" spans="2:2">
      <c r="B56" s="3">
        <v>2023</v>
      </c>
    </row>
    <row r="57" spans="2:2">
      <c r="B57" t="s">
        <v>486</v>
      </c>
    </row>
    <row r="58" spans="2:2">
      <c r="B58" s="192" t="s">
        <v>842</v>
      </c>
    </row>
    <row r="59" spans="2:2">
      <c r="B59" t="s">
        <v>841</v>
      </c>
    </row>
    <row r="61" spans="2:2">
      <c r="B61" s="2" t="s">
        <v>421</v>
      </c>
    </row>
    <row r="62" spans="2:2">
      <c r="B62" t="s">
        <v>417</v>
      </c>
    </row>
    <row r="63" spans="2:2">
      <c r="B63" s="3">
        <v>2019</v>
      </c>
    </row>
    <row r="64" spans="2:2">
      <c r="B64" t="s">
        <v>455</v>
      </c>
    </row>
    <row r="65" spans="1:2">
      <c r="B65" s="4" t="s">
        <v>418</v>
      </c>
    </row>
    <row r="66" spans="1:2">
      <c r="B66" t="s">
        <v>419</v>
      </c>
    </row>
    <row r="68" spans="1:2">
      <c r="B68" s="2" t="s">
        <v>422</v>
      </c>
    </row>
    <row r="69" spans="1:2">
      <c r="B69" t="s">
        <v>423</v>
      </c>
    </row>
    <row r="70" spans="1:2">
      <c r="B70" s="3">
        <v>2019</v>
      </c>
    </row>
    <row r="71" spans="1:2">
      <c r="B71" t="s">
        <v>425</v>
      </c>
    </row>
    <row r="72" spans="1:2">
      <c r="B72" s="4" t="s">
        <v>424</v>
      </c>
    </row>
    <row r="73" spans="1:2">
      <c r="B73" s="197"/>
    </row>
    <row r="74" spans="1:2">
      <c r="A74" s="1" t="s">
        <v>7</v>
      </c>
    </row>
    <row r="76" spans="1:2">
      <c r="A76" s="1" t="s">
        <v>435</v>
      </c>
    </row>
    <row r="77" spans="1:2">
      <c r="A77" t="s">
        <v>430</v>
      </c>
    </row>
    <row r="78" spans="1:2">
      <c r="A78" t="s">
        <v>431</v>
      </c>
    </row>
    <row r="79" spans="1:2">
      <c r="A79" t="s">
        <v>432</v>
      </c>
    </row>
    <row r="80" spans="1:2">
      <c r="A80" t="s">
        <v>433</v>
      </c>
    </row>
    <row r="81" spans="1:1">
      <c r="A81" t="s">
        <v>434</v>
      </c>
    </row>
    <row r="83" spans="1:1">
      <c r="A83" s="1" t="s">
        <v>436</v>
      </c>
    </row>
    <row r="84" spans="1:1">
      <c r="A84" t="s">
        <v>449</v>
      </c>
    </row>
    <row r="85" spans="1:1">
      <c r="A85" t="s">
        <v>444</v>
      </c>
    </row>
    <row r="86" spans="1:1">
      <c r="A86" t="s">
        <v>447</v>
      </c>
    </row>
    <row r="87" spans="1:1">
      <c r="A87" t="s">
        <v>448</v>
      </c>
    </row>
    <row r="89" spans="1:1">
      <c r="A89" s="1" t="s">
        <v>440</v>
      </c>
    </row>
    <row r="90" spans="1:1">
      <c r="A90" t="s">
        <v>441</v>
      </c>
    </row>
    <row r="91" spans="1:1">
      <c r="A91" t="s">
        <v>442</v>
      </c>
    </row>
    <row r="92" spans="1:1">
      <c r="A92" t="s">
        <v>443</v>
      </c>
    </row>
    <row r="94" spans="1:1">
      <c r="A94" s="1" t="s">
        <v>437</v>
      </c>
    </row>
    <row r="95" spans="1:1">
      <c r="A95" t="s">
        <v>8</v>
      </c>
    </row>
    <row r="96" spans="1:1">
      <c r="A96" t="s">
        <v>9</v>
      </c>
    </row>
    <row r="97" spans="1:1">
      <c r="A97" t="s">
        <v>10</v>
      </c>
    </row>
    <row r="98" spans="1:1">
      <c r="A98" t="s">
        <v>11</v>
      </c>
    </row>
    <row r="99" spans="1:1">
      <c r="A99" t="s">
        <v>438</v>
      </c>
    </row>
    <row r="100" spans="1:1">
      <c r="A100" t="s">
        <v>12</v>
      </c>
    </row>
    <row r="101" spans="1:1">
      <c r="A101" t="s">
        <v>439</v>
      </c>
    </row>
  </sheetData>
  <hyperlinks>
    <hyperlink ref="B44" r:id="rId1" xr:uid="{00000000-0004-0000-0000-000000000000}"/>
    <hyperlink ref="B72" r:id="rId2" xr:uid="{00000000-0004-0000-0000-000009000000}"/>
    <hyperlink ref="B65" r:id="rId3" xr:uid="{000A6849-BB52-4934-B731-3641C10054B8}"/>
  </hyperlinks>
  <pageMargins left="0.7" right="0.7" top="0.75" bottom="0.75" header="0.3" footer="0.3"/>
  <pageSetup orientation="portrait"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57"/>
  <sheetViews>
    <sheetView workbookViewId="0">
      <selection activeCell="A42" sqref="A42:XFD42"/>
    </sheetView>
  </sheetViews>
  <sheetFormatPr defaultRowHeight="14.5"/>
  <cols>
    <col min="1" max="1" width="28.6328125" customWidth="1"/>
    <col min="2" max="2" width="44" customWidth="1"/>
    <col min="3" max="3" width="12.26953125" customWidth="1"/>
    <col min="4" max="4" width="19.26953125" customWidth="1"/>
    <col min="5" max="5" width="13.08984375" customWidth="1"/>
    <col min="10" max="10" width="12.26953125" customWidth="1"/>
  </cols>
  <sheetData>
    <row r="1" spans="1:13">
      <c r="B1" s="1" t="s">
        <v>13</v>
      </c>
      <c r="C1" s="1" t="s">
        <v>14</v>
      </c>
      <c r="D1" s="1"/>
      <c r="E1" s="1" t="s">
        <v>15</v>
      </c>
    </row>
    <row r="2" spans="1:13" ht="16.5" customHeight="1">
      <c r="C2" s="273" t="s">
        <v>16</v>
      </c>
      <c r="D2" s="273"/>
      <c r="E2" s="273"/>
      <c r="F2" s="273"/>
      <c r="G2" s="273"/>
      <c r="H2" s="273"/>
      <c r="I2" s="274" t="s">
        <v>17</v>
      </c>
      <c r="J2" s="274"/>
      <c r="K2" s="274"/>
      <c r="L2" s="274"/>
      <c r="M2" s="275" t="s">
        <v>18</v>
      </c>
    </row>
    <row r="3" spans="1:13" ht="35.5">
      <c r="C3" s="8" t="s">
        <v>19</v>
      </c>
      <c r="D3" s="8" t="s">
        <v>20</v>
      </c>
      <c r="E3" s="8" t="s">
        <v>21</v>
      </c>
      <c r="F3" s="8" t="s">
        <v>22</v>
      </c>
      <c r="G3" s="8" t="s">
        <v>23</v>
      </c>
      <c r="H3" s="8" t="s">
        <v>24</v>
      </c>
      <c r="I3" s="9" t="s">
        <v>25</v>
      </c>
      <c r="J3" s="9" t="s">
        <v>26</v>
      </c>
      <c r="K3" s="9" t="s">
        <v>27</v>
      </c>
      <c r="L3" s="9" t="s">
        <v>28</v>
      </c>
      <c r="M3" s="275"/>
    </row>
    <row r="4" spans="1:13">
      <c r="A4" t="str">
        <f t="shared" ref="A4:A6" si="0">TRIM(B4)</f>
        <v>Crude Oil &amp; Petroleum Products</v>
      </c>
      <c r="B4" s="10" t="s">
        <v>29</v>
      </c>
      <c r="C4" s="11">
        <v>4794078</v>
      </c>
      <c r="D4" s="11">
        <v>437131</v>
      </c>
      <c r="E4" s="11">
        <v>7408771</v>
      </c>
      <c r="F4" s="11">
        <v>3702640</v>
      </c>
      <c r="G4" s="12"/>
      <c r="H4" s="11">
        <v>137262</v>
      </c>
      <c r="I4" s="13">
        <v>-135002</v>
      </c>
      <c r="J4" s="13">
        <v>7003159</v>
      </c>
      <c r="K4" s="13">
        <v>2327156</v>
      </c>
      <c r="L4" s="13">
        <v>7284569</v>
      </c>
      <c r="M4" s="11">
        <v>1894570</v>
      </c>
    </row>
    <row r="5" spans="1:13">
      <c r="A5" t="str">
        <f t="shared" si="0"/>
        <v>Crude Oil</v>
      </c>
      <c r="B5" s="10" t="s">
        <v>30</v>
      </c>
      <c r="C5" s="204">
        <v>4083494</v>
      </c>
      <c r="D5" s="207" t="s">
        <v>31</v>
      </c>
      <c r="E5" s="207" t="s">
        <v>31</v>
      </c>
      <c r="F5" s="204">
        <v>2230000</v>
      </c>
      <c r="G5" s="207"/>
      <c r="H5" s="204">
        <v>194916</v>
      </c>
      <c r="I5" s="204">
        <v>-108241</v>
      </c>
      <c r="J5" s="204">
        <v>5529012</v>
      </c>
      <c r="K5" s="204">
        <v>1087638</v>
      </c>
      <c r="L5" s="204">
        <v>0</v>
      </c>
      <c r="M5" s="204">
        <v>1015102</v>
      </c>
    </row>
    <row r="6" spans="1:13">
      <c r="A6" t="str">
        <f t="shared" si="0"/>
        <v>Hydrocarbon Gas Liquids</v>
      </c>
      <c r="B6" s="10" t="s">
        <v>32</v>
      </c>
      <c r="C6" s="204">
        <v>1970031</v>
      </c>
      <c r="D6" s="204">
        <v>-7941</v>
      </c>
      <c r="E6" s="204">
        <v>225172</v>
      </c>
      <c r="F6" s="204">
        <v>63125</v>
      </c>
      <c r="G6" s="207"/>
      <c r="H6" s="207" t="s">
        <v>31</v>
      </c>
      <c r="I6" s="204">
        <v>-40797</v>
      </c>
      <c r="J6" s="204">
        <v>198527</v>
      </c>
      <c r="K6" s="204">
        <v>848015</v>
      </c>
      <c r="L6" s="204">
        <v>1244642</v>
      </c>
      <c r="M6" s="204">
        <v>188360</v>
      </c>
    </row>
    <row r="7" spans="1:13">
      <c r="A7" t="str">
        <f>TRIM(B7)</f>
        <v>Natural Gas Liquids</v>
      </c>
      <c r="B7" s="14" t="s">
        <v>33</v>
      </c>
      <c r="C7" s="204">
        <v>1970031</v>
      </c>
      <c r="D7" s="204">
        <v>-7941</v>
      </c>
      <c r="E7" s="204">
        <v>120757</v>
      </c>
      <c r="F7" s="204">
        <v>57128</v>
      </c>
      <c r="G7" s="207"/>
      <c r="H7" s="207" t="s">
        <v>31</v>
      </c>
      <c r="I7" s="204">
        <v>-40636</v>
      </c>
      <c r="J7" s="204">
        <v>198527</v>
      </c>
      <c r="K7" s="204">
        <v>848015</v>
      </c>
      <c r="L7" s="204">
        <v>1134069</v>
      </c>
      <c r="M7" s="204">
        <v>186272</v>
      </c>
    </row>
    <row r="8" spans="1:13">
      <c r="A8" t="str">
        <f t="shared" ref="A8:A57" si="1">TRIM(B8)</f>
        <v>Ethane</v>
      </c>
      <c r="B8" s="15" t="s">
        <v>34</v>
      </c>
      <c r="C8" s="204">
        <v>781560</v>
      </c>
      <c r="D8" s="207" t="s">
        <v>31</v>
      </c>
      <c r="E8" s="204">
        <v>1505</v>
      </c>
      <c r="F8" s="204" t="s">
        <v>35</v>
      </c>
      <c r="G8" s="207"/>
      <c r="H8" s="207" t="s">
        <v>31</v>
      </c>
      <c r="I8" s="204">
        <v>-9779</v>
      </c>
      <c r="J8" s="207"/>
      <c r="K8" s="204">
        <v>147584</v>
      </c>
      <c r="L8" s="204">
        <v>645260</v>
      </c>
      <c r="M8" s="204">
        <v>59821</v>
      </c>
    </row>
    <row r="9" spans="1:13">
      <c r="A9" t="str">
        <f t="shared" si="1"/>
        <v>Propane</v>
      </c>
      <c r="B9" s="15" t="s">
        <v>36</v>
      </c>
      <c r="C9" s="204">
        <v>632906</v>
      </c>
      <c r="D9" s="207" t="s">
        <v>31</v>
      </c>
      <c r="E9" s="204">
        <v>101344</v>
      </c>
      <c r="F9" s="204">
        <v>41465</v>
      </c>
      <c r="G9" s="207"/>
      <c r="H9" s="207" t="s">
        <v>31</v>
      </c>
      <c r="I9" s="204">
        <v>-8358</v>
      </c>
      <c r="J9" s="207"/>
      <c r="K9" s="204">
        <v>477616</v>
      </c>
      <c r="L9" s="204">
        <v>306457</v>
      </c>
      <c r="M9" s="204">
        <v>62077</v>
      </c>
    </row>
    <row r="10" spans="1:13">
      <c r="A10" t="str">
        <f t="shared" si="1"/>
        <v>Normal Butane</v>
      </c>
      <c r="B10" s="15" t="s">
        <v>37</v>
      </c>
      <c r="C10" s="204">
        <v>180543</v>
      </c>
      <c r="D10" s="207" t="s">
        <v>35</v>
      </c>
      <c r="E10" s="204">
        <v>20998</v>
      </c>
      <c r="F10" s="204">
        <v>13237</v>
      </c>
      <c r="G10" s="207"/>
      <c r="H10" s="207" t="s">
        <v>31</v>
      </c>
      <c r="I10" s="204">
        <v>-7626</v>
      </c>
      <c r="J10" s="204">
        <v>66056</v>
      </c>
      <c r="K10" s="204">
        <v>149693</v>
      </c>
      <c r="L10" s="204">
        <v>6655</v>
      </c>
      <c r="M10" s="204">
        <v>34017</v>
      </c>
    </row>
    <row r="11" spans="1:13">
      <c r="A11" t="str">
        <f t="shared" si="1"/>
        <v>Isobutane</v>
      </c>
      <c r="B11" s="15" t="s">
        <v>38</v>
      </c>
      <c r="C11" s="204">
        <v>153863</v>
      </c>
      <c r="D11" s="207" t="s">
        <v>35</v>
      </c>
      <c r="E11" s="204">
        <v>-3090</v>
      </c>
      <c r="F11" s="204">
        <v>2358</v>
      </c>
      <c r="G11" s="207"/>
      <c r="H11" s="207" t="s">
        <v>31</v>
      </c>
      <c r="I11" s="204">
        <v>-2667</v>
      </c>
      <c r="J11" s="204">
        <v>71652</v>
      </c>
      <c r="K11" s="204">
        <v>1181</v>
      </c>
      <c r="L11" s="204">
        <v>82965</v>
      </c>
      <c r="M11" s="204">
        <v>9674</v>
      </c>
    </row>
    <row r="12" spans="1:13">
      <c r="A12" t="str">
        <f t="shared" si="1"/>
        <v>Natural Gasoline</v>
      </c>
      <c r="B12" s="15" t="s">
        <v>39</v>
      </c>
      <c r="C12" s="204">
        <v>221159</v>
      </c>
      <c r="D12" s="204">
        <v>-7941</v>
      </c>
      <c r="E12" s="207"/>
      <c r="F12" s="204">
        <v>68</v>
      </c>
      <c r="G12" s="207"/>
      <c r="H12" s="207" t="s">
        <v>31</v>
      </c>
      <c r="I12" s="204">
        <v>-12206</v>
      </c>
      <c r="J12" s="204">
        <v>60819</v>
      </c>
      <c r="K12" s="204">
        <v>71941</v>
      </c>
      <c r="L12" s="204">
        <v>92732</v>
      </c>
      <c r="M12" s="204">
        <v>20683</v>
      </c>
    </row>
    <row r="13" spans="1:13">
      <c r="A13" t="str">
        <f t="shared" si="1"/>
        <v>Refinery Olefins</v>
      </c>
      <c r="B13" s="14" t="s">
        <v>40</v>
      </c>
      <c r="C13" s="207" t="s">
        <v>31</v>
      </c>
      <c r="D13" s="207" t="s">
        <v>31</v>
      </c>
      <c r="E13" s="204">
        <v>104415</v>
      </c>
      <c r="F13" s="204">
        <v>5997</v>
      </c>
      <c r="G13" s="207"/>
      <c r="H13" s="207" t="s">
        <v>31</v>
      </c>
      <c r="I13" s="204">
        <v>-161</v>
      </c>
      <c r="J13" s="207" t="s">
        <v>31</v>
      </c>
      <c r="K13" s="207" t="s">
        <v>31</v>
      </c>
      <c r="L13" s="204">
        <v>110573</v>
      </c>
      <c r="M13" s="204">
        <v>2088</v>
      </c>
    </row>
    <row r="14" spans="1:13">
      <c r="A14" t="str">
        <f t="shared" si="1"/>
        <v>Ethylene</v>
      </c>
      <c r="B14" s="15" t="s">
        <v>41</v>
      </c>
      <c r="C14" s="207" t="s">
        <v>31</v>
      </c>
      <c r="D14" s="207" t="s">
        <v>31</v>
      </c>
      <c r="E14" s="204">
        <v>277</v>
      </c>
      <c r="F14" s="204" t="s">
        <v>35</v>
      </c>
      <c r="G14" s="207"/>
      <c r="H14" s="207" t="s">
        <v>31</v>
      </c>
      <c r="I14" s="204">
        <v>0</v>
      </c>
      <c r="J14" s="207" t="s">
        <v>31</v>
      </c>
      <c r="K14" s="207" t="s">
        <v>31</v>
      </c>
      <c r="L14" s="204">
        <v>277</v>
      </c>
      <c r="M14" s="204">
        <v>0</v>
      </c>
    </row>
    <row r="15" spans="1:13">
      <c r="A15" t="str">
        <f t="shared" si="1"/>
        <v>Propylene</v>
      </c>
      <c r="B15" s="15" t="s">
        <v>42</v>
      </c>
      <c r="C15" s="207" t="s">
        <v>31</v>
      </c>
      <c r="D15" s="207" t="s">
        <v>31</v>
      </c>
      <c r="E15" s="204">
        <v>106126</v>
      </c>
      <c r="F15" s="204">
        <v>5243</v>
      </c>
      <c r="G15" s="207"/>
      <c r="H15" s="207" t="s">
        <v>31</v>
      </c>
      <c r="I15" s="204">
        <v>-90</v>
      </c>
      <c r="J15" s="207" t="s">
        <v>31</v>
      </c>
      <c r="K15" s="207" t="s">
        <v>31</v>
      </c>
      <c r="L15" s="204">
        <v>111459</v>
      </c>
      <c r="M15" s="204">
        <v>1397</v>
      </c>
    </row>
    <row r="16" spans="1:13">
      <c r="A16" t="str">
        <f t="shared" si="1"/>
        <v>Normal Butylene</v>
      </c>
      <c r="B16" s="15" t="s">
        <v>43</v>
      </c>
      <c r="C16" s="12" t="s">
        <v>31</v>
      </c>
      <c r="D16" s="12" t="s">
        <v>31</v>
      </c>
      <c r="E16" s="11">
        <v>-2397</v>
      </c>
      <c r="F16" s="11">
        <v>2433</v>
      </c>
      <c r="G16" s="12"/>
      <c r="H16" s="12" t="s">
        <v>31</v>
      </c>
      <c r="I16" s="13">
        <v>-1165</v>
      </c>
      <c r="J16" s="16" t="s">
        <v>31</v>
      </c>
      <c r="K16" s="16" t="s">
        <v>31</v>
      </c>
      <c r="L16" s="13">
        <v>1201</v>
      </c>
      <c r="M16" s="11">
        <v>1204</v>
      </c>
    </row>
    <row r="17" spans="1:13">
      <c r="A17" t="str">
        <f t="shared" si="1"/>
        <v>Isobutylene</v>
      </c>
      <c r="B17" s="15" t="s">
        <v>44</v>
      </c>
      <c r="C17" s="12" t="s">
        <v>31</v>
      </c>
      <c r="D17" s="12" t="s">
        <v>31</v>
      </c>
      <c r="E17" s="11">
        <v>286</v>
      </c>
      <c r="F17" s="11" t="s">
        <v>35</v>
      </c>
      <c r="G17" s="12"/>
      <c r="H17" s="12" t="s">
        <v>31</v>
      </c>
      <c r="I17" s="13">
        <v>6</v>
      </c>
      <c r="J17" s="16" t="s">
        <v>31</v>
      </c>
      <c r="K17" s="16" t="s">
        <v>31</v>
      </c>
      <c r="L17" s="13">
        <v>280</v>
      </c>
      <c r="M17" s="11">
        <v>30</v>
      </c>
    </row>
    <row r="18" spans="1:13">
      <c r="A18" t="str">
        <f t="shared" si="1"/>
        <v>Other Liquids</v>
      </c>
      <c r="B18" s="10" t="s">
        <v>45</v>
      </c>
      <c r="C18" s="12" t="s">
        <v>31</v>
      </c>
      <c r="D18" s="11">
        <v>443737</v>
      </c>
      <c r="E18" s="12" t="s">
        <v>31</v>
      </c>
      <c r="F18" s="11">
        <v>471784</v>
      </c>
      <c r="G18" s="12"/>
      <c r="H18" s="11">
        <v>19117</v>
      </c>
      <c r="I18" s="13">
        <v>8685</v>
      </c>
      <c r="J18" s="13">
        <v>741289</v>
      </c>
      <c r="K18" s="13">
        <v>171592</v>
      </c>
      <c r="L18" s="13">
        <v>13072</v>
      </c>
      <c r="M18" s="11">
        <v>328230</v>
      </c>
    </row>
    <row r="19" spans="1:13">
      <c r="A19" t="str">
        <f t="shared" si="1"/>
        <v>Hydrogen/Oxygenates/Renewables/Other Hydrocarbons</v>
      </c>
      <c r="B19" s="14" t="s">
        <v>46</v>
      </c>
      <c r="C19" s="12" t="s">
        <v>31</v>
      </c>
      <c r="D19" s="11">
        <v>443788</v>
      </c>
      <c r="E19" s="12" t="s">
        <v>31</v>
      </c>
      <c r="F19" s="11">
        <v>19778</v>
      </c>
      <c r="G19" s="12"/>
      <c r="H19" s="11">
        <v>36824</v>
      </c>
      <c r="I19" s="13">
        <v>577</v>
      </c>
      <c r="J19" s="13">
        <v>439078</v>
      </c>
      <c r="K19" s="13">
        <v>60735</v>
      </c>
      <c r="L19" s="13">
        <v>0</v>
      </c>
      <c r="M19" s="11">
        <v>29585</v>
      </c>
    </row>
    <row r="20" spans="1:13">
      <c r="A20" t="str">
        <f t="shared" si="1"/>
        <v>Hydrogen</v>
      </c>
      <c r="B20" s="15" t="s">
        <v>47</v>
      </c>
      <c r="C20" s="12" t="s">
        <v>31</v>
      </c>
      <c r="D20" s="12" t="s">
        <v>31</v>
      </c>
      <c r="E20" s="12" t="s">
        <v>31</v>
      </c>
      <c r="F20" s="12"/>
      <c r="G20" s="12"/>
      <c r="H20" s="11">
        <v>81091</v>
      </c>
      <c r="I20" s="16" t="s">
        <v>31</v>
      </c>
      <c r="J20" s="13">
        <v>81091</v>
      </c>
      <c r="K20" s="16"/>
      <c r="L20" s="13">
        <v>0</v>
      </c>
      <c r="M20" s="12" t="s">
        <v>31</v>
      </c>
    </row>
    <row r="21" spans="1:13">
      <c r="A21" t="str">
        <f t="shared" si="1"/>
        <v>Oxygenates (excl. Fuel Ethanol)</v>
      </c>
      <c r="B21" s="15" t="s">
        <v>48</v>
      </c>
      <c r="C21" s="12" t="s">
        <v>31</v>
      </c>
      <c r="D21" s="11">
        <v>26360</v>
      </c>
      <c r="E21" s="12" t="s">
        <v>31</v>
      </c>
      <c r="F21" s="11">
        <v>3835</v>
      </c>
      <c r="G21" s="12"/>
      <c r="H21" s="11">
        <v>-4811</v>
      </c>
      <c r="I21" s="13">
        <v>-31</v>
      </c>
      <c r="J21" s="13" t="s">
        <v>35</v>
      </c>
      <c r="K21" s="13">
        <v>25415</v>
      </c>
      <c r="L21" s="13">
        <v>0</v>
      </c>
      <c r="M21" s="11">
        <v>1446</v>
      </c>
    </row>
    <row r="22" spans="1:13">
      <c r="A22" t="str">
        <f t="shared" si="1"/>
        <v>Renewable Fuels (incl. Fuel Ethanol)</v>
      </c>
      <c r="B22" s="15" t="s">
        <v>49</v>
      </c>
      <c r="C22" s="12" t="s">
        <v>31</v>
      </c>
      <c r="D22" s="11">
        <v>417428</v>
      </c>
      <c r="E22" s="12" t="s">
        <v>31</v>
      </c>
      <c r="F22" s="11">
        <v>15707</v>
      </c>
      <c r="G22" s="12"/>
      <c r="H22" s="11">
        <v>-39640</v>
      </c>
      <c r="I22" s="13">
        <v>578</v>
      </c>
      <c r="J22" s="13">
        <v>357597</v>
      </c>
      <c r="K22" s="13">
        <v>35320</v>
      </c>
      <c r="L22" s="13">
        <v>0</v>
      </c>
      <c r="M22" s="11">
        <v>28092</v>
      </c>
    </row>
    <row r="23" spans="1:13">
      <c r="A23" t="str">
        <f t="shared" si="1"/>
        <v>Fuel Ethanol</v>
      </c>
      <c r="B23" s="17" t="s">
        <v>50</v>
      </c>
      <c r="C23" s="12" t="s">
        <v>31</v>
      </c>
      <c r="D23" s="11">
        <v>379435</v>
      </c>
      <c r="E23" s="12" t="s">
        <v>31</v>
      </c>
      <c r="F23" s="11">
        <v>1824</v>
      </c>
      <c r="G23" s="12"/>
      <c r="H23" s="11">
        <v>-9859</v>
      </c>
      <c r="I23" s="13">
        <v>3285</v>
      </c>
      <c r="J23" s="13">
        <v>335023</v>
      </c>
      <c r="K23" s="13">
        <v>33092</v>
      </c>
      <c r="L23" s="13">
        <v>0</v>
      </c>
      <c r="M23" s="11">
        <v>23043</v>
      </c>
    </row>
    <row r="24" spans="1:13">
      <c r="A24" t="str">
        <f t="shared" si="1"/>
        <v>Renewable Fuels Except Fuel Ethanol</v>
      </c>
      <c r="B24" s="17" t="s">
        <v>51</v>
      </c>
      <c r="C24" s="12" t="s">
        <v>31</v>
      </c>
      <c r="D24" s="11">
        <v>37993</v>
      </c>
      <c r="E24" s="12" t="s">
        <v>31</v>
      </c>
      <c r="F24" s="11">
        <v>13883</v>
      </c>
      <c r="G24" s="12"/>
      <c r="H24" s="11">
        <v>-29781</v>
      </c>
      <c r="I24" s="13">
        <v>-2707</v>
      </c>
      <c r="J24" s="13">
        <v>22574</v>
      </c>
      <c r="K24" s="13">
        <v>2228</v>
      </c>
      <c r="L24" s="13">
        <v>0</v>
      </c>
      <c r="M24" s="11">
        <v>5049</v>
      </c>
    </row>
    <row r="25" spans="1:13">
      <c r="A25" t="str">
        <f t="shared" si="1"/>
        <v>Other Hydrocarbons</v>
      </c>
      <c r="B25" s="15" t="s">
        <v>52</v>
      </c>
      <c r="C25" s="12" t="s">
        <v>31</v>
      </c>
      <c r="D25" s="12" t="s">
        <v>31</v>
      </c>
      <c r="E25" s="12" t="s">
        <v>31</v>
      </c>
      <c r="F25" s="11">
        <v>236</v>
      </c>
      <c r="G25" s="12"/>
      <c r="H25" s="11">
        <v>184</v>
      </c>
      <c r="I25" s="13">
        <v>30</v>
      </c>
      <c r="J25" s="13">
        <v>390</v>
      </c>
      <c r="K25" s="16"/>
      <c r="L25" s="13">
        <v>0</v>
      </c>
      <c r="M25" s="11">
        <v>47</v>
      </c>
    </row>
    <row r="26" spans="1:13">
      <c r="A26" t="str">
        <f t="shared" si="1"/>
        <v>Unfinished Oils</v>
      </c>
      <c r="B26" s="14" t="s">
        <v>53</v>
      </c>
      <c r="C26" s="12" t="s">
        <v>31</v>
      </c>
      <c r="D26" s="12" t="s">
        <v>31</v>
      </c>
      <c r="E26" s="12" t="s">
        <v>31</v>
      </c>
      <c r="F26" s="11">
        <v>231478</v>
      </c>
      <c r="G26" s="12"/>
      <c r="H26" s="12" t="s">
        <v>31</v>
      </c>
      <c r="I26" s="13">
        <v>6013</v>
      </c>
      <c r="J26" s="13">
        <v>129406</v>
      </c>
      <c r="K26" s="13">
        <v>82949</v>
      </c>
      <c r="L26" s="13">
        <v>13110</v>
      </c>
      <c r="M26" s="11">
        <v>86337</v>
      </c>
    </row>
    <row r="27" spans="1:13">
      <c r="A27" t="str">
        <f t="shared" si="1"/>
        <v>Motor Gasoline Blend. Comp.</v>
      </c>
      <c r="B27" s="14" t="s">
        <v>54</v>
      </c>
      <c r="C27" s="12" t="s">
        <v>31</v>
      </c>
      <c r="D27" s="11">
        <v>-51</v>
      </c>
      <c r="E27" s="12" t="s">
        <v>31</v>
      </c>
      <c r="F27" s="11">
        <v>220528</v>
      </c>
      <c r="G27" s="12"/>
      <c r="H27" s="11">
        <v>-17707</v>
      </c>
      <c r="I27" s="13">
        <v>2089</v>
      </c>
      <c r="J27" s="13">
        <v>172773</v>
      </c>
      <c r="K27" s="13">
        <v>27908</v>
      </c>
      <c r="L27" s="13">
        <v>0</v>
      </c>
      <c r="M27" s="11">
        <v>212293</v>
      </c>
    </row>
    <row r="28" spans="1:13">
      <c r="A28" t="str">
        <f t="shared" si="1"/>
        <v>Reformulated</v>
      </c>
      <c r="B28" s="15" t="s">
        <v>55</v>
      </c>
      <c r="C28" s="12" t="s">
        <v>31</v>
      </c>
      <c r="D28" s="11">
        <v>-3</v>
      </c>
      <c r="E28" s="12" t="s">
        <v>31</v>
      </c>
      <c r="F28" s="11">
        <v>76948</v>
      </c>
      <c r="G28" s="12"/>
      <c r="H28" s="11">
        <v>65150</v>
      </c>
      <c r="I28" s="13">
        <v>1299</v>
      </c>
      <c r="J28" s="13">
        <v>140697</v>
      </c>
      <c r="K28" s="13">
        <v>99</v>
      </c>
      <c r="L28" s="13">
        <v>0</v>
      </c>
      <c r="M28" s="11">
        <v>53447</v>
      </c>
    </row>
    <row r="29" spans="1:13">
      <c r="A29" t="str">
        <f t="shared" si="1"/>
        <v>Conventional</v>
      </c>
      <c r="B29" s="15" t="s">
        <v>56</v>
      </c>
      <c r="C29" s="12" t="s">
        <v>31</v>
      </c>
      <c r="D29" s="11">
        <v>-48</v>
      </c>
      <c r="E29" s="12" t="s">
        <v>31</v>
      </c>
      <c r="F29" s="11">
        <v>143580</v>
      </c>
      <c r="G29" s="12"/>
      <c r="H29" s="11">
        <v>-82856</v>
      </c>
      <c r="I29" s="13">
        <v>790</v>
      </c>
      <c r="J29" s="13">
        <v>32076</v>
      </c>
      <c r="K29" s="13">
        <v>27810</v>
      </c>
      <c r="L29" s="13">
        <v>0</v>
      </c>
      <c r="M29" s="11">
        <v>158846</v>
      </c>
    </row>
    <row r="30" spans="1:13">
      <c r="A30" t="str">
        <f t="shared" si="1"/>
        <v>Aviation Gasoline Blend. Comp.</v>
      </c>
      <c r="B30" s="14" t="s">
        <v>57</v>
      </c>
      <c r="C30" s="12" t="s">
        <v>31</v>
      </c>
      <c r="D30" s="12" t="s">
        <v>31</v>
      </c>
      <c r="E30" s="12" t="s">
        <v>31</v>
      </c>
      <c r="F30" s="11" t="s">
        <v>35</v>
      </c>
      <c r="G30" s="12"/>
      <c r="H30" s="12" t="s">
        <v>31</v>
      </c>
      <c r="I30" s="13">
        <v>6</v>
      </c>
      <c r="J30" s="13">
        <v>32</v>
      </c>
      <c r="K30" s="13" t="s">
        <v>35</v>
      </c>
      <c r="L30" s="13">
        <v>-38</v>
      </c>
      <c r="M30" s="11">
        <v>15</v>
      </c>
    </row>
    <row r="31" spans="1:13">
      <c r="A31" t="str">
        <f t="shared" si="1"/>
        <v>Finished Petroleum Products</v>
      </c>
      <c r="B31" s="10" t="s">
        <v>58</v>
      </c>
      <c r="C31" s="12" t="s">
        <v>31</v>
      </c>
      <c r="D31" s="11">
        <v>1336</v>
      </c>
      <c r="E31" s="11">
        <v>7179380</v>
      </c>
      <c r="F31" s="11">
        <v>250759</v>
      </c>
      <c r="G31" s="12"/>
      <c r="H31" s="11">
        <v>57659</v>
      </c>
      <c r="I31" s="13">
        <v>-38269</v>
      </c>
      <c r="J31" s="16" t="s">
        <v>31</v>
      </c>
      <c r="K31" s="13">
        <v>1220551</v>
      </c>
      <c r="L31" s="13">
        <v>6306852</v>
      </c>
      <c r="M31" s="11">
        <v>291859</v>
      </c>
    </row>
    <row r="32" spans="1:13">
      <c r="A32" t="str">
        <f t="shared" si="1"/>
        <v>Finished Motor Gasoline</v>
      </c>
      <c r="B32" s="14" t="s">
        <v>59</v>
      </c>
      <c r="C32" s="12" t="s">
        <v>31</v>
      </c>
      <c r="D32" s="11">
        <v>1336</v>
      </c>
      <c r="E32" s="11">
        <v>3633123</v>
      </c>
      <c r="F32" s="11">
        <v>11784</v>
      </c>
      <c r="G32" s="12"/>
      <c r="H32" s="11">
        <v>27566</v>
      </c>
      <c r="I32" s="13">
        <v>-3860</v>
      </c>
      <c r="J32" s="16" t="s">
        <v>31</v>
      </c>
      <c r="K32" s="13">
        <v>273483</v>
      </c>
      <c r="L32" s="13">
        <v>3404186</v>
      </c>
      <c r="M32" s="11">
        <v>24523</v>
      </c>
    </row>
    <row r="33" spans="1:13">
      <c r="A33" t="str">
        <f t="shared" si="1"/>
        <v>Reformulated</v>
      </c>
      <c r="B33" s="15" t="s">
        <v>55</v>
      </c>
      <c r="C33" s="12" t="s">
        <v>31</v>
      </c>
      <c r="D33" s="12"/>
      <c r="E33" s="11">
        <v>1187104</v>
      </c>
      <c r="F33" s="11" t="s">
        <v>35</v>
      </c>
      <c r="G33" s="12"/>
      <c r="H33" s="11">
        <v>-59342</v>
      </c>
      <c r="I33" s="13">
        <v>-7</v>
      </c>
      <c r="J33" s="16" t="s">
        <v>31</v>
      </c>
      <c r="K33" s="13" t="s">
        <v>35</v>
      </c>
      <c r="L33" s="13">
        <v>1127769</v>
      </c>
      <c r="M33" s="11">
        <v>40</v>
      </c>
    </row>
    <row r="34" spans="1:13">
      <c r="A34" t="str">
        <f t="shared" si="1"/>
        <v>Conventional</v>
      </c>
      <c r="B34" s="15" t="s">
        <v>56</v>
      </c>
      <c r="C34" s="12" t="s">
        <v>31</v>
      </c>
      <c r="D34" s="11">
        <v>1336</v>
      </c>
      <c r="E34" s="11">
        <v>2446019</v>
      </c>
      <c r="F34" s="11">
        <v>11784</v>
      </c>
      <c r="G34" s="12"/>
      <c r="H34" s="11">
        <v>86908</v>
      </c>
      <c r="I34" s="13">
        <v>-3853</v>
      </c>
      <c r="J34" s="16" t="s">
        <v>31</v>
      </c>
      <c r="K34" s="13">
        <v>273483</v>
      </c>
      <c r="L34" s="13">
        <v>2276417</v>
      </c>
      <c r="M34" s="11">
        <v>24483</v>
      </c>
    </row>
    <row r="35" spans="1:13">
      <c r="A35" t="str">
        <f t="shared" si="1"/>
        <v>Finished Aviation Gasoline</v>
      </c>
      <c r="B35" s="14" t="s">
        <v>60</v>
      </c>
      <c r="C35" s="12" t="s">
        <v>31</v>
      </c>
      <c r="D35" s="12" t="s">
        <v>31</v>
      </c>
      <c r="E35" s="11">
        <v>4032</v>
      </c>
      <c r="F35" s="11">
        <v>165</v>
      </c>
      <c r="G35" s="12"/>
      <c r="H35" s="12" t="s">
        <v>31</v>
      </c>
      <c r="I35" s="13">
        <v>47</v>
      </c>
      <c r="J35" s="16" t="s">
        <v>31</v>
      </c>
      <c r="K35" s="13" t="s">
        <v>35</v>
      </c>
      <c r="L35" s="13">
        <v>4150</v>
      </c>
      <c r="M35" s="11">
        <v>1041</v>
      </c>
    </row>
    <row r="36" spans="1:13">
      <c r="A36" t="str">
        <f t="shared" si="1"/>
        <v>Kerosene-Type Jet Fuel</v>
      </c>
      <c r="B36" s="14" t="s">
        <v>61</v>
      </c>
      <c r="C36" s="12" t="s">
        <v>31</v>
      </c>
      <c r="D36" s="12" t="s">
        <v>31</v>
      </c>
      <c r="E36" s="11">
        <v>621176</v>
      </c>
      <c r="F36" s="11">
        <v>58273</v>
      </c>
      <c r="G36" s="12"/>
      <c r="H36" s="12" t="s">
        <v>31</v>
      </c>
      <c r="I36" s="13">
        <v>-1706</v>
      </c>
      <c r="J36" s="16" t="s">
        <v>31</v>
      </c>
      <c r="K36" s="13">
        <v>67161</v>
      </c>
      <c r="L36" s="13">
        <v>613994</v>
      </c>
      <c r="M36" s="11">
        <v>41304</v>
      </c>
    </row>
    <row r="37" spans="1:13">
      <c r="A37" t="str">
        <f t="shared" si="1"/>
        <v>Kerosene</v>
      </c>
      <c r="B37" s="14" t="s">
        <v>62</v>
      </c>
      <c r="C37" s="12" t="s">
        <v>31</v>
      </c>
      <c r="D37" s="12" t="s">
        <v>31</v>
      </c>
      <c r="E37" s="11">
        <v>2738</v>
      </c>
      <c r="F37" s="11">
        <v>1429</v>
      </c>
      <c r="G37" s="12"/>
      <c r="H37" s="12" t="s">
        <v>31</v>
      </c>
      <c r="I37" s="13">
        <v>10</v>
      </c>
      <c r="J37" s="16" t="s">
        <v>31</v>
      </c>
      <c r="K37" s="13">
        <v>2267</v>
      </c>
      <c r="L37" s="13">
        <v>1890</v>
      </c>
      <c r="M37" s="11">
        <v>2138</v>
      </c>
    </row>
    <row r="38" spans="1:13">
      <c r="A38" t="str">
        <f t="shared" si="1"/>
        <v>Distillate Fuel Oil</v>
      </c>
      <c r="B38" s="14" t="s">
        <v>63</v>
      </c>
      <c r="C38" s="12" t="s">
        <v>31</v>
      </c>
      <c r="D38" s="12" t="s">
        <v>31</v>
      </c>
      <c r="E38" s="11">
        <v>1833879</v>
      </c>
      <c r="F38" s="11">
        <v>54975</v>
      </c>
      <c r="G38" s="12"/>
      <c r="H38" s="11">
        <v>30093</v>
      </c>
      <c r="I38" s="13">
        <v>-20457</v>
      </c>
      <c r="J38" s="16" t="s">
        <v>31</v>
      </c>
      <c r="K38" s="13">
        <v>504155</v>
      </c>
      <c r="L38" s="13">
        <v>1435249</v>
      </c>
      <c r="M38" s="11">
        <v>145638</v>
      </c>
    </row>
    <row r="39" spans="1:13">
      <c r="A39" t="str">
        <f t="shared" si="1"/>
        <v>15 ppm Sulfur and Under</v>
      </c>
      <c r="B39" s="15" t="s">
        <v>64</v>
      </c>
      <c r="C39" s="12" t="s">
        <v>31</v>
      </c>
      <c r="D39" s="12" t="s">
        <v>31</v>
      </c>
      <c r="E39" s="11">
        <v>1713652</v>
      </c>
      <c r="F39" s="11">
        <v>37012</v>
      </c>
      <c r="G39" s="12"/>
      <c r="H39" s="11">
        <v>30093</v>
      </c>
      <c r="I39" s="13">
        <v>-16256</v>
      </c>
      <c r="J39" s="16" t="s">
        <v>31</v>
      </c>
      <c r="K39" s="13">
        <v>423862</v>
      </c>
      <c r="L39" s="13">
        <v>1373151</v>
      </c>
      <c r="M39" s="11">
        <v>128016</v>
      </c>
    </row>
    <row r="40" spans="1:13">
      <c r="A40" t="str">
        <f t="shared" si="1"/>
        <v>Greater than 15 to 500 ppm Sulfur</v>
      </c>
      <c r="B40" s="15" t="s">
        <v>65</v>
      </c>
      <c r="C40" s="12" t="s">
        <v>31</v>
      </c>
      <c r="D40" s="12" t="s">
        <v>31</v>
      </c>
      <c r="E40" s="11">
        <v>42167</v>
      </c>
      <c r="F40" s="11">
        <v>759</v>
      </c>
      <c r="G40" s="12"/>
      <c r="H40" s="11" t="s">
        <v>35</v>
      </c>
      <c r="I40" s="13">
        <v>-929</v>
      </c>
      <c r="J40" s="16" t="s">
        <v>31</v>
      </c>
      <c r="K40" s="13">
        <v>41645</v>
      </c>
      <c r="L40" s="13">
        <v>2210</v>
      </c>
      <c r="M40" s="11">
        <v>7480</v>
      </c>
    </row>
    <row r="41" spans="1:13">
      <c r="A41" t="str">
        <f t="shared" si="1"/>
        <v>Greater than 500 ppm Sulfur</v>
      </c>
      <c r="B41" s="15" t="s">
        <v>66</v>
      </c>
      <c r="C41" s="12" t="s">
        <v>31</v>
      </c>
      <c r="D41" s="12" t="s">
        <v>31</v>
      </c>
      <c r="E41" s="11">
        <v>78060</v>
      </c>
      <c r="F41" s="11">
        <v>17204</v>
      </c>
      <c r="G41" s="12"/>
      <c r="H41" s="12" t="s">
        <v>31</v>
      </c>
      <c r="I41" s="13">
        <v>-3272</v>
      </c>
      <c r="J41" s="16" t="s">
        <v>31</v>
      </c>
      <c r="K41" s="13">
        <v>38648</v>
      </c>
      <c r="L41" s="13">
        <v>59888</v>
      </c>
      <c r="M41" s="11">
        <v>10142</v>
      </c>
    </row>
    <row r="42" spans="1:13">
      <c r="A42" t="str">
        <f t="shared" si="1"/>
        <v>Residual Fuel Oil</v>
      </c>
      <c r="B42" s="14" t="s">
        <v>67</v>
      </c>
      <c r="C42" s="12" t="s">
        <v>31</v>
      </c>
      <c r="D42" s="12" t="s">
        <v>31</v>
      </c>
      <c r="E42" s="11">
        <v>155851</v>
      </c>
      <c r="F42" s="11">
        <v>69015</v>
      </c>
      <c r="G42" s="12"/>
      <c r="H42" s="12" t="s">
        <v>31</v>
      </c>
      <c r="I42" s="13">
        <v>-12098</v>
      </c>
      <c r="J42" s="16" t="s">
        <v>31</v>
      </c>
      <c r="K42" s="13">
        <v>112240</v>
      </c>
      <c r="L42" s="13">
        <v>124724</v>
      </c>
      <c r="M42" s="11">
        <v>29377</v>
      </c>
    </row>
    <row r="43" spans="1:13">
      <c r="A43" t="str">
        <f t="shared" si="1"/>
        <v>Less than 0.31% Sulfur</v>
      </c>
      <c r="B43" s="15" t="s">
        <v>68</v>
      </c>
      <c r="C43" s="12" t="s">
        <v>31</v>
      </c>
      <c r="D43" s="12" t="s">
        <v>31</v>
      </c>
      <c r="E43" s="11">
        <v>18946</v>
      </c>
      <c r="F43" s="11">
        <v>4112</v>
      </c>
      <c r="G43" s="12"/>
      <c r="H43" s="12" t="s">
        <v>31</v>
      </c>
      <c r="I43" s="13">
        <v>-2600</v>
      </c>
      <c r="J43" s="16" t="s">
        <v>31</v>
      </c>
      <c r="K43" s="16" t="s">
        <v>69</v>
      </c>
      <c r="L43" s="16" t="s">
        <v>69</v>
      </c>
      <c r="M43" s="11">
        <v>1928</v>
      </c>
    </row>
    <row r="44" spans="1:13">
      <c r="A44" t="str">
        <f t="shared" si="1"/>
        <v>0.31 to 1.00% Sulfur</v>
      </c>
      <c r="B44" s="15" t="s">
        <v>70</v>
      </c>
      <c r="C44" s="12" t="s">
        <v>31</v>
      </c>
      <c r="D44" s="12" t="s">
        <v>31</v>
      </c>
      <c r="E44" s="11">
        <v>19577</v>
      </c>
      <c r="F44" s="11">
        <v>7295</v>
      </c>
      <c r="G44" s="12"/>
      <c r="H44" s="12" t="s">
        <v>31</v>
      </c>
      <c r="I44" s="13">
        <v>-1119</v>
      </c>
      <c r="J44" s="16" t="s">
        <v>31</v>
      </c>
      <c r="K44" s="16" t="s">
        <v>69</v>
      </c>
      <c r="L44" s="16" t="s">
        <v>69</v>
      </c>
      <c r="M44" s="11">
        <v>6822</v>
      </c>
    </row>
    <row r="45" spans="1:13">
      <c r="A45" t="str">
        <f t="shared" si="1"/>
        <v>Greater than 1.00% Sulfur</v>
      </c>
      <c r="B45" s="15" t="s">
        <v>71</v>
      </c>
      <c r="C45" s="12" t="s">
        <v>31</v>
      </c>
      <c r="D45" s="12" t="s">
        <v>31</v>
      </c>
      <c r="E45" s="11">
        <v>117328</v>
      </c>
      <c r="F45" s="11">
        <v>57608</v>
      </c>
      <c r="G45" s="12"/>
      <c r="H45" s="12" t="s">
        <v>31</v>
      </c>
      <c r="I45" s="13">
        <v>-8379</v>
      </c>
      <c r="J45" s="16" t="s">
        <v>31</v>
      </c>
      <c r="K45" s="16" t="s">
        <v>69</v>
      </c>
      <c r="L45" s="16" t="s">
        <v>69</v>
      </c>
      <c r="M45" s="11">
        <v>20621</v>
      </c>
    </row>
    <row r="46" spans="1:13">
      <c r="A46" t="str">
        <f t="shared" si="1"/>
        <v>Petrochemical Feedstocks</v>
      </c>
      <c r="B46" s="14" t="s">
        <v>72</v>
      </c>
      <c r="C46" s="12" t="s">
        <v>31</v>
      </c>
      <c r="D46" s="12" t="s">
        <v>31</v>
      </c>
      <c r="E46" s="11">
        <v>112198</v>
      </c>
      <c r="F46" s="11">
        <v>15696</v>
      </c>
      <c r="G46" s="12"/>
      <c r="H46" s="12" t="s">
        <v>31</v>
      </c>
      <c r="I46" s="13">
        <v>-357</v>
      </c>
      <c r="J46" s="16" t="s">
        <v>31</v>
      </c>
      <c r="K46" s="13" t="s">
        <v>35</v>
      </c>
      <c r="L46" s="13">
        <v>128251</v>
      </c>
      <c r="M46" s="11">
        <v>2883</v>
      </c>
    </row>
    <row r="47" spans="1:13">
      <c r="A47" t="str">
        <f t="shared" si="1"/>
        <v>Naphtha for Petro. Feed. Use</v>
      </c>
      <c r="B47" s="15" t="s">
        <v>73</v>
      </c>
      <c r="C47" s="12" t="s">
        <v>31</v>
      </c>
      <c r="D47" s="12" t="s">
        <v>31</v>
      </c>
      <c r="E47" s="11">
        <v>71578</v>
      </c>
      <c r="F47" s="11">
        <v>11373</v>
      </c>
      <c r="G47" s="12"/>
      <c r="H47" s="12" t="s">
        <v>31</v>
      </c>
      <c r="I47" s="13">
        <v>-162</v>
      </c>
      <c r="J47" s="16" t="s">
        <v>31</v>
      </c>
      <c r="K47" s="13" t="s">
        <v>35</v>
      </c>
      <c r="L47" s="13">
        <v>83113</v>
      </c>
      <c r="M47" s="11">
        <v>1849</v>
      </c>
    </row>
    <row r="48" spans="1:13">
      <c r="A48" t="str">
        <f t="shared" si="1"/>
        <v>Other Oils for Petro. Feed. Use</v>
      </c>
      <c r="B48" s="15" t="s">
        <v>74</v>
      </c>
      <c r="C48" s="12" t="s">
        <v>31</v>
      </c>
      <c r="D48" s="12" t="s">
        <v>31</v>
      </c>
      <c r="E48" s="11">
        <v>40620</v>
      </c>
      <c r="F48" s="11">
        <v>4323</v>
      </c>
      <c r="G48" s="12"/>
      <c r="H48" s="12" t="s">
        <v>31</v>
      </c>
      <c r="I48" s="13">
        <v>-195</v>
      </c>
      <c r="J48" s="16" t="s">
        <v>31</v>
      </c>
      <c r="K48" s="13" t="s">
        <v>35</v>
      </c>
      <c r="L48" s="13">
        <v>45138</v>
      </c>
      <c r="M48" s="11">
        <v>1034</v>
      </c>
    </row>
    <row r="49" spans="1:13">
      <c r="A49" t="str">
        <f t="shared" si="1"/>
        <v>Special Naphthas</v>
      </c>
      <c r="B49" s="14" t="s">
        <v>75</v>
      </c>
      <c r="C49" s="12" t="s">
        <v>31</v>
      </c>
      <c r="D49" s="12" t="s">
        <v>31</v>
      </c>
      <c r="E49" s="11">
        <v>13688</v>
      </c>
      <c r="F49" s="11">
        <v>5405</v>
      </c>
      <c r="G49" s="12"/>
      <c r="H49" s="12" t="s">
        <v>31</v>
      </c>
      <c r="I49" s="13">
        <v>-26</v>
      </c>
      <c r="J49" s="16" t="s">
        <v>31</v>
      </c>
      <c r="K49" s="13" t="s">
        <v>35</v>
      </c>
      <c r="L49" s="13">
        <v>19119</v>
      </c>
      <c r="M49" s="11">
        <v>1192</v>
      </c>
    </row>
    <row r="50" spans="1:13">
      <c r="A50" t="str">
        <f t="shared" si="1"/>
        <v>Lubricants</v>
      </c>
      <c r="B50" s="14" t="s">
        <v>76</v>
      </c>
      <c r="C50" s="12" t="s">
        <v>31</v>
      </c>
      <c r="D50" s="12" t="s">
        <v>31</v>
      </c>
      <c r="E50" s="11">
        <v>64970</v>
      </c>
      <c r="F50" s="11">
        <v>14901</v>
      </c>
      <c r="G50" s="12"/>
      <c r="H50" s="12" t="s">
        <v>31</v>
      </c>
      <c r="I50" s="13">
        <v>-347</v>
      </c>
      <c r="J50" s="16" t="s">
        <v>31</v>
      </c>
      <c r="K50" s="13">
        <v>36215</v>
      </c>
      <c r="L50" s="13">
        <v>44003</v>
      </c>
      <c r="M50" s="11">
        <v>12021</v>
      </c>
    </row>
    <row r="51" spans="1:13">
      <c r="A51" t="str">
        <f t="shared" si="1"/>
        <v>Waxes</v>
      </c>
      <c r="B51" s="14" t="s">
        <v>77</v>
      </c>
      <c r="C51" s="12" t="s">
        <v>31</v>
      </c>
      <c r="D51" s="12" t="s">
        <v>31</v>
      </c>
      <c r="E51" s="11">
        <v>1774</v>
      </c>
      <c r="F51" s="11">
        <v>1724</v>
      </c>
      <c r="G51" s="12"/>
      <c r="H51" s="12" t="s">
        <v>31</v>
      </c>
      <c r="I51" s="13">
        <v>184</v>
      </c>
      <c r="J51" s="16" t="s">
        <v>31</v>
      </c>
      <c r="K51" s="13">
        <v>1479</v>
      </c>
      <c r="L51" s="13">
        <v>1835</v>
      </c>
      <c r="M51" s="11">
        <v>855</v>
      </c>
    </row>
    <row r="52" spans="1:13">
      <c r="A52" t="str">
        <f t="shared" si="1"/>
        <v>Petroleum Coke</v>
      </c>
      <c r="B52" s="14" t="s">
        <v>78</v>
      </c>
      <c r="C52" s="12" t="s">
        <v>31</v>
      </c>
      <c r="D52" s="12" t="s">
        <v>31</v>
      </c>
      <c r="E52" s="11">
        <v>329170</v>
      </c>
      <c r="F52" s="11">
        <v>3662</v>
      </c>
      <c r="G52" s="12"/>
      <c r="H52" s="12" t="s">
        <v>31</v>
      </c>
      <c r="I52" s="13">
        <v>1536</v>
      </c>
      <c r="J52" s="16" t="s">
        <v>31</v>
      </c>
      <c r="K52" s="13">
        <v>215873</v>
      </c>
      <c r="L52" s="13">
        <v>115423</v>
      </c>
      <c r="M52" s="11">
        <v>8519</v>
      </c>
    </row>
    <row r="53" spans="1:13">
      <c r="A53" t="str">
        <f t="shared" si="1"/>
        <v>Marketable</v>
      </c>
      <c r="B53" s="15" t="s">
        <v>79</v>
      </c>
      <c r="C53" s="12" t="s">
        <v>31</v>
      </c>
      <c r="D53" s="12" t="s">
        <v>31</v>
      </c>
      <c r="E53" s="11">
        <v>245213</v>
      </c>
      <c r="F53" s="11">
        <v>3662</v>
      </c>
      <c r="G53" s="12"/>
      <c r="H53" s="12" t="s">
        <v>31</v>
      </c>
      <c r="I53" s="13">
        <v>1536</v>
      </c>
      <c r="J53" s="16" t="s">
        <v>31</v>
      </c>
      <c r="K53" s="13">
        <v>215873</v>
      </c>
      <c r="L53" s="13">
        <v>31466</v>
      </c>
      <c r="M53" s="11">
        <v>8519</v>
      </c>
    </row>
    <row r="54" spans="1:13">
      <c r="A54" t="str">
        <f t="shared" si="1"/>
        <v>Catalyst</v>
      </c>
      <c r="B54" s="15" t="s">
        <v>80</v>
      </c>
      <c r="C54" s="12" t="s">
        <v>31</v>
      </c>
      <c r="D54" s="12" t="s">
        <v>31</v>
      </c>
      <c r="E54" s="11">
        <v>83957</v>
      </c>
      <c r="F54" s="12" t="s">
        <v>31</v>
      </c>
      <c r="G54" s="12" t="s">
        <v>31</v>
      </c>
      <c r="H54" s="12" t="s">
        <v>31</v>
      </c>
      <c r="I54" s="16" t="s">
        <v>31</v>
      </c>
      <c r="J54" s="16" t="s">
        <v>31</v>
      </c>
      <c r="K54" s="16" t="s">
        <v>31</v>
      </c>
      <c r="L54" s="13">
        <v>83957</v>
      </c>
      <c r="M54" s="12" t="s">
        <v>31</v>
      </c>
    </row>
    <row r="55" spans="1:13">
      <c r="A55" t="str">
        <f t="shared" si="1"/>
        <v>Asphalt and Road Oil</v>
      </c>
      <c r="B55" s="14" t="s">
        <v>81</v>
      </c>
      <c r="C55" s="12" t="s">
        <v>31</v>
      </c>
      <c r="D55" s="12" t="s">
        <v>31</v>
      </c>
      <c r="E55" s="11">
        <v>120515</v>
      </c>
      <c r="F55" s="11">
        <v>13666</v>
      </c>
      <c r="G55" s="12"/>
      <c r="H55" s="12" t="s">
        <v>31</v>
      </c>
      <c r="I55" s="13">
        <v>-1184</v>
      </c>
      <c r="J55" s="16" t="s">
        <v>31</v>
      </c>
      <c r="K55" s="13">
        <v>7399</v>
      </c>
      <c r="L55" s="13">
        <v>127966</v>
      </c>
      <c r="M55" s="11">
        <v>21697</v>
      </c>
    </row>
    <row r="56" spans="1:13">
      <c r="A56" t="str">
        <f t="shared" si="1"/>
        <v>Still Gas</v>
      </c>
      <c r="B56" s="14" t="s">
        <v>82</v>
      </c>
      <c r="C56" s="12" t="s">
        <v>31</v>
      </c>
      <c r="D56" s="12" t="s">
        <v>31</v>
      </c>
      <c r="E56" s="11">
        <v>251761</v>
      </c>
      <c r="F56" s="12" t="s">
        <v>31</v>
      </c>
      <c r="G56" s="12" t="s">
        <v>31</v>
      </c>
      <c r="H56" s="12" t="s">
        <v>31</v>
      </c>
      <c r="I56" s="16" t="s">
        <v>31</v>
      </c>
      <c r="J56" s="16" t="s">
        <v>31</v>
      </c>
      <c r="K56" s="16" t="s">
        <v>31</v>
      </c>
      <c r="L56" s="13">
        <v>251761</v>
      </c>
      <c r="M56" s="12" t="s">
        <v>31</v>
      </c>
    </row>
    <row r="57" spans="1:13">
      <c r="A57" t="str">
        <f t="shared" si="1"/>
        <v>Miscellaneous Products</v>
      </c>
      <c r="B57" s="14" t="s">
        <v>83</v>
      </c>
      <c r="C57" s="12" t="s">
        <v>31</v>
      </c>
      <c r="D57" s="12" t="s">
        <v>31</v>
      </c>
      <c r="E57" s="11">
        <v>34505</v>
      </c>
      <c r="F57" s="11">
        <v>64</v>
      </c>
      <c r="G57" s="12"/>
      <c r="H57" s="12" t="s">
        <v>31</v>
      </c>
      <c r="I57" s="13">
        <v>-11</v>
      </c>
      <c r="J57" s="16" t="s">
        <v>31</v>
      </c>
      <c r="K57" s="13">
        <v>279</v>
      </c>
      <c r="L57" s="13">
        <v>34301</v>
      </c>
      <c r="M57" s="11">
        <v>671</v>
      </c>
    </row>
  </sheetData>
  <mergeCells count="3">
    <mergeCell ref="C2:H2"/>
    <mergeCell ref="I2:L2"/>
    <mergeCell ref="M2:M3"/>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8B312-2CA4-49C0-9304-910921BC57CE}">
  <dimension ref="A1:N62"/>
  <sheetViews>
    <sheetView workbookViewId="0">
      <selection sqref="A1:B1"/>
    </sheetView>
  </sheetViews>
  <sheetFormatPr defaultRowHeight="14.5"/>
  <sheetData>
    <row r="1" spans="1:14">
      <c r="A1" s="278"/>
      <c r="B1" s="278"/>
      <c r="C1" s="280"/>
      <c r="D1" s="280"/>
      <c r="E1" s="280"/>
      <c r="F1" s="280"/>
      <c r="G1" s="280"/>
      <c r="H1" s="280"/>
      <c r="I1" s="281"/>
      <c r="J1" s="284"/>
      <c r="K1" s="280"/>
      <c r="L1" s="280"/>
      <c r="M1" s="281"/>
      <c r="N1" s="276"/>
    </row>
    <row r="2" spans="1:14">
      <c r="A2" s="239" t="e" vm="1">
        <v>#VALUE!</v>
      </c>
      <c r="B2" s="252"/>
      <c r="C2" s="280"/>
      <c r="D2" s="280"/>
      <c r="E2" s="280"/>
      <c r="F2" s="280"/>
      <c r="G2" s="280"/>
      <c r="H2" s="280"/>
      <c r="I2" s="281"/>
      <c r="J2" s="284"/>
      <c r="K2" s="280"/>
      <c r="L2" s="280"/>
      <c r="M2" s="281"/>
      <c r="N2" s="276"/>
    </row>
    <row r="3" spans="1:14" ht="15" thickBot="1">
      <c r="A3" s="278"/>
      <c r="B3" s="278"/>
      <c r="C3" s="282"/>
      <c r="D3" s="282"/>
      <c r="E3" s="282"/>
      <c r="F3" s="282"/>
      <c r="G3" s="282"/>
      <c r="H3" s="282"/>
      <c r="I3" s="283"/>
      <c r="J3" s="285"/>
      <c r="K3" s="282"/>
      <c r="L3" s="282"/>
      <c r="M3" s="283"/>
      <c r="N3" s="276"/>
    </row>
    <row r="4" spans="1:14" ht="43.5" thickBot="1">
      <c r="A4" s="279" t="e" vm="1">
        <v>#VALUE!</v>
      </c>
      <c r="B4" s="279"/>
      <c r="C4" s="254" t="s">
        <v>19</v>
      </c>
      <c r="D4" s="254" t="s">
        <v>728</v>
      </c>
      <c r="E4" s="254" t="s">
        <v>729</v>
      </c>
      <c r="F4" s="254" t="s">
        <v>21</v>
      </c>
      <c r="G4" s="254" t="s">
        <v>22</v>
      </c>
      <c r="H4" s="254" t="s">
        <v>23</v>
      </c>
      <c r="I4" s="254" t="s">
        <v>24</v>
      </c>
      <c r="J4" s="255" t="s">
        <v>25</v>
      </c>
      <c r="K4" s="255" t="s">
        <v>26</v>
      </c>
      <c r="L4" s="255" t="s">
        <v>27</v>
      </c>
      <c r="M4" s="255" t="s">
        <v>28</v>
      </c>
      <c r="N4" s="277"/>
    </row>
    <row r="5" spans="1:14" ht="58.5" thickTop="1" thickBot="1">
      <c r="A5" s="240"/>
      <c r="B5" s="234" t="s">
        <v>29</v>
      </c>
      <c r="C5" s="235">
        <v>7420896</v>
      </c>
      <c r="D5" s="236">
        <v>0</v>
      </c>
      <c r="E5" s="259">
        <v>504680</v>
      </c>
      <c r="F5" s="259">
        <v>7146373</v>
      </c>
      <c r="G5" s="235">
        <v>3088150</v>
      </c>
      <c r="H5" s="237"/>
      <c r="I5" s="235">
        <v>64054</v>
      </c>
      <c r="J5" s="238">
        <v>23607</v>
      </c>
      <c r="K5" s="238">
        <v>6791496</v>
      </c>
      <c r="L5" s="238">
        <v>3919330</v>
      </c>
      <c r="M5" s="238">
        <v>7489722</v>
      </c>
      <c r="N5" s="235">
        <v>1629709</v>
      </c>
    </row>
    <row r="6" spans="1:14" ht="15" thickBot="1">
      <c r="A6" s="240"/>
      <c r="B6" s="234" t="s">
        <v>30</v>
      </c>
      <c r="C6" s="235">
        <v>4843858</v>
      </c>
      <c r="D6" s="235">
        <v>223927</v>
      </c>
      <c r="E6" s="260" t="s">
        <v>31</v>
      </c>
      <c r="F6" s="260" t="s">
        <v>31</v>
      </c>
      <c r="G6" s="235">
        <v>2411095</v>
      </c>
      <c r="H6" s="237"/>
      <c r="I6" s="235">
        <v>-16532</v>
      </c>
      <c r="J6" s="238">
        <v>25773</v>
      </c>
      <c r="K6" s="238">
        <v>5938479</v>
      </c>
      <c r="L6" s="238">
        <v>1498096</v>
      </c>
      <c r="M6" s="241">
        <v>0</v>
      </c>
      <c r="N6" s="235">
        <v>806948</v>
      </c>
    </row>
    <row r="7" spans="1:14" ht="35" thickBot="1">
      <c r="A7" s="240"/>
      <c r="B7" s="234" t="s">
        <v>32</v>
      </c>
      <c r="C7" s="235">
        <v>2577038</v>
      </c>
      <c r="D7" s="235">
        <v>-176427</v>
      </c>
      <c r="E7" s="259">
        <v>-8484</v>
      </c>
      <c r="F7" s="259">
        <v>212322</v>
      </c>
      <c r="G7" s="235">
        <v>64641</v>
      </c>
      <c r="H7" s="237"/>
      <c r="I7" s="237" t="s">
        <v>31</v>
      </c>
      <c r="J7" s="238">
        <v>2412</v>
      </c>
      <c r="K7" s="238">
        <v>237103</v>
      </c>
      <c r="L7" s="238">
        <v>1060250</v>
      </c>
      <c r="M7" s="238">
        <v>1369325</v>
      </c>
      <c r="N7" s="235">
        <v>225710</v>
      </c>
    </row>
    <row r="8" spans="1:14" ht="35" thickBot="1">
      <c r="A8" s="240"/>
      <c r="B8" s="242" t="s">
        <v>33</v>
      </c>
      <c r="C8" s="235">
        <v>2577038</v>
      </c>
      <c r="D8" s="235">
        <v>-176427</v>
      </c>
      <c r="E8" s="259">
        <v>-8484</v>
      </c>
      <c r="F8" s="259">
        <v>122497</v>
      </c>
      <c r="G8" s="235">
        <v>58699</v>
      </c>
      <c r="H8" s="237"/>
      <c r="I8" s="237" t="s">
        <v>31</v>
      </c>
      <c r="J8" s="238">
        <v>1772</v>
      </c>
      <c r="K8" s="238">
        <v>237103</v>
      </c>
      <c r="L8" s="238">
        <v>1060250</v>
      </c>
      <c r="M8" s="238">
        <v>1274198</v>
      </c>
      <c r="N8" s="235">
        <v>223701</v>
      </c>
    </row>
    <row r="9" spans="1:14" ht="15" thickBot="1">
      <c r="A9" s="240"/>
      <c r="B9" s="242" t="s">
        <v>34</v>
      </c>
      <c r="C9" s="235">
        <v>1049589</v>
      </c>
      <c r="D9" s="237"/>
      <c r="E9" s="260" t="s">
        <v>31</v>
      </c>
      <c r="F9" s="259">
        <v>3305</v>
      </c>
      <c r="G9" s="236" t="s">
        <v>35</v>
      </c>
      <c r="H9" s="237"/>
      <c r="I9" s="237" t="s">
        <v>31</v>
      </c>
      <c r="J9" s="238">
        <v>5808</v>
      </c>
      <c r="K9" s="243"/>
      <c r="L9" s="238">
        <v>178192</v>
      </c>
      <c r="M9" s="238">
        <v>868894</v>
      </c>
      <c r="N9" s="235">
        <v>71604</v>
      </c>
    </row>
    <row r="10" spans="1:14" ht="15" thickBot="1">
      <c r="A10" s="240"/>
      <c r="B10" s="242" t="s">
        <v>36</v>
      </c>
      <c r="C10" s="235">
        <v>798376</v>
      </c>
      <c r="D10" s="236">
        <v>-269</v>
      </c>
      <c r="E10" s="260" t="s">
        <v>31</v>
      </c>
      <c r="F10" s="259">
        <v>99800</v>
      </c>
      <c r="G10" s="235">
        <v>39610</v>
      </c>
      <c r="H10" s="237"/>
      <c r="I10" s="237" t="s">
        <v>31</v>
      </c>
      <c r="J10" s="238">
        <v>1009</v>
      </c>
      <c r="K10" s="243"/>
      <c r="L10" s="238">
        <v>646618</v>
      </c>
      <c r="M10" s="238">
        <v>289890</v>
      </c>
      <c r="N10" s="235">
        <v>80649</v>
      </c>
    </row>
    <row r="11" spans="1:14" ht="23.5" thickBot="1">
      <c r="A11" s="240"/>
      <c r="B11" s="242" t="s">
        <v>37</v>
      </c>
      <c r="C11" s="235">
        <v>246951</v>
      </c>
      <c r="D11" s="235">
        <v>-5230</v>
      </c>
      <c r="E11" s="261" t="s">
        <v>475</v>
      </c>
      <c r="F11" s="259">
        <v>25022</v>
      </c>
      <c r="G11" s="235">
        <v>15813</v>
      </c>
      <c r="H11" s="237"/>
      <c r="I11" s="237" t="s">
        <v>31</v>
      </c>
      <c r="J11" s="238">
        <v>-2765</v>
      </c>
      <c r="K11" s="238">
        <v>62427</v>
      </c>
      <c r="L11" s="238">
        <v>179465</v>
      </c>
      <c r="M11" s="238">
        <v>43429</v>
      </c>
      <c r="N11" s="235">
        <v>36191</v>
      </c>
    </row>
    <row r="12" spans="1:14" ht="15" thickBot="1">
      <c r="A12" s="240"/>
      <c r="B12" s="242" t="s">
        <v>38</v>
      </c>
      <c r="C12" s="235">
        <v>170999</v>
      </c>
      <c r="D12" s="235">
        <v>-1998</v>
      </c>
      <c r="E12" s="261" t="s">
        <v>475</v>
      </c>
      <c r="F12" s="259">
        <v>-5630</v>
      </c>
      <c r="G12" s="235">
        <v>3233</v>
      </c>
      <c r="H12" s="237"/>
      <c r="I12" s="237" t="s">
        <v>31</v>
      </c>
      <c r="J12" s="238">
        <v>1530</v>
      </c>
      <c r="K12" s="238">
        <v>91853</v>
      </c>
      <c r="L12" s="238">
        <v>1235</v>
      </c>
      <c r="M12" s="238">
        <v>71986</v>
      </c>
      <c r="N12" s="235">
        <v>12235</v>
      </c>
    </row>
    <row r="13" spans="1:14" ht="23.5" thickBot="1">
      <c r="A13" s="240"/>
      <c r="B13" s="242" t="s">
        <v>39</v>
      </c>
      <c r="C13" s="235">
        <v>311123</v>
      </c>
      <c r="D13" s="235">
        <v>-168930</v>
      </c>
      <c r="E13" s="259">
        <v>-8484</v>
      </c>
      <c r="F13" s="260"/>
      <c r="G13" s="236">
        <v>43</v>
      </c>
      <c r="H13" s="237"/>
      <c r="I13" s="237" t="s">
        <v>31</v>
      </c>
      <c r="J13" s="238">
        <v>-3810</v>
      </c>
      <c r="K13" s="238">
        <v>82823</v>
      </c>
      <c r="L13" s="238">
        <v>54739</v>
      </c>
      <c r="M13" s="241">
        <v>0</v>
      </c>
      <c r="N13" s="235">
        <v>23022</v>
      </c>
    </row>
    <row r="14" spans="1:14" ht="46.5" thickBot="1">
      <c r="A14" s="240"/>
      <c r="B14" s="242" t="s">
        <v>722</v>
      </c>
      <c r="C14" s="235">
        <v>54857</v>
      </c>
      <c r="D14" s="235">
        <v>-54860</v>
      </c>
      <c r="E14" s="260"/>
      <c r="F14" s="260"/>
      <c r="G14" s="237"/>
      <c r="H14" s="237"/>
      <c r="I14" s="237" t="s">
        <v>31</v>
      </c>
      <c r="J14" s="241">
        <v>-3</v>
      </c>
      <c r="K14" s="243"/>
      <c r="L14" s="243"/>
      <c r="M14" s="241">
        <v>0</v>
      </c>
      <c r="N14" s="236">
        <v>28</v>
      </c>
    </row>
    <row r="15" spans="1:14" ht="23.5" thickBot="1">
      <c r="A15" s="240"/>
      <c r="B15" s="242" t="s">
        <v>40</v>
      </c>
      <c r="C15" s="237" t="s">
        <v>31</v>
      </c>
      <c r="D15" s="237"/>
      <c r="E15" s="260" t="s">
        <v>31</v>
      </c>
      <c r="F15" s="259">
        <v>89825</v>
      </c>
      <c r="G15" s="235">
        <v>5942</v>
      </c>
      <c r="H15" s="237"/>
      <c r="I15" s="237" t="s">
        <v>31</v>
      </c>
      <c r="J15" s="241">
        <v>640</v>
      </c>
      <c r="K15" s="243" t="s">
        <v>31</v>
      </c>
      <c r="L15" s="243" t="s">
        <v>31</v>
      </c>
      <c r="M15" s="238">
        <v>95127</v>
      </c>
      <c r="N15" s="235">
        <v>2009</v>
      </c>
    </row>
    <row r="16" spans="1:14" ht="15" thickBot="1">
      <c r="A16" s="240"/>
      <c r="B16" s="242" t="s">
        <v>41</v>
      </c>
      <c r="C16" s="237" t="s">
        <v>31</v>
      </c>
      <c r="D16" s="237"/>
      <c r="E16" s="260" t="s">
        <v>31</v>
      </c>
      <c r="F16" s="259">
        <v>-6109</v>
      </c>
      <c r="G16" s="236" t="s">
        <v>35</v>
      </c>
      <c r="H16" s="237"/>
      <c r="I16" s="237" t="s">
        <v>31</v>
      </c>
      <c r="J16" s="241">
        <v>0</v>
      </c>
      <c r="K16" s="243" t="s">
        <v>31</v>
      </c>
      <c r="L16" s="243" t="s">
        <v>31</v>
      </c>
      <c r="M16" s="238">
        <v>-6109</v>
      </c>
      <c r="N16" s="236">
        <v>0</v>
      </c>
    </row>
    <row r="17" spans="1:14" ht="15" thickBot="1">
      <c r="A17" s="240"/>
      <c r="B17" s="242" t="s">
        <v>42</v>
      </c>
      <c r="C17" s="237" t="s">
        <v>31</v>
      </c>
      <c r="D17" s="237"/>
      <c r="E17" s="260" t="s">
        <v>31</v>
      </c>
      <c r="F17" s="259">
        <v>96276</v>
      </c>
      <c r="G17" s="235">
        <v>5442</v>
      </c>
      <c r="H17" s="237"/>
      <c r="I17" s="237" t="s">
        <v>31</v>
      </c>
      <c r="J17" s="241">
        <v>466</v>
      </c>
      <c r="K17" s="243" t="s">
        <v>31</v>
      </c>
      <c r="L17" s="243" t="s">
        <v>31</v>
      </c>
      <c r="M17" s="238">
        <v>101252</v>
      </c>
      <c r="N17" s="235">
        <v>1375</v>
      </c>
    </row>
    <row r="18" spans="1:14" ht="23.5" thickBot="1">
      <c r="A18" s="240"/>
      <c r="B18" s="242" t="s">
        <v>43</v>
      </c>
      <c r="C18" s="237" t="s">
        <v>31</v>
      </c>
      <c r="D18" s="237"/>
      <c r="E18" s="260" t="s">
        <v>31</v>
      </c>
      <c r="F18" s="261">
        <v>-693</v>
      </c>
      <c r="G18" s="236">
        <v>500</v>
      </c>
      <c r="H18" s="237"/>
      <c r="I18" s="237" t="s">
        <v>31</v>
      </c>
      <c r="J18" s="241">
        <v>124</v>
      </c>
      <c r="K18" s="243" t="s">
        <v>31</v>
      </c>
      <c r="L18" s="243" t="s">
        <v>31</v>
      </c>
      <c r="M18" s="241">
        <v>-317</v>
      </c>
      <c r="N18" s="236">
        <v>573</v>
      </c>
    </row>
    <row r="19" spans="1:14" ht="23.5" thickBot="1">
      <c r="A19" s="240"/>
      <c r="B19" s="242" t="s">
        <v>44</v>
      </c>
      <c r="C19" s="237" t="s">
        <v>31</v>
      </c>
      <c r="D19" s="237"/>
      <c r="E19" s="260" t="s">
        <v>31</v>
      </c>
      <c r="F19" s="261">
        <v>351</v>
      </c>
      <c r="G19" s="236">
        <v>7</v>
      </c>
      <c r="H19" s="237"/>
      <c r="I19" s="237" t="s">
        <v>31</v>
      </c>
      <c r="J19" s="241">
        <v>50</v>
      </c>
      <c r="K19" s="243" t="s">
        <v>31</v>
      </c>
      <c r="L19" s="243" t="s">
        <v>31</v>
      </c>
      <c r="M19" s="241">
        <v>301</v>
      </c>
      <c r="N19" s="236">
        <v>61</v>
      </c>
    </row>
    <row r="20" spans="1:14" ht="23.5" thickBot="1">
      <c r="A20" s="240"/>
      <c r="B20" s="234" t="s">
        <v>45</v>
      </c>
      <c r="C20" s="237" t="s">
        <v>31</v>
      </c>
      <c r="D20" s="235">
        <v>-47500</v>
      </c>
      <c r="E20" s="259">
        <v>510454</v>
      </c>
      <c r="F20" s="260" t="s">
        <v>31</v>
      </c>
      <c r="G20" s="235">
        <v>390451</v>
      </c>
      <c r="H20" s="237"/>
      <c r="I20" s="235">
        <v>72862</v>
      </c>
      <c r="J20" s="238">
        <v>-5840</v>
      </c>
      <c r="K20" s="238">
        <v>615914</v>
      </c>
      <c r="L20" s="238">
        <v>196936</v>
      </c>
      <c r="M20" s="238">
        <v>119257</v>
      </c>
      <c r="N20" s="235">
        <v>333975</v>
      </c>
    </row>
    <row r="21" spans="1:14" ht="69">
      <c r="A21" s="240"/>
      <c r="B21" s="242" t="s">
        <v>46</v>
      </c>
      <c r="C21" s="237" t="s">
        <v>31</v>
      </c>
      <c r="D21" s="237"/>
      <c r="E21" s="259">
        <v>510459</v>
      </c>
      <c r="F21" s="260" t="s">
        <v>31</v>
      </c>
      <c r="G21" s="235">
        <v>22625</v>
      </c>
      <c r="H21" s="237"/>
      <c r="I21" s="235">
        <v>69549</v>
      </c>
      <c r="J21" s="238">
        <v>1891</v>
      </c>
      <c r="K21" s="238">
        <v>430753</v>
      </c>
      <c r="L21" s="238">
        <v>50526</v>
      </c>
      <c r="M21" s="238">
        <v>119462</v>
      </c>
      <c r="N21" s="235">
        <v>35008</v>
      </c>
    </row>
    <row r="22" spans="1:14" ht="15" thickBot="1">
      <c r="A22" s="240"/>
      <c r="B22" s="242" t="s">
        <v>47</v>
      </c>
      <c r="C22" s="237" t="s">
        <v>31</v>
      </c>
      <c r="D22" s="237"/>
      <c r="E22" s="260" t="s">
        <v>31</v>
      </c>
      <c r="F22" s="260" t="s">
        <v>31</v>
      </c>
      <c r="G22" s="237"/>
      <c r="H22" s="237"/>
      <c r="I22" s="235">
        <v>80466</v>
      </c>
      <c r="J22" s="243" t="s">
        <v>31</v>
      </c>
      <c r="K22" s="238">
        <v>80466</v>
      </c>
      <c r="L22" s="243"/>
      <c r="M22" s="241">
        <v>0</v>
      </c>
      <c r="N22" s="237" t="s">
        <v>31</v>
      </c>
    </row>
    <row r="23" spans="1:14" ht="46.5" thickBot="1">
      <c r="A23" s="240"/>
      <c r="B23" s="242" t="s">
        <v>48</v>
      </c>
      <c r="C23" s="237" t="s">
        <v>31</v>
      </c>
      <c r="D23" s="237"/>
      <c r="E23" s="261" t="s">
        <v>475</v>
      </c>
      <c r="F23" s="260" t="s">
        <v>31</v>
      </c>
      <c r="G23" s="236" t="s">
        <v>475</v>
      </c>
      <c r="H23" s="237"/>
      <c r="I23" s="236" t="s">
        <v>475</v>
      </c>
      <c r="J23" s="241" t="s">
        <v>475</v>
      </c>
      <c r="K23" s="241" t="s">
        <v>475</v>
      </c>
      <c r="L23" s="241" t="s">
        <v>475</v>
      </c>
      <c r="M23" s="241" t="s">
        <v>35</v>
      </c>
      <c r="N23" s="236" t="s">
        <v>475</v>
      </c>
    </row>
    <row r="24" spans="1:14" ht="35" thickBot="1">
      <c r="A24" s="240"/>
      <c r="B24" s="242" t="s">
        <v>723</v>
      </c>
      <c r="C24" s="237" t="s">
        <v>31</v>
      </c>
      <c r="D24" s="237"/>
      <c r="E24" s="259">
        <v>510459</v>
      </c>
      <c r="F24" s="260" t="s">
        <v>31</v>
      </c>
      <c r="G24" s="235">
        <v>22625</v>
      </c>
      <c r="H24" s="237"/>
      <c r="I24" s="235">
        <v>-11037</v>
      </c>
      <c r="J24" s="238">
        <v>1889</v>
      </c>
      <c r="K24" s="238">
        <v>350169</v>
      </c>
      <c r="L24" s="238">
        <v>50526</v>
      </c>
      <c r="M24" s="238">
        <v>119462</v>
      </c>
      <c r="N24" s="235">
        <v>34993</v>
      </c>
    </row>
    <row r="25" spans="1:14" ht="23.5" thickBot="1">
      <c r="A25" s="240"/>
      <c r="B25" s="242" t="s">
        <v>50</v>
      </c>
      <c r="C25" s="237" t="s">
        <v>31</v>
      </c>
      <c r="D25" s="237"/>
      <c r="E25" s="259">
        <v>386316</v>
      </c>
      <c r="F25" s="260" t="s">
        <v>31</v>
      </c>
      <c r="G25" s="236" t="s">
        <v>35</v>
      </c>
      <c r="H25" s="237"/>
      <c r="I25" s="235">
        <v>-11037</v>
      </c>
      <c r="J25" s="241">
        <v>920</v>
      </c>
      <c r="K25" s="238">
        <v>328136</v>
      </c>
      <c r="L25" s="238">
        <v>46223</v>
      </c>
      <c r="M25" s="241">
        <v>0</v>
      </c>
      <c r="N25" s="235">
        <v>24418</v>
      </c>
    </row>
    <row r="26" spans="1:14" ht="35" thickBot="1">
      <c r="A26" s="240"/>
      <c r="B26" s="242" t="s">
        <v>724</v>
      </c>
      <c r="C26" s="237" t="s">
        <v>31</v>
      </c>
      <c r="D26" s="237"/>
      <c r="E26" s="259">
        <v>124142</v>
      </c>
      <c r="F26" s="260" t="s">
        <v>31</v>
      </c>
      <c r="G26" s="235">
        <v>22625</v>
      </c>
      <c r="H26" s="237"/>
      <c r="I26" s="236" t="s">
        <v>475</v>
      </c>
      <c r="J26" s="241">
        <v>969</v>
      </c>
      <c r="K26" s="238">
        <v>22033</v>
      </c>
      <c r="L26" s="238">
        <v>4303</v>
      </c>
      <c r="M26" s="238">
        <v>119462</v>
      </c>
      <c r="N26" s="235">
        <v>10575</v>
      </c>
    </row>
    <row r="27" spans="1:14" ht="15" thickBot="1">
      <c r="A27" s="240"/>
      <c r="B27" s="242" t="s">
        <v>725</v>
      </c>
      <c r="C27" s="237" t="s">
        <v>31</v>
      </c>
      <c r="D27" s="237"/>
      <c r="E27" s="259">
        <v>39795</v>
      </c>
      <c r="F27" s="260" t="s">
        <v>31</v>
      </c>
      <c r="G27" s="235">
        <v>10231</v>
      </c>
      <c r="H27" s="237"/>
      <c r="I27" s="236" t="s">
        <v>35</v>
      </c>
      <c r="J27" s="241">
        <v>-258</v>
      </c>
      <c r="K27" s="238">
        <v>16089</v>
      </c>
      <c r="L27" s="238">
        <v>4303</v>
      </c>
      <c r="M27" s="238">
        <v>29893</v>
      </c>
      <c r="N27" s="235">
        <v>3555</v>
      </c>
    </row>
    <row r="28" spans="1:14" ht="35" thickBot="1">
      <c r="A28" s="240"/>
      <c r="B28" s="242" t="s">
        <v>726</v>
      </c>
      <c r="C28" s="237" t="s">
        <v>31</v>
      </c>
      <c r="D28" s="237"/>
      <c r="E28" s="259">
        <v>76054</v>
      </c>
      <c r="F28" s="260" t="s">
        <v>31</v>
      </c>
      <c r="G28" s="235">
        <v>12394</v>
      </c>
      <c r="H28" s="237"/>
      <c r="I28" s="236" t="s">
        <v>35</v>
      </c>
      <c r="J28" s="238">
        <v>1053</v>
      </c>
      <c r="K28" s="238">
        <v>4037</v>
      </c>
      <c r="L28" s="241" t="s">
        <v>69</v>
      </c>
      <c r="M28" s="238">
        <v>83358</v>
      </c>
      <c r="N28" s="235">
        <v>6531</v>
      </c>
    </row>
    <row r="29" spans="1:14" ht="23.5" thickBot="1">
      <c r="A29" s="240"/>
      <c r="B29" s="242" t="s">
        <v>727</v>
      </c>
      <c r="C29" s="237" t="s">
        <v>31</v>
      </c>
      <c r="D29" s="237"/>
      <c r="E29" s="259">
        <v>8293</v>
      </c>
      <c r="F29" s="260" t="s">
        <v>31</v>
      </c>
      <c r="G29" s="236" t="s">
        <v>35</v>
      </c>
      <c r="H29" s="237"/>
      <c r="I29" s="236" t="s">
        <v>35</v>
      </c>
      <c r="J29" s="241">
        <v>174</v>
      </c>
      <c r="K29" s="238">
        <v>1907</v>
      </c>
      <c r="L29" s="241" t="s">
        <v>69</v>
      </c>
      <c r="M29" s="238">
        <v>6211</v>
      </c>
      <c r="N29" s="236">
        <v>489</v>
      </c>
    </row>
    <row r="30" spans="1:14" ht="35" thickBot="1">
      <c r="A30" s="240"/>
      <c r="B30" s="242" t="s">
        <v>52</v>
      </c>
      <c r="C30" s="237" t="s">
        <v>31</v>
      </c>
      <c r="D30" s="237"/>
      <c r="E30" s="260" t="s">
        <v>31</v>
      </c>
      <c r="F30" s="260" t="s">
        <v>31</v>
      </c>
      <c r="G30" s="236" t="s">
        <v>35</v>
      </c>
      <c r="H30" s="237"/>
      <c r="I30" s="236">
        <v>120</v>
      </c>
      <c r="J30" s="241">
        <v>2</v>
      </c>
      <c r="K30" s="241">
        <v>118</v>
      </c>
      <c r="L30" s="243"/>
      <c r="M30" s="241">
        <v>0</v>
      </c>
      <c r="N30" s="236">
        <v>15</v>
      </c>
    </row>
    <row r="31" spans="1:14" ht="23.5" thickBot="1">
      <c r="A31" s="240"/>
      <c r="B31" s="242" t="s">
        <v>53</v>
      </c>
      <c r="C31" s="237" t="s">
        <v>31</v>
      </c>
      <c r="D31" s="235">
        <v>-47500</v>
      </c>
      <c r="E31" s="260" t="s">
        <v>31</v>
      </c>
      <c r="F31" s="260" t="s">
        <v>31</v>
      </c>
      <c r="G31" s="235">
        <v>163638</v>
      </c>
      <c r="H31" s="237"/>
      <c r="I31" s="237" t="s">
        <v>31</v>
      </c>
      <c r="J31" s="238">
        <v>-7656</v>
      </c>
      <c r="K31" s="238">
        <v>5556</v>
      </c>
      <c r="L31" s="238">
        <v>118238</v>
      </c>
      <c r="M31" s="241">
        <v>0</v>
      </c>
      <c r="N31" s="235">
        <v>76522</v>
      </c>
    </row>
    <row r="32" spans="1:14" ht="46.5" thickBot="1">
      <c r="A32" s="240"/>
      <c r="B32" s="242" t="s">
        <v>54</v>
      </c>
      <c r="C32" s="237" t="s">
        <v>31</v>
      </c>
      <c r="D32" s="237"/>
      <c r="E32" s="261">
        <v>-5</v>
      </c>
      <c r="F32" s="260" t="s">
        <v>31</v>
      </c>
      <c r="G32" s="235">
        <v>204188</v>
      </c>
      <c r="H32" s="237"/>
      <c r="I32" s="235">
        <v>3314</v>
      </c>
      <c r="J32" s="241">
        <v>-85</v>
      </c>
      <c r="K32" s="238">
        <v>179410</v>
      </c>
      <c r="L32" s="238">
        <v>28172</v>
      </c>
      <c r="M32" s="241">
        <v>0</v>
      </c>
      <c r="N32" s="235">
        <v>222405</v>
      </c>
    </row>
    <row r="33" spans="1:14" ht="23.5" thickBot="1">
      <c r="A33" s="240"/>
      <c r="B33" s="242" t="s">
        <v>55</v>
      </c>
      <c r="C33" s="237" t="s">
        <v>31</v>
      </c>
      <c r="D33" s="237"/>
      <c r="E33" s="261">
        <v>-1</v>
      </c>
      <c r="F33" s="260" t="s">
        <v>31</v>
      </c>
      <c r="G33" s="235">
        <v>56108</v>
      </c>
      <c r="H33" s="237"/>
      <c r="I33" s="235">
        <v>132745</v>
      </c>
      <c r="J33" s="238">
        <v>1456</v>
      </c>
      <c r="K33" s="238">
        <v>187319</v>
      </c>
      <c r="L33" s="241">
        <v>77</v>
      </c>
      <c r="M33" s="241">
        <v>0</v>
      </c>
      <c r="N33" s="235">
        <v>51987</v>
      </c>
    </row>
    <row r="34" spans="1:14" ht="23.5" thickBot="1">
      <c r="A34" s="240"/>
      <c r="B34" s="242" t="s">
        <v>56</v>
      </c>
      <c r="C34" s="237" t="s">
        <v>31</v>
      </c>
      <c r="D34" s="237"/>
      <c r="E34" s="261">
        <v>-5</v>
      </c>
      <c r="F34" s="260" t="s">
        <v>31</v>
      </c>
      <c r="G34" s="235">
        <v>148080</v>
      </c>
      <c r="H34" s="237"/>
      <c r="I34" s="235">
        <v>-129431</v>
      </c>
      <c r="J34" s="238">
        <v>-1541</v>
      </c>
      <c r="K34" s="238">
        <v>-7909</v>
      </c>
      <c r="L34" s="238">
        <v>28095</v>
      </c>
      <c r="M34" s="241">
        <v>0</v>
      </c>
      <c r="N34" s="235">
        <v>170417</v>
      </c>
    </row>
    <row r="35" spans="1:14" ht="46.5" thickBot="1">
      <c r="A35" s="240"/>
      <c r="B35" s="242" t="s">
        <v>57</v>
      </c>
      <c r="C35" s="237" t="s">
        <v>31</v>
      </c>
      <c r="D35" s="237"/>
      <c r="E35" s="260" t="s">
        <v>31</v>
      </c>
      <c r="F35" s="260" t="s">
        <v>31</v>
      </c>
      <c r="G35" s="236" t="s">
        <v>35</v>
      </c>
      <c r="H35" s="237"/>
      <c r="I35" s="237" t="s">
        <v>31</v>
      </c>
      <c r="J35" s="241">
        <v>10</v>
      </c>
      <c r="K35" s="241">
        <v>195</v>
      </c>
      <c r="L35" s="241" t="s">
        <v>35</v>
      </c>
      <c r="M35" s="241">
        <v>-205</v>
      </c>
      <c r="N35" s="236">
        <v>40</v>
      </c>
    </row>
    <row r="36" spans="1:14" ht="46.5" thickBot="1">
      <c r="A36" s="240"/>
      <c r="B36" s="234" t="s">
        <v>58</v>
      </c>
      <c r="C36" s="237" t="s">
        <v>31</v>
      </c>
      <c r="D36" s="237"/>
      <c r="E36" s="259">
        <v>2711</v>
      </c>
      <c r="F36" s="259">
        <v>6934051</v>
      </c>
      <c r="G36" s="235">
        <v>221963</v>
      </c>
      <c r="H36" s="237"/>
      <c r="I36" s="235">
        <v>7724</v>
      </c>
      <c r="J36" s="238">
        <v>1262</v>
      </c>
      <c r="K36" s="243" t="s">
        <v>31</v>
      </c>
      <c r="L36" s="238">
        <v>1164048</v>
      </c>
      <c r="M36" s="238">
        <v>6001139</v>
      </c>
      <c r="N36" s="235">
        <v>263076</v>
      </c>
    </row>
    <row r="37" spans="1:14" ht="35" thickBot="1">
      <c r="A37" s="240"/>
      <c r="B37" s="242" t="s">
        <v>59</v>
      </c>
      <c r="C37" s="237" t="s">
        <v>31</v>
      </c>
      <c r="D37" s="237"/>
      <c r="E37" s="259">
        <v>2423</v>
      </c>
      <c r="F37" s="259">
        <v>3520823</v>
      </c>
      <c r="G37" s="235">
        <v>39911</v>
      </c>
      <c r="H37" s="237"/>
      <c r="I37" s="235">
        <v>7724</v>
      </c>
      <c r="J37" s="238">
        <v>-2415</v>
      </c>
      <c r="K37" s="243" t="s">
        <v>31</v>
      </c>
      <c r="L37" s="238">
        <v>291546</v>
      </c>
      <c r="M37" s="238">
        <v>3281750</v>
      </c>
      <c r="N37" s="235">
        <v>15812</v>
      </c>
    </row>
    <row r="38" spans="1:14" ht="23.5" thickBot="1">
      <c r="A38" s="240"/>
      <c r="B38" s="242" t="s">
        <v>55</v>
      </c>
      <c r="C38" s="237" t="s">
        <v>31</v>
      </c>
      <c r="D38" s="237"/>
      <c r="E38" s="260"/>
      <c r="F38" s="259">
        <v>1112341</v>
      </c>
      <c r="G38" s="236" t="s">
        <v>35</v>
      </c>
      <c r="H38" s="237"/>
      <c r="I38" s="235">
        <v>-99601</v>
      </c>
      <c r="J38" s="241">
        <v>-1</v>
      </c>
      <c r="K38" s="243" t="s">
        <v>31</v>
      </c>
      <c r="L38" s="241" t="s">
        <v>35</v>
      </c>
      <c r="M38" s="238">
        <v>1012741</v>
      </c>
      <c r="N38" s="236">
        <v>21</v>
      </c>
    </row>
    <row r="39" spans="1:14" ht="23.5" thickBot="1">
      <c r="A39" s="240"/>
      <c r="B39" s="242" t="s">
        <v>56</v>
      </c>
      <c r="C39" s="237" t="s">
        <v>31</v>
      </c>
      <c r="D39" s="237"/>
      <c r="E39" s="259">
        <v>2423</v>
      </c>
      <c r="F39" s="259">
        <v>2408482</v>
      </c>
      <c r="G39" s="235">
        <v>39911</v>
      </c>
      <c r="H39" s="237"/>
      <c r="I39" s="235">
        <v>107325</v>
      </c>
      <c r="J39" s="238">
        <v>-2414</v>
      </c>
      <c r="K39" s="243" t="s">
        <v>31</v>
      </c>
      <c r="L39" s="238">
        <v>291546</v>
      </c>
      <c r="M39" s="238">
        <v>2269009</v>
      </c>
      <c r="N39" s="235">
        <v>15791</v>
      </c>
    </row>
    <row r="40" spans="1:14" ht="35" thickBot="1">
      <c r="A40" s="240"/>
      <c r="B40" s="242" t="s">
        <v>60</v>
      </c>
      <c r="C40" s="237" t="s">
        <v>31</v>
      </c>
      <c r="D40" s="237"/>
      <c r="E40" s="260" t="s">
        <v>31</v>
      </c>
      <c r="F40" s="259">
        <v>4448</v>
      </c>
      <c r="G40" s="236">
        <v>322</v>
      </c>
      <c r="H40" s="237"/>
      <c r="I40" s="237" t="s">
        <v>31</v>
      </c>
      <c r="J40" s="241">
        <v>259</v>
      </c>
      <c r="K40" s="243" t="s">
        <v>31</v>
      </c>
      <c r="L40" s="241" t="s">
        <v>35</v>
      </c>
      <c r="M40" s="238">
        <v>4511</v>
      </c>
      <c r="N40" s="235">
        <v>1460</v>
      </c>
    </row>
    <row r="41" spans="1:14" ht="35" thickBot="1">
      <c r="A41" s="240"/>
      <c r="B41" s="242" t="s">
        <v>61</v>
      </c>
      <c r="C41" s="237" t="s">
        <v>31</v>
      </c>
      <c r="D41" s="237"/>
      <c r="E41" s="261">
        <v>303</v>
      </c>
      <c r="F41" s="259">
        <v>660696</v>
      </c>
      <c r="G41" s="235">
        <v>38442</v>
      </c>
      <c r="H41" s="237"/>
      <c r="I41" s="237" t="s">
        <v>31</v>
      </c>
      <c r="J41" s="238">
        <v>3934</v>
      </c>
      <c r="K41" s="243" t="s">
        <v>31</v>
      </c>
      <c r="L41" s="238">
        <v>76907</v>
      </c>
      <c r="M41" s="238">
        <v>618600</v>
      </c>
      <c r="N41" s="235">
        <v>43711</v>
      </c>
    </row>
    <row r="42" spans="1:14" ht="15" thickBot="1">
      <c r="A42" s="240"/>
      <c r="B42" s="242" t="s">
        <v>62</v>
      </c>
      <c r="C42" s="237" t="s">
        <v>31</v>
      </c>
      <c r="D42" s="237"/>
      <c r="E42" s="261" t="s">
        <v>475</v>
      </c>
      <c r="F42" s="259">
        <v>4539</v>
      </c>
      <c r="G42" s="236">
        <v>15</v>
      </c>
      <c r="H42" s="237"/>
      <c r="I42" s="237" t="s">
        <v>31</v>
      </c>
      <c r="J42" s="241">
        <v>-157</v>
      </c>
      <c r="K42" s="243" t="s">
        <v>31</v>
      </c>
      <c r="L42" s="238">
        <v>1953</v>
      </c>
      <c r="M42" s="238">
        <v>2758</v>
      </c>
      <c r="N42" s="235">
        <v>1781</v>
      </c>
    </row>
    <row r="43" spans="1:14" ht="23.5" thickBot="1">
      <c r="A43" s="240"/>
      <c r="B43" s="242" t="s">
        <v>63</v>
      </c>
      <c r="C43" s="237" t="s">
        <v>31</v>
      </c>
      <c r="D43" s="237"/>
      <c r="E43" s="261">
        <v>-15</v>
      </c>
      <c r="F43" s="259">
        <v>1806606</v>
      </c>
      <c r="G43" s="235">
        <v>53868</v>
      </c>
      <c r="H43" s="237"/>
      <c r="I43" s="236" t="s">
        <v>475</v>
      </c>
      <c r="J43" s="241">
        <v>-65</v>
      </c>
      <c r="K43" s="243" t="s">
        <v>31</v>
      </c>
      <c r="L43" s="238">
        <v>472631</v>
      </c>
      <c r="M43" s="238">
        <v>1387893</v>
      </c>
      <c r="N43" s="235">
        <v>130421</v>
      </c>
    </row>
    <row r="44" spans="1:14" ht="35" thickBot="1">
      <c r="A44" s="240"/>
      <c r="B44" s="242" t="s">
        <v>64</v>
      </c>
      <c r="C44" s="237" t="s">
        <v>31</v>
      </c>
      <c r="D44" s="237"/>
      <c r="E44" s="261">
        <v>-14</v>
      </c>
      <c r="F44" s="259">
        <v>1744279</v>
      </c>
      <c r="G44" s="235">
        <v>52436</v>
      </c>
      <c r="H44" s="237"/>
      <c r="I44" s="236" t="s">
        <v>475</v>
      </c>
      <c r="J44" s="238">
        <v>-1683</v>
      </c>
      <c r="K44" s="243" t="s">
        <v>31</v>
      </c>
      <c r="L44" s="238">
        <v>413451</v>
      </c>
      <c r="M44" s="238">
        <v>1384933</v>
      </c>
      <c r="N44" s="235">
        <v>120526</v>
      </c>
    </row>
    <row r="45" spans="1:14" ht="46.5" thickBot="1">
      <c r="A45" s="240"/>
      <c r="B45" s="242" t="s">
        <v>65</v>
      </c>
      <c r="C45" s="237" t="s">
        <v>31</v>
      </c>
      <c r="D45" s="237"/>
      <c r="E45" s="261">
        <v>0</v>
      </c>
      <c r="F45" s="259">
        <v>35948</v>
      </c>
      <c r="G45" s="236">
        <v>428</v>
      </c>
      <c r="H45" s="237"/>
      <c r="I45" s="236" t="s">
        <v>475</v>
      </c>
      <c r="J45" s="241">
        <v>376</v>
      </c>
      <c r="K45" s="243" t="s">
        <v>31</v>
      </c>
      <c r="L45" s="238">
        <v>33888</v>
      </c>
      <c r="M45" s="238">
        <v>2112</v>
      </c>
      <c r="N45" s="235">
        <v>2798</v>
      </c>
    </row>
    <row r="46" spans="1:14" ht="35" thickBot="1">
      <c r="A46" s="240"/>
      <c r="B46" s="242" t="s">
        <v>66</v>
      </c>
      <c r="C46" s="237" t="s">
        <v>31</v>
      </c>
      <c r="D46" s="237"/>
      <c r="E46" s="261" t="s">
        <v>475</v>
      </c>
      <c r="F46" s="259">
        <v>26379</v>
      </c>
      <c r="G46" s="235">
        <v>1004</v>
      </c>
      <c r="H46" s="237"/>
      <c r="I46" s="237" t="s">
        <v>31</v>
      </c>
      <c r="J46" s="238">
        <v>1242</v>
      </c>
      <c r="K46" s="243" t="s">
        <v>31</v>
      </c>
      <c r="L46" s="238">
        <v>25292</v>
      </c>
      <c r="M46" s="241">
        <v>849</v>
      </c>
      <c r="N46" s="235">
        <v>7097</v>
      </c>
    </row>
    <row r="47" spans="1:14" ht="23.5" thickBot="1">
      <c r="A47" s="240"/>
      <c r="B47" s="242" t="s">
        <v>67</v>
      </c>
      <c r="C47" s="237" t="s">
        <v>31</v>
      </c>
      <c r="D47" s="237" t="s">
        <v>31</v>
      </c>
      <c r="E47" s="260" t="s">
        <v>31</v>
      </c>
      <c r="F47" s="259">
        <v>115747</v>
      </c>
      <c r="G47" s="235">
        <v>40046</v>
      </c>
      <c r="H47" s="237"/>
      <c r="I47" s="237" t="s">
        <v>31</v>
      </c>
      <c r="J47" s="238">
        <v>-1353</v>
      </c>
      <c r="K47" s="243" t="s">
        <v>31</v>
      </c>
      <c r="L47" s="238">
        <v>50003</v>
      </c>
      <c r="M47" s="238">
        <v>107143</v>
      </c>
      <c r="N47" s="235">
        <v>22741</v>
      </c>
    </row>
    <row r="48" spans="1:14" ht="35" thickBot="1">
      <c r="A48" s="240"/>
      <c r="B48" s="242" t="s">
        <v>68</v>
      </c>
      <c r="C48" s="237" t="s">
        <v>31</v>
      </c>
      <c r="D48" s="237" t="s">
        <v>31</v>
      </c>
      <c r="E48" s="260" t="s">
        <v>31</v>
      </c>
      <c r="F48" s="259">
        <v>15982</v>
      </c>
      <c r="G48" s="235">
        <v>2954</v>
      </c>
      <c r="H48" s="237"/>
      <c r="I48" s="237" t="s">
        <v>31</v>
      </c>
      <c r="J48" s="241">
        <v>-337</v>
      </c>
      <c r="K48" s="243" t="s">
        <v>31</v>
      </c>
      <c r="L48" s="243" t="s">
        <v>69</v>
      </c>
      <c r="M48" s="243" t="s">
        <v>69</v>
      </c>
      <c r="N48" s="235">
        <v>2105</v>
      </c>
    </row>
    <row r="49" spans="1:14" ht="35" thickBot="1">
      <c r="A49" s="240"/>
      <c r="B49" s="242" t="s">
        <v>70</v>
      </c>
      <c r="C49" s="237" t="s">
        <v>31</v>
      </c>
      <c r="D49" s="237" t="s">
        <v>31</v>
      </c>
      <c r="E49" s="260" t="s">
        <v>31</v>
      </c>
      <c r="F49" s="259">
        <v>31568</v>
      </c>
      <c r="G49" s="235">
        <v>5545</v>
      </c>
      <c r="H49" s="237"/>
      <c r="I49" s="237" t="s">
        <v>31</v>
      </c>
      <c r="J49" s="241">
        <v>-166</v>
      </c>
      <c r="K49" s="243" t="s">
        <v>31</v>
      </c>
      <c r="L49" s="243" t="s">
        <v>69</v>
      </c>
      <c r="M49" s="243" t="s">
        <v>69</v>
      </c>
      <c r="N49" s="235">
        <v>5549</v>
      </c>
    </row>
    <row r="50" spans="1:14" ht="46.5" thickBot="1">
      <c r="A50" s="240"/>
      <c r="B50" s="242" t="s">
        <v>71</v>
      </c>
      <c r="C50" s="237" t="s">
        <v>31</v>
      </c>
      <c r="D50" s="237" t="s">
        <v>31</v>
      </c>
      <c r="E50" s="260" t="s">
        <v>31</v>
      </c>
      <c r="F50" s="259">
        <v>68197</v>
      </c>
      <c r="G50" s="235">
        <v>31547</v>
      </c>
      <c r="H50" s="237"/>
      <c r="I50" s="237" t="s">
        <v>31</v>
      </c>
      <c r="J50" s="241">
        <v>-850</v>
      </c>
      <c r="K50" s="243" t="s">
        <v>31</v>
      </c>
      <c r="L50" s="243" t="s">
        <v>69</v>
      </c>
      <c r="M50" s="243" t="s">
        <v>69</v>
      </c>
      <c r="N50" s="235">
        <v>15087</v>
      </c>
    </row>
    <row r="51" spans="1:14" ht="46.5" thickBot="1">
      <c r="A51" s="240"/>
      <c r="B51" s="242" t="s">
        <v>72</v>
      </c>
      <c r="C51" s="237" t="s">
        <v>31</v>
      </c>
      <c r="D51" s="237" t="s">
        <v>31</v>
      </c>
      <c r="E51" s="260" t="s">
        <v>31</v>
      </c>
      <c r="F51" s="259">
        <v>73866</v>
      </c>
      <c r="G51" s="235">
        <v>4762</v>
      </c>
      <c r="H51" s="237"/>
      <c r="I51" s="237" t="s">
        <v>31</v>
      </c>
      <c r="J51" s="241">
        <v>7</v>
      </c>
      <c r="K51" s="243" t="s">
        <v>31</v>
      </c>
      <c r="L51" s="238">
        <v>3638</v>
      </c>
      <c r="M51" s="238">
        <v>74983</v>
      </c>
      <c r="N51" s="235">
        <v>2624</v>
      </c>
    </row>
    <row r="52" spans="1:14" ht="35" thickBot="1">
      <c r="A52" s="240"/>
      <c r="B52" s="242" t="s">
        <v>73</v>
      </c>
      <c r="C52" s="237" t="s">
        <v>31</v>
      </c>
      <c r="D52" s="237" t="s">
        <v>31</v>
      </c>
      <c r="E52" s="260" t="s">
        <v>31</v>
      </c>
      <c r="F52" s="259">
        <v>45038</v>
      </c>
      <c r="G52" s="235">
        <v>3556</v>
      </c>
      <c r="H52" s="237"/>
      <c r="I52" s="237" t="s">
        <v>31</v>
      </c>
      <c r="J52" s="241">
        <v>-23</v>
      </c>
      <c r="K52" s="243" t="s">
        <v>31</v>
      </c>
      <c r="L52" s="241" t="s">
        <v>35</v>
      </c>
      <c r="M52" s="238">
        <v>48617</v>
      </c>
      <c r="N52" s="235">
        <v>1820</v>
      </c>
    </row>
    <row r="53" spans="1:14" ht="35" thickBot="1">
      <c r="A53" s="240"/>
      <c r="B53" s="242" t="s">
        <v>74</v>
      </c>
      <c r="C53" s="237" t="s">
        <v>31</v>
      </c>
      <c r="D53" s="237" t="s">
        <v>31</v>
      </c>
      <c r="E53" s="260" t="s">
        <v>31</v>
      </c>
      <c r="F53" s="259">
        <v>28828</v>
      </c>
      <c r="G53" s="235">
        <v>1206</v>
      </c>
      <c r="H53" s="237"/>
      <c r="I53" s="237" t="s">
        <v>31</v>
      </c>
      <c r="J53" s="241">
        <v>30</v>
      </c>
      <c r="K53" s="243" t="s">
        <v>31</v>
      </c>
      <c r="L53" s="238">
        <v>3638</v>
      </c>
      <c r="M53" s="238">
        <v>26366</v>
      </c>
      <c r="N53" s="236">
        <v>804</v>
      </c>
    </row>
    <row r="54" spans="1:14" ht="23.5" thickBot="1">
      <c r="A54" s="240"/>
      <c r="B54" s="242" t="s">
        <v>75</v>
      </c>
      <c r="C54" s="237" t="s">
        <v>31</v>
      </c>
      <c r="D54" s="237" t="s">
        <v>31</v>
      </c>
      <c r="E54" s="260" t="s">
        <v>31</v>
      </c>
      <c r="F54" s="259">
        <v>10700</v>
      </c>
      <c r="G54" s="235">
        <v>4203</v>
      </c>
      <c r="H54" s="237"/>
      <c r="I54" s="237" t="s">
        <v>31</v>
      </c>
      <c r="J54" s="241">
        <v>32</v>
      </c>
      <c r="K54" s="243" t="s">
        <v>31</v>
      </c>
      <c r="L54" s="241" t="s">
        <v>35</v>
      </c>
      <c r="M54" s="238">
        <v>14871</v>
      </c>
      <c r="N54" s="235">
        <v>1161</v>
      </c>
    </row>
    <row r="55" spans="1:14" ht="15" thickBot="1">
      <c r="A55" s="240"/>
      <c r="B55" s="242" t="s">
        <v>76</v>
      </c>
      <c r="C55" s="237" t="s">
        <v>31</v>
      </c>
      <c r="D55" s="237" t="s">
        <v>31</v>
      </c>
      <c r="E55" s="260" t="s">
        <v>31</v>
      </c>
      <c r="F55" s="259">
        <v>58879</v>
      </c>
      <c r="G55" s="235">
        <v>16113</v>
      </c>
      <c r="H55" s="237"/>
      <c r="I55" s="237" t="s">
        <v>31</v>
      </c>
      <c r="J55" s="241">
        <v>215</v>
      </c>
      <c r="K55" s="243" t="s">
        <v>31</v>
      </c>
      <c r="L55" s="238">
        <v>45968</v>
      </c>
      <c r="M55" s="238">
        <v>28809</v>
      </c>
      <c r="N55" s="235">
        <v>12316</v>
      </c>
    </row>
    <row r="56" spans="1:14" ht="15" thickBot="1">
      <c r="A56" s="240"/>
      <c r="B56" s="242" t="s">
        <v>77</v>
      </c>
      <c r="C56" s="237" t="s">
        <v>31</v>
      </c>
      <c r="D56" s="237" t="s">
        <v>31</v>
      </c>
      <c r="E56" s="260" t="s">
        <v>31</v>
      </c>
      <c r="F56" s="259">
        <v>2159</v>
      </c>
      <c r="G56" s="235">
        <v>1359</v>
      </c>
      <c r="H56" s="237"/>
      <c r="I56" s="237" t="s">
        <v>31</v>
      </c>
      <c r="J56" s="241">
        <v>-34</v>
      </c>
      <c r="K56" s="243" t="s">
        <v>31</v>
      </c>
      <c r="L56" s="238">
        <v>1543</v>
      </c>
      <c r="M56" s="238">
        <v>2009</v>
      </c>
      <c r="N56" s="236">
        <v>622</v>
      </c>
    </row>
    <row r="57" spans="1:14" ht="23.5" thickBot="1">
      <c r="A57" s="240"/>
      <c r="B57" s="242" t="s">
        <v>78</v>
      </c>
      <c r="C57" s="237" t="s">
        <v>31</v>
      </c>
      <c r="D57" s="237" t="s">
        <v>31</v>
      </c>
      <c r="E57" s="260" t="s">
        <v>31</v>
      </c>
      <c r="F57" s="259">
        <v>287967</v>
      </c>
      <c r="G57" s="235">
        <v>2730</v>
      </c>
      <c r="H57" s="237"/>
      <c r="I57" s="237" t="s">
        <v>31</v>
      </c>
      <c r="J57" s="241">
        <v>-979</v>
      </c>
      <c r="K57" s="243" t="s">
        <v>31</v>
      </c>
      <c r="L57" s="238">
        <v>211131</v>
      </c>
      <c r="M57" s="238">
        <v>80545</v>
      </c>
      <c r="N57" s="235">
        <v>4943</v>
      </c>
    </row>
    <row r="58" spans="1:14" ht="23.5" thickBot="1">
      <c r="A58" s="240"/>
      <c r="B58" s="242" t="s">
        <v>79</v>
      </c>
      <c r="C58" s="237" t="s">
        <v>31</v>
      </c>
      <c r="D58" s="237" t="s">
        <v>31</v>
      </c>
      <c r="E58" s="260" t="s">
        <v>31</v>
      </c>
      <c r="F58" s="259">
        <v>217127</v>
      </c>
      <c r="G58" s="235">
        <v>2730</v>
      </c>
      <c r="H58" s="237"/>
      <c r="I58" s="237" t="s">
        <v>31</v>
      </c>
      <c r="J58" s="241">
        <v>-979</v>
      </c>
      <c r="K58" s="243" t="s">
        <v>31</v>
      </c>
      <c r="L58" s="238">
        <v>211131</v>
      </c>
      <c r="M58" s="238">
        <v>9705</v>
      </c>
      <c r="N58" s="235">
        <v>4943</v>
      </c>
    </row>
    <row r="59" spans="1:14" ht="15" thickBot="1">
      <c r="A59" s="240"/>
      <c r="B59" s="242" t="s">
        <v>80</v>
      </c>
      <c r="C59" s="237" t="s">
        <v>31</v>
      </c>
      <c r="D59" s="237" t="s">
        <v>31</v>
      </c>
      <c r="E59" s="260" t="s">
        <v>31</v>
      </c>
      <c r="F59" s="259">
        <v>70840</v>
      </c>
      <c r="G59" s="237" t="s">
        <v>31</v>
      </c>
      <c r="H59" s="237" t="s">
        <v>31</v>
      </c>
      <c r="I59" s="237" t="s">
        <v>31</v>
      </c>
      <c r="J59" s="243" t="s">
        <v>31</v>
      </c>
      <c r="K59" s="243" t="s">
        <v>31</v>
      </c>
      <c r="L59" s="243" t="s">
        <v>31</v>
      </c>
      <c r="M59" s="238">
        <v>70840</v>
      </c>
      <c r="N59" s="237" t="s">
        <v>31</v>
      </c>
    </row>
    <row r="60" spans="1:14" ht="35" thickBot="1">
      <c r="A60" s="240"/>
      <c r="B60" s="242" t="s">
        <v>81</v>
      </c>
      <c r="C60" s="237" t="s">
        <v>31</v>
      </c>
      <c r="D60" s="237" t="s">
        <v>31</v>
      </c>
      <c r="E60" s="260" t="s">
        <v>31</v>
      </c>
      <c r="F60" s="259">
        <v>123534</v>
      </c>
      <c r="G60" s="235">
        <v>20192</v>
      </c>
      <c r="H60" s="237"/>
      <c r="I60" s="237" t="s">
        <v>31</v>
      </c>
      <c r="J60" s="238">
        <v>1723</v>
      </c>
      <c r="K60" s="243" t="s">
        <v>31</v>
      </c>
      <c r="L60" s="238">
        <v>8143</v>
      </c>
      <c r="M60" s="238">
        <v>133860</v>
      </c>
      <c r="N60" s="235">
        <v>24474</v>
      </c>
    </row>
    <row r="61" spans="1:14" ht="15" thickBot="1">
      <c r="A61" s="240"/>
      <c r="B61" s="242" t="s">
        <v>82</v>
      </c>
      <c r="C61" s="237" t="s">
        <v>31</v>
      </c>
      <c r="D61" s="237" t="s">
        <v>31</v>
      </c>
      <c r="E61" s="260" t="s">
        <v>31</v>
      </c>
      <c r="F61" s="259">
        <v>233635</v>
      </c>
      <c r="G61" s="237" t="s">
        <v>31</v>
      </c>
      <c r="H61" s="237" t="s">
        <v>31</v>
      </c>
      <c r="I61" s="237" t="s">
        <v>31</v>
      </c>
      <c r="J61" s="243" t="s">
        <v>31</v>
      </c>
      <c r="K61" s="243" t="s">
        <v>31</v>
      </c>
      <c r="L61" s="243" t="s">
        <v>31</v>
      </c>
      <c r="M61" s="238">
        <v>233635</v>
      </c>
      <c r="N61" s="237" t="s">
        <v>31</v>
      </c>
    </row>
    <row r="62" spans="1:14" ht="35" thickBot="1">
      <c r="A62" s="244"/>
      <c r="B62" s="245" t="s">
        <v>83</v>
      </c>
      <c r="C62" s="246" t="s">
        <v>31</v>
      </c>
      <c r="D62" s="246" t="s">
        <v>31</v>
      </c>
      <c r="E62" s="262" t="s">
        <v>31</v>
      </c>
      <c r="F62" s="263">
        <v>30452</v>
      </c>
      <c r="G62" s="248" t="s">
        <v>35</v>
      </c>
      <c r="H62" s="246"/>
      <c r="I62" s="246" t="s">
        <v>31</v>
      </c>
      <c r="J62" s="249">
        <v>94</v>
      </c>
      <c r="K62" s="250" t="s">
        <v>31</v>
      </c>
      <c r="L62" s="249">
        <v>586</v>
      </c>
      <c r="M62" s="251">
        <v>29772</v>
      </c>
      <c r="N62" s="247">
        <v>1010</v>
      </c>
    </row>
  </sheetData>
  <mergeCells count="6">
    <mergeCell ref="N1:N4"/>
    <mergeCell ref="A1:B1"/>
    <mergeCell ref="A3:B3"/>
    <mergeCell ref="A4:B4"/>
    <mergeCell ref="C1:I3"/>
    <mergeCell ref="J1:M3"/>
  </mergeCells>
  <hyperlinks>
    <hyperlink ref="C5" r:id="rId1" display="https://www.eia.gov/dnav/pet/hist/LeafHandler.ashx?n=PET&amp;s=MTTFPUS1&amp;f=A" xr:uid="{E4EAB2D0-4817-4186-993B-B36A643870DB}"/>
    <hyperlink ref="D5" r:id="rId2" display="https://www.eia.gov/dnav/pet/hist/LeafHandler.ashx?n=PET&amp;s=M_EP00_TVP_NUS_MBBL&amp;f=A" xr:uid="{DBC9AE85-B25A-4CA3-BD9E-FF3E700099C7}"/>
    <hyperlink ref="E5" r:id="rId3" display="https://www.eia.gov/dnav/pet/hist/LeafHandler.ashx?n=PET&amp;s=M_EP00_YNP_NUS_MBBL&amp;f=A" xr:uid="{316155D2-9FC3-4287-8AA1-6C82FE1FF65A}"/>
    <hyperlink ref="F5" r:id="rId4" display="https://www.eia.gov/dnav/pet/hist/LeafHandler.ashx?n=PET&amp;s=MTTRPUS1&amp;f=A" xr:uid="{D870CBDF-E07C-4BA5-B596-88359D628CF9}"/>
    <hyperlink ref="G5" r:id="rId5" display="https://www.eia.gov/dnav/pet/hist/LeafHandler.ashx?n=PET&amp;s=MTTIMUS1&amp;f=A" xr:uid="{D1F1D9A1-04E7-4A10-985A-547B384A9A56}"/>
    <hyperlink ref="I5" r:id="rId6" display="https://www.eia.gov/dnav/pet/hist/LeafHandler.ashx?n=PET&amp;s=MTTUA_NUS_1&amp;f=A" xr:uid="{5CBBA9F2-0065-4B3E-BEB2-4E6C72879AB2}"/>
    <hyperlink ref="J5" r:id="rId7" display="https://www.eia.gov/dnav/pet/hist/LeafHandler.ashx?n=PET&amp;s=MTTSCUS1&amp;f=A" xr:uid="{24C794EA-3AFD-47BC-998A-F1F3BC2C059F}"/>
    <hyperlink ref="K5" r:id="rId8" display="https://www.eia.gov/dnav/pet/hist/LeafHandler.ashx?n=PET&amp;s=MTTRIUS1&amp;f=A" xr:uid="{2F951305-CC5D-4857-A0A0-F2D490F88BFD}"/>
    <hyperlink ref="L5" r:id="rId9" display="https://www.eia.gov/dnav/pet/hist/LeafHandler.ashx?n=PET&amp;s=MTTEXUS1&amp;f=A" xr:uid="{191947E3-06D7-45FE-8735-A116DD0F3B97}"/>
    <hyperlink ref="M5" r:id="rId10" display="https://www.eia.gov/dnav/pet/hist/LeafHandler.ashx?n=PET&amp;s=MTTUPUS1&amp;f=A" xr:uid="{6DB1CD8F-9774-48AA-9A43-614955D86A31}"/>
    <hyperlink ref="N5" r:id="rId11" display="https://www.eia.gov/dnav/pet/hist/LeafHandler.ashx?n=PET&amp;s=MTTSTUS1&amp;f=A" xr:uid="{32D76DF6-C26A-4314-8439-5B579B0FF07F}"/>
    <hyperlink ref="C6" r:id="rId12" display="https://www.eia.gov/dnav/pet/hist/LeafHandler.ashx?n=PET&amp;s=MCRFPUS1&amp;f=A" xr:uid="{ED3ADD3A-E886-446E-9671-29018F603D04}"/>
    <hyperlink ref="D6" r:id="rId13" display="https://www.eia.gov/dnav/pet/hist/LeafHandler.ashx?n=PET&amp;s=M_EPC0_TVP_NUS_MBBL&amp;f=A" xr:uid="{FAC0123E-FEAE-4718-A688-E0AAD6300CB5}"/>
    <hyperlink ref="G6" r:id="rId14" display="https://www.eia.gov/dnav/pet/hist/LeafHandler.ashx?n=PET&amp;s=MCRIMUS1&amp;f=A" xr:uid="{A366E461-929D-4449-AD8C-C3353F64010D}"/>
    <hyperlink ref="I6" r:id="rId15" display="https://www.eia.gov/dnav/pet/hist/LeafHandler.ashx?n=PET&amp;s=MCRUA_NUS_1&amp;f=A" xr:uid="{BF067BAF-B00F-43B7-96BB-6D70166CE01F}"/>
    <hyperlink ref="J6" r:id="rId16" display="https://www.eia.gov/dnav/pet/hist/LeafHandler.ashx?n=PET&amp;s=MCRSCUS1&amp;f=A" xr:uid="{6525A45F-D754-4AA0-8D28-2BE002A0975C}"/>
    <hyperlink ref="K6" r:id="rId17" display="https://www.eia.gov/dnav/pet/hist/LeafHandler.ashx?n=PET&amp;s=MCRRIUS1&amp;f=A" xr:uid="{00BF87F3-86AF-4AE1-A151-B55552015E03}"/>
    <hyperlink ref="L6" r:id="rId18" display="https://www.eia.gov/dnav/pet/hist/LeafHandler.ashx?n=PET&amp;s=MCREXUS1&amp;f=A" xr:uid="{D794670E-239A-4FA8-8CEA-CD709BD3FDF9}"/>
    <hyperlink ref="M6" r:id="rId19" display="https://www.eia.gov/dnav/pet/hist/LeafHandler.ashx?n=PET&amp;s=MCRUPUS1&amp;f=A" xr:uid="{56984ACE-8C25-481F-B838-09469B5511FB}"/>
    <hyperlink ref="N6" r:id="rId20" display="https://www.eia.gov/dnav/pet/hist/LeafHandler.ashx?n=PET&amp;s=MCRSTUS1&amp;f=A" xr:uid="{F4509BA7-1903-47B0-828E-610BAC344D6C}"/>
    <hyperlink ref="C7" r:id="rId21" display="https://www.eia.gov/dnav/pet/hist/LeafHandler.ashx?n=PET&amp;s=MNGFPUS1&amp;f=A" xr:uid="{22FCBE07-B4DF-47A5-907F-242D8C2F1CB3}"/>
    <hyperlink ref="D7" r:id="rId22" display="https://www.eia.gov/dnav/pet/hist/LeafHandler.ashx?n=PET&amp;s=M_EPL0_TVP_NUS_MBBL&amp;f=A" xr:uid="{7F91BC98-140A-48AA-BC53-D30D2401C5BB}"/>
    <hyperlink ref="E7" r:id="rId23" display="https://www.eia.gov/dnav/pet/hist/LeafHandler.ashx?n=PET&amp;s=M_EPL0_YNP_NUS_MBBL&amp;f=A" xr:uid="{E692CACC-A281-4A7B-B433-FAA42C33CE2B}"/>
    <hyperlink ref="F7" r:id="rId24" display="https://www.eia.gov/dnav/pet/hist/LeafHandler.ashx?n=PET&amp;s=MNGRPUS1&amp;f=A" xr:uid="{F1ABA617-8BAC-4D58-8858-EE4DC6CF33F1}"/>
    <hyperlink ref="G7" r:id="rId25" display="https://www.eia.gov/dnav/pet/hist/LeafHandler.ashx?n=PET&amp;s=MNGIMUS1&amp;f=A" xr:uid="{2E5495C7-7664-46D6-B60F-003D030B7CF8}"/>
    <hyperlink ref="J7" r:id="rId26" display="https://www.eia.gov/dnav/pet/hist/LeafHandler.ashx?n=PET&amp;s=MNGSCUS1&amp;f=A" xr:uid="{A65FF967-8BCB-49C9-9401-69CA4B365800}"/>
    <hyperlink ref="K7" r:id="rId27" display="https://www.eia.gov/dnav/pet/hist/LeafHandler.ashx?n=PET&amp;s=MNGRIUS1&amp;f=A" xr:uid="{046E3F7A-8CE5-4A5B-A4BE-5E70D6186AC7}"/>
    <hyperlink ref="L7" r:id="rId28" display="https://www.eia.gov/dnav/pet/hist/LeafHandler.ashx?n=PET&amp;s=MNGEXUS1&amp;f=A" xr:uid="{D31D9670-F101-4A8C-97E4-1319C604DB47}"/>
    <hyperlink ref="M7" r:id="rId29" display="https://www.eia.gov/dnav/pet/hist/LeafHandler.ashx?n=PET&amp;s=MNGUPUS1&amp;f=A" xr:uid="{1167DAD0-9283-4DEF-9CEB-A93243E8F7B9}"/>
    <hyperlink ref="N7" r:id="rId30" display="https://www.eia.gov/dnav/pet/hist/LeafHandler.ashx?n=PET&amp;s=MNGSTUS1&amp;f=A" xr:uid="{51A660F5-21C5-491A-92E9-0D67C35C46FF}"/>
    <hyperlink ref="C8" r:id="rId31" display="https://www.eia.gov/dnav/pet/hist/LeafHandler.ashx?n=PET&amp;s=M_EPL2_FPF_NUS_MBBL&amp;f=A" xr:uid="{F2102682-5CFA-4B95-BFA5-4D25D3FB741C}"/>
    <hyperlink ref="D8" r:id="rId32" display="https://www.eia.gov/dnav/pet/hist/LeafHandler.ashx?n=PET&amp;s=M_EPL2_TVP_NUS_MBBL&amp;f=A" xr:uid="{A5692C49-6CCE-48A7-9AD5-D510B52DC97E}"/>
    <hyperlink ref="E8" r:id="rId33" display="https://www.eia.gov/dnav/pet/hist/LeafHandler.ashx?n=PET&amp;s=M_EPL2_YNP_NUS_MBBL&amp;f=A" xr:uid="{418AE5BF-ABE3-458C-B0E2-8FA13A91B887}"/>
    <hyperlink ref="F8" r:id="rId34" display="https://www.eia.gov/dnav/pet/hist/LeafHandler.ashx?n=PET&amp;s=M_EPL2_YPR_NUS_MBBL&amp;f=A" xr:uid="{1E7A6C99-47BA-453D-BF45-BA2B328A9A4B}"/>
    <hyperlink ref="G8" r:id="rId35" display="https://www.eia.gov/dnav/pet/hist/LeafHandler.ashx?n=PET&amp;s=M_EPL2_IM0_NUS-Z00_MBBL&amp;f=A" xr:uid="{83CE17EF-A815-4BA8-9A23-0256BE64C42A}"/>
    <hyperlink ref="J8" r:id="rId36" display="https://www.eia.gov/dnav/pet/hist/LeafHandler.ashx?n=PET&amp;s=M_EPL2_SCG_NUS_MBBL&amp;f=A" xr:uid="{D99C574B-8ACA-46C5-9DF7-B2C3CA1A307C}"/>
    <hyperlink ref="K8" r:id="rId37" display="https://www.eia.gov/dnav/pet/hist/LeafHandler.ashx?n=PET&amp;s=M_EPL2_YIR_NUS_MBBL&amp;f=A" xr:uid="{8024726A-A278-4B8D-A01B-AE1BB796E035}"/>
    <hyperlink ref="L8" r:id="rId38" display="https://www.eia.gov/dnav/pet/hist/LeafHandler.ashx?n=PET&amp;s=M_EPL2_EEX_NUS-Z00_MBBL&amp;f=A" xr:uid="{893B630C-3799-49BA-918A-152A18283718}"/>
    <hyperlink ref="M8" r:id="rId39" display="https://www.eia.gov/dnav/pet/hist/LeafHandler.ashx?n=PET&amp;s=M_EPL2_VPP_NUS_MBBL&amp;f=A" xr:uid="{1A976AA6-6D11-4984-B64E-A3BA08B294AA}"/>
    <hyperlink ref="N8" r:id="rId40" display="https://www.eia.gov/dnav/pet/hist/LeafHandler.ashx?n=PET&amp;s=M_EPL2_SAE_NUS_MBBL&amp;f=A" xr:uid="{F7F9D542-8765-4896-AB8A-E4A34263B44E}"/>
    <hyperlink ref="C9" r:id="rId41" display="https://www.eia.gov/dnav/pet/hist/LeafHandler.ashx?n=PET&amp;s=M_EPLLEA_FPF_NUS_MBBL&amp;f=A" xr:uid="{263DF4BE-703E-4DA7-9E80-64591CFD3CDB}"/>
    <hyperlink ref="F9" r:id="rId42" display="https://www.eia.gov/dnav/pet/hist/LeafHandler.ashx?n=PET&amp;s=MENRPUS1&amp;f=A" xr:uid="{FD823095-02D2-4DB2-8C55-33A605F5638B}"/>
    <hyperlink ref="G9" r:id="rId43" display="https://www.eia.gov/dnav/pet/hist/LeafHandler.ashx?n=PET&amp;s=MENIMUS1&amp;f=A" xr:uid="{EE5A79A4-B2EB-4CB3-8050-B5AB28E30357}"/>
    <hyperlink ref="J9" r:id="rId44" display="https://www.eia.gov/dnav/pet/hist/LeafHandler.ashx?n=PET&amp;s=M_EPLLEA_SCG_NUS_MBBL&amp;f=A" xr:uid="{6B4B7A4F-B0F8-489B-B394-CF7E96A7F56E}"/>
    <hyperlink ref="L9" r:id="rId45" display="https://www.eia.gov/dnav/pet/hist/LeafHandler.ashx?n=PET&amp;s=M_EPLLEA_EEX_NUS-Z00_1&amp;f=A" xr:uid="{9E912817-733E-4202-A111-CBF000FAEE94}"/>
    <hyperlink ref="M9" r:id="rId46" display="https://www.eia.gov/dnav/pet/hist/LeafHandler.ashx?n=PET&amp;s=M_EPLLEA_VPP_NUS_MBBL&amp;f=A" xr:uid="{CBF620DD-1FF1-4C87-B35D-0A1E7C90DF55}"/>
    <hyperlink ref="N9" r:id="rId47" display="https://www.eia.gov/dnav/pet/hist/LeafHandler.ashx?n=PET&amp;s=M_EPLLEA_SAE_NUS_MBBL&amp;f=A" xr:uid="{1CD66BC3-8B53-4CDB-A8A1-AF12CBB23306}"/>
    <hyperlink ref="C10" r:id="rId48" display="https://www.eia.gov/dnav/pet/hist/LeafHandler.ashx?n=PET&amp;s=M_EPLLPA_FPF_NUS_MBBL&amp;f=A" xr:uid="{CAE8E765-5663-46E2-B1D8-FF4F10AA4318}"/>
    <hyperlink ref="D10" r:id="rId49" display="https://www.eia.gov/dnav/pet/hist/LeafHandler.ashx?n=PET&amp;s=M_EPLLPA_TVP_NUS_MBBL&amp;f=A" xr:uid="{86BFF5B5-3D44-4B42-A48C-AD5D26A22AB3}"/>
    <hyperlink ref="F10" r:id="rId50" display="https://www.eia.gov/dnav/pet/hist/LeafHandler.ashx?n=PET&amp;s=MPARP_NUS_1&amp;f=A" xr:uid="{5FE9B62B-0E45-40C6-BF17-78FED39D9386}"/>
    <hyperlink ref="G10" r:id="rId51" display="https://www.eia.gov/dnav/pet/hist/LeafHandler.ashx?n=PET&amp;s=MPAIM_NUS-Z00_1&amp;f=A" xr:uid="{9A8A5BCB-337E-4CB1-BCE2-7224015797BC}"/>
    <hyperlink ref="J10" r:id="rId52" display="https://www.eia.gov/dnav/pet/hist/LeafHandler.ashx?n=PET&amp;s=M_EPLLPA_SCG_NUS_MBBL&amp;f=A" xr:uid="{0A485CB2-941F-4599-854C-AA476664FF9E}"/>
    <hyperlink ref="L10" r:id="rId53" display="https://www.eia.gov/dnav/pet/hist/LeafHandler.ashx?n=PET&amp;s=MPAEX_NUS-Z00_1&amp;f=A" xr:uid="{40A63D82-D4B5-4FC4-AB5F-2992A7B163CE}"/>
    <hyperlink ref="M10" r:id="rId54" display="https://www.eia.gov/dnav/pet/hist/LeafHandler.ashx?n=PET&amp;s=M_EPLLPA_VPP_NUS_MBBL&amp;f=A" xr:uid="{0F3192D4-122A-4018-978C-EBCFAB6B70C0}"/>
    <hyperlink ref="N10" r:id="rId55" display="https://www.eia.gov/dnav/pet/hist/LeafHandler.ashx?n=PET&amp;s=M_EPLLPA_SAE_NUS_MBBL&amp;f=A" xr:uid="{BE2FB890-CE8D-4FE5-AE3F-D081C5A5AC9D}"/>
    <hyperlink ref="C11" r:id="rId56" display="https://www.eia.gov/dnav/pet/hist/LeafHandler.ashx?n=PET&amp;s=M_EPLLBAN_FPF_NUS_MBBL&amp;f=A" xr:uid="{339FCC8D-0F99-4025-8D58-C04B329272FA}"/>
    <hyperlink ref="D11" r:id="rId57" display="https://www.eia.gov/dnav/pet/hist/LeafHandler.ashx?n=PET&amp;s=M_EPLLBAN_TVP_NUS_MBBL&amp;f=A" xr:uid="{2EF2B98C-8EDD-470F-9B53-0BFC9E88D4CC}"/>
    <hyperlink ref="E11" r:id="rId58" display="https://www.eia.gov/dnav/pet/hist/LeafHandler.ashx?n=PET&amp;s=M_EPLLBAN_YNP_NUS_MBBL&amp;f=A" xr:uid="{FB14A789-A17F-4A87-8E22-F0579434A031}"/>
    <hyperlink ref="F11" r:id="rId59" display="https://www.eia.gov/dnav/pet/hist/LeafHandler.ashx?n=PET&amp;s=MBURPUS1&amp;f=A" xr:uid="{2B9F911C-BC54-4DA7-8435-07DAF03EDA23}"/>
    <hyperlink ref="G11" r:id="rId60" display="https://www.eia.gov/dnav/pet/hist/LeafHandler.ashx?n=PET&amp;s=MBUIM_NUS-Z00_1&amp;f=A" xr:uid="{03603410-2E77-43FC-AB98-F93F9AA368F4}"/>
    <hyperlink ref="J11" r:id="rId61" display="https://www.eia.gov/dnav/pet/hist/LeafHandler.ashx?n=PET&amp;s=M_EPLLBAN_SCG_NUS_MBBL&amp;f=A" xr:uid="{49B29BF4-653C-4736-AAC7-009E1862A497}"/>
    <hyperlink ref="K11" r:id="rId62" display="https://www.eia.gov/dnav/pet/hist/LeafHandler.ashx?n=PET&amp;s=M_EPLLBAN_YIR_NUS_MBBL&amp;f=A" xr:uid="{F262A168-E777-4085-A09B-855E286CD1E0}"/>
    <hyperlink ref="L11" r:id="rId63" display="https://www.eia.gov/dnav/pet/hist/LeafHandler.ashx?n=PET&amp;s=MBUEX_NUS-Z00_1&amp;f=A" xr:uid="{6286DBDA-FC1F-44AA-8A1B-C3C099582C93}"/>
    <hyperlink ref="M11" r:id="rId64" display="https://www.eia.gov/dnav/pet/hist/LeafHandler.ashx?n=PET&amp;s=M_EPLLBAN_VPP_NUS_MBBL&amp;f=A" xr:uid="{D1179360-B712-4FCF-B640-D143A872E34C}"/>
    <hyperlink ref="N11" r:id="rId65" display="https://www.eia.gov/dnav/pet/hist/LeafHandler.ashx?n=PET&amp;s=M_EPLLBAN_SAE_NUS_MBBL&amp;f=A" xr:uid="{16B4D2EA-A0AA-42D4-A5DF-213206195F1D}"/>
    <hyperlink ref="C12" r:id="rId66" display="https://www.eia.gov/dnav/pet/hist/LeafHandler.ashx?n=PET&amp;s=M_EPLLBAI_FPF_NUS_MBBL&amp;f=A" xr:uid="{0C1A519E-46E6-40FA-AF72-606F2C0E074E}"/>
    <hyperlink ref="D12" r:id="rId67" display="https://www.eia.gov/dnav/pet/hist/LeafHandler.ashx?n=PET&amp;s=M_EPLLBAI_TVP_NUS_MBBL&amp;f=A" xr:uid="{43539209-626F-4721-BFB9-2C4BC408D822}"/>
    <hyperlink ref="E12" r:id="rId68" display="https://www.eia.gov/dnav/pet/hist/LeafHandler.ashx?n=PET&amp;s=M_EPLLBAI_YNP_NUS_MBBL&amp;f=A" xr:uid="{996BB287-B944-4D43-B71E-25ACB372201B}"/>
    <hyperlink ref="F12" r:id="rId69" display="https://www.eia.gov/dnav/pet/hist/LeafHandler.ashx?n=PET&amp;s=MIIRPUS1&amp;f=A" xr:uid="{3473387F-310E-4A44-8B00-00C56751EA33}"/>
    <hyperlink ref="G12" r:id="rId70" display="https://www.eia.gov/dnav/pet/hist/LeafHandler.ashx?n=PET&amp;s=MIIIM_NUS-Z00_1&amp;f=A" xr:uid="{64EE3DDB-6232-4044-8737-C5834EE06131}"/>
    <hyperlink ref="J12" r:id="rId71" display="https://www.eia.gov/dnav/pet/hist/LeafHandler.ashx?n=PET&amp;s=M_EPLLBAI_SCG_NUS_MBBL&amp;f=A" xr:uid="{80C06AE9-BA7D-424F-A9F4-E8309DEE20B9}"/>
    <hyperlink ref="K12" r:id="rId72" display="https://www.eia.gov/dnav/pet/hist/LeafHandler.ashx?n=PET&amp;s=M_EPLLBAI_YIR_NUS_MBBL&amp;f=A" xr:uid="{A78B63E4-BDE5-417A-9992-768B64713A9D}"/>
    <hyperlink ref="L12" r:id="rId73" display="https://www.eia.gov/dnav/pet/hist/LeafHandler.ashx?n=PET&amp;s=M_EPLLBAI_EEX_NUS-Z00_1&amp;f=A" xr:uid="{2941F4C9-13E5-45CC-AE58-2ED0BBE38C53}"/>
    <hyperlink ref="M12" r:id="rId74" display="https://www.eia.gov/dnav/pet/hist/LeafHandler.ashx?n=PET&amp;s=M_EPLLBAI_VPP_NUS_MBBL&amp;f=A" xr:uid="{3C7CDA79-36A2-43C1-9071-76E1467A4F50}"/>
    <hyperlink ref="N12" r:id="rId75" display="https://www.eia.gov/dnav/pet/hist/LeafHandler.ashx?n=PET&amp;s=M_EPLLBAI_SAE_NUS_MBBL&amp;f=A" xr:uid="{D62A0CBF-2D02-4CDF-AF38-4EF21736B390}"/>
    <hyperlink ref="C13" r:id="rId76" display="https://www.eia.gov/dnav/pet/hist/LeafHandler.ashx?n=PET&amp;s=M_EPLLNG_FPF_NUS_MBBL&amp;f=A" xr:uid="{01B4C261-D2BE-4606-ABB0-A94CF432E398}"/>
    <hyperlink ref="D13" r:id="rId77" display="https://www.eia.gov/dnav/pet/hist/LeafHandler.ashx?n=PET&amp;s=M_EPLLNG_TVP_NUS_MBBL&amp;f=A" xr:uid="{089F2A1A-A61C-4E6C-A305-2A367378527C}"/>
    <hyperlink ref="E13" r:id="rId78" display="https://www.eia.gov/dnav/pet/hist/LeafHandler.ashx?n=PET&amp;s=M_EPLLNG_YNP_NUS_MBBL&amp;f=A" xr:uid="{1B1248BE-713F-4954-9FAB-929456F6A27B}"/>
    <hyperlink ref="G13" r:id="rId79" display="https://www.eia.gov/dnav/pet/hist/LeafHandler.ashx?n=PET&amp;s=M_EPLLNG_IM0_NUS-Z00_MBBL&amp;f=A" xr:uid="{E53F1154-3B58-4CEA-B043-85241F79A6ED}"/>
    <hyperlink ref="J13" r:id="rId80" display="https://www.eia.gov/dnav/pet/hist/LeafHandler.ashx?n=PET&amp;s=M_EPLLNG_SCG_NUS_MBBL&amp;f=A" xr:uid="{8B3E6CD9-9976-414A-A770-98801E224E24}"/>
    <hyperlink ref="K13" r:id="rId81" display="https://www.eia.gov/dnav/pet/hist/LeafHandler.ashx?n=PET&amp;s=M_EPLLNG_YIR_NUS_MBBL&amp;f=A" xr:uid="{563DEF86-8B1B-4353-960E-73B7FD42D795}"/>
    <hyperlink ref="L13" r:id="rId82" display="https://www.eia.gov/dnav/pet/hist/LeafHandler.ashx?n=PET&amp;s=M_EPLLNG_EEX_NUS-Z00_MBBL&amp;f=A" xr:uid="{29D672AB-9D67-4BA2-B0DD-A8F431ACD95B}"/>
    <hyperlink ref="M13" r:id="rId83" display="https://www.eia.gov/dnav/pet/hist/LeafHandler.ashx?n=PET&amp;s=M_EPLLNG_VPP_NUS_MBBL&amp;f=A" xr:uid="{F7994F73-90DC-459C-83EA-22896F96F53C}"/>
    <hyperlink ref="N13" r:id="rId84" display="https://www.eia.gov/dnav/pet/hist/LeafHandler.ashx?n=PET&amp;s=M_EPLLNG_SAE_NUS_MBBL&amp;f=A" xr:uid="{7B9B8B5D-6A1B-4482-A919-50A077ADFA43}"/>
    <hyperlink ref="C14" r:id="rId85" display="https://www.eia.gov/dnav/pet/hist/LeafHandler.ashx?n=PET&amp;s=M_EPLLCS_FPF_NUS_MBBL&amp;f=A" xr:uid="{ABA2184F-B625-436D-A4AA-1A08C567F7EA}"/>
    <hyperlink ref="D14" r:id="rId86" display="https://www.eia.gov/dnav/pet/hist/LeafHandler.ashx?n=PET&amp;s=M_EPLLCS_TVP_NUS_MBBL&amp;f=A" xr:uid="{F7E236E8-7D65-4294-A407-767274A65EA7}"/>
    <hyperlink ref="J14" r:id="rId87" display="https://www.eia.gov/dnav/pet/hist/LeafHandler.ashx?n=PET&amp;s=M_EPLLCS_SCG_NUS_MBBL&amp;f=A" xr:uid="{CCB42C42-E3DF-4BBB-B91F-27D0707AFB2D}"/>
    <hyperlink ref="M14" r:id="rId88" display="https://www.eia.gov/dnav/pet/hist/LeafHandler.ashx?n=PET&amp;s=M_EPLLCS_VPP_NUS_MBBL&amp;f=A" xr:uid="{2C685F45-D26C-499D-80F3-0AC6B4B39087}"/>
    <hyperlink ref="N14" r:id="rId89" display="https://www.eia.gov/dnav/pet/hist/LeafHandler.ashx?n=PET&amp;s=M_EPLLCS_SAE_NUS_MBBL&amp;f=A" xr:uid="{184323C7-FBE3-48AB-BC2F-B86159769A77}"/>
    <hyperlink ref="F15" r:id="rId90" display="https://www.eia.gov/dnav/pet/hist/LeafHandler.ashx?n=PET&amp;s=M_EPLOLE_YPR_NUS_MBBL&amp;f=A" xr:uid="{73A9CBCD-ECCC-4FBE-9351-AA83D90906FC}"/>
    <hyperlink ref="G15" r:id="rId91" display="https://www.eia.gov/dnav/pet/hist/LeafHandler.ashx?n=PET&amp;s=M_EPLOLE_IM0_NUS-Z00_MBBL&amp;f=A" xr:uid="{F2593B88-6278-4E6B-9EBA-7B5350DB970D}"/>
    <hyperlink ref="J15" r:id="rId92" display="https://www.eia.gov/dnav/pet/hist/LeafHandler.ashx?n=PET&amp;s=M_EPLOLE_SCG_NUS_MBBL&amp;f=A" xr:uid="{386F9979-3837-4ABB-A2DB-165C62C0DF04}"/>
    <hyperlink ref="M15" r:id="rId93" display="https://www.eia.gov/dnav/pet/hist/LeafHandler.ashx?n=PET&amp;s=M_EPLOLE_VPP_NUS_MBBL&amp;f=A" xr:uid="{4E3FC147-C18B-4855-8D8F-B957FA4BC593}"/>
    <hyperlink ref="N15" r:id="rId94" display="https://www.eia.gov/dnav/pet/hist/LeafHandler.ashx?n=PET&amp;s=M_EPLOLE_SAE_NUS_MBBL&amp;f=A" xr:uid="{70653D32-0DE2-4B63-A854-E8E458A33DC6}"/>
    <hyperlink ref="F16" r:id="rId95" display="https://www.eia.gov/dnav/pet/hist/LeafHandler.ashx?n=PET&amp;s=MEYRPUS1&amp;f=A" xr:uid="{AF36D751-9DCB-4635-905D-A111C8EA0C0E}"/>
    <hyperlink ref="G16" r:id="rId96" display="https://www.eia.gov/dnav/pet/hist/LeafHandler.ashx?n=PET&amp;s=MEYIMUS1&amp;f=A" xr:uid="{B482F6D2-20FA-44A0-9119-DB3A8CC96D4F}"/>
    <hyperlink ref="J16" r:id="rId97" display="https://www.eia.gov/dnav/pet/hist/LeafHandler.ashx?n=PET&amp;s=M_EPLLEY_SCG_NUS_MBBL&amp;f=A" xr:uid="{350AA20C-6DBE-4563-BD8B-992CEE687171}"/>
    <hyperlink ref="M16" r:id="rId98" display="https://www.eia.gov/dnav/pet/hist/LeafHandler.ashx?n=PET&amp;s=M_EPLLEY_VPP_NUS_MBBL&amp;f=A" xr:uid="{4CB1F09E-A7B0-45E5-8DE0-AD31FBBFC3C6}"/>
    <hyperlink ref="N16" r:id="rId99" display="https://www.eia.gov/dnav/pet/hist/LeafHandler.ashx?n=PET&amp;s=M_EPLLEY_SAE_NUS_MBBL&amp;f=A" xr:uid="{905E1282-9E35-4BFC-9655-B69650C98D75}"/>
    <hyperlink ref="F17" r:id="rId100" display="https://www.eia.gov/dnav/pet/hist/LeafHandler.ashx?n=PET&amp;s=MPLRPUS1&amp;f=A" xr:uid="{13706F04-83A6-4617-94C1-8BC2E1DE2FF6}"/>
    <hyperlink ref="G17" r:id="rId101" display="https://www.eia.gov/dnav/pet/hist/LeafHandler.ashx?n=PET&amp;s=MPLIMUS1&amp;f=A" xr:uid="{81A50D00-3B41-4E06-9D78-9E604C6E5A6B}"/>
    <hyperlink ref="J17" r:id="rId102" display="https://www.eia.gov/dnav/pet/hist/LeafHandler.ashx?n=PET&amp;s=M_EPLLPY_SCG_NUS_MBBL&amp;f=A" xr:uid="{DF9DE4E1-C5AF-4CF6-8F93-69BD389EBFCE}"/>
    <hyperlink ref="M17" r:id="rId103" display="https://www.eia.gov/dnav/pet/hist/LeafHandler.ashx?n=PET&amp;s=M_EPLLPY_VPP_NUS_MBBL&amp;f=A" xr:uid="{F1849214-8E9F-46A3-9D64-E7710FCF7A98}"/>
    <hyperlink ref="N17" r:id="rId104" display="https://www.eia.gov/dnav/pet/hist/LeafHandler.ashx?n=PET&amp;s=M_EPLLPY_SAE_NUS_MBBL&amp;f=A" xr:uid="{D6C93732-E511-460D-81F0-7F757F557CDD}"/>
    <hyperlink ref="F18" r:id="rId105" display="https://www.eia.gov/dnav/pet/hist/LeafHandler.ashx?n=PET&amp;s=MBYRPUS1&amp;f=A" xr:uid="{2D089EDD-05AA-4AF1-BDE6-3DCA4E6A84E0}"/>
    <hyperlink ref="G18" r:id="rId106" display="https://www.eia.gov/dnav/pet/hist/LeafHandler.ashx?n=PET&amp;s=MBYIMUS1&amp;f=A" xr:uid="{32476C74-BF73-47DA-A88F-B2CC19DB30C3}"/>
    <hyperlink ref="J18" r:id="rId107" display="https://www.eia.gov/dnav/pet/hist/LeafHandler.ashx?n=PET&amp;s=M_EPLLBYN_SCG_NUS_MBBL&amp;f=A" xr:uid="{D3985ABF-B8D2-451D-9520-10A9DD19C924}"/>
    <hyperlink ref="M18" r:id="rId108" display="https://www.eia.gov/dnav/pet/hist/LeafHandler.ashx?n=PET&amp;s=M_EPLLBYN_VPP_NUS_MBBL&amp;f=A" xr:uid="{1796CB34-CF47-4B9A-BDFD-B83AB0A08CE6}"/>
    <hyperlink ref="N18" r:id="rId109" display="https://www.eia.gov/dnav/pet/hist/LeafHandler.ashx?n=PET&amp;s=M_EPLLBYN_SAE_NUS_MBBL&amp;f=A" xr:uid="{31C8EA67-25EB-4ADB-9EE0-BA11067D5714}"/>
    <hyperlink ref="F19" r:id="rId110" display="https://www.eia.gov/dnav/pet/hist/LeafHandler.ashx?n=PET&amp;s=MIYRPUS1&amp;f=A" xr:uid="{435529FE-F4C4-4D0D-A3C9-B6C89948D8ED}"/>
    <hyperlink ref="G19" r:id="rId111" display="https://www.eia.gov/dnav/pet/hist/LeafHandler.ashx?n=PET&amp;s=MIYIMUS1&amp;f=A" xr:uid="{B057C061-A874-47C8-A30C-29B42F31CAFB}"/>
    <hyperlink ref="J19" r:id="rId112" display="https://www.eia.gov/dnav/pet/hist/LeafHandler.ashx?n=PET&amp;s=M_EPLLBYI_SCG_NUS_MBBL&amp;f=A" xr:uid="{93592BFB-1C7E-4B39-B0A3-99DC4FC9582D}"/>
    <hyperlink ref="M19" r:id="rId113" display="https://www.eia.gov/dnav/pet/hist/LeafHandler.ashx?n=PET&amp;s=M_EPLLBYI_VPP_NUS_MBBL&amp;f=A" xr:uid="{22C28391-BD60-4BDC-B614-66A143F664F5}"/>
    <hyperlink ref="N19" r:id="rId114" display="https://www.eia.gov/dnav/pet/hist/LeafHandler.ashx?n=PET&amp;s=M_EPLLBYI_SAE_NUS_MBBL&amp;f=A" xr:uid="{F0CEC1E2-C800-4F6C-9520-8E33327171D1}"/>
    <hyperlink ref="D20" r:id="rId115" display="https://www.eia.gov/dnav/pet/hist/LeafHandler.ashx?n=PET&amp;s=M_EPOL_TVP_NUS_MBBL&amp;f=A" xr:uid="{B3D94CE6-D41F-42A7-B032-6E638F9AC579}"/>
    <hyperlink ref="E20" r:id="rId116" display="https://www.eia.gov/dnav/pet/hist/LeafHandler.ashx?n=PET&amp;s=M_EPOL_YNP_NUS_MBBL&amp;f=A" xr:uid="{5ACBBEB3-81F5-4FDF-B905-8C71A52B81E4}"/>
    <hyperlink ref="G20" r:id="rId117" display="https://www.eia.gov/dnav/pet/hist/LeafHandler.ashx?n=PET&amp;s=MOLIMUS1&amp;f=A" xr:uid="{2DC6008D-B0D9-422C-B04C-75FBEDA22C26}"/>
    <hyperlink ref="I20" r:id="rId118" display="https://www.eia.gov/dnav/pet/hist/LeafHandler.ashx?n=PET&amp;s=MOLUA_NUS_1&amp;f=A" xr:uid="{25EE8D95-1374-4D3C-B619-5CA85FE1ADAA}"/>
    <hyperlink ref="J20" r:id="rId119" display="https://www.eia.gov/dnav/pet/hist/LeafHandler.ashx?n=PET&amp;s=MOLSCUS1&amp;f=A" xr:uid="{B72300B9-59FF-4100-A2CA-DB71D4715E83}"/>
    <hyperlink ref="K20" r:id="rId120" display="https://www.eia.gov/dnav/pet/hist/LeafHandler.ashx?n=PET&amp;s=MOLRIUS1&amp;f=A" xr:uid="{1AF9FBA8-1A4A-4DC9-B514-8110382E4DB2}"/>
    <hyperlink ref="L20" r:id="rId121" display="https://www.eia.gov/dnav/pet/hist/LeafHandler.ashx?n=PET&amp;s=MOLEXUS1&amp;f=A" xr:uid="{A6FF350D-D88D-404F-8D29-3D2F3A9A6DB1}"/>
    <hyperlink ref="M20" r:id="rId122" display="https://www.eia.gov/dnav/pet/hist/LeafHandler.ashx?n=PET&amp;s=MOLUPUS1&amp;f=A" xr:uid="{A97AC727-A2F8-4C23-805C-D0C909BA309B}"/>
    <hyperlink ref="N20" r:id="rId123" display="https://www.eia.gov/dnav/pet/hist/LeafHandler.ashx?n=PET&amp;s=MOLSTUS1&amp;f=A" xr:uid="{56B93890-A486-4F13-B18F-CB8C90B81FCD}"/>
    <hyperlink ref="E21" r:id="rId124" display="https://www.eia.gov/dnav/pet/hist/LeafHandler.ashx?n=PET&amp;s=M_EPOO_YNP_NUS_MBBL&amp;f=A" xr:uid="{7EF2D056-3B08-43AC-8F9A-89D0E48E0777}"/>
    <hyperlink ref="G21" r:id="rId125" display="https://www.eia.gov/dnav/pet/hist/LeafHandler.ashx?n=PET&amp;s=MOHIMUS1&amp;f=A" xr:uid="{A7243F25-3A20-4D75-9C47-1A5135DD8384}"/>
    <hyperlink ref="I21" r:id="rId126" display="https://www.eia.gov/dnav/pet/hist/LeafHandler.ashx?n=PET&amp;s=MOHUA_NUS_1&amp;f=A" xr:uid="{CA0C7016-11C4-4416-946D-436F39F728F5}"/>
    <hyperlink ref="J21" r:id="rId127" display="https://www.eia.gov/dnav/pet/hist/LeafHandler.ashx?n=PET&amp;s=MOHSCUS1&amp;f=A" xr:uid="{75276620-29C5-4158-8AAE-4A1639993052}"/>
    <hyperlink ref="K21" r:id="rId128" display="https://www.eia.gov/dnav/pet/hist/LeafHandler.ashx?n=PET&amp;s=MOHRIUS1&amp;f=A" xr:uid="{6B10FC3C-09D1-4AF2-8A65-EBA8F7510BAD}"/>
    <hyperlink ref="L21" r:id="rId129" display="https://www.eia.gov/dnav/pet/hist/LeafHandler.ashx?n=PET&amp;s=MOHEXUS1&amp;f=A" xr:uid="{714CAB13-9A66-4653-BBC6-027597C0EB16}"/>
    <hyperlink ref="M21" r:id="rId130" display="https://www.eia.gov/dnav/pet/hist/LeafHandler.ashx?n=PET&amp;s=MOHUPUS1&amp;f=A" xr:uid="{E4D74025-F416-4F6E-9E5C-8E6611F16DEB}"/>
    <hyperlink ref="N21" r:id="rId131" display="https://www.eia.gov/dnav/pet/hist/LeafHandler.ashx?n=PET&amp;s=MOHSTUS1&amp;f=A" xr:uid="{22D91DF7-B6AF-4759-A2B3-4A52CAC25DFF}"/>
    <hyperlink ref="I22" r:id="rId132" display="https://www.eia.gov/dnav/pet/hist/LeafHandler.ashx?n=PET&amp;s=M_EPOOOH_VUA_NUS_MBBL&amp;f=A" xr:uid="{0931B277-E495-4D1F-8470-83BCF8477E31}"/>
    <hyperlink ref="K22" r:id="rId133" display="https://www.eia.gov/dnav/pet/hist/LeafHandler.ashx?n=PET&amp;s=M_EPOOOH_YIR_NUS_MBBL&amp;f=A" xr:uid="{F1D0B81A-0315-4539-9B0B-9ACB73FBE80B}"/>
    <hyperlink ref="M22" r:id="rId134" display="https://www.eia.gov/dnav/pet/hist/LeafHandler.ashx?n=PET&amp;s=M_EPOOOH_VPP_NUS_MBBL&amp;f=A" xr:uid="{92C0C843-808E-4CD1-841B-70832E30F9B6}"/>
    <hyperlink ref="E23" r:id="rId135" display="https://www.eia.gov/dnav/pet/hist/LeafHandler.ashx?n=PET&amp;s=M_EPOOXXFE_YNP_NUS_MBBL&amp;f=A" xr:uid="{793B72EE-FB10-4C4C-8B31-DA5B5494BCE6}"/>
    <hyperlink ref="G23" r:id="rId136" display="https://www.eia.gov/dnav/pet/hist/LeafHandler.ashx?n=PET&amp;s=M_EPOOXXFE_IM0_NUS-Z00_MBBL&amp;f=A" xr:uid="{AC38D76D-233C-480C-9AF4-385EBD7B16CC}"/>
    <hyperlink ref="I23" r:id="rId137" display="https://www.eia.gov/dnav/pet/hist/LeafHandler.ashx?n=PET&amp;s=M_EPOOXXFE_VUA_NUS_MBBL&amp;f=A" xr:uid="{4B470593-2405-4C68-9C9F-D9564C821476}"/>
    <hyperlink ref="J23" r:id="rId138" display="https://www.eia.gov/dnav/pet/hist/LeafHandler.ashx?n=PET&amp;s=M_EPOOXXFE_SCG_NUS_MBBL&amp;f=A" xr:uid="{07C0D8AF-7AF0-4D98-92DF-0EFB2D0A0BA5}"/>
    <hyperlink ref="K23" r:id="rId139" display="https://www.eia.gov/dnav/pet/hist/LeafHandler.ashx?n=PET&amp;s=M_EPOOXXFE_YIR_NUS_MBBL&amp;f=A" xr:uid="{36045264-8A2C-4718-AE9B-FB3F41D41472}"/>
    <hyperlink ref="L23" r:id="rId140" display="https://www.eia.gov/dnav/pet/hist/LeafHandler.ashx?n=PET&amp;s=M_EPOOXXFE_EEX_NUS-Z00_MBBL&amp;f=A" xr:uid="{47765BD6-34F4-4BFB-AEC3-C4EAF248F4AD}"/>
    <hyperlink ref="M23" r:id="rId141" display="https://www.eia.gov/dnav/pet/hist/LeafHandler.ashx?n=PET&amp;s=M_EPOOXXFE_VPP_NUS_MBBL&amp;f=A" xr:uid="{D0132C8B-7E82-4195-ABCB-D41E602A28CE}"/>
    <hyperlink ref="N23" r:id="rId142" display="https://www.eia.gov/dnav/pet/hist/LeafHandler.ashx?n=PET&amp;s=M_EPOOXXFE_SAE_NUS_MBBL&amp;f=A" xr:uid="{A824197F-3D4C-4C31-B84B-1B8AB8FE3B0B}"/>
    <hyperlink ref="E24" r:id="rId143" display="https://www.eia.gov/dnav/pet/hist/LeafHandler.ashx?n=PET&amp;s=M_EPOOR_YNP_NUS_MBBL&amp;f=A" xr:uid="{EE95750B-E1A6-4195-B03B-A2F1C6BD0C10}"/>
    <hyperlink ref="G24" r:id="rId144" display="https://www.eia.gov/dnav/pet/hist/LeafHandler.ashx?n=PET&amp;s=M_EPOOR_IM0_NUS-Z00_MBBL&amp;f=A" xr:uid="{185C825B-12E4-434B-B292-BEB70D69E5FB}"/>
    <hyperlink ref="I24" r:id="rId145" display="https://www.eia.gov/dnav/pet/hist/LeafHandler.ashx?n=PET&amp;s=M_EPOOR_VUA_NUS_MBBL&amp;f=A" xr:uid="{D3D2DA12-FF3F-464C-B3FF-B81D5B8ECFFD}"/>
    <hyperlink ref="J24" r:id="rId146" display="https://www.eia.gov/dnav/pet/hist/LeafHandler.ashx?n=PET&amp;s=M_EPOOR_SCG_NUS_MBBL&amp;f=A" xr:uid="{F4B3E348-0BD3-4420-9915-E829BFEA2F63}"/>
    <hyperlink ref="K24" r:id="rId147" display="https://www.eia.gov/dnav/pet/hist/LeafHandler.ashx?n=PET&amp;s=M_EPOOR_YIR_NUS_MBBL&amp;f=A" xr:uid="{BDE3D1D0-95B4-4E0B-91BA-9E84BB52617F}"/>
    <hyperlink ref="L24" r:id="rId148" display="https://www.eia.gov/dnav/pet/hist/LeafHandler.ashx?n=PET&amp;s=M_EPOOR_EEX_NUS-Z00_MBBL&amp;f=A" xr:uid="{F1257C9C-7D3D-4940-8552-09E8B793B0B6}"/>
    <hyperlink ref="M24" r:id="rId149" display="https://www.eia.gov/dnav/pet/hist/LeafHandler.ashx?n=PET&amp;s=M_EPOOR_VPP_NUS_MBBL&amp;f=A" xr:uid="{7AB4ECE6-B8EC-4ED6-9082-B2E8DBC6D2D3}"/>
    <hyperlink ref="N24" r:id="rId150" display="https://www.eia.gov/dnav/pet/hist/LeafHandler.ashx?n=PET&amp;s=M_EPOOR_SAE_NUS_MBBL&amp;f=A" xr:uid="{479827D7-3BBE-47AB-8A1B-F8F58B435E50}"/>
    <hyperlink ref="E25" r:id="rId151" display="https://www.eia.gov/dnav/pet/hist/LeafHandler.ashx?n=PET&amp;s=M_EPOOXE_YNP_NUS_MBBL&amp;f=A" xr:uid="{091B3AF2-0FCB-41B1-BFFC-442E3E553A31}"/>
    <hyperlink ref="G25" r:id="rId152" display="https://www.eia.gov/dnav/pet/hist/LeafHandler.ashx?n=PET&amp;s=MFEIMUS1&amp;f=A" xr:uid="{57ADEF34-59EA-4E3C-9326-F8518C8D92EA}"/>
    <hyperlink ref="I25" r:id="rId153" display="https://www.eia.gov/dnav/pet/hist/LeafHandler.ashx?n=PET&amp;s=M_EPOOXE_VUA_NUS_MBBL&amp;f=A" xr:uid="{032FFA2B-8B69-4AC0-8B4D-26BC1387F915}"/>
    <hyperlink ref="J25" r:id="rId154" display="https://www.eia.gov/dnav/pet/hist/LeafHandler.ashx?n=PET&amp;s=M_EPOOXE_SCG_NUS_MBBL&amp;f=A" xr:uid="{FB5A4DC8-7FE3-4D2A-B789-F7D225F73E1D}"/>
    <hyperlink ref="K25" r:id="rId155" display="https://www.eia.gov/dnav/pet/hist/LeafHandler.ashx?n=PET&amp;s=MFERIUS1&amp;f=A" xr:uid="{4AE0DDD2-F02A-4343-B26C-69061A4C81C2}"/>
    <hyperlink ref="L25" r:id="rId156" display="https://www.eia.gov/dnav/pet/hist/LeafHandler.ashx?n=PET&amp;s=M_EPOOXE_EEX_NUS-Z00_MBBL&amp;f=A" xr:uid="{FECDCAEB-1EDF-4244-BC88-0273A08CD569}"/>
    <hyperlink ref="M25" r:id="rId157" display="https://www.eia.gov/dnav/pet/hist/LeafHandler.ashx?n=PET&amp;s=M_EPOOXE_VPP_NUS_MBBL&amp;f=A" xr:uid="{32F7C8E1-7793-41E3-894D-66FED0A77320}"/>
    <hyperlink ref="N25" r:id="rId158" display="https://www.eia.gov/dnav/pet/hist/LeafHandler.ashx?n=PET&amp;s=MFESTUS1&amp;f=A" xr:uid="{874C1696-EFCF-49F0-8F1A-FFD1EC6F5563}"/>
    <hyperlink ref="E26" r:id="rId159" display="https://www.eia.gov/dnav/pet/hist/LeafHandler.ashx?n=PET&amp;s=M_EPOORXFE_YNP_NUS_MBBL&amp;f=A" xr:uid="{5C3F8F9A-B04E-4770-A277-3473D63F5CA3}"/>
    <hyperlink ref="G26" r:id="rId160" display="https://www.eia.gov/dnav/pet/hist/LeafHandler.ashx?n=PET&amp;s=M_EPOORXFE_IM0_NUS-Z00_MBBL&amp;f=A" xr:uid="{1A5ADA07-E627-4675-A5E8-848EB45E6781}"/>
    <hyperlink ref="I26" r:id="rId161" display="https://www.eia.gov/dnav/pet/hist/LeafHandler.ashx?n=PET&amp;s=M_EPOORXFE_VUA_NUS_MBBL&amp;f=A" xr:uid="{0E98DEC7-CD34-444E-BBF3-42D07E4A936F}"/>
    <hyperlink ref="J26" r:id="rId162" display="https://www.eia.gov/dnav/pet/hist/LeafHandler.ashx?n=PET&amp;s=M_EPOORXFE_SCG_NUS_MBBL&amp;f=A" xr:uid="{A253A96E-7CDB-4947-BD91-47520DC3B2E3}"/>
    <hyperlink ref="K26" r:id="rId163" display="https://www.eia.gov/dnav/pet/hist/LeafHandler.ashx?n=PET&amp;s=M_EPOORXFE_YIR_NUS_MBBL&amp;f=A" xr:uid="{01D28B7C-1281-401C-A533-71689A55D608}"/>
    <hyperlink ref="L26" r:id="rId164" display="https://www.eia.gov/dnav/pet/hist/LeafHandler.ashx?n=PET&amp;s=M_EPOORXFE_EEX_NUS-Z00_MBBL&amp;f=A" xr:uid="{104A00D5-F55B-4730-9BCD-4017FDD4EAD3}"/>
    <hyperlink ref="M26" r:id="rId165" display="https://www.eia.gov/dnav/pet/hist/LeafHandler.ashx?n=PET&amp;s=M_EPOORXFE_VPP_NUS_MBBL&amp;f=A" xr:uid="{E7D69333-218E-4C53-9E74-4087B9ACD781}"/>
    <hyperlink ref="N26" r:id="rId166" display="https://www.eia.gov/dnav/pet/hist/LeafHandler.ashx?n=PET&amp;s=M_EPOORXFE_SAE_NUS_MBBL&amp;f=A" xr:uid="{8216E2EC-AC97-4D94-8433-E24BB4CF1D86}"/>
    <hyperlink ref="E27" r:id="rId167" display="https://www.eia.gov/dnav/pet/hist/LeafHandler.ashx?n=PET&amp;s=M_EPOORDB_YNP_NUS_MBBL&amp;f=A" xr:uid="{8E0A4915-7393-43EB-9C0B-2EA38BB453B6}"/>
    <hyperlink ref="G27" r:id="rId168" display="https://www.eia.gov/dnav/pet/hist/LeafHandler.ashx?n=PET&amp;s=M_EPOORDB_IM0_NUS-Z00_MBBL&amp;f=A" xr:uid="{DEFEDEDA-0A7B-4E68-BA54-0E1DCB89107A}"/>
    <hyperlink ref="I27" r:id="rId169" display="https://www.eia.gov/dnav/pet/hist/LeafHandler.ashx?n=PET&amp;s=M_EPOORDB_VUA_NUS_MBBL&amp;f=A" xr:uid="{7FBBD1C9-6BDA-43A4-838E-8DCCA55EB218}"/>
    <hyperlink ref="J27" r:id="rId170" display="https://www.eia.gov/dnav/pet/hist/LeafHandler.ashx?n=PET&amp;s=M_EPOORDB_SCG_NUS_MBBL&amp;f=A" xr:uid="{22E99BCB-5542-4FEF-B9FB-30F17F651104}"/>
    <hyperlink ref="K27" r:id="rId171" display="https://www.eia.gov/dnav/pet/hist/LeafHandler.ashx?n=PET&amp;s=M_EPOORDB_YIR_NUS_MBBL&amp;f=A" xr:uid="{5A54FF12-4709-4FC6-932D-7037DEB89A3E}"/>
    <hyperlink ref="L27" r:id="rId172" display="https://www.eia.gov/dnav/pet/hist/LeafHandler.ashx?n=PET&amp;s=M_EPOORDB_EEX_NUS-Z00_MBBL&amp;f=A" xr:uid="{348BFD6C-A108-4C97-BADE-DB7734B17857}"/>
    <hyperlink ref="M27" r:id="rId173" display="https://www.eia.gov/dnav/pet/hist/LeafHandler.ashx?n=PET&amp;s=M_EPOORDB_VPP_NUS_MBBL&amp;f=A" xr:uid="{93BE9E33-956B-4115-8D21-FE0959268E09}"/>
    <hyperlink ref="N27" r:id="rId174" display="https://www.eia.gov/dnav/pet/hist/LeafHandler.ashx?n=PET&amp;s=M_EPOORDB_SAE_NUS_MBBL&amp;f=A" xr:uid="{9BE6A749-BA2C-4FDB-ADE1-974C3279BF43}"/>
    <hyperlink ref="E28" r:id="rId175" display="https://www.eia.gov/dnav/pet/hist/LeafHandler.ashx?n=PET&amp;s=M_EPOORDO_YNP_NUS_MBBL&amp;f=A" xr:uid="{B463912A-C836-4CE5-9B1C-C3582B91EF85}"/>
    <hyperlink ref="G28" r:id="rId176" display="https://www.eia.gov/dnav/pet/hist/LeafHandler.ashx?n=PET&amp;s=M_EPOORDO_IM0_NUS-Z00_MBBL&amp;f=A" xr:uid="{A0424EEC-B47F-448A-BE02-B807FB1C9047}"/>
    <hyperlink ref="I28" r:id="rId177" display="https://www.eia.gov/dnav/pet/hist/LeafHandler.ashx?n=PET&amp;s=M_EPOORDO_VUA_NUS_MBBL&amp;f=A" xr:uid="{47C36C93-9A08-4DB4-82B6-3CD57BFE0542}"/>
    <hyperlink ref="J28" r:id="rId178" display="https://www.eia.gov/dnav/pet/hist/LeafHandler.ashx?n=PET&amp;s=M_EPOORDO_SCG_NUS_MBBL&amp;f=A" xr:uid="{948237FE-417E-410A-8F38-C2E3CD287E1B}"/>
    <hyperlink ref="K28" r:id="rId179" display="https://www.eia.gov/dnav/pet/hist/LeafHandler.ashx?n=PET&amp;s=M_EPOORDO_YIR_NUS_MBBL&amp;f=A" xr:uid="{AC9D0F12-3602-4B06-AAD4-2B0A8988CE06}"/>
    <hyperlink ref="L28" r:id="rId180" display="https://www.eia.gov/dnav/pet/hist/LeafHandler.ashx?n=PET&amp;s=M_EPOORDO_EEX_NUS-Z00_MBBL&amp;f=A" xr:uid="{B212C33E-7B45-4CF1-BC3E-341B20C91DCD}"/>
    <hyperlink ref="M28" r:id="rId181" display="https://www.eia.gov/dnav/pet/hist/LeafHandler.ashx?n=PET&amp;s=M_EPOORDO_VPP_NUS_MBBL&amp;f=A" xr:uid="{F3CD209D-3BE2-4C59-BBE8-E4BB8DB86800}"/>
    <hyperlink ref="N28" r:id="rId182" display="https://www.eia.gov/dnav/pet/hist/LeafHandler.ashx?n=PET&amp;s=M_EPOORDO_SAE_NUS_MBBL&amp;f=A" xr:uid="{7CBDCD4E-3E4E-40CA-8585-6438B044089F}"/>
    <hyperlink ref="E29" r:id="rId183" display="https://www.eia.gov/dnav/pet/hist/LeafHandler.ashx?n=PET&amp;s=M_EPOORO_YNP_NUS_MBBL&amp;f=A" xr:uid="{B7632EF0-B952-4AF7-AF20-3E2B3EEC4F24}"/>
    <hyperlink ref="G29" r:id="rId184" display="https://www.eia.gov/dnav/pet/hist/LeafHandler.ashx?n=PET&amp;s=M_EPOORO_IM0_NUS-Z00_MBBL&amp;f=A" xr:uid="{9158370B-0A5F-4B92-B909-AB352D8A2650}"/>
    <hyperlink ref="I29" r:id="rId185" display="https://www.eia.gov/dnav/pet/hist/LeafHandler.ashx?n=PET&amp;s=M_EPOORO_VUA_NUS_MBBL&amp;f=A" xr:uid="{B91A9DFE-DC7A-4125-B341-0245A3CE9865}"/>
    <hyperlink ref="J29" r:id="rId186" display="https://www.eia.gov/dnav/pet/hist/LeafHandler.ashx?n=PET&amp;s=M_EPOORO_SCG_NUS_MBBL&amp;f=A" xr:uid="{FB390032-F48F-4827-8C7D-FF6F7CD7F0A3}"/>
    <hyperlink ref="K29" r:id="rId187" display="https://www.eia.gov/dnav/pet/hist/LeafHandler.ashx?n=PET&amp;s=M_EPOORO_YIR_NUS_MBBL&amp;f=A" xr:uid="{8F73B504-0E5D-4524-AB3F-A7FAF9FF5F90}"/>
    <hyperlink ref="L29" r:id="rId188" display="https://www.eia.gov/dnav/pet/hist/LeafHandler.ashx?n=PET&amp;s=M_EPOORO_EEX_NUS-Z00_MBBL&amp;f=A" xr:uid="{5CBF6BC9-EE1A-45B1-B34F-4E38C436C32D}"/>
    <hyperlink ref="M29" r:id="rId189" display="https://www.eia.gov/dnav/pet/hist/LeafHandler.ashx?n=PET&amp;s=M_EPOORO_VPP_NUS_MBBL&amp;f=A" xr:uid="{45CA182B-9CC3-446E-A365-945D1974F9BD}"/>
    <hyperlink ref="N29" r:id="rId190" display="https://www.eia.gov/dnav/pet/hist/LeafHandler.ashx?n=PET&amp;s=M_EPOORO_SAE_NUS_MBBL&amp;f=A" xr:uid="{25A9FFE3-1F4F-4141-89F4-8A82F530331B}"/>
    <hyperlink ref="G30" r:id="rId191" display="https://www.eia.gov/dnav/pet/hist/LeafHandler.ashx?n=PET&amp;s=M_EPOOOXH_IM0_NUS-Z00_MBBL&amp;f=A" xr:uid="{B0DF1709-9B4C-439A-83FB-47ED67E0559D}"/>
    <hyperlink ref="I30" r:id="rId192" display="https://www.eia.gov/dnav/pet/hist/LeafHandler.ashx?n=PET&amp;s=M_EPOOOXH_VUA_NUS_MBBL&amp;f=A" xr:uid="{6431A390-1927-40DE-BB03-93DAC700F7A3}"/>
    <hyperlink ref="J30" r:id="rId193" display="https://www.eia.gov/dnav/pet/hist/LeafHandler.ashx?n=PET&amp;s=M_EPOOOXH_SCG_NUS_MBBL&amp;f=A" xr:uid="{21F99146-C712-4517-A995-5B71AC37F810}"/>
    <hyperlink ref="K30" r:id="rId194" display="https://www.eia.gov/dnav/pet/hist/LeafHandler.ashx?n=PET&amp;s=M_EPOOOXH_YIR_NUS_MBBL&amp;f=A" xr:uid="{04A4B0AB-E45C-4144-BBAE-E48ED8D3D82C}"/>
    <hyperlink ref="M30" r:id="rId195" display="https://www.eia.gov/dnav/pet/hist/LeafHandler.ashx?n=PET&amp;s=M_EPOOOXH_VPP_NUS_MBBL&amp;f=A" xr:uid="{47DAAEE0-186F-4A3D-9384-17DC3A5D14E8}"/>
    <hyperlink ref="N30" r:id="rId196" display="https://www.eia.gov/dnav/pet/hist/LeafHandler.ashx?n=PET&amp;s=M_EPOOOXH_SAE_NUS_MBBL&amp;f=A" xr:uid="{A8E223D0-9E9E-48BA-BD01-848D5C4400AC}"/>
    <hyperlink ref="D31" r:id="rId197" display="https://www.eia.gov/dnav/pet/hist/LeafHandler.ashx?n=PET&amp;s=M_EPPU_TVP_NUS_MBBL&amp;f=A" xr:uid="{8FEDAB77-A392-4699-8B4C-00896B690120}"/>
    <hyperlink ref="G31" r:id="rId198" display="https://www.eia.gov/dnav/pet/hist/LeafHandler.ashx?n=PET&amp;s=MUOIMUS1&amp;f=A" xr:uid="{90925BB1-7F09-4190-A42A-41E2CB674320}"/>
    <hyperlink ref="J31" r:id="rId199" display="https://www.eia.gov/dnav/pet/hist/LeafHandler.ashx?n=PET&amp;s=MUOSCUS1&amp;f=A" xr:uid="{19FEBDD6-7F2A-40ED-904D-C57708441F3A}"/>
    <hyperlink ref="K31" r:id="rId200" display="https://www.eia.gov/dnav/pet/hist/LeafHandler.ashx?n=PET&amp;s=MUORIUS1&amp;f=A" xr:uid="{26A8127D-6B0C-486F-8A32-A5528053BB1A}"/>
    <hyperlink ref="L31" r:id="rId201" display="https://www.eia.gov/dnav/pet/hist/LeafHandler.ashx?n=PET&amp;s=MUOEXUS1&amp;f=A" xr:uid="{6E741045-4860-4DD6-A28D-7B3E8F98E572}"/>
    <hyperlink ref="M31" r:id="rId202" display="https://www.eia.gov/dnav/pet/hist/LeafHandler.ashx?n=PET&amp;s=MUOUPUS1&amp;f=A" xr:uid="{9EBCB558-0FDD-4EB3-8002-56A9C5406A13}"/>
    <hyperlink ref="N31" r:id="rId203" display="https://www.eia.gov/dnav/pet/hist/LeafHandler.ashx?n=PET&amp;s=MUOSTUS1&amp;f=A" xr:uid="{369B09E7-6989-4C44-A8A5-0E9F6C7D0BC5}"/>
    <hyperlink ref="E32" r:id="rId204" display="https://www.eia.gov/dnav/pet/hist/LeafHandler.ashx?n=PET&amp;s=M_EPOBG_YNP_NUS_MBBL&amp;f=A" xr:uid="{35C2747F-DCA3-4CF7-8A8B-847D44103E2D}"/>
    <hyperlink ref="G32" r:id="rId205" display="https://www.eia.gov/dnav/pet/hist/LeafHandler.ashx?n=PET&amp;s=MBCIMUS1&amp;f=A" xr:uid="{331D9BBB-0D97-4E6C-AC55-2A6D9B0AAAEC}"/>
    <hyperlink ref="I32" r:id="rId206" display="https://www.eia.gov/dnav/pet/hist/LeafHandler.ashx?n=PET&amp;s=MBCUA_NUS_1&amp;f=A" xr:uid="{3B615157-B1FB-43ED-BC22-F6C6743EAA98}"/>
    <hyperlink ref="J32" r:id="rId207" display="https://www.eia.gov/dnav/pet/hist/LeafHandler.ashx?n=PET&amp;s=MBCSCUS1&amp;f=A" xr:uid="{307B0D58-1062-4375-B5A6-7D0A2ADB9561}"/>
    <hyperlink ref="K32" r:id="rId208" display="https://www.eia.gov/dnav/pet/hist/LeafHandler.ashx?n=PET&amp;s=MBCRIUS1&amp;f=A" xr:uid="{F9ED7FC8-DF50-4EC1-BFC6-8DDDAAFE5A4A}"/>
    <hyperlink ref="L32" r:id="rId209" display="https://www.eia.gov/dnav/pet/hist/LeafHandler.ashx?n=PET&amp;s=MBCEXUS1&amp;f=A" xr:uid="{3066166F-AF14-49F5-B417-E693C33DDB2C}"/>
    <hyperlink ref="M32" r:id="rId210" display="https://www.eia.gov/dnav/pet/hist/LeafHandler.ashx?n=PET&amp;s=MBCUPUS1&amp;f=A" xr:uid="{CAAC074F-F01A-4B08-9659-A6B439ACC864}"/>
    <hyperlink ref="N32" r:id="rId211" display="https://www.eia.gov/dnav/pet/hist/LeafHandler.ashx?n=PET&amp;s=MBCSTUS1&amp;f=A" xr:uid="{928A1EEA-FDC5-4F1D-9C44-72A44702FF68}"/>
    <hyperlink ref="E33" r:id="rId212" display="https://www.eia.gov/dnav/pet/hist/LeafHandler.ashx?n=PET&amp;s=M_EPOBGR0_YNP_NUS_MBBL&amp;f=A" xr:uid="{398E1929-CCA0-4A5D-8813-30EB29F4482D}"/>
    <hyperlink ref="G33" r:id="rId213" display="https://www.eia.gov/dnav/pet/hist/LeafHandler.ashx?n=PET&amp;s=MO1IM_NUS-Z00_1&amp;f=A" xr:uid="{696059C5-EA68-4B10-B095-63ACACE11DD7}"/>
    <hyperlink ref="I33" r:id="rId214" display="https://www.eia.gov/dnav/pet/hist/LeafHandler.ashx?n=PET&amp;s=MO1UA_NUS_1&amp;f=A" xr:uid="{541857D2-2E10-4D76-95C9-3A0CDBAFF859}"/>
    <hyperlink ref="J33" r:id="rId215" display="https://www.eia.gov/dnav/pet/hist/LeafHandler.ashx?n=PET&amp;s=MO1SC_NUS_1&amp;f=A" xr:uid="{8F4F4F52-9AA0-451A-82F8-E39EE6E2694D}"/>
    <hyperlink ref="K33" r:id="rId216" display="https://www.eia.gov/dnav/pet/hist/LeafHandler.ashx?n=PET&amp;s=MO1RI_NUS_1&amp;f=A" xr:uid="{A72908CC-B900-4140-8AC1-5E196FCBE457}"/>
    <hyperlink ref="L33" r:id="rId217" display="https://www.eia.gov/dnav/pet/hist/LeafHandler.ashx?n=PET&amp;s=MO1EX_NUS-Z00_1&amp;f=A" xr:uid="{DB94D363-3C4D-4DEC-BA09-D6912A82247F}"/>
    <hyperlink ref="M33" r:id="rId218" display="https://www.eia.gov/dnav/pet/hist/LeafHandler.ashx?n=PET&amp;s=MO1UP_NUS_1&amp;f=A" xr:uid="{EBD34C99-E202-448C-973C-D1A8FFCB6BE7}"/>
    <hyperlink ref="N33" r:id="rId219" display="https://www.eia.gov/dnav/pet/hist/LeafHandler.ashx?n=PET&amp;s=MO1ST_NUS_1&amp;f=A" xr:uid="{F6A02EDA-A184-4864-BAED-D85FF9743A96}"/>
    <hyperlink ref="E34" r:id="rId220" display="https://www.eia.gov/dnav/pet/hist/LeafHandler.ashx?n=PET&amp;s=M_EPOBGC0_YNP_NUS_MBBL&amp;f=A" xr:uid="{17769DF9-32CB-49C9-B6E9-A28E6F2738DC}"/>
    <hyperlink ref="G34" r:id="rId221" display="https://www.eia.gov/dnav/pet/hist/LeafHandler.ashx?n=PET&amp;s=MO5IM_NUS-Z00_1&amp;f=A" xr:uid="{9D35AFEC-49AC-4876-BEAF-B35126A8758F}"/>
    <hyperlink ref="I34" r:id="rId222" display="https://www.eia.gov/dnav/pet/hist/LeafHandler.ashx?n=PET&amp;s=MO5UA_NUS_1&amp;f=A" xr:uid="{9CF2FF2F-11CD-499D-A5AC-6649E7E3B4CE}"/>
    <hyperlink ref="J34" r:id="rId223" display="https://www.eia.gov/dnav/pet/hist/LeafHandler.ashx?n=PET&amp;s=MO5SC_NUS_1&amp;f=A" xr:uid="{06148484-3AE5-450C-B170-4A1AA3C65577}"/>
    <hyperlink ref="K34" r:id="rId224" display="https://www.eia.gov/dnav/pet/hist/LeafHandler.ashx?n=PET&amp;s=MO5RI_NUS_1&amp;f=A" xr:uid="{9DE41BC0-E040-476C-9FD0-44DD7BE81468}"/>
    <hyperlink ref="L34" r:id="rId225" display="https://www.eia.gov/dnav/pet/hist/LeafHandler.ashx?n=PET&amp;s=MO5EX_NUS-Z00_1&amp;f=A" xr:uid="{33208F03-97FA-4074-A3AE-C4DC618DC392}"/>
    <hyperlink ref="M34" r:id="rId226" display="https://www.eia.gov/dnav/pet/hist/LeafHandler.ashx?n=PET&amp;s=MO5UP_NUS_1&amp;f=A" xr:uid="{256523CD-328B-4340-8010-4710F071B3F8}"/>
    <hyperlink ref="N34" r:id="rId227" display="https://www.eia.gov/dnav/pet/hist/LeafHandler.ashx?n=PET&amp;s=MO5ST_NUS_1&amp;f=A" xr:uid="{11EDA33A-0C66-4A7F-85D2-AEB307CACDCB}"/>
    <hyperlink ref="G35" r:id="rId228" display="https://www.eia.gov/dnav/pet/hist/LeafHandler.ashx?n=PET&amp;s=MBAIMUS1&amp;f=A" xr:uid="{506BCC51-C795-4278-83C0-3C15BB47AD4C}"/>
    <hyperlink ref="J35" r:id="rId229" display="https://www.eia.gov/dnav/pet/hist/LeafHandler.ashx?n=PET&amp;s=MBASCUS1&amp;f=A" xr:uid="{AEC84D74-9E5D-4C94-8B31-0C97AAEBAD45}"/>
    <hyperlink ref="K35" r:id="rId230" display="https://www.eia.gov/dnav/pet/hist/LeafHandler.ashx?n=PET&amp;s=MBARIUS1&amp;f=A" xr:uid="{E66CA329-6846-499E-B2AC-51963070AAFE}"/>
    <hyperlink ref="L35" r:id="rId231" display="https://www.eia.gov/dnav/pet/hist/LeafHandler.ashx?n=PET&amp;s=MBAEXUS1&amp;f=A" xr:uid="{93BE2C3B-FF67-4EE9-A6A6-1B872E428D5B}"/>
    <hyperlink ref="M35" r:id="rId232" display="https://www.eia.gov/dnav/pet/hist/LeafHandler.ashx?n=PET&amp;s=MBAUPUS1&amp;f=A" xr:uid="{FCDAA701-0224-4898-8348-7EBFABD94C38}"/>
    <hyperlink ref="N35" r:id="rId233" display="https://www.eia.gov/dnav/pet/hist/LeafHandler.ashx?n=PET&amp;s=MBASTUS1&amp;f=A" xr:uid="{92250B88-05F7-4B48-889E-A1D40748ADDC}"/>
    <hyperlink ref="E36" r:id="rId234" display="https://www.eia.gov/dnav/pet/hist/LeafHandler.ashx?n=PET&amp;s=M_EPP2_YNP_NUS_MBBL&amp;f=A" xr:uid="{CB23075A-EB9A-49B5-9668-9A46046BF5E7}"/>
    <hyperlink ref="F36" r:id="rId235" display="https://www.eia.gov/dnav/pet/hist/LeafHandler.ashx?n=PET&amp;s=MTPRPUS1&amp;f=A" xr:uid="{D48F8F20-CE04-44EF-A096-EAB99A816F80}"/>
    <hyperlink ref="G36" r:id="rId236" display="https://www.eia.gov/dnav/pet/hist/LeafHandler.ashx?n=PET&amp;s=MTPIMUS1&amp;f=A" xr:uid="{E6FDAC78-A2D4-4621-8BF0-2786568E08A5}"/>
    <hyperlink ref="I36" r:id="rId237" display="https://www.eia.gov/dnav/pet/hist/LeafHandler.ashx?n=PET&amp;s=MTPUA_NUS_1&amp;f=A" xr:uid="{A7E00F0F-0D5D-4EB8-88AF-20701B37D86F}"/>
    <hyperlink ref="J36" r:id="rId238" display="https://www.eia.gov/dnav/pet/hist/LeafHandler.ashx?n=PET&amp;s=MTPSCUS1&amp;f=A" xr:uid="{56A69719-8F11-4765-A47A-A2ACECD7F42A}"/>
    <hyperlink ref="L36" r:id="rId239" display="https://www.eia.gov/dnav/pet/hist/LeafHandler.ashx?n=PET&amp;s=MTPEXUS1&amp;f=A" xr:uid="{289D0D67-35A9-4B15-BDA0-E72AF762A5F1}"/>
    <hyperlink ref="M36" r:id="rId240" display="https://www.eia.gov/dnav/pet/hist/LeafHandler.ashx?n=PET&amp;s=MTPUPUS1&amp;f=A" xr:uid="{E598CAE8-D809-48A0-BE6F-EB07A76B87C4}"/>
    <hyperlink ref="N36" r:id="rId241" display="https://www.eia.gov/dnav/pet/hist/LeafHandler.ashx?n=PET&amp;s=MTPSTUS1&amp;f=A" xr:uid="{AB9BC409-05B9-4C8D-B190-ADEF036AD444}"/>
    <hyperlink ref="E37" r:id="rId242" display="https://www.eia.gov/dnav/pet/hist/LeafHandler.ashx?n=PET&amp;s=M_EPM0F_YNP_NUS_MBBL&amp;f=A" xr:uid="{B3478053-7330-460D-95F8-B6F31A380E03}"/>
    <hyperlink ref="F37" r:id="rId243" display="https://www.eia.gov/dnav/pet/hist/LeafHandler.ashx?n=PET&amp;s=MGFRPUS1&amp;f=A" xr:uid="{93CFAE00-7C36-46EC-A943-FE1A371285E7}"/>
    <hyperlink ref="G37" r:id="rId244" display="https://www.eia.gov/dnav/pet/hist/LeafHandler.ashx?n=PET&amp;s=MGFIMUS1&amp;f=A" xr:uid="{DAC9D738-9D9B-4FE2-9833-1C0BEED684F8}"/>
    <hyperlink ref="I37" r:id="rId245" display="https://www.eia.gov/dnav/pet/hist/LeafHandler.ashx?n=PET&amp;s=MGFUA_NUS_1&amp;f=A" xr:uid="{DE38ADE6-FFD7-4942-8137-37516DCE38AF}"/>
    <hyperlink ref="J37" r:id="rId246" display="https://www.eia.gov/dnav/pet/hist/LeafHandler.ashx?n=PET&amp;s=MGFSCUS1&amp;f=A" xr:uid="{296D2726-7651-467B-B9C1-B76E8977C28C}"/>
    <hyperlink ref="L37" r:id="rId247" display="https://www.eia.gov/dnav/pet/hist/LeafHandler.ashx?n=PET&amp;s=MGFEXUS1&amp;f=A" xr:uid="{AACB0182-D6AB-4097-8B50-54C09D9769C1}"/>
    <hyperlink ref="M37" r:id="rId248" display="https://www.eia.gov/dnav/pet/hist/LeafHandler.ashx?n=PET&amp;s=MGFUPUS1&amp;f=A" xr:uid="{636ED5A8-06D6-4FF8-87FC-D32E258A45AD}"/>
    <hyperlink ref="N37" r:id="rId249" display="https://www.eia.gov/dnav/pet/hist/LeafHandler.ashx?n=PET&amp;s=MGFSTUS1&amp;f=A" xr:uid="{EF22750E-4ED1-4EB1-9D06-8555D3411C01}"/>
    <hyperlink ref="F38" r:id="rId250" display="https://www.eia.gov/dnav/pet/hist/LeafHandler.ashx?n=PET&amp;s=MGRRPUS1&amp;f=A" xr:uid="{D4EFBB4F-3372-4FDD-A44C-3520BAF746E0}"/>
    <hyperlink ref="G38" r:id="rId251" display="https://www.eia.gov/dnav/pet/hist/LeafHandler.ashx?n=PET&amp;s=MGRIMUS1&amp;f=A" xr:uid="{5C54AD52-E925-42D7-A292-7319DE6E782A}"/>
    <hyperlink ref="I38" r:id="rId252" display="https://www.eia.gov/dnav/pet/hist/LeafHandler.ashx?n=PET&amp;s=MGRUA_NUS_1&amp;f=A" xr:uid="{DA115854-C53E-4EA7-9E49-0F21879C56D5}"/>
    <hyperlink ref="J38" r:id="rId253" display="https://www.eia.gov/dnav/pet/hist/LeafHandler.ashx?n=PET&amp;s=MGRSCUS1&amp;f=A" xr:uid="{2EFB66A1-6F87-4CAE-AC2B-9FCDC0E0CCA5}"/>
    <hyperlink ref="L38" r:id="rId254" display="https://www.eia.gov/dnav/pet/hist/LeafHandler.ashx?n=PET&amp;s=MGREXUS1&amp;f=A" xr:uid="{7AC30D30-27D1-4B51-BA37-68F9AA3D2512}"/>
    <hyperlink ref="M38" r:id="rId255" display="https://www.eia.gov/dnav/pet/hist/LeafHandler.ashx?n=PET&amp;s=MGRUPUS1&amp;f=A" xr:uid="{C23ABCEB-AD38-43A6-BA7A-55F90D93C49B}"/>
    <hyperlink ref="N38" r:id="rId256" display="https://www.eia.gov/dnav/pet/hist/LeafHandler.ashx?n=PET&amp;s=MGRSTUS1&amp;f=A" xr:uid="{0175B0D4-4355-4A0F-9D35-E7FFFD1907E8}"/>
    <hyperlink ref="E39" r:id="rId257" display="https://www.eia.gov/dnav/pet/hist/LeafHandler.ashx?n=PET&amp;s=M_EPM0C_YNP_NUS_MBBL&amp;f=A" xr:uid="{4B0CAA39-9A4D-4D12-9F6E-03C1B0C8BA52}"/>
    <hyperlink ref="F39" r:id="rId258" display="https://www.eia.gov/dnav/pet/hist/LeafHandler.ashx?n=PET&amp;s=MG4RP_NUS_1&amp;f=A" xr:uid="{EB31B62B-4360-4DE1-BD6E-B0E078321DCB}"/>
    <hyperlink ref="G39" r:id="rId259" display="https://www.eia.gov/dnav/pet/hist/LeafHandler.ashx?n=PET&amp;s=MG4IM_NUS-Z00_1&amp;f=A" xr:uid="{C9575742-AA45-4EFA-AE79-030049FEDBE5}"/>
    <hyperlink ref="I39" r:id="rId260" display="https://www.eia.gov/dnav/pet/hist/LeafHandler.ashx?n=PET&amp;s=MG4UA_NUS_1&amp;f=A" xr:uid="{CA35F57A-9159-49A6-BBD4-550F7B1B3812}"/>
    <hyperlink ref="J39" r:id="rId261" display="https://www.eia.gov/dnav/pet/hist/LeafHandler.ashx?n=PET&amp;s=MG4SC_NUS_1&amp;f=A" xr:uid="{E58ACEC3-4328-4E73-BB7B-6E81B49AFBE4}"/>
    <hyperlink ref="L39" r:id="rId262" display="https://www.eia.gov/dnav/pet/hist/LeafHandler.ashx?n=PET&amp;s=MG4EX_NUS-Z00_1&amp;f=A" xr:uid="{79660A39-A78F-4DF2-8635-33ECC4269AB0}"/>
    <hyperlink ref="M39" r:id="rId263" display="https://www.eia.gov/dnav/pet/hist/LeafHandler.ashx?n=PET&amp;s=MG4UP_NUS_1&amp;f=A" xr:uid="{7D6F041A-2A2F-42CC-965E-72F9BC3E36CF}"/>
    <hyperlink ref="N39" r:id="rId264" display="https://www.eia.gov/dnav/pet/hist/LeafHandler.ashx?n=PET&amp;s=MG4ST_NUS_1&amp;f=A" xr:uid="{E11F18A5-8380-4B77-92E1-934CE7BAB6E5}"/>
    <hyperlink ref="F40" r:id="rId265" display="https://www.eia.gov/dnav/pet/hist/LeafHandler.ashx?n=PET&amp;s=MGARPUS1&amp;f=A" xr:uid="{AAD8CDD3-9B0D-46F0-AC2F-172145296ECC}"/>
    <hyperlink ref="G40" r:id="rId266" display="https://www.eia.gov/dnav/pet/hist/LeafHandler.ashx?n=PET&amp;s=MGAIMUS1&amp;f=A" xr:uid="{41D8243D-9906-461C-A982-DFC0C4B0DB49}"/>
    <hyperlink ref="J40" r:id="rId267" display="https://www.eia.gov/dnav/pet/hist/LeafHandler.ashx?n=PET&amp;s=MGASCUS1&amp;f=A" xr:uid="{A332C44F-D07D-4781-9A15-1F0C8FDA5885}"/>
    <hyperlink ref="L40" r:id="rId268" display="https://www.eia.gov/dnav/pet/hist/LeafHandler.ashx?n=PET&amp;s=MGAEXUS1&amp;f=A" xr:uid="{EF307037-5B41-48A3-BBF8-E4138E9E15A1}"/>
    <hyperlink ref="M40" r:id="rId269" display="https://www.eia.gov/dnav/pet/hist/LeafHandler.ashx?n=PET&amp;s=MGAUPUS1&amp;f=A" xr:uid="{BB73D77A-2354-41F0-A6BB-8CF4E9BA0989}"/>
    <hyperlink ref="N40" r:id="rId270" display="https://www.eia.gov/dnav/pet/hist/LeafHandler.ashx?n=PET&amp;s=MGASTUS1&amp;f=A" xr:uid="{0A671BA9-33CA-4CAA-BC4F-004315ED02A0}"/>
    <hyperlink ref="E41" r:id="rId271" display="https://www.eia.gov/dnav/pet/hist/LeafHandler.ashx?n=PET&amp;s=M_EPJK_YNP_NUS_MBBL&amp;f=A" xr:uid="{6C8505C4-15B0-4224-B290-AA93EAF7C52C}"/>
    <hyperlink ref="F41" r:id="rId272" display="https://www.eia.gov/dnav/pet/hist/LeafHandler.ashx?n=PET&amp;s=MKJRPUS1&amp;f=A" xr:uid="{5E70EC20-B8C5-4659-B8E0-9189920E1738}"/>
    <hyperlink ref="G41" r:id="rId273" display="https://www.eia.gov/dnav/pet/hist/LeafHandler.ashx?n=PET&amp;s=MKJIMUS1&amp;f=A" xr:uid="{A36715CC-5A10-441C-A026-C6274DDBA1C2}"/>
    <hyperlink ref="J41" r:id="rId274" display="https://www.eia.gov/dnav/pet/hist/LeafHandler.ashx?n=PET&amp;s=MKJSCUS1&amp;f=A" xr:uid="{F962F1D3-984B-4C38-8D61-3E2F1D9D30B5}"/>
    <hyperlink ref="L41" r:id="rId275" display="https://www.eia.gov/dnav/pet/hist/LeafHandler.ashx?n=PET&amp;s=MKJEXUS1&amp;f=A" xr:uid="{F34EC92F-6340-44D2-B16E-CF188851212F}"/>
    <hyperlink ref="M41" r:id="rId276" display="https://www.eia.gov/dnav/pet/hist/LeafHandler.ashx?n=PET&amp;s=MKJUPUS1&amp;f=A" xr:uid="{C8ED2AE8-EBE6-40DD-A69E-4835218868D3}"/>
    <hyperlink ref="N41" r:id="rId277" display="https://www.eia.gov/dnav/pet/hist/LeafHandler.ashx?n=PET&amp;s=MKJSTUS1&amp;f=A" xr:uid="{2A8B4A00-D239-4476-88AF-7D4D06A877E4}"/>
    <hyperlink ref="E42" r:id="rId278" display="https://www.eia.gov/dnav/pet/hist/LeafHandler.ashx?n=PET&amp;s=M_EPPK_YNP_NUS_MBBL&amp;f=A" xr:uid="{FF15B995-6A70-4B99-A0D2-163668285630}"/>
    <hyperlink ref="F42" r:id="rId279" display="https://www.eia.gov/dnav/pet/hist/LeafHandler.ashx?n=PET&amp;s=MKERPUS1&amp;f=A" xr:uid="{9FF46D03-9E05-47D2-B812-E966A9C753AD}"/>
    <hyperlink ref="G42" r:id="rId280" display="https://www.eia.gov/dnav/pet/hist/LeafHandler.ashx?n=PET&amp;s=MKEIMUS1&amp;f=A" xr:uid="{B6716C2F-FB29-4BEE-AE22-44B35266CF1E}"/>
    <hyperlink ref="J42" r:id="rId281" display="https://www.eia.gov/dnav/pet/hist/LeafHandler.ashx?n=PET&amp;s=MKESCUS1&amp;f=A" xr:uid="{49306ADB-1048-413D-8A23-75CDE22EF0BD}"/>
    <hyperlink ref="L42" r:id="rId282" display="https://www.eia.gov/dnav/pet/hist/LeafHandler.ashx?n=PET&amp;s=MKEEXUS1&amp;f=A" xr:uid="{9E69AFB9-6513-43ED-B6CB-066876F0F4CC}"/>
    <hyperlink ref="M42" r:id="rId283" display="https://www.eia.gov/dnav/pet/hist/LeafHandler.ashx?n=PET&amp;s=MKEUPUS1&amp;f=A" xr:uid="{39178330-AC13-4B3B-83CF-E2A64B1794C2}"/>
    <hyperlink ref="N42" r:id="rId284" display="https://www.eia.gov/dnav/pet/hist/LeafHandler.ashx?n=PET&amp;s=MKESTUS1&amp;f=A" xr:uid="{48790319-610E-459B-821D-9F6A372E50F1}"/>
    <hyperlink ref="E43" r:id="rId285" display="https://www.eia.gov/dnav/pet/hist/LeafHandler.ashx?n=PET&amp;s=M_EPD0_YNP_NUS_MBBL&amp;f=A" xr:uid="{35C59B30-4F96-47B2-B60E-7C8465D1659F}"/>
    <hyperlink ref="F43" r:id="rId286" display="https://www.eia.gov/dnav/pet/hist/LeafHandler.ashx?n=PET&amp;s=MDIRPUS1&amp;f=A" xr:uid="{C26C2DD7-C356-4F65-AEF9-1691FC45A163}"/>
    <hyperlink ref="G43" r:id="rId287" display="https://www.eia.gov/dnav/pet/hist/LeafHandler.ashx?n=PET&amp;s=MDIIMUS1&amp;f=A" xr:uid="{88C085DD-B257-43D6-8BF4-B759BE88E61D}"/>
    <hyperlink ref="I43" r:id="rId288" display="https://www.eia.gov/dnav/pet/hist/LeafHandler.ashx?n=PET&amp;s=M_EPD0_VUA_NUS_1&amp;f=A" xr:uid="{0D2BC35E-89E4-428D-A6C0-45058ABBC745}"/>
    <hyperlink ref="J43" r:id="rId289" display="https://www.eia.gov/dnav/pet/hist/LeafHandler.ashx?n=PET&amp;s=MDISCUS1&amp;f=A" xr:uid="{B693F814-B649-44A7-B394-B0EECDB0868C}"/>
    <hyperlink ref="L43" r:id="rId290" display="https://www.eia.gov/dnav/pet/hist/LeafHandler.ashx?n=PET&amp;s=MDIEXUS1&amp;f=A" xr:uid="{C1F21408-E291-4BD5-8094-512481C93B8A}"/>
    <hyperlink ref="M43" r:id="rId291" display="https://www.eia.gov/dnav/pet/hist/LeafHandler.ashx?n=PET&amp;s=MDIUPUS1&amp;f=A" xr:uid="{E5DD2F30-490C-4240-A313-05B93D2F8F2E}"/>
    <hyperlink ref="N43" r:id="rId292" display="https://www.eia.gov/dnav/pet/hist/LeafHandler.ashx?n=PET&amp;s=MDISTUS1&amp;f=A" xr:uid="{A55CE58D-864A-4708-844E-C644180546F4}"/>
    <hyperlink ref="E44" r:id="rId293" display="https://www.eia.gov/dnav/pet/hist/LeafHandler.ashx?n=PET&amp;s=M_EPDXL0_YNP_NUS_MBBL&amp;f=A" xr:uid="{37ACC9C6-484A-4684-9882-8C27C514A718}"/>
    <hyperlink ref="F44" r:id="rId294" display="https://www.eia.gov/dnav/pet/hist/LeafHandler.ashx?n=PET&amp;s=MD0RP_NUS_1&amp;f=A" xr:uid="{352595FF-D63E-42E1-BB45-8B9366735BE5}"/>
    <hyperlink ref="G44" r:id="rId295" display="https://www.eia.gov/dnav/pet/hist/LeafHandler.ashx?n=PET&amp;s=MD0IM_NUS-Z00_1&amp;f=A" xr:uid="{69A62746-94F8-46B9-BF86-8C78B960871B}"/>
    <hyperlink ref="I44" r:id="rId296" display="https://www.eia.gov/dnav/pet/hist/LeafHandler.ashx?n=PET&amp;s=M_EPDXL0_VUA_NUS_1&amp;f=A" xr:uid="{1B226513-D4EF-4679-B6A3-5801896D6A1F}"/>
    <hyperlink ref="J44" r:id="rId297" display="https://www.eia.gov/dnav/pet/hist/LeafHandler.ashx?n=PET&amp;s=MD0SC_NUS_1&amp;f=A" xr:uid="{A0B5112A-E58A-442E-99DA-79DC79B9FDE8}"/>
    <hyperlink ref="L44" r:id="rId298" display="https://www.eia.gov/dnav/pet/hist/LeafHandler.ashx?n=PET&amp;s=M_EPDXL0_EEX_NUS-Z00_MBBL&amp;f=A" xr:uid="{2CFDF75A-8063-499B-8E0F-74CE5D28291A}"/>
    <hyperlink ref="M44" r:id="rId299" display="https://www.eia.gov/dnav/pet/hist/LeafHandler.ashx?n=PET&amp;s=MD0UP_NUS_1&amp;f=A" xr:uid="{D33A1B3D-442D-4792-BBD2-C8719D620286}"/>
    <hyperlink ref="N44" r:id="rId300" display="https://www.eia.gov/dnav/pet/hist/LeafHandler.ashx?n=PET&amp;s=MD0ST_NUS_1&amp;f=A" xr:uid="{2DA11366-8433-4E9C-8F59-31AC390FA6BE}"/>
    <hyperlink ref="E45" r:id="rId301" display="https://www.eia.gov/dnav/pet/hist/LeafHandler.ashx?n=PET&amp;s=M_EPDM10_YNP_NUS_MBBL&amp;f=A" xr:uid="{FC06A968-6D2A-40D7-8BEC-A430F23429B6}"/>
    <hyperlink ref="F45" r:id="rId302" display="https://www.eia.gov/dnav/pet/hist/LeafHandler.ashx?n=PET&amp;s=MD1RP_NUS_1&amp;f=A" xr:uid="{FF1E8889-5337-4677-B09C-A445C4B7469D}"/>
    <hyperlink ref="G45" r:id="rId303" display="https://www.eia.gov/dnav/pet/hist/LeafHandler.ashx?n=PET&amp;s=MD1IM_NUS-Z00_1&amp;f=A" xr:uid="{F81B6AD4-9557-40A4-AD9A-DCAC6F7C4F17}"/>
    <hyperlink ref="I45" r:id="rId304" display="https://www.eia.gov/dnav/pet/hist/LeafHandler.ashx?n=PET&amp;s=M_EPDM10_VUA_NUS_1&amp;f=A" xr:uid="{C91B725C-6382-4FB5-B97C-1FD62138B75A}"/>
    <hyperlink ref="J45" r:id="rId305" display="https://www.eia.gov/dnav/pet/hist/LeafHandler.ashx?n=PET&amp;s=MD1SC_NUS_1&amp;f=A" xr:uid="{C2441867-BEAA-4F18-811E-5F52D73999EF}"/>
    <hyperlink ref="L45" r:id="rId306" display="https://www.eia.gov/dnav/pet/hist/LeafHandler.ashx?n=PET&amp;s=MD1EX_NUS-Z00_1&amp;f=A" xr:uid="{566486BC-D3ED-4E2B-8CB9-24DF0EDA101F}"/>
    <hyperlink ref="M45" r:id="rId307" display="https://www.eia.gov/dnav/pet/hist/LeafHandler.ashx?n=PET&amp;s=MD1UP_NUS_1&amp;f=A" xr:uid="{75257B2F-054B-46CC-BACA-1BB82AD98227}"/>
    <hyperlink ref="N45" r:id="rId308" display="https://www.eia.gov/dnav/pet/hist/LeafHandler.ashx?n=PET&amp;s=MD1ST_NUS_1&amp;f=A" xr:uid="{1685AE61-BFDA-47EE-9540-46DA8757B51A}"/>
    <hyperlink ref="E46" r:id="rId309" display="https://www.eia.gov/dnav/pet/hist/LeafHandler.ashx?n=PET&amp;s=M_EPD00H_YNP_NUS_MBBL&amp;f=A" xr:uid="{07EAEDFB-AEAC-4FEF-AFD5-7B957743DEC3}"/>
    <hyperlink ref="F46" r:id="rId310" display="https://www.eia.gov/dnav/pet/hist/LeafHandler.ashx?n=PET&amp;s=MDGRPUS1&amp;f=A" xr:uid="{74F1AE68-347A-4A28-92D7-8CEBBA3E8E25}"/>
    <hyperlink ref="G46" r:id="rId311" display="https://www.eia.gov/dnav/pet/hist/LeafHandler.ashx?n=PET&amp;s=MDGIMUS1&amp;f=A" xr:uid="{E2B5A0EA-04C5-4325-8BBF-C60FAE885BCB}"/>
    <hyperlink ref="J46" r:id="rId312" display="https://www.eia.gov/dnav/pet/hist/LeafHandler.ashx?n=PET&amp;s=MDGSCUS1&amp;f=A" xr:uid="{2BA64557-5DD6-4FF3-8453-35A4ACE3729D}"/>
    <hyperlink ref="L46" r:id="rId313" display="https://www.eia.gov/dnav/pet/hist/LeafHandler.ashx?n=PET&amp;s=MDGEXUS1&amp;f=A" xr:uid="{BB0B7D35-6DDC-4BC6-90FA-CB9A0D72CE50}"/>
    <hyperlink ref="M46" r:id="rId314" display="https://www.eia.gov/dnav/pet/hist/LeafHandler.ashx?n=PET&amp;s=MDGUPUS1&amp;f=A" xr:uid="{2B66B87E-36B3-424F-BDEB-53B754004DEF}"/>
    <hyperlink ref="N46" r:id="rId315" display="https://www.eia.gov/dnav/pet/hist/LeafHandler.ashx?n=PET&amp;s=MDGSTUS1&amp;f=A" xr:uid="{D3F344B1-24B1-499D-AC76-405FADC3DEF2}"/>
    <hyperlink ref="F47" r:id="rId316" display="https://www.eia.gov/dnav/pet/hist/LeafHandler.ashx?n=PET&amp;s=MRERPUS1&amp;f=A" xr:uid="{73A5DF17-BAFD-42A4-94CD-549FA6B34158}"/>
    <hyperlink ref="G47" r:id="rId317" display="https://www.eia.gov/dnav/pet/hist/LeafHandler.ashx?n=PET&amp;s=MREIMUS1&amp;f=A" xr:uid="{508AF39D-0876-4C20-A5ED-040D4AFC725F}"/>
    <hyperlink ref="J47" r:id="rId318" display="https://www.eia.gov/dnav/pet/hist/LeafHandler.ashx?n=PET&amp;s=MRESCUS1&amp;f=A" xr:uid="{6A087D5B-0653-45EC-8039-32B11195E71B}"/>
    <hyperlink ref="L47" r:id="rId319" display="https://www.eia.gov/dnav/pet/hist/LeafHandler.ashx?n=PET&amp;s=MREEXUS1&amp;f=A" xr:uid="{4991E8DE-9DE9-4C8A-99CF-22C7A5AD72B3}"/>
    <hyperlink ref="M47" r:id="rId320" display="https://www.eia.gov/dnav/pet/hist/LeafHandler.ashx?n=PET&amp;s=MREUPUS1&amp;f=A" xr:uid="{FF1B5886-AF48-4026-9465-02FD257AD95A}"/>
    <hyperlink ref="N47" r:id="rId321" display="https://www.eia.gov/dnav/pet/hist/LeafHandler.ashx?n=PET&amp;s=MRESTUS1&amp;f=A" xr:uid="{FF993927-3AC2-49F8-83FC-A5801737B6B8}"/>
    <hyperlink ref="F48" r:id="rId322" display="https://www.eia.gov/dnav/pet/hist/LeafHandler.ashx?n=PET&amp;s=MRLRPUS1&amp;f=A" xr:uid="{7EABEF22-C300-4093-BCAD-C28D9EDDB2DF}"/>
    <hyperlink ref="G48" r:id="rId323" display="https://www.eia.gov/dnav/pet/hist/LeafHandler.ashx?n=PET&amp;s=MRXIMUS1&amp;f=A" xr:uid="{4276F20E-64DF-46FB-917D-E05BEE565558}"/>
    <hyperlink ref="J48" r:id="rId324" display="https://www.eia.gov/dnav/pet/hist/LeafHandler.ashx?n=PET&amp;s=MRXSC_NUS_1&amp;f=A" xr:uid="{D680477B-95EB-4F73-ADE8-794F8FA74A34}"/>
    <hyperlink ref="N48" r:id="rId325" display="https://www.eia.gov/dnav/pet/hist/LeafHandler.ashx?n=PET&amp;s=MRLSTUS1&amp;f=A" xr:uid="{3495D0D9-CADD-4366-A922-CDC0CC5745A8}"/>
    <hyperlink ref="F49" r:id="rId326" display="https://www.eia.gov/dnav/pet/hist/LeafHandler.ashx?n=PET&amp;s=MRMRPUS1&amp;f=A" xr:uid="{12008679-D027-47BC-A22C-D235FF30CE7A}"/>
    <hyperlink ref="G49" r:id="rId327" display="https://www.eia.gov/dnav/pet/hist/LeafHandler.ashx?n=PET&amp;s=MRYIMUS1&amp;f=A" xr:uid="{999A92B0-0434-4F95-93CF-326D1AB5866A}"/>
    <hyperlink ref="J49" r:id="rId328" display="https://www.eia.gov/dnav/pet/hist/LeafHandler.ashx?n=PET&amp;s=MRYSC_NUS_1&amp;f=A" xr:uid="{03FD5F8A-3DC4-49F5-BD1A-CB821117ED9F}"/>
    <hyperlink ref="N49" r:id="rId329" display="https://www.eia.gov/dnav/pet/hist/LeafHandler.ashx?n=PET&amp;s=MRMSTUS1&amp;f=A" xr:uid="{C8BE171B-214B-4448-9B3F-1143E51C2216}"/>
    <hyperlink ref="F50" r:id="rId330" display="https://www.eia.gov/dnav/pet/hist/LeafHandler.ashx?n=PET&amp;s=MRGRPUS1&amp;f=A" xr:uid="{1131CF31-80C8-4576-9672-D15B07E70E0A}"/>
    <hyperlink ref="G50" r:id="rId331" display="https://www.eia.gov/dnav/pet/hist/LeafHandler.ashx?n=PET&amp;s=MRZIMUS1&amp;f=A" xr:uid="{A6CF5487-2B7D-4A6C-85AA-812F01C00DD0}"/>
    <hyperlink ref="J50" r:id="rId332" display="https://www.eia.gov/dnav/pet/hist/LeafHandler.ashx?n=PET&amp;s=MRZSC_NUS_1&amp;f=A" xr:uid="{FAF054AB-6828-4373-8E09-DC97DBDC91A5}"/>
    <hyperlink ref="N50" r:id="rId333" display="https://www.eia.gov/dnav/pet/hist/LeafHandler.ashx?n=PET&amp;s=MRGSTUS1&amp;f=A" xr:uid="{21D670FD-78A6-4DA2-A3A4-8A5553EA4795}"/>
    <hyperlink ref="F51" r:id="rId334" display="https://www.eia.gov/dnav/pet/hist/LeafHandler.ashx?n=PET&amp;s=MPCRPUS1&amp;f=A" xr:uid="{F135604B-F551-410D-BF11-673CFF5F68DE}"/>
    <hyperlink ref="G51" r:id="rId335" display="https://www.eia.gov/dnav/pet/hist/LeafHandler.ashx?n=PET&amp;s=MPFIM_NUS-Z00_1&amp;f=A" xr:uid="{1341E889-53DA-4C34-8247-27557BB881AF}"/>
    <hyperlink ref="J51" r:id="rId336" display="https://www.eia.gov/dnav/pet/hist/LeafHandler.ashx?n=PET&amp;s=MPCSC_NUS_1&amp;f=A" xr:uid="{52CC4BBA-1872-4F46-8ED9-1E2306E9F9F7}"/>
    <hyperlink ref="L51" r:id="rId337" display="https://www.eia.gov/dnav/pet/hist/LeafHandler.ashx?n=PET&amp;s=MPCEX_NUS-Z00_1&amp;f=A" xr:uid="{6DC18B07-7677-471A-92A7-5F01BAEDB258}"/>
    <hyperlink ref="M51" r:id="rId338" display="https://www.eia.gov/dnav/pet/hist/LeafHandler.ashx?n=PET&amp;s=MPCUP_NUS_1&amp;f=A" xr:uid="{98FDCF5D-3071-4302-AE64-3AB896610A82}"/>
    <hyperlink ref="N51" r:id="rId339" display="https://www.eia.gov/dnav/pet/hist/LeafHandler.ashx?n=PET&amp;s=MPCST_NUS_1&amp;f=A" xr:uid="{0383CD90-6976-4CFD-8BA2-164476ADC2AC}"/>
    <hyperlink ref="F52" r:id="rId340" display="https://www.eia.gov/dnav/pet/hist/LeafHandler.ashx?n=PET&amp;s=MNFRPUS1&amp;f=A" xr:uid="{8C9423AD-DCC5-47D2-8FBD-762D7777C948}"/>
    <hyperlink ref="G52" r:id="rId341" display="https://www.eia.gov/dnav/pet/hist/LeafHandler.ashx?n=PET&amp;s=MNFIMUS1&amp;f=A" xr:uid="{C64B48B1-9DE1-45F7-A341-FFF308D77987}"/>
    <hyperlink ref="J52" r:id="rId342" display="https://www.eia.gov/dnav/pet/hist/LeafHandler.ashx?n=PET&amp;s=MNFSCUS1&amp;f=A" xr:uid="{A4798FA3-C350-4EF0-93A4-0CB283EF2721}"/>
    <hyperlink ref="L52" r:id="rId343" display="https://www.eia.gov/dnav/pet/hist/LeafHandler.ashx?n=PET&amp;s=MNFEXUS1&amp;f=A" xr:uid="{4A167429-8A2A-44F2-B665-243A1870C6EC}"/>
    <hyperlink ref="M52" r:id="rId344" display="https://www.eia.gov/dnav/pet/hist/LeafHandler.ashx?n=PET&amp;s=MNFUPUS1&amp;f=A" xr:uid="{AB2F28FD-6483-4399-838C-DEB00DFCCCF0}"/>
    <hyperlink ref="N52" r:id="rId345" display="https://www.eia.gov/dnav/pet/hist/LeafHandler.ashx?n=PET&amp;s=MNFSTUS1&amp;f=A" xr:uid="{86E3E602-A190-4E3D-82EC-5146575ED198}"/>
    <hyperlink ref="F53" r:id="rId346" display="https://www.eia.gov/dnav/pet/hist/LeafHandler.ashx?n=PET&amp;s=MOTRPUS1&amp;f=A" xr:uid="{42393DA8-B101-4874-BF0F-22341EE7C479}"/>
    <hyperlink ref="G53" r:id="rId347" display="https://www.eia.gov/dnav/pet/hist/LeafHandler.ashx?n=PET&amp;s=MOTIMUS1&amp;f=A" xr:uid="{21DF5BB0-6404-4F08-A0EB-3124A105A1E2}"/>
    <hyperlink ref="J53" r:id="rId348" display="https://www.eia.gov/dnav/pet/hist/LeafHandler.ashx?n=PET&amp;s=MOTSCUS1&amp;f=A" xr:uid="{0CF4CB43-A613-482E-90C6-ED15D5138662}"/>
    <hyperlink ref="L53" r:id="rId349" display="https://www.eia.gov/dnav/pet/hist/LeafHandler.ashx?n=PET&amp;s=MOTEXUS1&amp;f=A" xr:uid="{0A6A9E05-611F-413E-886D-81698A7072B4}"/>
    <hyperlink ref="M53" r:id="rId350" display="https://www.eia.gov/dnav/pet/hist/LeafHandler.ashx?n=PET&amp;s=MOTUPUS1&amp;f=A" xr:uid="{7F7DDF7F-E2D2-48B5-A423-79FE3C8EEE9B}"/>
    <hyperlink ref="N53" r:id="rId351" display="https://www.eia.gov/dnav/pet/hist/LeafHandler.ashx?n=PET&amp;s=MOTSTUS1&amp;f=A" xr:uid="{F441EA26-E03F-4989-91E3-9B9F0781DB5B}"/>
    <hyperlink ref="F54" r:id="rId352" display="https://www.eia.gov/dnav/pet/hist/LeafHandler.ashx?n=PET&amp;s=MNSRPUS1&amp;f=A" xr:uid="{38C7E8D7-2EE0-44BE-8895-61503B0F7B31}"/>
    <hyperlink ref="G54" r:id="rId353" display="https://www.eia.gov/dnav/pet/hist/LeafHandler.ashx?n=PET&amp;s=MNSIMUS1&amp;f=A" xr:uid="{4595FE36-0D0B-43F4-AA1A-82B590ED217C}"/>
    <hyperlink ref="J54" r:id="rId354" display="https://www.eia.gov/dnav/pet/hist/LeafHandler.ashx?n=PET&amp;s=MNSSCUS1&amp;f=A" xr:uid="{B63A0BFA-696A-45C8-9DB3-57ABDB4117EA}"/>
    <hyperlink ref="L54" r:id="rId355" display="https://www.eia.gov/dnav/pet/hist/LeafHandler.ashx?n=PET&amp;s=MNSEXUS1&amp;f=A" xr:uid="{715E7BC0-8742-4BCF-97A7-219C09B1B69D}"/>
    <hyperlink ref="M54" r:id="rId356" display="https://www.eia.gov/dnav/pet/hist/LeafHandler.ashx?n=PET&amp;s=MNSUPUS1&amp;f=A" xr:uid="{9B388BC1-D9A0-4C32-A2CD-4BCA0C1896EA}"/>
    <hyperlink ref="N54" r:id="rId357" display="https://www.eia.gov/dnav/pet/hist/LeafHandler.ashx?n=PET&amp;s=MNSSTUS1&amp;f=A" xr:uid="{B6694B2C-B7C9-4E08-A277-F43FD8D4743E}"/>
    <hyperlink ref="F55" r:id="rId358" display="https://www.eia.gov/dnav/pet/hist/LeafHandler.ashx?n=PET&amp;s=MLURPUS1&amp;f=A" xr:uid="{172343BC-62D0-480E-9603-8B962DC69D53}"/>
    <hyperlink ref="G55" r:id="rId359" display="https://www.eia.gov/dnav/pet/hist/LeafHandler.ashx?n=PET&amp;s=MLUIMUS1&amp;f=A" xr:uid="{585FB62C-8195-44A5-A1EE-BE25151F3A98}"/>
    <hyperlink ref="J55" r:id="rId360" display="https://www.eia.gov/dnav/pet/hist/LeafHandler.ashx?n=PET&amp;s=MLUSCUS1&amp;f=A" xr:uid="{53533D71-FD1B-454B-A37A-E1AC284CC6E2}"/>
    <hyperlink ref="L55" r:id="rId361" display="https://www.eia.gov/dnav/pet/hist/LeafHandler.ashx?n=PET&amp;s=MLUEXUS1&amp;f=A" xr:uid="{A060BE67-91F9-44AD-9040-4AB2B4F21AFA}"/>
    <hyperlink ref="M55" r:id="rId362" display="https://www.eia.gov/dnav/pet/hist/LeafHandler.ashx?n=PET&amp;s=MLUUPUS1&amp;f=A" xr:uid="{A4901194-58D8-4266-96A8-1260DB3CFA93}"/>
    <hyperlink ref="N55" r:id="rId363" display="https://www.eia.gov/dnav/pet/hist/LeafHandler.ashx?n=PET&amp;s=MLUSTUS1&amp;f=A" xr:uid="{18018135-F93A-41F5-AA87-53104F99CC50}"/>
    <hyperlink ref="F56" r:id="rId364" display="https://www.eia.gov/dnav/pet/hist/LeafHandler.ashx?n=PET&amp;s=MWXRPUS1&amp;f=A" xr:uid="{B4E33E7B-78C4-4287-9353-CDB738260EE8}"/>
    <hyperlink ref="G56" r:id="rId365" display="https://www.eia.gov/dnav/pet/hist/LeafHandler.ashx?n=PET&amp;s=MWXIMUS1&amp;f=A" xr:uid="{F584207C-0380-4357-B751-5164979111FA}"/>
    <hyperlink ref="J56" r:id="rId366" display="https://www.eia.gov/dnav/pet/hist/LeafHandler.ashx?n=PET&amp;s=MWXSCUS1&amp;f=A" xr:uid="{6144F0E9-266D-43C3-B3E5-9FB990F488AD}"/>
    <hyperlink ref="L56" r:id="rId367" display="https://www.eia.gov/dnav/pet/hist/LeafHandler.ashx?n=PET&amp;s=MWXEXUS1&amp;f=A" xr:uid="{76CF0A32-3CC3-491B-A7F8-1F93BDC2C540}"/>
    <hyperlink ref="M56" r:id="rId368" display="https://www.eia.gov/dnav/pet/hist/LeafHandler.ashx?n=PET&amp;s=MWXUPUS1&amp;f=A" xr:uid="{3DEFEA0E-B62F-4E25-A109-BA8073CD4909}"/>
    <hyperlink ref="N56" r:id="rId369" display="https://www.eia.gov/dnav/pet/hist/LeafHandler.ashx?n=PET&amp;s=MWXSTUS1&amp;f=A" xr:uid="{F328D55E-CA0F-49A5-9BFB-1D66D1134410}"/>
    <hyperlink ref="F57" r:id="rId370" display="https://www.eia.gov/dnav/pet/hist/LeafHandler.ashx?n=PET&amp;s=MCKRPUS1&amp;f=A" xr:uid="{8AF27E8F-38A5-4B93-B893-E20721239546}"/>
    <hyperlink ref="G57" r:id="rId371" display="https://www.eia.gov/dnav/pet/hist/LeafHandler.ashx?n=PET&amp;s=MCKIMUS1&amp;f=A" xr:uid="{34E5043E-5209-47DA-A604-A4E6692E3DEF}"/>
    <hyperlink ref="J57" r:id="rId372" display="https://www.eia.gov/dnav/pet/hist/LeafHandler.ashx?n=PET&amp;s=MCKSCUS1&amp;f=A" xr:uid="{50D5BFC5-E686-4874-A240-B9087E015CE5}"/>
    <hyperlink ref="L57" r:id="rId373" display="https://www.eia.gov/dnav/pet/hist/LeafHandler.ashx?n=PET&amp;s=MCKEXUS1&amp;f=A" xr:uid="{08A2A409-D592-4297-8937-0B3C9D8581BB}"/>
    <hyperlink ref="M57" r:id="rId374" display="https://www.eia.gov/dnav/pet/hist/LeafHandler.ashx?n=PET&amp;s=MCKUPUS1&amp;f=A" xr:uid="{F5E2D5E3-902A-4B71-B091-AB1E74FC68F5}"/>
    <hyperlink ref="N57" r:id="rId375" display="https://www.eia.gov/dnav/pet/hist/LeafHandler.ashx?n=PET&amp;s=MCKSTUS1&amp;f=A" xr:uid="{807D4C24-9871-4246-86D7-E1AAB12384AA}"/>
    <hyperlink ref="F58" r:id="rId376" display="https://www.eia.gov/dnav/pet/hist/LeafHandler.ashx?n=PET&amp;s=MCMRPUS1&amp;f=A" xr:uid="{F97ACFDC-1B83-40BE-9DB7-65C6311A14DB}"/>
    <hyperlink ref="G58" r:id="rId377" display="https://www.eia.gov/dnav/pet/hist/LeafHandler.ashx?n=PET&amp;s=MCMIM_NUS-Z00_1&amp;f=A" xr:uid="{5CE63EFB-A28C-4D6A-9CE2-D2AF104CCF8D}"/>
    <hyperlink ref="J58" r:id="rId378" display="https://www.eia.gov/dnav/pet/hist/LeafHandler.ashx?n=PET&amp;s=MCMSC_NUS_1&amp;f=A" xr:uid="{12E59C87-0675-4543-89D5-DFA79EA5992B}"/>
    <hyperlink ref="L58" r:id="rId379" display="https://www.eia.gov/dnav/pet/hist/LeafHandler.ashx?n=PET&amp;s=MCMEX_NUS-Z00_1&amp;f=A" xr:uid="{5F84C490-9815-458D-96CF-0D361B3FADA5}"/>
    <hyperlink ref="M58" r:id="rId380" display="https://www.eia.gov/dnav/pet/hist/LeafHandler.ashx?n=PET&amp;s=MCMUP_NUS_1&amp;f=A" xr:uid="{24CF97D1-EBA1-4B87-A4CE-BC05B0C25DF4}"/>
    <hyperlink ref="N58" r:id="rId381" display="https://www.eia.gov/dnav/pet/hist/LeafHandler.ashx?n=PET&amp;s=MCMST_NUS_1&amp;f=A" xr:uid="{7B7D61C5-7340-443F-B96A-6581A38BB215}"/>
    <hyperlink ref="F59" r:id="rId382" display="https://www.eia.gov/dnav/pet/hist/LeafHandler.ashx?n=PET&amp;s=MCORPUS1&amp;f=A" xr:uid="{0044AF95-35D7-4A8E-A258-3A04C5848A96}"/>
    <hyperlink ref="M59" r:id="rId383" display="https://www.eia.gov/dnav/pet/hist/LeafHandler.ashx?n=PET&amp;s=MCOUP_NUS_1&amp;f=A" xr:uid="{AFC58811-6C4D-4E11-976F-712AB2ADB646}"/>
    <hyperlink ref="F60" r:id="rId384" display="https://www.eia.gov/dnav/pet/hist/LeafHandler.ashx?n=PET&amp;s=MAPRPUS1&amp;f=A" xr:uid="{5E1D0670-852B-409D-A1C3-E4821727AC0F}"/>
    <hyperlink ref="G60" r:id="rId385" display="https://www.eia.gov/dnav/pet/hist/LeafHandler.ashx?n=PET&amp;s=MAPIMUS1&amp;f=A" xr:uid="{61460189-3FEE-4DAB-90F9-78D4BE2E6DC3}"/>
    <hyperlink ref="J60" r:id="rId386" display="https://www.eia.gov/dnav/pet/hist/LeafHandler.ashx?n=PET&amp;s=MAPSCUS1&amp;f=A" xr:uid="{52D45E3B-1F58-4418-AFA9-6A10FCDC2582}"/>
    <hyperlink ref="L60" r:id="rId387" display="https://www.eia.gov/dnav/pet/hist/LeafHandler.ashx?n=PET&amp;s=MAPEXUS1&amp;f=A" xr:uid="{A9367C77-5D8E-4C4D-A974-3755E352F9C2}"/>
    <hyperlink ref="M60" r:id="rId388" display="https://www.eia.gov/dnav/pet/hist/LeafHandler.ashx?n=PET&amp;s=MAPUPUS1&amp;f=A" xr:uid="{37C6FB19-0F16-4952-9326-71D305E80A3A}"/>
    <hyperlink ref="N60" r:id="rId389" display="https://www.eia.gov/dnav/pet/hist/LeafHandler.ashx?n=PET&amp;s=MAPSTUS1&amp;f=A" xr:uid="{82F5F00E-EB6C-46CA-9FB2-2D83F7B60839}"/>
    <hyperlink ref="F61" r:id="rId390" display="https://www.eia.gov/dnav/pet/hist/LeafHandler.ashx?n=PET&amp;s=MSGRPUS1&amp;f=A" xr:uid="{D8743CD3-A637-4F27-B9C8-0DEA58DAB17F}"/>
    <hyperlink ref="M61" r:id="rId391" display="https://www.eia.gov/dnav/pet/hist/LeafHandler.ashx?n=PET&amp;s=MSGUPUS1&amp;f=A" xr:uid="{4AA5F2AD-B3FF-4A5B-9056-E8225AC89D0A}"/>
    <hyperlink ref="F62" r:id="rId392" display="https://www.eia.gov/dnav/pet/hist/LeafHandler.ashx?n=PET&amp;s=MMSRPUS1&amp;f=A" xr:uid="{AD0B1573-2EB4-4813-8915-EDFF26563850}"/>
    <hyperlink ref="G62" r:id="rId393" display="https://www.eia.gov/dnav/pet/hist/LeafHandler.ashx?n=PET&amp;s=MMSIMUS1&amp;f=A" xr:uid="{5B248782-28F3-4DEC-BA57-00C231FFB0C2}"/>
    <hyperlink ref="J62" r:id="rId394" display="https://www.eia.gov/dnav/pet/hist/LeafHandler.ashx?n=PET&amp;s=MMSSCUS1&amp;f=A" xr:uid="{93B44302-0A87-48AD-9D2C-AAD0C211C525}"/>
    <hyperlink ref="L62" r:id="rId395" display="https://www.eia.gov/dnav/pet/hist/LeafHandler.ashx?n=PET&amp;s=MMSEXUS1&amp;f=A" xr:uid="{F6FC4F11-A22F-4536-84B9-CC9607A79086}"/>
    <hyperlink ref="M62" r:id="rId396" display="https://www.eia.gov/dnav/pet/hist/LeafHandler.ashx?n=PET&amp;s=MMSUPUS1&amp;f=A" xr:uid="{1290AF57-D5B5-4ED5-B4CF-8324E1A27A62}"/>
    <hyperlink ref="N62" r:id="rId397" display="https://www.eia.gov/dnav/pet/hist/LeafHandler.ashx?n=PET&amp;s=MMSSTUS1&amp;f=A" xr:uid="{A815AEA9-AE66-4659-971A-E1695660444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H26"/>
  <sheetViews>
    <sheetView workbookViewId="0"/>
  </sheetViews>
  <sheetFormatPr defaultRowHeight="14.5"/>
  <cols>
    <col min="2" max="2" width="18" customWidth="1"/>
    <col min="3" max="3" width="29" customWidth="1"/>
    <col min="4" max="4" width="36" customWidth="1"/>
    <col min="5" max="5" width="22" customWidth="1"/>
    <col min="6" max="6" width="29.7265625" customWidth="1"/>
    <col min="10" max="10" width="29.81640625" bestFit="1" customWidth="1"/>
    <col min="11" max="11" width="18.08984375" bestFit="1" customWidth="1"/>
  </cols>
  <sheetData>
    <row r="2" spans="1:8">
      <c r="A2" s="1" t="s">
        <v>474</v>
      </c>
    </row>
    <row r="3" spans="1:8">
      <c r="A3" t="s">
        <v>84</v>
      </c>
      <c r="B3" s="18" t="s">
        <v>85</v>
      </c>
      <c r="C3" s="18" t="s">
        <v>86</v>
      </c>
    </row>
    <row r="4" spans="1:8">
      <c r="A4">
        <v>1</v>
      </c>
      <c r="B4">
        <v>516492</v>
      </c>
      <c r="C4">
        <v>167.75</v>
      </c>
    </row>
    <row r="5" spans="1:8">
      <c r="A5">
        <v>2</v>
      </c>
      <c r="B5">
        <v>749693</v>
      </c>
      <c r="C5">
        <v>163.38999999999999</v>
      </c>
    </row>
    <row r="6" spans="1:8">
      <c r="A6">
        <v>3</v>
      </c>
      <c r="B6">
        <v>828225</v>
      </c>
      <c r="C6">
        <v>167.92</v>
      </c>
    </row>
    <row r="7" spans="1:8">
      <c r="A7">
        <v>4</v>
      </c>
      <c r="B7">
        <v>714829</v>
      </c>
      <c r="C7">
        <v>164.43</v>
      </c>
    </row>
    <row r="8" spans="1:8">
      <c r="A8">
        <v>5</v>
      </c>
      <c r="B8">
        <v>747809</v>
      </c>
      <c r="C8">
        <v>166.38</v>
      </c>
    </row>
    <row r="9" spans="1:8">
      <c r="A9">
        <v>6</v>
      </c>
      <c r="B9">
        <v>734710</v>
      </c>
      <c r="C9">
        <v>159.44</v>
      </c>
    </row>
    <row r="10" spans="1:8">
      <c r="A10">
        <v>7</v>
      </c>
      <c r="B10">
        <v>826189</v>
      </c>
      <c r="C10">
        <v>159.27000000000001</v>
      </c>
    </row>
    <row r="11" spans="1:8">
      <c r="A11">
        <v>8</v>
      </c>
      <c r="B11">
        <v>739552</v>
      </c>
      <c r="C11">
        <v>169.81</v>
      </c>
    </row>
    <row r="12" spans="1:8">
      <c r="A12">
        <v>9</v>
      </c>
      <c r="B12">
        <v>738479</v>
      </c>
      <c r="C12">
        <v>165.88</v>
      </c>
    </row>
    <row r="13" spans="1:8">
      <c r="A13">
        <v>10</v>
      </c>
      <c r="B13">
        <v>757813</v>
      </c>
      <c r="C13">
        <v>166.42</v>
      </c>
      <c r="F13" s="264"/>
      <c r="G13" s="265"/>
      <c r="H13" s="266"/>
    </row>
    <row r="14" spans="1:8">
      <c r="A14">
        <v>11</v>
      </c>
      <c r="B14">
        <v>738409</v>
      </c>
      <c r="C14">
        <v>171.17</v>
      </c>
    </row>
    <row r="15" spans="1:8">
      <c r="A15">
        <v>12</v>
      </c>
      <c r="B15">
        <v>779012</v>
      </c>
      <c r="C15">
        <v>172.44</v>
      </c>
    </row>
    <row r="17" spans="1:2">
      <c r="A17" s="1" t="s">
        <v>749</v>
      </c>
    </row>
    <row r="18" spans="1:2">
      <c r="A18" s="5">
        <v>13341865</v>
      </c>
      <c r="B18" t="s">
        <v>87</v>
      </c>
    </row>
    <row r="20" spans="1:2">
      <c r="A20" s="1" t="s">
        <v>88</v>
      </c>
    </row>
    <row r="21" spans="1:2">
      <c r="A21" s="5">
        <f>SUM(B4:B15)</f>
        <v>8871212</v>
      </c>
      <c r="B21" t="s">
        <v>87</v>
      </c>
    </row>
    <row r="23" spans="1:2">
      <c r="A23" t="s">
        <v>748</v>
      </c>
    </row>
    <row r="25" spans="1:2">
      <c r="A25" s="1" t="s">
        <v>91</v>
      </c>
    </row>
    <row r="26" spans="1:2">
      <c r="A26" s="19">
        <v>0</v>
      </c>
      <c r="B26" t="s">
        <v>87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4"/>
  <sheetViews>
    <sheetView workbookViewId="0"/>
  </sheetViews>
  <sheetFormatPr defaultRowHeight="14.5"/>
  <cols>
    <col min="1" max="1" width="10.54296875" customWidth="1"/>
    <col min="2" max="4" width="11.7265625" customWidth="1"/>
    <col min="5" max="5" width="23.26953125" customWidth="1"/>
  </cols>
  <sheetData>
    <row r="1" spans="1:6">
      <c r="A1" s="2" t="s">
        <v>100</v>
      </c>
      <c r="B1" s="7"/>
      <c r="C1" s="7"/>
      <c r="D1" s="7"/>
      <c r="E1" s="7"/>
      <c r="F1" s="7"/>
    </row>
    <row r="2" spans="1:6">
      <c r="B2" t="s">
        <v>96</v>
      </c>
      <c r="C2" t="s">
        <v>22</v>
      </c>
      <c r="D2" t="s">
        <v>27</v>
      </c>
      <c r="E2" t="s">
        <v>733</v>
      </c>
      <c r="F2" t="s">
        <v>89</v>
      </c>
    </row>
    <row r="3" spans="1:6">
      <c r="A3">
        <v>2024</v>
      </c>
      <c r="B3">
        <f>677/1000</f>
        <v>0.67700000000000005</v>
      </c>
      <c r="C3">
        <f>E3-B3</f>
        <v>55.222999999999999</v>
      </c>
      <c r="D3">
        <v>0</v>
      </c>
      <c r="E3">
        <v>55.9</v>
      </c>
      <c r="F3" t="s">
        <v>101</v>
      </c>
    </row>
    <row r="5" spans="1:6">
      <c r="A5" s="2" t="s">
        <v>132</v>
      </c>
      <c r="B5" s="7"/>
      <c r="C5" s="7"/>
      <c r="D5" s="7"/>
      <c r="E5" s="7"/>
    </row>
    <row r="6" spans="1:6">
      <c r="A6">
        <v>40.016958000000002</v>
      </c>
      <c r="B6" t="s">
        <v>745</v>
      </c>
      <c r="F6" t="s">
        <v>746</v>
      </c>
    </row>
    <row r="7" spans="1:6">
      <c r="A7">
        <v>512.54032400000006</v>
      </c>
      <c r="B7" t="s">
        <v>740</v>
      </c>
      <c r="F7" t="s">
        <v>739</v>
      </c>
    </row>
    <row r="8" spans="1:6">
      <c r="A8">
        <v>108.32638300000001</v>
      </c>
      <c r="B8" t="s">
        <v>743</v>
      </c>
      <c r="F8" t="s">
        <v>741</v>
      </c>
    </row>
    <row r="9" spans="1:6">
      <c r="A9">
        <v>1.997711</v>
      </c>
      <c r="B9" t="s">
        <v>744</v>
      </c>
      <c r="F9" t="s">
        <v>742</v>
      </c>
    </row>
    <row r="10" spans="1:6">
      <c r="A10" s="20" t="s">
        <v>133</v>
      </c>
    </row>
    <row r="12" spans="1:6">
      <c r="B12" t="s">
        <v>96</v>
      </c>
      <c r="C12" t="s">
        <v>22</v>
      </c>
      <c r="D12" t="s">
        <v>27</v>
      </c>
      <c r="E12" t="s">
        <v>89</v>
      </c>
    </row>
    <row r="13" spans="1:6">
      <c r="A13" t="s">
        <v>131</v>
      </c>
      <c r="B13" s="25">
        <f>A7*(1-A6/A7)</f>
        <v>472.52336600000007</v>
      </c>
      <c r="C13">
        <f>A9</f>
        <v>1.997711</v>
      </c>
      <c r="D13">
        <f>A8</f>
        <v>108.32638300000001</v>
      </c>
      <c r="E13" t="s">
        <v>102</v>
      </c>
    </row>
    <row r="14" spans="1:6">
      <c r="A14" t="s">
        <v>134</v>
      </c>
      <c r="B14" s="25">
        <f>A6</f>
        <v>40.016958000000002</v>
      </c>
      <c r="C14">
        <v>0</v>
      </c>
      <c r="D14">
        <v>0</v>
      </c>
      <c r="E14" t="s">
        <v>102</v>
      </c>
    </row>
    <row r="16" spans="1:6">
      <c r="A16" s="2" t="s">
        <v>135</v>
      </c>
      <c r="B16" s="7"/>
      <c r="C16" s="7"/>
      <c r="D16" s="7"/>
      <c r="E16" s="7"/>
    </row>
    <row r="17" spans="1:5">
      <c r="A17" s="1" t="s">
        <v>136</v>
      </c>
    </row>
    <row r="18" spans="1:5">
      <c r="A18" s="26">
        <v>292</v>
      </c>
      <c r="B18" t="s">
        <v>137</v>
      </c>
    </row>
    <row r="20" spans="1:5">
      <c r="A20" s="27" t="s">
        <v>138</v>
      </c>
    </row>
    <row r="21" spans="1:5">
      <c r="A21" t="s">
        <v>139</v>
      </c>
    </row>
    <row r="22" spans="1:5">
      <c r="A22" t="s">
        <v>145</v>
      </c>
    </row>
    <row r="23" spans="1:5">
      <c r="A23" s="3" t="s">
        <v>146</v>
      </c>
      <c r="D23" t="s">
        <v>144</v>
      </c>
    </row>
    <row r="24" spans="1:5">
      <c r="E24" s="4"/>
    </row>
    <row r="26" spans="1:5">
      <c r="A26" t="s">
        <v>140</v>
      </c>
    </row>
    <row r="27" spans="1:5">
      <c r="A27" t="s">
        <v>141</v>
      </c>
    </row>
    <row r="28" spans="1:5">
      <c r="A28" t="s">
        <v>142</v>
      </c>
    </row>
    <row r="30" spans="1:5">
      <c r="A30" s="2" t="s">
        <v>47</v>
      </c>
      <c r="B30" s="7"/>
      <c r="C30" s="7"/>
      <c r="D30" s="7"/>
      <c r="E30" s="7"/>
    </row>
    <row r="31" spans="1:5">
      <c r="A31">
        <f>5.51+0.23</f>
        <v>5.74</v>
      </c>
      <c r="B31" t="s">
        <v>143</v>
      </c>
    </row>
    <row r="32" spans="1:5">
      <c r="A32" t="s">
        <v>753</v>
      </c>
    </row>
    <row r="34" spans="1:1">
      <c r="A34" t="s">
        <v>147</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ACFDD-F79C-4914-8C75-4A66FF828BF0}">
  <dimension ref="A1:AH54"/>
  <sheetViews>
    <sheetView workbookViewId="0"/>
  </sheetViews>
  <sheetFormatPr defaultRowHeight="14.5"/>
  <cols>
    <col min="1" max="1" width="21.6328125" customWidth="1"/>
  </cols>
  <sheetData>
    <row r="1" spans="1:33">
      <c r="A1" t="s">
        <v>632</v>
      </c>
    </row>
    <row r="2" spans="1:33">
      <c r="A2" t="s">
        <v>631</v>
      </c>
    </row>
    <row r="3" spans="1:33">
      <c r="A3" t="s">
        <v>630</v>
      </c>
    </row>
    <row r="4" spans="1:33">
      <c r="A4" t="s">
        <v>481</v>
      </c>
    </row>
    <row r="5" spans="1:33">
      <c r="B5" t="s">
        <v>482</v>
      </c>
      <c r="C5" t="s">
        <v>483</v>
      </c>
      <c r="D5" t="s">
        <v>484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516</v>
      </c>
    </row>
    <row r="6" spans="1:33" s="228" customFormat="1">
      <c r="A6" s="228" t="s">
        <v>96</v>
      </c>
    </row>
    <row r="7" spans="1:33">
      <c r="A7" t="s">
        <v>629</v>
      </c>
      <c r="B7" t="s">
        <v>628</v>
      </c>
      <c r="C7" t="s">
        <v>627</v>
      </c>
      <c r="D7" t="s">
        <v>107</v>
      </c>
      <c r="F7">
        <v>27.464071000000001</v>
      </c>
      <c r="G7">
        <v>28.262267999999999</v>
      </c>
      <c r="H7">
        <v>28.541277000000001</v>
      </c>
      <c r="I7">
        <v>28.920041999999999</v>
      </c>
      <c r="J7">
        <v>28.912859000000001</v>
      </c>
      <c r="K7">
        <v>28.885859</v>
      </c>
      <c r="L7">
        <v>28.679307999999999</v>
      </c>
      <c r="M7">
        <v>28.304096000000001</v>
      </c>
      <c r="N7">
        <v>27.836265999999998</v>
      </c>
      <c r="O7">
        <v>27.619070000000001</v>
      </c>
      <c r="P7">
        <v>27.394928</v>
      </c>
      <c r="Q7">
        <v>26.821155999999998</v>
      </c>
      <c r="R7">
        <v>26.303025999999999</v>
      </c>
      <c r="S7">
        <v>25.84412</v>
      </c>
      <c r="T7">
        <v>25.384385999999999</v>
      </c>
      <c r="U7">
        <v>25.005167</v>
      </c>
      <c r="V7">
        <v>24.713476</v>
      </c>
      <c r="W7">
        <v>24.388079000000001</v>
      </c>
      <c r="X7">
        <v>24.236376</v>
      </c>
      <c r="Y7">
        <v>23.936176</v>
      </c>
      <c r="Z7">
        <v>23.837074000000001</v>
      </c>
      <c r="AA7">
        <v>23.875831999999999</v>
      </c>
      <c r="AB7">
        <v>23.736609000000001</v>
      </c>
      <c r="AC7">
        <v>23.543897999999999</v>
      </c>
      <c r="AD7">
        <v>23.332934999999999</v>
      </c>
      <c r="AE7">
        <v>23.274857999999998</v>
      </c>
      <c r="AF7">
        <v>23.169499999999999</v>
      </c>
      <c r="AG7" s="97">
        <v>-7.0000000000000001E-3</v>
      </c>
    </row>
    <row r="8" spans="1:33">
      <c r="A8" t="s">
        <v>626</v>
      </c>
      <c r="B8" t="s">
        <v>625</v>
      </c>
      <c r="C8" t="s">
        <v>624</v>
      </c>
      <c r="D8" t="s">
        <v>107</v>
      </c>
      <c r="F8">
        <v>8.9447690000000009</v>
      </c>
      <c r="G8">
        <v>9.0518099999999997</v>
      </c>
      <c r="H8">
        <v>9.6017100000000006</v>
      </c>
      <c r="I8">
        <v>9.8761779999999995</v>
      </c>
      <c r="J8">
        <v>9.8714150000000007</v>
      </c>
      <c r="K8">
        <v>9.9262230000000002</v>
      </c>
      <c r="L8">
        <v>10.00989</v>
      </c>
      <c r="M8">
        <v>9.8951499999999992</v>
      </c>
      <c r="N8">
        <v>9.9907350000000008</v>
      </c>
      <c r="O8">
        <v>10.111236999999999</v>
      </c>
      <c r="P8">
        <v>10.230657000000001</v>
      </c>
      <c r="Q8">
        <v>10.516375</v>
      </c>
      <c r="R8">
        <v>10.493036999999999</v>
      </c>
      <c r="S8">
        <v>10.495532000000001</v>
      </c>
      <c r="T8">
        <v>10.641144000000001</v>
      </c>
      <c r="U8">
        <v>10.687873</v>
      </c>
      <c r="V8">
        <v>10.727968000000001</v>
      </c>
      <c r="W8">
        <v>10.720901</v>
      </c>
      <c r="X8">
        <v>10.776078999999999</v>
      </c>
      <c r="Y8">
        <v>10.805953000000001</v>
      </c>
      <c r="Z8">
        <v>10.850080999999999</v>
      </c>
      <c r="AA8">
        <v>10.89747</v>
      </c>
      <c r="AB8">
        <v>10.976542</v>
      </c>
      <c r="AC8">
        <v>11.038014</v>
      </c>
      <c r="AD8">
        <v>11.041052000000001</v>
      </c>
      <c r="AE8">
        <v>11.063836</v>
      </c>
      <c r="AF8">
        <v>11.13463</v>
      </c>
      <c r="AG8" s="97">
        <v>8.0000000000000002E-3</v>
      </c>
    </row>
    <row r="9" spans="1:33">
      <c r="A9" t="s">
        <v>623</v>
      </c>
      <c r="B9" t="s">
        <v>622</v>
      </c>
      <c r="C9" t="s">
        <v>621</v>
      </c>
      <c r="D9" t="s">
        <v>107</v>
      </c>
      <c r="F9">
        <v>39.777957999999998</v>
      </c>
      <c r="G9">
        <v>39.964314000000002</v>
      </c>
      <c r="H9">
        <v>40.376175000000003</v>
      </c>
      <c r="I9">
        <v>40.612423</v>
      </c>
      <c r="J9">
        <v>41.816150999999998</v>
      </c>
      <c r="K9">
        <v>42.651702999999998</v>
      </c>
      <c r="L9">
        <v>43.563282000000001</v>
      </c>
      <c r="M9">
        <v>43.656241999999999</v>
      </c>
      <c r="N9">
        <v>45.521186999999998</v>
      </c>
      <c r="O9">
        <v>45.501274000000002</v>
      </c>
      <c r="P9">
        <v>45.491351999999999</v>
      </c>
      <c r="Q9">
        <v>45.081741000000001</v>
      </c>
      <c r="R9">
        <v>44.722285999999997</v>
      </c>
      <c r="S9">
        <v>44.078887999999999</v>
      </c>
      <c r="T9">
        <v>43.848736000000002</v>
      </c>
      <c r="U9">
        <v>43.464911999999998</v>
      </c>
      <c r="V9">
        <v>43.734524</v>
      </c>
      <c r="W9">
        <v>44.301231000000001</v>
      </c>
      <c r="X9">
        <v>44.546782999999998</v>
      </c>
      <c r="Y9">
        <v>44.735222</v>
      </c>
      <c r="Z9">
        <v>44.901122999999998</v>
      </c>
      <c r="AA9">
        <v>45.162959999999998</v>
      </c>
      <c r="AB9">
        <v>45.552684999999997</v>
      </c>
      <c r="AC9">
        <v>45.824455</v>
      </c>
      <c r="AD9">
        <v>45.987712999999999</v>
      </c>
      <c r="AE9">
        <v>46.202480000000001</v>
      </c>
      <c r="AF9">
        <v>46.360294000000003</v>
      </c>
      <c r="AG9" s="97">
        <v>6.0000000000000001E-3</v>
      </c>
    </row>
    <row r="10" spans="1:33">
      <c r="A10" t="s">
        <v>518</v>
      </c>
      <c r="B10" t="s">
        <v>620</v>
      </c>
      <c r="C10" t="s">
        <v>619</v>
      </c>
      <c r="D10" t="s">
        <v>107</v>
      </c>
      <c r="F10">
        <v>10.264849999999999</v>
      </c>
      <c r="G10">
        <v>10.131456</v>
      </c>
      <c r="H10">
        <v>9.2934970000000003</v>
      </c>
      <c r="I10">
        <v>8.2769279999999998</v>
      </c>
      <c r="J10">
        <v>8.2348909999999993</v>
      </c>
      <c r="K10">
        <v>7.8908149999999999</v>
      </c>
      <c r="L10">
        <v>7.0840399999999999</v>
      </c>
      <c r="M10">
        <v>6.7873130000000002</v>
      </c>
      <c r="N10">
        <v>4.3133929999999996</v>
      </c>
      <c r="O10">
        <v>4.312983</v>
      </c>
      <c r="P10">
        <v>4.2677050000000003</v>
      </c>
      <c r="Q10">
        <v>4.2984210000000003</v>
      </c>
      <c r="R10">
        <v>4.2260289999999996</v>
      </c>
      <c r="S10">
        <v>4.2382309999999999</v>
      </c>
      <c r="T10">
        <v>4.1615320000000002</v>
      </c>
      <c r="U10">
        <v>3.857612</v>
      </c>
      <c r="V10">
        <v>3.8928319999999998</v>
      </c>
      <c r="W10">
        <v>3.8492950000000001</v>
      </c>
      <c r="X10">
        <v>3.8536760000000001</v>
      </c>
      <c r="Y10">
        <v>3.865084</v>
      </c>
      <c r="Z10">
        <v>3.8757769999999998</v>
      </c>
      <c r="AA10">
        <v>3.9172259999999999</v>
      </c>
      <c r="AB10">
        <v>3.7810700000000002</v>
      </c>
      <c r="AC10">
        <v>3.8151899999999999</v>
      </c>
      <c r="AD10">
        <v>3.8247789999999999</v>
      </c>
      <c r="AE10">
        <v>3.8427159999999998</v>
      </c>
      <c r="AF10">
        <v>3.797269</v>
      </c>
      <c r="AG10" s="97">
        <v>-3.7999999999999999E-2</v>
      </c>
    </row>
    <row r="11" spans="1:33">
      <c r="A11" t="s">
        <v>579</v>
      </c>
      <c r="B11" t="s">
        <v>618</v>
      </c>
      <c r="C11" t="s">
        <v>617</v>
      </c>
      <c r="D11" t="s">
        <v>107</v>
      </c>
      <c r="F11">
        <v>8.1225660000000008</v>
      </c>
      <c r="G11">
        <v>8.281053</v>
      </c>
      <c r="H11">
        <v>8.3596509999999995</v>
      </c>
      <c r="I11">
        <v>8.3406389999999995</v>
      </c>
      <c r="J11">
        <v>8.3405020000000007</v>
      </c>
      <c r="K11">
        <v>8.3403890000000001</v>
      </c>
      <c r="L11">
        <v>8.2471390000000007</v>
      </c>
      <c r="M11">
        <v>8.1603460000000005</v>
      </c>
      <c r="N11">
        <v>8.1603019999999997</v>
      </c>
      <c r="O11">
        <v>8.1604609999999997</v>
      </c>
      <c r="P11">
        <v>8.1604609999999997</v>
      </c>
      <c r="Q11">
        <v>8.1391779999999994</v>
      </c>
      <c r="R11">
        <v>8.087199</v>
      </c>
      <c r="S11">
        <v>8.1279859999999999</v>
      </c>
      <c r="T11">
        <v>8.1249500000000001</v>
      </c>
      <c r="U11">
        <v>8.1106999999999996</v>
      </c>
      <c r="V11">
        <v>8.1093729999999997</v>
      </c>
      <c r="W11">
        <v>8.1100390000000004</v>
      </c>
      <c r="X11">
        <v>8.1103830000000006</v>
      </c>
      <c r="Y11">
        <v>8.1107829999999996</v>
      </c>
      <c r="Z11">
        <v>8.1087369999999996</v>
      </c>
      <c r="AA11">
        <v>8.1102089999999993</v>
      </c>
      <c r="AB11">
        <v>8.1065240000000003</v>
      </c>
      <c r="AC11">
        <v>8.1099440000000005</v>
      </c>
      <c r="AD11">
        <v>8.109</v>
      </c>
      <c r="AE11">
        <v>8.1071609999999996</v>
      </c>
      <c r="AF11">
        <v>8.1079439999999998</v>
      </c>
      <c r="AG11" s="97">
        <v>0</v>
      </c>
    </row>
    <row r="12" spans="1:33">
      <c r="A12" t="s">
        <v>576</v>
      </c>
      <c r="B12" t="s">
        <v>616</v>
      </c>
      <c r="C12" t="s">
        <v>615</v>
      </c>
      <c r="D12" t="s">
        <v>107</v>
      </c>
      <c r="F12">
        <v>0.82672800000000002</v>
      </c>
      <c r="G12">
        <v>0.89715199999999995</v>
      </c>
      <c r="H12">
        <v>0.931477</v>
      </c>
      <c r="I12">
        <v>0.96589999999999998</v>
      </c>
      <c r="J12">
        <v>0.96665199999999996</v>
      </c>
      <c r="K12">
        <v>0.96660199999999996</v>
      </c>
      <c r="L12">
        <v>0.96851200000000004</v>
      </c>
      <c r="M12">
        <v>0.96875199999999995</v>
      </c>
      <c r="N12">
        <v>0.96900299999999995</v>
      </c>
      <c r="O12">
        <v>0.96907500000000002</v>
      </c>
      <c r="P12">
        <v>0.969638</v>
      </c>
      <c r="Q12">
        <v>0.96777100000000005</v>
      </c>
      <c r="R12">
        <v>0.96438100000000004</v>
      </c>
      <c r="S12">
        <v>0.96052899999999997</v>
      </c>
      <c r="T12">
        <v>0.95894800000000002</v>
      </c>
      <c r="U12">
        <v>0.95181800000000005</v>
      </c>
      <c r="V12">
        <v>0.95054400000000006</v>
      </c>
      <c r="W12">
        <v>0.95869000000000004</v>
      </c>
      <c r="X12">
        <v>0.94952800000000004</v>
      </c>
      <c r="Y12">
        <v>0.93635599999999997</v>
      </c>
      <c r="Z12">
        <v>0.93470799999999998</v>
      </c>
      <c r="AA12">
        <v>0.93285200000000001</v>
      </c>
      <c r="AB12">
        <v>0.91908800000000002</v>
      </c>
      <c r="AC12">
        <v>0.93434499999999998</v>
      </c>
      <c r="AD12">
        <v>0.92108500000000004</v>
      </c>
      <c r="AE12">
        <v>0.93660399999999999</v>
      </c>
      <c r="AF12">
        <v>0.93507799999999996</v>
      </c>
      <c r="AG12" s="97">
        <v>5.0000000000000001E-3</v>
      </c>
    </row>
    <row r="13" spans="1:33">
      <c r="A13" t="s">
        <v>573</v>
      </c>
      <c r="B13" t="s">
        <v>614</v>
      </c>
      <c r="C13" t="s">
        <v>613</v>
      </c>
      <c r="D13" t="s">
        <v>107</v>
      </c>
      <c r="F13">
        <v>4.7167519999999996</v>
      </c>
      <c r="G13">
        <v>4.8044739999999999</v>
      </c>
      <c r="H13">
        <v>4.8181139999999996</v>
      </c>
      <c r="I13">
        <v>4.7444309999999996</v>
      </c>
      <c r="J13">
        <v>4.5791539999999999</v>
      </c>
      <c r="K13">
        <v>4.5984780000000001</v>
      </c>
      <c r="L13">
        <v>4.6231340000000003</v>
      </c>
      <c r="M13">
        <v>4.6305319999999996</v>
      </c>
      <c r="N13">
        <v>4.6461509999999997</v>
      </c>
      <c r="O13">
        <v>4.6358069999999998</v>
      </c>
      <c r="P13">
        <v>4.6362259999999997</v>
      </c>
      <c r="Q13">
        <v>4.6363399999999997</v>
      </c>
      <c r="R13">
        <v>4.6613579999999999</v>
      </c>
      <c r="S13">
        <v>4.6613420000000003</v>
      </c>
      <c r="T13">
        <v>4.6583230000000002</v>
      </c>
      <c r="U13">
        <v>4.6662299999999997</v>
      </c>
      <c r="V13">
        <v>4.6880579999999998</v>
      </c>
      <c r="W13">
        <v>4.6747009999999998</v>
      </c>
      <c r="X13">
        <v>4.6675269999999998</v>
      </c>
      <c r="Y13">
        <v>4.6558479999999998</v>
      </c>
      <c r="Z13">
        <v>4.6656700000000004</v>
      </c>
      <c r="AA13">
        <v>4.6847110000000001</v>
      </c>
      <c r="AB13">
        <v>4.7001299999999997</v>
      </c>
      <c r="AC13">
        <v>4.7238889999999998</v>
      </c>
      <c r="AD13">
        <v>4.7442520000000004</v>
      </c>
      <c r="AE13">
        <v>4.7727909999999998</v>
      </c>
      <c r="AF13">
        <v>4.8014250000000001</v>
      </c>
      <c r="AG13" s="97">
        <v>1E-3</v>
      </c>
    </row>
    <row r="14" spans="1:33">
      <c r="A14" t="s">
        <v>570</v>
      </c>
      <c r="B14" t="s">
        <v>612</v>
      </c>
      <c r="C14" t="s">
        <v>611</v>
      </c>
      <c r="D14" t="s">
        <v>107</v>
      </c>
      <c r="F14">
        <v>2.5692430000000002</v>
      </c>
      <c r="G14">
        <v>2.8961510000000001</v>
      </c>
      <c r="H14">
        <v>3.4331879999999999</v>
      </c>
      <c r="I14">
        <v>3.7275809999999998</v>
      </c>
      <c r="J14">
        <v>3.8924660000000002</v>
      </c>
      <c r="K14">
        <v>4.1200780000000004</v>
      </c>
      <c r="L14">
        <v>4.4685480000000002</v>
      </c>
      <c r="M14">
        <v>4.8511709999999999</v>
      </c>
      <c r="N14">
        <v>5.2814399999999999</v>
      </c>
      <c r="O14">
        <v>5.7323250000000003</v>
      </c>
      <c r="P14">
        <v>6.2717720000000003</v>
      </c>
      <c r="Q14">
        <v>6.9150450000000001</v>
      </c>
      <c r="R14">
        <v>7.5222619999999996</v>
      </c>
      <c r="S14">
        <v>8.2463040000000003</v>
      </c>
      <c r="T14">
        <v>8.7321410000000004</v>
      </c>
      <c r="U14">
        <v>9.4190819999999995</v>
      </c>
      <c r="V14">
        <v>9.7425840000000008</v>
      </c>
      <c r="W14">
        <v>9.8890349999999998</v>
      </c>
      <c r="X14">
        <v>10.072232</v>
      </c>
      <c r="Y14">
        <v>10.301824999999999</v>
      </c>
      <c r="Z14">
        <v>10.495996999999999</v>
      </c>
      <c r="AA14">
        <v>10.674303999999999</v>
      </c>
      <c r="AB14">
        <v>10.906046999999999</v>
      </c>
      <c r="AC14">
        <v>11.059608000000001</v>
      </c>
      <c r="AD14">
        <v>11.247785</v>
      </c>
      <c r="AE14">
        <v>11.391185999999999</v>
      </c>
      <c r="AF14">
        <v>11.62299</v>
      </c>
      <c r="AG14" s="97">
        <v>0.06</v>
      </c>
    </row>
    <row r="15" spans="1:33">
      <c r="A15" t="s">
        <v>567</v>
      </c>
      <c r="B15" t="s">
        <v>610</v>
      </c>
      <c r="C15" t="s">
        <v>609</v>
      </c>
      <c r="D15" t="s">
        <v>107</v>
      </c>
      <c r="F15">
        <v>1.700421</v>
      </c>
      <c r="G15">
        <v>1.7713209999999999</v>
      </c>
      <c r="H15">
        <v>0.824013</v>
      </c>
      <c r="I15">
        <v>0.82248900000000003</v>
      </c>
      <c r="J15">
        <v>0.74947799999999998</v>
      </c>
      <c r="K15">
        <v>0.72555400000000003</v>
      </c>
      <c r="L15">
        <v>0.72870400000000002</v>
      </c>
      <c r="M15">
        <v>0.72867700000000002</v>
      </c>
      <c r="N15">
        <v>0.60499000000000003</v>
      </c>
      <c r="O15">
        <v>0.60499000000000003</v>
      </c>
      <c r="P15">
        <v>0.60499000000000003</v>
      </c>
      <c r="Q15">
        <v>0.60499000000000003</v>
      </c>
      <c r="R15">
        <v>0.60499000000000003</v>
      </c>
      <c r="S15">
        <v>0.60499000000000003</v>
      </c>
      <c r="T15">
        <v>0.60499000000000003</v>
      </c>
      <c r="U15">
        <v>0.60499000000000003</v>
      </c>
      <c r="V15">
        <v>0.60499000000000003</v>
      </c>
      <c r="W15">
        <v>0.60499000000000003</v>
      </c>
      <c r="X15">
        <v>0.60499000000000003</v>
      </c>
      <c r="Y15">
        <v>0.60499000000000003</v>
      </c>
      <c r="Z15">
        <v>0.60499000000000003</v>
      </c>
      <c r="AA15">
        <v>0.60499000000000003</v>
      </c>
      <c r="AB15">
        <v>0.60499000000000003</v>
      </c>
      <c r="AC15">
        <v>0.60499000000000003</v>
      </c>
      <c r="AD15">
        <v>0.60499000000000003</v>
      </c>
      <c r="AE15">
        <v>0.60499000000000003</v>
      </c>
      <c r="AF15">
        <v>0.60499000000000003</v>
      </c>
      <c r="AG15" s="97">
        <v>-3.9E-2</v>
      </c>
    </row>
    <row r="16" spans="1:33">
      <c r="A16" t="s">
        <v>517</v>
      </c>
      <c r="B16" t="s">
        <v>608</v>
      </c>
      <c r="C16" t="s">
        <v>607</v>
      </c>
      <c r="D16" t="s">
        <v>107</v>
      </c>
      <c r="F16">
        <v>104.38736</v>
      </c>
      <c r="G16">
        <v>106.060005</v>
      </c>
      <c r="H16">
        <v>106.179108</v>
      </c>
      <c r="I16">
        <v>106.28660600000001</v>
      </c>
      <c r="J16">
        <v>107.36357099999999</v>
      </c>
      <c r="K16">
        <v>108.105705</v>
      </c>
      <c r="L16">
        <v>108.372559</v>
      </c>
      <c r="M16">
        <v>107.982277</v>
      </c>
      <c r="N16">
        <v>107.323463</v>
      </c>
      <c r="O16">
        <v>107.647217</v>
      </c>
      <c r="P16">
        <v>108.027725</v>
      </c>
      <c r="Q16">
        <v>107.98101800000001</v>
      </c>
      <c r="R16">
        <v>107.584564</v>
      </c>
      <c r="S16">
        <v>107.257912</v>
      </c>
      <c r="T16">
        <v>107.11515</v>
      </c>
      <c r="U16">
        <v>106.768387</v>
      </c>
      <c r="V16">
        <v>107.164345</v>
      </c>
      <c r="W16">
        <v>107.496956</v>
      </c>
      <c r="X16">
        <v>107.81757399999999</v>
      </c>
      <c r="Y16">
        <v>107.952232</v>
      </c>
      <c r="Z16">
        <v>108.27415499999999</v>
      </c>
      <c r="AA16">
        <v>108.86055</v>
      </c>
      <c r="AB16">
        <v>109.283676</v>
      </c>
      <c r="AC16">
        <v>109.654343</v>
      </c>
      <c r="AD16">
        <v>109.813591</v>
      </c>
      <c r="AE16">
        <v>110.196617</v>
      </c>
      <c r="AF16">
        <v>110.534119</v>
      </c>
      <c r="AG16" s="97">
        <v>2E-3</v>
      </c>
    </row>
    <row r="17" spans="1:33" s="228" customFormat="1">
      <c r="A17" s="228" t="s">
        <v>22</v>
      </c>
    </row>
    <row r="18" spans="1:33">
      <c r="A18" t="s">
        <v>30</v>
      </c>
      <c r="B18" t="s">
        <v>606</v>
      </c>
      <c r="C18" t="s">
        <v>605</v>
      </c>
      <c r="D18" t="s">
        <v>107</v>
      </c>
      <c r="F18">
        <v>14.511203</v>
      </c>
      <c r="G18">
        <v>13.426377</v>
      </c>
      <c r="H18">
        <v>14.170196000000001</v>
      </c>
      <c r="I18">
        <v>13.641159</v>
      </c>
      <c r="J18">
        <v>13.656388</v>
      </c>
      <c r="K18">
        <v>13.334659</v>
      </c>
      <c r="L18">
        <v>13.681565000000001</v>
      </c>
      <c r="M18">
        <v>14.299134</v>
      </c>
      <c r="N18">
        <v>14.391166</v>
      </c>
      <c r="O18">
        <v>14.434647</v>
      </c>
      <c r="P18">
        <v>14.614406000000001</v>
      </c>
      <c r="Q18">
        <v>14.994991000000001</v>
      </c>
      <c r="R18">
        <v>15.286606000000001</v>
      </c>
      <c r="S18">
        <v>15.385403</v>
      </c>
      <c r="T18">
        <v>15.587897999999999</v>
      </c>
      <c r="U18">
        <v>15.946284</v>
      </c>
      <c r="V18">
        <v>16.18852</v>
      </c>
      <c r="W18">
        <v>16.484673999999998</v>
      </c>
      <c r="X18">
        <v>16.656410000000001</v>
      </c>
      <c r="Y18">
        <v>17.139084</v>
      </c>
      <c r="Z18">
        <v>17.287808999999999</v>
      </c>
      <c r="AA18">
        <v>17.219873</v>
      </c>
      <c r="AB18">
        <v>17.294519000000001</v>
      </c>
      <c r="AC18">
        <v>17.580736000000002</v>
      </c>
      <c r="AD18">
        <v>17.539449999999999</v>
      </c>
      <c r="AE18">
        <v>17.701066999999998</v>
      </c>
      <c r="AF18">
        <v>17.778272999999999</v>
      </c>
      <c r="AG18" s="97">
        <v>8.0000000000000002E-3</v>
      </c>
    </row>
    <row r="19" spans="1:33">
      <c r="A19" t="s">
        <v>150</v>
      </c>
      <c r="B19" t="s">
        <v>604</v>
      </c>
      <c r="C19" t="s">
        <v>603</v>
      </c>
      <c r="D19" t="s">
        <v>107</v>
      </c>
      <c r="F19">
        <v>4.0514710000000003</v>
      </c>
      <c r="G19">
        <v>3.9470320000000001</v>
      </c>
      <c r="H19">
        <v>4.1068110000000004</v>
      </c>
      <c r="I19">
        <v>4.0076679999999998</v>
      </c>
      <c r="J19">
        <v>3.9071859999999998</v>
      </c>
      <c r="K19">
        <v>3.7951860000000002</v>
      </c>
      <c r="L19">
        <v>3.7872370000000002</v>
      </c>
      <c r="M19">
        <v>3.7543099999999998</v>
      </c>
      <c r="N19">
        <v>3.6837650000000002</v>
      </c>
      <c r="O19">
        <v>3.660914</v>
      </c>
      <c r="P19">
        <v>3.6217160000000002</v>
      </c>
      <c r="Q19">
        <v>3.5897549999999998</v>
      </c>
      <c r="R19">
        <v>3.5756559999999999</v>
      </c>
      <c r="S19">
        <v>3.5790679999999999</v>
      </c>
      <c r="T19">
        <v>3.5697109999999999</v>
      </c>
      <c r="U19">
        <v>3.5587789999999999</v>
      </c>
      <c r="V19">
        <v>3.5600909999999999</v>
      </c>
      <c r="W19">
        <v>3.5475699999999999</v>
      </c>
      <c r="X19">
        <v>3.5396920000000001</v>
      </c>
      <c r="Y19">
        <v>3.528108</v>
      </c>
      <c r="Z19">
        <v>3.5372129999999999</v>
      </c>
      <c r="AA19">
        <v>3.5798260000000002</v>
      </c>
      <c r="AB19">
        <v>3.5401570000000002</v>
      </c>
      <c r="AC19">
        <v>3.544324</v>
      </c>
      <c r="AD19">
        <v>3.610859</v>
      </c>
      <c r="AE19">
        <v>3.6120130000000001</v>
      </c>
      <c r="AF19">
        <v>3.5618880000000002</v>
      </c>
      <c r="AG19" s="97">
        <v>-5.0000000000000001E-3</v>
      </c>
    </row>
    <row r="20" spans="1:33">
      <c r="A20" t="s">
        <v>519</v>
      </c>
      <c r="B20" t="s">
        <v>602</v>
      </c>
      <c r="C20" t="s">
        <v>601</v>
      </c>
      <c r="D20" t="s">
        <v>107</v>
      </c>
      <c r="F20">
        <v>3.0873529999999998</v>
      </c>
      <c r="G20">
        <v>2.9285160000000001</v>
      </c>
      <c r="H20">
        <v>2.44861</v>
      </c>
      <c r="I20">
        <v>2.6916669999999998</v>
      </c>
      <c r="J20">
        <v>2.635259</v>
      </c>
      <c r="K20">
        <v>2.6858390000000001</v>
      </c>
      <c r="L20">
        <v>2.755344</v>
      </c>
      <c r="M20">
        <v>2.765631</v>
      </c>
      <c r="N20">
        <v>2.761101</v>
      </c>
      <c r="O20">
        <v>2.6260460000000001</v>
      </c>
      <c r="P20">
        <v>2.477881</v>
      </c>
      <c r="Q20">
        <v>2.4764469999999998</v>
      </c>
      <c r="R20">
        <v>2.511924</v>
      </c>
      <c r="S20">
        <v>2.5414840000000001</v>
      </c>
      <c r="T20">
        <v>2.5749149999999998</v>
      </c>
      <c r="U20">
        <v>2.5977969999999999</v>
      </c>
      <c r="V20">
        <v>2.555126</v>
      </c>
      <c r="W20">
        <v>2.4248419999999999</v>
      </c>
      <c r="X20">
        <v>2.4286530000000002</v>
      </c>
      <c r="Y20">
        <v>2.4950610000000002</v>
      </c>
      <c r="Z20">
        <v>2.5616279999999998</v>
      </c>
      <c r="AA20">
        <v>2.5490499999999998</v>
      </c>
      <c r="AB20">
        <v>2.3811930000000001</v>
      </c>
      <c r="AC20">
        <v>2.363839</v>
      </c>
      <c r="AD20">
        <v>2.4276309999999999</v>
      </c>
      <c r="AE20">
        <v>2.517868</v>
      </c>
      <c r="AF20">
        <v>2.6075210000000002</v>
      </c>
      <c r="AG20" s="97">
        <v>-6.0000000000000001E-3</v>
      </c>
    </row>
    <row r="21" spans="1:33">
      <c r="A21" t="s">
        <v>567</v>
      </c>
      <c r="B21" t="s">
        <v>600</v>
      </c>
      <c r="C21" t="s">
        <v>599</v>
      </c>
      <c r="D21" t="s">
        <v>107</v>
      </c>
      <c r="F21">
        <v>9.1885999999999995E-2</v>
      </c>
      <c r="G21">
        <v>0.13381999999999999</v>
      </c>
      <c r="H21">
        <v>0.15946399999999999</v>
      </c>
      <c r="I21">
        <v>0.21490999999999999</v>
      </c>
      <c r="J21">
        <v>0.25619500000000001</v>
      </c>
      <c r="K21">
        <v>0.27482299999999998</v>
      </c>
      <c r="L21">
        <v>0.301232</v>
      </c>
      <c r="M21">
        <v>0.30827199999999999</v>
      </c>
      <c r="N21">
        <v>0.31531300000000001</v>
      </c>
      <c r="O21">
        <v>0.32325599999999999</v>
      </c>
      <c r="P21">
        <v>0.32607000000000003</v>
      </c>
      <c r="Q21">
        <v>0.33033800000000002</v>
      </c>
      <c r="R21">
        <v>0.32258399999999998</v>
      </c>
      <c r="S21">
        <v>0.318855</v>
      </c>
      <c r="T21">
        <v>0.31710500000000003</v>
      </c>
      <c r="U21">
        <v>0.309224</v>
      </c>
      <c r="V21">
        <v>0.31408700000000001</v>
      </c>
      <c r="W21">
        <v>0.31551299999999999</v>
      </c>
      <c r="X21">
        <v>0.31304999999999999</v>
      </c>
      <c r="Y21">
        <v>0.29313699999999998</v>
      </c>
      <c r="Z21">
        <v>0.29169099999999998</v>
      </c>
      <c r="AA21">
        <v>0.28930899999999998</v>
      </c>
      <c r="AB21">
        <v>0.27318100000000001</v>
      </c>
      <c r="AC21">
        <v>0.26225399999999999</v>
      </c>
      <c r="AD21">
        <v>0.25558700000000001</v>
      </c>
      <c r="AE21">
        <v>0.24552599999999999</v>
      </c>
      <c r="AF21">
        <v>0.23644899999999999</v>
      </c>
      <c r="AG21" s="97">
        <v>3.6999999999999998E-2</v>
      </c>
    </row>
    <row r="22" spans="1:33">
      <c r="A22" t="s">
        <v>517</v>
      </c>
      <c r="B22" t="s">
        <v>598</v>
      </c>
      <c r="C22" t="s">
        <v>597</v>
      </c>
      <c r="D22" t="s">
        <v>107</v>
      </c>
      <c r="F22">
        <v>21.741913</v>
      </c>
      <c r="G22">
        <v>20.435745000000001</v>
      </c>
      <c r="H22">
        <v>20.885079999999999</v>
      </c>
      <c r="I22">
        <v>20.555405</v>
      </c>
      <c r="J22">
        <v>20.455029</v>
      </c>
      <c r="K22">
        <v>20.090506000000001</v>
      </c>
      <c r="L22">
        <v>20.525376999999999</v>
      </c>
      <c r="M22">
        <v>21.127345999999999</v>
      </c>
      <c r="N22">
        <v>21.151344000000002</v>
      </c>
      <c r="O22">
        <v>21.044861000000001</v>
      </c>
      <c r="P22">
        <v>21.040073</v>
      </c>
      <c r="Q22">
        <v>21.391531000000001</v>
      </c>
      <c r="R22">
        <v>21.696771999999999</v>
      </c>
      <c r="S22">
        <v>21.824812000000001</v>
      </c>
      <c r="T22">
        <v>22.049628999999999</v>
      </c>
      <c r="U22">
        <v>22.412085999999999</v>
      </c>
      <c r="V22">
        <v>22.617825</v>
      </c>
      <c r="W22">
        <v>22.772601999999999</v>
      </c>
      <c r="X22">
        <v>22.937805000000001</v>
      </c>
      <c r="Y22">
        <v>23.455390999999999</v>
      </c>
      <c r="Z22">
        <v>23.678341</v>
      </c>
      <c r="AA22">
        <v>23.638058000000001</v>
      </c>
      <c r="AB22">
        <v>23.489052000000001</v>
      </c>
      <c r="AC22">
        <v>23.751154</v>
      </c>
      <c r="AD22">
        <v>23.833527</v>
      </c>
      <c r="AE22">
        <v>24.076473</v>
      </c>
      <c r="AF22">
        <v>24.18413</v>
      </c>
      <c r="AG22" s="97">
        <v>4.0000000000000001E-3</v>
      </c>
    </row>
    <row r="23" spans="1:33" s="228" customFormat="1">
      <c r="A23" s="228" t="s">
        <v>27</v>
      </c>
    </row>
    <row r="24" spans="1:33">
      <c r="A24" t="s">
        <v>150</v>
      </c>
      <c r="B24" t="s">
        <v>596</v>
      </c>
      <c r="C24" t="s">
        <v>595</v>
      </c>
      <c r="D24" t="s">
        <v>107</v>
      </c>
      <c r="F24">
        <v>20.660601</v>
      </c>
      <c r="G24">
        <v>20.339431999999999</v>
      </c>
      <c r="H24">
        <v>21.727066000000001</v>
      </c>
      <c r="I24">
        <v>21.978756000000001</v>
      </c>
      <c r="J24">
        <v>21.857641000000001</v>
      </c>
      <c r="K24">
        <v>21.781075000000001</v>
      </c>
      <c r="L24">
        <v>22.423283000000001</v>
      </c>
      <c r="M24">
        <v>22.928905</v>
      </c>
      <c r="N24">
        <v>23.090502000000001</v>
      </c>
      <c r="O24">
        <v>23.653084</v>
      </c>
      <c r="P24">
        <v>24.252089999999999</v>
      </c>
      <c r="Q24">
        <v>24.863869000000001</v>
      </c>
      <c r="R24">
        <v>25.149168</v>
      </c>
      <c r="S24">
        <v>25.315871999999999</v>
      </c>
      <c r="T24">
        <v>25.662656999999999</v>
      </c>
      <c r="U24">
        <v>26.044284999999999</v>
      </c>
      <c r="V24">
        <v>26.331007</v>
      </c>
      <c r="W24">
        <v>26.577487999999999</v>
      </c>
      <c r="X24">
        <v>26.932499</v>
      </c>
      <c r="Y24">
        <v>27.351251999999999</v>
      </c>
      <c r="Z24">
        <v>27.591287999999999</v>
      </c>
      <c r="AA24">
        <v>27.74062</v>
      </c>
      <c r="AB24">
        <v>27.845409</v>
      </c>
      <c r="AC24">
        <v>28.038736</v>
      </c>
      <c r="AD24">
        <v>27.964088</v>
      </c>
      <c r="AE24">
        <v>28.088183999999998</v>
      </c>
      <c r="AF24">
        <v>28.047884</v>
      </c>
      <c r="AG24" s="97">
        <v>1.2E-2</v>
      </c>
    </row>
    <row r="25" spans="1:33">
      <c r="A25" t="s">
        <v>519</v>
      </c>
      <c r="B25" t="s">
        <v>594</v>
      </c>
      <c r="C25" t="s">
        <v>593</v>
      </c>
      <c r="D25" t="s">
        <v>107</v>
      </c>
      <c r="F25">
        <v>7.8187519999999999</v>
      </c>
      <c r="G25">
        <v>8.5917089999999998</v>
      </c>
      <c r="H25">
        <v>9.1088190000000004</v>
      </c>
      <c r="I25">
        <v>9.0095030000000005</v>
      </c>
      <c r="J25">
        <v>10.029778</v>
      </c>
      <c r="K25">
        <v>10.658371000000001</v>
      </c>
      <c r="L25">
        <v>11.299662</v>
      </c>
      <c r="M25">
        <v>11.562331</v>
      </c>
      <c r="N25">
        <v>11.83005</v>
      </c>
      <c r="O25">
        <v>12.097961</v>
      </c>
      <c r="P25">
        <v>12.369316</v>
      </c>
      <c r="Q25">
        <v>12.509456</v>
      </c>
      <c r="R25">
        <v>12.687962000000001</v>
      </c>
      <c r="S25">
        <v>12.821247</v>
      </c>
      <c r="T25">
        <v>12.877399</v>
      </c>
      <c r="U25">
        <v>12.941127</v>
      </c>
      <c r="V25">
        <v>13.047361</v>
      </c>
      <c r="W25">
        <v>13.099333</v>
      </c>
      <c r="X25">
        <v>13.132851</v>
      </c>
      <c r="Y25">
        <v>13.117587</v>
      </c>
      <c r="Z25">
        <v>13.110284</v>
      </c>
      <c r="AA25">
        <v>13.128943</v>
      </c>
      <c r="AB25">
        <v>13.158234</v>
      </c>
      <c r="AC25">
        <v>13.197891</v>
      </c>
      <c r="AD25">
        <v>13.21223</v>
      </c>
      <c r="AE25">
        <v>13.199548</v>
      </c>
      <c r="AF25">
        <v>13.252179</v>
      </c>
      <c r="AG25" s="97">
        <v>2.1000000000000001E-2</v>
      </c>
    </row>
    <row r="26" spans="1:33">
      <c r="A26" t="s">
        <v>518</v>
      </c>
      <c r="B26" t="s">
        <v>592</v>
      </c>
      <c r="C26" t="s">
        <v>591</v>
      </c>
      <c r="D26" t="s">
        <v>107</v>
      </c>
      <c r="F26">
        <v>2.7251750000000001</v>
      </c>
      <c r="G26">
        <v>2.605518</v>
      </c>
      <c r="H26">
        <v>2.7105229999999998</v>
      </c>
      <c r="I26">
        <v>2.8102070000000001</v>
      </c>
      <c r="J26">
        <v>2.943514</v>
      </c>
      <c r="K26">
        <v>2.8813550000000001</v>
      </c>
      <c r="L26">
        <v>2.8204189999999998</v>
      </c>
      <c r="M26">
        <v>2.8038750000000001</v>
      </c>
      <c r="N26">
        <v>2.8259129999999999</v>
      </c>
      <c r="O26">
        <v>2.818362</v>
      </c>
      <c r="P26">
        <v>2.8003670000000001</v>
      </c>
      <c r="Q26">
        <v>2.8808479999999999</v>
      </c>
      <c r="R26">
        <v>2.8514370000000002</v>
      </c>
      <c r="S26">
        <v>2.9190200000000002</v>
      </c>
      <c r="T26">
        <v>2.8963369999999999</v>
      </c>
      <c r="U26">
        <v>2.9719760000000002</v>
      </c>
      <c r="V26">
        <v>3.0150709999999998</v>
      </c>
      <c r="W26">
        <v>2.9796969999999998</v>
      </c>
      <c r="X26">
        <v>2.9950619999999999</v>
      </c>
      <c r="Y26">
        <v>3.01593</v>
      </c>
      <c r="Z26">
        <v>3.0408219999999999</v>
      </c>
      <c r="AA26">
        <v>3.1134409999999999</v>
      </c>
      <c r="AB26">
        <v>3.1327859999999998</v>
      </c>
      <c r="AC26">
        <v>3.1764739999999998</v>
      </c>
      <c r="AD26">
        <v>3.1963849999999998</v>
      </c>
      <c r="AE26">
        <v>3.2279689999999999</v>
      </c>
      <c r="AF26">
        <v>3.194277</v>
      </c>
      <c r="AG26" s="97">
        <v>6.0000000000000001E-3</v>
      </c>
    </row>
    <row r="27" spans="1:33">
      <c r="A27" t="s">
        <v>517</v>
      </c>
      <c r="B27" t="s">
        <v>590</v>
      </c>
      <c r="C27" t="s">
        <v>589</v>
      </c>
      <c r="D27" t="s">
        <v>107</v>
      </c>
      <c r="F27">
        <v>31.204529000000001</v>
      </c>
      <c r="G27">
        <v>31.536659</v>
      </c>
      <c r="H27">
        <v>33.546405999999998</v>
      </c>
      <c r="I27">
        <v>33.798465999999998</v>
      </c>
      <c r="J27">
        <v>34.830933000000002</v>
      </c>
      <c r="K27">
        <v>35.320801000000003</v>
      </c>
      <c r="L27">
        <v>36.543365000000001</v>
      </c>
      <c r="M27">
        <v>37.295113000000001</v>
      </c>
      <c r="N27">
        <v>37.746464000000003</v>
      </c>
      <c r="O27">
        <v>38.569408000000003</v>
      </c>
      <c r="P27">
        <v>39.421771999999997</v>
      </c>
      <c r="Q27">
        <v>40.254173000000002</v>
      </c>
      <c r="R27">
        <v>40.688564</v>
      </c>
      <c r="S27">
        <v>41.056140999999997</v>
      </c>
      <c r="T27">
        <v>41.436390000000003</v>
      </c>
      <c r="U27">
        <v>41.957389999999997</v>
      </c>
      <c r="V27">
        <v>42.393439999999998</v>
      </c>
      <c r="W27">
        <v>42.656517000000001</v>
      </c>
      <c r="X27">
        <v>43.060409999999997</v>
      </c>
      <c r="Y27">
        <v>43.484768000000003</v>
      </c>
      <c r="Z27">
        <v>43.742393</v>
      </c>
      <c r="AA27">
        <v>43.983006000000003</v>
      </c>
      <c r="AB27">
        <v>44.136429</v>
      </c>
      <c r="AC27">
        <v>44.413100999999997</v>
      </c>
      <c r="AD27">
        <v>44.372703999999999</v>
      </c>
      <c r="AE27">
        <v>44.515701</v>
      </c>
      <c r="AF27">
        <v>44.494338999999997</v>
      </c>
      <c r="AG27" s="97">
        <v>1.4E-2</v>
      </c>
    </row>
    <row r="28" spans="1:33">
      <c r="A28" t="s">
        <v>588</v>
      </c>
      <c r="B28" t="s">
        <v>587</v>
      </c>
      <c r="C28" t="s">
        <v>586</v>
      </c>
      <c r="D28" t="s">
        <v>107</v>
      </c>
      <c r="F28">
        <v>1.414474</v>
      </c>
      <c r="G28">
        <v>0.69356499999999999</v>
      </c>
      <c r="H28">
        <v>5.5897000000000002E-2</v>
      </c>
      <c r="I28">
        <v>-1.5651999999999999E-2</v>
      </c>
      <c r="J28">
        <v>6.6836999999999994E-2</v>
      </c>
      <c r="K28">
        <v>0.105583</v>
      </c>
      <c r="L28">
        <v>0.22006200000000001</v>
      </c>
      <c r="M28">
        <v>0.22497900000000001</v>
      </c>
      <c r="N28">
        <v>0.177616</v>
      </c>
      <c r="O28">
        <v>0.19442400000000001</v>
      </c>
      <c r="P28">
        <v>0.20802300000000001</v>
      </c>
      <c r="Q28">
        <v>0.23883799999999999</v>
      </c>
      <c r="R28">
        <v>0.18191099999999999</v>
      </c>
      <c r="S28">
        <v>0.25069799999999998</v>
      </c>
      <c r="T28">
        <v>0.23083899999999999</v>
      </c>
      <c r="U28">
        <v>0.308479</v>
      </c>
      <c r="V28">
        <v>0.36446800000000001</v>
      </c>
      <c r="W28">
        <v>0.36948799999999998</v>
      </c>
      <c r="X28">
        <v>0.241982</v>
      </c>
      <c r="Y28">
        <v>0.26225700000000002</v>
      </c>
      <c r="Z28">
        <v>0.269756</v>
      </c>
      <c r="AA28">
        <v>0.33104699999999998</v>
      </c>
      <c r="AB28">
        <v>0.246117</v>
      </c>
      <c r="AC28">
        <v>0.221275</v>
      </c>
      <c r="AD28">
        <v>0.20118</v>
      </c>
      <c r="AE28">
        <v>0.24735599999999999</v>
      </c>
      <c r="AF28">
        <v>0.382828</v>
      </c>
      <c r="AG28" s="97">
        <v>-4.9000000000000002E-2</v>
      </c>
    </row>
    <row r="29" spans="1:33" s="228" customFormat="1">
      <c r="A29" s="228" t="s">
        <v>98</v>
      </c>
    </row>
    <row r="30" spans="1:33">
      <c r="A30" t="s">
        <v>150</v>
      </c>
      <c r="B30" t="s">
        <v>585</v>
      </c>
      <c r="C30" t="s">
        <v>584</v>
      </c>
      <c r="D30" t="s">
        <v>107</v>
      </c>
      <c r="F30">
        <v>37.196278</v>
      </c>
      <c r="G30">
        <v>37.598106000000001</v>
      </c>
      <c r="H30">
        <v>37.679671999999997</v>
      </c>
      <c r="I30">
        <v>37.519691000000002</v>
      </c>
      <c r="J30">
        <v>37.305045999999997</v>
      </c>
      <c r="K30">
        <v>36.974750999999998</v>
      </c>
      <c r="L30">
        <v>36.565708000000001</v>
      </c>
      <c r="M30">
        <v>36.099148</v>
      </c>
      <c r="N30">
        <v>35.465519</v>
      </c>
      <c r="O30">
        <v>34.827679000000003</v>
      </c>
      <c r="P30">
        <v>34.257472999999997</v>
      </c>
      <c r="Q30">
        <v>33.691135000000003</v>
      </c>
      <c r="R30">
        <v>33.140712999999998</v>
      </c>
      <c r="S30">
        <v>32.601837000000003</v>
      </c>
      <c r="T30">
        <v>32.143185000000003</v>
      </c>
      <c r="U30">
        <v>31.759447000000002</v>
      </c>
      <c r="V30">
        <v>31.460080999999999</v>
      </c>
      <c r="W30">
        <v>31.157518</v>
      </c>
      <c r="X30">
        <v>30.861813000000001</v>
      </c>
      <c r="Y30">
        <v>30.642817000000001</v>
      </c>
      <c r="Z30">
        <v>30.493798999999999</v>
      </c>
      <c r="AA30">
        <v>30.396222999999999</v>
      </c>
      <c r="AB30">
        <v>30.278258999999998</v>
      </c>
      <c r="AC30">
        <v>30.253606999999999</v>
      </c>
      <c r="AD30">
        <v>30.158322999999999</v>
      </c>
      <c r="AE30">
        <v>30.176684999999999</v>
      </c>
      <c r="AF30">
        <v>30.205193999999999</v>
      </c>
      <c r="AG30" s="97">
        <v>-8.0000000000000002E-3</v>
      </c>
    </row>
    <row r="31" spans="1:33">
      <c r="A31" t="s">
        <v>519</v>
      </c>
      <c r="B31" t="s">
        <v>583</v>
      </c>
      <c r="C31" t="s">
        <v>582</v>
      </c>
      <c r="D31" t="s">
        <v>107</v>
      </c>
      <c r="F31">
        <v>34.247382999999999</v>
      </c>
      <c r="G31">
        <v>33.971240999999999</v>
      </c>
      <c r="H31">
        <v>33.337524000000002</v>
      </c>
      <c r="I31">
        <v>33.851016999999999</v>
      </c>
      <c r="J31">
        <v>33.922362999999997</v>
      </c>
      <c r="K31">
        <v>34.094195999999997</v>
      </c>
      <c r="L31">
        <v>34.339489</v>
      </c>
      <c r="M31">
        <v>34.235748000000001</v>
      </c>
      <c r="N31">
        <v>35.867370999999999</v>
      </c>
      <c r="O31">
        <v>35.444721000000001</v>
      </c>
      <c r="P31">
        <v>35.016047999999998</v>
      </c>
      <c r="Q31">
        <v>34.454062999999998</v>
      </c>
      <c r="R31">
        <v>34.016272999999998</v>
      </c>
      <c r="S31">
        <v>33.218055999999997</v>
      </c>
      <c r="T31">
        <v>32.987907</v>
      </c>
      <c r="U31">
        <v>32.505820999999997</v>
      </c>
      <c r="V31">
        <v>32.587851999999998</v>
      </c>
      <c r="W31">
        <v>32.979075999999999</v>
      </c>
      <c r="X31">
        <v>33.333419999999997</v>
      </c>
      <c r="Y31">
        <v>33.587589000000001</v>
      </c>
      <c r="Z31">
        <v>33.842002999999998</v>
      </c>
      <c r="AA31">
        <v>34.028979999999997</v>
      </c>
      <c r="AB31">
        <v>34.300522000000001</v>
      </c>
      <c r="AC31">
        <v>34.535992</v>
      </c>
      <c r="AD31">
        <v>34.761581</v>
      </c>
      <c r="AE31">
        <v>35.023502000000001</v>
      </c>
      <c r="AF31">
        <v>35.093432999999997</v>
      </c>
      <c r="AG31" s="97">
        <v>1E-3</v>
      </c>
    </row>
    <row r="32" spans="1:33">
      <c r="A32" t="s">
        <v>518</v>
      </c>
      <c r="B32" t="s">
        <v>581</v>
      </c>
      <c r="C32" t="s">
        <v>580</v>
      </c>
      <c r="D32" t="s">
        <v>107</v>
      </c>
      <c r="F32">
        <v>7.531142</v>
      </c>
      <c r="G32">
        <v>7.5409810000000004</v>
      </c>
      <c r="H32">
        <v>6.612533</v>
      </c>
      <c r="I32">
        <v>5.4973710000000002</v>
      </c>
      <c r="J32">
        <v>5.3065509999999998</v>
      </c>
      <c r="K32">
        <v>5.0559940000000001</v>
      </c>
      <c r="L32">
        <v>4.287706</v>
      </c>
      <c r="M32">
        <v>4.0048570000000003</v>
      </c>
      <c r="N32">
        <v>1.5263519999999999</v>
      </c>
      <c r="O32">
        <v>1.5197290000000001</v>
      </c>
      <c r="P32">
        <v>1.4901489999999999</v>
      </c>
      <c r="Q32">
        <v>1.4376089999999999</v>
      </c>
      <c r="R32">
        <v>1.3988370000000001</v>
      </c>
      <c r="S32">
        <v>1.3447880000000001</v>
      </c>
      <c r="T32">
        <v>1.280926</v>
      </c>
      <c r="U32">
        <v>0.90058199999999999</v>
      </c>
      <c r="V32">
        <v>0.89345600000000003</v>
      </c>
      <c r="W32">
        <v>0.88438300000000003</v>
      </c>
      <c r="X32">
        <v>0.87403900000000001</v>
      </c>
      <c r="Y32">
        <v>0.86547600000000002</v>
      </c>
      <c r="Z32">
        <v>0.85112500000000002</v>
      </c>
      <c r="AA32">
        <v>0.82171400000000006</v>
      </c>
      <c r="AB32">
        <v>0.66514899999999999</v>
      </c>
      <c r="AC32">
        <v>0.65548799999999996</v>
      </c>
      <c r="AD32">
        <v>0.64475800000000005</v>
      </c>
      <c r="AE32">
        <v>0.63076500000000002</v>
      </c>
      <c r="AF32">
        <v>0.61913099999999999</v>
      </c>
      <c r="AG32" s="97">
        <v>-9.1999999999999998E-2</v>
      </c>
    </row>
    <row r="33" spans="1:34">
      <c r="A33" t="s">
        <v>579</v>
      </c>
      <c r="B33" t="s">
        <v>578</v>
      </c>
      <c r="C33" t="s">
        <v>577</v>
      </c>
      <c r="D33" t="s">
        <v>107</v>
      </c>
      <c r="F33">
        <v>8.1225660000000008</v>
      </c>
      <c r="G33">
        <v>8.281053</v>
      </c>
      <c r="H33">
        <v>8.3596509999999995</v>
      </c>
      <c r="I33">
        <v>8.3406389999999995</v>
      </c>
      <c r="J33">
        <v>8.3405020000000007</v>
      </c>
      <c r="K33">
        <v>8.3403890000000001</v>
      </c>
      <c r="L33">
        <v>8.2471390000000007</v>
      </c>
      <c r="M33">
        <v>8.1603460000000005</v>
      </c>
      <c r="N33">
        <v>8.1603019999999997</v>
      </c>
      <c r="O33">
        <v>8.1604609999999997</v>
      </c>
      <c r="P33">
        <v>8.1604609999999997</v>
      </c>
      <c r="Q33">
        <v>8.1391779999999994</v>
      </c>
      <c r="R33">
        <v>8.087199</v>
      </c>
      <c r="S33">
        <v>8.1279859999999999</v>
      </c>
      <c r="T33">
        <v>8.1249500000000001</v>
      </c>
      <c r="U33">
        <v>8.1106999999999996</v>
      </c>
      <c r="V33">
        <v>8.1093729999999997</v>
      </c>
      <c r="W33">
        <v>8.1100390000000004</v>
      </c>
      <c r="X33">
        <v>8.1103830000000006</v>
      </c>
      <c r="Y33">
        <v>8.1107829999999996</v>
      </c>
      <c r="Z33">
        <v>8.1087369999999996</v>
      </c>
      <c r="AA33">
        <v>8.1102089999999993</v>
      </c>
      <c r="AB33">
        <v>8.1065240000000003</v>
      </c>
      <c r="AC33">
        <v>8.1099440000000005</v>
      </c>
      <c r="AD33">
        <v>8.109</v>
      </c>
      <c r="AE33">
        <v>8.1071609999999996</v>
      </c>
      <c r="AF33">
        <v>8.1079439999999998</v>
      </c>
      <c r="AG33" s="97">
        <v>0</v>
      </c>
    </row>
    <row r="34" spans="1:34">
      <c r="A34" t="s">
        <v>576</v>
      </c>
      <c r="B34" t="s">
        <v>575</v>
      </c>
      <c r="C34" t="s">
        <v>574</v>
      </c>
      <c r="D34" t="s">
        <v>107</v>
      </c>
      <c r="F34">
        <v>0.82672800000000002</v>
      </c>
      <c r="G34">
        <v>0.89715199999999995</v>
      </c>
      <c r="H34">
        <v>0.931477</v>
      </c>
      <c r="I34">
        <v>0.96589999999999998</v>
      </c>
      <c r="J34">
        <v>0.96665199999999996</v>
      </c>
      <c r="K34">
        <v>0.96660199999999996</v>
      </c>
      <c r="L34">
        <v>0.96851200000000004</v>
      </c>
      <c r="M34">
        <v>0.96875199999999995</v>
      </c>
      <c r="N34">
        <v>0.96900299999999995</v>
      </c>
      <c r="O34">
        <v>0.96907500000000002</v>
      </c>
      <c r="P34">
        <v>0.969638</v>
      </c>
      <c r="Q34">
        <v>0.96777100000000005</v>
      </c>
      <c r="R34">
        <v>0.96438100000000004</v>
      </c>
      <c r="S34">
        <v>0.96052899999999997</v>
      </c>
      <c r="T34">
        <v>0.95894800000000002</v>
      </c>
      <c r="U34">
        <v>0.95181800000000005</v>
      </c>
      <c r="V34">
        <v>0.95054400000000006</v>
      </c>
      <c r="W34">
        <v>0.95869000000000004</v>
      </c>
      <c r="X34">
        <v>0.94952800000000004</v>
      </c>
      <c r="Y34">
        <v>0.93635599999999997</v>
      </c>
      <c r="Z34">
        <v>0.93470799999999998</v>
      </c>
      <c r="AA34">
        <v>0.93285200000000001</v>
      </c>
      <c r="AB34">
        <v>0.91908800000000002</v>
      </c>
      <c r="AC34">
        <v>0.93434499999999998</v>
      </c>
      <c r="AD34">
        <v>0.92108500000000004</v>
      </c>
      <c r="AE34">
        <v>0.93660399999999999</v>
      </c>
      <c r="AF34">
        <v>0.93507799999999996</v>
      </c>
      <c r="AG34" s="97">
        <v>5.0000000000000001E-3</v>
      </c>
    </row>
    <row r="35" spans="1:34">
      <c r="A35" t="s">
        <v>573</v>
      </c>
      <c r="B35" t="s">
        <v>572</v>
      </c>
      <c r="C35" t="s">
        <v>571</v>
      </c>
      <c r="D35" t="s">
        <v>107</v>
      </c>
      <c r="F35">
        <v>2.8276029999999999</v>
      </c>
      <c r="G35">
        <v>2.8733420000000001</v>
      </c>
      <c r="H35">
        <v>2.8761369999999999</v>
      </c>
      <c r="I35">
        <v>2.8647239999999998</v>
      </c>
      <c r="J35">
        <v>2.8543479999999999</v>
      </c>
      <c r="K35">
        <v>2.867029</v>
      </c>
      <c r="L35">
        <v>2.8807489999999998</v>
      </c>
      <c r="M35">
        <v>2.8861520000000001</v>
      </c>
      <c r="N35">
        <v>2.8908100000000001</v>
      </c>
      <c r="O35">
        <v>2.8759109999999999</v>
      </c>
      <c r="P35">
        <v>2.8723079999999999</v>
      </c>
      <c r="Q35">
        <v>2.8701889999999999</v>
      </c>
      <c r="R35">
        <v>2.8841399999999999</v>
      </c>
      <c r="S35">
        <v>2.8827400000000001</v>
      </c>
      <c r="T35">
        <v>2.8773279999999999</v>
      </c>
      <c r="U35">
        <v>2.882768</v>
      </c>
      <c r="V35">
        <v>2.8912529999999999</v>
      </c>
      <c r="W35">
        <v>2.8741729999999999</v>
      </c>
      <c r="X35">
        <v>2.8632499999999999</v>
      </c>
      <c r="Y35">
        <v>2.8473850000000001</v>
      </c>
      <c r="Z35">
        <v>2.8469410000000002</v>
      </c>
      <c r="AA35">
        <v>2.8554520000000001</v>
      </c>
      <c r="AB35">
        <v>2.865723</v>
      </c>
      <c r="AC35">
        <v>2.884223</v>
      </c>
      <c r="AD35">
        <v>2.8992749999999998</v>
      </c>
      <c r="AE35">
        <v>2.9226540000000001</v>
      </c>
      <c r="AF35">
        <v>2.9449510000000001</v>
      </c>
      <c r="AG35" s="97">
        <v>2E-3</v>
      </c>
    </row>
    <row r="36" spans="1:34">
      <c r="A36" t="s">
        <v>570</v>
      </c>
      <c r="B36" t="s">
        <v>569</v>
      </c>
      <c r="C36" t="s">
        <v>568</v>
      </c>
      <c r="D36" t="s">
        <v>107</v>
      </c>
      <c r="F36">
        <v>2.5692430000000002</v>
      </c>
      <c r="G36">
        <v>2.8961510000000001</v>
      </c>
      <c r="H36">
        <v>3.4331879999999999</v>
      </c>
      <c r="I36">
        <v>3.7275809999999998</v>
      </c>
      <c r="J36">
        <v>3.8924660000000002</v>
      </c>
      <c r="K36">
        <v>4.1200780000000004</v>
      </c>
      <c r="L36">
        <v>4.4685480000000002</v>
      </c>
      <c r="M36">
        <v>4.8511709999999999</v>
      </c>
      <c r="N36">
        <v>5.2814399999999999</v>
      </c>
      <c r="O36">
        <v>5.7323250000000003</v>
      </c>
      <c r="P36">
        <v>6.2717720000000003</v>
      </c>
      <c r="Q36">
        <v>6.9150450000000001</v>
      </c>
      <c r="R36">
        <v>7.5222619999999996</v>
      </c>
      <c r="S36">
        <v>8.2463040000000003</v>
      </c>
      <c r="T36">
        <v>8.7321410000000004</v>
      </c>
      <c r="U36">
        <v>9.4190819999999995</v>
      </c>
      <c r="V36">
        <v>9.7425840000000008</v>
      </c>
      <c r="W36">
        <v>9.8890349999999998</v>
      </c>
      <c r="X36">
        <v>10.072232</v>
      </c>
      <c r="Y36">
        <v>10.301824999999999</v>
      </c>
      <c r="Z36">
        <v>10.495996999999999</v>
      </c>
      <c r="AA36">
        <v>10.674303999999999</v>
      </c>
      <c r="AB36">
        <v>10.906046999999999</v>
      </c>
      <c r="AC36">
        <v>11.059608000000001</v>
      </c>
      <c r="AD36">
        <v>11.247785</v>
      </c>
      <c r="AE36">
        <v>11.391185999999999</v>
      </c>
      <c r="AF36">
        <v>11.62299</v>
      </c>
      <c r="AG36" s="97">
        <v>0.06</v>
      </c>
    </row>
    <row r="37" spans="1:34">
      <c r="A37" t="s">
        <v>567</v>
      </c>
      <c r="B37" t="s">
        <v>566</v>
      </c>
      <c r="C37" t="s">
        <v>565</v>
      </c>
      <c r="D37" t="s">
        <v>107</v>
      </c>
      <c r="F37">
        <v>0.18931500000000001</v>
      </c>
      <c r="G37">
        <v>0.20749500000000001</v>
      </c>
      <c r="H37">
        <v>0.23169799999999999</v>
      </c>
      <c r="I37">
        <v>0.29227900000000001</v>
      </c>
      <c r="J37">
        <v>0.33290700000000001</v>
      </c>
      <c r="K37">
        <v>0.35078999999999999</v>
      </c>
      <c r="L37">
        <v>0.37665599999999999</v>
      </c>
      <c r="M37">
        <v>0.38334600000000002</v>
      </c>
      <c r="N37">
        <v>0.389936</v>
      </c>
      <c r="O37">
        <v>0.39834599999999998</v>
      </c>
      <c r="P37">
        <v>0.40015299999999998</v>
      </c>
      <c r="Q37">
        <v>0.40454699999999999</v>
      </c>
      <c r="R37">
        <v>0.39706399999999997</v>
      </c>
      <c r="S37">
        <v>0.39363700000000001</v>
      </c>
      <c r="T37">
        <v>0.39216299999999998</v>
      </c>
      <c r="U37">
        <v>0.384382</v>
      </c>
      <c r="V37">
        <v>0.38911800000000002</v>
      </c>
      <c r="W37">
        <v>0.39063399999999998</v>
      </c>
      <c r="X37">
        <v>0.38831100000000002</v>
      </c>
      <c r="Y37">
        <v>0.368371</v>
      </c>
      <c r="Z37">
        <v>0.36704599999999998</v>
      </c>
      <c r="AA37">
        <v>0.36482500000000001</v>
      </c>
      <c r="AB37">
        <v>0.34887800000000002</v>
      </c>
      <c r="AC37">
        <v>0.33791599999999999</v>
      </c>
      <c r="AD37">
        <v>0.33141599999999999</v>
      </c>
      <c r="AE37">
        <v>0.32147100000000001</v>
      </c>
      <c r="AF37">
        <v>0.31235099999999999</v>
      </c>
      <c r="AG37" s="97">
        <v>1.9E-2</v>
      </c>
    </row>
    <row r="38" spans="1:34">
      <c r="A38" t="s">
        <v>517</v>
      </c>
      <c r="B38" t="s">
        <v>564</v>
      </c>
      <c r="C38" t="s">
        <v>563</v>
      </c>
      <c r="D38" t="s">
        <v>107</v>
      </c>
      <c r="F38">
        <v>93.510268999999994</v>
      </c>
      <c r="G38">
        <v>94.265525999999994</v>
      </c>
      <c r="H38">
        <v>93.461883999999998</v>
      </c>
      <c r="I38">
        <v>93.059196</v>
      </c>
      <c r="J38">
        <v>92.920829999999995</v>
      </c>
      <c r="K38">
        <v>92.769829000000001</v>
      </c>
      <c r="L38">
        <v>92.134506000000002</v>
      </c>
      <c r="M38">
        <v>91.589530999999994</v>
      </c>
      <c r="N38">
        <v>90.550728000000007</v>
      </c>
      <c r="O38">
        <v>89.928246000000001</v>
      </c>
      <c r="P38">
        <v>89.438004000000006</v>
      </c>
      <c r="Q38">
        <v>88.879538999999994</v>
      </c>
      <c r="R38">
        <v>88.410858000000005</v>
      </c>
      <c r="S38">
        <v>87.775886999999997</v>
      </c>
      <c r="T38">
        <v>87.497551000000001</v>
      </c>
      <c r="U38">
        <v>86.914603999999997</v>
      </c>
      <c r="V38">
        <v>87.024260999999996</v>
      </c>
      <c r="W38">
        <v>87.243553000000006</v>
      </c>
      <c r="X38">
        <v>87.452988000000005</v>
      </c>
      <c r="Y38">
        <v>87.660599000000005</v>
      </c>
      <c r="Z38">
        <v>87.940346000000005</v>
      </c>
      <c r="AA38">
        <v>88.184555000000003</v>
      </c>
      <c r="AB38">
        <v>88.390181999999996</v>
      </c>
      <c r="AC38">
        <v>88.771118000000001</v>
      </c>
      <c r="AD38">
        <v>89.073234999999997</v>
      </c>
      <c r="AE38">
        <v>89.510033000000007</v>
      </c>
      <c r="AF38">
        <v>89.841080000000005</v>
      </c>
      <c r="AG38" s="97">
        <v>-2E-3</v>
      </c>
    </row>
    <row r="39" spans="1:34">
      <c r="A39" t="s">
        <v>562</v>
      </c>
    </row>
    <row r="40" spans="1:34">
      <c r="A40" t="s">
        <v>545</v>
      </c>
      <c r="B40" t="s">
        <v>561</v>
      </c>
      <c r="C40" t="s">
        <v>560</v>
      </c>
      <c r="D40" t="s">
        <v>515</v>
      </c>
      <c r="F40">
        <v>80.488997999999995</v>
      </c>
      <c r="G40">
        <v>72.098113999999995</v>
      </c>
      <c r="H40">
        <v>81.882294000000002</v>
      </c>
      <c r="I40">
        <v>80.830214999999995</v>
      </c>
      <c r="J40">
        <v>80.144454999999994</v>
      </c>
      <c r="K40">
        <v>79.671249000000003</v>
      </c>
      <c r="L40">
        <v>80.271332000000001</v>
      </c>
      <c r="M40">
        <v>80.685349000000002</v>
      </c>
      <c r="N40">
        <v>80.152687</v>
      </c>
      <c r="O40">
        <v>81.527366999999998</v>
      </c>
      <c r="P40">
        <v>81.834084000000004</v>
      </c>
      <c r="Q40">
        <v>82.066833000000003</v>
      </c>
      <c r="R40">
        <v>82.899353000000005</v>
      </c>
      <c r="S40">
        <v>83.723358000000005</v>
      </c>
      <c r="T40">
        <v>83.956992999999997</v>
      </c>
      <c r="U40">
        <v>84.545249999999996</v>
      </c>
      <c r="V40">
        <v>84.842322999999993</v>
      </c>
      <c r="W40">
        <v>85.508369000000002</v>
      </c>
      <c r="X40">
        <v>85.588050999999993</v>
      </c>
      <c r="Y40">
        <v>86.591826999999995</v>
      </c>
      <c r="Z40">
        <v>88.318603999999993</v>
      </c>
      <c r="AA40">
        <v>88.201949999999997</v>
      </c>
      <c r="AB40">
        <v>88.563346999999993</v>
      </c>
      <c r="AC40">
        <v>88.361649</v>
      </c>
      <c r="AD40">
        <v>88.484984999999995</v>
      </c>
      <c r="AE40">
        <v>89.236457999999999</v>
      </c>
      <c r="AF40">
        <v>91.593192999999999</v>
      </c>
      <c r="AG40" s="97">
        <v>5.0000000000000001E-3</v>
      </c>
    </row>
    <row r="41" spans="1:34">
      <c r="A41" t="s">
        <v>542</v>
      </c>
      <c r="B41" t="s">
        <v>559</v>
      </c>
      <c r="C41" t="s">
        <v>558</v>
      </c>
      <c r="D41" t="s">
        <v>515</v>
      </c>
      <c r="F41">
        <v>76.508003000000002</v>
      </c>
      <c r="G41">
        <v>67.729598999999993</v>
      </c>
      <c r="H41">
        <v>79.445815999999994</v>
      </c>
      <c r="I41">
        <v>78.608840999999998</v>
      </c>
      <c r="J41">
        <v>78.228531000000004</v>
      </c>
      <c r="K41">
        <v>77.636161999999999</v>
      </c>
      <c r="L41">
        <v>78.437241</v>
      </c>
      <c r="M41">
        <v>78.608031999999994</v>
      </c>
      <c r="N41">
        <v>77.548530999999997</v>
      </c>
      <c r="O41">
        <v>79.480536999999998</v>
      </c>
      <c r="P41">
        <v>79.526381999999998</v>
      </c>
      <c r="Q41">
        <v>79.788345000000007</v>
      </c>
      <c r="R41">
        <v>80.570869000000002</v>
      </c>
      <c r="S41">
        <v>81.721824999999995</v>
      </c>
      <c r="T41">
        <v>81.942206999999996</v>
      </c>
      <c r="U41">
        <v>82.426361</v>
      </c>
      <c r="V41">
        <v>82.814751000000001</v>
      </c>
      <c r="W41">
        <v>83.724670000000003</v>
      </c>
      <c r="X41">
        <v>83.697670000000002</v>
      </c>
      <c r="Y41">
        <v>84.813957000000002</v>
      </c>
      <c r="Z41">
        <v>85.899078000000003</v>
      </c>
      <c r="AA41">
        <v>85.850532999999999</v>
      </c>
      <c r="AB41">
        <v>86.857787999999999</v>
      </c>
      <c r="AC41">
        <v>86.314483999999993</v>
      </c>
      <c r="AD41">
        <v>86.262755999999996</v>
      </c>
      <c r="AE41">
        <v>86.894713999999993</v>
      </c>
      <c r="AF41">
        <v>89.288856999999993</v>
      </c>
      <c r="AG41" s="97">
        <v>6.0000000000000001E-3</v>
      </c>
    </row>
    <row r="42" spans="1:34">
      <c r="A42" t="s">
        <v>538</v>
      </c>
      <c r="B42" t="s">
        <v>557</v>
      </c>
      <c r="C42" t="s">
        <v>556</v>
      </c>
      <c r="D42" t="s">
        <v>520</v>
      </c>
      <c r="F42">
        <v>2.1915819999999999</v>
      </c>
      <c r="G42">
        <v>2.8831120000000001</v>
      </c>
      <c r="H42">
        <v>2.74762</v>
      </c>
      <c r="I42">
        <v>2.6378059999999999</v>
      </c>
      <c r="J42">
        <v>2.7489270000000001</v>
      </c>
      <c r="K42">
        <v>2.9191880000000001</v>
      </c>
      <c r="L42">
        <v>3.1593089999999999</v>
      </c>
      <c r="M42">
        <v>3.3200449999999999</v>
      </c>
      <c r="N42">
        <v>3.7670919999999999</v>
      </c>
      <c r="O42">
        <v>4.1578290000000004</v>
      </c>
      <c r="P42">
        <v>4.4359570000000001</v>
      </c>
      <c r="Q42">
        <v>4.5243409999999997</v>
      </c>
      <c r="R42">
        <v>4.5402199999999997</v>
      </c>
      <c r="S42">
        <v>4.508521</v>
      </c>
      <c r="T42">
        <v>4.4575129999999996</v>
      </c>
      <c r="U42">
        <v>4.4004029999999998</v>
      </c>
      <c r="V42">
        <v>4.4350269999999998</v>
      </c>
      <c r="W42">
        <v>4.5222069999999999</v>
      </c>
      <c r="X42">
        <v>4.6068449999999999</v>
      </c>
      <c r="Y42">
        <v>4.7113440000000004</v>
      </c>
      <c r="Z42">
        <v>4.7967890000000004</v>
      </c>
      <c r="AA42">
        <v>4.8473750000000004</v>
      </c>
      <c r="AB42">
        <v>4.8776999999999999</v>
      </c>
      <c r="AC42">
        <v>4.8873980000000001</v>
      </c>
      <c r="AD42">
        <v>4.9202349999999999</v>
      </c>
      <c r="AE42">
        <v>5.0136570000000003</v>
      </c>
      <c r="AF42">
        <v>5.1268890000000003</v>
      </c>
      <c r="AG42" s="97">
        <v>3.3000000000000002E-2</v>
      </c>
    </row>
    <row r="43" spans="1:34">
      <c r="A43" t="s">
        <v>518</v>
      </c>
      <c r="B43" t="s">
        <v>535</v>
      </c>
      <c r="C43" t="s">
        <v>555</v>
      </c>
      <c r="D43" t="s">
        <v>554</v>
      </c>
      <c r="E43" t="s">
        <v>553</v>
      </c>
      <c r="G43">
        <v>54.323956000000003</v>
      </c>
      <c r="H43">
        <v>51.952637000000003</v>
      </c>
      <c r="I43">
        <v>53.923591999999999</v>
      </c>
      <c r="J43">
        <v>60.110199000000001</v>
      </c>
      <c r="K43">
        <v>60.306820000000002</v>
      </c>
      <c r="L43">
        <v>61.461078999999998</v>
      </c>
      <c r="M43">
        <v>67.126839000000004</v>
      </c>
      <c r="N43">
        <v>67.712311</v>
      </c>
      <c r="O43">
        <v>100.60172300000001</v>
      </c>
      <c r="P43">
        <v>99.572556000000006</v>
      </c>
      <c r="Q43">
        <v>99.422348</v>
      </c>
      <c r="R43">
        <v>101.69921100000001</v>
      </c>
      <c r="S43">
        <v>102.953751</v>
      </c>
      <c r="T43">
        <v>103.512146</v>
      </c>
      <c r="U43">
        <v>102.723366</v>
      </c>
      <c r="V43">
        <v>113.185974</v>
      </c>
      <c r="W43">
        <v>112.638008</v>
      </c>
      <c r="X43">
        <v>115.109818</v>
      </c>
      <c r="Y43">
        <v>114.974304</v>
      </c>
      <c r="Z43">
        <v>114.517639</v>
      </c>
      <c r="AA43">
        <v>114.84880800000001</v>
      </c>
      <c r="AB43">
        <v>115.26274100000001</v>
      </c>
      <c r="AC43">
        <v>119.74282100000001</v>
      </c>
      <c r="AD43">
        <v>119.05368799999999</v>
      </c>
      <c r="AE43">
        <v>118.726974</v>
      </c>
      <c r="AF43">
        <v>118.270782</v>
      </c>
      <c r="AG43">
        <v>118.93337200000001</v>
      </c>
      <c r="AH43" s="97">
        <v>3.1E-2</v>
      </c>
    </row>
    <row r="44" spans="1:34">
      <c r="A44" t="s">
        <v>518</v>
      </c>
      <c r="B44" t="s">
        <v>531</v>
      </c>
      <c r="C44" t="s">
        <v>552</v>
      </c>
      <c r="D44" t="s">
        <v>551</v>
      </c>
      <c r="E44" t="s">
        <v>520</v>
      </c>
      <c r="G44">
        <v>2.5722809999999998</v>
      </c>
      <c r="H44">
        <v>2.4794119999999999</v>
      </c>
      <c r="I44">
        <v>2.552867</v>
      </c>
      <c r="J44">
        <v>2.7856809999999999</v>
      </c>
      <c r="K44">
        <v>2.7779829999999999</v>
      </c>
      <c r="L44">
        <v>2.843467</v>
      </c>
      <c r="M44">
        <v>3.037242</v>
      </c>
      <c r="N44">
        <v>3.064435</v>
      </c>
      <c r="O44">
        <v>4.1578229999999996</v>
      </c>
      <c r="P44">
        <v>4.1331379999999998</v>
      </c>
      <c r="Q44">
        <v>4.1124099999999997</v>
      </c>
      <c r="R44">
        <v>4.1516109999999999</v>
      </c>
      <c r="S44">
        <v>4.1999360000000001</v>
      </c>
      <c r="T44">
        <v>4.2017249999999997</v>
      </c>
      <c r="U44">
        <v>4.2152149999999997</v>
      </c>
      <c r="V44">
        <v>4.4641419999999998</v>
      </c>
      <c r="W44">
        <v>4.4153919999999998</v>
      </c>
      <c r="X44">
        <v>4.4827120000000003</v>
      </c>
      <c r="Y44">
        <v>4.4773120000000004</v>
      </c>
      <c r="Z44">
        <v>4.4657879999999999</v>
      </c>
      <c r="AA44">
        <v>4.4806809999999997</v>
      </c>
      <c r="AB44">
        <v>4.5007799999999998</v>
      </c>
      <c r="AC44">
        <v>4.6248870000000002</v>
      </c>
      <c r="AD44">
        <v>4.6211229999999999</v>
      </c>
      <c r="AE44">
        <v>4.6202730000000001</v>
      </c>
      <c r="AF44">
        <v>4.6121949999999998</v>
      </c>
      <c r="AG44">
        <v>4.6188640000000003</v>
      </c>
      <c r="AH44" s="97">
        <v>2.3E-2</v>
      </c>
    </row>
    <row r="45" spans="1:34">
      <c r="A45" t="s">
        <v>518</v>
      </c>
      <c r="B45" t="s">
        <v>528</v>
      </c>
      <c r="C45" t="s">
        <v>550</v>
      </c>
      <c r="D45" t="s">
        <v>549</v>
      </c>
      <c r="E45" t="s">
        <v>520</v>
      </c>
      <c r="G45">
        <v>2.8481719999999999</v>
      </c>
      <c r="H45">
        <v>2.7869630000000001</v>
      </c>
      <c r="I45">
        <v>2.7918059999999998</v>
      </c>
      <c r="J45">
        <v>2.8220230000000002</v>
      </c>
      <c r="K45">
        <v>2.73556</v>
      </c>
      <c r="L45">
        <v>2.7449080000000001</v>
      </c>
      <c r="M45">
        <v>2.8430309999999999</v>
      </c>
      <c r="N45">
        <v>2.8508909999999998</v>
      </c>
      <c r="O45">
        <v>3.8113440000000001</v>
      </c>
      <c r="P45">
        <v>3.7776010000000002</v>
      </c>
      <c r="Q45">
        <v>3.7610899999999998</v>
      </c>
      <c r="R45">
        <v>3.7774800000000002</v>
      </c>
      <c r="S45">
        <v>3.7872180000000002</v>
      </c>
      <c r="T45">
        <v>3.8424119999999999</v>
      </c>
      <c r="U45">
        <v>3.894377</v>
      </c>
      <c r="V45">
        <v>4.5756209999999999</v>
      </c>
      <c r="W45">
        <v>4.5646719999999998</v>
      </c>
      <c r="X45">
        <v>4.5346880000000001</v>
      </c>
      <c r="Y45">
        <v>4.5108550000000003</v>
      </c>
      <c r="Z45">
        <v>4.4963040000000003</v>
      </c>
      <c r="AA45">
        <v>4.4953329999999996</v>
      </c>
      <c r="AB45">
        <v>4.5308029999999997</v>
      </c>
      <c r="AC45">
        <v>4.983663</v>
      </c>
      <c r="AD45">
        <v>4.9893460000000003</v>
      </c>
      <c r="AE45">
        <v>4.9693529999999999</v>
      </c>
      <c r="AF45">
        <v>4.965509</v>
      </c>
      <c r="AG45">
        <v>4.9458719999999996</v>
      </c>
      <c r="AH45" s="97">
        <v>2.1000000000000001E-2</v>
      </c>
    </row>
    <row r="46" spans="1:34">
      <c r="A46" t="s">
        <v>524</v>
      </c>
      <c r="B46" t="s">
        <v>548</v>
      </c>
      <c r="C46" t="s">
        <v>547</v>
      </c>
      <c r="D46" t="s">
        <v>546</v>
      </c>
      <c r="F46">
        <v>12.999242000000001</v>
      </c>
      <c r="G46">
        <v>12.738352000000001</v>
      </c>
      <c r="H46">
        <v>11.901664999999999</v>
      </c>
      <c r="I46">
        <v>11.27643</v>
      </c>
      <c r="J46">
        <v>11.216611</v>
      </c>
      <c r="K46">
        <v>11.340752</v>
      </c>
      <c r="L46">
        <v>11.49601</v>
      </c>
      <c r="M46">
        <v>11.701988</v>
      </c>
      <c r="N46">
        <v>11.882509000000001</v>
      </c>
      <c r="O46">
        <v>12.143003999999999</v>
      </c>
      <c r="P46">
        <v>12.224126999999999</v>
      </c>
      <c r="Q46">
        <v>12.159363000000001</v>
      </c>
      <c r="R46">
        <v>12.045938</v>
      </c>
      <c r="S46">
        <v>11.952123</v>
      </c>
      <c r="T46">
        <v>12.011766</v>
      </c>
      <c r="U46">
        <v>11.93435</v>
      </c>
      <c r="V46">
        <v>11.897681</v>
      </c>
      <c r="W46">
        <v>11.903074999999999</v>
      </c>
      <c r="X46">
        <v>11.960183000000001</v>
      </c>
      <c r="Y46">
        <v>12.015017</v>
      </c>
      <c r="Z46">
        <v>12.085792</v>
      </c>
      <c r="AA46">
        <v>12.141493000000001</v>
      </c>
      <c r="AB46">
        <v>12.201606</v>
      </c>
      <c r="AC46">
        <v>12.235764</v>
      </c>
      <c r="AD46">
        <v>12.322592</v>
      </c>
      <c r="AE46">
        <v>12.400880000000001</v>
      </c>
      <c r="AF46">
        <v>12.494728</v>
      </c>
      <c r="AG46" s="97">
        <v>-2E-3</v>
      </c>
    </row>
    <row r="47" spans="1:34">
      <c r="A47" t="s">
        <v>99</v>
      </c>
    </row>
    <row r="48" spans="1:34">
      <c r="A48" t="s">
        <v>545</v>
      </c>
      <c r="B48" t="s">
        <v>544</v>
      </c>
      <c r="C48" t="s">
        <v>543</v>
      </c>
      <c r="D48" t="s">
        <v>539</v>
      </c>
      <c r="F48">
        <v>80.488997999999995</v>
      </c>
      <c r="G48">
        <v>73.574996999999996</v>
      </c>
      <c r="H48">
        <v>84.972831999999997</v>
      </c>
      <c r="I48">
        <v>85.284660000000002</v>
      </c>
      <c r="J48">
        <v>86.162032999999994</v>
      </c>
      <c r="K48">
        <v>87.181952999999993</v>
      </c>
      <c r="L48">
        <v>89.489379999999997</v>
      </c>
      <c r="M48">
        <v>91.810851999999997</v>
      </c>
      <c r="N48">
        <v>93.151557999999994</v>
      </c>
      <c r="O48">
        <v>96.828261999999995</v>
      </c>
      <c r="P48">
        <v>99.361305000000002</v>
      </c>
      <c r="Q48">
        <v>101.812477</v>
      </c>
      <c r="R48">
        <v>104.977188</v>
      </c>
      <c r="S48">
        <v>108.227531</v>
      </c>
      <c r="T48">
        <v>110.79067999999999</v>
      </c>
      <c r="U48">
        <v>113.864845</v>
      </c>
      <c r="V48">
        <v>116.660675</v>
      </c>
      <c r="W48">
        <v>120.08522000000001</v>
      </c>
      <c r="X48">
        <v>122.790359</v>
      </c>
      <c r="Y48">
        <v>126.953575</v>
      </c>
      <c r="Z48">
        <v>132.34629799999999</v>
      </c>
      <c r="AA48">
        <v>135.11570699999999</v>
      </c>
      <c r="AB48">
        <v>138.69769299999999</v>
      </c>
      <c r="AC48">
        <v>141.518036</v>
      </c>
      <c r="AD48">
        <v>144.941498</v>
      </c>
      <c r="AE48">
        <v>149.51409899999999</v>
      </c>
      <c r="AF48">
        <v>156.98739599999999</v>
      </c>
      <c r="AG48" s="97">
        <v>2.5999999999999999E-2</v>
      </c>
    </row>
    <row r="49" spans="1:34">
      <c r="A49" t="s">
        <v>542</v>
      </c>
      <c r="B49" t="s">
        <v>541</v>
      </c>
      <c r="C49" t="s">
        <v>540</v>
      </c>
      <c r="D49" t="s">
        <v>539</v>
      </c>
      <c r="F49">
        <v>76.508003000000002</v>
      </c>
      <c r="G49">
        <v>69.116996999999998</v>
      </c>
      <c r="H49">
        <v>82.444389000000001</v>
      </c>
      <c r="I49">
        <v>82.940871999999999</v>
      </c>
      <c r="J49">
        <v>84.102249</v>
      </c>
      <c r="K49">
        <v>84.955016999999998</v>
      </c>
      <c r="L49">
        <v>87.444671999999997</v>
      </c>
      <c r="M49">
        <v>89.447104999999993</v>
      </c>
      <c r="N49">
        <v>90.125068999999996</v>
      </c>
      <c r="O49">
        <v>94.397293000000005</v>
      </c>
      <c r="P49">
        <v>96.559341000000003</v>
      </c>
      <c r="Q49">
        <v>98.985771</v>
      </c>
      <c r="R49">
        <v>102.028572</v>
      </c>
      <c r="S49">
        <v>105.640198</v>
      </c>
      <c r="T49">
        <v>108.131935</v>
      </c>
      <c r="U49">
        <v>111.01114699999999</v>
      </c>
      <c r="V49">
        <v>113.872704</v>
      </c>
      <c r="W49">
        <v>117.580254</v>
      </c>
      <c r="X49">
        <v>120.07828499999999</v>
      </c>
      <c r="Y49">
        <v>124.347008</v>
      </c>
      <c r="Z49">
        <v>128.72062700000001</v>
      </c>
      <c r="AA49">
        <v>131.51359600000001</v>
      </c>
      <c r="AB49">
        <v>136.02664200000001</v>
      </c>
      <c r="AC49">
        <v>138.239349</v>
      </c>
      <c r="AD49">
        <v>141.30140700000001</v>
      </c>
      <c r="AE49">
        <v>145.59056100000001</v>
      </c>
      <c r="AF49">
        <v>153.03784200000001</v>
      </c>
      <c r="AG49" s="97">
        <v>2.7E-2</v>
      </c>
    </row>
    <row r="50" spans="1:34">
      <c r="A50" t="s">
        <v>538</v>
      </c>
      <c r="B50" t="s">
        <v>537</v>
      </c>
      <c r="C50" t="s">
        <v>536</v>
      </c>
      <c r="D50" t="s">
        <v>525</v>
      </c>
      <c r="F50">
        <v>2.1915819999999999</v>
      </c>
      <c r="G50">
        <v>2.9421710000000001</v>
      </c>
      <c r="H50">
        <v>2.8513250000000001</v>
      </c>
      <c r="I50">
        <v>2.7831730000000001</v>
      </c>
      <c r="J50">
        <v>2.9553280000000002</v>
      </c>
      <c r="K50">
        <v>3.1943830000000002</v>
      </c>
      <c r="L50">
        <v>3.5221119999999999</v>
      </c>
      <c r="M50">
        <v>3.777838</v>
      </c>
      <c r="N50">
        <v>4.3780260000000002</v>
      </c>
      <c r="O50">
        <v>4.9381630000000003</v>
      </c>
      <c r="P50">
        <v>5.38605</v>
      </c>
      <c r="Q50">
        <v>5.6129160000000002</v>
      </c>
      <c r="R50">
        <v>5.7493759999999998</v>
      </c>
      <c r="S50">
        <v>5.8280770000000004</v>
      </c>
      <c r="T50">
        <v>5.8821890000000003</v>
      </c>
      <c r="U50">
        <v>5.9264260000000002</v>
      </c>
      <c r="V50">
        <v>6.0982909999999997</v>
      </c>
      <c r="W50">
        <v>6.3508430000000002</v>
      </c>
      <c r="X50">
        <v>6.6092890000000004</v>
      </c>
      <c r="Y50">
        <v>6.9073719999999996</v>
      </c>
      <c r="Z50">
        <v>7.1880350000000002</v>
      </c>
      <c r="AA50">
        <v>7.4256469999999997</v>
      </c>
      <c r="AB50">
        <v>7.6388910000000001</v>
      </c>
      <c r="AC50">
        <v>7.827547</v>
      </c>
      <c r="AD50">
        <v>8.0595169999999996</v>
      </c>
      <c r="AE50">
        <v>8.4002940000000006</v>
      </c>
      <c r="AF50">
        <v>8.7873009999999994</v>
      </c>
      <c r="AG50" s="97">
        <v>5.5E-2</v>
      </c>
    </row>
    <row r="51" spans="1:34">
      <c r="A51" t="s">
        <v>518</v>
      </c>
      <c r="B51" t="s">
        <v>535</v>
      </c>
      <c r="C51" t="s">
        <v>534</v>
      </c>
      <c r="D51" t="s">
        <v>533</v>
      </c>
      <c r="E51" t="s">
        <v>532</v>
      </c>
      <c r="G51">
        <v>54.323956000000003</v>
      </c>
      <c r="H51">
        <v>53.016852999999998</v>
      </c>
      <c r="I51">
        <v>55.958866</v>
      </c>
      <c r="J51">
        <v>63.422798</v>
      </c>
      <c r="K51">
        <v>64.834900000000005</v>
      </c>
      <c r="L51">
        <v>67.255088999999998</v>
      </c>
      <c r="M51">
        <v>74.835425999999998</v>
      </c>
      <c r="N51">
        <v>77.049003999999996</v>
      </c>
      <c r="O51">
        <v>116.916946</v>
      </c>
      <c r="P51">
        <v>118.260139</v>
      </c>
      <c r="Q51">
        <v>120.71661400000001</v>
      </c>
      <c r="R51">
        <v>126.168488</v>
      </c>
      <c r="S51">
        <v>130.37249800000001</v>
      </c>
      <c r="T51">
        <v>133.808121</v>
      </c>
      <c r="U51">
        <v>135.55500799999999</v>
      </c>
      <c r="V51">
        <v>152.43794299999999</v>
      </c>
      <c r="W51">
        <v>154.88055399999999</v>
      </c>
      <c r="X51">
        <v>161.656555</v>
      </c>
      <c r="Y51">
        <v>164.94984400000001</v>
      </c>
      <c r="Z51">
        <v>167.896027</v>
      </c>
      <c r="AA51">
        <v>172.10206600000001</v>
      </c>
      <c r="AB51">
        <v>176.569885</v>
      </c>
      <c r="AC51">
        <v>187.52737400000001</v>
      </c>
      <c r="AD51">
        <v>190.673721</v>
      </c>
      <c r="AE51">
        <v>194.478928</v>
      </c>
      <c r="AF51">
        <v>198.16059899999999</v>
      </c>
      <c r="AG51">
        <v>203.84745799999999</v>
      </c>
      <c r="AH51" s="97">
        <v>5.1999999999999998E-2</v>
      </c>
    </row>
    <row r="52" spans="1:34">
      <c r="A52" t="s">
        <v>518</v>
      </c>
      <c r="B52" t="s">
        <v>531</v>
      </c>
      <c r="C52" t="s">
        <v>530</v>
      </c>
      <c r="D52" t="s">
        <v>529</v>
      </c>
      <c r="E52" t="s">
        <v>525</v>
      </c>
      <c r="G52">
        <v>2.5722809999999998</v>
      </c>
      <c r="H52">
        <v>2.5302009999999999</v>
      </c>
      <c r="I52">
        <v>2.649222</v>
      </c>
      <c r="J52">
        <v>2.9391959999999999</v>
      </c>
      <c r="K52">
        <v>2.9865650000000001</v>
      </c>
      <c r="L52">
        <v>3.1115249999999999</v>
      </c>
      <c r="M52">
        <v>3.3860269999999999</v>
      </c>
      <c r="N52">
        <v>3.4869829999999999</v>
      </c>
      <c r="O52">
        <v>4.8321230000000002</v>
      </c>
      <c r="P52">
        <v>4.9088370000000001</v>
      </c>
      <c r="Q52">
        <v>4.9932049999999997</v>
      </c>
      <c r="R52">
        <v>5.1505070000000002</v>
      </c>
      <c r="S52">
        <v>5.3184670000000001</v>
      </c>
      <c r="T52">
        <v>5.4314869999999997</v>
      </c>
      <c r="U52">
        <v>5.562449</v>
      </c>
      <c r="V52">
        <v>6.0122689999999999</v>
      </c>
      <c r="W52">
        <v>6.071294</v>
      </c>
      <c r="X52">
        <v>6.2953770000000002</v>
      </c>
      <c r="Y52">
        <v>6.423451</v>
      </c>
      <c r="Z52">
        <v>6.5473590000000002</v>
      </c>
      <c r="AA52">
        <v>6.7143449999999998</v>
      </c>
      <c r="AB52">
        <v>6.8947010000000004</v>
      </c>
      <c r="AC52">
        <v>7.2429649999999999</v>
      </c>
      <c r="AD52">
        <v>7.4010879999999997</v>
      </c>
      <c r="AE52">
        <v>7.5681690000000001</v>
      </c>
      <c r="AF52">
        <v>7.7276509999999998</v>
      </c>
      <c r="AG52">
        <v>7.9165640000000002</v>
      </c>
      <c r="AH52" s="97">
        <v>4.3999999999999997E-2</v>
      </c>
    </row>
    <row r="53" spans="1:34">
      <c r="A53" t="s">
        <v>518</v>
      </c>
      <c r="B53" t="s">
        <v>528</v>
      </c>
      <c r="C53" t="s">
        <v>527</v>
      </c>
      <c r="D53" t="s">
        <v>526</v>
      </c>
      <c r="E53" t="s">
        <v>525</v>
      </c>
      <c r="G53">
        <v>2.8481719999999999</v>
      </c>
      <c r="H53">
        <v>2.8440530000000002</v>
      </c>
      <c r="I53">
        <v>2.8971789999999999</v>
      </c>
      <c r="J53">
        <v>2.977541</v>
      </c>
      <c r="K53">
        <v>2.9409580000000002</v>
      </c>
      <c r="L53">
        <v>3.0036740000000002</v>
      </c>
      <c r="M53">
        <v>3.1695129999999998</v>
      </c>
      <c r="N53">
        <v>3.2439930000000001</v>
      </c>
      <c r="O53">
        <v>4.4294539999999998</v>
      </c>
      <c r="P53">
        <v>4.4865740000000001</v>
      </c>
      <c r="Q53">
        <v>4.5666399999999996</v>
      </c>
      <c r="R53">
        <v>4.6863580000000002</v>
      </c>
      <c r="S53">
        <v>4.7958340000000002</v>
      </c>
      <c r="T53">
        <v>4.9670100000000001</v>
      </c>
      <c r="U53">
        <v>5.1390669999999998</v>
      </c>
      <c r="V53">
        <v>6.1624090000000002</v>
      </c>
      <c r="W53">
        <v>6.2765570000000004</v>
      </c>
      <c r="X53">
        <v>6.3683709999999998</v>
      </c>
      <c r="Y53">
        <v>6.4715749999999996</v>
      </c>
      <c r="Z53">
        <v>6.5920990000000002</v>
      </c>
      <c r="AA53">
        <v>6.7363010000000001</v>
      </c>
      <c r="AB53">
        <v>6.9406939999999997</v>
      </c>
      <c r="AC53">
        <v>7.804837</v>
      </c>
      <c r="AD53">
        <v>7.9908250000000001</v>
      </c>
      <c r="AE53">
        <v>8.1399740000000005</v>
      </c>
      <c r="AF53">
        <v>8.319623</v>
      </c>
      <c r="AG53">
        <v>8.4770450000000004</v>
      </c>
      <c r="AH53" s="97">
        <v>4.2999999999999997E-2</v>
      </c>
    </row>
    <row r="54" spans="1:34">
      <c r="A54" t="s">
        <v>524</v>
      </c>
      <c r="B54" t="s">
        <v>523</v>
      </c>
      <c r="C54" t="s">
        <v>522</v>
      </c>
      <c r="D54" t="s">
        <v>521</v>
      </c>
      <c r="F54">
        <v>12.999242000000001</v>
      </c>
      <c r="G54">
        <v>12.999288999999999</v>
      </c>
      <c r="H54">
        <v>12.350878</v>
      </c>
      <c r="I54">
        <v>11.89786</v>
      </c>
      <c r="J54">
        <v>12.0588</v>
      </c>
      <c r="K54">
        <v>12.409858</v>
      </c>
      <c r="L54">
        <v>12.816167</v>
      </c>
      <c r="M54">
        <v>13.315547</v>
      </c>
      <c r="N54">
        <v>13.809571</v>
      </c>
      <c r="O54">
        <v>14.42198</v>
      </c>
      <c r="P54">
        <v>14.84229</v>
      </c>
      <c r="Q54">
        <v>15.084959</v>
      </c>
      <c r="R54">
        <v>15.254025</v>
      </c>
      <c r="S54">
        <v>15.450274</v>
      </c>
      <c r="T54">
        <v>15.850873999999999</v>
      </c>
      <c r="U54">
        <v>16.073086</v>
      </c>
      <c r="V54">
        <v>16.359659000000001</v>
      </c>
      <c r="W54">
        <v>16.716298999999999</v>
      </c>
      <c r="X54">
        <v>17.158881999999998</v>
      </c>
      <c r="Y54">
        <v>17.615394999999999</v>
      </c>
      <c r="Z54">
        <v>18.110678</v>
      </c>
      <c r="AA54">
        <v>18.599436000000001</v>
      </c>
      <c r="AB54">
        <v>19.108746</v>
      </c>
      <c r="AC54">
        <v>19.596525</v>
      </c>
      <c r="AD54">
        <v>20.184835</v>
      </c>
      <c r="AE54">
        <v>20.777453999999999</v>
      </c>
      <c r="AF54">
        <v>21.415507999999999</v>
      </c>
      <c r="AG54" s="97">
        <v>1.9E-2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31519-23BD-4CD7-98F3-DA779390DEB6}">
  <dimension ref="A1:AH54"/>
  <sheetViews>
    <sheetView workbookViewId="0"/>
  </sheetViews>
  <sheetFormatPr defaultRowHeight="14.5"/>
  <cols>
    <col min="1" max="1" width="18" customWidth="1"/>
  </cols>
  <sheetData>
    <row r="1" spans="1:33">
      <c r="A1" t="s">
        <v>632</v>
      </c>
    </row>
    <row r="2" spans="1:33">
      <c r="A2" t="s">
        <v>720</v>
      </c>
    </row>
    <row r="3" spans="1:33">
      <c r="A3" t="s">
        <v>719</v>
      </c>
    </row>
    <row r="4" spans="1:33">
      <c r="A4" t="s">
        <v>481</v>
      </c>
    </row>
    <row r="5" spans="1:33">
      <c r="B5" t="s">
        <v>482</v>
      </c>
      <c r="C5" t="s">
        <v>483</v>
      </c>
      <c r="D5" t="s">
        <v>484</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516</v>
      </c>
    </row>
    <row r="6" spans="1:33" s="231" customFormat="1">
      <c r="A6" s="231" t="s">
        <v>96</v>
      </c>
    </row>
    <row r="7" spans="1:33">
      <c r="A7" t="s">
        <v>629</v>
      </c>
      <c r="B7" t="s">
        <v>718</v>
      </c>
      <c r="C7" t="s">
        <v>717</v>
      </c>
      <c r="D7" t="s">
        <v>107</v>
      </c>
      <c r="F7">
        <v>27.464061999999998</v>
      </c>
      <c r="G7">
        <v>28.262165</v>
      </c>
      <c r="H7">
        <v>28.549178999999999</v>
      </c>
      <c r="I7">
        <v>28.946992999999999</v>
      </c>
      <c r="J7">
        <v>28.888255999999998</v>
      </c>
      <c r="K7">
        <v>28.898865000000001</v>
      </c>
      <c r="L7">
        <v>28.743917</v>
      </c>
      <c r="M7">
        <v>28.357877999999999</v>
      </c>
      <c r="N7">
        <v>27.948978</v>
      </c>
      <c r="O7">
        <v>27.672734999999999</v>
      </c>
      <c r="P7">
        <v>27.489103</v>
      </c>
      <c r="Q7">
        <v>27.043666999999999</v>
      </c>
      <c r="R7">
        <v>26.647905000000002</v>
      </c>
      <c r="S7">
        <v>26.435210999999999</v>
      </c>
      <c r="T7">
        <v>26.251519999999999</v>
      </c>
      <c r="U7">
        <v>25.895475000000001</v>
      </c>
      <c r="V7">
        <v>25.567581000000001</v>
      </c>
      <c r="W7">
        <v>25.560324000000001</v>
      </c>
      <c r="X7">
        <v>25.679971999999999</v>
      </c>
      <c r="Y7">
        <v>25.502707000000001</v>
      </c>
      <c r="Z7">
        <v>25.230910999999999</v>
      </c>
      <c r="AA7">
        <v>24.995459</v>
      </c>
      <c r="AB7">
        <v>24.839108</v>
      </c>
      <c r="AC7">
        <v>25.106075000000001</v>
      </c>
      <c r="AD7">
        <v>25.012398000000001</v>
      </c>
      <c r="AE7">
        <v>24.764254000000001</v>
      </c>
      <c r="AF7">
        <v>24.314513999999999</v>
      </c>
      <c r="AG7" s="97">
        <v>-5.0000000000000001E-3</v>
      </c>
    </row>
    <row r="8" spans="1:33">
      <c r="A8" t="s">
        <v>626</v>
      </c>
      <c r="B8" t="s">
        <v>716</v>
      </c>
      <c r="C8" t="s">
        <v>715</v>
      </c>
      <c r="D8" t="s">
        <v>107</v>
      </c>
      <c r="F8">
        <v>8.9447690000000009</v>
      </c>
      <c r="G8">
        <v>9.0518099999999997</v>
      </c>
      <c r="H8">
        <v>9.6273049999999998</v>
      </c>
      <c r="I8">
        <v>9.8873370000000005</v>
      </c>
      <c r="J8">
        <v>9.8663410000000002</v>
      </c>
      <c r="K8">
        <v>9.892925</v>
      </c>
      <c r="L8">
        <v>9.9639159999999993</v>
      </c>
      <c r="M8">
        <v>9.8542299999999994</v>
      </c>
      <c r="N8">
        <v>9.9841300000000004</v>
      </c>
      <c r="O8">
        <v>10.098193</v>
      </c>
      <c r="P8">
        <v>10.158947</v>
      </c>
      <c r="Q8">
        <v>10.397404999999999</v>
      </c>
      <c r="R8">
        <v>10.393470000000001</v>
      </c>
      <c r="S8">
        <v>10.462047</v>
      </c>
      <c r="T8">
        <v>10.584728</v>
      </c>
      <c r="U8">
        <v>10.560332000000001</v>
      </c>
      <c r="V8">
        <v>10.551829</v>
      </c>
      <c r="W8">
        <v>10.586202999999999</v>
      </c>
      <c r="X8">
        <v>10.653202</v>
      </c>
      <c r="Y8">
        <v>10.722008000000001</v>
      </c>
      <c r="Z8">
        <v>10.778245</v>
      </c>
      <c r="AA8">
        <v>10.852371</v>
      </c>
      <c r="AB8">
        <v>10.959963</v>
      </c>
      <c r="AC8">
        <v>11.055661000000001</v>
      </c>
      <c r="AD8">
        <v>11.091573</v>
      </c>
      <c r="AE8">
        <v>11.092441000000001</v>
      </c>
      <c r="AF8">
        <v>11.058627</v>
      </c>
      <c r="AG8" s="97">
        <v>8.0000000000000002E-3</v>
      </c>
    </row>
    <row r="9" spans="1:33">
      <c r="A9" t="s">
        <v>623</v>
      </c>
      <c r="B9" t="s">
        <v>714</v>
      </c>
      <c r="C9" t="s">
        <v>713</v>
      </c>
      <c r="D9" t="s">
        <v>107</v>
      </c>
      <c r="F9">
        <v>39.777962000000002</v>
      </c>
      <c r="G9">
        <v>40.088272000000003</v>
      </c>
      <c r="H9">
        <v>40.321980000000003</v>
      </c>
      <c r="I9">
        <v>40.465632999999997</v>
      </c>
      <c r="J9">
        <v>41.331305999999998</v>
      </c>
      <c r="K9">
        <v>42.155963999999997</v>
      </c>
      <c r="L9">
        <v>42.703346000000003</v>
      </c>
      <c r="M9">
        <v>42.676285</v>
      </c>
      <c r="N9">
        <v>44.471687000000003</v>
      </c>
      <c r="O9">
        <v>44.575001</v>
      </c>
      <c r="P9">
        <v>44.410538000000003</v>
      </c>
      <c r="Q9">
        <v>43.943503999999997</v>
      </c>
      <c r="R9">
        <v>43.412086000000002</v>
      </c>
      <c r="S9">
        <v>43.155613000000002</v>
      </c>
      <c r="T9">
        <v>43.158721999999997</v>
      </c>
      <c r="U9">
        <v>42.921737999999998</v>
      </c>
      <c r="V9">
        <v>43.190680999999998</v>
      </c>
      <c r="W9">
        <v>43.584128999999997</v>
      </c>
      <c r="X9">
        <v>43.714039</v>
      </c>
      <c r="Y9">
        <v>43.733638999999997</v>
      </c>
      <c r="Z9">
        <v>43.764052999999997</v>
      </c>
      <c r="AA9">
        <v>43.910308999999998</v>
      </c>
      <c r="AB9">
        <v>44.287379999999999</v>
      </c>
      <c r="AC9">
        <v>44.354976999999998</v>
      </c>
      <c r="AD9">
        <v>44.343345999999997</v>
      </c>
      <c r="AE9">
        <v>44.318871000000001</v>
      </c>
      <c r="AF9">
        <v>44.269306</v>
      </c>
      <c r="AG9" s="97">
        <v>4.0000000000000001E-3</v>
      </c>
    </row>
    <row r="10" spans="1:33">
      <c r="A10" t="s">
        <v>518</v>
      </c>
      <c r="B10" t="s">
        <v>712</v>
      </c>
      <c r="C10" t="s">
        <v>711</v>
      </c>
      <c r="D10" t="s">
        <v>107</v>
      </c>
      <c r="F10">
        <v>10.263064</v>
      </c>
      <c r="G10">
        <v>10.209652999999999</v>
      </c>
      <c r="H10">
        <v>9.2786039999999996</v>
      </c>
      <c r="I10">
        <v>8.2838379999999994</v>
      </c>
      <c r="J10">
        <v>8.2226940000000006</v>
      </c>
      <c r="K10">
        <v>7.6200970000000003</v>
      </c>
      <c r="L10">
        <v>6.7846570000000002</v>
      </c>
      <c r="M10">
        <v>6.4637010000000004</v>
      </c>
      <c r="N10">
        <v>4.182893</v>
      </c>
      <c r="O10">
        <v>4.1634279999999997</v>
      </c>
      <c r="P10">
        <v>4.0782600000000002</v>
      </c>
      <c r="Q10">
        <v>4.1215789999999997</v>
      </c>
      <c r="R10">
        <v>4.0266570000000002</v>
      </c>
      <c r="S10">
        <v>4.0501180000000003</v>
      </c>
      <c r="T10">
        <v>3.9999210000000001</v>
      </c>
      <c r="U10">
        <v>3.8937539999999999</v>
      </c>
      <c r="V10">
        <v>3.9242499999999998</v>
      </c>
      <c r="W10">
        <v>3.8857140000000001</v>
      </c>
      <c r="X10">
        <v>3.8860220000000001</v>
      </c>
      <c r="Y10">
        <v>3.8982389999999998</v>
      </c>
      <c r="Z10">
        <v>3.8806080000000001</v>
      </c>
      <c r="AA10">
        <v>3.9428190000000001</v>
      </c>
      <c r="AB10">
        <v>3.8050709999999999</v>
      </c>
      <c r="AC10">
        <v>3.8397559999999999</v>
      </c>
      <c r="AD10">
        <v>3.8459150000000002</v>
      </c>
      <c r="AE10">
        <v>3.8513670000000002</v>
      </c>
      <c r="AF10">
        <v>3.7936730000000001</v>
      </c>
      <c r="AG10" s="97">
        <v>-3.7999999999999999E-2</v>
      </c>
    </row>
    <row r="11" spans="1:33">
      <c r="A11" t="s">
        <v>579</v>
      </c>
      <c r="B11" t="s">
        <v>710</v>
      </c>
      <c r="C11" t="s">
        <v>709</v>
      </c>
      <c r="D11" t="s">
        <v>107</v>
      </c>
      <c r="F11">
        <v>8.1225670000000001</v>
      </c>
      <c r="G11">
        <v>8.2613570000000003</v>
      </c>
      <c r="H11">
        <v>8.3596540000000008</v>
      </c>
      <c r="I11">
        <v>8.3406389999999995</v>
      </c>
      <c r="J11">
        <v>8.3405020000000007</v>
      </c>
      <c r="K11">
        <v>8.3404609999999995</v>
      </c>
      <c r="L11">
        <v>8.2471309999999995</v>
      </c>
      <c r="M11">
        <v>8.1604179999999999</v>
      </c>
      <c r="N11">
        <v>8.1603010000000005</v>
      </c>
      <c r="O11">
        <v>8.1063089999999995</v>
      </c>
      <c r="P11">
        <v>8.0680239999999994</v>
      </c>
      <c r="Q11">
        <v>7.9324190000000003</v>
      </c>
      <c r="R11">
        <v>7.8423249999999998</v>
      </c>
      <c r="S11">
        <v>7.6705220000000001</v>
      </c>
      <c r="T11">
        <v>7.6032440000000001</v>
      </c>
      <c r="U11">
        <v>7.5609320000000002</v>
      </c>
      <c r="V11">
        <v>7.3569550000000001</v>
      </c>
      <c r="W11">
        <v>7.3055690000000002</v>
      </c>
      <c r="X11">
        <v>7.3107990000000003</v>
      </c>
      <c r="Y11">
        <v>7.3681999999999999</v>
      </c>
      <c r="Z11">
        <v>7.4122830000000004</v>
      </c>
      <c r="AA11">
        <v>7.3401769999999997</v>
      </c>
      <c r="AB11">
        <v>7.3380780000000003</v>
      </c>
      <c r="AC11">
        <v>7.3329940000000002</v>
      </c>
      <c r="AD11">
        <v>7.303617</v>
      </c>
      <c r="AE11">
        <v>7.2679140000000002</v>
      </c>
      <c r="AF11">
        <v>7.2538739999999997</v>
      </c>
      <c r="AG11" s="97">
        <v>-4.0000000000000001E-3</v>
      </c>
    </row>
    <row r="12" spans="1:33">
      <c r="A12" t="s">
        <v>576</v>
      </c>
      <c r="B12" t="s">
        <v>708</v>
      </c>
      <c r="C12" t="s">
        <v>707</v>
      </c>
      <c r="D12" t="s">
        <v>107</v>
      </c>
      <c r="F12">
        <v>0.82673799999999997</v>
      </c>
      <c r="G12">
        <v>0.89713500000000002</v>
      </c>
      <c r="H12">
        <v>0.93154300000000001</v>
      </c>
      <c r="I12">
        <v>0.96592900000000004</v>
      </c>
      <c r="J12">
        <v>0.96586000000000005</v>
      </c>
      <c r="K12">
        <v>0.96587599999999996</v>
      </c>
      <c r="L12">
        <v>0.96630300000000002</v>
      </c>
      <c r="M12">
        <v>0.96634299999999995</v>
      </c>
      <c r="N12">
        <v>0.96801599999999999</v>
      </c>
      <c r="O12">
        <v>0.96530099999999996</v>
      </c>
      <c r="P12">
        <v>0.96179599999999998</v>
      </c>
      <c r="Q12">
        <v>0.95052700000000001</v>
      </c>
      <c r="R12">
        <v>0.94846299999999995</v>
      </c>
      <c r="S12">
        <v>0.94750100000000004</v>
      </c>
      <c r="T12">
        <v>0.94209699999999996</v>
      </c>
      <c r="U12">
        <v>0.93090099999999998</v>
      </c>
      <c r="V12">
        <v>0.93122099999999997</v>
      </c>
      <c r="W12">
        <v>0.93847199999999997</v>
      </c>
      <c r="X12">
        <v>0.939299</v>
      </c>
      <c r="Y12">
        <v>0.93390899999999999</v>
      </c>
      <c r="Z12">
        <v>0.92494299999999996</v>
      </c>
      <c r="AA12">
        <v>0.92375600000000002</v>
      </c>
      <c r="AB12">
        <v>0.91442800000000002</v>
      </c>
      <c r="AC12">
        <v>0.906192</v>
      </c>
      <c r="AD12">
        <v>0.91056400000000004</v>
      </c>
      <c r="AE12">
        <v>0.90995899999999996</v>
      </c>
      <c r="AF12">
        <v>0.91156599999999999</v>
      </c>
      <c r="AG12" s="97">
        <v>4.0000000000000001E-3</v>
      </c>
    </row>
    <row r="13" spans="1:33">
      <c r="A13" t="s">
        <v>573</v>
      </c>
      <c r="B13" t="s">
        <v>706</v>
      </c>
      <c r="C13" t="s">
        <v>705</v>
      </c>
      <c r="D13" t="s">
        <v>107</v>
      </c>
      <c r="F13">
        <v>4.7162230000000003</v>
      </c>
      <c r="G13">
        <v>4.7661020000000001</v>
      </c>
      <c r="H13">
        <v>4.7817429999999996</v>
      </c>
      <c r="I13">
        <v>4.7117699999999996</v>
      </c>
      <c r="J13">
        <v>4.5813129999999997</v>
      </c>
      <c r="K13">
        <v>4.608085</v>
      </c>
      <c r="L13">
        <v>4.6304160000000003</v>
      </c>
      <c r="M13">
        <v>4.6470649999999996</v>
      </c>
      <c r="N13">
        <v>4.6643109999999997</v>
      </c>
      <c r="O13">
        <v>4.6725060000000003</v>
      </c>
      <c r="P13">
        <v>4.7312519999999996</v>
      </c>
      <c r="Q13">
        <v>4.7484520000000003</v>
      </c>
      <c r="R13">
        <v>4.7579450000000003</v>
      </c>
      <c r="S13">
        <v>4.7591049999999999</v>
      </c>
      <c r="T13">
        <v>4.8123849999999999</v>
      </c>
      <c r="U13">
        <v>4.8338570000000001</v>
      </c>
      <c r="V13">
        <v>4.843661</v>
      </c>
      <c r="W13">
        <v>4.839353</v>
      </c>
      <c r="X13">
        <v>4.8389829999999998</v>
      </c>
      <c r="Y13">
        <v>4.8497589999999997</v>
      </c>
      <c r="Z13">
        <v>4.8546889999999996</v>
      </c>
      <c r="AA13">
        <v>4.874555</v>
      </c>
      <c r="AB13">
        <v>4.9043479999999997</v>
      </c>
      <c r="AC13">
        <v>4.9588320000000001</v>
      </c>
      <c r="AD13">
        <v>4.9960950000000004</v>
      </c>
      <c r="AE13">
        <v>5.0464789999999997</v>
      </c>
      <c r="AF13">
        <v>5.0825680000000002</v>
      </c>
      <c r="AG13" s="97">
        <v>3.0000000000000001E-3</v>
      </c>
    </row>
    <row r="14" spans="1:33">
      <c r="A14" t="s">
        <v>570</v>
      </c>
      <c r="B14" t="s">
        <v>704</v>
      </c>
      <c r="C14" t="s">
        <v>703</v>
      </c>
      <c r="D14" t="s">
        <v>107</v>
      </c>
      <c r="F14">
        <v>2.5687570000000002</v>
      </c>
      <c r="G14">
        <v>2.8954939999999998</v>
      </c>
      <c r="H14">
        <v>3.4481570000000001</v>
      </c>
      <c r="I14">
        <v>3.7477779999999998</v>
      </c>
      <c r="J14">
        <v>3.9450289999999999</v>
      </c>
      <c r="K14">
        <v>4.2908480000000004</v>
      </c>
      <c r="L14">
        <v>4.7337660000000001</v>
      </c>
      <c r="M14">
        <v>5.2460000000000004</v>
      </c>
      <c r="N14">
        <v>5.8579460000000001</v>
      </c>
      <c r="O14">
        <v>6.4506240000000004</v>
      </c>
      <c r="P14">
        <v>7.1007389999999999</v>
      </c>
      <c r="Q14">
        <v>7.7564710000000003</v>
      </c>
      <c r="R14">
        <v>8.4201890000000006</v>
      </c>
      <c r="S14">
        <v>8.9648400000000006</v>
      </c>
      <c r="T14">
        <v>9.3182229999999997</v>
      </c>
      <c r="U14">
        <v>9.7752780000000001</v>
      </c>
      <c r="V14">
        <v>10.097687000000001</v>
      </c>
      <c r="W14">
        <v>10.268065</v>
      </c>
      <c r="X14">
        <v>10.424975</v>
      </c>
      <c r="Y14">
        <v>10.586029</v>
      </c>
      <c r="Z14">
        <v>10.756422000000001</v>
      </c>
      <c r="AA14">
        <v>10.979507</v>
      </c>
      <c r="AB14">
        <v>11.201282000000001</v>
      </c>
      <c r="AC14">
        <v>11.471246000000001</v>
      </c>
      <c r="AD14">
        <v>11.736094</v>
      </c>
      <c r="AE14">
        <v>12.031924999999999</v>
      </c>
      <c r="AF14">
        <v>12.295479</v>
      </c>
      <c r="AG14" s="97">
        <v>6.2E-2</v>
      </c>
    </row>
    <row r="15" spans="1:33">
      <c r="A15" t="s">
        <v>567</v>
      </c>
      <c r="B15" t="s">
        <v>702</v>
      </c>
      <c r="C15" t="s">
        <v>701</v>
      </c>
      <c r="D15" t="s">
        <v>107</v>
      </c>
      <c r="F15">
        <v>1.70042</v>
      </c>
      <c r="G15">
        <v>1.771317</v>
      </c>
      <c r="H15">
        <v>0.82401199999999997</v>
      </c>
      <c r="I15">
        <v>0.82248699999999997</v>
      </c>
      <c r="J15">
        <v>0.74897199999999997</v>
      </c>
      <c r="K15">
        <v>0.72577700000000001</v>
      </c>
      <c r="L15">
        <v>0.72870699999999999</v>
      </c>
      <c r="M15">
        <v>0.72867899999999997</v>
      </c>
      <c r="N15">
        <v>0.60499000000000003</v>
      </c>
      <c r="O15">
        <v>0.60499000000000003</v>
      </c>
      <c r="P15">
        <v>0.60499000000000003</v>
      </c>
      <c r="Q15">
        <v>0.60499000000000003</v>
      </c>
      <c r="R15">
        <v>0.60499000000000003</v>
      </c>
      <c r="S15">
        <v>0.60499000000000003</v>
      </c>
      <c r="T15">
        <v>0.60499000000000003</v>
      </c>
      <c r="U15">
        <v>0.60499000000000003</v>
      </c>
      <c r="V15">
        <v>0.60499000000000003</v>
      </c>
      <c r="W15">
        <v>0.60499000000000003</v>
      </c>
      <c r="X15">
        <v>0.60499000000000003</v>
      </c>
      <c r="Y15">
        <v>0.60499000000000003</v>
      </c>
      <c r="Z15">
        <v>0.60499000000000003</v>
      </c>
      <c r="AA15">
        <v>0.60499000000000003</v>
      </c>
      <c r="AB15">
        <v>0.60499000000000003</v>
      </c>
      <c r="AC15">
        <v>0.60499000000000003</v>
      </c>
      <c r="AD15">
        <v>0.60499000000000003</v>
      </c>
      <c r="AE15">
        <v>0.60499000000000003</v>
      </c>
      <c r="AF15">
        <v>0.60499000000000003</v>
      </c>
      <c r="AG15" s="97">
        <v>-3.9E-2</v>
      </c>
    </row>
    <row r="16" spans="1:33">
      <c r="A16" t="s">
        <v>517</v>
      </c>
      <c r="B16" t="s">
        <v>700</v>
      </c>
      <c r="C16" t="s">
        <v>699</v>
      </c>
      <c r="D16" t="s">
        <v>107</v>
      </c>
      <c r="F16">
        <v>104.38455999999999</v>
      </c>
      <c r="G16">
        <v>106.203316</v>
      </c>
      <c r="H16">
        <v>106.12217699999999</v>
      </c>
      <c r="I16">
        <v>106.172394</v>
      </c>
      <c r="J16">
        <v>106.89027400000001</v>
      </c>
      <c r="K16">
        <v>107.49889400000001</v>
      </c>
      <c r="L16">
        <v>107.502151</v>
      </c>
      <c r="M16">
        <v>107.100601</v>
      </c>
      <c r="N16">
        <v>106.843262</v>
      </c>
      <c r="O16">
        <v>107.30909</v>
      </c>
      <c r="P16">
        <v>107.60365299999999</v>
      </c>
      <c r="Q16">
        <v>107.499008</v>
      </c>
      <c r="R16">
        <v>107.054024</v>
      </c>
      <c r="S16">
        <v>107.04995</v>
      </c>
      <c r="T16">
        <v>107.27583300000001</v>
      </c>
      <c r="U16">
        <v>106.977249</v>
      </c>
      <c r="V16">
        <v>107.068848</v>
      </c>
      <c r="W16">
        <v>107.57281500000001</v>
      </c>
      <c r="X16">
        <v>108.052277</v>
      </c>
      <c r="Y16">
        <v>108.19948599999999</v>
      </c>
      <c r="Z16">
        <v>108.20714599999999</v>
      </c>
      <c r="AA16">
        <v>108.42395</v>
      </c>
      <c r="AB16">
        <v>108.854652</v>
      </c>
      <c r="AC16">
        <v>109.630707</v>
      </c>
      <c r="AD16">
        <v>109.844582</v>
      </c>
      <c r="AE16">
        <v>109.88819100000001</v>
      </c>
      <c r="AF16">
        <v>109.58459499999999</v>
      </c>
      <c r="AG16" s="97">
        <v>2E-3</v>
      </c>
    </row>
    <row r="17" spans="1:33" s="231" customFormat="1">
      <c r="A17" s="231" t="s">
        <v>22</v>
      </c>
    </row>
    <row r="18" spans="1:33">
      <c r="A18" t="s">
        <v>30</v>
      </c>
      <c r="B18" t="s">
        <v>698</v>
      </c>
      <c r="C18" t="s">
        <v>697</v>
      </c>
      <c r="D18" t="s">
        <v>107</v>
      </c>
      <c r="F18">
        <v>14.518497999999999</v>
      </c>
      <c r="G18">
        <v>13.425255999999999</v>
      </c>
      <c r="H18">
        <v>14.014296</v>
      </c>
      <c r="I18">
        <v>13.249333999999999</v>
      </c>
      <c r="J18">
        <v>13.799104</v>
      </c>
      <c r="K18">
        <v>14.041797000000001</v>
      </c>
      <c r="L18">
        <v>14.055967000000001</v>
      </c>
      <c r="M18">
        <v>14.457395</v>
      </c>
      <c r="N18">
        <v>15.256316999999999</v>
      </c>
      <c r="O18">
        <v>15.253641999999999</v>
      </c>
      <c r="P18">
        <v>15.720116000000001</v>
      </c>
      <c r="Q18">
        <v>15.895457</v>
      </c>
      <c r="R18">
        <v>16.126217</v>
      </c>
      <c r="S18">
        <v>15.872919</v>
      </c>
      <c r="T18">
        <v>15.889859</v>
      </c>
      <c r="U18">
        <v>16.253838999999999</v>
      </c>
      <c r="V18">
        <v>16.410769999999999</v>
      </c>
      <c r="W18">
        <v>16.27393</v>
      </c>
      <c r="X18">
        <v>15.950367</v>
      </c>
      <c r="Y18">
        <v>16.120932</v>
      </c>
      <c r="Z18">
        <v>16.350994</v>
      </c>
      <c r="AA18">
        <v>16.516466000000001</v>
      </c>
      <c r="AB18">
        <v>15.997453999999999</v>
      </c>
      <c r="AC18">
        <v>15.637950999999999</v>
      </c>
      <c r="AD18">
        <v>15.619973999999999</v>
      </c>
      <c r="AE18">
        <v>15.984094000000001</v>
      </c>
      <c r="AF18">
        <v>16.481178</v>
      </c>
      <c r="AG18" s="97">
        <v>5.0000000000000001E-3</v>
      </c>
    </row>
    <row r="19" spans="1:33">
      <c r="A19" t="s">
        <v>150</v>
      </c>
      <c r="B19" t="s">
        <v>696</v>
      </c>
      <c r="C19" t="s">
        <v>695</v>
      </c>
      <c r="D19" t="s">
        <v>107</v>
      </c>
      <c r="F19">
        <v>4.0514710000000003</v>
      </c>
      <c r="G19">
        <v>3.9469690000000002</v>
      </c>
      <c r="H19">
        <v>4.1102410000000003</v>
      </c>
      <c r="I19">
        <v>4.0035970000000001</v>
      </c>
      <c r="J19">
        <v>3.9047930000000002</v>
      </c>
      <c r="K19">
        <v>3.8313389999999998</v>
      </c>
      <c r="L19">
        <v>3.765288</v>
      </c>
      <c r="M19">
        <v>3.7592530000000002</v>
      </c>
      <c r="N19">
        <v>3.6893549999999999</v>
      </c>
      <c r="O19">
        <v>3.6510470000000002</v>
      </c>
      <c r="P19">
        <v>3.62846</v>
      </c>
      <c r="Q19">
        <v>3.5956800000000002</v>
      </c>
      <c r="R19">
        <v>3.5830630000000001</v>
      </c>
      <c r="S19">
        <v>3.5769709999999999</v>
      </c>
      <c r="T19">
        <v>3.5677669999999999</v>
      </c>
      <c r="U19">
        <v>3.5176080000000001</v>
      </c>
      <c r="V19">
        <v>3.5075259999999999</v>
      </c>
      <c r="W19">
        <v>3.5104329999999999</v>
      </c>
      <c r="X19">
        <v>3.537439</v>
      </c>
      <c r="Y19">
        <v>3.5387490000000001</v>
      </c>
      <c r="Z19">
        <v>3.537245</v>
      </c>
      <c r="AA19">
        <v>3.5225330000000001</v>
      </c>
      <c r="AB19">
        <v>3.5206209999999998</v>
      </c>
      <c r="AC19">
        <v>3.5233970000000001</v>
      </c>
      <c r="AD19">
        <v>3.5910280000000001</v>
      </c>
      <c r="AE19">
        <v>3.5943830000000001</v>
      </c>
      <c r="AF19">
        <v>3.525998</v>
      </c>
      <c r="AG19" s="97">
        <v>-5.0000000000000001E-3</v>
      </c>
    </row>
    <row r="20" spans="1:33">
      <c r="A20" t="s">
        <v>519</v>
      </c>
      <c r="B20" t="s">
        <v>694</v>
      </c>
      <c r="C20" t="s">
        <v>693</v>
      </c>
      <c r="D20" t="s">
        <v>107</v>
      </c>
      <c r="F20">
        <v>3.087809</v>
      </c>
      <c r="G20">
        <v>2.9409529999999999</v>
      </c>
      <c r="H20">
        <v>2.440169</v>
      </c>
      <c r="I20">
        <v>2.686121</v>
      </c>
      <c r="J20">
        <v>2.6081270000000001</v>
      </c>
      <c r="K20">
        <v>2.632396</v>
      </c>
      <c r="L20">
        <v>2.699443</v>
      </c>
      <c r="M20">
        <v>2.7043680000000001</v>
      </c>
      <c r="N20">
        <v>2.6854789999999999</v>
      </c>
      <c r="O20">
        <v>2.553318</v>
      </c>
      <c r="P20">
        <v>2.372906</v>
      </c>
      <c r="Q20">
        <v>2.3592019999999998</v>
      </c>
      <c r="R20">
        <v>2.3740860000000001</v>
      </c>
      <c r="S20">
        <v>2.4150109999999998</v>
      </c>
      <c r="T20">
        <v>2.461068</v>
      </c>
      <c r="U20">
        <v>2.4973139999999998</v>
      </c>
      <c r="V20">
        <v>2.4189720000000001</v>
      </c>
      <c r="W20">
        <v>2.2483369999999998</v>
      </c>
      <c r="X20">
        <v>2.261717</v>
      </c>
      <c r="Y20">
        <v>2.3416920000000001</v>
      </c>
      <c r="Z20">
        <v>2.4015949999999999</v>
      </c>
      <c r="AA20">
        <v>2.3318409999999998</v>
      </c>
      <c r="AB20">
        <v>2.1264150000000002</v>
      </c>
      <c r="AC20">
        <v>2.1102820000000002</v>
      </c>
      <c r="AD20">
        <v>2.1528689999999999</v>
      </c>
      <c r="AE20">
        <v>2.2076169999999999</v>
      </c>
      <c r="AF20">
        <v>2.2607499999999998</v>
      </c>
      <c r="AG20" s="97">
        <v>-1.2E-2</v>
      </c>
    </row>
    <row r="21" spans="1:33">
      <c r="A21" t="s">
        <v>567</v>
      </c>
      <c r="B21" t="s">
        <v>692</v>
      </c>
      <c r="C21" t="s">
        <v>691</v>
      </c>
      <c r="D21" t="s">
        <v>107</v>
      </c>
      <c r="F21">
        <v>9.1886999999999996E-2</v>
      </c>
      <c r="G21">
        <v>0.13381000000000001</v>
      </c>
      <c r="H21">
        <v>0.15403600000000001</v>
      </c>
      <c r="I21">
        <v>0.21507499999999999</v>
      </c>
      <c r="J21">
        <v>0.25459500000000002</v>
      </c>
      <c r="K21">
        <v>0.27576800000000001</v>
      </c>
      <c r="L21">
        <v>0.30114999999999997</v>
      </c>
      <c r="M21">
        <v>0.30836400000000003</v>
      </c>
      <c r="N21">
        <v>0.31381599999999998</v>
      </c>
      <c r="O21">
        <v>0.31657200000000002</v>
      </c>
      <c r="P21">
        <v>0.31661899999999998</v>
      </c>
      <c r="Q21">
        <v>0.31102000000000002</v>
      </c>
      <c r="R21">
        <v>0.29144399999999998</v>
      </c>
      <c r="S21">
        <v>0.28127999999999997</v>
      </c>
      <c r="T21">
        <v>0.27080700000000002</v>
      </c>
      <c r="U21">
        <v>0.27215699999999998</v>
      </c>
      <c r="V21">
        <v>0.277611</v>
      </c>
      <c r="W21">
        <v>0.278503</v>
      </c>
      <c r="X21">
        <v>0.27836100000000003</v>
      </c>
      <c r="Y21">
        <v>0.25623800000000002</v>
      </c>
      <c r="Z21">
        <v>0.25867899999999999</v>
      </c>
      <c r="AA21">
        <v>0.253023</v>
      </c>
      <c r="AB21">
        <v>0.24149399999999999</v>
      </c>
      <c r="AC21">
        <v>0.219496</v>
      </c>
      <c r="AD21">
        <v>0.20336399999999999</v>
      </c>
      <c r="AE21">
        <v>0.191298</v>
      </c>
      <c r="AF21">
        <v>0.19242200000000001</v>
      </c>
      <c r="AG21" s="97">
        <v>2.9000000000000001E-2</v>
      </c>
    </row>
    <row r="22" spans="1:33">
      <c r="A22" t="s">
        <v>517</v>
      </c>
      <c r="B22" t="s">
        <v>690</v>
      </c>
      <c r="C22" t="s">
        <v>689</v>
      </c>
      <c r="D22" t="s">
        <v>107</v>
      </c>
      <c r="F22">
        <v>21.749663999999999</v>
      </c>
      <c r="G22">
        <v>20.446987</v>
      </c>
      <c r="H22">
        <v>20.71874</v>
      </c>
      <c r="I22">
        <v>20.154126999999999</v>
      </c>
      <c r="J22">
        <v>20.566617999999998</v>
      </c>
      <c r="K22">
        <v>20.781300999999999</v>
      </c>
      <c r="L22">
        <v>20.821847999999999</v>
      </c>
      <c r="M22">
        <v>21.229382000000001</v>
      </c>
      <c r="N22">
        <v>21.944969</v>
      </c>
      <c r="O22">
        <v>21.77458</v>
      </c>
      <c r="P22">
        <v>22.038101000000001</v>
      </c>
      <c r="Q22">
        <v>22.161358</v>
      </c>
      <c r="R22">
        <v>22.374808999999999</v>
      </c>
      <c r="S22">
        <v>22.146180999999999</v>
      </c>
      <c r="T22">
        <v>22.189501</v>
      </c>
      <c r="U22">
        <v>22.54092</v>
      </c>
      <c r="V22">
        <v>22.614879999999999</v>
      </c>
      <c r="W22">
        <v>22.311202999999999</v>
      </c>
      <c r="X22">
        <v>22.027884</v>
      </c>
      <c r="Y22">
        <v>22.25761</v>
      </c>
      <c r="Z22">
        <v>22.548511999999999</v>
      </c>
      <c r="AA22">
        <v>22.623863</v>
      </c>
      <c r="AB22">
        <v>21.885983</v>
      </c>
      <c r="AC22">
        <v>21.491125</v>
      </c>
      <c r="AD22">
        <v>21.567236000000001</v>
      </c>
      <c r="AE22">
        <v>21.97739</v>
      </c>
      <c r="AF22">
        <v>22.460348</v>
      </c>
      <c r="AG22" s="97">
        <v>1E-3</v>
      </c>
    </row>
    <row r="23" spans="1:33" s="231" customFormat="1">
      <c r="A23" s="231" t="s">
        <v>27</v>
      </c>
    </row>
    <row r="24" spans="1:33">
      <c r="A24" t="s">
        <v>150</v>
      </c>
      <c r="B24" t="s">
        <v>688</v>
      </c>
      <c r="C24" t="s">
        <v>687</v>
      </c>
      <c r="D24" t="s">
        <v>107</v>
      </c>
      <c r="F24">
        <v>20.658162999999998</v>
      </c>
      <c r="G24">
        <v>20.342573000000002</v>
      </c>
      <c r="H24">
        <v>21.556902000000001</v>
      </c>
      <c r="I24">
        <v>21.505136</v>
      </c>
      <c r="J24">
        <v>21.783004999999999</v>
      </c>
      <c r="K24">
        <v>22.129265</v>
      </c>
      <c r="L24">
        <v>22.283306</v>
      </c>
      <c r="M24">
        <v>22.33231</v>
      </c>
      <c r="N24">
        <v>22.883027999999999</v>
      </c>
      <c r="O24">
        <v>22.938994999999998</v>
      </c>
      <c r="P24">
        <v>23.446278</v>
      </c>
      <c r="Q24">
        <v>23.582599999999999</v>
      </c>
      <c r="R24">
        <v>23.552565000000001</v>
      </c>
      <c r="S24">
        <v>23.286878999999999</v>
      </c>
      <c r="T24">
        <v>23.412399000000001</v>
      </c>
      <c r="U24">
        <v>23.457104000000001</v>
      </c>
      <c r="V24">
        <v>23.332256000000001</v>
      </c>
      <c r="W24">
        <v>23.290678</v>
      </c>
      <c r="X24">
        <v>23.261707000000001</v>
      </c>
      <c r="Y24">
        <v>23.348938</v>
      </c>
      <c r="Z24">
        <v>23.423414000000001</v>
      </c>
      <c r="AA24">
        <v>23.451395000000002</v>
      </c>
      <c r="AB24">
        <v>23.003921999999999</v>
      </c>
      <c r="AC24">
        <v>23.008092999999999</v>
      </c>
      <c r="AD24">
        <v>22.974858999999999</v>
      </c>
      <c r="AE24">
        <v>23.060644</v>
      </c>
      <c r="AF24">
        <v>22.957046999999999</v>
      </c>
      <c r="AG24" s="97">
        <v>4.0000000000000001E-3</v>
      </c>
    </row>
    <row r="25" spans="1:33">
      <c r="A25" t="s">
        <v>519</v>
      </c>
      <c r="B25" t="s">
        <v>686</v>
      </c>
      <c r="C25" t="s">
        <v>685</v>
      </c>
      <c r="D25" t="s">
        <v>107</v>
      </c>
      <c r="F25">
        <v>7.8187509999999998</v>
      </c>
      <c r="G25">
        <v>8.5953149999999994</v>
      </c>
      <c r="H25">
        <v>9.1093460000000004</v>
      </c>
      <c r="I25">
        <v>9.0092499999999998</v>
      </c>
      <c r="J25">
        <v>10.036243000000001</v>
      </c>
      <c r="K25">
        <v>10.667923</v>
      </c>
      <c r="L25">
        <v>11.313280000000001</v>
      </c>
      <c r="M25">
        <v>11.875778</v>
      </c>
      <c r="N25">
        <v>12.74771</v>
      </c>
      <c r="O25">
        <v>13.630148999999999</v>
      </c>
      <c r="P25">
        <v>14.214563</v>
      </c>
      <c r="Q25">
        <v>14.461740000000001</v>
      </c>
      <c r="R25">
        <v>14.738927</v>
      </c>
      <c r="S25">
        <v>14.981527</v>
      </c>
      <c r="T25">
        <v>15.140946</v>
      </c>
      <c r="U25">
        <v>15.202082000000001</v>
      </c>
      <c r="V25">
        <v>15.303749</v>
      </c>
      <c r="W25">
        <v>15.342715</v>
      </c>
      <c r="X25">
        <v>15.370065</v>
      </c>
      <c r="Y25">
        <v>15.341122</v>
      </c>
      <c r="Z25">
        <v>15.378152999999999</v>
      </c>
      <c r="AA25">
        <v>15.386421</v>
      </c>
      <c r="AB25">
        <v>15.508049</v>
      </c>
      <c r="AC25">
        <v>15.550345</v>
      </c>
      <c r="AD25">
        <v>15.597701000000001</v>
      </c>
      <c r="AE25">
        <v>15.592389000000001</v>
      </c>
      <c r="AF25">
        <v>15.625677</v>
      </c>
      <c r="AG25" s="97">
        <v>2.7E-2</v>
      </c>
    </row>
    <row r="26" spans="1:33">
      <c r="A26" t="s">
        <v>518</v>
      </c>
      <c r="B26" t="s">
        <v>684</v>
      </c>
      <c r="C26" t="s">
        <v>683</v>
      </c>
      <c r="D26" t="s">
        <v>107</v>
      </c>
      <c r="F26">
        <v>2.723392</v>
      </c>
      <c r="G26">
        <v>2.6105010000000002</v>
      </c>
      <c r="H26">
        <v>2.7103959999999998</v>
      </c>
      <c r="I26">
        <v>2.8096749999999999</v>
      </c>
      <c r="J26">
        <v>2.9433530000000001</v>
      </c>
      <c r="K26">
        <v>2.8813240000000002</v>
      </c>
      <c r="L26">
        <v>2.8224010000000002</v>
      </c>
      <c r="M26">
        <v>2.8086410000000002</v>
      </c>
      <c r="N26">
        <v>2.8308059999999999</v>
      </c>
      <c r="O26">
        <v>2.8283070000000001</v>
      </c>
      <c r="P26">
        <v>2.800532</v>
      </c>
      <c r="Q26">
        <v>2.8848509999999998</v>
      </c>
      <c r="R26">
        <v>2.8520460000000001</v>
      </c>
      <c r="S26">
        <v>2.9194969999999998</v>
      </c>
      <c r="T26">
        <v>2.8974319999999998</v>
      </c>
      <c r="U26">
        <v>2.9711539999999999</v>
      </c>
      <c r="V26">
        <v>3.0100380000000002</v>
      </c>
      <c r="W26">
        <v>2.980108</v>
      </c>
      <c r="X26">
        <v>2.995733</v>
      </c>
      <c r="Y26">
        <v>3.0162070000000001</v>
      </c>
      <c r="Z26">
        <v>3.0411899999999998</v>
      </c>
      <c r="AA26">
        <v>3.1150009999999999</v>
      </c>
      <c r="AB26">
        <v>3.133915</v>
      </c>
      <c r="AC26">
        <v>3.1774450000000001</v>
      </c>
      <c r="AD26">
        <v>3.197171</v>
      </c>
      <c r="AE26">
        <v>3.2286030000000001</v>
      </c>
      <c r="AF26">
        <v>3.1948370000000001</v>
      </c>
      <c r="AG26" s="97">
        <v>6.0000000000000001E-3</v>
      </c>
    </row>
    <row r="27" spans="1:33">
      <c r="A27" t="s">
        <v>517</v>
      </c>
      <c r="B27" t="s">
        <v>682</v>
      </c>
      <c r="C27" t="s">
        <v>681</v>
      </c>
      <c r="D27" t="s">
        <v>107</v>
      </c>
      <c r="F27">
        <v>31.200306000000001</v>
      </c>
      <c r="G27">
        <v>31.548389</v>
      </c>
      <c r="H27">
        <v>33.376643999999999</v>
      </c>
      <c r="I27">
        <v>33.324058999999998</v>
      </c>
      <c r="J27">
        <v>34.762599999999999</v>
      </c>
      <c r="K27">
        <v>35.678513000000002</v>
      </c>
      <c r="L27">
        <v>36.418990999999998</v>
      </c>
      <c r="M27">
        <v>37.016731</v>
      </c>
      <c r="N27">
        <v>38.461544000000004</v>
      </c>
      <c r="O27">
        <v>39.397452999999999</v>
      </c>
      <c r="P27">
        <v>40.461376000000001</v>
      </c>
      <c r="Q27">
        <v>40.929192</v>
      </c>
      <c r="R27">
        <v>41.143538999999997</v>
      </c>
      <c r="S27">
        <v>41.187904000000003</v>
      </c>
      <c r="T27">
        <v>41.450775</v>
      </c>
      <c r="U27">
        <v>41.630341000000001</v>
      </c>
      <c r="V27">
        <v>41.646042000000001</v>
      </c>
      <c r="W27">
        <v>41.613498999999997</v>
      </c>
      <c r="X27">
        <v>41.627502</v>
      </c>
      <c r="Y27">
        <v>41.706268000000001</v>
      </c>
      <c r="Z27">
        <v>41.842758000000003</v>
      </c>
      <c r="AA27">
        <v>41.952815999999999</v>
      </c>
      <c r="AB27">
        <v>41.645885</v>
      </c>
      <c r="AC27">
        <v>41.735881999999997</v>
      </c>
      <c r="AD27">
        <v>41.769730000000003</v>
      </c>
      <c r="AE27">
        <v>41.881638000000002</v>
      </c>
      <c r="AF27">
        <v>41.777560999999999</v>
      </c>
      <c r="AG27" s="97">
        <v>1.0999999999999999E-2</v>
      </c>
    </row>
    <row r="28" spans="1:33">
      <c r="A28" t="s">
        <v>588</v>
      </c>
      <c r="B28" t="s">
        <v>680</v>
      </c>
      <c r="C28" t="s">
        <v>679</v>
      </c>
      <c r="D28" t="s">
        <v>107</v>
      </c>
      <c r="F28">
        <v>1.4240679999999999</v>
      </c>
      <c r="G28">
        <v>0.65265700000000004</v>
      </c>
      <c r="H28">
        <v>3.7013999999999998E-2</v>
      </c>
      <c r="I28">
        <v>-6.5041000000000002E-2</v>
      </c>
      <c r="J28">
        <v>-0.206875</v>
      </c>
      <c r="K28">
        <v>1.1368E-2</v>
      </c>
      <c r="L28">
        <v>2.258E-3</v>
      </c>
      <c r="M28">
        <v>3.7426000000000001E-2</v>
      </c>
      <c r="N28">
        <v>0.12840699999999999</v>
      </c>
      <c r="O28">
        <v>9.2429999999999998E-2</v>
      </c>
      <c r="P28">
        <v>0.107601</v>
      </c>
      <c r="Q28">
        <v>8.5621000000000003E-2</v>
      </c>
      <c r="R28">
        <v>9.8739999999999994E-2</v>
      </c>
      <c r="S28">
        <v>0.125023</v>
      </c>
      <c r="T28">
        <v>9.4024999999999997E-2</v>
      </c>
      <c r="U28">
        <v>0.15130199999999999</v>
      </c>
      <c r="V28">
        <v>0.215</v>
      </c>
      <c r="W28">
        <v>0.187946</v>
      </c>
      <c r="X28">
        <v>0.12353500000000001</v>
      </c>
      <c r="Y28">
        <v>0.130466</v>
      </c>
      <c r="Z28">
        <v>0.111355</v>
      </c>
      <c r="AA28">
        <v>0.123043</v>
      </c>
      <c r="AB28">
        <v>3.5843E-2</v>
      </c>
      <c r="AC28">
        <v>3.5969999999999999E-3</v>
      </c>
      <c r="AD28">
        <v>-7.0144999999999999E-2</v>
      </c>
      <c r="AE28">
        <v>1.9040000000000001E-3</v>
      </c>
      <c r="AF28">
        <v>-7.8838000000000005E-2</v>
      </c>
      <c r="AG28" t="s">
        <v>97</v>
      </c>
    </row>
    <row r="29" spans="1:33" s="231" customFormat="1">
      <c r="A29" s="231" t="s">
        <v>98</v>
      </c>
    </row>
    <row r="30" spans="1:33">
      <c r="A30" t="s">
        <v>150</v>
      </c>
      <c r="B30" t="s">
        <v>678</v>
      </c>
      <c r="C30" t="s">
        <v>677</v>
      </c>
      <c r="D30" t="s">
        <v>107</v>
      </c>
      <c r="F30">
        <v>37.196292999999997</v>
      </c>
      <c r="G30">
        <v>37.598495</v>
      </c>
      <c r="H30">
        <v>37.711094000000003</v>
      </c>
      <c r="I30">
        <v>37.610714000000002</v>
      </c>
      <c r="J30">
        <v>37.506068999999997</v>
      </c>
      <c r="K30">
        <v>37.336661999999997</v>
      </c>
      <c r="L30">
        <v>37.114230999999997</v>
      </c>
      <c r="M30">
        <v>36.928840999999998</v>
      </c>
      <c r="N30">
        <v>36.700831999999998</v>
      </c>
      <c r="O30">
        <v>36.488078999999999</v>
      </c>
      <c r="P30">
        <v>36.326878000000001</v>
      </c>
      <c r="Q30">
        <v>36.152965999999999</v>
      </c>
      <c r="R30">
        <v>35.984988999999999</v>
      </c>
      <c r="S30">
        <v>35.828395999999998</v>
      </c>
      <c r="T30">
        <v>35.703960000000002</v>
      </c>
      <c r="U30">
        <v>35.584057000000001</v>
      </c>
      <c r="V30">
        <v>35.523659000000002</v>
      </c>
      <c r="W30">
        <v>35.465569000000002</v>
      </c>
      <c r="X30">
        <v>35.396000000000001</v>
      </c>
      <c r="Y30">
        <v>35.372672999999999</v>
      </c>
      <c r="Z30">
        <v>35.306128999999999</v>
      </c>
      <c r="AA30">
        <v>35.282165999999997</v>
      </c>
      <c r="AB30">
        <v>35.213123000000003</v>
      </c>
      <c r="AC30">
        <v>35.255192000000001</v>
      </c>
      <c r="AD30">
        <v>35.296852000000001</v>
      </c>
      <c r="AE30">
        <v>35.340546000000003</v>
      </c>
      <c r="AF30">
        <v>35.408912999999998</v>
      </c>
      <c r="AG30" s="97">
        <v>-2E-3</v>
      </c>
    </row>
    <row r="31" spans="1:33">
      <c r="A31" t="s">
        <v>519</v>
      </c>
      <c r="B31" t="s">
        <v>676</v>
      </c>
      <c r="C31" t="s">
        <v>675</v>
      </c>
      <c r="D31" t="s">
        <v>107</v>
      </c>
      <c r="F31">
        <v>34.247902000000003</v>
      </c>
      <c r="G31">
        <v>34.103062000000001</v>
      </c>
      <c r="H31">
        <v>33.253501999999997</v>
      </c>
      <c r="I31">
        <v>33.741405</v>
      </c>
      <c r="J31">
        <v>33.663421999999997</v>
      </c>
      <c r="K31">
        <v>33.636310999999999</v>
      </c>
      <c r="L31">
        <v>33.589908999999999</v>
      </c>
      <c r="M31">
        <v>33.013041999999999</v>
      </c>
      <c r="N31">
        <v>33.833885000000002</v>
      </c>
      <c r="O31">
        <v>32.916958000000001</v>
      </c>
      <c r="P31">
        <v>31.997765000000001</v>
      </c>
      <c r="Q31">
        <v>31.266479</v>
      </c>
      <c r="R31">
        <v>30.473510999999998</v>
      </c>
      <c r="S31">
        <v>29.987434</v>
      </c>
      <c r="T31">
        <v>29.905836000000001</v>
      </c>
      <c r="U31">
        <v>29.600460000000002</v>
      </c>
      <c r="V31">
        <v>29.621041999999999</v>
      </c>
      <c r="W31">
        <v>29.826384000000001</v>
      </c>
      <c r="X31">
        <v>29.999663999999999</v>
      </c>
      <c r="Y31">
        <v>30.134150999999999</v>
      </c>
      <c r="Z31">
        <v>30.218938999999999</v>
      </c>
      <c r="AA31">
        <v>30.271381000000002</v>
      </c>
      <c r="AB31">
        <v>30.377775</v>
      </c>
      <c r="AC31">
        <v>30.411428000000001</v>
      </c>
      <c r="AD31">
        <v>30.4634</v>
      </c>
      <c r="AE31">
        <v>30.446041000000001</v>
      </c>
      <c r="AF31">
        <v>30.500924999999999</v>
      </c>
      <c r="AG31" s="97">
        <v>-4.0000000000000001E-3</v>
      </c>
    </row>
    <row r="32" spans="1:33">
      <c r="A32" t="s">
        <v>518</v>
      </c>
      <c r="B32" t="s">
        <v>674</v>
      </c>
      <c r="C32" t="s">
        <v>673</v>
      </c>
      <c r="D32" t="s">
        <v>107</v>
      </c>
      <c r="F32">
        <v>7.5311409999999999</v>
      </c>
      <c r="G32">
        <v>7.6144189999999998</v>
      </c>
      <c r="H32">
        <v>6.6158799999999998</v>
      </c>
      <c r="I32">
        <v>5.4987810000000001</v>
      </c>
      <c r="J32">
        <v>5.2926019999999996</v>
      </c>
      <c r="K32">
        <v>4.7925690000000003</v>
      </c>
      <c r="L32">
        <v>3.9819810000000002</v>
      </c>
      <c r="M32">
        <v>3.671592</v>
      </c>
      <c r="N32">
        <v>1.370517</v>
      </c>
      <c r="O32">
        <v>1.3541049999999999</v>
      </c>
      <c r="P32">
        <v>1.299798</v>
      </c>
      <c r="Q32">
        <v>1.266373</v>
      </c>
      <c r="R32">
        <v>1.190588</v>
      </c>
      <c r="S32">
        <v>1.154066</v>
      </c>
      <c r="T32">
        <v>1.109175</v>
      </c>
      <c r="U32">
        <v>0.93820599999999998</v>
      </c>
      <c r="V32">
        <v>0.93013699999999999</v>
      </c>
      <c r="W32">
        <v>0.92191599999999996</v>
      </c>
      <c r="X32">
        <v>0.90621300000000005</v>
      </c>
      <c r="Y32">
        <v>0.89800100000000005</v>
      </c>
      <c r="Z32">
        <v>0.85537200000000002</v>
      </c>
      <c r="AA32">
        <v>0.84405300000000005</v>
      </c>
      <c r="AB32">
        <v>0.68713599999999997</v>
      </c>
      <c r="AC32">
        <v>0.678809</v>
      </c>
      <c r="AD32">
        <v>0.66619799999999996</v>
      </c>
      <c r="AE32">
        <v>0.63907099999999994</v>
      </c>
      <c r="AF32">
        <v>0.61471500000000001</v>
      </c>
      <c r="AG32" s="97">
        <v>-9.1999999999999998E-2</v>
      </c>
    </row>
    <row r="33" spans="1:34">
      <c r="A33" t="s">
        <v>579</v>
      </c>
      <c r="B33" t="s">
        <v>672</v>
      </c>
      <c r="C33" t="s">
        <v>671</v>
      </c>
      <c r="D33" t="s">
        <v>107</v>
      </c>
      <c r="F33">
        <v>8.1225670000000001</v>
      </c>
      <c r="G33">
        <v>8.2613570000000003</v>
      </c>
      <c r="H33">
        <v>8.3596540000000008</v>
      </c>
      <c r="I33">
        <v>8.3406389999999995</v>
      </c>
      <c r="J33">
        <v>8.3405020000000007</v>
      </c>
      <c r="K33">
        <v>8.3404609999999995</v>
      </c>
      <c r="L33">
        <v>8.2471309999999995</v>
      </c>
      <c r="M33">
        <v>8.1604179999999999</v>
      </c>
      <c r="N33">
        <v>8.1603010000000005</v>
      </c>
      <c r="O33">
        <v>8.1063089999999995</v>
      </c>
      <c r="P33">
        <v>8.0680239999999994</v>
      </c>
      <c r="Q33">
        <v>7.9324190000000003</v>
      </c>
      <c r="R33">
        <v>7.8423249999999998</v>
      </c>
      <c r="S33">
        <v>7.6705220000000001</v>
      </c>
      <c r="T33">
        <v>7.6032440000000001</v>
      </c>
      <c r="U33">
        <v>7.5609320000000002</v>
      </c>
      <c r="V33">
        <v>7.3569550000000001</v>
      </c>
      <c r="W33">
        <v>7.3055690000000002</v>
      </c>
      <c r="X33">
        <v>7.3107990000000003</v>
      </c>
      <c r="Y33">
        <v>7.3681999999999999</v>
      </c>
      <c r="Z33">
        <v>7.4122830000000004</v>
      </c>
      <c r="AA33">
        <v>7.3401769999999997</v>
      </c>
      <c r="AB33">
        <v>7.3380780000000003</v>
      </c>
      <c r="AC33">
        <v>7.3329940000000002</v>
      </c>
      <c r="AD33">
        <v>7.303617</v>
      </c>
      <c r="AE33">
        <v>7.2679140000000002</v>
      </c>
      <c r="AF33">
        <v>7.2538739999999997</v>
      </c>
      <c r="AG33" s="97">
        <v>-4.0000000000000001E-3</v>
      </c>
    </row>
    <row r="34" spans="1:34">
      <c r="A34" t="s">
        <v>576</v>
      </c>
      <c r="B34" t="s">
        <v>670</v>
      </c>
      <c r="C34" t="s">
        <v>669</v>
      </c>
      <c r="D34" t="s">
        <v>107</v>
      </c>
      <c r="F34">
        <v>0.82673799999999997</v>
      </c>
      <c r="G34">
        <v>0.89713500000000002</v>
      </c>
      <c r="H34">
        <v>0.93154300000000001</v>
      </c>
      <c r="I34">
        <v>0.96592900000000004</v>
      </c>
      <c r="J34">
        <v>0.96586000000000005</v>
      </c>
      <c r="K34">
        <v>0.96587599999999996</v>
      </c>
      <c r="L34">
        <v>0.96630300000000002</v>
      </c>
      <c r="M34">
        <v>0.96634299999999995</v>
      </c>
      <c r="N34">
        <v>0.96801599999999999</v>
      </c>
      <c r="O34">
        <v>0.96530099999999996</v>
      </c>
      <c r="P34">
        <v>0.96179599999999998</v>
      </c>
      <c r="Q34">
        <v>0.95052700000000001</v>
      </c>
      <c r="R34">
        <v>0.94846299999999995</v>
      </c>
      <c r="S34">
        <v>0.94750100000000004</v>
      </c>
      <c r="T34">
        <v>0.94209699999999996</v>
      </c>
      <c r="U34">
        <v>0.93090099999999998</v>
      </c>
      <c r="V34">
        <v>0.93122099999999997</v>
      </c>
      <c r="W34">
        <v>0.93847199999999997</v>
      </c>
      <c r="X34">
        <v>0.939299</v>
      </c>
      <c r="Y34">
        <v>0.93390899999999999</v>
      </c>
      <c r="Z34">
        <v>0.92494299999999996</v>
      </c>
      <c r="AA34">
        <v>0.92375600000000002</v>
      </c>
      <c r="AB34">
        <v>0.91442800000000002</v>
      </c>
      <c r="AC34">
        <v>0.906192</v>
      </c>
      <c r="AD34">
        <v>0.91056400000000004</v>
      </c>
      <c r="AE34">
        <v>0.90995899999999996</v>
      </c>
      <c r="AF34">
        <v>0.91156599999999999</v>
      </c>
      <c r="AG34" s="97">
        <v>4.0000000000000001E-3</v>
      </c>
    </row>
    <row r="35" spans="1:34">
      <c r="A35" t="s">
        <v>573</v>
      </c>
      <c r="B35" t="s">
        <v>668</v>
      </c>
      <c r="C35" t="s">
        <v>667</v>
      </c>
      <c r="D35" t="s">
        <v>107</v>
      </c>
      <c r="F35">
        <v>2.8271299999999999</v>
      </c>
      <c r="G35">
        <v>2.8718189999999999</v>
      </c>
      <c r="H35">
        <v>2.875731</v>
      </c>
      <c r="I35">
        <v>2.8698679999999999</v>
      </c>
      <c r="J35">
        <v>2.8564219999999998</v>
      </c>
      <c r="K35">
        <v>2.8758110000000001</v>
      </c>
      <c r="L35">
        <v>2.8927710000000002</v>
      </c>
      <c r="M35">
        <v>2.9060280000000001</v>
      </c>
      <c r="N35">
        <v>2.918212</v>
      </c>
      <c r="O35">
        <v>2.9213490000000002</v>
      </c>
      <c r="P35">
        <v>2.9268450000000001</v>
      </c>
      <c r="Q35">
        <v>2.934831</v>
      </c>
      <c r="R35">
        <v>2.9602469999999999</v>
      </c>
      <c r="S35">
        <v>2.9740739999999999</v>
      </c>
      <c r="T35">
        <v>2.9842599999999999</v>
      </c>
      <c r="U35">
        <v>2.9991400000000001</v>
      </c>
      <c r="V35">
        <v>3.0090669999999999</v>
      </c>
      <c r="W35">
        <v>3.0028079999999999</v>
      </c>
      <c r="X35">
        <v>2.998424</v>
      </c>
      <c r="Y35">
        <v>2.9958990000000001</v>
      </c>
      <c r="Z35">
        <v>2.9933000000000001</v>
      </c>
      <c r="AA35">
        <v>3.0023149999999998</v>
      </c>
      <c r="AB35">
        <v>3.009601</v>
      </c>
      <c r="AC35">
        <v>3.0312320000000001</v>
      </c>
      <c r="AD35">
        <v>3.0563449999999999</v>
      </c>
      <c r="AE35">
        <v>3.0792959999999998</v>
      </c>
      <c r="AF35">
        <v>3.0921189999999998</v>
      </c>
      <c r="AG35" s="97">
        <v>3.0000000000000001E-3</v>
      </c>
    </row>
    <row r="36" spans="1:34">
      <c r="A36" t="s">
        <v>570</v>
      </c>
      <c r="B36" t="s">
        <v>666</v>
      </c>
      <c r="C36" t="s">
        <v>665</v>
      </c>
      <c r="D36" t="s">
        <v>107</v>
      </c>
      <c r="F36">
        <v>2.5687570000000002</v>
      </c>
      <c r="G36">
        <v>2.8954939999999998</v>
      </c>
      <c r="H36">
        <v>3.4481570000000001</v>
      </c>
      <c r="I36">
        <v>3.7477779999999998</v>
      </c>
      <c r="J36">
        <v>3.9450289999999999</v>
      </c>
      <c r="K36">
        <v>4.2908480000000004</v>
      </c>
      <c r="L36">
        <v>4.7337660000000001</v>
      </c>
      <c r="M36">
        <v>5.2460000000000004</v>
      </c>
      <c r="N36">
        <v>5.8579460000000001</v>
      </c>
      <c r="O36">
        <v>6.4506240000000004</v>
      </c>
      <c r="P36">
        <v>7.1007389999999999</v>
      </c>
      <c r="Q36">
        <v>7.7564710000000003</v>
      </c>
      <c r="R36">
        <v>8.4201890000000006</v>
      </c>
      <c r="S36">
        <v>8.9648400000000006</v>
      </c>
      <c r="T36">
        <v>9.3182229999999997</v>
      </c>
      <c r="U36">
        <v>9.7752780000000001</v>
      </c>
      <c r="V36">
        <v>10.097687000000001</v>
      </c>
      <c r="W36">
        <v>10.268065</v>
      </c>
      <c r="X36">
        <v>10.424975</v>
      </c>
      <c r="Y36">
        <v>10.586029</v>
      </c>
      <c r="Z36">
        <v>10.756422000000001</v>
      </c>
      <c r="AA36">
        <v>10.979507</v>
      </c>
      <c r="AB36">
        <v>11.201282000000001</v>
      </c>
      <c r="AC36">
        <v>11.471246000000001</v>
      </c>
      <c r="AD36">
        <v>11.736094</v>
      </c>
      <c r="AE36">
        <v>12.031924999999999</v>
      </c>
      <c r="AF36">
        <v>12.295479</v>
      </c>
      <c r="AG36" s="97">
        <v>6.2E-2</v>
      </c>
    </row>
    <row r="37" spans="1:34">
      <c r="A37" t="s">
        <v>567</v>
      </c>
      <c r="B37" t="s">
        <v>664</v>
      </c>
      <c r="C37" t="s">
        <v>663</v>
      </c>
      <c r="D37" t="s">
        <v>107</v>
      </c>
      <c r="F37">
        <v>0.18931500000000001</v>
      </c>
      <c r="G37">
        <v>0.207478</v>
      </c>
      <c r="H37">
        <v>0.231687</v>
      </c>
      <c r="I37">
        <v>0.29239999999999999</v>
      </c>
      <c r="J37">
        <v>0.33126100000000003</v>
      </c>
      <c r="K37">
        <v>0.35177900000000001</v>
      </c>
      <c r="L37">
        <v>0.376666</v>
      </c>
      <c r="M37">
        <v>0.38355899999999998</v>
      </c>
      <c r="N37">
        <v>0.38857199999999997</v>
      </c>
      <c r="O37">
        <v>0.391071</v>
      </c>
      <c r="P37">
        <v>0.39093</v>
      </c>
      <c r="Q37">
        <v>0.38548900000000003</v>
      </c>
      <c r="R37">
        <v>0.36623899999999998</v>
      </c>
      <c r="S37">
        <v>0.35636899999999999</v>
      </c>
      <c r="T37">
        <v>0.35373399999999999</v>
      </c>
      <c r="U37">
        <v>0.34755399999999997</v>
      </c>
      <c r="V37">
        <v>0.35292000000000001</v>
      </c>
      <c r="W37">
        <v>0.35378999999999999</v>
      </c>
      <c r="X37">
        <v>0.35376099999999999</v>
      </c>
      <c r="Y37">
        <v>0.33150200000000002</v>
      </c>
      <c r="Z37">
        <v>0.33415600000000001</v>
      </c>
      <c r="AA37">
        <v>0.3286</v>
      </c>
      <c r="AB37">
        <v>0.31749100000000002</v>
      </c>
      <c r="AC37">
        <v>0.29526200000000002</v>
      </c>
      <c r="AD37">
        <v>0.27916800000000003</v>
      </c>
      <c r="AE37">
        <v>0.26729000000000003</v>
      </c>
      <c r="AF37">
        <v>0.26863300000000001</v>
      </c>
      <c r="AG37" s="97">
        <v>1.4E-2</v>
      </c>
    </row>
    <row r="38" spans="1:34">
      <c r="A38" t="s">
        <v>517</v>
      </c>
      <c r="B38" t="s">
        <v>662</v>
      </c>
      <c r="C38" t="s">
        <v>661</v>
      </c>
      <c r="D38" t="s">
        <v>107</v>
      </c>
      <c r="F38">
        <v>93.50985</v>
      </c>
      <c r="G38">
        <v>94.449257000000003</v>
      </c>
      <c r="H38">
        <v>93.427261000000001</v>
      </c>
      <c r="I38">
        <v>93.067504999999997</v>
      </c>
      <c r="J38">
        <v>92.901168999999996</v>
      </c>
      <c r="K38">
        <v>92.590316999999999</v>
      </c>
      <c r="L38">
        <v>91.902748000000003</v>
      </c>
      <c r="M38">
        <v>91.275825999999995</v>
      </c>
      <c r="N38">
        <v>90.198279999999997</v>
      </c>
      <c r="O38">
        <v>89.593788000000004</v>
      </c>
      <c r="P38">
        <v>89.072777000000002</v>
      </c>
      <c r="Q38">
        <v>88.645554000000004</v>
      </c>
      <c r="R38">
        <v>88.186554000000001</v>
      </c>
      <c r="S38">
        <v>87.883201999999997</v>
      </c>
      <c r="T38">
        <v>87.920531999999994</v>
      </c>
      <c r="U38">
        <v>87.736525999999998</v>
      </c>
      <c r="V38">
        <v>87.822685000000007</v>
      </c>
      <c r="W38">
        <v>88.082572999999996</v>
      </c>
      <c r="X38">
        <v>88.329123999999993</v>
      </c>
      <c r="Y38">
        <v>88.620361000000003</v>
      </c>
      <c r="Z38">
        <v>88.801544000000007</v>
      </c>
      <c r="AA38">
        <v>88.971953999999997</v>
      </c>
      <c r="AB38">
        <v>89.058907000000005</v>
      </c>
      <c r="AC38">
        <v>89.382355000000004</v>
      </c>
      <c r="AD38">
        <v>89.712233999999995</v>
      </c>
      <c r="AE38">
        <v>89.982039999999998</v>
      </c>
      <c r="AF38">
        <v>90.346221999999997</v>
      </c>
      <c r="AG38" s="97">
        <v>-1E-3</v>
      </c>
    </row>
    <row r="39" spans="1:34">
      <c r="A39" t="s">
        <v>562</v>
      </c>
    </row>
    <row r="40" spans="1:34">
      <c r="A40" t="s">
        <v>545</v>
      </c>
      <c r="B40" t="s">
        <v>660</v>
      </c>
      <c r="C40" t="s">
        <v>659</v>
      </c>
      <c r="D40" t="s">
        <v>515</v>
      </c>
      <c r="F40">
        <v>80.488997999999995</v>
      </c>
      <c r="G40">
        <v>72.097213999999994</v>
      </c>
      <c r="H40">
        <v>81.935462999999999</v>
      </c>
      <c r="I40">
        <v>80.681808000000004</v>
      </c>
      <c r="J40">
        <v>80.521248</v>
      </c>
      <c r="K40">
        <v>80.753532000000007</v>
      </c>
      <c r="L40">
        <v>80.943047000000007</v>
      </c>
      <c r="M40">
        <v>82.169914000000006</v>
      </c>
      <c r="N40">
        <v>81.796593000000001</v>
      </c>
      <c r="O40">
        <v>83.052368000000001</v>
      </c>
      <c r="P40">
        <v>85.174789000000004</v>
      </c>
      <c r="Q40">
        <v>85.730247000000006</v>
      </c>
      <c r="R40">
        <v>86.354247999999998</v>
      </c>
      <c r="S40">
        <v>87.466605999999999</v>
      </c>
      <c r="T40">
        <v>88.285606000000001</v>
      </c>
      <c r="U40">
        <v>89.512550000000005</v>
      </c>
      <c r="V40">
        <v>90.037505999999993</v>
      </c>
      <c r="W40">
        <v>90.518653999999998</v>
      </c>
      <c r="X40">
        <v>90.300811999999993</v>
      </c>
      <c r="Y40">
        <v>91.135413999999997</v>
      </c>
      <c r="Z40">
        <v>91.856139999999996</v>
      </c>
      <c r="AA40">
        <v>92.621803</v>
      </c>
      <c r="AB40">
        <v>95.502533</v>
      </c>
      <c r="AC40">
        <v>95.334678999999994</v>
      </c>
      <c r="AD40">
        <v>95.944344000000001</v>
      </c>
      <c r="AE40">
        <v>96.877662999999998</v>
      </c>
      <c r="AF40">
        <v>98.475311000000005</v>
      </c>
      <c r="AG40" s="97">
        <v>8.0000000000000002E-3</v>
      </c>
    </row>
    <row r="41" spans="1:34">
      <c r="A41" t="s">
        <v>542</v>
      </c>
      <c r="B41" t="s">
        <v>658</v>
      </c>
      <c r="C41" t="s">
        <v>657</v>
      </c>
      <c r="D41" t="s">
        <v>515</v>
      </c>
      <c r="F41">
        <v>76.508003000000002</v>
      </c>
      <c r="G41">
        <v>67.728752</v>
      </c>
      <c r="H41">
        <v>80.00985</v>
      </c>
      <c r="I41">
        <v>78.617103999999998</v>
      </c>
      <c r="J41">
        <v>78.804259999999999</v>
      </c>
      <c r="K41">
        <v>79.433646999999993</v>
      </c>
      <c r="L41">
        <v>79.491966000000005</v>
      </c>
      <c r="M41">
        <v>81.251182999999997</v>
      </c>
      <c r="N41">
        <v>79.917327999999998</v>
      </c>
      <c r="O41">
        <v>80.887366999999998</v>
      </c>
      <c r="P41">
        <v>83.208672000000007</v>
      </c>
      <c r="Q41">
        <v>83.732719000000003</v>
      </c>
      <c r="R41">
        <v>84.043380999999997</v>
      </c>
      <c r="S41">
        <v>85.552284</v>
      </c>
      <c r="T41">
        <v>86.510611999999995</v>
      </c>
      <c r="U41">
        <v>87.779274000000001</v>
      </c>
      <c r="V41">
        <v>88.600136000000006</v>
      </c>
      <c r="W41">
        <v>88.905013999999994</v>
      </c>
      <c r="X41">
        <v>88.572074999999998</v>
      </c>
      <c r="Y41">
        <v>89.307434000000001</v>
      </c>
      <c r="Z41">
        <v>89.791129999999995</v>
      </c>
      <c r="AA41">
        <v>90.605675000000005</v>
      </c>
      <c r="AB41">
        <v>93.122748999999999</v>
      </c>
      <c r="AC41">
        <v>93.221451000000002</v>
      </c>
      <c r="AD41">
        <v>93.777091999999996</v>
      </c>
      <c r="AE41">
        <v>94.908744999999996</v>
      </c>
      <c r="AF41">
        <v>96.172379000000006</v>
      </c>
      <c r="AG41" s="97">
        <v>8.9999999999999993E-3</v>
      </c>
    </row>
    <row r="42" spans="1:34">
      <c r="A42" t="s">
        <v>538</v>
      </c>
      <c r="B42" t="s">
        <v>656</v>
      </c>
      <c r="C42" t="s">
        <v>655</v>
      </c>
      <c r="D42" t="s">
        <v>520</v>
      </c>
      <c r="F42">
        <v>2.1916060000000002</v>
      </c>
      <c r="G42">
        <v>2.8928889999999998</v>
      </c>
      <c r="H42">
        <v>2.7412160000000001</v>
      </c>
      <c r="I42">
        <v>2.6195930000000001</v>
      </c>
      <c r="J42">
        <v>2.6823450000000002</v>
      </c>
      <c r="K42">
        <v>2.860255</v>
      </c>
      <c r="L42">
        <v>3.047304</v>
      </c>
      <c r="M42">
        <v>3.1854879999999999</v>
      </c>
      <c r="N42">
        <v>3.5930420000000001</v>
      </c>
      <c r="O42">
        <v>3.941198</v>
      </c>
      <c r="P42">
        <v>4.1947580000000002</v>
      </c>
      <c r="Q42">
        <v>4.2992689999999998</v>
      </c>
      <c r="R42">
        <v>4.2720419999999999</v>
      </c>
      <c r="S42">
        <v>4.2353529999999999</v>
      </c>
      <c r="T42">
        <v>4.2269670000000001</v>
      </c>
      <c r="U42">
        <v>4.2102760000000004</v>
      </c>
      <c r="V42">
        <v>4.2724960000000003</v>
      </c>
      <c r="W42">
        <v>4.3913719999999996</v>
      </c>
      <c r="X42">
        <v>4.5104009999999999</v>
      </c>
      <c r="Y42">
        <v>4.6215260000000002</v>
      </c>
      <c r="Z42">
        <v>4.7065590000000004</v>
      </c>
      <c r="AA42">
        <v>4.7527710000000001</v>
      </c>
      <c r="AB42">
        <v>4.8091150000000003</v>
      </c>
      <c r="AC42">
        <v>4.819598</v>
      </c>
      <c r="AD42">
        <v>4.8552</v>
      </c>
      <c r="AE42">
        <v>4.9406879999999997</v>
      </c>
      <c r="AF42">
        <v>4.976394</v>
      </c>
      <c r="AG42" s="97">
        <v>3.2000000000000001E-2</v>
      </c>
    </row>
    <row r="43" spans="1:34">
      <c r="A43" t="s">
        <v>518</v>
      </c>
      <c r="B43" t="s">
        <v>535</v>
      </c>
      <c r="C43" t="s">
        <v>654</v>
      </c>
      <c r="D43" t="s">
        <v>653</v>
      </c>
      <c r="E43" t="s">
        <v>553</v>
      </c>
      <c r="G43">
        <v>54.294032999999999</v>
      </c>
      <c r="H43">
        <v>52.153824</v>
      </c>
      <c r="I43">
        <v>53.985202999999998</v>
      </c>
      <c r="J43">
        <v>59.790646000000002</v>
      </c>
      <c r="K43">
        <v>60.150379000000001</v>
      </c>
      <c r="L43">
        <v>63.162109000000001</v>
      </c>
      <c r="M43">
        <v>69.279510000000002</v>
      </c>
      <c r="N43">
        <v>70.706267999999994</v>
      </c>
      <c r="O43">
        <v>103.070885</v>
      </c>
      <c r="P43">
        <v>102.889084</v>
      </c>
      <c r="Q43">
        <v>103.112061</v>
      </c>
      <c r="R43">
        <v>103.725388</v>
      </c>
      <c r="S43">
        <v>106.89881099999999</v>
      </c>
      <c r="T43">
        <v>107.069283</v>
      </c>
      <c r="U43">
        <v>105.72640199999999</v>
      </c>
      <c r="V43">
        <v>111.034492</v>
      </c>
      <c r="W43">
        <v>111.718277</v>
      </c>
      <c r="X43">
        <v>112.60968800000001</v>
      </c>
      <c r="Y43">
        <v>112.64138800000001</v>
      </c>
      <c r="Z43">
        <v>112.340073</v>
      </c>
      <c r="AA43">
        <v>113.700394</v>
      </c>
      <c r="AB43">
        <v>113.580009</v>
      </c>
      <c r="AC43">
        <v>118.241524</v>
      </c>
      <c r="AD43">
        <v>117.72191599999999</v>
      </c>
      <c r="AE43">
        <v>117.46931499999999</v>
      </c>
      <c r="AF43">
        <v>117.266357</v>
      </c>
      <c r="AG43">
        <v>118.19787599999999</v>
      </c>
      <c r="AH43" s="97">
        <v>0.03</v>
      </c>
    </row>
    <row r="44" spans="1:34">
      <c r="A44" t="s">
        <v>518</v>
      </c>
      <c r="B44" t="s">
        <v>531</v>
      </c>
      <c r="C44" t="s">
        <v>652</v>
      </c>
      <c r="D44" t="s">
        <v>651</v>
      </c>
      <c r="E44" t="s">
        <v>520</v>
      </c>
      <c r="G44">
        <v>2.5712790000000001</v>
      </c>
      <c r="H44">
        <v>2.4789850000000002</v>
      </c>
      <c r="I44">
        <v>2.5567340000000001</v>
      </c>
      <c r="J44">
        <v>2.7768160000000002</v>
      </c>
      <c r="K44">
        <v>2.775201</v>
      </c>
      <c r="L44">
        <v>2.9037120000000001</v>
      </c>
      <c r="M44">
        <v>3.1136110000000001</v>
      </c>
      <c r="N44">
        <v>3.1681189999999999</v>
      </c>
      <c r="O44">
        <v>4.2426870000000001</v>
      </c>
      <c r="P44">
        <v>4.2390160000000003</v>
      </c>
      <c r="Q44">
        <v>4.2318249999999997</v>
      </c>
      <c r="R44">
        <v>4.2043410000000003</v>
      </c>
      <c r="S44">
        <v>4.3204149999999997</v>
      </c>
      <c r="T44">
        <v>4.3116209999999997</v>
      </c>
      <c r="U44">
        <v>4.3072249999999999</v>
      </c>
      <c r="V44">
        <v>4.4117150000000001</v>
      </c>
      <c r="W44">
        <v>4.41669</v>
      </c>
      <c r="X44">
        <v>4.4175599999999999</v>
      </c>
      <c r="Y44">
        <v>4.4154619999999998</v>
      </c>
      <c r="Z44">
        <v>4.4100580000000003</v>
      </c>
      <c r="AA44">
        <v>4.4508770000000002</v>
      </c>
      <c r="AB44">
        <v>4.4550029999999996</v>
      </c>
      <c r="AC44">
        <v>4.5810040000000001</v>
      </c>
      <c r="AD44">
        <v>4.5825979999999999</v>
      </c>
      <c r="AE44">
        <v>4.5839299999999996</v>
      </c>
      <c r="AF44">
        <v>4.5775670000000002</v>
      </c>
      <c r="AG44">
        <v>4.5927210000000001</v>
      </c>
      <c r="AH44" s="97">
        <v>2.3E-2</v>
      </c>
    </row>
    <row r="45" spans="1:34">
      <c r="A45" t="s">
        <v>518</v>
      </c>
      <c r="B45" t="s">
        <v>528</v>
      </c>
      <c r="C45" t="s">
        <v>650</v>
      </c>
      <c r="D45" t="s">
        <v>649</v>
      </c>
      <c r="E45" t="s">
        <v>520</v>
      </c>
      <c r="G45">
        <v>2.8476720000000002</v>
      </c>
      <c r="H45">
        <v>2.7835580000000002</v>
      </c>
      <c r="I45">
        <v>2.791728</v>
      </c>
      <c r="J45">
        <v>2.82029</v>
      </c>
      <c r="K45">
        <v>2.742178</v>
      </c>
      <c r="L45">
        <v>2.7827060000000001</v>
      </c>
      <c r="M45">
        <v>2.882339</v>
      </c>
      <c r="N45">
        <v>2.9052959999999999</v>
      </c>
      <c r="O45">
        <v>3.9178829999999998</v>
      </c>
      <c r="P45">
        <v>3.8919169999999998</v>
      </c>
      <c r="Q45">
        <v>3.9147569999999998</v>
      </c>
      <c r="R45">
        <v>3.9162089999999998</v>
      </c>
      <c r="S45">
        <v>3.990882</v>
      </c>
      <c r="T45">
        <v>4.0233150000000002</v>
      </c>
      <c r="U45">
        <v>4.0875120000000003</v>
      </c>
      <c r="V45">
        <v>4.4196759999999999</v>
      </c>
      <c r="W45">
        <v>4.4042409999999999</v>
      </c>
      <c r="X45">
        <v>4.3812660000000001</v>
      </c>
      <c r="Y45">
        <v>4.3745599999999998</v>
      </c>
      <c r="Z45">
        <v>4.3625540000000003</v>
      </c>
      <c r="AA45">
        <v>4.4277509999999998</v>
      </c>
      <c r="AB45">
        <v>4.4149649999999996</v>
      </c>
      <c r="AC45">
        <v>4.8611389999999997</v>
      </c>
      <c r="AD45">
        <v>4.8633850000000001</v>
      </c>
      <c r="AE45">
        <v>4.8627419999999999</v>
      </c>
      <c r="AF45">
        <v>4.9186290000000001</v>
      </c>
      <c r="AG45">
        <v>4.9629490000000001</v>
      </c>
      <c r="AH45" s="97">
        <v>2.1999999999999999E-2</v>
      </c>
    </row>
    <row r="46" spans="1:34">
      <c r="A46" t="s">
        <v>524</v>
      </c>
      <c r="B46" t="s">
        <v>648</v>
      </c>
      <c r="C46" t="s">
        <v>647</v>
      </c>
      <c r="D46" t="s">
        <v>546</v>
      </c>
      <c r="F46">
        <v>12.998412</v>
      </c>
      <c r="G46">
        <v>12.725602</v>
      </c>
      <c r="H46">
        <v>11.906893</v>
      </c>
      <c r="I46">
        <v>11.265480999999999</v>
      </c>
      <c r="J46">
        <v>11.209638</v>
      </c>
      <c r="K46">
        <v>11.320930000000001</v>
      </c>
      <c r="L46">
        <v>11.437547</v>
      </c>
      <c r="M46">
        <v>11.606448</v>
      </c>
      <c r="N46">
        <v>11.70689</v>
      </c>
      <c r="O46">
        <v>11.890991</v>
      </c>
      <c r="P46">
        <v>11.915929999999999</v>
      </c>
      <c r="Q46">
        <v>11.808524</v>
      </c>
      <c r="R46">
        <v>11.756454</v>
      </c>
      <c r="S46">
        <v>11.717546</v>
      </c>
      <c r="T46">
        <v>11.688758</v>
      </c>
      <c r="U46">
        <v>11.639846</v>
      </c>
      <c r="V46">
        <v>11.642512999999999</v>
      </c>
      <c r="W46">
        <v>11.706522</v>
      </c>
      <c r="X46">
        <v>11.811798</v>
      </c>
      <c r="Y46">
        <v>11.921274</v>
      </c>
      <c r="Z46">
        <v>11.995486</v>
      </c>
      <c r="AA46">
        <v>12.087896000000001</v>
      </c>
      <c r="AB46">
        <v>12.171165999999999</v>
      </c>
      <c r="AC46">
        <v>12.232521999999999</v>
      </c>
      <c r="AD46">
        <v>12.237454</v>
      </c>
      <c r="AE46">
        <v>12.230212999999999</v>
      </c>
      <c r="AF46">
        <v>12.215718000000001</v>
      </c>
      <c r="AG46" s="97">
        <v>-2E-3</v>
      </c>
    </row>
    <row r="47" spans="1:34">
      <c r="A47" t="s">
        <v>99</v>
      </c>
    </row>
    <row r="48" spans="1:34">
      <c r="A48" t="s">
        <v>545</v>
      </c>
      <c r="B48" t="s">
        <v>646</v>
      </c>
      <c r="C48" t="s">
        <v>645</v>
      </c>
      <c r="D48" t="s">
        <v>539</v>
      </c>
      <c r="F48">
        <v>80.488997999999995</v>
      </c>
      <c r="G48">
        <v>73.574996999999996</v>
      </c>
      <c r="H48">
        <v>85.033287000000001</v>
      </c>
      <c r="I48">
        <v>85.142876000000001</v>
      </c>
      <c r="J48">
        <v>86.576508000000004</v>
      </c>
      <c r="K48">
        <v>88.372337000000002</v>
      </c>
      <c r="L48">
        <v>90.241066000000004</v>
      </c>
      <c r="M48">
        <v>93.483733999999998</v>
      </c>
      <c r="N48">
        <v>94.987121999999999</v>
      </c>
      <c r="O48">
        <v>98.489547999999999</v>
      </c>
      <c r="P48">
        <v>103.17817700000001</v>
      </c>
      <c r="Q48">
        <v>106.02597799999999</v>
      </c>
      <c r="R48">
        <v>108.91237599999999</v>
      </c>
      <c r="S48">
        <v>112.498215</v>
      </c>
      <c r="T48">
        <v>115.782043</v>
      </c>
      <c r="U48">
        <v>119.687668</v>
      </c>
      <c r="V48">
        <v>122.792664</v>
      </c>
      <c r="W48">
        <v>125.96586600000001</v>
      </c>
      <c r="X48">
        <v>128.27246099999999</v>
      </c>
      <c r="Y48">
        <v>132.213562</v>
      </c>
      <c r="Z48">
        <v>136.139343</v>
      </c>
      <c r="AA48">
        <v>140.30413799999999</v>
      </c>
      <c r="AB48">
        <v>147.87678500000001</v>
      </c>
      <c r="AC48">
        <v>150.915695</v>
      </c>
      <c r="AD48">
        <v>155.314133</v>
      </c>
      <c r="AE48">
        <v>160.37472500000001</v>
      </c>
      <c r="AF48">
        <v>166.73850999999999</v>
      </c>
      <c r="AG48" s="97">
        <v>2.8000000000000001E-2</v>
      </c>
    </row>
    <row r="49" spans="1:34">
      <c r="A49" t="s">
        <v>542</v>
      </c>
      <c r="B49" t="s">
        <v>644</v>
      </c>
      <c r="C49" t="s">
        <v>643</v>
      </c>
      <c r="D49" t="s">
        <v>539</v>
      </c>
      <c r="F49">
        <v>76.508003000000002</v>
      </c>
      <c r="G49">
        <v>69.116996999999998</v>
      </c>
      <c r="H49">
        <v>83.034865999999994</v>
      </c>
      <c r="I49">
        <v>82.964005</v>
      </c>
      <c r="J49">
        <v>84.730400000000003</v>
      </c>
      <c r="K49">
        <v>86.927932999999996</v>
      </c>
      <c r="L49">
        <v>88.623290999999995</v>
      </c>
      <c r="M49">
        <v>92.438491999999997</v>
      </c>
      <c r="N49">
        <v>92.804810000000003</v>
      </c>
      <c r="O49">
        <v>95.922127000000003</v>
      </c>
      <c r="P49">
        <v>100.796471</v>
      </c>
      <c r="Q49">
        <v>103.55555</v>
      </c>
      <c r="R49">
        <v>105.99784099999999</v>
      </c>
      <c r="S49">
        <v>110.036041</v>
      </c>
      <c r="T49">
        <v>113.454239</v>
      </c>
      <c r="U49">
        <v>117.370087</v>
      </c>
      <c r="V49">
        <v>120.832382</v>
      </c>
      <c r="W49">
        <v>123.720322</v>
      </c>
      <c r="X49">
        <v>125.81677999999999</v>
      </c>
      <c r="Y49">
        <v>129.561646</v>
      </c>
      <c r="Z49">
        <v>133.078812</v>
      </c>
      <c r="AA49">
        <v>137.250092</v>
      </c>
      <c r="AB49">
        <v>144.19191000000001</v>
      </c>
      <c r="AC49">
        <v>147.570435</v>
      </c>
      <c r="AD49">
        <v>151.80578600000001</v>
      </c>
      <c r="AE49">
        <v>157.11531099999999</v>
      </c>
      <c r="AF49">
        <v>162.83918800000001</v>
      </c>
      <c r="AG49" s="97">
        <v>2.9000000000000001E-2</v>
      </c>
    </row>
    <row r="50" spans="1:34">
      <c r="A50" t="s">
        <v>538</v>
      </c>
      <c r="B50" t="s">
        <v>642</v>
      </c>
      <c r="C50" t="s">
        <v>641</v>
      </c>
      <c r="D50" t="s">
        <v>525</v>
      </c>
      <c r="F50">
        <v>2.1916060000000002</v>
      </c>
      <c r="G50">
        <v>2.9521850000000001</v>
      </c>
      <c r="H50">
        <v>2.8448560000000001</v>
      </c>
      <c r="I50">
        <v>2.7644359999999999</v>
      </c>
      <c r="J50">
        <v>2.8840590000000002</v>
      </c>
      <c r="K50">
        <v>3.1301100000000002</v>
      </c>
      <c r="L50">
        <v>3.397351</v>
      </c>
      <c r="M50">
        <v>3.624091</v>
      </c>
      <c r="N50">
        <v>4.1724560000000004</v>
      </c>
      <c r="O50">
        <v>4.6737599999999997</v>
      </c>
      <c r="P50">
        <v>5.0814029999999999</v>
      </c>
      <c r="Q50">
        <v>5.317075</v>
      </c>
      <c r="R50">
        <v>5.3880179999999998</v>
      </c>
      <c r="S50">
        <v>5.4474470000000004</v>
      </c>
      <c r="T50">
        <v>5.5434510000000001</v>
      </c>
      <c r="U50">
        <v>5.6295799999999998</v>
      </c>
      <c r="V50">
        <v>5.8268069999999996</v>
      </c>
      <c r="W50">
        <v>6.1110379999999997</v>
      </c>
      <c r="X50">
        <v>6.4070320000000001</v>
      </c>
      <c r="Y50">
        <v>6.7046210000000004</v>
      </c>
      <c r="Z50">
        <v>6.9755580000000004</v>
      </c>
      <c r="AA50">
        <v>7.1995310000000003</v>
      </c>
      <c r="AB50">
        <v>7.4464670000000002</v>
      </c>
      <c r="AC50">
        <v>7.6294690000000003</v>
      </c>
      <c r="AD50">
        <v>7.8595680000000003</v>
      </c>
      <c r="AE50">
        <v>8.1789900000000006</v>
      </c>
      <c r="AF50">
        <v>8.4260350000000006</v>
      </c>
      <c r="AG50" s="97">
        <v>5.2999999999999999E-2</v>
      </c>
    </row>
    <row r="51" spans="1:34">
      <c r="A51" t="s">
        <v>518</v>
      </c>
      <c r="B51" t="s">
        <v>535</v>
      </c>
      <c r="C51" t="s">
        <v>640</v>
      </c>
      <c r="D51" t="s">
        <v>639</v>
      </c>
      <c r="E51" t="s">
        <v>532</v>
      </c>
      <c r="G51">
        <v>54.294032999999999</v>
      </c>
      <c r="H51">
        <v>53.222828</v>
      </c>
      <c r="I51">
        <v>56.026282999999999</v>
      </c>
      <c r="J51">
        <v>63.096595999999998</v>
      </c>
      <c r="K51">
        <v>64.673728999999994</v>
      </c>
      <c r="L51">
        <v>69.121230999999995</v>
      </c>
      <c r="M51">
        <v>77.237724</v>
      </c>
      <c r="N51">
        <v>80.441672999999994</v>
      </c>
      <c r="O51">
        <v>119.692108</v>
      </c>
      <c r="P51">
        <v>122.013367</v>
      </c>
      <c r="Q51">
        <v>124.906837</v>
      </c>
      <c r="R51">
        <v>128.28128100000001</v>
      </c>
      <c r="S51">
        <v>134.823746</v>
      </c>
      <c r="T51">
        <v>137.71087600000001</v>
      </c>
      <c r="U51">
        <v>138.65475499999999</v>
      </c>
      <c r="V51">
        <v>148.464752</v>
      </c>
      <c r="W51">
        <v>152.36077900000001</v>
      </c>
      <c r="X51">
        <v>156.70777899999999</v>
      </c>
      <c r="Y51">
        <v>160.00727800000001</v>
      </c>
      <c r="Z51">
        <v>162.97595200000001</v>
      </c>
      <c r="AA51">
        <v>168.514557</v>
      </c>
      <c r="AB51">
        <v>172.05178799999999</v>
      </c>
      <c r="AC51">
        <v>183.08599899999999</v>
      </c>
      <c r="AD51">
        <v>186.354904</v>
      </c>
      <c r="AE51">
        <v>190.158615</v>
      </c>
      <c r="AF51">
        <v>194.12690699999999</v>
      </c>
      <c r="AG51">
        <v>200.13278199999999</v>
      </c>
      <c r="AH51" s="97">
        <v>5.0999999999999997E-2</v>
      </c>
    </row>
    <row r="52" spans="1:34">
      <c r="A52" t="s">
        <v>518</v>
      </c>
      <c r="B52" t="s">
        <v>531</v>
      </c>
      <c r="C52" t="s">
        <v>638</v>
      </c>
      <c r="D52" t="s">
        <v>637</v>
      </c>
      <c r="E52" t="s">
        <v>525</v>
      </c>
      <c r="G52">
        <v>2.5712790000000001</v>
      </c>
      <c r="H52">
        <v>2.529798</v>
      </c>
      <c r="I52">
        <v>2.6533989999999998</v>
      </c>
      <c r="J52">
        <v>2.9303520000000001</v>
      </c>
      <c r="K52">
        <v>2.9838979999999999</v>
      </c>
      <c r="L52">
        <v>3.1776659999999999</v>
      </c>
      <c r="M52">
        <v>3.4712749999999999</v>
      </c>
      <c r="N52">
        <v>3.6043310000000002</v>
      </c>
      <c r="O52">
        <v>4.926863</v>
      </c>
      <c r="P52">
        <v>5.0269339999999998</v>
      </c>
      <c r="Q52">
        <v>5.1263059999999996</v>
      </c>
      <c r="R52">
        <v>5.1996739999999999</v>
      </c>
      <c r="S52">
        <v>5.4490280000000002</v>
      </c>
      <c r="T52">
        <v>5.5455420000000002</v>
      </c>
      <c r="U52">
        <v>5.6487049999999996</v>
      </c>
      <c r="V52">
        <v>5.8989260000000003</v>
      </c>
      <c r="W52">
        <v>6.0234579999999998</v>
      </c>
      <c r="X52">
        <v>6.147481</v>
      </c>
      <c r="Y52">
        <v>6.2721710000000002</v>
      </c>
      <c r="Z52">
        <v>6.397837</v>
      </c>
      <c r="AA52">
        <v>6.5966139999999998</v>
      </c>
      <c r="AB52">
        <v>6.7484690000000001</v>
      </c>
      <c r="AC52">
        <v>7.0932579999999996</v>
      </c>
      <c r="AD52">
        <v>7.2542949999999999</v>
      </c>
      <c r="AE52">
        <v>7.4204369999999997</v>
      </c>
      <c r="AF52">
        <v>7.5778670000000004</v>
      </c>
      <c r="AG52">
        <v>7.776402</v>
      </c>
      <c r="AH52" s="97">
        <v>4.2999999999999997E-2</v>
      </c>
    </row>
    <row r="53" spans="1:34">
      <c r="A53" t="s">
        <v>518</v>
      </c>
      <c r="B53" t="s">
        <v>528</v>
      </c>
      <c r="C53" t="s">
        <v>636</v>
      </c>
      <c r="D53" t="s">
        <v>635</v>
      </c>
      <c r="E53" t="s">
        <v>525</v>
      </c>
      <c r="G53">
        <v>2.8476720000000002</v>
      </c>
      <c r="H53">
        <v>2.8406129999999998</v>
      </c>
      <c r="I53">
        <v>2.8972769999999999</v>
      </c>
      <c r="J53">
        <v>2.9762300000000002</v>
      </c>
      <c r="K53">
        <v>2.9483920000000001</v>
      </c>
      <c r="L53">
        <v>3.045245</v>
      </c>
      <c r="M53">
        <v>3.2134369999999999</v>
      </c>
      <c r="N53">
        <v>3.30532</v>
      </c>
      <c r="O53">
        <v>4.5496809999999996</v>
      </c>
      <c r="P53">
        <v>4.6153180000000003</v>
      </c>
      <c r="Q53">
        <v>4.7422190000000004</v>
      </c>
      <c r="R53">
        <v>4.8433289999999998</v>
      </c>
      <c r="S53">
        <v>5.0334110000000001</v>
      </c>
      <c r="T53">
        <v>5.1747259999999997</v>
      </c>
      <c r="U53">
        <v>5.3605619999999998</v>
      </c>
      <c r="V53">
        <v>5.9095700000000004</v>
      </c>
      <c r="W53">
        <v>6.0064799999999998</v>
      </c>
      <c r="X53">
        <v>6.0969749999999996</v>
      </c>
      <c r="Y53">
        <v>6.2140690000000003</v>
      </c>
      <c r="Z53">
        <v>6.3289200000000001</v>
      </c>
      <c r="AA53">
        <v>6.5623379999999996</v>
      </c>
      <c r="AB53">
        <v>6.6878190000000002</v>
      </c>
      <c r="AC53">
        <v>7.5270210000000004</v>
      </c>
      <c r="AD53">
        <v>7.6987839999999998</v>
      </c>
      <c r="AE53">
        <v>7.8717779999999999</v>
      </c>
      <c r="AF53">
        <v>8.142474</v>
      </c>
      <c r="AG53">
        <v>8.4032710000000002</v>
      </c>
      <c r="AH53" s="97">
        <v>4.2000000000000003E-2</v>
      </c>
    </row>
    <row r="54" spans="1:34">
      <c r="A54" t="s">
        <v>524</v>
      </c>
      <c r="B54" t="s">
        <v>634</v>
      </c>
      <c r="C54" t="s">
        <v>633</v>
      </c>
      <c r="D54" t="s">
        <v>521</v>
      </c>
      <c r="F54">
        <v>12.998412</v>
      </c>
      <c r="G54">
        <v>12.986440999999999</v>
      </c>
      <c r="H54">
        <v>12.357068999999999</v>
      </c>
      <c r="I54">
        <v>11.888372</v>
      </c>
      <c r="J54">
        <v>12.05261</v>
      </c>
      <c r="K54">
        <v>12.389018999999999</v>
      </c>
      <c r="L54">
        <v>12.751390000000001</v>
      </c>
      <c r="M54">
        <v>13.204516999999999</v>
      </c>
      <c r="N54">
        <v>13.594745</v>
      </c>
      <c r="O54">
        <v>14.101203999999999</v>
      </c>
      <c r="P54">
        <v>14.434597999999999</v>
      </c>
      <c r="Q54">
        <v>14.604067000000001</v>
      </c>
      <c r="R54">
        <v>14.827565</v>
      </c>
      <c r="S54">
        <v>15.070930000000001</v>
      </c>
      <c r="T54">
        <v>15.329205999999999</v>
      </c>
      <c r="U54">
        <v>15.563694</v>
      </c>
      <c r="V54">
        <v>15.877996</v>
      </c>
      <c r="W54">
        <v>16.29081</v>
      </c>
      <c r="X54">
        <v>16.778679</v>
      </c>
      <c r="Y54">
        <v>17.294640000000001</v>
      </c>
      <c r="Z54">
        <v>17.778427000000001</v>
      </c>
      <c r="AA54">
        <v>18.310828999999998</v>
      </c>
      <c r="AB54">
        <v>18.845918999999999</v>
      </c>
      <c r="AC54">
        <v>19.364197000000001</v>
      </c>
      <c r="AD54">
        <v>19.809916999999999</v>
      </c>
      <c r="AE54">
        <v>20.24633</v>
      </c>
      <c r="AF54">
        <v>20.683668000000001</v>
      </c>
      <c r="AG54" s="97">
        <v>1.7999999999999999E-2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2F11-DC67-478F-AFAE-9F19B26BA593}">
  <dimension ref="A1:AD69"/>
  <sheetViews>
    <sheetView topLeftCell="B1" workbookViewId="0"/>
  </sheetViews>
  <sheetFormatPr defaultRowHeight="14.5"/>
  <cols>
    <col min="1" max="1" width="0" hidden="1" customWidth="1"/>
    <col min="2" max="2" width="40.7265625" customWidth="1"/>
  </cols>
  <sheetData>
    <row r="1" spans="1:30" s="267" customFormat="1" ht="15.5">
      <c r="B1" s="267" t="s">
        <v>758</v>
      </c>
    </row>
    <row r="2" spans="1:30" s="268" customFormat="1" ht="12"/>
    <row r="3" spans="1:30" s="268" customFormat="1" ht="12">
      <c r="C3" s="268" t="s">
        <v>92</v>
      </c>
      <c r="D3" s="268" t="s">
        <v>721</v>
      </c>
    </row>
    <row r="4" spans="1:30" s="268" customFormat="1" ht="12">
      <c r="C4" s="268" t="s">
        <v>93</v>
      </c>
      <c r="D4" s="268" t="s">
        <v>759</v>
      </c>
      <c r="F4" s="268" t="s">
        <v>760</v>
      </c>
    </row>
    <row r="5" spans="1:30" s="268" customFormat="1" ht="12">
      <c r="C5" s="268" t="s">
        <v>94</v>
      </c>
      <c r="D5" s="268" t="s">
        <v>761</v>
      </c>
    </row>
    <row r="6" spans="1:30" s="268" customFormat="1" ht="12">
      <c r="C6" s="268" t="s">
        <v>95</v>
      </c>
      <c r="E6" s="268" t="s">
        <v>762</v>
      </c>
    </row>
    <row r="7" spans="1:30" s="269" customFormat="1" ht="15.5">
      <c r="B7" s="269" t="s">
        <v>763</v>
      </c>
    </row>
    <row r="8" spans="1:30" s="270" customFormat="1" ht="12">
      <c r="B8" s="270" t="s">
        <v>764</v>
      </c>
    </row>
    <row r="9" spans="1:30" s="268" customFormat="1" ht="12">
      <c r="AD9" s="268" t="s">
        <v>765</v>
      </c>
    </row>
    <row r="10" spans="1:30" s="271" customFormat="1" ht="12">
      <c r="C10" s="271">
        <v>2024</v>
      </c>
      <c r="D10" s="271">
        <v>2025</v>
      </c>
      <c r="E10" s="271">
        <v>2026</v>
      </c>
      <c r="F10" s="271">
        <v>2027</v>
      </c>
      <c r="G10" s="271">
        <v>2028</v>
      </c>
      <c r="H10" s="271">
        <v>2029</v>
      </c>
      <c r="I10" s="271">
        <v>2030</v>
      </c>
      <c r="J10" s="271">
        <v>2031</v>
      </c>
      <c r="K10" s="271">
        <v>2032</v>
      </c>
      <c r="L10" s="271">
        <v>2033</v>
      </c>
      <c r="M10" s="271">
        <v>2034</v>
      </c>
      <c r="N10" s="271">
        <v>2035</v>
      </c>
      <c r="O10" s="271">
        <v>2036</v>
      </c>
      <c r="P10" s="271">
        <v>2037</v>
      </c>
      <c r="Q10" s="271">
        <v>2038</v>
      </c>
      <c r="R10" s="271">
        <v>2039</v>
      </c>
      <c r="S10" s="271">
        <v>2040</v>
      </c>
      <c r="T10" s="271">
        <v>2041</v>
      </c>
      <c r="U10" s="271">
        <v>2042</v>
      </c>
      <c r="V10" s="271">
        <v>2043</v>
      </c>
      <c r="W10" s="271">
        <v>2044</v>
      </c>
      <c r="X10" s="271">
        <v>2045</v>
      </c>
      <c r="Y10" s="271">
        <v>2046</v>
      </c>
      <c r="Z10" s="271">
        <v>2047</v>
      </c>
      <c r="AA10" s="271">
        <v>2048</v>
      </c>
      <c r="AB10" s="271">
        <v>2049</v>
      </c>
      <c r="AC10" s="271">
        <v>2050</v>
      </c>
      <c r="AD10" s="271" t="s">
        <v>766</v>
      </c>
    </row>
    <row r="11" spans="1:30" s="270" customFormat="1" ht="12"/>
    <row r="12" spans="1:30" s="272" customFormat="1" ht="12">
      <c r="B12" s="272" t="s">
        <v>767</v>
      </c>
    </row>
    <row r="13" spans="1:30" s="272" customFormat="1" ht="12">
      <c r="B13" s="272" t="s">
        <v>768</v>
      </c>
    </row>
    <row r="14" spans="1:30" s="270" customFormat="1" ht="12">
      <c r="A14" s="270" t="s">
        <v>769</v>
      </c>
      <c r="B14" s="270" t="s">
        <v>770</v>
      </c>
      <c r="C14" s="270">
        <v>5.5051383972167969</v>
      </c>
      <c r="D14" s="270">
        <v>5.5889601707458496</v>
      </c>
      <c r="E14" s="270">
        <v>5.5451564788818359</v>
      </c>
      <c r="F14" s="270">
        <v>5.5703377723693848</v>
      </c>
      <c r="G14" s="270">
        <v>5.5628237724304199</v>
      </c>
      <c r="H14" s="270">
        <v>5.5745244026184082</v>
      </c>
      <c r="I14" s="270">
        <v>5.620701789855957</v>
      </c>
      <c r="J14" s="270">
        <v>5.6625313758850098</v>
      </c>
      <c r="K14" s="270">
        <v>5.707273006439209</v>
      </c>
      <c r="L14" s="270">
        <v>5.7308187484741211</v>
      </c>
      <c r="M14" s="270">
        <v>5.7493610382080078</v>
      </c>
      <c r="N14" s="270">
        <v>5.7707858085632324</v>
      </c>
      <c r="O14" s="270">
        <v>5.8204174041748047</v>
      </c>
      <c r="P14" s="270">
        <v>6.055107593536377</v>
      </c>
      <c r="Q14" s="270">
        <v>6.2393593788146973</v>
      </c>
      <c r="R14" s="270">
        <v>6.2594313621520996</v>
      </c>
      <c r="S14" s="270">
        <v>6.2611083984375</v>
      </c>
      <c r="T14" s="270">
        <v>6.2733101844787598</v>
      </c>
      <c r="U14" s="270">
        <v>6.2780075073242188</v>
      </c>
      <c r="V14" s="270">
        <v>6.3645296096801758</v>
      </c>
      <c r="W14" s="270">
        <v>6.3972587585449219</v>
      </c>
      <c r="X14" s="270">
        <v>6.4329190254211426</v>
      </c>
      <c r="Y14" s="270">
        <v>6.4609508514404297</v>
      </c>
      <c r="Z14" s="270">
        <v>6.4699511528015137</v>
      </c>
      <c r="AA14" s="270">
        <v>6.4801840782165527</v>
      </c>
      <c r="AB14" s="270">
        <v>6.4801397323608398</v>
      </c>
      <c r="AC14" s="270">
        <v>6.5980367660522461</v>
      </c>
      <c r="AD14" s="270">
        <v>6.9893211241958131E-3</v>
      </c>
    </row>
    <row r="15" spans="1:30" s="270" customFormat="1" ht="12">
      <c r="A15" s="270" t="s">
        <v>771</v>
      </c>
      <c r="B15" s="270" t="s">
        <v>772</v>
      </c>
      <c r="C15" s="270">
        <v>0.23069240152835849</v>
      </c>
      <c r="D15" s="270">
        <v>0.2306919991970062</v>
      </c>
      <c r="E15" s="270">
        <v>0.39994361996650701</v>
      </c>
      <c r="F15" s="270">
        <v>0.41354027390480042</v>
      </c>
      <c r="G15" s="270">
        <v>0.41889470815658569</v>
      </c>
      <c r="H15" s="270">
        <v>0.4279496967792511</v>
      </c>
      <c r="I15" s="270">
        <v>0.4394436776638031</v>
      </c>
      <c r="J15" s="270">
        <v>0.45007726550102228</v>
      </c>
      <c r="K15" s="270">
        <v>0.46119824051856989</v>
      </c>
      <c r="L15" s="270">
        <v>0.47170498967170721</v>
      </c>
      <c r="M15" s="270">
        <v>0.48237946629524231</v>
      </c>
      <c r="N15" s="270">
        <v>0.48959752917289728</v>
      </c>
      <c r="O15" s="270">
        <v>0.48923510313034058</v>
      </c>
      <c r="P15" s="270">
        <v>0.28911802172660828</v>
      </c>
      <c r="Q15" s="270">
        <v>0.14359673857688901</v>
      </c>
      <c r="R15" s="270">
        <v>0.1572767645120621</v>
      </c>
      <c r="S15" s="270">
        <v>0.16270910203456879</v>
      </c>
      <c r="T15" s="270">
        <v>0.16618843376636511</v>
      </c>
      <c r="U15" s="270">
        <v>0.17135538160800931</v>
      </c>
      <c r="V15" s="270">
        <v>0.11807384341955179</v>
      </c>
      <c r="W15" s="270">
        <v>0.11751096695661541</v>
      </c>
      <c r="X15" s="270">
        <v>0.1173508539795876</v>
      </c>
      <c r="Y15" s="270">
        <v>0.1171779483556747</v>
      </c>
      <c r="Z15" s="270">
        <v>0.1165352091193199</v>
      </c>
      <c r="AA15" s="270">
        <v>0.1157728359103203</v>
      </c>
      <c r="AB15" s="270">
        <v>0.115211583673954</v>
      </c>
      <c r="AC15" s="270">
        <v>0</v>
      </c>
      <c r="AD15" s="270" t="s">
        <v>475</v>
      </c>
    </row>
    <row r="16" spans="1:30" s="270" customFormat="1" ht="12">
      <c r="A16" s="270" t="s">
        <v>773</v>
      </c>
      <c r="B16" s="270" t="s">
        <v>774</v>
      </c>
      <c r="C16" s="270">
        <v>6.3908134961820906E-7</v>
      </c>
      <c r="D16" s="270">
        <v>6.1730128209092072E-7</v>
      </c>
      <c r="E16" s="270">
        <v>3.8930701862227579E-7</v>
      </c>
      <c r="F16" s="270">
        <v>3.6281170423535508E-7</v>
      </c>
      <c r="G16" s="270">
        <v>3.327600950342458E-7</v>
      </c>
      <c r="H16" s="270">
        <v>2.9858290417905659E-7</v>
      </c>
      <c r="I16" s="270">
        <v>2.6217054482913232E-7</v>
      </c>
      <c r="J16" s="270">
        <v>1.200142432935536E-4</v>
      </c>
      <c r="K16" s="270">
        <v>9.2720775865018368E-4</v>
      </c>
      <c r="L16" s="270">
        <v>6.7770946770906448E-4</v>
      </c>
      <c r="M16" s="270">
        <v>2.4563786573708062E-3</v>
      </c>
      <c r="N16" s="270">
        <v>4.1814809665083894E-3</v>
      </c>
      <c r="O16" s="270">
        <v>6.0350927524268627E-3</v>
      </c>
      <c r="P16" s="270">
        <v>6.0992040671408176E-3</v>
      </c>
      <c r="Q16" s="270">
        <v>6.0373451560735703E-3</v>
      </c>
      <c r="R16" s="270">
        <v>5.9533650055527687E-3</v>
      </c>
      <c r="S16" s="270">
        <v>5.9533650055527687E-3</v>
      </c>
      <c r="T16" s="270">
        <v>5.6725018657743931E-3</v>
      </c>
      <c r="U16" s="270">
        <v>4.5324689708650112E-3</v>
      </c>
      <c r="V16" s="270">
        <v>3.6667839158326392E-3</v>
      </c>
      <c r="W16" s="270">
        <v>2.668049419298768E-3</v>
      </c>
      <c r="X16" s="270">
        <v>1.2990754330530761E-3</v>
      </c>
      <c r="Y16" s="270">
        <v>6.6363667428959161E-5</v>
      </c>
      <c r="Z16" s="270">
        <v>1.106061099562794E-4</v>
      </c>
      <c r="AA16" s="270">
        <v>1.050758073688485E-4</v>
      </c>
      <c r="AB16" s="270">
        <v>7.1893970016390085E-5</v>
      </c>
      <c r="AC16" s="270">
        <v>6.6363667428959161E-5</v>
      </c>
      <c r="AD16" s="270">
        <v>0.19550901450126321</v>
      </c>
    </row>
    <row r="17" spans="1:30" s="272" customFormat="1" ht="12">
      <c r="A17" s="272" t="s">
        <v>775</v>
      </c>
      <c r="B17" s="272" t="s">
        <v>776</v>
      </c>
      <c r="C17" s="272">
        <v>2.0956628322601318</v>
      </c>
      <c r="D17" s="272">
        <v>2.114242315292358</v>
      </c>
      <c r="E17" s="272">
        <v>2.1277763843536381</v>
      </c>
      <c r="F17" s="272">
        <v>2.1292381286621089</v>
      </c>
      <c r="G17" s="272">
        <v>2.132126092910767</v>
      </c>
      <c r="H17" s="272">
        <v>2.133710384368896</v>
      </c>
      <c r="I17" s="272">
        <v>2.133877277374268</v>
      </c>
      <c r="J17" s="272">
        <v>2.1338717937469478</v>
      </c>
      <c r="K17" s="272">
        <v>2.137631893157959</v>
      </c>
      <c r="L17" s="272">
        <v>2.148905992507935</v>
      </c>
      <c r="M17" s="272">
        <v>2.1672625541687012</v>
      </c>
      <c r="N17" s="272">
        <v>2.177243709564209</v>
      </c>
      <c r="O17" s="272">
        <v>2.1832344532012939</v>
      </c>
      <c r="P17" s="272">
        <v>2.1968147754669189</v>
      </c>
      <c r="Q17" s="272">
        <v>2.2088782787322998</v>
      </c>
      <c r="R17" s="272">
        <v>2.2192263603210449</v>
      </c>
      <c r="S17" s="272">
        <v>2.2451624870300289</v>
      </c>
      <c r="T17" s="272">
        <v>2.2696211338043208</v>
      </c>
      <c r="U17" s="272">
        <v>2.297623872756958</v>
      </c>
      <c r="V17" s="272">
        <v>2.3018119335174561</v>
      </c>
      <c r="W17" s="272">
        <v>2.3032181262969971</v>
      </c>
      <c r="X17" s="272">
        <v>2.3003263473510742</v>
      </c>
      <c r="Y17" s="272">
        <v>2.2891886234283452</v>
      </c>
      <c r="Z17" s="272">
        <v>2.3190982341766362</v>
      </c>
      <c r="AA17" s="272">
        <v>2.3579726219177251</v>
      </c>
      <c r="AB17" s="272">
        <v>2.392503023147583</v>
      </c>
      <c r="AC17" s="272">
        <v>2.4160313606262211</v>
      </c>
      <c r="AD17" s="272">
        <v>5.4863942591982786E-3</v>
      </c>
    </row>
    <row r="18" spans="1:30" s="272" customFormat="1" ht="12">
      <c r="A18" s="272" t="s">
        <v>777</v>
      </c>
      <c r="B18" s="272" t="s">
        <v>778</v>
      </c>
      <c r="C18" s="272">
        <v>7.8314943313598633</v>
      </c>
      <c r="D18" s="272">
        <v>7.9338951110839844</v>
      </c>
      <c r="E18" s="272">
        <v>8.0728769302368164</v>
      </c>
      <c r="F18" s="272">
        <v>8.1131172180175781</v>
      </c>
      <c r="G18" s="272">
        <v>8.1138448715209961</v>
      </c>
      <c r="H18" s="272">
        <v>8.1361846923828125</v>
      </c>
      <c r="I18" s="272">
        <v>8.1940231323242188</v>
      </c>
      <c r="J18" s="272">
        <v>8.2466001510620117</v>
      </c>
      <c r="K18" s="272">
        <v>8.3070297241210938</v>
      </c>
      <c r="L18" s="272">
        <v>8.352107048034668</v>
      </c>
      <c r="M18" s="272">
        <v>8.401458740234375</v>
      </c>
      <c r="N18" s="272">
        <v>8.4418087005615234</v>
      </c>
      <c r="O18" s="272">
        <v>8.4989223480224609</v>
      </c>
      <c r="P18" s="272">
        <v>8.5471391677856445</v>
      </c>
      <c r="Q18" s="272">
        <v>8.5978717803955078</v>
      </c>
      <c r="R18" s="272">
        <v>8.6418876647949219</v>
      </c>
      <c r="S18" s="272">
        <v>8.6749334335327148</v>
      </c>
      <c r="T18" s="272">
        <v>8.7147922515869141</v>
      </c>
      <c r="U18" s="272">
        <v>8.7515192031860352</v>
      </c>
      <c r="V18" s="272">
        <v>8.7880821228027344</v>
      </c>
      <c r="W18" s="272">
        <v>8.8206558227539063</v>
      </c>
      <c r="X18" s="272">
        <v>8.8518953323364258</v>
      </c>
      <c r="Y18" s="272">
        <v>8.8673839569091797</v>
      </c>
      <c r="Z18" s="272">
        <v>8.9056949615478516</v>
      </c>
      <c r="AA18" s="272">
        <v>8.9540348052978516</v>
      </c>
      <c r="AB18" s="272">
        <v>8.9879264831542969</v>
      </c>
      <c r="AC18" s="272">
        <v>9.014134407043457</v>
      </c>
      <c r="AD18" s="272">
        <v>5.4239062671286309E-3</v>
      </c>
    </row>
    <row r="19" spans="1:30" s="270" customFormat="1" ht="12"/>
    <row r="20" spans="1:30" s="272" customFormat="1" ht="12">
      <c r="A20" s="272" t="s">
        <v>779</v>
      </c>
      <c r="B20" s="272" t="s">
        <v>98</v>
      </c>
      <c r="C20" s="272">
        <v>7.7855920791625977</v>
      </c>
      <c r="D20" s="272">
        <v>7.8923330307006836</v>
      </c>
      <c r="E20" s="272">
        <v>8.0292177200317383</v>
      </c>
      <c r="F20" s="272">
        <v>8.0846929550170898</v>
      </c>
      <c r="G20" s="272">
        <v>8.0735921859741211</v>
      </c>
      <c r="H20" s="272">
        <v>8.0833263397216797</v>
      </c>
      <c r="I20" s="272">
        <v>8.1592483520507813</v>
      </c>
      <c r="J20" s="272">
        <v>8.2108449935913086</v>
      </c>
      <c r="K20" s="272">
        <v>8.2659883499145508</v>
      </c>
      <c r="L20" s="272">
        <v>8.3113126754760742</v>
      </c>
      <c r="M20" s="272">
        <v>8.3615226745605469</v>
      </c>
      <c r="N20" s="272">
        <v>8.4006357192993164</v>
      </c>
      <c r="O20" s="272">
        <v>8.4577016830444336</v>
      </c>
      <c r="P20" s="272">
        <v>8.5056266784667969</v>
      </c>
      <c r="Q20" s="272">
        <v>8.5566587448120117</v>
      </c>
      <c r="R20" s="272">
        <v>8.5998325347900391</v>
      </c>
      <c r="S20" s="272">
        <v>8.6340618133544922</v>
      </c>
      <c r="T20" s="272">
        <v>8.6736764907836914</v>
      </c>
      <c r="U20" s="272">
        <v>8.7099237442016602</v>
      </c>
      <c r="V20" s="272">
        <v>8.746586799621582</v>
      </c>
      <c r="W20" s="272">
        <v>8.7804031372070313</v>
      </c>
      <c r="X20" s="272">
        <v>8.8126745223999023</v>
      </c>
      <c r="Y20" s="272">
        <v>8.8281440734863281</v>
      </c>
      <c r="Z20" s="272">
        <v>8.8652753829956055</v>
      </c>
      <c r="AA20" s="272">
        <v>8.9119901657104492</v>
      </c>
      <c r="AB20" s="272">
        <v>8.9451675415039063</v>
      </c>
      <c r="AC20" s="272">
        <v>8.9719314575195313</v>
      </c>
      <c r="AD20" s="272">
        <v>5.4697555871852099E-3</v>
      </c>
    </row>
    <row r="21" spans="1:30" s="272" customFormat="1" ht="12">
      <c r="A21" s="272" t="s">
        <v>780</v>
      </c>
      <c r="B21" s="272" t="s">
        <v>781</v>
      </c>
      <c r="C21" s="272">
        <v>7.782346248626709</v>
      </c>
      <c r="D21" s="272">
        <v>7.8888826370239258</v>
      </c>
      <c r="E21" s="272">
        <v>8.0256900787353516</v>
      </c>
      <c r="F21" s="272">
        <v>8.0811338424682617</v>
      </c>
      <c r="G21" s="272">
        <v>8.0700435638427734</v>
      </c>
      <c r="H21" s="272">
        <v>8.0798749923706055</v>
      </c>
      <c r="I21" s="272">
        <v>8.1558904647827148</v>
      </c>
      <c r="J21" s="272">
        <v>8.2075967788696289</v>
      </c>
      <c r="K21" s="272">
        <v>8.2623367309570313</v>
      </c>
      <c r="L21" s="272">
        <v>8.3077421188354492</v>
      </c>
      <c r="M21" s="272">
        <v>8.3587360382080078</v>
      </c>
      <c r="N21" s="272">
        <v>8.3978757858276367</v>
      </c>
      <c r="O21" s="272">
        <v>8.4545679092407227</v>
      </c>
      <c r="P21" s="272">
        <v>8.5026683807373047</v>
      </c>
      <c r="Q21" s="272">
        <v>8.5538740158081055</v>
      </c>
      <c r="R21" s="272">
        <v>8.5972146987915039</v>
      </c>
      <c r="S21" s="272">
        <v>8.6316041946411133</v>
      </c>
      <c r="T21" s="272">
        <v>8.6713752746582031</v>
      </c>
      <c r="U21" s="272">
        <v>8.7077493667602539</v>
      </c>
      <c r="V21" s="272">
        <v>8.7445249557495117</v>
      </c>
      <c r="W21" s="272">
        <v>8.7784280776977539</v>
      </c>
      <c r="X21" s="272">
        <v>8.810795783996582</v>
      </c>
      <c r="Y21" s="272">
        <v>8.8263378143310547</v>
      </c>
      <c r="Z21" s="272">
        <v>8.8635215759277344</v>
      </c>
      <c r="AA21" s="272">
        <v>8.9102687835693359</v>
      </c>
      <c r="AB21" s="272">
        <v>8.9434757232666016</v>
      </c>
      <c r="AC21" s="272">
        <v>8.9702615737915039</v>
      </c>
      <c r="AD21" s="272">
        <v>5.47868298821097E-3</v>
      </c>
    </row>
    <row r="22" spans="1:30" s="270" customFormat="1" ht="12">
      <c r="A22" s="270" t="s">
        <v>782</v>
      </c>
      <c r="B22" s="270" t="s">
        <v>783</v>
      </c>
      <c r="C22" s="270">
        <v>3.9304556846618648</v>
      </c>
      <c r="D22" s="270">
        <v>4.0369472503662109</v>
      </c>
      <c r="E22" s="270">
        <v>4.173698902130127</v>
      </c>
      <c r="F22" s="270">
        <v>4.2290725708007813</v>
      </c>
      <c r="G22" s="270">
        <v>4.2216925621032706</v>
      </c>
      <c r="H22" s="270">
        <v>4.2494363784790039</v>
      </c>
      <c r="I22" s="270">
        <v>4.3035359382629386</v>
      </c>
      <c r="J22" s="270">
        <v>4.3551092147827148</v>
      </c>
      <c r="K22" s="270">
        <v>4.409691333770752</v>
      </c>
      <c r="L22" s="270">
        <v>4.4549131393432617</v>
      </c>
      <c r="M22" s="270">
        <v>4.5057024955749512</v>
      </c>
      <c r="N22" s="270">
        <v>4.5446176528930664</v>
      </c>
      <c r="O22" s="270">
        <v>4.6010560989379883</v>
      </c>
      <c r="P22" s="270">
        <v>4.6488757133483887</v>
      </c>
      <c r="Q22" s="270">
        <v>4.6998014450073242</v>
      </c>
      <c r="R22" s="270">
        <v>4.7428293228149414</v>
      </c>
      <c r="S22" s="270">
        <v>4.7768759727478027</v>
      </c>
      <c r="T22" s="270">
        <v>4.8162755966186523</v>
      </c>
      <c r="U22" s="270">
        <v>4.8522520065307617</v>
      </c>
      <c r="V22" s="270">
        <v>4.8885645866394043</v>
      </c>
      <c r="W22" s="270">
        <v>4.9219722747802734</v>
      </c>
      <c r="X22" s="270">
        <v>4.9538068771362296</v>
      </c>
      <c r="Y22" s="270">
        <v>4.9687800407409668</v>
      </c>
      <c r="Z22" s="270">
        <v>5.0053467750549316</v>
      </c>
      <c r="AA22" s="270">
        <v>5.0514383316040039</v>
      </c>
      <c r="AB22" s="270">
        <v>5.0839400291442871</v>
      </c>
      <c r="AC22" s="270">
        <v>5.1098895072937012</v>
      </c>
      <c r="AD22" s="270">
        <v>1.014427751937896E-2</v>
      </c>
    </row>
    <row r="23" spans="1:30" s="270" customFormat="1" ht="12">
      <c r="A23" s="270" t="s">
        <v>784</v>
      </c>
      <c r="B23" s="270" t="s">
        <v>785</v>
      </c>
      <c r="C23" s="270">
        <v>3.851636409759521</v>
      </c>
      <c r="D23" s="270">
        <v>3.851636409759521</v>
      </c>
      <c r="E23" s="270">
        <v>3.851636409759521</v>
      </c>
      <c r="F23" s="270">
        <v>3.851636409759521</v>
      </c>
      <c r="G23" s="270">
        <v>3.847848653793335</v>
      </c>
      <c r="H23" s="270">
        <v>3.8298377990722661</v>
      </c>
      <c r="I23" s="270">
        <v>3.851636409759521</v>
      </c>
      <c r="J23" s="270">
        <v>3.851636409759521</v>
      </c>
      <c r="K23" s="270">
        <v>3.851636409759521</v>
      </c>
      <c r="L23" s="270">
        <v>3.851636409759521</v>
      </c>
      <c r="M23" s="270">
        <v>3.851636409759521</v>
      </c>
      <c r="N23" s="270">
        <v>3.851636409759521</v>
      </c>
      <c r="O23" s="270">
        <v>3.851636409759521</v>
      </c>
      <c r="P23" s="270">
        <v>3.851636409759521</v>
      </c>
      <c r="Q23" s="270">
        <v>3.851636409759521</v>
      </c>
      <c r="R23" s="270">
        <v>3.851636409759521</v>
      </c>
      <c r="S23" s="270">
        <v>3.851636409759521</v>
      </c>
      <c r="T23" s="270">
        <v>3.851636409759521</v>
      </c>
      <c r="U23" s="270">
        <v>3.851636409759521</v>
      </c>
      <c r="V23" s="270">
        <v>3.851636409759521</v>
      </c>
      <c r="W23" s="270">
        <v>3.851636409759521</v>
      </c>
      <c r="X23" s="270">
        <v>3.851636409759521</v>
      </c>
      <c r="Y23" s="270">
        <v>3.851636409759521</v>
      </c>
      <c r="Z23" s="270">
        <v>3.851636409759521</v>
      </c>
      <c r="AA23" s="270">
        <v>3.851636409759521</v>
      </c>
      <c r="AB23" s="270">
        <v>3.851636409759521</v>
      </c>
      <c r="AC23" s="270">
        <v>3.851636409759521</v>
      </c>
      <c r="AD23" s="270">
        <v>0</v>
      </c>
    </row>
    <row r="24" spans="1:30" s="270" customFormat="1" ht="12">
      <c r="A24" s="270" t="s">
        <v>786</v>
      </c>
      <c r="B24" s="270" t="s">
        <v>787</v>
      </c>
      <c r="C24" s="270">
        <v>2.5415420532226563E-4</v>
      </c>
      <c r="D24" s="270">
        <v>2.9897689819335938E-4</v>
      </c>
      <c r="E24" s="270">
        <v>3.54766845703125E-4</v>
      </c>
      <c r="F24" s="270">
        <v>4.2486190795898438E-4</v>
      </c>
      <c r="G24" s="270">
        <v>5.0234794616699219E-4</v>
      </c>
      <c r="H24" s="270">
        <v>6.008148193359375E-4</v>
      </c>
      <c r="I24" s="270">
        <v>7.1811676025390625E-4</v>
      </c>
      <c r="J24" s="270">
        <v>8.5115432739257813E-4</v>
      </c>
      <c r="K24" s="270">
        <v>1.0089874267578121E-3</v>
      </c>
      <c r="L24" s="270">
        <v>1.1925697326660161E-3</v>
      </c>
      <c r="M24" s="270">
        <v>1.397132873535156E-3</v>
      </c>
      <c r="N24" s="270">
        <v>1.6217231750488279E-3</v>
      </c>
      <c r="O24" s="270">
        <v>1.8754005432128911E-3</v>
      </c>
      <c r="P24" s="270">
        <v>2.1562576293945308E-3</v>
      </c>
      <c r="Q24" s="270">
        <v>2.4361610412597661E-3</v>
      </c>
      <c r="R24" s="270">
        <v>2.7489662170410161E-3</v>
      </c>
      <c r="S24" s="270">
        <v>3.0918121337890621E-3</v>
      </c>
      <c r="T24" s="270">
        <v>3.4632682800292969E-3</v>
      </c>
      <c r="U24" s="270">
        <v>3.8609504699707031E-3</v>
      </c>
      <c r="V24" s="270">
        <v>4.3239593505859384E-3</v>
      </c>
      <c r="W24" s="270">
        <v>4.8193931579589844E-3</v>
      </c>
      <c r="X24" s="270">
        <v>5.3524971008300781E-3</v>
      </c>
      <c r="Y24" s="270">
        <v>5.9213638305664063E-3</v>
      </c>
      <c r="Z24" s="270">
        <v>6.53839111328125E-3</v>
      </c>
      <c r="AA24" s="270">
        <v>7.1940422058105469E-3</v>
      </c>
      <c r="AB24" s="270">
        <v>7.8992843627929688E-3</v>
      </c>
      <c r="AC24" s="270">
        <v>8.73565673828125E-3</v>
      </c>
      <c r="AD24" s="270">
        <v>0.14573597167613661</v>
      </c>
    </row>
    <row r="25" spans="1:30" s="272" customFormat="1" ht="12">
      <c r="A25" s="272" t="s">
        <v>788</v>
      </c>
      <c r="B25" s="272" t="s">
        <v>789</v>
      </c>
      <c r="C25" s="272">
        <v>3.2457646448165178E-3</v>
      </c>
      <c r="D25" s="272">
        <v>3.4504062496125698E-3</v>
      </c>
      <c r="E25" s="272">
        <v>3.5280678421258931E-3</v>
      </c>
      <c r="F25" s="272">
        <v>3.5593057982623581E-3</v>
      </c>
      <c r="G25" s="272">
        <v>3.548663342371583E-3</v>
      </c>
      <c r="H25" s="272">
        <v>3.4512979909777641E-3</v>
      </c>
      <c r="I25" s="272">
        <v>3.3582148607820268E-3</v>
      </c>
      <c r="J25" s="272">
        <v>3.248144406825304E-3</v>
      </c>
      <c r="K25" s="272">
        <v>3.1163597013801341E-3</v>
      </c>
      <c r="L25" s="272">
        <v>2.9525768477469678E-3</v>
      </c>
      <c r="M25" s="272">
        <v>2.786326222121716E-3</v>
      </c>
      <c r="N25" s="272">
        <v>2.6168040931224819E-3</v>
      </c>
      <c r="O25" s="272">
        <v>2.4430807679891591E-3</v>
      </c>
      <c r="P25" s="272">
        <v>2.2680461406707759E-3</v>
      </c>
      <c r="Q25" s="272">
        <v>2.0939323585480452E-3</v>
      </c>
      <c r="R25" s="272">
        <v>1.9270121119916439E-3</v>
      </c>
      <c r="S25" s="272">
        <v>1.767068519257009E-3</v>
      </c>
      <c r="T25" s="272">
        <v>1.6111071454361079E-3</v>
      </c>
      <c r="U25" s="272">
        <v>1.4840550720691681E-3</v>
      </c>
      <c r="V25" s="272">
        <v>1.3711944920942189E-3</v>
      </c>
      <c r="W25" s="272">
        <v>1.2841554125770931E-3</v>
      </c>
      <c r="X25" s="272">
        <v>1.1884088162332771E-3</v>
      </c>
      <c r="Y25" s="272">
        <v>1.116185681894422E-3</v>
      </c>
      <c r="Z25" s="272">
        <v>1.06381974183023E-3</v>
      </c>
      <c r="AA25" s="272">
        <v>1.031164661981165E-3</v>
      </c>
      <c r="AB25" s="272">
        <v>1.001611934043467E-3</v>
      </c>
      <c r="AC25" s="272">
        <v>9.795421501621604E-4</v>
      </c>
      <c r="AD25" s="272">
        <v>-4.5032269984946582E-2</v>
      </c>
    </row>
    <row r="26" spans="1:30" s="270" customFormat="1" ht="12">
      <c r="A26" s="270" t="s">
        <v>790</v>
      </c>
      <c r="B26" s="270" t="s">
        <v>791</v>
      </c>
      <c r="C26" s="270">
        <v>3.0001320410519838E-3</v>
      </c>
      <c r="D26" s="270">
        <v>3.192805452272296E-3</v>
      </c>
      <c r="E26" s="270">
        <v>3.2669876236468549E-3</v>
      </c>
      <c r="F26" s="270">
        <v>3.298167604953051E-3</v>
      </c>
      <c r="G26" s="270">
        <v>3.2883768435567622E-3</v>
      </c>
      <c r="H26" s="270">
        <v>3.192552132532001E-3</v>
      </c>
      <c r="I26" s="270">
        <v>3.1009400263428688E-3</v>
      </c>
      <c r="J26" s="270">
        <v>2.9922982212156062E-3</v>
      </c>
      <c r="K26" s="270">
        <v>2.8639703523367639E-3</v>
      </c>
      <c r="L26" s="270">
        <v>2.7039882261306052E-3</v>
      </c>
      <c r="M26" s="270">
        <v>2.5402950122952461E-3</v>
      </c>
      <c r="N26" s="270">
        <v>2.3743205238133669E-3</v>
      </c>
      <c r="O26" s="270">
        <v>2.2043485660105939E-3</v>
      </c>
      <c r="P26" s="270">
        <v>2.033262280747294E-3</v>
      </c>
      <c r="Q26" s="270">
        <v>1.8629252444952731E-3</v>
      </c>
      <c r="R26" s="270">
        <v>1.699730753898621E-3</v>
      </c>
      <c r="S26" s="270">
        <v>1.543906750157475E-3</v>
      </c>
      <c r="T26" s="270">
        <v>1.392207923345268E-3</v>
      </c>
      <c r="U26" s="270">
        <v>1.2697310885414479E-3</v>
      </c>
      <c r="V26" s="270">
        <v>1.1609822977334261E-3</v>
      </c>
      <c r="W26" s="270">
        <v>1.078186556696892E-3</v>
      </c>
      <c r="X26" s="270">
        <v>9.8615104798227549E-4</v>
      </c>
      <c r="Y26" s="270">
        <v>9.1802020324394107E-4</v>
      </c>
      <c r="Z26" s="270">
        <v>8.7024300592020154E-4</v>
      </c>
      <c r="AA26" s="270">
        <v>8.4183091530576348E-4</v>
      </c>
      <c r="AB26" s="270">
        <v>8.1623840378597379E-4</v>
      </c>
      <c r="AC26" s="270">
        <v>7.9701415961608291E-4</v>
      </c>
      <c r="AD26" s="270">
        <v>-4.9704485102181513E-2</v>
      </c>
    </row>
    <row r="27" spans="1:30" s="270" customFormat="1" ht="12">
      <c r="A27" s="270" t="s">
        <v>792</v>
      </c>
      <c r="B27" s="270" t="s">
        <v>793</v>
      </c>
      <c r="C27" s="270">
        <v>0</v>
      </c>
      <c r="D27" s="270">
        <v>0</v>
      </c>
      <c r="E27" s="270">
        <v>0</v>
      </c>
      <c r="F27" s="270">
        <v>0</v>
      </c>
      <c r="G27" s="270">
        <v>0</v>
      </c>
      <c r="H27" s="270">
        <v>0</v>
      </c>
      <c r="I27" s="270">
        <v>0</v>
      </c>
      <c r="J27" s="270">
        <v>0</v>
      </c>
      <c r="K27" s="270">
        <v>0</v>
      </c>
      <c r="L27" s="270">
        <v>0</v>
      </c>
      <c r="M27" s="270">
        <v>0</v>
      </c>
      <c r="N27" s="270">
        <v>0</v>
      </c>
      <c r="O27" s="270">
        <v>0</v>
      </c>
      <c r="P27" s="270">
        <v>0</v>
      </c>
      <c r="Q27" s="270">
        <v>0</v>
      </c>
      <c r="R27" s="270">
        <v>0</v>
      </c>
      <c r="S27" s="270">
        <v>0</v>
      </c>
      <c r="T27" s="270">
        <v>0</v>
      </c>
      <c r="U27" s="270">
        <v>0</v>
      </c>
      <c r="V27" s="270">
        <v>0</v>
      </c>
      <c r="W27" s="270">
        <v>0</v>
      </c>
      <c r="X27" s="270">
        <v>0</v>
      </c>
      <c r="Y27" s="270">
        <v>0</v>
      </c>
      <c r="Z27" s="270">
        <v>0</v>
      </c>
      <c r="AA27" s="270">
        <v>0</v>
      </c>
      <c r="AB27" s="270">
        <v>0</v>
      </c>
      <c r="AC27" s="270">
        <v>0</v>
      </c>
      <c r="AD27" s="270" t="s">
        <v>475</v>
      </c>
    </row>
    <row r="28" spans="1:30" s="270" customFormat="1" ht="12">
      <c r="A28" s="270" t="s">
        <v>794</v>
      </c>
      <c r="B28" s="270" t="s">
        <v>795</v>
      </c>
      <c r="C28" s="270">
        <v>0</v>
      </c>
      <c r="D28" s="270">
        <v>0</v>
      </c>
      <c r="E28" s="270">
        <v>0</v>
      </c>
      <c r="F28" s="270">
        <v>0</v>
      </c>
      <c r="G28" s="270">
        <v>0</v>
      </c>
      <c r="H28" s="270">
        <v>0</v>
      </c>
      <c r="I28" s="270">
        <v>0</v>
      </c>
      <c r="J28" s="270">
        <v>0</v>
      </c>
      <c r="K28" s="270">
        <v>0</v>
      </c>
      <c r="L28" s="270">
        <v>0</v>
      </c>
      <c r="M28" s="270">
        <v>0</v>
      </c>
      <c r="N28" s="270">
        <v>0</v>
      </c>
      <c r="O28" s="270">
        <v>0</v>
      </c>
      <c r="P28" s="270">
        <v>0</v>
      </c>
      <c r="Q28" s="270">
        <v>0</v>
      </c>
      <c r="R28" s="270">
        <v>0</v>
      </c>
      <c r="S28" s="270">
        <v>0</v>
      </c>
      <c r="T28" s="270">
        <v>0</v>
      </c>
      <c r="U28" s="270">
        <v>0</v>
      </c>
      <c r="V28" s="270">
        <v>0</v>
      </c>
      <c r="W28" s="270">
        <v>0</v>
      </c>
      <c r="X28" s="270">
        <v>0</v>
      </c>
      <c r="Y28" s="270">
        <v>0</v>
      </c>
      <c r="Z28" s="270">
        <v>0</v>
      </c>
      <c r="AA28" s="270">
        <v>0</v>
      </c>
      <c r="AB28" s="270">
        <v>0</v>
      </c>
      <c r="AC28" s="270">
        <v>0</v>
      </c>
      <c r="AD28" s="270" t="s">
        <v>475</v>
      </c>
    </row>
    <row r="29" spans="1:30" s="270" customFormat="1" ht="12">
      <c r="A29" s="270" t="s">
        <v>796</v>
      </c>
      <c r="B29" s="270" t="s">
        <v>797</v>
      </c>
      <c r="C29" s="270">
        <v>2.4563242914155131E-4</v>
      </c>
      <c r="D29" s="270">
        <v>2.5760105927474802E-4</v>
      </c>
      <c r="E29" s="270">
        <v>2.6108010206371551E-4</v>
      </c>
      <c r="F29" s="270">
        <v>2.6113790227100248E-4</v>
      </c>
      <c r="G29" s="270">
        <v>2.6028638239949942E-4</v>
      </c>
      <c r="H29" s="270">
        <v>2.5874594575725501E-4</v>
      </c>
      <c r="I29" s="270">
        <v>2.5727503816597158E-4</v>
      </c>
      <c r="J29" s="270">
        <v>2.5584644754417241E-4</v>
      </c>
      <c r="K29" s="270">
        <v>2.5238931993953878E-4</v>
      </c>
      <c r="L29" s="270">
        <v>2.4858899996615952E-4</v>
      </c>
      <c r="M29" s="270">
        <v>2.4603123893029988E-4</v>
      </c>
      <c r="N29" s="270">
        <v>2.4248399131465701E-4</v>
      </c>
      <c r="O29" s="270">
        <v>2.387320419074968E-4</v>
      </c>
      <c r="P29" s="270">
        <v>2.34783990890719E-4</v>
      </c>
      <c r="Q29" s="270">
        <v>2.3100717226043341E-4</v>
      </c>
      <c r="R29" s="270">
        <v>2.2728153271600601E-4</v>
      </c>
      <c r="S29" s="270">
        <v>2.2316181275527919E-4</v>
      </c>
      <c r="T29" s="270">
        <v>2.188990620197728E-4</v>
      </c>
      <c r="U29" s="270">
        <v>2.14324114494957E-4</v>
      </c>
      <c r="V29" s="270">
        <v>2.1021220891270789E-4</v>
      </c>
      <c r="W29" s="270">
        <v>2.0596889953594649E-4</v>
      </c>
      <c r="X29" s="270">
        <v>2.0225787011440841E-4</v>
      </c>
      <c r="Y29" s="270">
        <v>1.981655368581414E-4</v>
      </c>
      <c r="Z29" s="270">
        <v>1.9357670680619779E-4</v>
      </c>
      <c r="AA29" s="270">
        <v>1.8933360115624959E-4</v>
      </c>
      <c r="AB29" s="270">
        <v>1.8537347204983229E-4</v>
      </c>
      <c r="AC29" s="270">
        <v>1.825279323384166E-4</v>
      </c>
      <c r="AD29" s="270">
        <v>-1.135553412845325E-2</v>
      </c>
    </row>
    <row r="30" spans="1:30" s="272" customFormat="1" ht="12">
      <c r="A30" s="272" t="s">
        <v>798</v>
      </c>
      <c r="B30" s="272" t="s">
        <v>799</v>
      </c>
      <c r="C30" s="272">
        <v>0</v>
      </c>
      <c r="D30" s="272">
        <v>0</v>
      </c>
      <c r="E30" s="272">
        <v>0</v>
      </c>
      <c r="F30" s="272">
        <v>0</v>
      </c>
      <c r="G30" s="272">
        <v>0</v>
      </c>
      <c r="H30" s="272">
        <v>0</v>
      </c>
      <c r="I30" s="272">
        <v>0</v>
      </c>
      <c r="J30" s="272">
        <v>0</v>
      </c>
      <c r="K30" s="272">
        <v>5.3505628602579236E-4</v>
      </c>
      <c r="L30" s="272">
        <v>6.1796914087608457E-4</v>
      </c>
      <c r="M30" s="272">
        <v>0</v>
      </c>
      <c r="N30" s="272">
        <v>1.4319470210466531E-4</v>
      </c>
      <c r="O30" s="272">
        <v>6.9062993861734867E-4</v>
      </c>
      <c r="P30" s="272">
        <v>6.9062993861734867E-4</v>
      </c>
      <c r="Q30" s="272">
        <v>6.9062993861734867E-4</v>
      </c>
      <c r="R30" s="272">
        <v>6.9062993861734867E-4</v>
      </c>
      <c r="S30" s="272">
        <v>6.9062993861734867E-4</v>
      </c>
      <c r="T30" s="272">
        <v>6.9062993861734867E-4</v>
      </c>
      <c r="U30" s="272">
        <v>6.9062993861734867E-4</v>
      </c>
      <c r="V30" s="272">
        <v>6.9062993861734867E-4</v>
      </c>
      <c r="W30" s="272">
        <v>6.9062993861734867E-4</v>
      </c>
      <c r="X30" s="272">
        <v>6.9062993861734867E-4</v>
      </c>
      <c r="Y30" s="272">
        <v>6.9062993861734867E-4</v>
      </c>
      <c r="Z30" s="272">
        <v>6.9062993861734867E-4</v>
      </c>
      <c r="AA30" s="272">
        <v>6.9062993861734867E-4</v>
      </c>
      <c r="AB30" s="272">
        <v>6.9062993861734867E-4</v>
      </c>
      <c r="AC30" s="272">
        <v>6.9062993861734867E-4</v>
      </c>
      <c r="AD30" s="272" t="s">
        <v>475</v>
      </c>
    </row>
    <row r="31" spans="1:30" s="270" customFormat="1" ht="12"/>
    <row r="32" spans="1:30" s="272" customFormat="1" ht="12">
      <c r="A32" s="272" t="s">
        <v>800</v>
      </c>
      <c r="B32" s="272" t="s">
        <v>801</v>
      </c>
      <c r="C32" s="272">
        <v>4.5902252197265618E-2</v>
      </c>
      <c r="D32" s="272">
        <v>4.1562080383300781E-2</v>
      </c>
      <c r="E32" s="272">
        <v>4.3659210205078118E-2</v>
      </c>
      <c r="F32" s="272">
        <v>2.8424263000488281E-2</v>
      </c>
      <c r="G32" s="272">
        <v>4.0252685546875E-2</v>
      </c>
      <c r="H32" s="272">
        <v>5.2858352661132813E-2</v>
      </c>
      <c r="I32" s="272">
        <v>3.47747802734375E-2</v>
      </c>
      <c r="J32" s="272">
        <v>3.5755157470703118E-2</v>
      </c>
      <c r="K32" s="272">
        <v>4.1041374206542969E-2</v>
      </c>
      <c r="L32" s="272">
        <v>4.079437255859375E-2</v>
      </c>
      <c r="M32" s="272">
        <v>3.9936065673828118E-2</v>
      </c>
      <c r="N32" s="272">
        <v>4.1172981262207031E-2</v>
      </c>
      <c r="O32" s="272">
        <v>4.1220664978027337E-2</v>
      </c>
      <c r="P32" s="272">
        <v>4.1512489318847663E-2</v>
      </c>
      <c r="Q32" s="272">
        <v>4.1213035583496087E-2</v>
      </c>
      <c r="R32" s="272">
        <v>4.2055130004882813E-2</v>
      </c>
      <c r="S32" s="272">
        <v>4.0871620178222663E-2</v>
      </c>
      <c r="T32" s="272">
        <v>4.1115760803222663E-2</v>
      </c>
      <c r="U32" s="272">
        <v>4.1595458984375E-2</v>
      </c>
      <c r="V32" s="272">
        <v>4.1495323181152337E-2</v>
      </c>
      <c r="W32" s="272">
        <v>4.0252685546875E-2</v>
      </c>
      <c r="X32" s="272">
        <v>3.9220809936523438E-2</v>
      </c>
      <c r="Y32" s="272">
        <v>3.9239883422851563E-2</v>
      </c>
      <c r="Z32" s="272">
        <v>4.0419578552246087E-2</v>
      </c>
      <c r="AA32" s="272">
        <v>4.2044639587402337E-2</v>
      </c>
      <c r="AB32" s="272">
        <v>4.2758941650390618E-2</v>
      </c>
      <c r="AC32" s="272">
        <v>4.2202949523925781E-2</v>
      </c>
      <c r="AD32" s="272">
        <v>-3.226478725445348E-3</v>
      </c>
    </row>
    <row r="33" spans="1:30" s="270" customFormat="1" ht="12"/>
    <row r="34" spans="1:30" s="272" customFormat="1" ht="12">
      <c r="B34" s="272" t="s">
        <v>802</v>
      </c>
    </row>
    <row r="35" spans="1:30" s="270" customFormat="1" ht="12">
      <c r="A35" s="270" t="s">
        <v>803</v>
      </c>
      <c r="B35" s="270" t="s">
        <v>804</v>
      </c>
      <c r="C35" s="270">
        <v>7.0623779296875</v>
      </c>
      <c r="D35" s="270">
        <v>8.1772222518920898</v>
      </c>
      <c r="E35" s="270">
        <v>8.0545816421508789</v>
      </c>
      <c r="F35" s="270">
        <v>7.9175052642822266</v>
      </c>
      <c r="G35" s="270">
        <v>8.0400533676147461</v>
      </c>
      <c r="H35" s="270">
        <v>8.1602315902709961</v>
      </c>
      <c r="I35" s="270">
        <v>8.3440771102905273</v>
      </c>
      <c r="J35" s="270">
        <v>8.5184183120727539</v>
      </c>
      <c r="K35" s="270">
        <v>8.9469699859619141</v>
      </c>
      <c r="L35" s="270">
        <v>9.3011131286621094</v>
      </c>
      <c r="M35" s="270">
        <v>9.5776071548461914</v>
      </c>
      <c r="N35" s="270">
        <v>9.6891593933105469</v>
      </c>
      <c r="O35" s="270">
        <v>9.6014671325683594</v>
      </c>
      <c r="P35" s="270">
        <v>9.5438508987426758</v>
      </c>
      <c r="Q35" s="270">
        <v>9.6702098846435547</v>
      </c>
      <c r="R35" s="270">
        <v>9.5780801773071289</v>
      </c>
      <c r="S35" s="270">
        <v>9.6218910217285156</v>
      </c>
      <c r="T35" s="270">
        <v>9.7619714736938477</v>
      </c>
      <c r="U35" s="270">
        <v>9.9076681137084961</v>
      </c>
      <c r="V35" s="270">
        <v>9.8563909530639648</v>
      </c>
      <c r="W35" s="270">
        <v>9.9179220199584961</v>
      </c>
      <c r="X35" s="270">
        <v>9.924351692199707</v>
      </c>
      <c r="Y35" s="270">
        <v>9.9192829132080078</v>
      </c>
      <c r="Z35" s="270">
        <v>9.8394737243652344</v>
      </c>
      <c r="AA35" s="270">
        <v>9.8236074447631836</v>
      </c>
      <c r="AB35" s="270">
        <v>9.826024055480957</v>
      </c>
      <c r="AC35" s="270">
        <v>9.6644515991210938</v>
      </c>
      <c r="AD35" s="270">
        <v>1.213739671851655E-2</v>
      </c>
    </row>
    <row r="36" spans="1:30" s="270" customFormat="1" ht="12"/>
    <row r="37" spans="1:30" s="272" customFormat="1" ht="12">
      <c r="B37" s="272" t="s">
        <v>805</v>
      </c>
    </row>
    <row r="38" spans="1:30" s="270" customFormat="1" ht="12">
      <c r="A38" s="270" t="s">
        <v>806</v>
      </c>
      <c r="B38" s="270" t="s">
        <v>807</v>
      </c>
      <c r="C38" s="270">
        <v>9.5251846313476563</v>
      </c>
      <c r="D38" s="270">
        <v>10.64007472991943</v>
      </c>
      <c r="E38" s="270">
        <v>10.51750564575195</v>
      </c>
      <c r="F38" s="270">
        <v>10.38045597076416</v>
      </c>
      <c r="G38" s="270">
        <v>10.503005027771</v>
      </c>
      <c r="H38" s="270">
        <v>10.62315654754639</v>
      </c>
      <c r="I38" s="270">
        <v>10.806981086730961</v>
      </c>
      <c r="J38" s="270">
        <v>10.98133754730225</v>
      </c>
      <c r="K38" s="270">
        <v>11.40980434417725</v>
      </c>
      <c r="L38" s="270">
        <v>11.764016151428221</v>
      </c>
      <c r="M38" s="270">
        <v>12.040632247924799</v>
      </c>
      <c r="N38" s="270">
        <v>12.152256965637211</v>
      </c>
      <c r="O38" s="270">
        <v>12.06453895568848</v>
      </c>
      <c r="P38" s="270">
        <v>12.006973266601561</v>
      </c>
      <c r="Q38" s="270">
        <v>12.133413314819339</v>
      </c>
      <c r="R38" s="270">
        <v>12.04129123687744</v>
      </c>
      <c r="S38" s="270">
        <v>12.085117340087891</v>
      </c>
      <c r="T38" s="270">
        <v>12.2252082824707</v>
      </c>
      <c r="U38" s="270">
        <v>12.370906829833981</v>
      </c>
      <c r="V38" s="270">
        <v>12.319607734680179</v>
      </c>
      <c r="W38" s="270">
        <v>12.3811502456665</v>
      </c>
      <c r="X38" s="270">
        <v>12.387590408325201</v>
      </c>
      <c r="Y38" s="270">
        <v>12.38253116607666</v>
      </c>
      <c r="Z38" s="270">
        <v>12.302725791931151</v>
      </c>
      <c r="AA38" s="270">
        <v>12.28686618804932</v>
      </c>
      <c r="AB38" s="270">
        <v>12.28929233551025</v>
      </c>
      <c r="AC38" s="270">
        <v>12.127695083618161</v>
      </c>
      <c r="AD38" s="270">
        <v>9.3337666784212292E-3</v>
      </c>
    </row>
    <row r="39" spans="1:30" s="270" customFormat="1" ht="12">
      <c r="A39" s="270" t="s">
        <v>808</v>
      </c>
      <c r="B39" s="270" t="s">
        <v>809</v>
      </c>
      <c r="C39" s="270">
        <v>61.324638366699219</v>
      </c>
      <c r="D39" s="270">
        <v>62.258430480957031</v>
      </c>
      <c r="E39" s="270">
        <v>61.971076965332031</v>
      </c>
      <c r="F39" s="270">
        <v>61.767257690429688</v>
      </c>
      <c r="G39" s="270">
        <v>61.892784118652337</v>
      </c>
      <c r="H39" s="270">
        <v>62.113872528076172</v>
      </c>
      <c r="I39" s="270">
        <v>62.399040222167969</v>
      </c>
      <c r="J39" s="270">
        <v>62.600948333740227</v>
      </c>
      <c r="K39" s="270">
        <v>63.057624816894531</v>
      </c>
      <c r="L39" s="270">
        <v>63.294517517089837</v>
      </c>
      <c r="M39" s="270">
        <v>63.625202178955078</v>
      </c>
      <c r="N39" s="270">
        <v>63.533229827880859</v>
      </c>
      <c r="O39" s="270">
        <v>63.365928649902337</v>
      </c>
      <c r="P39" s="270">
        <v>63.241889953613281</v>
      </c>
      <c r="Q39" s="270">
        <v>63.203315734863281</v>
      </c>
      <c r="R39" s="270">
        <v>63.148933410644531</v>
      </c>
      <c r="S39" s="270">
        <v>63.206012725830078</v>
      </c>
      <c r="T39" s="270">
        <v>63.394557952880859</v>
      </c>
      <c r="U39" s="270">
        <v>63.590591430664063</v>
      </c>
      <c r="V39" s="270">
        <v>63.686977386474609</v>
      </c>
      <c r="W39" s="270">
        <v>63.750324249267578</v>
      </c>
      <c r="X39" s="270">
        <v>63.777320861816413</v>
      </c>
      <c r="Y39" s="270">
        <v>63.778011322021477</v>
      </c>
      <c r="Z39" s="270">
        <v>63.728878021240227</v>
      </c>
      <c r="AA39" s="270">
        <v>63.706928253173828</v>
      </c>
      <c r="AB39" s="270">
        <v>63.682514190673828</v>
      </c>
      <c r="AC39" s="270">
        <v>63.668933868408203</v>
      </c>
      <c r="AD39" s="270">
        <v>1.4439282355112051E-3</v>
      </c>
    </row>
    <row r="40" spans="1:30" s="270" customFormat="1" ht="12">
      <c r="A40" s="270" t="s">
        <v>810</v>
      </c>
      <c r="B40" s="270" t="s">
        <v>811</v>
      </c>
      <c r="C40" s="270">
        <v>9.5251846313476563</v>
      </c>
      <c r="D40" s="270">
        <v>10.64007472991943</v>
      </c>
      <c r="E40" s="270">
        <v>10.51750564575195</v>
      </c>
      <c r="F40" s="270">
        <v>10.38045597076416</v>
      </c>
      <c r="G40" s="270">
        <v>10.503005027771</v>
      </c>
      <c r="H40" s="270">
        <v>10.62315654754639</v>
      </c>
      <c r="I40" s="270">
        <v>10.806981086730961</v>
      </c>
      <c r="J40" s="270">
        <v>10.98133754730225</v>
      </c>
      <c r="K40" s="270">
        <v>12.995852470397949</v>
      </c>
      <c r="L40" s="270">
        <v>13.232460975646971</v>
      </c>
      <c r="M40" s="270">
        <v>12.040632247924799</v>
      </c>
      <c r="N40" s="270">
        <v>13.47254753112793</v>
      </c>
      <c r="O40" s="270">
        <v>13.305154800415041</v>
      </c>
      <c r="P40" s="270">
        <v>13.177244186401371</v>
      </c>
      <c r="Q40" s="270">
        <v>13.113540649414061</v>
      </c>
      <c r="R40" s="270">
        <v>13.064906120300289</v>
      </c>
      <c r="S40" s="270">
        <v>13.120963096618651</v>
      </c>
      <c r="T40" s="270">
        <v>13.312520027160639</v>
      </c>
      <c r="U40" s="270">
        <v>13.512441635131839</v>
      </c>
      <c r="V40" s="270">
        <v>13.6641902923584</v>
      </c>
      <c r="W40" s="270">
        <v>13.73334407806396</v>
      </c>
      <c r="X40" s="270">
        <v>13.768575668334959</v>
      </c>
      <c r="Y40" s="270">
        <v>13.772696495056151</v>
      </c>
      <c r="Z40" s="270">
        <v>13.7298641204834</v>
      </c>
      <c r="AA40" s="270">
        <v>13.70885753631592</v>
      </c>
      <c r="AB40" s="270">
        <v>13.686100006103519</v>
      </c>
      <c r="AC40" s="270">
        <v>13.6956672668457</v>
      </c>
      <c r="AD40" s="270">
        <v>1.40649248258895E-2</v>
      </c>
    </row>
    <row r="41" spans="1:30" s="270" customFormat="1" ht="15" thickBot="1">
      <c r="B41" s="253"/>
      <c r="C41" s="253"/>
      <c r="D41" s="253"/>
      <c r="E41" s="253"/>
      <c r="F41" s="253"/>
      <c r="G41" s="253"/>
      <c r="H41" s="253"/>
      <c r="I41" s="253"/>
      <c r="J41" s="253"/>
      <c r="K41" s="253"/>
      <c r="L41" s="253"/>
      <c r="M41" s="253"/>
      <c r="N41" s="253"/>
      <c r="O41" s="253"/>
      <c r="P41" s="253"/>
      <c r="Q41" s="253"/>
      <c r="R41" s="253"/>
      <c r="S41" s="253"/>
      <c r="T41" s="253"/>
      <c r="U41" s="253"/>
      <c r="V41" s="253"/>
      <c r="W41" s="253"/>
      <c r="X41" s="253"/>
      <c r="Y41" s="253"/>
      <c r="Z41" s="253"/>
      <c r="AA41" s="253"/>
      <c r="AB41" s="253"/>
      <c r="AC41" s="253"/>
      <c r="AD41" s="253"/>
    </row>
    <row r="42" spans="1:30" s="270" customFormat="1" ht="12.5" thickTop="1">
      <c r="B42" s="270" t="s">
        <v>812</v>
      </c>
    </row>
    <row r="43" spans="1:30" s="270" customFormat="1" ht="12">
      <c r="B43" s="270" t="s">
        <v>813</v>
      </c>
    </row>
    <row r="44" spans="1:30" s="270" customFormat="1" ht="12">
      <c r="B44" s="270" t="s">
        <v>814</v>
      </c>
    </row>
    <row r="45" spans="1:30" s="270" customFormat="1" ht="12">
      <c r="B45" s="270" t="s">
        <v>815</v>
      </c>
    </row>
    <row r="46" spans="1:30" s="270" customFormat="1" ht="12">
      <c r="B46" s="270" t="s">
        <v>816</v>
      </c>
    </row>
    <row r="47" spans="1:30" s="270" customFormat="1" ht="12">
      <c r="B47" s="270" t="s">
        <v>817</v>
      </c>
    </row>
    <row r="48" spans="1:30" s="270" customFormat="1" ht="12">
      <c r="B48" s="270" t="s">
        <v>818</v>
      </c>
    </row>
    <row r="49" spans="2:2" s="270" customFormat="1" ht="12">
      <c r="B49" s="270" t="s">
        <v>819</v>
      </c>
    </row>
    <row r="50" spans="2:2" s="270" customFormat="1" ht="12">
      <c r="B50" s="270" t="s">
        <v>820</v>
      </c>
    </row>
    <row r="51" spans="2:2" s="270" customFormat="1" ht="12">
      <c r="B51" s="270" t="s">
        <v>821</v>
      </c>
    </row>
    <row r="52" spans="2:2" s="270" customFormat="1" ht="12">
      <c r="B52" s="270" t="s">
        <v>822</v>
      </c>
    </row>
    <row r="53" spans="2:2" s="270" customFormat="1" ht="12">
      <c r="B53" s="270" t="s">
        <v>823</v>
      </c>
    </row>
    <row r="54" spans="2:2" s="270" customFormat="1" ht="12">
      <c r="B54" s="270" t="s">
        <v>824</v>
      </c>
    </row>
    <row r="55" spans="2:2" s="270" customFormat="1" ht="12">
      <c r="B55" s="270" t="s">
        <v>825</v>
      </c>
    </row>
    <row r="56" spans="2:2" s="270" customFormat="1" ht="12">
      <c r="B56" s="270" t="s">
        <v>826</v>
      </c>
    </row>
    <row r="57" spans="2:2" s="270" customFormat="1" ht="12">
      <c r="B57" s="270" t="s">
        <v>827</v>
      </c>
    </row>
    <row r="58" spans="2:2" s="270" customFormat="1" ht="12">
      <c r="B58" s="270" t="s">
        <v>828</v>
      </c>
    </row>
    <row r="59" spans="2:2" s="270" customFormat="1" ht="12">
      <c r="B59" s="270" t="s">
        <v>829</v>
      </c>
    </row>
    <row r="60" spans="2:2" s="270" customFormat="1" ht="12">
      <c r="B60" s="270" t="s">
        <v>830</v>
      </c>
    </row>
    <row r="61" spans="2:2" s="270" customFormat="1" ht="12">
      <c r="B61" s="270" t="s">
        <v>831</v>
      </c>
    </row>
    <row r="62" spans="2:2" s="270" customFormat="1" ht="12">
      <c r="B62" s="270" t="s">
        <v>832</v>
      </c>
    </row>
    <row r="63" spans="2:2" s="270" customFormat="1" ht="12">
      <c r="B63" s="270" t="s">
        <v>833</v>
      </c>
    </row>
    <row r="64" spans="2:2" s="270" customFormat="1" ht="12">
      <c r="B64" s="270" t="s">
        <v>834</v>
      </c>
    </row>
    <row r="65" spans="2:2" s="270" customFormat="1" ht="12">
      <c r="B65" s="270" t="s">
        <v>835</v>
      </c>
    </row>
    <row r="66" spans="2:2" s="270" customFormat="1" ht="12">
      <c r="B66" s="270" t="s">
        <v>836</v>
      </c>
    </row>
    <row r="67" spans="2:2" s="270" customFormat="1" ht="12">
      <c r="B67" s="270" t="s">
        <v>837</v>
      </c>
    </row>
    <row r="68" spans="2:2" s="270" customFormat="1" ht="12">
      <c r="B68" s="270" t="s">
        <v>838</v>
      </c>
    </row>
    <row r="69" spans="2:2" s="270" customFormat="1" ht="12">
      <c r="B69" s="270" t="s">
        <v>839</v>
      </c>
    </row>
  </sheetData>
  <conditionalFormatting sqref="A10:AD10">
    <cfRule type="notContainsBlanks" dxfId="22" priority="5">
      <formula>LEN(TRIM(A10))&gt;0</formula>
    </cfRule>
  </conditionalFormatting>
  <conditionalFormatting sqref="AD1">
    <cfRule type="notContainsBlanks" dxfId="21" priority="1">
      <formula>LEN(TRIM(AD1))&gt;0</formula>
    </cfRule>
  </conditionalFormatting>
  <conditionalFormatting sqref="AD2:AD6">
    <cfRule type="notContainsBlanks" dxfId="20" priority="2">
      <formula>LEN(TRIM(AD2))&gt;0</formula>
    </cfRule>
  </conditionalFormatting>
  <conditionalFormatting sqref="AD7">
    <cfRule type="notContainsBlanks" dxfId="19" priority="3">
      <formula>LEN(TRIM(AD7))&gt;0</formula>
    </cfRule>
  </conditionalFormatting>
  <conditionalFormatting sqref="AD8:AD9">
    <cfRule type="notContainsBlanks" dxfId="18" priority="4">
      <formula>LEN(TRIM(AD8))&gt;0</formula>
    </cfRule>
  </conditionalFormatting>
  <conditionalFormatting sqref="AD10">
    <cfRule type="notContainsBlanks" dxfId="17" priority="6">
      <formula>LEN(TRIM(AD10))&gt;0</formula>
    </cfRule>
  </conditionalFormatting>
  <conditionalFormatting sqref="AD11">
    <cfRule type="notContainsBlanks" dxfId="16" priority="7">
      <formula>LEN(TRIM(AD11))&gt;0</formula>
    </cfRule>
  </conditionalFormatting>
  <conditionalFormatting sqref="AD12:AD13">
    <cfRule type="notContainsBlanks" dxfId="15" priority="8">
      <formula>LEN(TRIM(AD12))&gt;0</formula>
    </cfRule>
  </conditionalFormatting>
  <conditionalFormatting sqref="AD14:AD16">
    <cfRule type="notContainsBlanks" dxfId="14" priority="9">
      <formula>LEN(TRIM(AD14))&gt;0</formula>
    </cfRule>
  </conditionalFormatting>
  <conditionalFormatting sqref="AD17:AD18">
    <cfRule type="notContainsBlanks" dxfId="13" priority="10">
      <formula>LEN(TRIM(AD17))&gt;0</formula>
    </cfRule>
  </conditionalFormatting>
  <conditionalFormatting sqref="AD19">
    <cfRule type="notContainsBlanks" dxfId="12" priority="11">
      <formula>LEN(TRIM(AD19))&gt;0</formula>
    </cfRule>
  </conditionalFormatting>
  <conditionalFormatting sqref="AD20:AD21">
    <cfRule type="notContainsBlanks" dxfId="11" priority="12">
      <formula>LEN(TRIM(AD20))&gt;0</formula>
    </cfRule>
  </conditionalFormatting>
  <conditionalFormatting sqref="AD22:AD24">
    <cfRule type="notContainsBlanks" dxfId="10" priority="13">
      <formula>LEN(TRIM(AD22))&gt;0</formula>
    </cfRule>
  </conditionalFormatting>
  <conditionalFormatting sqref="AD25">
    <cfRule type="notContainsBlanks" dxfId="9" priority="14">
      <formula>LEN(TRIM(AD25))&gt;0</formula>
    </cfRule>
  </conditionalFormatting>
  <conditionalFormatting sqref="AD26:AD29">
    <cfRule type="notContainsBlanks" dxfId="8" priority="15">
      <formula>LEN(TRIM(AD26))&gt;0</formula>
    </cfRule>
  </conditionalFormatting>
  <conditionalFormatting sqref="AD30">
    <cfRule type="notContainsBlanks" dxfId="7" priority="16">
      <formula>LEN(TRIM(AD30))&gt;0</formula>
    </cfRule>
  </conditionalFormatting>
  <conditionalFormatting sqref="AD31">
    <cfRule type="notContainsBlanks" dxfId="6" priority="17">
      <formula>LEN(TRIM(AD31))&gt;0</formula>
    </cfRule>
  </conditionalFormatting>
  <conditionalFormatting sqref="AD32">
    <cfRule type="notContainsBlanks" dxfId="5" priority="18">
      <formula>LEN(TRIM(AD32))&gt;0</formula>
    </cfRule>
  </conditionalFormatting>
  <conditionalFormatting sqref="AD33">
    <cfRule type="notContainsBlanks" dxfId="4" priority="19">
      <formula>LEN(TRIM(AD33))&gt;0</formula>
    </cfRule>
  </conditionalFormatting>
  <conditionalFormatting sqref="AD34">
    <cfRule type="notContainsBlanks" dxfId="3" priority="20">
      <formula>LEN(TRIM(AD34))&gt;0</formula>
    </cfRule>
  </conditionalFormatting>
  <conditionalFormatting sqref="AD35:AD36">
    <cfRule type="notContainsBlanks" dxfId="2" priority="21">
      <formula>LEN(TRIM(AD35))&gt;0</formula>
    </cfRule>
  </conditionalFormatting>
  <conditionalFormatting sqref="AD37">
    <cfRule type="notContainsBlanks" dxfId="1" priority="22">
      <formula>LEN(TRIM(AD37))&gt;0</formula>
    </cfRule>
  </conditionalFormatting>
  <conditionalFormatting sqref="AD38:AD69">
    <cfRule type="notContainsBlanks" dxfId="0" priority="23">
      <formula>LEN(TRIM(AD38))&gt;0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E40B6-5B91-427D-89DF-A32B25A66196}">
  <dimension ref="A1:BA2540"/>
  <sheetViews>
    <sheetView workbookViewId="0">
      <pane xSplit="2" ySplit="1" topLeftCell="C2" activePane="bottomRight" state="frozen"/>
      <selection activeCell="B1" sqref="B1"/>
      <selection pane="topRight" activeCell="B1" sqref="B1"/>
      <selection pane="bottomLeft" activeCell="B1" sqref="B1"/>
      <selection pane="bottomRight" activeCell="F27" sqref="F27"/>
    </sheetView>
  </sheetViews>
  <sheetFormatPr defaultRowHeight="15" customHeight="1"/>
  <cols>
    <col min="1" max="1" width="30.36328125" customWidth="1"/>
    <col min="2" max="2" width="49" customWidth="1"/>
  </cols>
  <sheetData>
    <row r="1" spans="1:53" ht="15" customHeight="1" thickBot="1">
      <c r="A1" s="199"/>
      <c r="B1" s="212" t="s">
        <v>485</v>
      </c>
      <c r="C1" s="213">
        <v>2022</v>
      </c>
      <c r="D1" s="213">
        <v>2023</v>
      </c>
      <c r="E1" s="213">
        <v>2024</v>
      </c>
      <c r="F1" s="213">
        <v>2025</v>
      </c>
      <c r="G1" s="213">
        <v>2026</v>
      </c>
      <c r="H1" s="213">
        <v>2027</v>
      </c>
      <c r="I1" s="213">
        <v>2028</v>
      </c>
      <c r="J1" s="213">
        <v>2029</v>
      </c>
      <c r="K1" s="213">
        <v>2030</v>
      </c>
      <c r="L1" s="213">
        <v>2031</v>
      </c>
      <c r="M1" s="213">
        <v>2032</v>
      </c>
      <c r="N1" s="213">
        <v>2033</v>
      </c>
      <c r="O1" s="213">
        <v>2034</v>
      </c>
      <c r="P1" s="213">
        <v>2035</v>
      </c>
      <c r="Q1" s="213">
        <v>2036</v>
      </c>
      <c r="R1" s="213">
        <v>2037</v>
      </c>
      <c r="S1" s="213">
        <v>2038</v>
      </c>
      <c r="T1" s="213">
        <v>2039</v>
      </c>
      <c r="U1" s="213">
        <v>2040</v>
      </c>
      <c r="V1" s="213">
        <v>2041</v>
      </c>
      <c r="W1" s="213">
        <v>2042</v>
      </c>
      <c r="X1" s="213">
        <v>2043</v>
      </c>
      <c r="Y1" s="213">
        <v>2044</v>
      </c>
      <c r="Z1" s="213">
        <v>2045</v>
      </c>
      <c r="AA1" s="213">
        <v>2046</v>
      </c>
      <c r="AB1" s="213">
        <v>2047</v>
      </c>
      <c r="AC1" s="213">
        <v>2048</v>
      </c>
      <c r="AD1" s="213">
        <v>2049</v>
      </c>
      <c r="AE1" s="213">
        <v>2050</v>
      </c>
      <c r="AF1" s="199"/>
      <c r="AG1" s="199"/>
      <c r="AH1" s="199"/>
      <c r="AI1" s="199"/>
      <c r="AJ1" s="199"/>
      <c r="AK1" s="199"/>
      <c r="AL1" s="199"/>
      <c r="AM1" s="199"/>
      <c r="AN1" s="199"/>
      <c r="AO1" s="199"/>
      <c r="AP1" s="199"/>
      <c r="AQ1" s="199"/>
      <c r="AR1" s="199"/>
      <c r="AS1" s="199"/>
      <c r="AT1" s="199"/>
      <c r="AU1" s="199"/>
      <c r="AV1" s="199"/>
      <c r="AW1" s="199"/>
      <c r="AX1" s="199"/>
      <c r="AY1" s="199"/>
      <c r="AZ1" s="199"/>
      <c r="BA1" s="199"/>
    </row>
    <row r="2" spans="1:53" ht="15" customHeight="1" thickTop="1">
      <c r="A2" s="199"/>
      <c r="B2" s="199"/>
      <c r="C2" s="199"/>
      <c r="D2" s="199"/>
      <c r="E2" s="199"/>
      <c r="F2" s="199"/>
      <c r="G2" s="199"/>
      <c r="H2" s="199"/>
      <c r="I2" s="199"/>
      <c r="J2" s="199"/>
      <c r="K2" s="199"/>
      <c r="L2" s="199"/>
      <c r="M2" s="199"/>
      <c r="N2" s="199"/>
      <c r="O2" s="199"/>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199"/>
      <c r="AO2" s="199"/>
      <c r="AP2" s="199"/>
      <c r="AQ2" s="199"/>
      <c r="AR2" s="199"/>
      <c r="AS2" s="199"/>
      <c r="AT2" s="199"/>
      <c r="AU2" s="199"/>
      <c r="AV2" s="199"/>
      <c r="AW2" s="199"/>
      <c r="AX2" s="199"/>
      <c r="AY2" s="199"/>
      <c r="AZ2" s="199"/>
      <c r="BA2" s="199"/>
    </row>
    <row r="3" spans="1:53" ht="15" customHeight="1">
      <c r="A3" s="199"/>
      <c r="B3" s="199"/>
      <c r="C3" s="208" t="s">
        <v>92</v>
      </c>
      <c r="D3" s="208" t="s">
        <v>486</v>
      </c>
      <c r="E3" s="203"/>
      <c r="F3" s="203"/>
      <c r="G3" s="203"/>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199"/>
      <c r="AQ3" s="199"/>
      <c r="AR3" s="199"/>
      <c r="AS3" s="199"/>
      <c r="AT3" s="199"/>
      <c r="AU3" s="199"/>
      <c r="AV3" s="199"/>
      <c r="AW3" s="199"/>
      <c r="AX3" s="199"/>
      <c r="AY3" s="199"/>
      <c r="AZ3" s="199"/>
      <c r="BA3" s="199"/>
    </row>
    <row r="4" spans="1:53" ht="15" customHeight="1">
      <c r="A4" s="199"/>
      <c r="B4" s="199"/>
      <c r="C4" s="208" t="s">
        <v>93</v>
      </c>
      <c r="D4" s="208" t="s">
        <v>487</v>
      </c>
      <c r="E4" s="203"/>
      <c r="F4" s="203"/>
      <c r="G4" s="208" t="s">
        <v>479</v>
      </c>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9"/>
      <c r="AR4" s="199"/>
      <c r="AS4" s="199"/>
      <c r="AT4" s="199"/>
      <c r="AU4" s="199"/>
      <c r="AV4" s="199"/>
      <c r="AW4" s="199"/>
      <c r="AX4" s="199"/>
      <c r="AY4" s="199"/>
      <c r="AZ4" s="199"/>
      <c r="BA4" s="199"/>
    </row>
    <row r="5" spans="1:53" ht="15" customHeight="1">
      <c r="A5" s="199"/>
      <c r="B5" s="199"/>
      <c r="C5" s="208" t="s">
        <v>94</v>
      </c>
      <c r="D5" s="208" t="s">
        <v>488</v>
      </c>
      <c r="E5" s="203"/>
      <c r="F5" s="203"/>
      <c r="G5" s="203"/>
      <c r="H5" s="199"/>
      <c r="I5" s="199"/>
      <c r="J5" s="199"/>
      <c r="K5" s="199"/>
      <c r="L5" s="199"/>
      <c r="M5" s="199"/>
      <c r="N5" s="199"/>
      <c r="O5" s="199"/>
      <c r="P5" s="199"/>
      <c r="Q5" s="199"/>
      <c r="R5" s="199"/>
      <c r="S5" s="199"/>
      <c r="T5" s="199"/>
      <c r="U5" s="199"/>
      <c r="V5" s="199"/>
      <c r="W5" s="199"/>
      <c r="X5" s="199"/>
      <c r="Y5" s="199"/>
      <c r="Z5" s="199"/>
      <c r="AA5" s="199"/>
      <c r="AB5" s="199"/>
      <c r="AC5" s="199"/>
      <c r="AD5" s="199"/>
      <c r="AE5" s="199"/>
      <c r="AF5" s="199"/>
      <c r="AG5" s="199"/>
      <c r="AH5" s="199"/>
      <c r="AI5" s="199"/>
      <c r="AJ5" s="199"/>
      <c r="AK5" s="199"/>
      <c r="AL5" s="199"/>
      <c r="AM5" s="199"/>
      <c r="AN5" s="199"/>
      <c r="AO5" s="199"/>
      <c r="AP5" s="199"/>
      <c r="AQ5" s="199"/>
      <c r="AR5" s="199"/>
      <c r="AS5" s="199"/>
      <c r="AT5" s="199"/>
      <c r="AU5" s="199"/>
      <c r="AV5" s="199"/>
      <c r="AW5" s="199"/>
      <c r="AX5" s="199"/>
      <c r="AY5" s="199"/>
      <c r="AZ5" s="199"/>
      <c r="BA5" s="199"/>
    </row>
    <row r="6" spans="1:53" ht="15" customHeight="1">
      <c r="A6" s="199"/>
      <c r="B6" s="199"/>
      <c r="C6" s="208" t="s">
        <v>95</v>
      </c>
      <c r="D6" s="203"/>
      <c r="E6" s="208" t="s">
        <v>489</v>
      </c>
      <c r="F6" s="203"/>
      <c r="G6" s="203"/>
      <c r="H6" s="199"/>
      <c r="I6" s="199"/>
      <c r="J6" s="199"/>
      <c r="K6" s="199"/>
      <c r="L6" s="199"/>
      <c r="M6" s="199"/>
      <c r="N6" s="199"/>
      <c r="O6" s="199"/>
      <c r="P6" s="199"/>
      <c r="Q6" s="199"/>
      <c r="R6" s="199"/>
      <c r="S6" s="199"/>
      <c r="T6" s="199"/>
      <c r="U6" s="199"/>
      <c r="V6" s="199"/>
      <c r="W6" s="199"/>
      <c r="X6" s="199"/>
      <c r="Y6" s="199"/>
      <c r="Z6" s="199"/>
      <c r="AA6" s="199"/>
      <c r="AB6" s="199"/>
      <c r="AC6" s="199"/>
      <c r="AD6" s="199"/>
      <c r="AE6" s="199"/>
      <c r="AF6" s="199"/>
      <c r="AG6" s="199"/>
      <c r="AH6" s="199"/>
      <c r="AI6" s="199"/>
      <c r="AJ6" s="199"/>
      <c r="AK6" s="199"/>
      <c r="AL6" s="199"/>
      <c r="AM6" s="199"/>
      <c r="AN6" s="199"/>
      <c r="AO6" s="199"/>
      <c r="AP6" s="199"/>
      <c r="AQ6" s="199"/>
      <c r="AR6" s="199"/>
      <c r="AS6" s="199"/>
      <c r="AT6" s="199"/>
      <c r="AU6" s="199"/>
      <c r="AV6" s="199"/>
      <c r="AW6" s="199"/>
      <c r="AX6" s="199"/>
      <c r="AY6" s="199"/>
      <c r="AZ6" s="199"/>
      <c r="BA6" s="199"/>
    </row>
    <row r="7" spans="1:53" ht="15" customHeight="1">
      <c r="A7" s="199"/>
      <c r="B7" s="199"/>
      <c r="C7" s="199"/>
      <c r="D7" s="199"/>
      <c r="E7" s="199"/>
      <c r="F7" s="199"/>
      <c r="G7" s="199"/>
      <c r="H7" s="199"/>
      <c r="I7" s="199"/>
      <c r="J7" s="199"/>
      <c r="K7" s="199"/>
      <c r="L7" s="199"/>
      <c r="M7" s="199"/>
      <c r="N7" s="199"/>
      <c r="O7" s="199"/>
      <c r="P7" s="199"/>
      <c r="Q7" s="199"/>
      <c r="R7" s="199"/>
      <c r="S7" s="199"/>
      <c r="T7" s="199"/>
      <c r="U7" s="199"/>
      <c r="V7" s="199"/>
      <c r="W7" s="199"/>
      <c r="X7" s="199"/>
      <c r="Y7" s="199"/>
      <c r="Z7" s="199"/>
      <c r="AA7" s="199"/>
      <c r="AB7" s="199"/>
      <c r="AC7" s="199"/>
      <c r="AD7" s="199"/>
      <c r="AE7" s="199"/>
      <c r="AF7" s="199"/>
      <c r="AG7" s="199"/>
      <c r="AH7" s="199"/>
      <c r="AI7" s="199"/>
      <c r="AJ7" s="199"/>
      <c r="AK7" s="199"/>
      <c r="AL7" s="199"/>
      <c r="AM7" s="199"/>
      <c r="AN7" s="199"/>
      <c r="AO7" s="199"/>
      <c r="AP7" s="199"/>
      <c r="AQ7" s="199"/>
      <c r="AR7" s="199"/>
      <c r="AS7" s="199"/>
      <c r="AT7" s="199"/>
      <c r="AU7" s="199"/>
      <c r="AV7" s="199"/>
      <c r="AW7" s="199"/>
      <c r="AX7" s="199"/>
      <c r="AY7" s="199"/>
      <c r="AZ7" s="199"/>
      <c r="BA7" s="199"/>
    </row>
    <row r="8" spans="1:53" ht="15" customHeight="1">
      <c r="A8" s="199"/>
      <c r="B8" s="199"/>
      <c r="C8" s="199"/>
      <c r="D8" s="199"/>
      <c r="E8" s="199"/>
      <c r="F8" s="199"/>
      <c r="G8" s="199"/>
      <c r="H8" s="199"/>
      <c r="I8" s="199"/>
      <c r="J8" s="199"/>
      <c r="K8" s="199"/>
      <c r="L8" s="199"/>
      <c r="M8" s="199"/>
      <c r="N8" s="199"/>
      <c r="O8" s="199"/>
      <c r="P8" s="199"/>
      <c r="Q8" s="199"/>
      <c r="R8" s="199"/>
      <c r="S8" s="199"/>
      <c r="T8" s="199"/>
      <c r="U8" s="199"/>
      <c r="V8" s="199"/>
      <c r="W8" s="199"/>
      <c r="X8" s="199"/>
      <c r="Y8" s="199"/>
      <c r="Z8" s="199"/>
      <c r="AA8" s="199"/>
      <c r="AB8" s="199"/>
      <c r="AC8" s="199"/>
      <c r="AD8" s="199"/>
      <c r="AE8" s="199"/>
      <c r="AF8" s="199"/>
      <c r="AG8" s="199"/>
      <c r="AH8" s="199"/>
      <c r="AI8" s="199"/>
      <c r="AJ8" s="199"/>
      <c r="AK8" s="199"/>
      <c r="AL8" s="199"/>
      <c r="AM8" s="199"/>
      <c r="AN8" s="199"/>
      <c r="AO8" s="199"/>
      <c r="AP8" s="199"/>
      <c r="AQ8" s="199"/>
      <c r="AR8" s="199"/>
      <c r="AS8" s="199"/>
      <c r="AT8" s="199"/>
      <c r="AU8" s="199"/>
      <c r="AV8" s="199"/>
      <c r="AW8" s="199"/>
      <c r="AX8" s="199"/>
      <c r="AY8" s="199"/>
      <c r="AZ8" s="199"/>
      <c r="BA8" s="199"/>
    </row>
    <row r="9" spans="1:53" ht="15" customHeight="1">
      <c r="A9" s="199"/>
      <c r="B9" s="199"/>
      <c r="C9" s="199"/>
      <c r="D9" s="199"/>
      <c r="E9" s="199"/>
      <c r="F9" s="199"/>
      <c r="G9" s="199"/>
      <c r="H9" s="199"/>
      <c r="I9" s="199"/>
      <c r="J9" s="199"/>
      <c r="K9" s="199"/>
      <c r="L9" s="199"/>
      <c r="M9" s="199"/>
      <c r="N9" s="199"/>
      <c r="O9" s="199"/>
      <c r="P9" s="199"/>
      <c r="Q9" s="199"/>
      <c r="R9" s="199"/>
      <c r="S9" s="199"/>
      <c r="T9" s="199"/>
      <c r="U9" s="199"/>
      <c r="V9" s="199"/>
      <c r="W9" s="199"/>
      <c r="X9" s="199"/>
      <c r="Y9" s="199"/>
      <c r="Z9" s="199"/>
      <c r="AA9" s="199"/>
      <c r="AB9" s="199"/>
      <c r="AC9" s="199"/>
      <c r="AD9" s="199"/>
      <c r="AE9" s="199"/>
      <c r="AF9" s="199"/>
      <c r="AG9" s="199"/>
      <c r="AH9" s="199"/>
      <c r="AI9" s="199"/>
      <c r="AJ9" s="199"/>
      <c r="AK9" s="199"/>
      <c r="AL9" s="199"/>
      <c r="AM9" s="199"/>
      <c r="AN9" s="199"/>
      <c r="AO9" s="199"/>
      <c r="AP9" s="199"/>
      <c r="AQ9" s="199"/>
      <c r="AR9" s="199"/>
      <c r="AS9" s="199"/>
      <c r="AT9" s="199"/>
      <c r="AU9" s="199"/>
      <c r="AV9" s="199"/>
      <c r="AW9" s="199"/>
      <c r="AX9" s="199"/>
      <c r="AY9" s="199"/>
      <c r="AZ9" s="199"/>
      <c r="BA9" s="199"/>
    </row>
    <row r="10" spans="1:53" ht="15" customHeight="1">
      <c r="A10" s="201" t="s">
        <v>170</v>
      </c>
      <c r="B10" s="214" t="s">
        <v>480</v>
      </c>
      <c r="C10" s="200"/>
      <c r="D10" s="200"/>
      <c r="E10" s="200"/>
      <c r="F10" s="200"/>
      <c r="G10" s="200"/>
      <c r="H10" s="200"/>
      <c r="I10" s="200"/>
      <c r="J10" s="200"/>
      <c r="K10" s="200"/>
      <c r="L10" s="200"/>
      <c r="M10" s="200"/>
      <c r="N10" s="200"/>
      <c r="O10" s="200"/>
      <c r="P10" s="200"/>
      <c r="Q10" s="200"/>
      <c r="R10" s="200"/>
      <c r="S10" s="200"/>
      <c r="T10" s="200"/>
      <c r="U10" s="200"/>
      <c r="V10" s="200"/>
      <c r="W10" s="200"/>
      <c r="X10" s="200"/>
      <c r="Y10" s="200"/>
      <c r="Z10" s="200"/>
      <c r="AA10" s="200"/>
      <c r="AB10" s="200"/>
      <c r="AC10" s="200"/>
      <c r="AD10" s="200"/>
      <c r="AE10" s="200"/>
      <c r="AF10" s="202" t="s">
        <v>477</v>
      </c>
      <c r="AG10" s="200"/>
      <c r="AH10" s="200"/>
      <c r="AI10" s="200"/>
      <c r="AJ10" s="200"/>
      <c r="AK10" s="200"/>
      <c r="AL10" s="200"/>
      <c r="AM10" s="200"/>
      <c r="AN10" s="200"/>
      <c r="AO10" s="200"/>
      <c r="AP10" s="200"/>
      <c r="AQ10" s="200"/>
      <c r="AR10" s="200"/>
      <c r="AS10" s="200"/>
      <c r="AT10" s="200"/>
      <c r="AU10" s="200"/>
      <c r="AV10" s="200"/>
      <c r="AW10" s="200"/>
      <c r="AX10" s="200"/>
      <c r="AY10" s="200"/>
      <c r="AZ10" s="200"/>
      <c r="BA10" s="200"/>
    </row>
    <row r="11" spans="1:53" ht="15" customHeight="1">
      <c r="A11" s="201" t="s">
        <v>172</v>
      </c>
      <c r="B11" s="215" t="s">
        <v>149</v>
      </c>
      <c r="C11" s="200"/>
      <c r="D11" s="200"/>
      <c r="E11" s="200"/>
      <c r="F11" s="200"/>
      <c r="G11" s="200"/>
      <c r="H11" s="200"/>
      <c r="I11" s="200"/>
      <c r="J11" s="200"/>
      <c r="K11" s="200"/>
      <c r="L11" s="200"/>
      <c r="M11" s="200"/>
      <c r="N11" s="200"/>
      <c r="O11" s="200"/>
      <c r="P11" s="200"/>
      <c r="Q11" s="200"/>
      <c r="R11" s="200"/>
      <c r="S11" s="200"/>
      <c r="T11" s="200"/>
      <c r="U11" s="200"/>
      <c r="V11" s="200"/>
      <c r="W11" s="200"/>
      <c r="X11" s="200"/>
      <c r="Y11" s="200"/>
      <c r="Z11" s="200"/>
      <c r="AA11" s="200"/>
      <c r="AB11" s="200"/>
      <c r="AC11" s="200"/>
      <c r="AD11" s="200"/>
      <c r="AE11" s="200"/>
      <c r="AF11" s="202" t="s">
        <v>476</v>
      </c>
      <c r="AG11" s="200"/>
      <c r="AH11" s="200"/>
      <c r="AI11" s="200"/>
      <c r="AJ11" s="200"/>
      <c r="AK11" s="200"/>
      <c r="AL11" s="200"/>
      <c r="AM11" s="200"/>
      <c r="AN11" s="200"/>
      <c r="AO11" s="200"/>
      <c r="AP11" s="200"/>
      <c r="AQ11" s="200"/>
      <c r="AR11" s="200"/>
      <c r="AS11" s="200"/>
      <c r="AT11" s="200"/>
      <c r="AU11" s="200"/>
      <c r="AV11" s="200"/>
      <c r="AW11" s="200"/>
      <c r="AX11" s="200"/>
      <c r="AY11" s="200"/>
      <c r="AZ11" s="200"/>
      <c r="BA11" s="200"/>
    </row>
    <row r="12" spans="1:53" ht="15" customHeight="1">
      <c r="A12" s="201" t="s">
        <v>174</v>
      </c>
      <c r="B12" s="215"/>
      <c r="C12" s="211"/>
      <c r="D12" s="211"/>
      <c r="E12" s="211"/>
      <c r="F12" s="211"/>
      <c r="G12" s="211"/>
      <c r="H12" s="211"/>
      <c r="I12" s="211"/>
      <c r="J12" s="211"/>
      <c r="K12" s="211"/>
      <c r="L12" s="211"/>
      <c r="M12" s="211"/>
      <c r="N12" s="211"/>
      <c r="O12" s="211"/>
      <c r="P12" s="211"/>
      <c r="Q12" s="211"/>
      <c r="R12" s="211"/>
      <c r="S12" s="211"/>
      <c r="T12" s="211"/>
      <c r="U12" s="211"/>
      <c r="V12" s="211"/>
      <c r="W12" s="211"/>
      <c r="X12" s="211"/>
      <c r="Y12" s="211"/>
      <c r="Z12" s="211"/>
      <c r="AA12" s="211"/>
      <c r="AB12" s="211"/>
      <c r="AC12" s="211"/>
      <c r="AD12" s="211"/>
      <c r="AE12" s="211"/>
      <c r="AF12" s="202" t="s">
        <v>490</v>
      </c>
      <c r="AG12" s="200"/>
      <c r="AH12" s="200"/>
      <c r="AI12" s="200"/>
      <c r="AJ12" s="200"/>
      <c r="AK12" s="200"/>
      <c r="AL12" s="200"/>
      <c r="AM12" s="200"/>
      <c r="AN12" s="200"/>
      <c r="AO12" s="200"/>
      <c r="AP12" s="200"/>
      <c r="AQ12" s="200"/>
      <c r="AR12" s="200"/>
      <c r="AS12" s="200"/>
      <c r="AT12" s="200"/>
      <c r="AU12" s="200"/>
      <c r="AV12" s="200"/>
      <c r="AW12" s="200"/>
      <c r="AX12" s="200"/>
      <c r="AY12" s="200"/>
      <c r="AZ12" s="200"/>
      <c r="BA12" s="200"/>
    </row>
    <row r="13" spans="1:53" ht="15" customHeight="1" thickBot="1">
      <c r="A13" s="201" t="s">
        <v>176</v>
      </c>
      <c r="B13" s="216"/>
      <c r="C13" s="216">
        <v>2022</v>
      </c>
      <c r="D13" s="216">
        <v>2023</v>
      </c>
      <c r="E13" s="216">
        <v>2024</v>
      </c>
      <c r="F13" s="216">
        <v>2025</v>
      </c>
      <c r="G13" s="216">
        <v>2026</v>
      </c>
      <c r="H13" s="216">
        <v>2027</v>
      </c>
      <c r="I13" s="216">
        <v>2028</v>
      </c>
      <c r="J13" s="216">
        <v>2029</v>
      </c>
      <c r="K13" s="216">
        <v>2030</v>
      </c>
      <c r="L13" s="216">
        <v>2031</v>
      </c>
      <c r="M13" s="216">
        <v>2032</v>
      </c>
      <c r="N13" s="216">
        <v>2033</v>
      </c>
      <c r="O13" s="216">
        <v>2034</v>
      </c>
      <c r="P13" s="216">
        <v>2035</v>
      </c>
      <c r="Q13" s="216">
        <v>2036</v>
      </c>
      <c r="R13" s="216">
        <v>2037</v>
      </c>
      <c r="S13" s="216">
        <v>2038</v>
      </c>
      <c r="T13" s="216">
        <v>2039</v>
      </c>
      <c r="U13" s="216">
        <v>2040</v>
      </c>
      <c r="V13" s="216">
        <v>2041</v>
      </c>
      <c r="W13" s="216">
        <v>2042</v>
      </c>
      <c r="X13" s="216">
        <v>2043</v>
      </c>
      <c r="Y13" s="216">
        <v>2044</v>
      </c>
      <c r="Z13" s="216">
        <v>2045</v>
      </c>
      <c r="AA13" s="216">
        <v>2046</v>
      </c>
      <c r="AB13" s="216">
        <v>2047</v>
      </c>
      <c r="AC13" s="216">
        <v>2048</v>
      </c>
      <c r="AD13" s="216">
        <v>2049</v>
      </c>
      <c r="AE13" s="216">
        <v>2050</v>
      </c>
      <c r="AF13" s="217">
        <v>2050</v>
      </c>
      <c r="AG13" s="200"/>
      <c r="AH13" s="200"/>
      <c r="AI13" s="200"/>
      <c r="AJ13" s="200"/>
      <c r="AK13" s="200"/>
      <c r="AL13" s="200"/>
      <c r="AM13" s="200"/>
      <c r="AN13" s="200"/>
      <c r="AO13" s="200"/>
      <c r="AP13" s="200"/>
      <c r="AQ13" s="200"/>
      <c r="AR13" s="200"/>
      <c r="AS13" s="200"/>
      <c r="AT13" s="200"/>
      <c r="AU13" s="200"/>
      <c r="AV13" s="200"/>
      <c r="AW13" s="200"/>
      <c r="AX13" s="200"/>
      <c r="AY13" s="200"/>
      <c r="AZ13" s="200"/>
      <c r="BA13" s="200"/>
    </row>
    <row r="14" spans="1:53" ht="15" customHeight="1" thickTop="1">
      <c r="A14" s="201" t="s">
        <v>178</v>
      </c>
      <c r="B14" s="218" t="s">
        <v>150</v>
      </c>
      <c r="C14" s="200"/>
      <c r="D14" s="200"/>
      <c r="E14" s="200"/>
      <c r="F14" s="200"/>
      <c r="G14" s="200"/>
      <c r="H14" s="200"/>
      <c r="I14" s="200"/>
      <c r="J14" s="200"/>
      <c r="K14" s="200"/>
      <c r="L14" s="200"/>
      <c r="M14" s="200"/>
      <c r="N14" s="200"/>
      <c r="O14" s="200"/>
      <c r="P14" s="200"/>
      <c r="Q14" s="200"/>
      <c r="R14" s="200"/>
      <c r="S14" s="200"/>
      <c r="T14" s="200"/>
      <c r="U14" s="200"/>
      <c r="V14" s="200"/>
      <c r="W14" s="200"/>
      <c r="X14" s="200"/>
      <c r="Y14" s="200"/>
      <c r="Z14" s="200"/>
      <c r="AA14" s="200"/>
      <c r="AB14" s="200"/>
      <c r="AC14" s="200"/>
      <c r="AD14" s="200"/>
      <c r="AE14" s="200"/>
      <c r="AF14" s="200"/>
      <c r="AG14" s="200"/>
      <c r="AH14" s="200"/>
      <c r="AI14" s="200"/>
      <c r="AJ14" s="200"/>
      <c r="AK14" s="200"/>
      <c r="AL14" s="200"/>
      <c r="AM14" s="200"/>
      <c r="AN14" s="200"/>
      <c r="AO14" s="200"/>
      <c r="AP14" s="200"/>
      <c r="AQ14" s="200"/>
      <c r="AR14" s="200"/>
      <c r="AS14" s="200"/>
      <c r="AT14" s="200"/>
      <c r="AU14" s="200"/>
      <c r="AV14" s="200"/>
      <c r="AW14" s="200"/>
      <c r="AX14" s="200"/>
      <c r="AY14" s="200"/>
      <c r="AZ14" s="200"/>
      <c r="BA14" s="200"/>
    </row>
    <row r="15" spans="1:53" ht="15" customHeight="1">
      <c r="A15" s="201" t="s">
        <v>180</v>
      </c>
      <c r="B15" s="218" t="s">
        <v>151</v>
      </c>
      <c r="C15" s="200"/>
      <c r="D15" s="200"/>
      <c r="E15" s="200"/>
      <c r="F15" s="200"/>
      <c r="G15" s="200"/>
      <c r="H15" s="200"/>
      <c r="I15" s="200"/>
      <c r="J15" s="200"/>
      <c r="K15" s="200"/>
      <c r="L15" s="200"/>
      <c r="M15" s="200"/>
      <c r="N15" s="200"/>
      <c r="O15" s="200"/>
      <c r="P15" s="200"/>
      <c r="Q15" s="200"/>
      <c r="R15" s="200"/>
      <c r="S15" s="200"/>
      <c r="T15" s="200"/>
      <c r="U15" s="200"/>
      <c r="V15" s="200"/>
      <c r="W15" s="200"/>
      <c r="X15" s="200"/>
      <c r="Y15" s="200"/>
      <c r="Z15" s="200"/>
      <c r="AA15" s="200"/>
      <c r="AB15" s="200"/>
      <c r="AC15" s="200"/>
      <c r="AD15" s="200"/>
      <c r="AE15" s="200"/>
      <c r="AF15" s="200"/>
      <c r="AG15" s="200"/>
      <c r="AH15" s="200"/>
      <c r="AI15" s="200"/>
      <c r="AJ15" s="200"/>
      <c r="AK15" s="200"/>
      <c r="AL15" s="200"/>
      <c r="AM15" s="200"/>
      <c r="AN15" s="200"/>
      <c r="AO15" s="200"/>
      <c r="AP15" s="200"/>
      <c r="AQ15" s="200"/>
      <c r="AR15" s="200"/>
      <c r="AS15" s="200"/>
      <c r="AT15" s="200"/>
      <c r="AU15" s="200"/>
      <c r="AV15" s="200"/>
      <c r="AW15" s="200"/>
      <c r="AX15" s="200"/>
      <c r="AY15" s="200"/>
      <c r="AZ15" s="200"/>
      <c r="BA15" s="200"/>
    </row>
    <row r="16" spans="1:53" ht="15" customHeight="1">
      <c r="A16" s="201" t="s">
        <v>182</v>
      </c>
      <c r="B16" s="219" t="s">
        <v>152</v>
      </c>
      <c r="C16" s="224">
        <v>6.6360000000000001</v>
      </c>
      <c r="D16" s="224">
        <v>6.6360000000000001</v>
      </c>
      <c r="E16" s="224">
        <v>6.6360000000000001</v>
      </c>
      <c r="F16" s="224">
        <v>6.6360000000000001</v>
      </c>
      <c r="G16" s="224">
        <v>6.6360000000000001</v>
      </c>
      <c r="H16" s="224">
        <v>6.6360000000000001</v>
      </c>
      <c r="I16" s="224">
        <v>6.6360000000000001</v>
      </c>
      <c r="J16" s="224">
        <v>6.6360000000000001</v>
      </c>
      <c r="K16" s="224">
        <v>6.6360000000000001</v>
      </c>
      <c r="L16" s="224">
        <v>6.6360000000000001</v>
      </c>
      <c r="M16" s="224">
        <v>6.6360000000000001</v>
      </c>
      <c r="N16" s="224">
        <v>6.6360000000000001</v>
      </c>
      <c r="O16" s="224">
        <v>6.6360000000000001</v>
      </c>
      <c r="P16" s="224">
        <v>6.6360000000000001</v>
      </c>
      <c r="Q16" s="224">
        <v>6.6360000000000001</v>
      </c>
      <c r="R16" s="224">
        <v>6.6360000000000001</v>
      </c>
      <c r="S16" s="224">
        <v>6.6360000000000001</v>
      </c>
      <c r="T16" s="224">
        <v>6.6360000000000001</v>
      </c>
      <c r="U16" s="224">
        <v>6.6360000000000001</v>
      </c>
      <c r="V16" s="224">
        <v>6.6360000000000001</v>
      </c>
      <c r="W16" s="224">
        <v>6.6360000000000001</v>
      </c>
      <c r="X16" s="224">
        <v>6.6360000000000001</v>
      </c>
      <c r="Y16" s="224">
        <v>6.6360000000000001</v>
      </c>
      <c r="Z16" s="224">
        <v>6.6360000000000001</v>
      </c>
      <c r="AA16" s="224">
        <v>6.6360000000000001</v>
      </c>
      <c r="AB16" s="224">
        <v>6.6360000000000001</v>
      </c>
      <c r="AC16" s="224">
        <v>6.6360000000000001</v>
      </c>
      <c r="AD16" s="224">
        <v>6.6360000000000001</v>
      </c>
      <c r="AE16" s="224">
        <v>6.6360000000000001</v>
      </c>
      <c r="AF16" s="221">
        <v>0</v>
      </c>
      <c r="AG16" s="200"/>
      <c r="AH16" s="200"/>
      <c r="AI16" s="200"/>
      <c r="AJ16" s="200"/>
      <c r="AK16" s="200"/>
      <c r="AL16" s="200"/>
      <c r="AM16" s="200"/>
      <c r="AN16" s="200"/>
      <c r="AO16" s="200"/>
      <c r="AP16" s="200"/>
      <c r="AQ16" s="200"/>
      <c r="AR16" s="200"/>
      <c r="AS16" s="200"/>
      <c r="AT16" s="200"/>
      <c r="AU16" s="200"/>
      <c r="AV16" s="200"/>
      <c r="AW16" s="200"/>
      <c r="AX16" s="200"/>
      <c r="AY16" s="200"/>
      <c r="AZ16" s="200"/>
      <c r="BA16" s="200"/>
    </row>
    <row r="17" spans="1:53" ht="15" customHeight="1">
      <c r="A17" s="201" t="s">
        <v>184</v>
      </c>
      <c r="B17" s="219" t="s">
        <v>153</v>
      </c>
      <c r="C17" s="224">
        <v>5.048</v>
      </c>
      <c r="D17" s="224">
        <v>5.048</v>
      </c>
      <c r="E17" s="224">
        <v>5.048</v>
      </c>
      <c r="F17" s="224">
        <v>5.048</v>
      </c>
      <c r="G17" s="224">
        <v>5.048</v>
      </c>
      <c r="H17" s="224">
        <v>5.048</v>
      </c>
      <c r="I17" s="224">
        <v>5.048</v>
      </c>
      <c r="J17" s="224">
        <v>5.048</v>
      </c>
      <c r="K17" s="224">
        <v>5.048</v>
      </c>
      <c r="L17" s="224">
        <v>5.048</v>
      </c>
      <c r="M17" s="224">
        <v>5.048</v>
      </c>
      <c r="N17" s="224">
        <v>5.048</v>
      </c>
      <c r="O17" s="224">
        <v>5.048</v>
      </c>
      <c r="P17" s="224">
        <v>5.048</v>
      </c>
      <c r="Q17" s="224">
        <v>5.048</v>
      </c>
      <c r="R17" s="224">
        <v>5.048</v>
      </c>
      <c r="S17" s="224">
        <v>5.048</v>
      </c>
      <c r="T17" s="224">
        <v>5.048</v>
      </c>
      <c r="U17" s="224">
        <v>5.048</v>
      </c>
      <c r="V17" s="224">
        <v>5.048</v>
      </c>
      <c r="W17" s="224">
        <v>5.048</v>
      </c>
      <c r="X17" s="224">
        <v>5.048</v>
      </c>
      <c r="Y17" s="224">
        <v>5.048</v>
      </c>
      <c r="Z17" s="224">
        <v>5.048</v>
      </c>
      <c r="AA17" s="224">
        <v>5.048</v>
      </c>
      <c r="AB17" s="224">
        <v>5.048</v>
      </c>
      <c r="AC17" s="224">
        <v>5.048</v>
      </c>
      <c r="AD17" s="224">
        <v>5.048</v>
      </c>
      <c r="AE17" s="224">
        <v>5.048</v>
      </c>
      <c r="AF17" s="221">
        <v>0</v>
      </c>
      <c r="AG17" s="200"/>
      <c r="AH17" s="200"/>
      <c r="AI17" s="200"/>
      <c r="AJ17" s="200"/>
      <c r="AK17" s="200"/>
      <c r="AL17" s="200"/>
      <c r="AM17" s="200"/>
      <c r="AN17" s="200"/>
      <c r="AO17" s="200"/>
      <c r="AP17" s="200"/>
      <c r="AQ17" s="200"/>
      <c r="AR17" s="200"/>
      <c r="AS17" s="200"/>
      <c r="AT17" s="200"/>
      <c r="AU17" s="200"/>
      <c r="AV17" s="200"/>
      <c r="AW17" s="200"/>
      <c r="AX17" s="200"/>
      <c r="AY17" s="200"/>
      <c r="AZ17" s="200"/>
      <c r="BA17" s="200"/>
    </row>
    <row r="18" spans="1:53" ht="15" customHeight="1">
      <c r="A18" s="201" t="s">
        <v>186</v>
      </c>
      <c r="B18" s="219" t="s">
        <v>154</v>
      </c>
      <c r="C18" s="224">
        <v>5.359</v>
      </c>
      <c r="D18" s="224">
        <v>5.359</v>
      </c>
      <c r="E18" s="224">
        <v>5.359</v>
      </c>
      <c r="F18" s="224">
        <v>5.359</v>
      </c>
      <c r="G18" s="224">
        <v>5.359</v>
      </c>
      <c r="H18" s="224">
        <v>5.359</v>
      </c>
      <c r="I18" s="224">
        <v>5.359</v>
      </c>
      <c r="J18" s="224">
        <v>5.359</v>
      </c>
      <c r="K18" s="224">
        <v>5.359</v>
      </c>
      <c r="L18" s="224">
        <v>5.359</v>
      </c>
      <c r="M18" s="224">
        <v>5.359</v>
      </c>
      <c r="N18" s="224">
        <v>5.359</v>
      </c>
      <c r="O18" s="224">
        <v>5.359</v>
      </c>
      <c r="P18" s="224">
        <v>5.359</v>
      </c>
      <c r="Q18" s="224">
        <v>5.359</v>
      </c>
      <c r="R18" s="224">
        <v>5.359</v>
      </c>
      <c r="S18" s="224">
        <v>5.359</v>
      </c>
      <c r="T18" s="224">
        <v>5.359</v>
      </c>
      <c r="U18" s="224">
        <v>5.359</v>
      </c>
      <c r="V18" s="224">
        <v>5.359</v>
      </c>
      <c r="W18" s="224">
        <v>5.359</v>
      </c>
      <c r="X18" s="224">
        <v>5.359</v>
      </c>
      <c r="Y18" s="224">
        <v>5.359</v>
      </c>
      <c r="Z18" s="224">
        <v>5.359</v>
      </c>
      <c r="AA18" s="224">
        <v>5.359</v>
      </c>
      <c r="AB18" s="224">
        <v>5.359</v>
      </c>
      <c r="AC18" s="224">
        <v>5.359</v>
      </c>
      <c r="AD18" s="224">
        <v>5.359</v>
      </c>
      <c r="AE18" s="224">
        <v>5.359</v>
      </c>
      <c r="AF18" s="221">
        <v>0</v>
      </c>
      <c r="AG18" s="200"/>
      <c r="AH18" s="200"/>
      <c r="AI18" s="200"/>
      <c r="AJ18" s="200"/>
      <c r="AK18" s="200"/>
      <c r="AL18" s="200"/>
      <c r="AM18" s="200"/>
      <c r="AN18" s="200"/>
      <c r="AO18" s="200"/>
      <c r="AP18" s="200"/>
      <c r="AQ18" s="200"/>
      <c r="AR18" s="200"/>
      <c r="AS18" s="200"/>
      <c r="AT18" s="200"/>
      <c r="AU18" s="200"/>
      <c r="AV18" s="200"/>
      <c r="AW18" s="200"/>
      <c r="AX18" s="200"/>
      <c r="AY18" s="200"/>
      <c r="AZ18" s="200"/>
      <c r="BA18" s="200"/>
    </row>
    <row r="19" spans="1:53" ht="15" customHeight="1">
      <c r="A19" s="201" t="s">
        <v>188</v>
      </c>
      <c r="B19" s="219" t="s">
        <v>155</v>
      </c>
      <c r="C19" s="224">
        <v>5.8250000000000002</v>
      </c>
      <c r="D19" s="224">
        <v>5.8250000000000002</v>
      </c>
      <c r="E19" s="224">
        <v>5.8250000000000002</v>
      </c>
      <c r="F19" s="224">
        <v>5.8250000000000002</v>
      </c>
      <c r="G19" s="224">
        <v>5.8250000000000002</v>
      </c>
      <c r="H19" s="224">
        <v>5.8250000000000002</v>
      </c>
      <c r="I19" s="224">
        <v>5.8250000000000002</v>
      </c>
      <c r="J19" s="224">
        <v>5.8250000000000002</v>
      </c>
      <c r="K19" s="224">
        <v>5.8250000000000002</v>
      </c>
      <c r="L19" s="224">
        <v>5.8250000000000002</v>
      </c>
      <c r="M19" s="224">
        <v>5.8250000000000002</v>
      </c>
      <c r="N19" s="224">
        <v>5.8250000000000002</v>
      </c>
      <c r="O19" s="224">
        <v>5.8250000000000002</v>
      </c>
      <c r="P19" s="224">
        <v>5.8250000000000002</v>
      </c>
      <c r="Q19" s="224">
        <v>5.8250000000000002</v>
      </c>
      <c r="R19" s="224">
        <v>5.8250000000000002</v>
      </c>
      <c r="S19" s="224">
        <v>5.8250000000000002</v>
      </c>
      <c r="T19" s="224">
        <v>5.8250000000000002</v>
      </c>
      <c r="U19" s="224">
        <v>5.8250000000000002</v>
      </c>
      <c r="V19" s="224">
        <v>5.8250000000000002</v>
      </c>
      <c r="W19" s="224">
        <v>5.8250000000000002</v>
      </c>
      <c r="X19" s="224">
        <v>5.8250000000000002</v>
      </c>
      <c r="Y19" s="224">
        <v>5.8250000000000002</v>
      </c>
      <c r="Z19" s="224">
        <v>5.8250000000000002</v>
      </c>
      <c r="AA19" s="224">
        <v>5.8250000000000002</v>
      </c>
      <c r="AB19" s="224">
        <v>5.8250000000000002</v>
      </c>
      <c r="AC19" s="224">
        <v>5.8250000000000002</v>
      </c>
      <c r="AD19" s="224">
        <v>5.8250000000000002</v>
      </c>
      <c r="AE19" s="224">
        <v>5.8250000000000002</v>
      </c>
      <c r="AF19" s="221">
        <v>0</v>
      </c>
      <c r="AG19" s="200"/>
      <c r="AH19" s="200"/>
      <c r="AI19" s="200"/>
      <c r="AJ19" s="200"/>
      <c r="AK19" s="200"/>
      <c r="AL19" s="200"/>
      <c r="AM19" s="200"/>
      <c r="AN19" s="200"/>
      <c r="AO19" s="200"/>
      <c r="AP19" s="200"/>
      <c r="AQ19" s="200"/>
      <c r="AR19" s="200"/>
      <c r="AS19" s="200"/>
      <c r="AT19" s="200"/>
      <c r="AU19" s="200"/>
      <c r="AV19" s="200"/>
      <c r="AW19" s="200"/>
      <c r="AX19" s="200"/>
      <c r="AY19" s="200"/>
      <c r="AZ19" s="200"/>
      <c r="BA19" s="200"/>
    </row>
    <row r="20" spans="1:53" ht="15" customHeight="1">
      <c r="A20" s="201" t="s">
        <v>190</v>
      </c>
      <c r="B20" s="219" t="s">
        <v>156</v>
      </c>
      <c r="C20" s="224">
        <v>5.7756210000000001</v>
      </c>
      <c r="D20" s="224">
        <v>5.7756480000000003</v>
      </c>
      <c r="E20" s="224">
        <v>5.7760829999999999</v>
      </c>
      <c r="F20" s="224">
        <v>5.7760619999999996</v>
      </c>
      <c r="G20" s="224">
        <v>5.7764670000000002</v>
      </c>
      <c r="H20" s="224">
        <v>5.7772180000000004</v>
      </c>
      <c r="I20" s="224">
        <v>5.776948</v>
      </c>
      <c r="J20" s="224">
        <v>5.7769529999999998</v>
      </c>
      <c r="K20" s="224">
        <v>5.7767980000000003</v>
      </c>
      <c r="L20" s="224">
        <v>5.7769740000000001</v>
      </c>
      <c r="M20" s="224">
        <v>5.7768980000000001</v>
      </c>
      <c r="N20" s="224">
        <v>5.7770099999999998</v>
      </c>
      <c r="O20" s="224">
        <v>5.7768050000000004</v>
      </c>
      <c r="P20" s="224">
        <v>5.7769560000000002</v>
      </c>
      <c r="Q20" s="224">
        <v>5.7768389999999998</v>
      </c>
      <c r="R20" s="224">
        <v>5.7768620000000004</v>
      </c>
      <c r="S20" s="224">
        <v>5.7767480000000004</v>
      </c>
      <c r="T20" s="224">
        <v>5.7767109999999997</v>
      </c>
      <c r="U20" s="224">
        <v>5.7766539999999997</v>
      </c>
      <c r="V20" s="224">
        <v>5.7766140000000004</v>
      </c>
      <c r="W20" s="224">
        <v>5.7766320000000002</v>
      </c>
      <c r="X20" s="224">
        <v>5.7766310000000001</v>
      </c>
      <c r="Y20" s="224">
        <v>5.7765519999999997</v>
      </c>
      <c r="Z20" s="224">
        <v>5.7765940000000002</v>
      </c>
      <c r="AA20" s="224">
        <v>5.7764090000000001</v>
      </c>
      <c r="AB20" s="224">
        <v>5.7762830000000003</v>
      </c>
      <c r="AC20" s="224">
        <v>5.7763799999999996</v>
      </c>
      <c r="AD20" s="224">
        <v>5.7763859999999996</v>
      </c>
      <c r="AE20" s="224">
        <v>5.7762339999999996</v>
      </c>
      <c r="AF20" s="221">
        <v>3.9999999999999998E-6</v>
      </c>
      <c r="AG20" s="200"/>
      <c r="AH20" s="200"/>
      <c r="AI20" s="200"/>
      <c r="AJ20" s="200"/>
      <c r="AK20" s="200"/>
      <c r="AL20" s="200"/>
      <c r="AM20" s="200"/>
      <c r="AN20" s="200"/>
      <c r="AO20" s="200"/>
      <c r="AP20" s="200"/>
      <c r="AQ20" s="200"/>
      <c r="AR20" s="200"/>
      <c r="AS20" s="200"/>
      <c r="AT20" s="200"/>
      <c r="AU20" s="200"/>
      <c r="AV20" s="200"/>
      <c r="AW20" s="200"/>
      <c r="AX20" s="200"/>
      <c r="AY20" s="200"/>
      <c r="AZ20" s="200"/>
      <c r="BA20" s="200"/>
    </row>
    <row r="21" spans="1:53" ht="15" customHeight="1">
      <c r="A21" s="201" t="s">
        <v>192</v>
      </c>
      <c r="B21" s="219" t="s">
        <v>157</v>
      </c>
      <c r="C21" s="224">
        <v>5.7756210000000001</v>
      </c>
      <c r="D21" s="224">
        <v>5.7756480000000003</v>
      </c>
      <c r="E21" s="224">
        <v>5.7760829999999999</v>
      </c>
      <c r="F21" s="224">
        <v>5.7760619999999996</v>
      </c>
      <c r="G21" s="224">
        <v>5.7764670000000002</v>
      </c>
      <c r="H21" s="224">
        <v>5.7772180000000004</v>
      </c>
      <c r="I21" s="224">
        <v>5.776948</v>
      </c>
      <c r="J21" s="224">
        <v>5.7769529999999998</v>
      </c>
      <c r="K21" s="224">
        <v>5.7767980000000003</v>
      </c>
      <c r="L21" s="224">
        <v>5.7769740000000001</v>
      </c>
      <c r="M21" s="224">
        <v>5.7768980000000001</v>
      </c>
      <c r="N21" s="224">
        <v>5.7770099999999998</v>
      </c>
      <c r="O21" s="224">
        <v>5.7768050000000004</v>
      </c>
      <c r="P21" s="224">
        <v>5.7769560000000002</v>
      </c>
      <c r="Q21" s="224">
        <v>5.7768389999999998</v>
      </c>
      <c r="R21" s="224">
        <v>5.7768620000000004</v>
      </c>
      <c r="S21" s="224">
        <v>5.7767480000000004</v>
      </c>
      <c r="T21" s="224">
        <v>5.7767109999999997</v>
      </c>
      <c r="U21" s="224">
        <v>5.7766539999999997</v>
      </c>
      <c r="V21" s="224">
        <v>5.7766140000000004</v>
      </c>
      <c r="W21" s="224">
        <v>5.7766320000000002</v>
      </c>
      <c r="X21" s="224">
        <v>5.7766310000000001</v>
      </c>
      <c r="Y21" s="224">
        <v>5.7765519999999997</v>
      </c>
      <c r="Z21" s="224">
        <v>5.7765940000000002</v>
      </c>
      <c r="AA21" s="224">
        <v>5.7764090000000001</v>
      </c>
      <c r="AB21" s="224">
        <v>5.7762830000000003</v>
      </c>
      <c r="AC21" s="224">
        <v>5.7763799999999996</v>
      </c>
      <c r="AD21" s="224">
        <v>5.7763859999999996</v>
      </c>
      <c r="AE21" s="224">
        <v>5.7762339999999996</v>
      </c>
      <c r="AF21" s="221">
        <v>3.9999999999999998E-6</v>
      </c>
      <c r="AG21" s="200"/>
      <c r="AH21" s="200"/>
      <c r="AI21" s="200"/>
      <c r="AJ21" s="200"/>
      <c r="AK21" s="200"/>
      <c r="AL21" s="200"/>
      <c r="AM21" s="200"/>
      <c r="AN21" s="200"/>
      <c r="AO21" s="200"/>
      <c r="AP21" s="200"/>
      <c r="AQ21" s="200"/>
      <c r="AR21" s="200"/>
      <c r="AS21" s="200"/>
      <c r="AT21" s="200"/>
      <c r="AU21" s="200"/>
      <c r="AV21" s="200"/>
      <c r="AW21" s="200"/>
      <c r="AX21" s="200"/>
      <c r="AY21" s="200"/>
      <c r="AZ21" s="200"/>
      <c r="BA21" s="200"/>
    </row>
    <row r="22" spans="1:53" ht="15" customHeight="1">
      <c r="A22" s="199"/>
      <c r="B22" s="219" t="s">
        <v>158</v>
      </c>
      <c r="C22" s="224">
        <v>5.7756210000000001</v>
      </c>
      <c r="D22" s="224">
        <v>5.7756480000000003</v>
      </c>
      <c r="E22" s="224">
        <v>5.7760829999999999</v>
      </c>
      <c r="F22" s="224">
        <v>5.7760619999999996</v>
      </c>
      <c r="G22" s="224">
        <v>5.7764670000000002</v>
      </c>
      <c r="H22" s="224">
        <v>5.7772180000000004</v>
      </c>
      <c r="I22" s="224">
        <v>5.776948</v>
      </c>
      <c r="J22" s="224">
        <v>5.7769529999999998</v>
      </c>
      <c r="K22" s="224">
        <v>5.7767980000000003</v>
      </c>
      <c r="L22" s="224">
        <v>5.7769740000000001</v>
      </c>
      <c r="M22" s="224">
        <v>5.7768980000000001</v>
      </c>
      <c r="N22" s="224">
        <v>5.7770099999999998</v>
      </c>
      <c r="O22" s="224">
        <v>5.7768050000000004</v>
      </c>
      <c r="P22" s="224">
        <v>5.7769560000000002</v>
      </c>
      <c r="Q22" s="224">
        <v>5.7768389999999998</v>
      </c>
      <c r="R22" s="224">
        <v>5.7768620000000004</v>
      </c>
      <c r="S22" s="224">
        <v>5.7767480000000004</v>
      </c>
      <c r="T22" s="224">
        <v>5.7767109999999997</v>
      </c>
      <c r="U22" s="224">
        <v>5.7766539999999997</v>
      </c>
      <c r="V22" s="224">
        <v>5.7766140000000004</v>
      </c>
      <c r="W22" s="224">
        <v>5.7766320000000002</v>
      </c>
      <c r="X22" s="224">
        <v>5.7766310000000001</v>
      </c>
      <c r="Y22" s="224">
        <v>5.7765519999999997</v>
      </c>
      <c r="Z22" s="224">
        <v>5.7765940000000002</v>
      </c>
      <c r="AA22" s="224">
        <v>5.7764090000000001</v>
      </c>
      <c r="AB22" s="224">
        <v>5.7762830000000003</v>
      </c>
      <c r="AC22" s="224">
        <v>5.7763799999999996</v>
      </c>
      <c r="AD22" s="224">
        <v>5.7763859999999996</v>
      </c>
      <c r="AE22" s="224">
        <v>5.7762339999999996</v>
      </c>
      <c r="AF22" s="221">
        <v>3.9999999999999998E-6</v>
      </c>
      <c r="AG22" s="200"/>
      <c r="AH22" s="200"/>
      <c r="AI22" s="200"/>
      <c r="AJ22" s="200"/>
      <c r="AK22" s="200"/>
      <c r="AL22" s="200"/>
      <c r="AM22" s="200"/>
      <c r="AN22" s="200"/>
      <c r="AO22" s="200"/>
      <c r="AP22" s="200"/>
      <c r="AQ22" s="200"/>
      <c r="AR22" s="200"/>
      <c r="AS22" s="200"/>
      <c r="AT22" s="200"/>
      <c r="AU22" s="200"/>
      <c r="AV22" s="200"/>
      <c r="AW22" s="200"/>
      <c r="AX22" s="200"/>
      <c r="AY22" s="200"/>
      <c r="AZ22" s="200"/>
      <c r="BA22" s="200"/>
    </row>
    <row r="23" spans="1:53" ht="15" customHeight="1">
      <c r="A23" s="201" t="s">
        <v>195</v>
      </c>
      <c r="B23" s="219" t="s">
        <v>159</v>
      </c>
      <c r="C23" s="224">
        <v>5.7756210000000001</v>
      </c>
      <c r="D23" s="224">
        <v>5.7756480000000003</v>
      </c>
      <c r="E23" s="224">
        <v>5.7760829999999999</v>
      </c>
      <c r="F23" s="224">
        <v>5.7760619999999996</v>
      </c>
      <c r="G23" s="224">
        <v>5.7764670000000002</v>
      </c>
      <c r="H23" s="224">
        <v>5.7772180000000004</v>
      </c>
      <c r="I23" s="224">
        <v>5.776948</v>
      </c>
      <c r="J23" s="224">
        <v>5.7769529999999998</v>
      </c>
      <c r="K23" s="224">
        <v>5.7767980000000003</v>
      </c>
      <c r="L23" s="224">
        <v>5.7769740000000001</v>
      </c>
      <c r="M23" s="224">
        <v>5.7768980000000001</v>
      </c>
      <c r="N23" s="224">
        <v>5.7770099999999998</v>
      </c>
      <c r="O23" s="224">
        <v>5.7768050000000004</v>
      </c>
      <c r="P23" s="224">
        <v>5.7769560000000002</v>
      </c>
      <c r="Q23" s="224">
        <v>5.7768389999999998</v>
      </c>
      <c r="R23" s="224">
        <v>5.7768620000000004</v>
      </c>
      <c r="S23" s="224">
        <v>5.7767480000000004</v>
      </c>
      <c r="T23" s="224">
        <v>5.7767109999999997</v>
      </c>
      <c r="U23" s="224">
        <v>5.7766539999999997</v>
      </c>
      <c r="V23" s="224">
        <v>5.7766140000000004</v>
      </c>
      <c r="W23" s="224">
        <v>5.7766320000000002</v>
      </c>
      <c r="X23" s="224">
        <v>5.7766310000000001</v>
      </c>
      <c r="Y23" s="224">
        <v>5.7765519999999997</v>
      </c>
      <c r="Z23" s="224">
        <v>5.7765940000000002</v>
      </c>
      <c r="AA23" s="224">
        <v>5.7764090000000001</v>
      </c>
      <c r="AB23" s="224">
        <v>5.7762830000000003</v>
      </c>
      <c r="AC23" s="224">
        <v>5.7763799999999996</v>
      </c>
      <c r="AD23" s="224">
        <v>5.7763859999999996</v>
      </c>
      <c r="AE23" s="224">
        <v>5.7762339999999996</v>
      </c>
      <c r="AF23" s="221">
        <v>3.9999999999999998E-6</v>
      </c>
      <c r="AG23" s="200"/>
      <c r="AH23" s="200"/>
      <c r="AI23" s="200"/>
      <c r="AJ23" s="200"/>
      <c r="AK23" s="200"/>
      <c r="AL23" s="200"/>
      <c r="AM23" s="200"/>
      <c r="AN23" s="200"/>
      <c r="AO23" s="200"/>
      <c r="AP23" s="200"/>
      <c r="AQ23" s="200"/>
      <c r="AR23" s="200"/>
      <c r="AS23" s="200"/>
      <c r="AT23" s="200"/>
      <c r="AU23" s="200"/>
      <c r="AV23" s="200"/>
      <c r="AW23" s="200"/>
      <c r="AX23" s="200"/>
      <c r="AY23" s="200"/>
      <c r="AZ23" s="200"/>
      <c r="BA23" s="200"/>
    </row>
    <row r="24" spans="1:53" ht="15" customHeight="1">
      <c r="A24" s="201" t="s">
        <v>197</v>
      </c>
      <c r="B24" s="219" t="s">
        <v>160</v>
      </c>
      <c r="C24" s="224">
        <v>5.7756210000000001</v>
      </c>
      <c r="D24" s="224">
        <v>5.7756480000000003</v>
      </c>
      <c r="E24" s="224">
        <v>5.7760829999999999</v>
      </c>
      <c r="F24" s="224">
        <v>5.7760619999999996</v>
      </c>
      <c r="G24" s="224">
        <v>5.7764670000000002</v>
      </c>
      <c r="H24" s="224">
        <v>5.7772180000000004</v>
      </c>
      <c r="I24" s="224">
        <v>5.776948</v>
      </c>
      <c r="J24" s="224">
        <v>5.7769529999999998</v>
      </c>
      <c r="K24" s="224">
        <v>5.7767980000000003</v>
      </c>
      <c r="L24" s="224">
        <v>5.7769740000000001</v>
      </c>
      <c r="M24" s="224">
        <v>5.7768980000000001</v>
      </c>
      <c r="N24" s="224">
        <v>5.7770099999999998</v>
      </c>
      <c r="O24" s="224">
        <v>5.7768050000000004</v>
      </c>
      <c r="P24" s="224">
        <v>5.7769560000000002</v>
      </c>
      <c r="Q24" s="224">
        <v>5.7768389999999998</v>
      </c>
      <c r="R24" s="224">
        <v>5.7768620000000004</v>
      </c>
      <c r="S24" s="224">
        <v>5.7767480000000004</v>
      </c>
      <c r="T24" s="224">
        <v>5.7767109999999997</v>
      </c>
      <c r="U24" s="224">
        <v>5.7766539999999997</v>
      </c>
      <c r="V24" s="224">
        <v>5.7766140000000004</v>
      </c>
      <c r="W24" s="224">
        <v>5.7766320000000002</v>
      </c>
      <c r="X24" s="224">
        <v>5.7766310000000001</v>
      </c>
      <c r="Y24" s="224">
        <v>5.7765519999999997</v>
      </c>
      <c r="Z24" s="224">
        <v>5.7765940000000002</v>
      </c>
      <c r="AA24" s="224">
        <v>5.7764090000000001</v>
      </c>
      <c r="AB24" s="224">
        <v>5.7762830000000003</v>
      </c>
      <c r="AC24" s="224">
        <v>5.7763799999999996</v>
      </c>
      <c r="AD24" s="224">
        <v>5.7763859999999996</v>
      </c>
      <c r="AE24" s="224">
        <v>5.7762339999999996</v>
      </c>
      <c r="AF24" s="221">
        <v>3.9999999999999998E-6</v>
      </c>
      <c r="AG24" s="200"/>
      <c r="AH24" s="200"/>
      <c r="AI24" s="200"/>
      <c r="AJ24" s="200"/>
      <c r="AK24" s="200"/>
      <c r="AL24" s="200"/>
      <c r="AM24" s="200"/>
      <c r="AN24" s="200"/>
      <c r="AO24" s="200"/>
      <c r="AP24" s="200"/>
      <c r="AQ24" s="200"/>
      <c r="AR24" s="200"/>
      <c r="AS24" s="200"/>
      <c r="AT24" s="200"/>
      <c r="AU24" s="200"/>
      <c r="AV24" s="200"/>
      <c r="AW24" s="200"/>
      <c r="AX24" s="200"/>
      <c r="AY24" s="200"/>
      <c r="AZ24" s="200"/>
      <c r="BA24" s="200"/>
    </row>
    <row r="25" spans="1:53" ht="15" customHeight="1">
      <c r="A25" s="201" t="s">
        <v>199</v>
      </c>
      <c r="B25" s="219" t="s">
        <v>161</v>
      </c>
      <c r="C25" s="224">
        <v>5.7756210000000001</v>
      </c>
      <c r="D25" s="224">
        <v>5.7756480000000003</v>
      </c>
      <c r="E25" s="224">
        <v>5.7760829999999999</v>
      </c>
      <c r="F25" s="224">
        <v>5.7760619999999996</v>
      </c>
      <c r="G25" s="224">
        <v>5.7764670000000002</v>
      </c>
      <c r="H25" s="224">
        <v>5.7772180000000004</v>
      </c>
      <c r="I25" s="224">
        <v>5.776948</v>
      </c>
      <c r="J25" s="224">
        <v>5.7769529999999998</v>
      </c>
      <c r="K25" s="224">
        <v>5.7767989999999996</v>
      </c>
      <c r="L25" s="224">
        <v>5.7769740000000001</v>
      </c>
      <c r="M25" s="224">
        <v>5.7768990000000002</v>
      </c>
      <c r="N25" s="224">
        <v>5.7770099999999998</v>
      </c>
      <c r="O25" s="224">
        <v>5.7768050000000004</v>
      </c>
      <c r="P25" s="224">
        <v>5.7769560000000002</v>
      </c>
      <c r="Q25" s="224">
        <v>5.7768379999999997</v>
      </c>
      <c r="R25" s="224">
        <v>5.7768620000000004</v>
      </c>
      <c r="S25" s="224">
        <v>5.7767480000000004</v>
      </c>
      <c r="T25" s="224">
        <v>5.7767109999999997</v>
      </c>
      <c r="U25" s="224">
        <v>5.7766539999999997</v>
      </c>
      <c r="V25" s="224">
        <v>5.7766140000000004</v>
      </c>
      <c r="W25" s="224">
        <v>5.7766320000000002</v>
      </c>
      <c r="X25" s="224">
        <v>5.7766310000000001</v>
      </c>
      <c r="Y25" s="224">
        <v>5.7765519999999997</v>
      </c>
      <c r="Z25" s="224">
        <v>5.7765940000000002</v>
      </c>
      <c r="AA25" s="224">
        <v>5.7764090000000001</v>
      </c>
      <c r="AB25" s="224">
        <v>5.7762840000000004</v>
      </c>
      <c r="AC25" s="224">
        <v>5.7763799999999996</v>
      </c>
      <c r="AD25" s="224">
        <v>5.7763859999999996</v>
      </c>
      <c r="AE25" s="224">
        <v>5.7762339999999996</v>
      </c>
      <c r="AF25" s="221">
        <v>3.9999999999999998E-6</v>
      </c>
      <c r="AG25" s="200"/>
      <c r="AH25" s="200"/>
      <c r="AI25" s="200"/>
      <c r="AJ25" s="200"/>
      <c r="AK25" s="200"/>
      <c r="AL25" s="200"/>
      <c r="AM25" s="200"/>
      <c r="AN25" s="200"/>
      <c r="AO25" s="200"/>
      <c r="AP25" s="200"/>
      <c r="AQ25" s="200"/>
      <c r="AR25" s="200"/>
      <c r="AS25" s="200"/>
      <c r="AT25" s="200"/>
      <c r="AU25" s="200"/>
      <c r="AV25" s="200"/>
      <c r="AW25" s="200"/>
      <c r="AX25" s="200"/>
      <c r="AY25" s="200"/>
      <c r="AZ25" s="200"/>
      <c r="BA25" s="200"/>
    </row>
    <row r="26" spans="1:53" ht="15" customHeight="1">
      <c r="A26" s="201" t="s">
        <v>201</v>
      </c>
      <c r="B26" s="219" t="s">
        <v>162</v>
      </c>
      <c r="C26" s="224">
        <v>5.8170000000000002</v>
      </c>
      <c r="D26" s="224">
        <v>5.8170000000000002</v>
      </c>
      <c r="E26" s="224">
        <v>5.8170000000000002</v>
      </c>
      <c r="F26" s="224">
        <v>5.8170000000000002</v>
      </c>
      <c r="G26" s="224">
        <v>5.8170000000000002</v>
      </c>
      <c r="H26" s="224">
        <v>5.8170000000000002</v>
      </c>
      <c r="I26" s="224">
        <v>5.8170000000000002</v>
      </c>
      <c r="J26" s="224">
        <v>5.8170000000000002</v>
      </c>
      <c r="K26" s="224">
        <v>5.8170000000000002</v>
      </c>
      <c r="L26" s="224">
        <v>5.8170000000000002</v>
      </c>
      <c r="M26" s="224">
        <v>5.8170000000000002</v>
      </c>
      <c r="N26" s="224">
        <v>5.8170000000000002</v>
      </c>
      <c r="O26" s="224">
        <v>5.8170000000000002</v>
      </c>
      <c r="P26" s="224">
        <v>5.8170000000000002</v>
      </c>
      <c r="Q26" s="224">
        <v>5.8170000000000002</v>
      </c>
      <c r="R26" s="224">
        <v>5.8170000000000002</v>
      </c>
      <c r="S26" s="224">
        <v>5.8170000000000002</v>
      </c>
      <c r="T26" s="224">
        <v>5.8170000000000002</v>
      </c>
      <c r="U26" s="224">
        <v>5.8170000000000002</v>
      </c>
      <c r="V26" s="224">
        <v>5.8170000000000002</v>
      </c>
      <c r="W26" s="224">
        <v>5.8170000000000002</v>
      </c>
      <c r="X26" s="224">
        <v>5.8170000000000002</v>
      </c>
      <c r="Y26" s="224">
        <v>5.8170000000000002</v>
      </c>
      <c r="Z26" s="224">
        <v>5.8170000000000002</v>
      </c>
      <c r="AA26" s="224">
        <v>5.8170000000000002</v>
      </c>
      <c r="AB26" s="224">
        <v>5.8170000000000002</v>
      </c>
      <c r="AC26" s="224">
        <v>5.8170000000000002</v>
      </c>
      <c r="AD26" s="224">
        <v>5.8170000000000002</v>
      </c>
      <c r="AE26" s="224">
        <v>5.8170000000000002</v>
      </c>
      <c r="AF26" s="221">
        <v>0</v>
      </c>
      <c r="AG26" s="200"/>
      <c r="AH26" s="200"/>
      <c r="AI26" s="200"/>
      <c r="AJ26" s="200"/>
      <c r="AK26" s="200"/>
      <c r="AL26" s="200"/>
      <c r="AM26" s="200"/>
      <c r="AN26" s="200"/>
      <c r="AO26" s="200"/>
      <c r="AP26" s="200"/>
      <c r="AQ26" s="200"/>
      <c r="AR26" s="200"/>
      <c r="AS26" s="200"/>
      <c r="AT26" s="200"/>
      <c r="AU26" s="200"/>
      <c r="AV26" s="200"/>
      <c r="AW26" s="200"/>
      <c r="AX26" s="200"/>
      <c r="AY26" s="200"/>
      <c r="AZ26" s="200"/>
      <c r="BA26" s="200"/>
    </row>
    <row r="27" spans="1:53" ht="15" customHeight="1">
      <c r="A27" s="199"/>
      <c r="B27" s="219" t="s">
        <v>163</v>
      </c>
      <c r="C27" s="224">
        <v>5.77</v>
      </c>
      <c r="D27" s="224">
        <v>5.77</v>
      </c>
      <c r="E27" s="224">
        <v>5.77</v>
      </c>
      <c r="F27" s="224">
        <v>5.77</v>
      </c>
      <c r="G27" s="224">
        <v>5.77</v>
      </c>
      <c r="H27" s="224">
        <v>5.77</v>
      </c>
      <c r="I27" s="224">
        <v>5.77</v>
      </c>
      <c r="J27" s="224">
        <v>5.77</v>
      </c>
      <c r="K27" s="224">
        <v>5.77</v>
      </c>
      <c r="L27" s="224">
        <v>5.77</v>
      </c>
      <c r="M27" s="224">
        <v>5.77</v>
      </c>
      <c r="N27" s="224">
        <v>5.77</v>
      </c>
      <c r="O27" s="224">
        <v>5.77</v>
      </c>
      <c r="P27" s="224">
        <v>5.77</v>
      </c>
      <c r="Q27" s="224">
        <v>5.77</v>
      </c>
      <c r="R27" s="224">
        <v>5.77</v>
      </c>
      <c r="S27" s="224">
        <v>5.77</v>
      </c>
      <c r="T27" s="224">
        <v>5.77</v>
      </c>
      <c r="U27" s="224">
        <v>5.77</v>
      </c>
      <c r="V27" s="224">
        <v>5.77</v>
      </c>
      <c r="W27" s="224">
        <v>5.77</v>
      </c>
      <c r="X27" s="224">
        <v>5.77</v>
      </c>
      <c r="Y27" s="224">
        <v>5.77</v>
      </c>
      <c r="Z27" s="224">
        <v>5.77</v>
      </c>
      <c r="AA27" s="224">
        <v>5.77</v>
      </c>
      <c r="AB27" s="224">
        <v>5.77</v>
      </c>
      <c r="AC27" s="224">
        <v>5.77</v>
      </c>
      <c r="AD27" s="224">
        <v>5.77</v>
      </c>
      <c r="AE27" s="224">
        <v>5.77</v>
      </c>
      <c r="AF27" s="221">
        <v>0</v>
      </c>
      <c r="AG27" s="200"/>
      <c r="AH27" s="200"/>
      <c r="AI27" s="200"/>
      <c r="AJ27" s="200"/>
      <c r="AK27" s="200"/>
      <c r="AL27" s="200"/>
      <c r="AM27" s="200"/>
      <c r="AN27" s="200"/>
      <c r="AO27" s="200"/>
      <c r="AP27" s="200"/>
      <c r="AQ27" s="200"/>
      <c r="AR27" s="200"/>
      <c r="AS27" s="200"/>
      <c r="AT27" s="200"/>
      <c r="AU27" s="200"/>
      <c r="AV27" s="200"/>
      <c r="AW27" s="200"/>
      <c r="AX27" s="200"/>
      <c r="AY27" s="200"/>
      <c r="AZ27" s="200"/>
      <c r="BA27" s="200"/>
    </row>
    <row r="28" spans="1:53" ht="15" customHeight="1">
      <c r="A28" s="199"/>
      <c r="B28" s="219" t="s">
        <v>164</v>
      </c>
      <c r="C28" s="224">
        <v>3.5630000000000002</v>
      </c>
      <c r="D28" s="224">
        <v>3.5630000000000002</v>
      </c>
      <c r="E28" s="224">
        <v>3.5630000000000002</v>
      </c>
      <c r="F28" s="224">
        <v>3.5630000000000002</v>
      </c>
      <c r="G28" s="224">
        <v>3.5630000000000002</v>
      </c>
      <c r="H28" s="224">
        <v>3.5630000000000002</v>
      </c>
      <c r="I28" s="224">
        <v>3.5630000000000002</v>
      </c>
      <c r="J28" s="224">
        <v>3.5630000000000002</v>
      </c>
      <c r="K28" s="224">
        <v>3.5630000000000002</v>
      </c>
      <c r="L28" s="224">
        <v>3.5630000000000002</v>
      </c>
      <c r="M28" s="224">
        <v>3.5630000000000002</v>
      </c>
      <c r="N28" s="224">
        <v>3.5630000000000002</v>
      </c>
      <c r="O28" s="224">
        <v>3.5630000000000002</v>
      </c>
      <c r="P28" s="224">
        <v>3.5630000000000002</v>
      </c>
      <c r="Q28" s="224">
        <v>3.5630000000000002</v>
      </c>
      <c r="R28" s="224">
        <v>3.5630000000000002</v>
      </c>
      <c r="S28" s="224">
        <v>3.5630000000000002</v>
      </c>
      <c r="T28" s="224">
        <v>3.5630000000000002</v>
      </c>
      <c r="U28" s="224">
        <v>3.5630000000000002</v>
      </c>
      <c r="V28" s="224">
        <v>3.5630000000000002</v>
      </c>
      <c r="W28" s="224">
        <v>3.5630000000000002</v>
      </c>
      <c r="X28" s="224">
        <v>3.5630000000000002</v>
      </c>
      <c r="Y28" s="224">
        <v>3.5630000000000002</v>
      </c>
      <c r="Z28" s="224">
        <v>3.5630000000000002</v>
      </c>
      <c r="AA28" s="224">
        <v>3.5630000000000002</v>
      </c>
      <c r="AB28" s="224">
        <v>3.5630000000000002</v>
      </c>
      <c r="AC28" s="224">
        <v>3.5630000000000002</v>
      </c>
      <c r="AD28" s="224">
        <v>3.5630000000000002</v>
      </c>
      <c r="AE28" s="224">
        <v>3.5630000000000002</v>
      </c>
      <c r="AF28" s="221">
        <v>0</v>
      </c>
      <c r="AG28" s="200"/>
      <c r="AH28" s="200"/>
      <c r="AI28" s="200"/>
      <c r="AJ28" s="200"/>
      <c r="AK28" s="200"/>
      <c r="AL28" s="200"/>
      <c r="AM28" s="200"/>
      <c r="AN28" s="200"/>
      <c r="AO28" s="200"/>
      <c r="AP28" s="200"/>
      <c r="AQ28" s="200"/>
      <c r="AR28" s="200"/>
      <c r="AS28" s="200"/>
      <c r="AT28" s="200"/>
      <c r="AU28" s="200"/>
      <c r="AV28" s="200"/>
      <c r="AW28" s="200"/>
      <c r="AX28" s="200"/>
      <c r="AY28" s="200"/>
      <c r="AZ28" s="200"/>
      <c r="BA28" s="200"/>
    </row>
    <row r="29" spans="1:53" ht="15" customHeight="1">
      <c r="A29" s="201" t="s">
        <v>204</v>
      </c>
      <c r="B29" s="219" t="s">
        <v>491</v>
      </c>
      <c r="C29" s="224">
        <v>3.9944130000000002</v>
      </c>
      <c r="D29" s="224">
        <v>3.9944130000000002</v>
      </c>
      <c r="E29" s="224">
        <v>3.9944130000000002</v>
      </c>
      <c r="F29" s="224">
        <v>3.9944130000000002</v>
      </c>
      <c r="G29" s="224">
        <v>3.9944130000000002</v>
      </c>
      <c r="H29" s="224">
        <v>3.9944130000000002</v>
      </c>
      <c r="I29" s="224">
        <v>3.9944130000000002</v>
      </c>
      <c r="J29" s="224">
        <v>3.9944130000000002</v>
      </c>
      <c r="K29" s="224">
        <v>3.9944130000000002</v>
      </c>
      <c r="L29" s="224">
        <v>3.9944130000000002</v>
      </c>
      <c r="M29" s="224">
        <v>3.9944130000000002</v>
      </c>
      <c r="N29" s="224">
        <v>3.9944130000000002</v>
      </c>
      <c r="O29" s="224">
        <v>3.9944130000000002</v>
      </c>
      <c r="P29" s="224">
        <v>3.9944130000000002</v>
      </c>
      <c r="Q29" s="224">
        <v>3.9944130000000002</v>
      </c>
      <c r="R29" s="224">
        <v>3.9944130000000002</v>
      </c>
      <c r="S29" s="224">
        <v>3.9944130000000002</v>
      </c>
      <c r="T29" s="224">
        <v>3.9944130000000002</v>
      </c>
      <c r="U29" s="224">
        <v>3.9944130000000002</v>
      </c>
      <c r="V29" s="224">
        <v>3.9944130000000002</v>
      </c>
      <c r="W29" s="224">
        <v>3.9944130000000002</v>
      </c>
      <c r="X29" s="224">
        <v>3.9944130000000002</v>
      </c>
      <c r="Y29" s="224">
        <v>3.9944130000000002</v>
      </c>
      <c r="Z29" s="224">
        <v>3.9944130000000002</v>
      </c>
      <c r="AA29" s="224">
        <v>3.9944130000000002</v>
      </c>
      <c r="AB29" s="224">
        <v>3.9944130000000002</v>
      </c>
      <c r="AC29" s="224">
        <v>3.9944130000000002</v>
      </c>
      <c r="AD29" s="224">
        <v>3.9944130000000002</v>
      </c>
      <c r="AE29" s="224">
        <v>3.9944130000000002</v>
      </c>
      <c r="AF29" s="221">
        <v>0</v>
      </c>
      <c r="AG29" s="200"/>
      <c r="AH29" s="200"/>
      <c r="AI29" s="200"/>
      <c r="AJ29" s="200"/>
      <c r="AK29" s="200"/>
      <c r="AL29" s="200"/>
      <c r="AM29" s="200"/>
      <c r="AN29" s="200"/>
      <c r="AO29" s="200"/>
      <c r="AP29" s="200"/>
      <c r="AQ29" s="200"/>
      <c r="AR29" s="200"/>
      <c r="AS29" s="200"/>
      <c r="AT29" s="200"/>
      <c r="AU29" s="200"/>
      <c r="AV29" s="200"/>
      <c r="AW29" s="200"/>
      <c r="AX29" s="200"/>
      <c r="AY29" s="200"/>
      <c r="AZ29" s="200"/>
      <c r="BA29" s="200"/>
    </row>
    <row r="30" spans="1:53" ht="15" customHeight="1">
      <c r="A30" s="201" t="s">
        <v>206</v>
      </c>
      <c r="B30" s="219" t="s">
        <v>165</v>
      </c>
      <c r="C30" s="224">
        <v>5.67</v>
      </c>
      <c r="D30" s="224">
        <v>5.67</v>
      </c>
      <c r="E30" s="224">
        <v>5.67</v>
      </c>
      <c r="F30" s="224">
        <v>5.67</v>
      </c>
      <c r="G30" s="224">
        <v>5.67</v>
      </c>
      <c r="H30" s="224">
        <v>5.67</v>
      </c>
      <c r="I30" s="224">
        <v>5.67</v>
      </c>
      <c r="J30" s="224">
        <v>5.67</v>
      </c>
      <c r="K30" s="224">
        <v>5.67</v>
      </c>
      <c r="L30" s="224">
        <v>5.67</v>
      </c>
      <c r="M30" s="224">
        <v>5.67</v>
      </c>
      <c r="N30" s="224">
        <v>5.67</v>
      </c>
      <c r="O30" s="224">
        <v>5.67</v>
      </c>
      <c r="P30" s="224">
        <v>5.67</v>
      </c>
      <c r="Q30" s="224">
        <v>5.67</v>
      </c>
      <c r="R30" s="224">
        <v>5.67</v>
      </c>
      <c r="S30" s="224">
        <v>5.67</v>
      </c>
      <c r="T30" s="224">
        <v>5.67</v>
      </c>
      <c r="U30" s="224">
        <v>5.67</v>
      </c>
      <c r="V30" s="224">
        <v>5.67</v>
      </c>
      <c r="W30" s="224">
        <v>5.67</v>
      </c>
      <c r="X30" s="224">
        <v>5.67</v>
      </c>
      <c r="Y30" s="224">
        <v>5.67</v>
      </c>
      <c r="Z30" s="224">
        <v>5.67</v>
      </c>
      <c r="AA30" s="224">
        <v>5.67</v>
      </c>
      <c r="AB30" s="224">
        <v>5.67</v>
      </c>
      <c r="AC30" s="224">
        <v>5.67</v>
      </c>
      <c r="AD30" s="224">
        <v>5.67</v>
      </c>
      <c r="AE30" s="224">
        <v>5.67</v>
      </c>
      <c r="AF30" s="221">
        <v>0</v>
      </c>
      <c r="AG30" s="200"/>
      <c r="AH30" s="200"/>
      <c r="AI30" s="200"/>
      <c r="AJ30" s="200"/>
      <c r="AK30" s="200"/>
      <c r="AL30" s="200"/>
      <c r="AM30" s="200"/>
      <c r="AN30" s="200"/>
      <c r="AO30" s="200"/>
      <c r="AP30" s="200"/>
      <c r="AQ30" s="200"/>
      <c r="AR30" s="200"/>
      <c r="AS30" s="200"/>
      <c r="AT30" s="200"/>
      <c r="AU30" s="200"/>
      <c r="AV30" s="200"/>
      <c r="AW30" s="200"/>
      <c r="AX30" s="200"/>
      <c r="AY30" s="200"/>
      <c r="AZ30" s="200"/>
      <c r="BA30" s="200"/>
    </row>
    <row r="31" spans="1:53" ht="15" customHeight="1">
      <c r="A31" s="201" t="s">
        <v>208</v>
      </c>
      <c r="B31" s="219" t="s">
        <v>166</v>
      </c>
      <c r="C31" s="224">
        <v>6.0650000000000004</v>
      </c>
      <c r="D31" s="224">
        <v>6.0650000000000004</v>
      </c>
      <c r="E31" s="224">
        <v>6.0650000000000004</v>
      </c>
      <c r="F31" s="224">
        <v>6.0650000000000004</v>
      </c>
      <c r="G31" s="224">
        <v>6.0650000000000004</v>
      </c>
      <c r="H31" s="224">
        <v>6.0650000000000004</v>
      </c>
      <c r="I31" s="224">
        <v>6.0650000000000004</v>
      </c>
      <c r="J31" s="224">
        <v>6.0650000000000004</v>
      </c>
      <c r="K31" s="224">
        <v>6.0650000000000004</v>
      </c>
      <c r="L31" s="224">
        <v>6.0650000000000004</v>
      </c>
      <c r="M31" s="224">
        <v>6.0650000000000004</v>
      </c>
      <c r="N31" s="224">
        <v>6.0650000000000004</v>
      </c>
      <c r="O31" s="224">
        <v>6.0650000000000004</v>
      </c>
      <c r="P31" s="224">
        <v>6.0650000000000004</v>
      </c>
      <c r="Q31" s="224">
        <v>6.0650000000000004</v>
      </c>
      <c r="R31" s="224">
        <v>6.0650000000000004</v>
      </c>
      <c r="S31" s="224">
        <v>6.0650000000000004</v>
      </c>
      <c r="T31" s="224">
        <v>6.0650000000000004</v>
      </c>
      <c r="U31" s="224">
        <v>6.0650000000000004</v>
      </c>
      <c r="V31" s="224">
        <v>6.0650000000000004</v>
      </c>
      <c r="W31" s="224">
        <v>6.0650000000000004</v>
      </c>
      <c r="X31" s="224">
        <v>6.0650000000000004</v>
      </c>
      <c r="Y31" s="224">
        <v>6.0650000000000004</v>
      </c>
      <c r="Z31" s="224">
        <v>6.0650000000000004</v>
      </c>
      <c r="AA31" s="224">
        <v>6.0650000000000004</v>
      </c>
      <c r="AB31" s="224">
        <v>6.0650000000000004</v>
      </c>
      <c r="AC31" s="224">
        <v>6.0650000000000004</v>
      </c>
      <c r="AD31" s="224">
        <v>6.0650000000000004</v>
      </c>
      <c r="AE31" s="224">
        <v>6.0650000000000004</v>
      </c>
      <c r="AF31" s="221">
        <v>0</v>
      </c>
      <c r="AG31" s="200"/>
      <c r="AH31" s="200"/>
      <c r="AI31" s="200"/>
      <c r="AJ31" s="200"/>
      <c r="AK31" s="200"/>
      <c r="AL31" s="200"/>
      <c r="AM31" s="200"/>
      <c r="AN31" s="200"/>
      <c r="AO31" s="200"/>
      <c r="AP31" s="200"/>
      <c r="AQ31" s="200"/>
      <c r="AR31" s="200"/>
      <c r="AS31" s="200"/>
      <c r="AT31" s="200"/>
      <c r="AU31" s="200"/>
      <c r="AV31" s="200"/>
      <c r="AW31" s="200"/>
      <c r="AX31" s="200"/>
      <c r="AY31" s="200"/>
      <c r="AZ31" s="200"/>
      <c r="BA31" s="200"/>
    </row>
    <row r="32" spans="1:53" ht="15" customHeight="1">
      <c r="A32" s="201" t="s">
        <v>210</v>
      </c>
      <c r="B32" s="219" t="s">
        <v>167</v>
      </c>
      <c r="C32" s="224">
        <v>5.0517110000000001</v>
      </c>
      <c r="D32" s="224">
        <v>5.0505360000000001</v>
      </c>
      <c r="E32" s="224">
        <v>5.0493629999999996</v>
      </c>
      <c r="F32" s="224">
        <v>5.0481809999999996</v>
      </c>
      <c r="G32" s="224">
        <v>5.0469949999999999</v>
      </c>
      <c r="H32" s="224">
        <v>5.0458059999999998</v>
      </c>
      <c r="I32" s="224">
        <v>5.0446140000000002</v>
      </c>
      <c r="J32" s="224">
        <v>5.0434169999999998</v>
      </c>
      <c r="K32" s="224">
        <v>5.0422159999999998</v>
      </c>
      <c r="L32" s="224">
        <v>5.0410120000000003</v>
      </c>
      <c r="M32" s="224">
        <v>5.0398050000000003</v>
      </c>
      <c r="N32" s="224">
        <v>5.0385939999999998</v>
      </c>
      <c r="O32" s="224">
        <v>5.0373809999999999</v>
      </c>
      <c r="P32" s="224">
        <v>5.0361640000000003</v>
      </c>
      <c r="Q32" s="224">
        <v>5.0351299999999997</v>
      </c>
      <c r="R32" s="224">
        <v>5.034097</v>
      </c>
      <c r="S32" s="224">
        <v>5.0331010000000003</v>
      </c>
      <c r="T32" s="224">
        <v>5.0321129999999998</v>
      </c>
      <c r="U32" s="224">
        <v>5.0311250000000003</v>
      </c>
      <c r="V32" s="224">
        <v>5.0302259999999999</v>
      </c>
      <c r="W32" s="224">
        <v>5.0293169999999998</v>
      </c>
      <c r="X32" s="224">
        <v>5.0284149999999999</v>
      </c>
      <c r="Y32" s="224">
        <v>5.02752</v>
      </c>
      <c r="Z32" s="224">
        <v>5.0266299999999999</v>
      </c>
      <c r="AA32" s="224">
        <v>5.0257459999999998</v>
      </c>
      <c r="AB32" s="224">
        <v>5.0248619999999997</v>
      </c>
      <c r="AC32" s="224">
        <v>5.0239739999999999</v>
      </c>
      <c r="AD32" s="224">
        <v>5.0230839999999999</v>
      </c>
      <c r="AE32" s="224">
        <v>5.0221999999999998</v>
      </c>
      <c r="AF32" s="221">
        <v>-2.0900000000000001E-4</v>
      </c>
      <c r="AG32" s="200"/>
      <c r="AH32" s="200"/>
      <c r="AI32" s="200"/>
      <c r="AJ32" s="200"/>
      <c r="AK32" s="200"/>
      <c r="AL32" s="200"/>
      <c r="AM32" s="200"/>
      <c r="AN32" s="200"/>
      <c r="AO32" s="200"/>
      <c r="AP32" s="200"/>
      <c r="AQ32" s="200"/>
      <c r="AR32" s="200"/>
      <c r="AS32" s="200"/>
      <c r="AT32" s="200"/>
      <c r="AU32" s="200"/>
      <c r="AV32" s="200"/>
      <c r="AW32" s="200"/>
      <c r="AX32" s="200"/>
      <c r="AY32" s="200"/>
      <c r="AZ32" s="200"/>
      <c r="BA32" s="200"/>
    </row>
    <row r="33" spans="1:53" ht="15" customHeight="1">
      <c r="A33" s="201" t="s">
        <v>212</v>
      </c>
      <c r="B33" s="219" t="s">
        <v>168</v>
      </c>
      <c r="C33" s="224">
        <v>5.0512389999999998</v>
      </c>
      <c r="D33" s="224">
        <v>5.0499520000000002</v>
      </c>
      <c r="E33" s="224">
        <v>5.0486649999999997</v>
      </c>
      <c r="F33" s="224">
        <v>5.0473749999999997</v>
      </c>
      <c r="G33" s="224">
        <v>5.0460849999999997</v>
      </c>
      <c r="H33" s="224">
        <v>5.0447939999999996</v>
      </c>
      <c r="I33" s="224">
        <v>5.0435020000000002</v>
      </c>
      <c r="J33" s="224">
        <v>5.0422089999999997</v>
      </c>
      <c r="K33" s="224">
        <v>5.0409139999999999</v>
      </c>
      <c r="L33" s="224">
        <v>5.0396179999999999</v>
      </c>
      <c r="M33" s="224">
        <v>5.038322</v>
      </c>
      <c r="N33" s="224">
        <v>5.037026</v>
      </c>
      <c r="O33" s="224">
        <v>5.03573</v>
      </c>
      <c r="P33" s="224">
        <v>5.0344340000000001</v>
      </c>
      <c r="Q33" s="224">
        <v>5.0333230000000002</v>
      </c>
      <c r="R33" s="224">
        <v>5.0322180000000003</v>
      </c>
      <c r="S33" s="224">
        <v>5.0311500000000002</v>
      </c>
      <c r="T33" s="224">
        <v>5.0300909999999996</v>
      </c>
      <c r="U33" s="224">
        <v>5.0290319999999999</v>
      </c>
      <c r="V33" s="224">
        <v>5.0280829999999996</v>
      </c>
      <c r="W33" s="224">
        <v>5.0271239999999997</v>
      </c>
      <c r="X33" s="224">
        <v>5.0261709999999997</v>
      </c>
      <c r="Y33" s="224">
        <v>5.025226</v>
      </c>
      <c r="Z33" s="224">
        <v>5.0242849999999999</v>
      </c>
      <c r="AA33" s="224">
        <v>5.0233509999999999</v>
      </c>
      <c r="AB33" s="224">
        <v>5.0224169999999999</v>
      </c>
      <c r="AC33" s="224">
        <v>5.0214790000000002</v>
      </c>
      <c r="AD33" s="224">
        <v>5.0205390000000003</v>
      </c>
      <c r="AE33" s="224">
        <v>5.0196059999999996</v>
      </c>
      <c r="AF33" s="221">
        <v>-2.24E-4</v>
      </c>
      <c r="AG33" s="200"/>
      <c r="AH33" s="200"/>
      <c r="AI33" s="200"/>
      <c r="AJ33" s="200"/>
      <c r="AK33" s="200"/>
      <c r="AL33" s="200"/>
      <c r="AM33" s="200"/>
      <c r="AN33" s="200"/>
      <c r="AO33" s="200"/>
      <c r="AP33" s="200"/>
      <c r="AQ33" s="200"/>
      <c r="AR33" s="200"/>
      <c r="AS33" s="200"/>
      <c r="AT33" s="200"/>
      <c r="AU33" s="200"/>
      <c r="AV33" s="200"/>
      <c r="AW33" s="200"/>
      <c r="AX33" s="200"/>
      <c r="AY33" s="200"/>
      <c r="AZ33" s="200"/>
      <c r="BA33" s="200"/>
    </row>
    <row r="34" spans="1:53" ht="15" customHeight="1">
      <c r="A34" s="201" t="s">
        <v>214</v>
      </c>
      <c r="B34" s="219" t="s">
        <v>169</v>
      </c>
      <c r="C34" s="224">
        <v>5.0509560000000002</v>
      </c>
      <c r="D34" s="224">
        <v>5.0496100000000004</v>
      </c>
      <c r="E34" s="224">
        <v>5.0482639999999996</v>
      </c>
      <c r="F34" s="224">
        <v>5.0469179999999998</v>
      </c>
      <c r="G34" s="224">
        <v>5.0455740000000002</v>
      </c>
      <c r="H34" s="224">
        <v>5.0442299999999998</v>
      </c>
      <c r="I34" s="224">
        <v>5.0428879999999996</v>
      </c>
      <c r="J34" s="224">
        <v>5.0415450000000002</v>
      </c>
      <c r="K34" s="224">
        <v>5.040203</v>
      </c>
      <c r="L34" s="224">
        <v>5.038862</v>
      </c>
      <c r="M34" s="224">
        <v>5.0375209999999999</v>
      </c>
      <c r="N34" s="224">
        <v>5.0361820000000002</v>
      </c>
      <c r="O34" s="224">
        <v>5.0348439999999997</v>
      </c>
      <c r="P34" s="224">
        <v>5.033506</v>
      </c>
      <c r="Q34" s="224">
        <v>5.032413</v>
      </c>
      <c r="R34" s="224">
        <v>5.031326</v>
      </c>
      <c r="S34" s="224">
        <v>5.030284</v>
      </c>
      <c r="T34" s="224">
        <v>5.0292519999999996</v>
      </c>
      <c r="U34" s="224">
        <v>5.028219</v>
      </c>
      <c r="V34" s="224">
        <v>5.0272449999999997</v>
      </c>
      <c r="W34" s="224">
        <v>5.0262560000000001</v>
      </c>
      <c r="X34" s="224">
        <v>5.0252730000000003</v>
      </c>
      <c r="Y34" s="224">
        <v>5.0242979999999999</v>
      </c>
      <c r="Z34" s="224">
        <v>5.0233290000000004</v>
      </c>
      <c r="AA34" s="224">
        <v>5.022367</v>
      </c>
      <c r="AB34" s="224">
        <v>5.0214040000000004</v>
      </c>
      <c r="AC34" s="224">
        <v>5.0204339999999998</v>
      </c>
      <c r="AD34" s="224">
        <v>5.0194609999999997</v>
      </c>
      <c r="AE34" s="224">
        <v>5.0184939999999996</v>
      </c>
      <c r="AF34" s="221">
        <v>-2.3000000000000001E-4</v>
      </c>
      <c r="AG34" s="200"/>
      <c r="AH34" s="200"/>
      <c r="AI34" s="200"/>
      <c r="AJ34" s="200"/>
      <c r="AK34" s="200"/>
      <c r="AL34" s="200"/>
      <c r="AM34" s="200"/>
      <c r="AN34" s="200"/>
      <c r="AO34" s="200"/>
      <c r="AP34" s="200"/>
      <c r="AQ34" s="200"/>
      <c r="AR34" s="200"/>
      <c r="AS34" s="200"/>
      <c r="AT34" s="200"/>
      <c r="AU34" s="200"/>
      <c r="AV34" s="200"/>
      <c r="AW34" s="200"/>
      <c r="AX34" s="200"/>
      <c r="AY34" s="200"/>
      <c r="AZ34" s="200"/>
      <c r="BA34" s="200"/>
    </row>
    <row r="35" spans="1:53" ht="14.5">
      <c r="A35" s="201" t="s">
        <v>216</v>
      </c>
      <c r="B35" s="219" t="s">
        <v>171</v>
      </c>
      <c r="C35" s="224">
        <v>5.2222799999999996</v>
      </c>
      <c r="D35" s="224">
        <v>5.2222799999999996</v>
      </c>
      <c r="E35" s="224">
        <v>5.2222799999999996</v>
      </c>
      <c r="F35" s="224">
        <v>5.2222799999999996</v>
      </c>
      <c r="G35" s="224">
        <v>5.2222799999999996</v>
      </c>
      <c r="H35" s="224">
        <v>5.2222799999999996</v>
      </c>
      <c r="I35" s="224">
        <v>5.2222799999999996</v>
      </c>
      <c r="J35" s="224">
        <v>5.2222799999999996</v>
      </c>
      <c r="K35" s="224">
        <v>5.2222799999999996</v>
      </c>
      <c r="L35" s="224">
        <v>5.2222799999999996</v>
      </c>
      <c r="M35" s="224">
        <v>5.2222799999999996</v>
      </c>
      <c r="N35" s="224">
        <v>5.2222799999999996</v>
      </c>
      <c r="O35" s="224">
        <v>5.2222799999999996</v>
      </c>
      <c r="P35" s="224">
        <v>5.2222799999999996</v>
      </c>
      <c r="Q35" s="224">
        <v>5.2222799999999996</v>
      </c>
      <c r="R35" s="224">
        <v>5.2222799999999996</v>
      </c>
      <c r="S35" s="224">
        <v>5.2222799999999996</v>
      </c>
      <c r="T35" s="224">
        <v>5.2222799999999996</v>
      </c>
      <c r="U35" s="224">
        <v>5.2222799999999996</v>
      </c>
      <c r="V35" s="224">
        <v>5.2222799999999996</v>
      </c>
      <c r="W35" s="224">
        <v>5.2222799999999996</v>
      </c>
      <c r="X35" s="224">
        <v>5.2222799999999996</v>
      </c>
      <c r="Y35" s="224">
        <v>5.2222799999999996</v>
      </c>
      <c r="Z35" s="224">
        <v>5.2222799999999996</v>
      </c>
      <c r="AA35" s="224">
        <v>5.2222799999999996</v>
      </c>
      <c r="AB35" s="224">
        <v>5.2222799999999996</v>
      </c>
      <c r="AC35" s="224">
        <v>5.2222799999999996</v>
      </c>
      <c r="AD35" s="224">
        <v>5.2222799999999996</v>
      </c>
      <c r="AE35" s="224">
        <v>5.2222799999999996</v>
      </c>
      <c r="AF35" s="221">
        <v>0</v>
      </c>
      <c r="AG35" s="200"/>
      <c r="AH35" s="200"/>
      <c r="AI35" s="200"/>
      <c r="AJ35" s="200"/>
      <c r="AK35" s="200"/>
      <c r="AL35" s="200"/>
      <c r="AM35" s="200"/>
      <c r="AN35" s="200"/>
      <c r="AO35" s="200"/>
      <c r="AP35" s="200"/>
      <c r="AQ35" s="200"/>
      <c r="AR35" s="200"/>
      <c r="AS35" s="200"/>
      <c r="AT35" s="200"/>
      <c r="AU35" s="200"/>
      <c r="AV35" s="200"/>
      <c r="AW35" s="200"/>
      <c r="AX35" s="200"/>
      <c r="AY35" s="200"/>
      <c r="AZ35" s="200"/>
      <c r="BA35" s="200"/>
    </row>
    <row r="36" spans="1:53" ht="14.5">
      <c r="A36" s="199"/>
      <c r="B36" s="219" t="s">
        <v>173</v>
      </c>
      <c r="C36" s="224">
        <v>5.2222799999999996</v>
      </c>
      <c r="D36" s="224">
        <v>5.2222799999999996</v>
      </c>
      <c r="E36" s="224">
        <v>5.2222799999999996</v>
      </c>
      <c r="F36" s="224">
        <v>5.2222799999999996</v>
      </c>
      <c r="G36" s="224">
        <v>5.2222799999999996</v>
      </c>
      <c r="H36" s="224">
        <v>5.2222799999999996</v>
      </c>
      <c r="I36" s="224">
        <v>5.2222799999999996</v>
      </c>
      <c r="J36" s="224">
        <v>5.2222799999999996</v>
      </c>
      <c r="K36" s="224">
        <v>5.2222799999999996</v>
      </c>
      <c r="L36" s="224">
        <v>5.2222799999999996</v>
      </c>
      <c r="M36" s="224">
        <v>5.2222799999999996</v>
      </c>
      <c r="N36" s="224">
        <v>5.2222799999999996</v>
      </c>
      <c r="O36" s="224">
        <v>5.2222799999999996</v>
      </c>
      <c r="P36" s="224">
        <v>5.2222799999999996</v>
      </c>
      <c r="Q36" s="224">
        <v>5.2222799999999996</v>
      </c>
      <c r="R36" s="224">
        <v>5.2222799999999996</v>
      </c>
      <c r="S36" s="224">
        <v>5.2222799999999996</v>
      </c>
      <c r="T36" s="224">
        <v>5.2222799999999996</v>
      </c>
      <c r="U36" s="224">
        <v>5.2222799999999996</v>
      </c>
      <c r="V36" s="224">
        <v>5.2222799999999996</v>
      </c>
      <c r="W36" s="224">
        <v>5.2222799999999996</v>
      </c>
      <c r="X36" s="224">
        <v>5.2222799999999996</v>
      </c>
      <c r="Y36" s="224">
        <v>5.2222799999999996</v>
      </c>
      <c r="Z36" s="224">
        <v>5.2222799999999996</v>
      </c>
      <c r="AA36" s="224">
        <v>5.2222799999999996</v>
      </c>
      <c r="AB36" s="224">
        <v>5.2222799999999996</v>
      </c>
      <c r="AC36" s="224">
        <v>5.2222799999999996</v>
      </c>
      <c r="AD36" s="224">
        <v>5.2222799999999996</v>
      </c>
      <c r="AE36" s="224">
        <v>5.2222799999999996</v>
      </c>
      <c r="AF36" s="221">
        <v>0</v>
      </c>
      <c r="AG36" s="200"/>
      <c r="AH36" s="200"/>
      <c r="AI36" s="200"/>
      <c r="AJ36" s="200"/>
      <c r="AK36" s="200"/>
      <c r="AL36" s="200"/>
      <c r="AM36" s="200"/>
      <c r="AN36" s="200"/>
      <c r="AO36" s="200"/>
      <c r="AP36" s="200"/>
      <c r="AQ36" s="200"/>
      <c r="AR36" s="200"/>
      <c r="AS36" s="200"/>
      <c r="AT36" s="200"/>
      <c r="AU36" s="200"/>
      <c r="AV36" s="200"/>
      <c r="AW36" s="200"/>
      <c r="AX36" s="200"/>
      <c r="AY36" s="200"/>
      <c r="AZ36" s="200"/>
      <c r="BA36" s="200"/>
    </row>
    <row r="37" spans="1:53" ht="14.5">
      <c r="A37" s="199"/>
      <c r="B37" s="219" t="s">
        <v>175</v>
      </c>
      <c r="C37" s="224">
        <v>4.6379999999999999</v>
      </c>
      <c r="D37" s="224">
        <v>4.6379999999999999</v>
      </c>
      <c r="E37" s="224">
        <v>4.6379999999999999</v>
      </c>
      <c r="F37" s="224">
        <v>4.6379999999999999</v>
      </c>
      <c r="G37" s="224">
        <v>4.6379999999999999</v>
      </c>
      <c r="H37" s="224">
        <v>4.6379999999999999</v>
      </c>
      <c r="I37" s="224">
        <v>4.6379999999999999</v>
      </c>
      <c r="J37" s="224">
        <v>4.6379999999999999</v>
      </c>
      <c r="K37" s="224">
        <v>4.6379999999999999</v>
      </c>
      <c r="L37" s="224">
        <v>4.6379999999999999</v>
      </c>
      <c r="M37" s="224">
        <v>4.6379999999999999</v>
      </c>
      <c r="N37" s="224">
        <v>4.6379999999999999</v>
      </c>
      <c r="O37" s="224">
        <v>4.6379999999999999</v>
      </c>
      <c r="P37" s="224">
        <v>4.6379999999999999</v>
      </c>
      <c r="Q37" s="224">
        <v>4.6379999999999999</v>
      </c>
      <c r="R37" s="224">
        <v>4.6379999999999999</v>
      </c>
      <c r="S37" s="224">
        <v>4.6379999999999999</v>
      </c>
      <c r="T37" s="224">
        <v>4.6379999999999999</v>
      </c>
      <c r="U37" s="224">
        <v>4.6379999999999999</v>
      </c>
      <c r="V37" s="224">
        <v>4.6379999999999999</v>
      </c>
      <c r="W37" s="224">
        <v>4.6379999999999999</v>
      </c>
      <c r="X37" s="224">
        <v>4.6379999999999999</v>
      </c>
      <c r="Y37" s="224">
        <v>4.6379999999999999</v>
      </c>
      <c r="Z37" s="224">
        <v>4.6379999999999999</v>
      </c>
      <c r="AA37" s="224">
        <v>4.6379999999999999</v>
      </c>
      <c r="AB37" s="224">
        <v>4.6379999999999999</v>
      </c>
      <c r="AC37" s="224">
        <v>4.6379999999999999</v>
      </c>
      <c r="AD37" s="224">
        <v>4.6379999999999999</v>
      </c>
      <c r="AE37" s="224">
        <v>4.6379999999999999</v>
      </c>
      <c r="AF37" s="221">
        <v>0</v>
      </c>
      <c r="AG37" s="200"/>
      <c r="AH37" s="200"/>
      <c r="AI37" s="200"/>
      <c r="AJ37" s="200"/>
      <c r="AK37" s="200"/>
      <c r="AL37" s="200"/>
      <c r="AM37" s="200"/>
      <c r="AN37" s="200"/>
      <c r="AO37" s="200"/>
      <c r="AP37" s="200"/>
      <c r="AQ37" s="200"/>
      <c r="AR37" s="200"/>
      <c r="AS37" s="200"/>
      <c r="AT37" s="200"/>
      <c r="AU37" s="200"/>
      <c r="AV37" s="200"/>
      <c r="AW37" s="200"/>
      <c r="AX37" s="200"/>
      <c r="AY37" s="200"/>
      <c r="AZ37" s="200"/>
      <c r="BA37" s="200"/>
    </row>
    <row r="38" spans="1:53" ht="14.5">
      <c r="A38" s="201" t="s">
        <v>219</v>
      </c>
      <c r="B38" s="219" t="s">
        <v>177</v>
      </c>
      <c r="C38" s="224">
        <v>5.8</v>
      </c>
      <c r="D38" s="224">
        <v>5.8</v>
      </c>
      <c r="E38" s="224">
        <v>5.8</v>
      </c>
      <c r="F38" s="224">
        <v>5.8</v>
      </c>
      <c r="G38" s="224">
        <v>5.8</v>
      </c>
      <c r="H38" s="224">
        <v>5.8</v>
      </c>
      <c r="I38" s="224">
        <v>5.8</v>
      </c>
      <c r="J38" s="224">
        <v>5.8</v>
      </c>
      <c r="K38" s="224">
        <v>5.8</v>
      </c>
      <c r="L38" s="224">
        <v>5.8</v>
      </c>
      <c r="M38" s="224">
        <v>5.8</v>
      </c>
      <c r="N38" s="224">
        <v>5.8</v>
      </c>
      <c r="O38" s="224">
        <v>5.8</v>
      </c>
      <c r="P38" s="224">
        <v>5.8</v>
      </c>
      <c r="Q38" s="224">
        <v>5.8</v>
      </c>
      <c r="R38" s="224">
        <v>5.8</v>
      </c>
      <c r="S38" s="224">
        <v>5.8</v>
      </c>
      <c r="T38" s="224">
        <v>5.8</v>
      </c>
      <c r="U38" s="224">
        <v>5.8</v>
      </c>
      <c r="V38" s="224">
        <v>5.8</v>
      </c>
      <c r="W38" s="224">
        <v>5.8</v>
      </c>
      <c r="X38" s="224">
        <v>5.8</v>
      </c>
      <c r="Y38" s="224">
        <v>5.8</v>
      </c>
      <c r="Z38" s="224">
        <v>5.8</v>
      </c>
      <c r="AA38" s="224">
        <v>5.8</v>
      </c>
      <c r="AB38" s="224">
        <v>5.8</v>
      </c>
      <c r="AC38" s="224">
        <v>5.8</v>
      </c>
      <c r="AD38" s="224">
        <v>5.8</v>
      </c>
      <c r="AE38" s="224">
        <v>5.8</v>
      </c>
      <c r="AF38" s="221">
        <v>0</v>
      </c>
      <c r="AG38" s="200"/>
      <c r="AH38" s="200"/>
      <c r="AI38" s="200"/>
      <c r="AJ38" s="200"/>
      <c r="AK38" s="200"/>
      <c r="AL38" s="200"/>
      <c r="AM38" s="200"/>
      <c r="AN38" s="200"/>
      <c r="AO38" s="200"/>
      <c r="AP38" s="200"/>
      <c r="AQ38" s="200"/>
      <c r="AR38" s="200"/>
      <c r="AS38" s="200"/>
      <c r="AT38" s="200"/>
      <c r="AU38" s="200"/>
      <c r="AV38" s="200"/>
      <c r="AW38" s="200"/>
      <c r="AX38" s="200"/>
      <c r="AY38" s="200"/>
      <c r="AZ38" s="200"/>
      <c r="BA38" s="200"/>
    </row>
    <row r="39" spans="1:53" ht="14.5">
      <c r="A39" s="201" t="s">
        <v>220</v>
      </c>
      <c r="B39" s="219" t="s">
        <v>179</v>
      </c>
      <c r="C39" s="224">
        <v>5.448283</v>
      </c>
      <c r="D39" s="224">
        <v>5.448283</v>
      </c>
      <c r="E39" s="224">
        <v>5.448283</v>
      </c>
      <c r="F39" s="224">
        <v>5.448283</v>
      </c>
      <c r="G39" s="224">
        <v>5.448283</v>
      </c>
      <c r="H39" s="224">
        <v>5.448283</v>
      </c>
      <c r="I39" s="224">
        <v>5.448283</v>
      </c>
      <c r="J39" s="224">
        <v>5.448283</v>
      </c>
      <c r="K39" s="224">
        <v>5.448283</v>
      </c>
      <c r="L39" s="224">
        <v>5.448283</v>
      </c>
      <c r="M39" s="224">
        <v>5.448283</v>
      </c>
      <c r="N39" s="224">
        <v>5.448283</v>
      </c>
      <c r="O39" s="224">
        <v>5.448283</v>
      </c>
      <c r="P39" s="224">
        <v>5.448283</v>
      </c>
      <c r="Q39" s="224">
        <v>5.448283</v>
      </c>
      <c r="R39" s="224">
        <v>5.448283</v>
      </c>
      <c r="S39" s="224">
        <v>5.448283</v>
      </c>
      <c r="T39" s="224">
        <v>5.448283</v>
      </c>
      <c r="U39" s="224">
        <v>5.448283</v>
      </c>
      <c r="V39" s="224">
        <v>5.448283</v>
      </c>
      <c r="W39" s="224">
        <v>5.448283</v>
      </c>
      <c r="X39" s="224">
        <v>5.448283</v>
      </c>
      <c r="Y39" s="224">
        <v>5.448283</v>
      </c>
      <c r="Z39" s="224">
        <v>5.448283</v>
      </c>
      <c r="AA39" s="224">
        <v>5.448283</v>
      </c>
      <c r="AB39" s="224">
        <v>5.448283</v>
      </c>
      <c r="AC39" s="224">
        <v>5.448283</v>
      </c>
      <c r="AD39" s="224">
        <v>5.448283</v>
      </c>
      <c r="AE39" s="224">
        <v>5.448283</v>
      </c>
      <c r="AF39" s="221">
        <v>0</v>
      </c>
      <c r="AG39" s="200"/>
      <c r="AH39" s="200"/>
      <c r="AI39" s="200"/>
      <c r="AJ39" s="200"/>
      <c r="AK39" s="200"/>
      <c r="AL39" s="200"/>
      <c r="AM39" s="200"/>
      <c r="AN39" s="200"/>
      <c r="AO39" s="200"/>
      <c r="AP39" s="200"/>
      <c r="AQ39" s="200"/>
      <c r="AR39" s="200"/>
      <c r="AS39" s="200"/>
      <c r="AT39" s="200"/>
      <c r="AU39" s="200"/>
      <c r="AV39" s="200"/>
      <c r="AW39" s="200"/>
      <c r="AX39" s="200"/>
      <c r="AY39" s="200"/>
      <c r="AZ39" s="200"/>
      <c r="BA39" s="200"/>
    </row>
    <row r="40" spans="1:53" ht="14.5">
      <c r="A40" s="201" t="s">
        <v>222</v>
      </c>
      <c r="B40" s="219" t="s">
        <v>181</v>
      </c>
      <c r="C40" s="224">
        <v>6.2869999999999999</v>
      </c>
      <c r="D40" s="224">
        <v>6.2869999999999999</v>
      </c>
      <c r="E40" s="224">
        <v>6.2869999999999999</v>
      </c>
      <c r="F40" s="224">
        <v>6.2869999999999999</v>
      </c>
      <c r="G40" s="224">
        <v>6.2869999999999999</v>
      </c>
      <c r="H40" s="224">
        <v>6.2869999999999999</v>
      </c>
      <c r="I40" s="224">
        <v>6.2869999999999999</v>
      </c>
      <c r="J40" s="224">
        <v>6.2869999999999999</v>
      </c>
      <c r="K40" s="224">
        <v>6.2869999999999999</v>
      </c>
      <c r="L40" s="224">
        <v>6.2869999999999999</v>
      </c>
      <c r="M40" s="224">
        <v>6.2869999999999999</v>
      </c>
      <c r="N40" s="224">
        <v>6.2869999999999999</v>
      </c>
      <c r="O40" s="224">
        <v>6.2869999999999999</v>
      </c>
      <c r="P40" s="224">
        <v>6.2869999999999999</v>
      </c>
      <c r="Q40" s="224">
        <v>6.2869999999999999</v>
      </c>
      <c r="R40" s="224">
        <v>6.2869999999999999</v>
      </c>
      <c r="S40" s="224">
        <v>6.2869999999999999</v>
      </c>
      <c r="T40" s="224">
        <v>6.2869999999999999</v>
      </c>
      <c r="U40" s="224">
        <v>6.2869999999999999</v>
      </c>
      <c r="V40" s="224">
        <v>6.2869999999999999</v>
      </c>
      <c r="W40" s="224">
        <v>6.2869999999999999</v>
      </c>
      <c r="X40" s="224">
        <v>6.2869999999999999</v>
      </c>
      <c r="Y40" s="224">
        <v>6.2869999999999999</v>
      </c>
      <c r="Z40" s="224">
        <v>6.2869999999999999</v>
      </c>
      <c r="AA40" s="224">
        <v>6.2869999999999999</v>
      </c>
      <c r="AB40" s="224">
        <v>6.2869999999999999</v>
      </c>
      <c r="AC40" s="224">
        <v>6.2869999999999999</v>
      </c>
      <c r="AD40" s="224">
        <v>6.2869999999999999</v>
      </c>
      <c r="AE40" s="224">
        <v>6.2869999999999999</v>
      </c>
      <c r="AF40" s="221">
        <v>0</v>
      </c>
      <c r="AG40" s="200"/>
      <c r="AH40" s="200"/>
      <c r="AI40" s="200"/>
      <c r="AJ40" s="200"/>
      <c r="AK40" s="200"/>
      <c r="AL40" s="200"/>
      <c r="AM40" s="200"/>
      <c r="AN40" s="200"/>
      <c r="AO40" s="200"/>
      <c r="AP40" s="200"/>
      <c r="AQ40" s="200"/>
      <c r="AR40" s="200"/>
      <c r="AS40" s="200"/>
      <c r="AT40" s="200"/>
      <c r="AU40" s="200"/>
      <c r="AV40" s="200"/>
      <c r="AW40" s="200"/>
      <c r="AX40" s="200"/>
      <c r="AY40" s="200"/>
      <c r="AZ40" s="200"/>
      <c r="BA40" s="200"/>
    </row>
    <row r="41" spans="1:53" ht="14.5">
      <c r="A41" s="201" t="s">
        <v>224</v>
      </c>
      <c r="B41" s="219" t="s">
        <v>183</v>
      </c>
      <c r="C41" s="224">
        <v>6.2869999999999999</v>
      </c>
      <c r="D41" s="224">
        <v>6.2869999999999999</v>
      </c>
      <c r="E41" s="224">
        <v>6.2869999999999999</v>
      </c>
      <c r="F41" s="224">
        <v>6.2869999999999999</v>
      </c>
      <c r="G41" s="224">
        <v>6.2869999999999999</v>
      </c>
      <c r="H41" s="224">
        <v>6.2869999999999999</v>
      </c>
      <c r="I41" s="224">
        <v>6.2869999999999999</v>
      </c>
      <c r="J41" s="224">
        <v>6.2869999999999999</v>
      </c>
      <c r="K41" s="224">
        <v>6.2869999999999999</v>
      </c>
      <c r="L41" s="224">
        <v>6.2869999999999999</v>
      </c>
      <c r="M41" s="224">
        <v>6.2869999999999999</v>
      </c>
      <c r="N41" s="224">
        <v>6.2869999999999999</v>
      </c>
      <c r="O41" s="224">
        <v>6.2869999999999999</v>
      </c>
      <c r="P41" s="224">
        <v>6.2869999999999999</v>
      </c>
      <c r="Q41" s="224">
        <v>6.2869999999999999</v>
      </c>
      <c r="R41" s="224">
        <v>6.2869999999999999</v>
      </c>
      <c r="S41" s="224">
        <v>6.2869999999999999</v>
      </c>
      <c r="T41" s="224">
        <v>6.2869999999999999</v>
      </c>
      <c r="U41" s="224">
        <v>6.2869999999999999</v>
      </c>
      <c r="V41" s="224">
        <v>6.2869999999999999</v>
      </c>
      <c r="W41" s="224">
        <v>6.2869999999999999</v>
      </c>
      <c r="X41" s="224">
        <v>6.2869999999999999</v>
      </c>
      <c r="Y41" s="224">
        <v>6.2869999999999999</v>
      </c>
      <c r="Z41" s="224">
        <v>6.2869999999999999</v>
      </c>
      <c r="AA41" s="224">
        <v>6.2869999999999999</v>
      </c>
      <c r="AB41" s="224">
        <v>6.2869999999999999</v>
      </c>
      <c r="AC41" s="224">
        <v>6.2869999999999999</v>
      </c>
      <c r="AD41" s="224">
        <v>6.2869999999999999</v>
      </c>
      <c r="AE41" s="224">
        <v>6.2869999999999999</v>
      </c>
      <c r="AF41" s="221">
        <v>0</v>
      </c>
      <c r="AG41" s="200"/>
      <c r="AH41" s="200"/>
      <c r="AI41" s="200"/>
      <c r="AJ41" s="200"/>
      <c r="AK41" s="200"/>
      <c r="AL41" s="200"/>
      <c r="AM41" s="200"/>
      <c r="AN41" s="200"/>
      <c r="AO41" s="200"/>
      <c r="AP41" s="200"/>
      <c r="AQ41" s="200"/>
      <c r="AR41" s="200"/>
      <c r="AS41" s="200"/>
      <c r="AT41" s="200"/>
      <c r="AU41" s="200"/>
      <c r="AV41" s="200"/>
      <c r="AW41" s="200"/>
      <c r="AX41" s="200"/>
      <c r="AY41" s="200"/>
      <c r="AZ41" s="200"/>
      <c r="BA41" s="200"/>
    </row>
    <row r="42" spans="1:53" ht="14.5">
      <c r="A42" s="201" t="s">
        <v>225</v>
      </c>
      <c r="B42" s="219" t="s">
        <v>185</v>
      </c>
      <c r="C42" s="224">
        <v>6.2869999999999999</v>
      </c>
      <c r="D42" s="224">
        <v>6.2869999999999999</v>
      </c>
      <c r="E42" s="224">
        <v>6.2869999999999999</v>
      </c>
      <c r="F42" s="224">
        <v>6.2869999999999999</v>
      </c>
      <c r="G42" s="224">
        <v>6.2869999999999999</v>
      </c>
      <c r="H42" s="224">
        <v>6.2869999999999999</v>
      </c>
      <c r="I42" s="224">
        <v>6.2869999999999999</v>
      </c>
      <c r="J42" s="224">
        <v>6.2869999999999999</v>
      </c>
      <c r="K42" s="224">
        <v>6.2869999999999999</v>
      </c>
      <c r="L42" s="224">
        <v>6.2869999999999999</v>
      </c>
      <c r="M42" s="224">
        <v>6.2869999999999999</v>
      </c>
      <c r="N42" s="224">
        <v>6.2869999999999999</v>
      </c>
      <c r="O42" s="224">
        <v>6.2869999999999999</v>
      </c>
      <c r="P42" s="224">
        <v>6.2869999999999999</v>
      </c>
      <c r="Q42" s="224">
        <v>6.2869999999999999</v>
      </c>
      <c r="R42" s="224">
        <v>6.2869999999999999</v>
      </c>
      <c r="S42" s="224">
        <v>6.2869999999999999</v>
      </c>
      <c r="T42" s="224">
        <v>6.2869999999999999</v>
      </c>
      <c r="U42" s="224">
        <v>6.2869999999999999</v>
      </c>
      <c r="V42" s="224">
        <v>6.2869999999999999</v>
      </c>
      <c r="W42" s="224">
        <v>6.2869999999999999</v>
      </c>
      <c r="X42" s="224">
        <v>6.2869999999999999</v>
      </c>
      <c r="Y42" s="224">
        <v>6.2869999999999999</v>
      </c>
      <c r="Z42" s="224">
        <v>6.2869999999999999</v>
      </c>
      <c r="AA42" s="224">
        <v>6.2869999999999999</v>
      </c>
      <c r="AB42" s="224">
        <v>6.2869999999999999</v>
      </c>
      <c r="AC42" s="224">
        <v>6.2869999999999999</v>
      </c>
      <c r="AD42" s="224">
        <v>6.2869999999999999</v>
      </c>
      <c r="AE42" s="224">
        <v>6.2869999999999999</v>
      </c>
      <c r="AF42" s="221">
        <v>0</v>
      </c>
      <c r="AG42" s="200"/>
      <c r="AH42" s="200"/>
      <c r="AI42" s="200"/>
      <c r="AJ42" s="200"/>
      <c r="AK42" s="200"/>
      <c r="AL42" s="200"/>
      <c r="AM42" s="200"/>
      <c r="AN42" s="200"/>
      <c r="AO42" s="200"/>
      <c r="AP42" s="200"/>
      <c r="AQ42" s="200"/>
      <c r="AR42" s="200"/>
      <c r="AS42" s="200"/>
      <c r="AT42" s="200"/>
      <c r="AU42" s="200"/>
      <c r="AV42" s="200"/>
      <c r="AW42" s="200"/>
      <c r="AX42" s="200"/>
      <c r="AY42" s="200"/>
      <c r="AZ42" s="200"/>
      <c r="BA42" s="200"/>
    </row>
    <row r="43" spans="1:53" ht="14.5">
      <c r="A43" s="201" t="s">
        <v>227</v>
      </c>
      <c r="B43" s="219" t="s">
        <v>187</v>
      </c>
      <c r="C43" s="224">
        <v>6.1917359999999997</v>
      </c>
      <c r="D43" s="224">
        <v>6.1922389999999998</v>
      </c>
      <c r="E43" s="224">
        <v>6.1930670000000001</v>
      </c>
      <c r="F43" s="224">
        <v>6.1635160000000004</v>
      </c>
      <c r="G43" s="224">
        <v>6.1553069999999996</v>
      </c>
      <c r="H43" s="224">
        <v>6.1613670000000003</v>
      </c>
      <c r="I43" s="224">
        <v>6.16242</v>
      </c>
      <c r="J43" s="224">
        <v>6.1634779999999996</v>
      </c>
      <c r="K43" s="224">
        <v>6.1645450000000004</v>
      </c>
      <c r="L43" s="224">
        <v>6.1607760000000003</v>
      </c>
      <c r="M43" s="224">
        <v>6.166696</v>
      </c>
      <c r="N43" s="224">
        <v>6.1677819999999999</v>
      </c>
      <c r="O43" s="224">
        <v>6.1688749999999999</v>
      </c>
      <c r="P43" s="224">
        <v>6.169975</v>
      </c>
      <c r="Q43" s="224">
        <v>6.1710820000000002</v>
      </c>
      <c r="R43" s="224">
        <v>6.1721969999999997</v>
      </c>
      <c r="S43" s="224">
        <v>6.1733180000000001</v>
      </c>
      <c r="T43" s="224">
        <v>6.1744469999999998</v>
      </c>
      <c r="U43" s="224">
        <v>6.1755820000000003</v>
      </c>
      <c r="V43" s="224">
        <v>6.1769319999999999</v>
      </c>
      <c r="W43" s="224">
        <v>6.1780039999999996</v>
      </c>
      <c r="X43" s="224">
        <v>6.1792449999999999</v>
      </c>
      <c r="Y43" s="224">
        <v>6.180129</v>
      </c>
      <c r="Z43" s="224">
        <v>6.1813039999999999</v>
      </c>
      <c r="AA43" s="224">
        <v>6.1824859999999999</v>
      </c>
      <c r="AB43" s="224">
        <v>6.1836760000000002</v>
      </c>
      <c r="AC43" s="224">
        <v>6.1848739999999998</v>
      </c>
      <c r="AD43" s="224">
        <v>6.1860799999999996</v>
      </c>
      <c r="AE43" s="224">
        <v>6.1875859999999996</v>
      </c>
      <c r="AF43" s="221">
        <v>-2.4000000000000001E-5</v>
      </c>
      <c r="AG43" s="200"/>
      <c r="AH43" s="200"/>
      <c r="AI43" s="200"/>
      <c r="AJ43" s="200"/>
      <c r="AK43" s="200"/>
      <c r="AL43" s="200"/>
      <c r="AM43" s="200"/>
      <c r="AN43" s="200"/>
      <c r="AO43" s="200"/>
      <c r="AP43" s="200"/>
      <c r="AQ43" s="200"/>
      <c r="AR43" s="200"/>
      <c r="AS43" s="200"/>
      <c r="AT43" s="200"/>
      <c r="AU43" s="200"/>
      <c r="AV43" s="200"/>
      <c r="AW43" s="200"/>
      <c r="AX43" s="200"/>
      <c r="AY43" s="200"/>
      <c r="AZ43" s="200"/>
      <c r="BA43" s="200"/>
    </row>
    <row r="44" spans="1:53" ht="14.5">
      <c r="A44" s="201" t="s">
        <v>229</v>
      </c>
      <c r="B44" s="219" t="s">
        <v>189</v>
      </c>
      <c r="C44" s="224">
        <v>5.0674640000000002</v>
      </c>
      <c r="D44" s="224">
        <v>5.0591470000000003</v>
      </c>
      <c r="E44" s="224">
        <v>5.0228250000000001</v>
      </c>
      <c r="F44" s="224">
        <v>5.0171900000000003</v>
      </c>
      <c r="G44" s="224">
        <v>5.0003479999999998</v>
      </c>
      <c r="H44" s="224">
        <v>4.9850260000000004</v>
      </c>
      <c r="I44" s="224">
        <v>4.9747820000000003</v>
      </c>
      <c r="J44" s="224">
        <v>4.9674639999999997</v>
      </c>
      <c r="K44" s="224">
        <v>4.9611150000000004</v>
      </c>
      <c r="L44" s="224">
        <v>4.9578129999999998</v>
      </c>
      <c r="M44" s="224">
        <v>4.9526690000000002</v>
      </c>
      <c r="N44" s="224">
        <v>4.9479660000000001</v>
      </c>
      <c r="O44" s="224">
        <v>4.9421249999999999</v>
      </c>
      <c r="P44" s="224">
        <v>4.9375249999999999</v>
      </c>
      <c r="Q44" s="224">
        <v>4.9320089999999999</v>
      </c>
      <c r="R44" s="224">
        <v>4.9291029999999996</v>
      </c>
      <c r="S44" s="224">
        <v>4.9277689999999996</v>
      </c>
      <c r="T44" s="224">
        <v>4.9226599999999996</v>
      </c>
      <c r="U44" s="224">
        <v>4.9201430000000004</v>
      </c>
      <c r="V44" s="224">
        <v>4.9166780000000001</v>
      </c>
      <c r="W44" s="224">
        <v>4.9108590000000003</v>
      </c>
      <c r="X44" s="224">
        <v>4.9054799999999998</v>
      </c>
      <c r="Y44" s="224">
        <v>4.9031469999999997</v>
      </c>
      <c r="Z44" s="224">
        <v>4.9015979999999999</v>
      </c>
      <c r="AA44" s="224">
        <v>4.8992639999999996</v>
      </c>
      <c r="AB44" s="224">
        <v>4.896852</v>
      </c>
      <c r="AC44" s="224">
        <v>4.895994</v>
      </c>
      <c r="AD44" s="224">
        <v>4.8937970000000002</v>
      </c>
      <c r="AE44" s="224">
        <v>4.8910229999999997</v>
      </c>
      <c r="AF44" s="221">
        <v>-1.2650000000000001E-3</v>
      </c>
      <c r="AG44" s="200"/>
      <c r="AH44" s="200"/>
      <c r="AI44" s="200"/>
      <c r="AJ44" s="200"/>
      <c r="AK44" s="200"/>
      <c r="AL44" s="200"/>
      <c r="AM44" s="200"/>
      <c r="AN44" s="200"/>
      <c r="AO44" s="200"/>
      <c r="AP44" s="200"/>
      <c r="AQ44" s="200"/>
      <c r="AR44" s="200"/>
      <c r="AS44" s="200"/>
      <c r="AT44" s="200"/>
      <c r="AU44" s="200"/>
      <c r="AV44" s="200"/>
      <c r="AW44" s="200"/>
      <c r="AX44" s="200"/>
      <c r="AY44" s="200"/>
      <c r="AZ44" s="200"/>
      <c r="BA44" s="200"/>
    </row>
    <row r="45" spans="1:53" ht="14.5">
      <c r="A45" s="201" t="s">
        <v>231</v>
      </c>
      <c r="B45" s="219" t="s">
        <v>191</v>
      </c>
      <c r="C45" s="224">
        <v>5.8927449999999997</v>
      </c>
      <c r="D45" s="224">
        <v>5.7899760000000002</v>
      </c>
      <c r="E45" s="224">
        <v>5.7951759999999997</v>
      </c>
      <c r="F45" s="224">
        <v>5.7833329999999998</v>
      </c>
      <c r="G45" s="224">
        <v>5.778988</v>
      </c>
      <c r="H45" s="224">
        <v>5.7994719999999997</v>
      </c>
      <c r="I45" s="224">
        <v>5.8094400000000004</v>
      </c>
      <c r="J45" s="224">
        <v>5.8209179999999998</v>
      </c>
      <c r="K45" s="224">
        <v>5.8264579999999997</v>
      </c>
      <c r="L45" s="224">
        <v>5.8332709999999999</v>
      </c>
      <c r="M45" s="224">
        <v>5.8364739999999999</v>
      </c>
      <c r="N45" s="224">
        <v>5.8459729999999999</v>
      </c>
      <c r="O45" s="224">
        <v>5.848357</v>
      </c>
      <c r="P45" s="224">
        <v>5.8588459999999998</v>
      </c>
      <c r="Q45" s="224">
        <v>5.855556</v>
      </c>
      <c r="R45" s="224">
        <v>5.8578039999999998</v>
      </c>
      <c r="S45" s="224">
        <v>5.858994</v>
      </c>
      <c r="T45" s="224">
        <v>5.8614499999999996</v>
      </c>
      <c r="U45" s="224">
        <v>5.8606189999999998</v>
      </c>
      <c r="V45" s="224">
        <v>5.8597039999999998</v>
      </c>
      <c r="W45" s="224">
        <v>5.8580019999999999</v>
      </c>
      <c r="X45" s="224">
        <v>5.856611</v>
      </c>
      <c r="Y45" s="224">
        <v>5.8545439999999997</v>
      </c>
      <c r="Z45" s="224">
        <v>5.8540340000000004</v>
      </c>
      <c r="AA45" s="224">
        <v>5.8469509999999998</v>
      </c>
      <c r="AB45" s="224">
        <v>5.8447509999999996</v>
      </c>
      <c r="AC45" s="224">
        <v>5.8390459999999997</v>
      </c>
      <c r="AD45" s="224">
        <v>5.8365780000000003</v>
      </c>
      <c r="AE45" s="224">
        <v>5.8334640000000002</v>
      </c>
      <c r="AF45" s="221">
        <v>-3.6099999999999999E-4</v>
      </c>
      <c r="AG45" s="200"/>
      <c r="AH45" s="200"/>
      <c r="AI45" s="200"/>
      <c r="AJ45" s="200"/>
      <c r="AK45" s="200"/>
      <c r="AL45" s="200"/>
      <c r="AM45" s="200"/>
      <c r="AN45" s="200"/>
      <c r="AO45" s="200"/>
      <c r="AP45" s="200"/>
      <c r="AQ45" s="200"/>
      <c r="AR45" s="200"/>
      <c r="AS45" s="200"/>
      <c r="AT45" s="200"/>
      <c r="AU45" s="200"/>
      <c r="AV45" s="200"/>
      <c r="AW45" s="200"/>
      <c r="AX45" s="200"/>
      <c r="AY45" s="200"/>
      <c r="AZ45" s="200"/>
      <c r="BA45" s="200"/>
    </row>
    <row r="46" spans="1:53" ht="14.5">
      <c r="A46" s="201" t="s">
        <v>233</v>
      </c>
      <c r="B46" s="219" t="s">
        <v>193</v>
      </c>
      <c r="C46" s="224">
        <v>5.0452859999999999</v>
      </c>
      <c r="D46" s="224">
        <v>5.1030439999999997</v>
      </c>
      <c r="E46" s="224">
        <v>5.0647929999999999</v>
      </c>
      <c r="F46" s="224">
        <v>5.0659340000000004</v>
      </c>
      <c r="G46" s="224">
        <v>5.0950769999999999</v>
      </c>
      <c r="H46" s="224">
        <v>5.1758240000000004</v>
      </c>
      <c r="I46" s="224">
        <v>5.2263799999999998</v>
      </c>
      <c r="J46" s="224">
        <v>5.2632329999999996</v>
      </c>
      <c r="K46" s="224">
        <v>5.2736970000000003</v>
      </c>
      <c r="L46" s="224">
        <v>5.2972070000000002</v>
      </c>
      <c r="M46" s="224">
        <v>5.2950119999999998</v>
      </c>
      <c r="N46" s="224">
        <v>5.2941830000000003</v>
      </c>
      <c r="O46" s="224">
        <v>5.2844410000000002</v>
      </c>
      <c r="P46" s="224">
        <v>5.2890100000000002</v>
      </c>
      <c r="Q46" s="224">
        <v>5.2747729999999997</v>
      </c>
      <c r="R46" s="224">
        <v>5.276637</v>
      </c>
      <c r="S46" s="224">
        <v>5.2793460000000003</v>
      </c>
      <c r="T46" s="224">
        <v>5.27027</v>
      </c>
      <c r="U46" s="224">
        <v>5.2766000000000002</v>
      </c>
      <c r="V46" s="224">
        <v>5.2763980000000004</v>
      </c>
      <c r="W46" s="224">
        <v>5.2635959999999997</v>
      </c>
      <c r="X46" s="224">
        <v>5.2571779999999997</v>
      </c>
      <c r="Y46" s="224">
        <v>5.2545260000000003</v>
      </c>
      <c r="Z46" s="224">
        <v>5.2526799999999998</v>
      </c>
      <c r="AA46" s="224">
        <v>5.2501319999999998</v>
      </c>
      <c r="AB46" s="224">
        <v>5.2491159999999999</v>
      </c>
      <c r="AC46" s="224">
        <v>5.2505110000000004</v>
      </c>
      <c r="AD46" s="224">
        <v>5.2516730000000003</v>
      </c>
      <c r="AE46" s="224">
        <v>5.2525630000000003</v>
      </c>
      <c r="AF46" s="221">
        <v>1.439E-3</v>
      </c>
      <c r="AG46" s="200"/>
      <c r="AH46" s="200"/>
      <c r="AI46" s="200"/>
      <c r="AJ46" s="200"/>
      <c r="AK46" s="200"/>
      <c r="AL46" s="200"/>
      <c r="AM46" s="200"/>
      <c r="AN46" s="200"/>
      <c r="AO46" s="200"/>
      <c r="AP46" s="200"/>
      <c r="AQ46" s="200"/>
      <c r="AR46" s="200"/>
      <c r="AS46" s="200"/>
      <c r="AT46" s="200"/>
      <c r="AU46" s="200"/>
      <c r="AV46" s="200"/>
      <c r="AW46" s="200"/>
      <c r="AX46" s="200"/>
      <c r="AY46" s="200"/>
      <c r="AZ46" s="200"/>
      <c r="BA46" s="200"/>
    </row>
    <row r="47" spans="1:53" ht="14.5">
      <c r="A47" s="201" t="s">
        <v>234</v>
      </c>
      <c r="B47" s="218" t="s">
        <v>194</v>
      </c>
      <c r="C47" s="200"/>
      <c r="D47" s="200"/>
      <c r="E47" s="200"/>
      <c r="F47" s="200"/>
      <c r="G47" s="200"/>
      <c r="H47" s="200"/>
      <c r="I47" s="200"/>
      <c r="J47" s="200"/>
      <c r="K47" s="200"/>
      <c r="L47" s="200"/>
      <c r="M47" s="200"/>
      <c r="N47" s="200"/>
      <c r="O47" s="200"/>
      <c r="P47" s="200"/>
      <c r="Q47" s="200"/>
      <c r="R47" s="200"/>
      <c r="S47" s="200"/>
      <c r="T47" s="200"/>
      <c r="U47" s="200"/>
      <c r="V47" s="200"/>
      <c r="W47" s="200"/>
      <c r="X47" s="200"/>
      <c r="Y47" s="200"/>
      <c r="Z47" s="200"/>
      <c r="AA47" s="200"/>
      <c r="AB47" s="200"/>
      <c r="AC47" s="200"/>
      <c r="AD47" s="200"/>
      <c r="AE47" s="200"/>
      <c r="AF47" s="200"/>
      <c r="AG47" s="200"/>
      <c r="AH47" s="200"/>
      <c r="AI47" s="200"/>
      <c r="AJ47" s="200"/>
      <c r="AK47" s="200"/>
      <c r="AL47" s="200"/>
      <c r="AM47" s="200"/>
      <c r="AN47" s="200"/>
      <c r="AO47" s="200"/>
      <c r="AP47" s="200"/>
      <c r="AQ47" s="200"/>
      <c r="AR47" s="200"/>
      <c r="AS47" s="200"/>
      <c r="AT47" s="200"/>
      <c r="AU47" s="200"/>
      <c r="AV47" s="200"/>
      <c r="AW47" s="200"/>
      <c r="AX47" s="200"/>
      <c r="AY47" s="200"/>
      <c r="AZ47" s="200"/>
      <c r="BA47" s="200"/>
    </row>
    <row r="48" spans="1:53" ht="14.5">
      <c r="A48" s="201" t="s">
        <v>235</v>
      </c>
      <c r="B48" s="219" t="s">
        <v>196</v>
      </c>
      <c r="C48" s="224">
        <v>5.6948990000000004</v>
      </c>
      <c r="D48" s="224">
        <v>5.6877190000000004</v>
      </c>
      <c r="E48" s="224">
        <v>5.6846410000000001</v>
      </c>
      <c r="F48" s="224">
        <v>5.6858890000000004</v>
      </c>
      <c r="G48" s="224">
        <v>5.6853109999999996</v>
      </c>
      <c r="H48" s="224">
        <v>5.6856270000000002</v>
      </c>
      <c r="I48" s="224">
        <v>5.6911149999999999</v>
      </c>
      <c r="J48" s="224">
        <v>5.6918160000000002</v>
      </c>
      <c r="K48" s="224">
        <v>5.6920570000000001</v>
      </c>
      <c r="L48" s="224">
        <v>5.6911259999999997</v>
      </c>
      <c r="M48" s="224">
        <v>5.6898340000000003</v>
      </c>
      <c r="N48" s="224">
        <v>5.6889719999999997</v>
      </c>
      <c r="O48" s="224">
        <v>5.6877810000000002</v>
      </c>
      <c r="P48" s="224">
        <v>5.6863159999999997</v>
      </c>
      <c r="Q48" s="224">
        <v>5.6842800000000002</v>
      </c>
      <c r="R48" s="224">
        <v>5.6826759999999998</v>
      </c>
      <c r="S48" s="224">
        <v>5.6804309999999996</v>
      </c>
      <c r="T48" s="224">
        <v>5.6789680000000002</v>
      </c>
      <c r="U48" s="224">
        <v>5.6764890000000001</v>
      </c>
      <c r="V48" s="224">
        <v>5.6727150000000002</v>
      </c>
      <c r="W48" s="224">
        <v>5.6709899999999998</v>
      </c>
      <c r="X48" s="224">
        <v>5.6708759999999998</v>
      </c>
      <c r="Y48" s="224">
        <v>5.6713120000000004</v>
      </c>
      <c r="Z48" s="224">
        <v>5.6707489999999998</v>
      </c>
      <c r="AA48" s="224">
        <v>5.6692479999999996</v>
      </c>
      <c r="AB48" s="224">
        <v>5.6653739999999999</v>
      </c>
      <c r="AC48" s="224">
        <v>5.6687510000000003</v>
      </c>
      <c r="AD48" s="224">
        <v>5.6699580000000003</v>
      </c>
      <c r="AE48" s="224">
        <v>5.6687200000000004</v>
      </c>
      <c r="AF48" s="221">
        <v>-1.65E-4</v>
      </c>
      <c r="AG48" s="200"/>
      <c r="AH48" s="200"/>
      <c r="AI48" s="200"/>
      <c r="AJ48" s="200"/>
      <c r="AK48" s="200"/>
      <c r="AL48" s="200"/>
      <c r="AM48" s="200"/>
      <c r="AN48" s="200"/>
      <c r="AO48" s="200"/>
      <c r="AP48" s="200"/>
      <c r="AQ48" s="200"/>
      <c r="AR48" s="200"/>
      <c r="AS48" s="200"/>
      <c r="AT48" s="200"/>
      <c r="AU48" s="200"/>
      <c r="AV48" s="200"/>
      <c r="AW48" s="200"/>
      <c r="AX48" s="200"/>
      <c r="AY48" s="200"/>
      <c r="AZ48" s="200"/>
      <c r="BA48" s="200"/>
    </row>
    <row r="49" spans="1:53" ht="14.5">
      <c r="A49" s="201" t="s">
        <v>237</v>
      </c>
      <c r="B49" s="219" t="s">
        <v>198</v>
      </c>
      <c r="C49" s="224">
        <v>6.037077</v>
      </c>
      <c r="D49" s="224">
        <v>5.9970509999999999</v>
      </c>
      <c r="E49" s="224">
        <v>6.0355489999999996</v>
      </c>
      <c r="F49" s="224">
        <v>6.0402279999999999</v>
      </c>
      <c r="G49" s="224">
        <v>6.0577889999999996</v>
      </c>
      <c r="H49" s="224">
        <v>6.0494770000000004</v>
      </c>
      <c r="I49" s="224">
        <v>6.0610679999999997</v>
      </c>
      <c r="J49" s="224">
        <v>6.0603530000000001</v>
      </c>
      <c r="K49" s="224">
        <v>6.0616399999999997</v>
      </c>
      <c r="L49" s="224">
        <v>6.070837</v>
      </c>
      <c r="M49" s="224">
        <v>6.0799519999999996</v>
      </c>
      <c r="N49" s="224">
        <v>6.0781080000000003</v>
      </c>
      <c r="O49" s="224">
        <v>6.0890230000000001</v>
      </c>
      <c r="P49" s="224">
        <v>6.0897579999999998</v>
      </c>
      <c r="Q49" s="224">
        <v>6.0896980000000003</v>
      </c>
      <c r="R49" s="224">
        <v>6.0990609999999998</v>
      </c>
      <c r="S49" s="224">
        <v>6.098973</v>
      </c>
      <c r="T49" s="224">
        <v>6.0996079999999999</v>
      </c>
      <c r="U49" s="224">
        <v>6.101254</v>
      </c>
      <c r="V49" s="224">
        <v>6.0983270000000003</v>
      </c>
      <c r="W49" s="224">
        <v>6.0973819999999996</v>
      </c>
      <c r="X49" s="224">
        <v>6.1017659999999996</v>
      </c>
      <c r="Y49" s="224">
        <v>6.1045309999999997</v>
      </c>
      <c r="Z49" s="224">
        <v>6.1059720000000004</v>
      </c>
      <c r="AA49" s="224">
        <v>6.1007020000000001</v>
      </c>
      <c r="AB49" s="224">
        <v>6.1004480000000001</v>
      </c>
      <c r="AC49" s="224">
        <v>6.09999</v>
      </c>
      <c r="AD49" s="224">
        <v>6.1005159999999998</v>
      </c>
      <c r="AE49" s="224">
        <v>6.1003499999999997</v>
      </c>
      <c r="AF49" s="221">
        <v>3.7199999999999999E-4</v>
      </c>
      <c r="AG49" s="200"/>
      <c r="AH49" s="200"/>
      <c r="AI49" s="200"/>
      <c r="AJ49" s="200"/>
      <c r="AK49" s="200"/>
      <c r="AL49" s="200"/>
      <c r="AM49" s="200"/>
      <c r="AN49" s="200"/>
      <c r="AO49" s="200"/>
      <c r="AP49" s="200"/>
      <c r="AQ49" s="200"/>
      <c r="AR49" s="200"/>
      <c r="AS49" s="200"/>
      <c r="AT49" s="200"/>
      <c r="AU49" s="200"/>
      <c r="AV49" s="200"/>
      <c r="AW49" s="200"/>
      <c r="AX49" s="200"/>
      <c r="AY49" s="200"/>
      <c r="AZ49" s="200"/>
      <c r="BA49" s="200"/>
    </row>
    <row r="50" spans="1:53" ht="15" customHeight="1">
      <c r="A50" s="199"/>
      <c r="B50" s="219" t="s">
        <v>200</v>
      </c>
      <c r="C50" s="224">
        <v>5.5726060000000004</v>
      </c>
      <c r="D50" s="224">
        <v>5.5974430000000002</v>
      </c>
      <c r="E50" s="224">
        <v>5.5954059999999997</v>
      </c>
      <c r="F50" s="224">
        <v>5.5953169999999997</v>
      </c>
      <c r="G50" s="224">
        <v>5.5952440000000001</v>
      </c>
      <c r="H50" s="224">
        <v>5.5950730000000002</v>
      </c>
      <c r="I50" s="224">
        <v>5.5949450000000001</v>
      </c>
      <c r="J50" s="224">
        <v>5.5948209999999996</v>
      </c>
      <c r="K50" s="224">
        <v>5.5946709999999999</v>
      </c>
      <c r="L50" s="224">
        <v>5.5945970000000003</v>
      </c>
      <c r="M50" s="224">
        <v>5.5945309999999999</v>
      </c>
      <c r="N50" s="224">
        <v>5.5944700000000003</v>
      </c>
      <c r="O50" s="224">
        <v>5.594379</v>
      </c>
      <c r="P50" s="224">
        <v>5.5942720000000001</v>
      </c>
      <c r="Q50" s="224">
        <v>5.59422</v>
      </c>
      <c r="R50" s="224">
        <v>5.5941409999999996</v>
      </c>
      <c r="S50" s="224">
        <v>5.5940859999999999</v>
      </c>
      <c r="T50" s="224">
        <v>5.5939909999999999</v>
      </c>
      <c r="U50" s="224">
        <v>5.5939639999999997</v>
      </c>
      <c r="V50" s="224">
        <v>5.593852</v>
      </c>
      <c r="W50" s="224">
        <v>5.5937570000000001</v>
      </c>
      <c r="X50" s="224">
        <v>5.5936409999999999</v>
      </c>
      <c r="Y50" s="224">
        <v>5.5935579999999998</v>
      </c>
      <c r="Z50" s="224">
        <v>5.5934499999999998</v>
      </c>
      <c r="AA50" s="224">
        <v>5.5934369999999998</v>
      </c>
      <c r="AB50" s="224">
        <v>5.5933469999999996</v>
      </c>
      <c r="AC50" s="224">
        <v>5.5945410000000004</v>
      </c>
      <c r="AD50" s="224">
        <v>5.5939819999999996</v>
      </c>
      <c r="AE50" s="224">
        <v>5.5930359999999997</v>
      </c>
      <c r="AF50" s="221">
        <v>1.3100000000000001E-4</v>
      </c>
      <c r="AG50" s="200"/>
      <c r="AH50" s="200"/>
      <c r="AI50" s="200"/>
      <c r="AJ50" s="200"/>
      <c r="AK50" s="200"/>
      <c r="AL50" s="200"/>
      <c r="AM50" s="200"/>
      <c r="AN50" s="200"/>
      <c r="AO50" s="200"/>
      <c r="AP50" s="200"/>
      <c r="AQ50" s="200"/>
      <c r="AR50" s="200"/>
      <c r="AS50" s="200"/>
      <c r="AT50" s="200"/>
      <c r="AU50" s="200"/>
      <c r="AV50" s="200"/>
      <c r="AW50" s="200"/>
      <c r="AX50" s="200"/>
      <c r="AY50" s="200"/>
      <c r="AZ50" s="200"/>
      <c r="BA50" s="200"/>
    </row>
    <row r="51" spans="1:53" ht="15" customHeight="1">
      <c r="A51" s="199"/>
      <c r="B51" s="219" t="s">
        <v>202</v>
      </c>
      <c r="C51" s="224">
        <v>3.5650970000000002</v>
      </c>
      <c r="D51" s="224">
        <v>3.5545019999999998</v>
      </c>
      <c r="E51" s="224">
        <v>3.5491320000000002</v>
      </c>
      <c r="F51" s="224">
        <v>3.5417900000000002</v>
      </c>
      <c r="G51" s="224">
        <v>3.5397370000000001</v>
      </c>
      <c r="H51" s="224">
        <v>3.5402360000000002</v>
      </c>
      <c r="I51" s="224">
        <v>3.541674</v>
      </c>
      <c r="J51" s="224">
        <v>3.5420600000000002</v>
      </c>
      <c r="K51" s="224">
        <v>3.5418940000000001</v>
      </c>
      <c r="L51" s="224">
        <v>3.5411049999999999</v>
      </c>
      <c r="M51" s="224">
        <v>3.5407579999999998</v>
      </c>
      <c r="N51" s="224">
        <v>3.540197</v>
      </c>
      <c r="O51" s="224">
        <v>3.5389210000000002</v>
      </c>
      <c r="P51" s="224">
        <v>3.5374219999999998</v>
      </c>
      <c r="Q51" s="224">
        <v>3.5376159999999999</v>
      </c>
      <c r="R51" s="224">
        <v>3.5382470000000001</v>
      </c>
      <c r="S51" s="224">
        <v>3.5379139999999998</v>
      </c>
      <c r="T51" s="224">
        <v>3.5375230000000002</v>
      </c>
      <c r="U51" s="224">
        <v>3.5342799999999999</v>
      </c>
      <c r="V51" s="224">
        <v>3.5322290000000001</v>
      </c>
      <c r="W51" s="224">
        <v>3.5295700000000001</v>
      </c>
      <c r="X51" s="224">
        <v>3.5280019999999999</v>
      </c>
      <c r="Y51" s="224">
        <v>3.528308</v>
      </c>
      <c r="Z51" s="224">
        <v>3.5286379999999999</v>
      </c>
      <c r="AA51" s="224">
        <v>3.5291399999999999</v>
      </c>
      <c r="AB51" s="224">
        <v>3.5295570000000001</v>
      </c>
      <c r="AC51" s="224">
        <v>3.5307490000000001</v>
      </c>
      <c r="AD51" s="224">
        <v>3.531657</v>
      </c>
      <c r="AE51" s="224">
        <v>3.5311599999999999</v>
      </c>
      <c r="AF51" s="221">
        <v>-3.4200000000000002E-4</v>
      </c>
      <c r="AG51" s="200"/>
      <c r="AH51" s="200"/>
      <c r="AI51" s="200"/>
      <c r="AJ51" s="200"/>
      <c r="AK51" s="200"/>
      <c r="AL51" s="200"/>
      <c r="AM51" s="200"/>
      <c r="AN51" s="200"/>
      <c r="AO51" s="200"/>
      <c r="AP51" s="200"/>
      <c r="AQ51" s="200"/>
      <c r="AR51" s="200"/>
      <c r="AS51" s="200"/>
      <c r="AT51" s="200"/>
      <c r="AU51" s="200"/>
      <c r="AV51" s="200"/>
      <c r="AW51" s="200"/>
      <c r="AX51" s="200"/>
      <c r="AY51" s="200"/>
      <c r="AZ51" s="200"/>
      <c r="BA51" s="200"/>
    </row>
    <row r="52" spans="1:53" ht="15" customHeight="1">
      <c r="A52" s="199"/>
      <c r="B52" s="200"/>
      <c r="C52" s="200"/>
      <c r="D52" s="200"/>
      <c r="E52" s="200"/>
      <c r="F52" s="200"/>
      <c r="G52" s="200"/>
      <c r="H52" s="200"/>
      <c r="I52" s="200"/>
      <c r="J52" s="200"/>
      <c r="K52" s="200"/>
      <c r="L52" s="200"/>
      <c r="M52" s="200"/>
      <c r="N52" s="200"/>
      <c r="O52" s="200"/>
      <c r="P52" s="200"/>
      <c r="Q52" s="200"/>
      <c r="R52" s="200"/>
      <c r="S52" s="200"/>
      <c r="T52" s="200"/>
      <c r="U52" s="200"/>
      <c r="V52" s="200"/>
      <c r="W52" s="200"/>
      <c r="X52" s="200"/>
      <c r="Y52" s="200"/>
      <c r="Z52" s="200"/>
      <c r="AA52" s="200"/>
      <c r="AB52" s="200"/>
      <c r="AC52" s="200"/>
      <c r="AD52" s="200"/>
      <c r="AE52" s="200"/>
      <c r="AF52" s="200"/>
      <c r="AG52" s="200"/>
      <c r="AH52" s="200"/>
      <c r="AI52" s="200"/>
      <c r="AJ52" s="200"/>
      <c r="AK52" s="200"/>
      <c r="AL52" s="200"/>
      <c r="AM52" s="200"/>
      <c r="AN52" s="200"/>
      <c r="AO52" s="200"/>
      <c r="AP52" s="200"/>
      <c r="AQ52" s="200"/>
      <c r="AR52" s="200"/>
      <c r="AS52" s="200"/>
      <c r="AT52" s="200"/>
      <c r="AU52" s="200"/>
      <c r="AV52" s="200"/>
      <c r="AW52" s="200"/>
      <c r="AX52" s="200"/>
      <c r="AY52" s="200"/>
      <c r="AZ52" s="200"/>
      <c r="BA52" s="200"/>
    </row>
    <row r="53" spans="1:53" ht="15" customHeight="1">
      <c r="A53" s="201" t="s">
        <v>239</v>
      </c>
      <c r="B53" s="218" t="s">
        <v>203</v>
      </c>
      <c r="C53" s="200"/>
      <c r="D53" s="200"/>
      <c r="E53" s="200"/>
      <c r="F53" s="200"/>
      <c r="G53" s="200"/>
      <c r="H53" s="200"/>
      <c r="I53" s="200"/>
      <c r="J53" s="200"/>
      <c r="K53" s="200"/>
      <c r="L53" s="200"/>
      <c r="M53" s="200"/>
      <c r="N53" s="200"/>
      <c r="O53" s="200"/>
      <c r="P53" s="200"/>
      <c r="Q53" s="200"/>
      <c r="R53" s="200"/>
      <c r="S53" s="200"/>
      <c r="T53" s="200"/>
      <c r="U53" s="200"/>
      <c r="V53" s="200"/>
      <c r="W53" s="200"/>
      <c r="X53" s="200"/>
      <c r="Y53" s="200"/>
      <c r="Z53" s="200"/>
      <c r="AA53" s="200"/>
      <c r="AB53" s="200"/>
      <c r="AC53" s="200"/>
      <c r="AD53" s="200"/>
      <c r="AE53" s="200"/>
      <c r="AF53" s="200"/>
      <c r="AG53" s="200"/>
      <c r="AH53" s="200"/>
      <c r="AI53" s="200"/>
      <c r="AJ53" s="200"/>
      <c r="AK53" s="200"/>
      <c r="AL53" s="200"/>
      <c r="AM53" s="200"/>
      <c r="AN53" s="200"/>
      <c r="AO53" s="200"/>
      <c r="AP53" s="200"/>
      <c r="AQ53" s="200"/>
      <c r="AR53" s="200"/>
      <c r="AS53" s="200"/>
      <c r="AT53" s="200"/>
      <c r="AU53" s="200"/>
      <c r="AV53" s="200"/>
      <c r="AW53" s="200"/>
      <c r="AX53" s="200"/>
      <c r="AY53" s="200"/>
      <c r="AZ53" s="200"/>
      <c r="BA53" s="200"/>
    </row>
    <row r="54" spans="1:53" ht="15" customHeight="1">
      <c r="A54" s="201" t="s">
        <v>472</v>
      </c>
      <c r="B54" s="219" t="s">
        <v>205</v>
      </c>
      <c r="C54" s="224">
        <v>1.0369999999999999</v>
      </c>
      <c r="D54" s="224">
        <v>1.0369999999999999</v>
      </c>
      <c r="E54" s="224">
        <v>1.0369999999999999</v>
      </c>
      <c r="F54" s="224">
        <v>1.0369999999999999</v>
      </c>
      <c r="G54" s="224">
        <v>1.0369999999999999</v>
      </c>
      <c r="H54" s="224">
        <v>1.0369999999999999</v>
      </c>
      <c r="I54" s="224">
        <v>1.0369999999999999</v>
      </c>
      <c r="J54" s="224">
        <v>1.0369999999999999</v>
      </c>
      <c r="K54" s="224">
        <v>1.0369999999999999</v>
      </c>
      <c r="L54" s="224">
        <v>1.0369999999999999</v>
      </c>
      <c r="M54" s="224">
        <v>1.0369999999999999</v>
      </c>
      <c r="N54" s="224">
        <v>1.0369999999999999</v>
      </c>
      <c r="O54" s="224">
        <v>1.0369999999999999</v>
      </c>
      <c r="P54" s="224">
        <v>1.0369999999999999</v>
      </c>
      <c r="Q54" s="224">
        <v>1.0369999999999999</v>
      </c>
      <c r="R54" s="224">
        <v>1.0369999999999999</v>
      </c>
      <c r="S54" s="224">
        <v>1.0369999999999999</v>
      </c>
      <c r="T54" s="224">
        <v>1.0369999999999999</v>
      </c>
      <c r="U54" s="224">
        <v>1.0369999999999999</v>
      </c>
      <c r="V54" s="224">
        <v>1.0369999999999999</v>
      </c>
      <c r="W54" s="224">
        <v>1.0369999999999999</v>
      </c>
      <c r="X54" s="224">
        <v>1.0369999999999999</v>
      </c>
      <c r="Y54" s="224">
        <v>1.0369999999999999</v>
      </c>
      <c r="Z54" s="224">
        <v>1.0369999999999999</v>
      </c>
      <c r="AA54" s="224">
        <v>1.0369999999999999</v>
      </c>
      <c r="AB54" s="224">
        <v>1.0369999999999999</v>
      </c>
      <c r="AC54" s="224">
        <v>1.0369999999999999</v>
      </c>
      <c r="AD54" s="224">
        <v>1.0369999999999999</v>
      </c>
      <c r="AE54" s="224">
        <v>1.0369999999999999</v>
      </c>
      <c r="AF54" s="221">
        <v>0</v>
      </c>
      <c r="AG54" s="200"/>
      <c r="AH54" s="200"/>
      <c r="AI54" s="200"/>
      <c r="AJ54" s="200"/>
      <c r="AK54" s="200"/>
      <c r="AL54" s="200"/>
      <c r="AM54" s="200"/>
      <c r="AN54" s="200"/>
      <c r="AO54" s="200"/>
      <c r="AP54" s="200"/>
      <c r="AQ54" s="200"/>
      <c r="AR54" s="200"/>
      <c r="AS54" s="200"/>
      <c r="AT54" s="200"/>
      <c r="AU54" s="200"/>
      <c r="AV54" s="200"/>
      <c r="AW54" s="200"/>
      <c r="AX54" s="200"/>
      <c r="AY54" s="200"/>
      <c r="AZ54" s="200"/>
      <c r="BA54" s="200"/>
    </row>
    <row r="55" spans="1:53" ht="15" customHeight="1">
      <c r="A55" s="199"/>
      <c r="B55" s="219" t="s">
        <v>207</v>
      </c>
      <c r="C55" s="224">
        <v>1.034</v>
      </c>
      <c r="D55" s="224">
        <v>1.034</v>
      </c>
      <c r="E55" s="224">
        <v>1.034</v>
      </c>
      <c r="F55" s="224">
        <v>1.034</v>
      </c>
      <c r="G55" s="224">
        <v>1.034</v>
      </c>
      <c r="H55" s="224">
        <v>1.034</v>
      </c>
      <c r="I55" s="224">
        <v>1.034</v>
      </c>
      <c r="J55" s="224">
        <v>1.034</v>
      </c>
      <c r="K55" s="224">
        <v>1.034</v>
      </c>
      <c r="L55" s="224">
        <v>1.034</v>
      </c>
      <c r="M55" s="224">
        <v>1.034</v>
      </c>
      <c r="N55" s="224">
        <v>1.034</v>
      </c>
      <c r="O55" s="224">
        <v>1.034</v>
      </c>
      <c r="P55" s="224">
        <v>1.034</v>
      </c>
      <c r="Q55" s="224">
        <v>1.034</v>
      </c>
      <c r="R55" s="224">
        <v>1.034</v>
      </c>
      <c r="S55" s="224">
        <v>1.034</v>
      </c>
      <c r="T55" s="224">
        <v>1.034</v>
      </c>
      <c r="U55" s="224">
        <v>1.034</v>
      </c>
      <c r="V55" s="224">
        <v>1.034</v>
      </c>
      <c r="W55" s="224">
        <v>1.034</v>
      </c>
      <c r="X55" s="224">
        <v>1.034</v>
      </c>
      <c r="Y55" s="224">
        <v>1.034</v>
      </c>
      <c r="Z55" s="224">
        <v>1.034</v>
      </c>
      <c r="AA55" s="224">
        <v>1.034</v>
      </c>
      <c r="AB55" s="224">
        <v>1.034</v>
      </c>
      <c r="AC55" s="224">
        <v>1.034</v>
      </c>
      <c r="AD55" s="224">
        <v>1.034</v>
      </c>
      <c r="AE55" s="224">
        <v>1.034</v>
      </c>
      <c r="AF55" s="221">
        <v>0</v>
      </c>
      <c r="AG55" s="200"/>
      <c r="AH55" s="200"/>
      <c r="AI55" s="200"/>
      <c r="AJ55" s="200"/>
      <c r="AK55" s="200"/>
      <c r="AL55" s="200"/>
      <c r="AM55" s="200"/>
      <c r="AN55" s="200"/>
      <c r="AO55" s="200"/>
      <c r="AP55" s="200"/>
      <c r="AQ55" s="200"/>
      <c r="AR55" s="200"/>
      <c r="AS55" s="200"/>
      <c r="AT55" s="200"/>
      <c r="AU55" s="200"/>
      <c r="AV55" s="200"/>
      <c r="AW55" s="200"/>
      <c r="AX55" s="200"/>
      <c r="AY55" s="200"/>
      <c r="AZ55" s="200"/>
      <c r="BA55" s="200"/>
    </row>
    <row r="56" spans="1:53" ht="15" customHeight="1">
      <c r="A56" s="199"/>
      <c r="B56" s="219" t="s">
        <v>209</v>
      </c>
      <c r="C56" s="224">
        <v>1.0389999999999999</v>
      </c>
      <c r="D56" s="224">
        <v>1.0389999999999999</v>
      </c>
      <c r="E56" s="224">
        <v>1.0389999999999999</v>
      </c>
      <c r="F56" s="224">
        <v>1.0389999999999999</v>
      </c>
      <c r="G56" s="224">
        <v>1.0389999999999999</v>
      </c>
      <c r="H56" s="224">
        <v>1.0389999999999999</v>
      </c>
      <c r="I56" s="224">
        <v>1.0389999999999999</v>
      </c>
      <c r="J56" s="224">
        <v>1.0389999999999999</v>
      </c>
      <c r="K56" s="224">
        <v>1.0389999999999999</v>
      </c>
      <c r="L56" s="224">
        <v>1.0389999999999999</v>
      </c>
      <c r="M56" s="224">
        <v>1.0389999999999999</v>
      </c>
      <c r="N56" s="224">
        <v>1.0389999999999999</v>
      </c>
      <c r="O56" s="224">
        <v>1.0389999999999999</v>
      </c>
      <c r="P56" s="224">
        <v>1.0389999999999999</v>
      </c>
      <c r="Q56" s="224">
        <v>1.0389999999999999</v>
      </c>
      <c r="R56" s="224">
        <v>1.0389999999999999</v>
      </c>
      <c r="S56" s="224">
        <v>1.0389999999999999</v>
      </c>
      <c r="T56" s="224">
        <v>1.0389999999999999</v>
      </c>
      <c r="U56" s="224">
        <v>1.0389999999999999</v>
      </c>
      <c r="V56" s="224">
        <v>1.0389999999999999</v>
      </c>
      <c r="W56" s="224">
        <v>1.0389999999999999</v>
      </c>
      <c r="X56" s="224">
        <v>1.0389999999999999</v>
      </c>
      <c r="Y56" s="224">
        <v>1.0389999999999999</v>
      </c>
      <c r="Z56" s="224">
        <v>1.0389999999999999</v>
      </c>
      <c r="AA56" s="224">
        <v>1.0389999999999999</v>
      </c>
      <c r="AB56" s="224">
        <v>1.0389999999999999</v>
      </c>
      <c r="AC56" s="224">
        <v>1.0389999999999999</v>
      </c>
      <c r="AD56" s="224">
        <v>1.0389999999999999</v>
      </c>
      <c r="AE56" s="224">
        <v>1.0389999999999999</v>
      </c>
      <c r="AF56" s="221">
        <v>0</v>
      </c>
      <c r="AG56" s="200"/>
      <c r="AH56" s="200"/>
      <c r="AI56" s="200"/>
      <c r="AJ56" s="200"/>
      <c r="AK56" s="200"/>
      <c r="AL56" s="200"/>
      <c r="AM56" s="200"/>
      <c r="AN56" s="200"/>
      <c r="AO56" s="200"/>
      <c r="AP56" s="200"/>
      <c r="AQ56" s="200"/>
      <c r="AR56" s="200"/>
      <c r="AS56" s="200"/>
      <c r="AT56" s="200"/>
      <c r="AU56" s="200"/>
      <c r="AV56" s="200"/>
      <c r="AW56" s="200"/>
      <c r="AX56" s="200"/>
      <c r="AY56" s="200"/>
      <c r="AZ56" s="200"/>
      <c r="BA56" s="200"/>
    </row>
    <row r="57" spans="1:53" ht="15" customHeight="1">
      <c r="A57" s="199"/>
      <c r="B57" s="219" t="s">
        <v>211</v>
      </c>
      <c r="C57" s="224">
        <v>1.0369999999999999</v>
      </c>
      <c r="D57" s="224">
        <v>1.0369999999999999</v>
      </c>
      <c r="E57" s="224">
        <v>1.0369999999999999</v>
      </c>
      <c r="F57" s="224">
        <v>1.0369999999999999</v>
      </c>
      <c r="G57" s="224">
        <v>1.0369999999999999</v>
      </c>
      <c r="H57" s="224">
        <v>1.0369999999999999</v>
      </c>
      <c r="I57" s="224">
        <v>1.0369999999999999</v>
      </c>
      <c r="J57" s="224">
        <v>1.0369999999999999</v>
      </c>
      <c r="K57" s="224">
        <v>1.0369999999999999</v>
      </c>
      <c r="L57" s="224">
        <v>1.0369999999999999</v>
      </c>
      <c r="M57" s="224">
        <v>1.0369999999999999</v>
      </c>
      <c r="N57" s="224">
        <v>1.0369999999999999</v>
      </c>
      <c r="O57" s="224">
        <v>1.0369999999999999</v>
      </c>
      <c r="P57" s="224">
        <v>1.0369999999999999</v>
      </c>
      <c r="Q57" s="224">
        <v>1.0369999999999999</v>
      </c>
      <c r="R57" s="224">
        <v>1.0369999999999999</v>
      </c>
      <c r="S57" s="224">
        <v>1.0369999999999999</v>
      </c>
      <c r="T57" s="224">
        <v>1.0369999999999999</v>
      </c>
      <c r="U57" s="224">
        <v>1.0369999999999999</v>
      </c>
      <c r="V57" s="224">
        <v>1.0369999999999999</v>
      </c>
      <c r="W57" s="224">
        <v>1.0369999999999999</v>
      </c>
      <c r="X57" s="224">
        <v>1.0369999999999999</v>
      </c>
      <c r="Y57" s="224">
        <v>1.0369999999999999</v>
      </c>
      <c r="Z57" s="224">
        <v>1.0369999999999999</v>
      </c>
      <c r="AA57" s="224">
        <v>1.0369999999999999</v>
      </c>
      <c r="AB57" s="224">
        <v>1.0369999999999999</v>
      </c>
      <c r="AC57" s="224">
        <v>1.0369999999999999</v>
      </c>
      <c r="AD57" s="224">
        <v>1.0369999999999999</v>
      </c>
      <c r="AE57" s="224">
        <v>1.0369999999999999</v>
      </c>
      <c r="AF57" s="221">
        <v>0</v>
      </c>
      <c r="AG57" s="200"/>
      <c r="AH57" s="200"/>
      <c r="AI57" s="200"/>
      <c r="AJ57" s="200"/>
      <c r="AK57" s="200"/>
      <c r="AL57" s="200"/>
      <c r="AM57" s="200"/>
      <c r="AN57" s="200"/>
      <c r="AO57" s="200"/>
      <c r="AP57" s="200"/>
      <c r="AQ57" s="200"/>
      <c r="AR57" s="200"/>
      <c r="AS57" s="200"/>
      <c r="AT57" s="200"/>
      <c r="AU57" s="200"/>
      <c r="AV57" s="200"/>
      <c r="AW57" s="200"/>
      <c r="AX57" s="200"/>
      <c r="AY57" s="200"/>
      <c r="AZ57" s="200"/>
      <c r="BA57" s="200"/>
    </row>
    <row r="58" spans="1:53" ht="15" customHeight="1">
      <c r="A58" s="199"/>
      <c r="B58" s="219" t="s">
        <v>213</v>
      </c>
      <c r="C58" s="224">
        <v>1.0249999999999999</v>
      </c>
      <c r="D58" s="224">
        <v>1.0249999999999999</v>
      </c>
      <c r="E58" s="224">
        <v>1.0249999999999999</v>
      </c>
      <c r="F58" s="224">
        <v>1.0249999999999999</v>
      </c>
      <c r="G58" s="224">
        <v>1.0249999999999999</v>
      </c>
      <c r="H58" s="224">
        <v>1.0249999999999999</v>
      </c>
      <c r="I58" s="224">
        <v>1.0249999999999999</v>
      </c>
      <c r="J58" s="224">
        <v>1.0249999999999999</v>
      </c>
      <c r="K58" s="224">
        <v>1.0249999999999999</v>
      </c>
      <c r="L58" s="224">
        <v>1.0249999999999999</v>
      </c>
      <c r="M58" s="224">
        <v>1.0249999999999999</v>
      </c>
      <c r="N58" s="224">
        <v>1.0249999999999999</v>
      </c>
      <c r="O58" s="224">
        <v>1.0249999999999999</v>
      </c>
      <c r="P58" s="224">
        <v>1.0249999999999999</v>
      </c>
      <c r="Q58" s="224">
        <v>1.0249999999999999</v>
      </c>
      <c r="R58" s="224">
        <v>1.0249999999999999</v>
      </c>
      <c r="S58" s="224">
        <v>1.0249999999999999</v>
      </c>
      <c r="T58" s="224">
        <v>1.0249999999999999</v>
      </c>
      <c r="U58" s="224">
        <v>1.0249999999999999</v>
      </c>
      <c r="V58" s="224">
        <v>1.0249999999999999</v>
      </c>
      <c r="W58" s="224">
        <v>1.0249999999999999</v>
      </c>
      <c r="X58" s="224">
        <v>1.0249999999999999</v>
      </c>
      <c r="Y58" s="224">
        <v>1.0249999999999999</v>
      </c>
      <c r="Z58" s="224">
        <v>1.0249999999999999</v>
      </c>
      <c r="AA58" s="224">
        <v>1.0249999999999999</v>
      </c>
      <c r="AB58" s="224">
        <v>1.0249999999999999</v>
      </c>
      <c r="AC58" s="224">
        <v>1.0249999999999999</v>
      </c>
      <c r="AD58" s="224">
        <v>1.0249999999999999</v>
      </c>
      <c r="AE58" s="224">
        <v>1.0249999999999999</v>
      </c>
      <c r="AF58" s="221">
        <v>0</v>
      </c>
      <c r="AG58" s="200"/>
      <c r="AH58" s="200"/>
      <c r="AI58" s="200"/>
      <c r="AJ58" s="200"/>
      <c r="AK58" s="200"/>
      <c r="AL58" s="200"/>
      <c r="AM58" s="200"/>
      <c r="AN58" s="200"/>
      <c r="AO58" s="200"/>
      <c r="AP58" s="200"/>
      <c r="AQ58" s="200"/>
      <c r="AR58" s="200"/>
      <c r="AS58" s="200"/>
      <c r="AT58" s="200"/>
      <c r="AU58" s="200"/>
      <c r="AV58" s="200"/>
      <c r="AW58" s="200"/>
      <c r="AX58" s="200"/>
      <c r="AY58" s="200"/>
      <c r="AZ58" s="200"/>
      <c r="BA58" s="200"/>
    </row>
    <row r="59" spans="1:53" ht="15" customHeight="1">
      <c r="A59" s="199"/>
      <c r="B59" s="219" t="s">
        <v>215</v>
      </c>
      <c r="C59" s="224">
        <v>1.0089999999999999</v>
      </c>
      <c r="D59" s="224">
        <v>1.0089999999999999</v>
      </c>
      <c r="E59" s="224">
        <v>1.0089999999999999</v>
      </c>
      <c r="F59" s="224">
        <v>1.0089999999999999</v>
      </c>
      <c r="G59" s="224">
        <v>1.0089999999999999</v>
      </c>
      <c r="H59" s="224">
        <v>1.0089999999999999</v>
      </c>
      <c r="I59" s="224">
        <v>1.0089999999999999</v>
      </c>
      <c r="J59" s="224">
        <v>1.0089999999999999</v>
      </c>
      <c r="K59" s="224">
        <v>1.0089999999999999</v>
      </c>
      <c r="L59" s="224">
        <v>1.0089999999999999</v>
      </c>
      <c r="M59" s="224">
        <v>1.0089999999999999</v>
      </c>
      <c r="N59" s="224">
        <v>1.0089999999999999</v>
      </c>
      <c r="O59" s="224">
        <v>1.0089999999999999</v>
      </c>
      <c r="P59" s="224">
        <v>1.0089999999999999</v>
      </c>
      <c r="Q59" s="224">
        <v>1.0089999999999999</v>
      </c>
      <c r="R59" s="224">
        <v>1.0089999999999999</v>
      </c>
      <c r="S59" s="224">
        <v>1.0089999999999999</v>
      </c>
      <c r="T59" s="224">
        <v>1.0089999999999999</v>
      </c>
      <c r="U59" s="224">
        <v>1.0089999999999999</v>
      </c>
      <c r="V59" s="224">
        <v>1.0089999999999999</v>
      </c>
      <c r="W59" s="224">
        <v>1.0089999999999999</v>
      </c>
      <c r="X59" s="224">
        <v>1.0089999999999999</v>
      </c>
      <c r="Y59" s="224">
        <v>1.0089999999999999</v>
      </c>
      <c r="Z59" s="224">
        <v>1.0089999999999999</v>
      </c>
      <c r="AA59" s="224">
        <v>1.0089999999999999</v>
      </c>
      <c r="AB59" s="224">
        <v>1.0089999999999999</v>
      </c>
      <c r="AC59" s="224">
        <v>1.0089999999999999</v>
      </c>
      <c r="AD59" s="224">
        <v>1.0089999999999999</v>
      </c>
      <c r="AE59" s="224">
        <v>1.0089999999999999</v>
      </c>
      <c r="AF59" s="221">
        <v>0</v>
      </c>
      <c r="AG59" s="200"/>
      <c r="AH59" s="200"/>
      <c r="AI59" s="200"/>
      <c r="AJ59" s="200"/>
      <c r="AK59" s="200"/>
      <c r="AL59" s="200"/>
      <c r="AM59" s="200"/>
      <c r="AN59" s="200"/>
      <c r="AO59" s="200"/>
      <c r="AP59" s="200"/>
      <c r="AQ59" s="200"/>
      <c r="AR59" s="200"/>
      <c r="AS59" s="200"/>
      <c r="AT59" s="200"/>
      <c r="AU59" s="200"/>
      <c r="AV59" s="200"/>
      <c r="AW59" s="200"/>
      <c r="AX59" s="200"/>
      <c r="AY59" s="200"/>
      <c r="AZ59" s="200"/>
      <c r="BA59" s="200"/>
    </row>
    <row r="60" spans="1:53" ht="15" customHeight="1">
      <c r="A60" s="199"/>
      <c r="B60" s="219" t="s">
        <v>217</v>
      </c>
      <c r="C60" s="224">
        <v>0.96</v>
      </c>
      <c r="D60" s="224">
        <v>0.96</v>
      </c>
      <c r="E60" s="224">
        <v>0.96</v>
      </c>
      <c r="F60" s="224">
        <v>0.96</v>
      </c>
      <c r="G60" s="224">
        <v>0.96</v>
      </c>
      <c r="H60" s="224">
        <v>0.96</v>
      </c>
      <c r="I60" s="224">
        <v>0.96</v>
      </c>
      <c r="J60" s="224">
        <v>0.96</v>
      </c>
      <c r="K60" s="224">
        <v>0.96</v>
      </c>
      <c r="L60" s="224">
        <v>0.96</v>
      </c>
      <c r="M60" s="224">
        <v>0.96</v>
      </c>
      <c r="N60" s="224">
        <v>0.96</v>
      </c>
      <c r="O60" s="224">
        <v>0.96</v>
      </c>
      <c r="P60" s="224">
        <v>0.96</v>
      </c>
      <c r="Q60" s="224">
        <v>0.96</v>
      </c>
      <c r="R60" s="224">
        <v>0.96</v>
      </c>
      <c r="S60" s="224">
        <v>0.96</v>
      </c>
      <c r="T60" s="224">
        <v>0.96</v>
      </c>
      <c r="U60" s="224">
        <v>0.96</v>
      </c>
      <c r="V60" s="224">
        <v>0.96</v>
      </c>
      <c r="W60" s="224">
        <v>0.96</v>
      </c>
      <c r="X60" s="224">
        <v>0.96</v>
      </c>
      <c r="Y60" s="224">
        <v>0.96</v>
      </c>
      <c r="Z60" s="224">
        <v>0.96</v>
      </c>
      <c r="AA60" s="224">
        <v>0.96</v>
      </c>
      <c r="AB60" s="224">
        <v>0.96</v>
      </c>
      <c r="AC60" s="224">
        <v>0.96</v>
      </c>
      <c r="AD60" s="224">
        <v>0.96</v>
      </c>
      <c r="AE60" s="224">
        <v>0.96</v>
      </c>
      <c r="AF60" s="221">
        <v>0</v>
      </c>
      <c r="AG60" s="200"/>
      <c r="AH60" s="200"/>
      <c r="AI60" s="200"/>
      <c r="AJ60" s="200"/>
      <c r="AK60" s="200"/>
      <c r="AL60" s="200"/>
      <c r="AM60" s="200"/>
      <c r="AN60" s="200"/>
      <c r="AO60" s="200"/>
      <c r="AP60" s="200"/>
      <c r="AQ60" s="200"/>
      <c r="AR60" s="200"/>
      <c r="AS60" s="200"/>
      <c r="AT60" s="200"/>
      <c r="AU60" s="200"/>
      <c r="AV60" s="200"/>
      <c r="AW60" s="200"/>
      <c r="AX60" s="200"/>
      <c r="AY60" s="200"/>
      <c r="AZ60" s="200"/>
      <c r="BA60" s="200"/>
    </row>
    <row r="61" spans="1:53" ht="15" customHeight="1">
      <c r="A61" s="199"/>
      <c r="B61" s="200"/>
      <c r="C61" s="200"/>
      <c r="D61" s="200"/>
      <c r="E61" s="200"/>
      <c r="F61" s="200"/>
      <c r="G61" s="200"/>
      <c r="H61" s="200"/>
      <c r="I61" s="200"/>
      <c r="J61" s="200"/>
      <c r="K61" s="200"/>
      <c r="L61" s="200"/>
      <c r="M61" s="200"/>
      <c r="N61" s="200"/>
      <c r="O61" s="200"/>
      <c r="P61" s="200"/>
      <c r="Q61" s="200"/>
      <c r="R61" s="200"/>
      <c r="S61" s="200"/>
      <c r="T61" s="200"/>
      <c r="U61" s="200"/>
      <c r="V61" s="200"/>
      <c r="W61" s="200"/>
      <c r="X61" s="200"/>
      <c r="Y61" s="200"/>
      <c r="Z61" s="200"/>
      <c r="AA61" s="200"/>
      <c r="AB61" s="200"/>
      <c r="AC61" s="200"/>
      <c r="AD61" s="200"/>
      <c r="AE61" s="200"/>
      <c r="AF61" s="200"/>
      <c r="AG61" s="200"/>
      <c r="AH61" s="200"/>
      <c r="AI61" s="200"/>
      <c r="AJ61" s="200"/>
      <c r="AK61" s="200"/>
      <c r="AL61" s="200"/>
      <c r="AM61" s="200"/>
      <c r="AN61" s="200"/>
      <c r="AO61" s="200"/>
      <c r="AP61" s="200"/>
      <c r="AQ61" s="200"/>
      <c r="AR61" s="200"/>
      <c r="AS61" s="200"/>
      <c r="AT61" s="200"/>
      <c r="AU61" s="200"/>
      <c r="AV61" s="200"/>
      <c r="AW61" s="200"/>
      <c r="AX61" s="200"/>
      <c r="AY61" s="200"/>
      <c r="AZ61" s="200"/>
      <c r="BA61" s="200"/>
    </row>
    <row r="62" spans="1:53" ht="14.5">
      <c r="A62" s="199"/>
      <c r="B62" s="218" t="s">
        <v>218</v>
      </c>
      <c r="C62" s="200"/>
      <c r="D62" s="200"/>
      <c r="E62" s="200"/>
      <c r="F62" s="200"/>
      <c r="G62" s="200"/>
      <c r="H62" s="200"/>
      <c r="I62" s="200"/>
      <c r="J62" s="200"/>
      <c r="K62" s="200"/>
      <c r="L62" s="200"/>
      <c r="M62" s="200"/>
      <c r="N62" s="200"/>
      <c r="O62" s="200"/>
      <c r="P62" s="200"/>
      <c r="Q62" s="200"/>
      <c r="R62" s="200"/>
      <c r="S62" s="200"/>
      <c r="T62" s="200"/>
      <c r="U62" s="200"/>
      <c r="V62" s="200"/>
      <c r="W62" s="200"/>
      <c r="X62" s="200"/>
      <c r="Y62" s="200"/>
      <c r="Z62" s="200"/>
      <c r="AA62" s="200"/>
      <c r="AB62" s="200"/>
      <c r="AC62" s="200"/>
      <c r="AD62" s="200"/>
      <c r="AE62" s="200"/>
      <c r="AF62" s="200"/>
      <c r="AG62" s="200"/>
      <c r="AH62" s="200"/>
      <c r="AI62" s="200"/>
      <c r="AJ62" s="200"/>
      <c r="AK62" s="200"/>
      <c r="AL62" s="200"/>
      <c r="AM62" s="200"/>
      <c r="AN62" s="200"/>
      <c r="AO62" s="200"/>
      <c r="AP62" s="200"/>
      <c r="AQ62" s="200"/>
      <c r="AR62" s="200"/>
      <c r="AS62" s="200"/>
      <c r="AT62" s="200"/>
      <c r="AU62" s="200"/>
      <c r="AV62" s="200"/>
      <c r="AW62" s="200"/>
      <c r="AX62" s="200"/>
      <c r="AY62" s="200"/>
      <c r="AZ62" s="200"/>
      <c r="BA62" s="200"/>
    </row>
    <row r="63" spans="1:53" ht="15" customHeight="1">
      <c r="A63" s="199"/>
      <c r="B63" s="219" t="s">
        <v>211</v>
      </c>
      <c r="C63" s="220">
        <v>20.414086999999999</v>
      </c>
      <c r="D63" s="220">
        <v>20.306387000000001</v>
      </c>
      <c r="E63" s="220">
        <v>20.561385999999999</v>
      </c>
      <c r="F63" s="220">
        <v>20.682283000000002</v>
      </c>
      <c r="G63" s="220">
        <v>21.026534999999999</v>
      </c>
      <c r="H63" s="220">
        <v>21.446421000000001</v>
      </c>
      <c r="I63" s="220">
        <v>21.618556999999999</v>
      </c>
      <c r="J63" s="220">
        <v>21.391855</v>
      </c>
      <c r="K63" s="220">
        <v>21.480253000000001</v>
      </c>
      <c r="L63" s="220">
        <v>21.504978000000001</v>
      </c>
      <c r="M63" s="220">
        <v>21.517519</v>
      </c>
      <c r="N63" s="220">
        <v>21.584536</v>
      </c>
      <c r="O63" s="220">
        <v>21.490144999999998</v>
      </c>
      <c r="P63" s="220">
        <v>21.426874000000002</v>
      </c>
      <c r="Q63" s="220">
        <v>21.444807000000001</v>
      </c>
      <c r="R63" s="220">
        <v>21.408159000000001</v>
      </c>
      <c r="S63" s="220">
        <v>21.737587000000001</v>
      </c>
      <c r="T63" s="220">
        <v>21.762626999999998</v>
      </c>
      <c r="U63" s="220">
        <v>21.825102000000001</v>
      </c>
      <c r="V63" s="220">
        <v>21.77272</v>
      </c>
      <c r="W63" s="220">
        <v>21.752516</v>
      </c>
      <c r="X63" s="220">
        <v>21.840578000000001</v>
      </c>
      <c r="Y63" s="220">
        <v>21.903272999999999</v>
      </c>
      <c r="Z63" s="220">
        <v>21.967976</v>
      </c>
      <c r="AA63" s="220">
        <v>22.008548999999999</v>
      </c>
      <c r="AB63" s="220">
        <v>22.019365000000001</v>
      </c>
      <c r="AC63" s="220">
        <v>21.979196999999999</v>
      </c>
      <c r="AD63" s="220">
        <v>22.007912000000001</v>
      </c>
      <c r="AE63" s="220">
        <v>21.978470000000002</v>
      </c>
      <c r="AF63" s="221">
        <v>2.6410000000000001E-3</v>
      </c>
      <c r="AG63" s="200"/>
      <c r="AH63" s="200"/>
      <c r="AI63" s="200"/>
      <c r="AJ63" s="200"/>
      <c r="AK63" s="200"/>
      <c r="AL63" s="200"/>
      <c r="AM63" s="200"/>
      <c r="AN63" s="200"/>
      <c r="AO63" s="200"/>
      <c r="AP63" s="200"/>
      <c r="AQ63" s="200"/>
      <c r="AR63" s="200"/>
      <c r="AS63" s="200"/>
      <c r="AT63" s="200"/>
      <c r="AU63" s="200"/>
      <c r="AV63" s="200"/>
      <c r="AW63" s="200"/>
      <c r="AX63" s="200"/>
      <c r="AY63" s="200"/>
      <c r="AZ63" s="200"/>
      <c r="BA63" s="200"/>
    </row>
    <row r="64" spans="1:53" ht="15" customHeight="1">
      <c r="A64" s="199"/>
      <c r="B64" s="219" t="s">
        <v>221</v>
      </c>
      <c r="C64" s="220">
        <v>25.150552999999999</v>
      </c>
      <c r="D64" s="220">
        <v>25.162579999999998</v>
      </c>
      <c r="E64" s="220">
        <v>25.277228999999998</v>
      </c>
      <c r="F64" s="220">
        <v>25.196438000000001</v>
      </c>
      <c r="G64" s="220">
        <v>25.173244</v>
      </c>
      <c r="H64" s="220">
        <v>25.253005999999999</v>
      </c>
      <c r="I64" s="220">
        <v>25.375315000000001</v>
      </c>
      <c r="J64" s="220">
        <v>25.881294</v>
      </c>
      <c r="K64" s="220">
        <v>25.949392</v>
      </c>
      <c r="L64" s="220">
        <v>25.919322999999999</v>
      </c>
      <c r="M64" s="220">
        <v>25.917715000000001</v>
      </c>
      <c r="N64" s="220">
        <v>26.122444000000002</v>
      </c>
      <c r="O64" s="220">
        <v>26.104872</v>
      </c>
      <c r="P64" s="220">
        <v>26.092715999999999</v>
      </c>
      <c r="Q64" s="220">
        <v>26.109541</v>
      </c>
      <c r="R64" s="220">
        <v>26.115759000000001</v>
      </c>
      <c r="S64" s="220">
        <v>26.111366</v>
      </c>
      <c r="T64" s="220">
        <v>26.064837000000001</v>
      </c>
      <c r="U64" s="220">
        <v>26.097258</v>
      </c>
      <c r="V64" s="220">
        <v>26.119198000000001</v>
      </c>
      <c r="W64" s="220">
        <v>26.115304999999999</v>
      </c>
      <c r="X64" s="220">
        <v>26.109867000000001</v>
      </c>
      <c r="Y64" s="220">
        <v>26.134989000000001</v>
      </c>
      <c r="Z64" s="220">
        <v>26.120363000000001</v>
      </c>
      <c r="AA64" s="220">
        <v>26.130583000000001</v>
      </c>
      <c r="AB64" s="220">
        <v>26.147618999999999</v>
      </c>
      <c r="AC64" s="220">
        <v>26.167905999999999</v>
      </c>
      <c r="AD64" s="220">
        <v>26.162901000000002</v>
      </c>
      <c r="AE64" s="220">
        <v>26.183288999999998</v>
      </c>
      <c r="AF64" s="221">
        <v>1.438E-3</v>
      </c>
      <c r="AG64" s="200"/>
      <c r="AH64" s="200"/>
      <c r="AI64" s="200"/>
      <c r="AJ64" s="200"/>
      <c r="AK64" s="200"/>
      <c r="AL64" s="200"/>
      <c r="AM64" s="200"/>
      <c r="AN64" s="200"/>
      <c r="AO64" s="200"/>
      <c r="AP64" s="200"/>
      <c r="AQ64" s="200"/>
      <c r="AR64" s="200"/>
      <c r="AS64" s="200"/>
      <c r="AT64" s="200"/>
      <c r="AU64" s="200"/>
      <c r="AV64" s="200"/>
      <c r="AW64" s="200"/>
      <c r="AX64" s="200"/>
      <c r="AY64" s="200"/>
      <c r="AZ64" s="200"/>
      <c r="BA64" s="200"/>
    </row>
    <row r="65" spans="1:53" ht="15" customHeight="1">
      <c r="A65" s="198"/>
      <c r="B65" s="219" t="s">
        <v>223</v>
      </c>
      <c r="C65" s="220">
        <v>17.359545000000001</v>
      </c>
      <c r="D65" s="220">
        <v>17.333266999999999</v>
      </c>
      <c r="E65" s="220">
        <v>17.469742</v>
      </c>
      <c r="F65" s="220">
        <v>17.421644000000001</v>
      </c>
      <c r="G65" s="220">
        <v>17.439485999999999</v>
      </c>
      <c r="H65" s="220">
        <v>17.491636</v>
      </c>
      <c r="I65" s="220">
        <v>17.459488</v>
      </c>
      <c r="J65" s="220">
        <v>17.634378000000002</v>
      </c>
      <c r="K65" s="220">
        <v>17.574055000000001</v>
      </c>
      <c r="L65" s="220">
        <v>17.584854</v>
      </c>
      <c r="M65" s="220">
        <v>17.592421000000002</v>
      </c>
      <c r="N65" s="220">
        <v>17.594152000000001</v>
      </c>
      <c r="O65" s="220">
        <v>17.563728000000001</v>
      </c>
      <c r="P65" s="220">
        <v>17.529620999999999</v>
      </c>
      <c r="Q65" s="220">
        <v>17.516928</v>
      </c>
      <c r="R65" s="220">
        <v>17.304117000000002</v>
      </c>
      <c r="S65" s="220">
        <v>17.516290999999999</v>
      </c>
      <c r="T65" s="220">
        <v>17.500505</v>
      </c>
      <c r="U65" s="220">
        <v>17.477858000000001</v>
      </c>
      <c r="V65" s="220">
        <v>17.479234999999999</v>
      </c>
      <c r="W65" s="220">
        <v>17.471019999999999</v>
      </c>
      <c r="X65" s="220">
        <v>17.484034999999999</v>
      </c>
      <c r="Y65" s="220">
        <v>17.490487999999999</v>
      </c>
      <c r="Z65" s="220">
        <v>17.495975000000001</v>
      </c>
      <c r="AA65" s="220">
        <v>17.492516999999999</v>
      </c>
      <c r="AB65" s="220">
        <v>17.48987</v>
      </c>
      <c r="AC65" s="220">
        <v>17.478798000000001</v>
      </c>
      <c r="AD65" s="220">
        <v>17.460386</v>
      </c>
      <c r="AE65" s="220">
        <v>17.475587999999998</v>
      </c>
      <c r="AF65" s="221">
        <v>2.3800000000000001E-4</v>
      </c>
      <c r="AG65" s="200"/>
      <c r="AH65" s="200"/>
      <c r="AI65" s="200"/>
      <c r="AJ65" s="200"/>
      <c r="AK65" s="200"/>
      <c r="AL65" s="200"/>
      <c r="AM65" s="200"/>
      <c r="AN65" s="200"/>
      <c r="AO65" s="200"/>
      <c r="AP65" s="200"/>
      <c r="AQ65" s="200"/>
      <c r="AR65" s="200"/>
      <c r="AS65" s="200"/>
      <c r="AT65" s="200"/>
      <c r="AU65" s="200"/>
      <c r="AV65" s="200"/>
      <c r="AW65" s="200"/>
      <c r="AX65" s="200"/>
      <c r="AY65" s="200"/>
      <c r="AZ65" s="200"/>
      <c r="BA65" s="200"/>
    </row>
    <row r="66" spans="1:53" ht="15" customHeight="1">
      <c r="A66" s="198"/>
      <c r="B66" s="219" t="s">
        <v>205</v>
      </c>
      <c r="C66" s="220">
        <v>19.658428000000001</v>
      </c>
      <c r="D66" s="220">
        <v>19.547889999999999</v>
      </c>
      <c r="E66" s="220">
        <v>19.530923999999999</v>
      </c>
      <c r="F66" s="220">
        <v>19.656338000000002</v>
      </c>
      <c r="G66" s="220">
        <v>20.110068999999999</v>
      </c>
      <c r="H66" s="220">
        <v>20.518450000000001</v>
      </c>
      <c r="I66" s="220">
        <v>20.575665999999998</v>
      </c>
      <c r="J66" s="220">
        <v>20.0931</v>
      </c>
      <c r="K66" s="220">
        <v>19.986597</v>
      </c>
      <c r="L66" s="220">
        <v>20.045501999999999</v>
      </c>
      <c r="M66" s="220">
        <v>20.072807000000001</v>
      </c>
      <c r="N66" s="220">
        <v>20.139336</v>
      </c>
      <c r="O66" s="220">
        <v>20.012087000000001</v>
      </c>
      <c r="P66" s="220">
        <v>19.954886999999999</v>
      </c>
      <c r="Q66" s="220">
        <v>19.927517000000002</v>
      </c>
      <c r="R66" s="220">
        <v>20.046503000000001</v>
      </c>
      <c r="S66" s="220">
        <v>20.413609999999998</v>
      </c>
      <c r="T66" s="220">
        <v>20.439775000000001</v>
      </c>
      <c r="U66" s="220">
        <v>20.443366999999999</v>
      </c>
      <c r="V66" s="220">
        <v>20.372391</v>
      </c>
      <c r="W66" s="220">
        <v>20.360711999999999</v>
      </c>
      <c r="X66" s="220">
        <v>20.399227</v>
      </c>
      <c r="Y66" s="220">
        <v>20.438106999999999</v>
      </c>
      <c r="Z66" s="220">
        <v>20.498695000000001</v>
      </c>
      <c r="AA66" s="220">
        <v>20.521355</v>
      </c>
      <c r="AB66" s="220">
        <v>20.524982000000001</v>
      </c>
      <c r="AC66" s="220">
        <v>20.513655</v>
      </c>
      <c r="AD66" s="220">
        <v>20.569064999999998</v>
      </c>
      <c r="AE66" s="220">
        <v>20.506568999999999</v>
      </c>
      <c r="AF66" s="221">
        <v>1.5100000000000001E-3</v>
      </c>
      <c r="AG66" s="200"/>
      <c r="AH66" s="200"/>
      <c r="AI66" s="200"/>
      <c r="AJ66" s="200"/>
      <c r="AK66" s="200"/>
      <c r="AL66" s="200"/>
      <c r="AM66" s="200"/>
      <c r="AN66" s="200"/>
      <c r="AO66" s="200"/>
      <c r="AP66" s="200"/>
      <c r="AQ66" s="200"/>
      <c r="AR66" s="200"/>
      <c r="AS66" s="200"/>
      <c r="AT66" s="200"/>
      <c r="AU66" s="200"/>
      <c r="AV66" s="200"/>
      <c r="AW66" s="200"/>
      <c r="AX66" s="200"/>
      <c r="AY66" s="200"/>
      <c r="AZ66" s="200"/>
      <c r="BA66" s="200"/>
    </row>
    <row r="67" spans="1:53" ht="15" customHeight="1">
      <c r="A67" s="198"/>
      <c r="B67" s="219" t="s">
        <v>226</v>
      </c>
      <c r="C67" s="220">
        <v>18.006001000000001</v>
      </c>
      <c r="D67" s="220">
        <v>18.076194999999998</v>
      </c>
      <c r="E67" s="220">
        <v>18.050530999999999</v>
      </c>
      <c r="F67" s="220">
        <v>17.893633000000001</v>
      </c>
      <c r="G67" s="220">
        <v>17.823392999999999</v>
      </c>
      <c r="H67" s="220">
        <v>17.884933</v>
      </c>
      <c r="I67" s="220">
        <v>17.960042999999999</v>
      </c>
      <c r="J67" s="220">
        <v>18.007738</v>
      </c>
      <c r="K67" s="220">
        <v>18.045808999999998</v>
      </c>
      <c r="L67" s="220">
        <v>18.149768999999999</v>
      </c>
      <c r="M67" s="220">
        <v>18.107817000000001</v>
      </c>
      <c r="N67" s="220">
        <v>18.119067999999999</v>
      </c>
      <c r="O67" s="220">
        <v>18.106013999999998</v>
      </c>
      <c r="P67" s="220">
        <v>18.099829</v>
      </c>
      <c r="Q67" s="220">
        <v>18.068781000000001</v>
      </c>
      <c r="R67" s="220">
        <v>17.983764999999998</v>
      </c>
      <c r="S67" s="220">
        <v>17.923839999999998</v>
      </c>
      <c r="T67" s="220">
        <v>17.901513999999999</v>
      </c>
      <c r="U67" s="220">
        <v>17.883970000000001</v>
      </c>
      <c r="V67" s="220">
        <v>17.863047000000002</v>
      </c>
      <c r="W67" s="220">
        <v>17.841540999999999</v>
      </c>
      <c r="X67" s="220">
        <v>17.809853</v>
      </c>
      <c r="Y67" s="220">
        <v>17.789932</v>
      </c>
      <c r="Z67" s="220">
        <v>17.759554000000001</v>
      </c>
      <c r="AA67" s="220">
        <v>17.740721000000001</v>
      </c>
      <c r="AB67" s="220">
        <v>17.717068000000001</v>
      </c>
      <c r="AC67" s="220">
        <v>17.692871</v>
      </c>
      <c r="AD67" s="220">
        <v>17.692043000000002</v>
      </c>
      <c r="AE67" s="220">
        <v>17.690735</v>
      </c>
      <c r="AF67" s="221">
        <v>-6.3100000000000005E-4</v>
      </c>
      <c r="AG67" s="200"/>
      <c r="AH67" s="200"/>
      <c r="AI67" s="200"/>
      <c r="AJ67" s="200"/>
      <c r="AK67" s="200"/>
      <c r="AL67" s="200"/>
      <c r="AM67" s="200"/>
      <c r="AN67" s="200"/>
      <c r="AO67" s="200"/>
      <c r="AP67" s="200"/>
      <c r="AQ67" s="200"/>
      <c r="AR67" s="200"/>
      <c r="AS67" s="200"/>
      <c r="AT67" s="200"/>
      <c r="AU67" s="200"/>
      <c r="AV67" s="200"/>
      <c r="AW67" s="200"/>
      <c r="AX67" s="200"/>
      <c r="AY67" s="200"/>
      <c r="AZ67" s="200"/>
      <c r="BA67" s="200"/>
    </row>
    <row r="68" spans="1:53" ht="15" customHeight="1">
      <c r="A68" s="198"/>
      <c r="B68" s="219" t="s">
        <v>228</v>
      </c>
      <c r="C68" s="220">
        <v>18.783617</v>
      </c>
      <c r="D68" s="220">
        <v>18.841715000000001</v>
      </c>
      <c r="E68" s="220">
        <v>19.240131000000002</v>
      </c>
      <c r="F68" s="220">
        <v>19.234219</v>
      </c>
      <c r="G68" s="220">
        <v>19.213201999999999</v>
      </c>
      <c r="H68" s="220">
        <v>19.209591</v>
      </c>
      <c r="I68" s="220">
        <v>19.205172000000001</v>
      </c>
      <c r="J68" s="220">
        <v>19.192945000000002</v>
      </c>
      <c r="K68" s="220">
        <v>19.182034999999999</v>
      </c>
      <c r="L68" s="220">
        <v>19.171402</v>
      </c>
      <c r="M68" s="220">
        <v>19.160554999999999</v>
      </c>
      <c r="N68" s="220">
        <v>19.138552000000001</v>
      </c>
      <c r="O68" s="220">
        <v>19.129539000000001</v>
      </c>
      <c r="P68" s="220">
        <v>19.110558999999999</v>
      </c>
      <c r="Q68" s="220">
        <v>19.098140999999998</v>
      </c>
      <c r="R68" s="220">
        <v>19.083539999999999</v>
      </c>
      <c r="S68" s="220">
        <v>19.066293999999999</v>
      </c>
      <c r="T68" s="220">
        <v>19.059636999999999</v>
      </c>
      <c r="U68" s="220">
        <v>19.057034999999999</v>
      </c>
      <c r="V68" s="220">
        <v>19.053011000000001</v>
      </c>
      <c r="W68" s="220">
        <v>19.047277000000001</v>
      </c>
      <c r="X68" s="220">
        <v>19.039465</v>
      </c>
      <c r="Y68" s="220">
        <v>19.03443</v>
      </c>
      <c r="Z68" s="220">
        <v>19.027761000000002</v>
      </c>
      <c r="AA68" s="220">
        <v>19.017918000000002</v>
      </c>
      <c r="AB68" s="220">
        <v>19.012091000000002</v>
      </c>
      <c r="AC68" s="220">
        <v>19.021602999999999</v>
      </c>
      <c r="AD68" s="220">
        <v>19.003336000000001</v>
      </c>
      <c r="AE68" s="220">
        <v>18.998145999999998</v>
      </c>
      <c r="AF68" s="221">
        <v>4.06E-4</v>
      </c>
      <c r="AG68" s="200"/>
      <c r="AH68" s="200"/>
      <c r="AI68" s="200"/>
      <c r="AJ68" s="200"/>
      <c r="AK68" s="200"/>
      <c r="AL68" s="200"/>
      <c r="AM68" s="200"/>
      <c r="AN68" s="200"/>
      <c r="AO68" s="200"/>
      <c r="AP68" s="200"/>
      <c r="AQ68" s="200"/>
      <c r="AR68" s="200"/>
      <c r="AS68" s="200"/>
      <c r="AT68" s="200"/>
      <c r="AU68" s="200"/>
      <c r="AV68" s="200"/>
      <c r="AW68" s="200"/>
      <c r="AX68" s="200"/>
      <c r="AY68" s="200"/>
      <c r="AZ68" s="200"/>
      <c r="BA68" s="200"/>
    </row>
    <row r="69" spans="1:53" ht="15" customHeight="1">
      <c r="A69" s="198"/>
      <c r="B69" s="219" t="s">
        <v>230</v>
      </c>
      <c r="C69" s="220">
        <v>28.414657999999999</v>
      </c>
      <c r="D69" s="220">
        <v>28.420496</v>
      </c>
      <c r="E69" s="220">
        <v>28.564053999999999</v>
      </c>
      <c r="F69" s="220">
        <v>28.563306999999998</v>
      </c>
      <c r="G69" s="220">
        <v>28.564709000000001</v>
      </c>
      <c r="H69" s="220">
        <v>28.561665000000001</v>
      </c>
      <c r="I69" s="220">
        <v>28.424852000000001</v>
      </c>
      <c r="J69" s="220">
        <v>28.42708</v>
      </c>
      <c r="K69" s="220">
        <v>28.424327999999999</v>
      </c>
      <c r="L69" s="220">
        <v>28.424634999999999</v>
      </c>
      <c r="M69" s="220">
        <v>28.425567999999998</v>
      </c>
      <c r="N69" s="220">
        <v>28.425659</v>
      </c>
      <c r="O69" s="220">
        <v>28.423475</v>
      </c>
      <c r="P69" s="220">
        <v>28.424204</v>
      </c>
      <c r="Q69" s="220">
        <v>28.424821999999999</v>
      </c>
      <c r="R69" s="220">
        <v>28.423915999999998</v>
      </c>
      <c r="S69" s="220">
        <v>28.423408999999999</v>
      </c>
      <c r="T69" s="220">
        <v>28.418621000000002</v>
      </c>
      <c r="U69" s="220">
        <v>28.418154000000001</v>
      </c>
      <c r="V69" s="220">
        <v>28.416595000000001</v>
      </c>
      <c r="W69" s="220">
        <v>28.418688</v>
      </c>
      <c r="X69" s="220">
        <v>28.417397000000001</v>
      </c>
      <c r="Y69" s="220">
        <v>28.418078999999999</v>
      </c>
      <c r="Z69" s="220">
        <v>28.415937</v>
      </c>
      <c r="AA69" s="220">
        <v>28.41695</v>
      </c>
      <c r="AB69" s="220">
        <v>28.417501000000001</v>
      </c>
      <c r="AC69" s="220">
        <v>28.414228000000001</v>
      </c>
      <c r="AD69" s="220">
        <v>28.414781999999999</v>
      </c>
      <c r="AE69" s="220">
        <v>28.414515000000002</v>
      </c>
      <c r="AF69" s="221">
        <v>0</v>
      </c>
      <c r="AG69" s="200"/>
      <c r="AH69" s="200"/>
      <c r="AI69" s="200"/>
      <c r="AJ69" s="200"/>
      <c r="AK69" s="200"/>
      <c r="AL69" s="200"/>
      <c r="AM69" s="200"/>
      <c r="AN69" s="200"/>
      <c r="AO69" s="200"/>
      <c r="AP69" s="200"/>
      <c r="AQ69" s="200"/>
      <c r="AR69" s="200"/>
      <c r="AS69" s="200"/>
      <c r="AT69" s="200"/>
      <c r="AU69" s="200"/>
      <c r="AV69" s="200"/>
      <c r="AW69" s="200"/>
      <c r="AX69" s="200"/>
      <c r="AY69" s="200"/>
      <c r="AZ69" s="200"/>
      <c r="BA69" s="200"/>
    </row>
    <row r="70" spans="1:53" ht="14.5">
      <c r="A70" s="198"/>
      <c r="B70" s="219" t="s">
        <v>232</v>
      </c>
      <c r="C70" s="220">
        <v>19.261752999999999</v>
      </c>
      <c r="D70" s="220">
        <v>19.094007000000001</v>
      </c>
      <c r="E70" s="220">
        <v>19.073429000000001</v>
      </c>
      <c r="F70" s="220">
        <v>19.172198999999999</v>
      </c>
      <c r="G70" s="220">
        <v>19.601582000000001</v>
      </c>
      <c r="H70" s="220">
        <v>19.981221999999999</v>
      </c>
      <c r="I70" s="220">
        <v>19.951308999999998</v>
      </c>
      <c r="J70" s="220">
        <v>19.245697</v>
      </c>
      <c r="K70" s="220">
        <v>19.029951000000001</v>
      </c>
      <c r="L70" s="220">
        <v>19.089005</v>
      </c>
      <c r="M70" s="220">
        <v>19.111488000000001</v>
      </c>
      <c r="N70" s="220">
        <v>19.224411</v>
      </c>
      <c r="O70" s="220">
        <v>19.066448000000001</v>
      </c>
      <c r="P70" s="220">
        <v>19.004940000000001</v>
      </c>
      <c r="Q70" s="220">
        <v>18.968260000000001</v>
      </c>
      <c r="R70" s="220">
        <v>19.093116999999999</v>
      </c>
      <c r="S70" s="220">
        <v>19.521412000000002</v>
      </c>
      <c r="T70" s="220">
        <v>19.550014000000001</v>
      </c>
      <c r="U70" s="220">
        <v>19.53932</v>
      </c>
      <c r="V70" s="220">
        <v>19.461977000000001</v>
      </c>
      <c r="W70" s="220">
        <v>19.446017999999999</v>
      </c>
      <c r="X70" s="220">
        <v>19.485047999999999</v>
      </c>
      <c r="Y70" s="220">
        <v>19.506826</v>
      </c>
      <c r="Z70" s="220">
        <v>19.564098000000001</v>
      </c>
      <c r="AA70" s="220">
        <v>19.57564</v>
      </c>
      <c r="AB70" s="220">
        <v>19.575510000000001</v>
      </c>
      <c r="AC70" s="220">
        <v>19.545100999999999</v>
      </c>
      <c r="AD70" s="220">
        <v>19.618680999999999</v>
      </c>
      <c r="AE70" s="220">
        <v>19.498875000000002</v>
      </c>
      <c r="AF70" s="221">
        <v>4.37E-4</v>
      </c>
      <c r="AG70" s="200"/>
      <c r="AH70" s="200"/>
      <c r="AI70" s="200"/>
      <c r="AJ70" s="200"/>
      <c r="AK70" s="200"/>
      <c r="AL70" s="200"/>
      <c r="AM70" s="200"/>
      <c r="AN70" s="200"/>
      <c r="AO70" s="200"/>
      <c r="AP70" s="200"/>
      <c r="AQ70" s="200"/>
      <c r="AR70" s="200"/>
      <c r="AS70" s="200"/>
      <c r="AT70" s="200"/>
      <c r="AU70" s="200"/>
      <c r="AV70" s="200"/>
      <c r="AW70" s="200"/>
      <c r="AX70" s="200"/>
      <c r="AY70" s="200"/>
      <c r="AZ70" s="200"/>
      <c r="BA70" s="200"/>
    </row>
    <row r="71" spans="1:53" ht="15" customHeight="1">
      <c r="A71" s="198"/>
      <c r="B71" s="219" t="s">
        <v>213</v>
      </c>
      <c r="C71" s="220">
        <v>23.859665</v>
      </c>
      <c r="D71" s="220">
        <v>23.823354999999999</v>
      </c>
      <c r="E71" s="220">
        <v>24.306349000000001</v>
      </c>
      <c r="F71" s="220">
        <v>24.259813000000001</v>
      </c>
      <c r="G71" s="220">
        <v>24.157302999999999</v>
      </c>
      <c r="H71" s="220">
        <v>24.166778999999998</v>
      </c>
      <c r="I71" s="220">
        <v>24.341519999999999</v>
      </c>
      <c r="J71" s="220">
        <v>24.347010000000001</v>
      </c>
      <c r="K71" s="220">
        <v>24.354690999999999</v>
      </c>
      <c r="L71" s="220">
        <v>24.360081000000001</v>
      </c>
      <c r="M71" s="220">
        <v>24.36758</v>
      </c>
      <c r="N71" s="220">
        <v>24.405735</v>
      </c>
      <c r="O71" s="220">
        <v>24.413681</v>
      </c>
      <c r="P71" s="220">
        <v>24.419716000000001</v>
      </c>
      <c r="Q71" s="220">
        <v>24.427009999999999</v>
      </c>
      <c r="R71" s="220">
        <v>24.434260999999999</v>
      </c>
      <c r="S71" s="220">
        <v>24.420539999999999</v>
      </c>
      <c r="T71" s="220">
        <v>24.426120999999998</v>
      </c>
      <c r="U71" s="220">
        <v>24.427451999999999</v>
      </c>
      <c r="V71" s="220">
        <v>24.428066000000001</v>
      </c>
      <c r="W71" s="220">
        <v>24.430658000000001</v>
      </c>
      <c r="X71" s="220">
        <v>24.436260000000001</v>
      </c>
      <c r="Y71" s="220">
        <v>24.411711</v>
      </c>
      <c r="Z71" s="220">
        <v>24.416954</v>
      </c>
      <c r="AA71" s="220">
        <v>24.419678000000001</v>
      </c>
      <c r="AB71" s="220">
        <v>24.413703999999999</v>
      </c>
      <c r="AC71" s="220">
        <v>24.385359000000001</v>
      </c>
      <c r="AD71" s="220">
        <v>24.329633999999999</v>
      </c>
      <c r="AE71" s="220">
        <v>24.333667999999999</v>
      </c>
      <c r="AF71" s="221">
        <v>7.0299999999999996E-4</v>
      </c>
      <c r="AG71" s="200"/>
      <c r="AH71" s="200"/>
      <c r="AI71" s="200"/>
      <c r="AJ71" s="200"/>
      <c r="AK71" s="200"/>
      <c r="AL71" s="200"/>
      <c r="AM71" s="200"/>
      <c r="AN71" s="200"/>
      <c r="AO71" s="200"/>
      <c r="AP71" s="200"/>
      <c r="AQ71" s="200"/>
      <c r="AR71" s="200"/>
      <c r="AS71" s="200"/>
      <c r="AT71" s="200"/>
      <c r="AU71" s="200"/>
      <c r="AV71" s="200"/>
      <c r="AW71" s="200"/>
      <c r="AX71" s="200"/>
      <c r="AY71" s="200"/>
      <c r="AZ71" s="200"/>
      <c r="BA71" s="200"/>
    </row>
    <row r="72" spans="1:53" ht="15" customHeight="1">
      <c r="A72" s="198"/>
      <c r="B72" s="219" t="s">
        <v>215</v>
      </c>
      <c r="C72" s="220">
        <v>25.334827000000001</v>
      </c>
      <c r="D72" s="220">
        <v>25.104583999999999</v>
      </c>
      <c r="E72" s="220">
        <v>25.440268</v>
      </c>
      <c r="F72" s="220">
        <v>25.260694999999998</v>
      </c>
      <c r="G72" s="220">
        <v>24.183857</v>
      </c>
      <c r="H72" s="220">
        <v>24.143476</v>
      </c>
      <c r="I72" s="220">
        <v>24.205839000000001</v>
      </c>
      <c r="J72" s="220">
        <v>24.216169000000001</v>
      </c>
      <c r="K72" s="220">
        <v>24.542210000000001</v>
      </c>
      <c r="L72" s="220">
        <v>24.411135000000002</v>
      </c>
      <c r="M72" s="220">
        <v>24.344087999999999</v>
      </c>
      <c r="N72" s="220">
        <v>24.484596</v>
      </c>
      <c r="O72" s="220">
        <v>24.493072999999999</v>
      </c>
      <c r="P72" s="220">
        <v>24.428740999999999</v>
      </c>
      <c r="Q72" s="220">
        <v>24.565546000000001</v>
      </c>
      <c r="R72" s="220">
        <v>24.314209000000002</v>
      </c>
      <c r="S72" s="220">
        <v>24.333238999999999</v>
      </c>
      <c r="T72" s="220">
        <v>24.333513</v>
      </c>
      <c r="U72" s="220">
        <v>24.421448000000002</v>
      </c>
      <c r="V72" s="220">
        <v>24.449455</v>
      </c>
      <c r="W72" s="220">
        <v>24.400551</v>
      </c>
      <c r="X72" s="220">
        <v>24.57086</v>
      </c>
      <c r="Y72" s="220">
        <v>24.596798</v>
      </c>
      <c r="Z72" s="220">
        <v>24.589790000000001</v>
      </c>
      <c r="AA72" s="220">
        <v>24.643401999999998</v>
      </c>
      <c r="AB72" s="220">
        <v>24.656141000000002</v>
      </c>
      <c r="AC72" s="220">
        <v>24.537496999999998</v>
      </c>
      <c r="AD72" s="220">
        <v>24.472774999999999</v>
      </c>
      <c r="AE72" s="220">
        <v>24.429749000000001</v>
      </c>
      <c r="AF72" s="221">
        <v>-1.2979999999999999E-3</v>
      </c>
      <c r="AG72" s="200"/>
      <c r="AH72" s="200"/>
      <c r="AI72" s="200"/>
      <c r="AJ72" s="200"/>
      <c r="AK72" s="200"/>
      <c r="AL72" s="200"/>
      <c r="AM72" s="200"/>
      <c r="AN72" s="200"/>
      <c r="AO72" s="200"/>
      <c r="AP72" s="200"/>
      <c r="AQ72" s="200"/>
      <c r="AR72" s="200"/>
      <c r="AS72" s="200"/>
      <c r="AT72" s="200"/>
      <c r="AU72" s="200"/>
      <c r="AV72" s="200"/>
      <c r="AW72" s="200"/>
      <c r="AX72" s="200"/>
      <c r="AY72" s="200"/>
      <c r="AZ72" s="200"/>
      <c r="BA72" s="200"/>
    </row>
    <row r="73" spans="1:53" ht="15" customHeight="1">
      <c r="A73" s="198"/>
      <c r="B73" s="219" t="s">
        <v>236</v>
      </c>
      <c r="C73" s="220" t="s">
        <v>475</v>
      </c>
      <c r="D73" s="220" t="s">
        <v>475</v>
      </c>
      <c r="E73" s="220" t="s">
        <v>475</v>
      </c>
      <c r="F73" s="220" t="s">
        <v>475</v>
      </c>
      <c r="G73" s="220" t="s">
        <v>475</v>
      </c>
      <c r="H73" s="220" t="s">
        <v>475</v>
      </c>
      <c r="I73" s="220" t="s">
        <v>475</v>
      </c>
      <c r="J73" s="220" t="s">
        <v>475</v>
      </c>
      <c r="K73" s="220" t="s">
        <v>475</v>
      </c>
      <c r="L73" s="220" t="s">
        <v>475</v>
      </c>
      <c r="M73" s="220" t="s">
        <v>475</v>
      </c>
      <c r="N73" s="220" t="s">
        <v>475</v>
      </c>
      <c r="O73" s="220" t="s">
        <v>475</v>
      </c>
      <c r="P73" s="220" t="s">
        <v>475</v>
      </c>
      <c r="Q73" s="220" t="s">
        <v>475</v>
      </c>
      <c r="R73" s="220" t="s">
        <v>475</v>
      </c>
      <c r="S73" s="220" t="s">
        <v>475</v>
      </c>
      <c r="T73" s="220" t="s">
        <v>475</v>
      </c>
      <c r="U73" s="220" t="s">
        <v>475</v>
      </c>
      <c r="V73" s="220" t="s">
        <v>475</v>
      </c>
      <c r="W73" s="220" t="s">
        <v>475</v>
      </c>
      <c r="X73" s="220" t="s">
        <v>475</v>
      </c>
      <c r="Y73" s="220" t="s">
        <v>475</v>
      </c>
      <c r="Z73" s="220" t="s">
        <v>475</v>
      </c>
      <c r="AA73" s="220" t="s">
        <v>475</v>
      </c>
      <c r="AB73" s="220" t="s">
        <v>475</v>
      </c>
      <c r="AC73" s="220" t="s">
        <v>475</v>
      </c>
      <c r="AD73" s="220" t="s">
        <v>475</v>
      </c>
      <c r="AE73" s="220" t="s">
        <v>475</v>
      </c>
      <c r="AF73" s="221" t="s">
        <v>475</v>
      </c>
      <c r="AG73" s="200" t="s">
        <v>475</v>
      </c>
      <c r="AH73" s="200" t="s">
        <v>475</v>
      </c>
      <c r="AI73" s="200" t="s">
        <v>475</v>
      </c>
      <c r="AJ73" s="200" t="s">
        <v>475</v>
      </c>
      <c r="AK73" s="200" t="s">
        <v>475</v>
      </c>
      <c r="AL73" s="200" t="s">
        <v>475</v>
      </c>
      <c r="AM73" s="200" t="s">
        <v>475</v>
      </c>
      <c r="AN73" s="200" t="s">
        <v>475</v>
      </c>
      <c r="AO73" s="200" t="s">
        <v>475</v>
      </c>
      <c r="AP73" s="200" t="s">
        <v>475</v>
      </c>
      <c r="AQ73" s="200" t="s">
        <v>475</v>
      </c>
      <c r="AR73" s="200" t="s">
        <v>475</v>
      </c>
      <c r="AS73" s="200" t="s">
        <v>475</v>
      </c>
      <c r="AT73" s="200" t="s">
        <v>475</v>
      </c>
      <c r="AU73" s="200" t="s">
        <v>475</v>
      </c>
      <c r="AV73" s="200" t="s">
        <v>475</v>
      </c>
      <c r="AW73" s="200" t="s">
        <v>475</v>
      </c>
      <c r="AX73" s="200" t="s">
        <v>475</v>
      </c>
      <c r="AY73" s="200" t="s">
        <v>475</v>
      </c>
      <c r="AZ73" s="200" t="s">
        <v>475</v>
      </c>
      <c r="BA73" s="200" t="s">
        <v>475</v>
      </c>
    </row>
    <row r="74" spans="1:53" ht="15" customHeight="1">
      <c r="A74" s="198"/>
      <c r="B74" s="219" t="s">
        <v>238</v>
      </c>
      <c r="C74" s="220">
        <v>12.525999000000001</v>
      </c>
      <c r="D74" s="220">
        <v>12.526001000000001</v>
      </c>
      <c r="E74" s="220">
        <v>12.525999000000001</v>
      </c>
      <c r="F74" s="220">
        <v>12.526</v>
      </c>
      <c r="G74" s="220">
        <v>12.526001000000001</v>
      </c>
      <c r="H74" s="220">
        <v>12.526</v>
      </c>
      <c r="I74" s="220">
        <v>12.526</v>
      </c>
      <c r="J74" s="220">
        <v>12.526001000000001</v>
      </c>
      <c r="K74" s="220">
        <v>12.526001000000001</v>
      </c>
      <c r="L74" s="220">
        <v>12.526</v>
      </c>
      <c r="M74" s="220">
        <v>12.526</v>
      </c>
      <c r="N74" s="220">
        <v>12.525999000000001</v>
      </c>
      <c r="O74" s="220">
        <v>12.526</v>
      </c>
      <c r="P74" s="220">
        <v>12.526</v>
      </c>
      <c r="Q74" s="220">
        <v>12.526</v>
      </c>
      <c r="R74" s="220">
        <v>12.526</v>
      </c>
      <c r="S74" s="220">
        <v>12.526</v>
      </c>
      <c r="T74" s="220">
        <v>12.526</v>
      </c>
      <c r="U74" s="220">
        <v>12.526</v>
      </c>
      <c r="V74" s="220">
        <v>12.526</v>
      </c>
      <c r="W74" s="220">
        <v>12.525999000000001</v>
      </c>
      <c r="X74" s="220">
        <v>12.526</v>
      </c>
      <c r="Y74" s="220">
        <v>12.525999000000001</v>
      </c>
      <c r="Z74" s="220">
        <v>12.526</v>
      </c>
      <c r="AA74" s="220">
        <v>12.526001000000001</v>
      </c>
      <c r="AB74" s="220">
        <v>12.526001000000001</v>
      </c>
      <c r="AC74" s="220">
        <v>12.525999000000001</v>
      </c>
      <c r="AD74" s="220">
        <v>12.526001000000001</v>
      </c>
      <c r="AE74" s="220">
        <v>12.526</v>
      </c>
      <c r="AF74" s="221">
        <v>0</v>
      </c>
      <c r="AG74" s="200"/>
      <c r="AH74" s="200"/>
      <c r="AI74" s="200"/>
      <c r="AJ74" s="200"/>
      <c r="AK74" s="200"/>
      <c r="AL74" s="200"/>
      <c r="AM74" s="200"/>
      <c r="AN74" s="200"/>
      <c r="AO74" s="200"/>
      <c r="AP74" s="200"/>
      <c r="AQ74" s="200"/>
      <c r="AR74" s="200"/>
      <c r="AS74" s="200"/>
      <c r="AT74" s="200"/>
      <c r="AU74" s="200"/>
      <c r="AV74" s="200"/>
      <c r="AW74" s="200"/>
      <c r="AX74" s="200"/>
      <c r="AY74" s="200"/>
      <c r="AZ74" s="200"/>
      <c r="BA74" s="200"/>
    </row>
    <row r="75" spans="1:53" ht="15" customHeight="1">
      <c r="B75" s="200"/>
      <c r="C75" s="200"/>
      <c r="D75" s="200"/>
      <c r="E75" s="200"/>
      <c r="F75" s="200"/>
      <c r="G75" s="200"/>
      <c r="H75" s="200"/>
      <c r="I75" s="200"/>
      <c r="J75" s="200"/>
      <c r="K75" s="200"/>
      <c r="L75" s="200"/>
      <c r="M75" s="200"/>
      <c r="N75" s="200"/>
      <c r="O75" s="200"/>
      <c r="P75" s="200"/>
      <c r="Q75" s="200"/>
      <c r="R75" s="200"/>
      <c r="S75" s="200"/>
      <c r="T75" s="200"/>
      <c r="U75" s="200"/>
      <c r="V75" s="200"/>
      <c r="W75" s="200"/>
      <c r="X75" s="200"/>
      <c r="Y75" s="200"/>
      <c r="Z75" s="200"/>
      <c r="AA75" s="200"/>
      <c r="AB75" s="200"/>
      <c r="AC75" s="200"/>
      <c r="AD75" s="200"/>
      <c r="AE75" s="200"/>
      <c r="AF75" s="200"/>
      <c r="AG75" s="200"/>
      <c r="AH75" s="200"/>
      <c r="AI75" s="200"/>
      <c r="AJ75" s="200"/>
      <c r="AK75" s="200"/>
      <c r="AL75" s="200"/>
      <c r="AM75" s="200"/>
      <c r="AN75" s="200"/>
      <c r="AO75" s="200"/>
      <c r="AP75" s="200"/>
      <c r="AQ75" s="200"/>
      <c r="AR75" s="200"/>
      <c r="AS75" s="200"/>
      <c r="AT75" s="200"/>
      <c r="AU75" s="200"/>
      <c r="AV75" s="200"/>
      <c r="AW75" s="200"/>
      <c r="AX75" s="200"/>
      <c r="AY75" s="200"/>
      <c r="AZ75" s="200"/>
      <c r="BA75" s="200"/>
    </row>
    <row r="76" spans="1:53" ht="15" customHeight="1">
      <c r="B76" s="218" t="s">
        <v>469</v>
      </c>
      <c r="C76" s="200"/>
      <c r="D76" s="200"/>
      <c r="E76" s="200"/>
      <c r="F76" s="200"/>
      <c r="G76" s="200"/>
      <c r="H76" s="200"/>
      <c r="I76" s="200"/>
      <c r="J76" s="200"/>
      <c r="K76" s="200"/>
      <c r="L76" s="200"/>
      <c r="M76" s="200"/>
      <c r="N76" s="200"/>
      <c r="O76" s="200"/>
      <c r="P76" s="200"/>
      <c r="Q76" s="200"/>
      <c r="R76" s="200"/>
      <c r="S76" s="200"/>
      <c r="T76" s="200"/>
      <c r="U76" s="200"/>
      <c r="V76" s="200"/>
      <c r="W76" s="200"/>
      <c r="X76" s="200"/>
      <c r="Y76" s="200"/>
      <c r="Z76" s="200"/>
      <c r="AA76" s="200"/>
      <c r="AB76" s="200"/>
      <c r="AC76" s="200"/>
      <c r="AD76" s="200"/>
      <c r="AE76" s="200"/>
      <c r="AF76" s="200"/>
      <c r="AG76" s="200"/>
      <c r="AH76" s="200"/>
      <c r="AI76" s="200"/>
      <c r="AJ76" s="200"/>
      <c r="AK76" s="200"/>
      <c r="AL76" s="200"/>
      <c r="AM76" s="200"/>
      <c r="AN76" s="200"/>
      <c r="AO76" s="200"/>
      <c r="AP76" s="200"/>
      <c r="AQ76" s="200"/>
      <c r="AR76" s="200"/>
      <c r="AS76" s="200"/>
      <c r="AT76" s="200"/>
      <c r="AU76" s="200"/>
      <c r="AV76" s="200"/>
      <c r="AW76" s="200"/>
      <c r="AX76" s="200"/>
      <c r="AY76" s="200"/>
      <c r="AZ76" s="200"/>
      <c r="BA76" s="200"/>
    </row>
    <row r="77" spans="1:53" ht="15" customHeight="1">
      <c r="B77" s="218" t="s">
        <v>470</v>
      </c>
      <c r="C77" s="200"/>
      <c r="D77" s="200"/>
      <c r="E77" s="200"/>
      <c r="F77" s="200"/>
      <c r="G77" s="200"/>
      <c r="H77" s="200"/>
      <c r="I77" s="200"/>
      <c r="J77" s="200"/>
      <c r="K77" s="200"/>
      <c r="L77" s="200"/>
      <c r="M77" s="200"/>
      <c r="N77" s="200"/>
      <c r="O77" s="200"/>
      <c r="P77" s="200"/>
      <c r="Q77" s="200"/>
      <c r="R77" s="200"/>
      <c r="S77" s="200"/>
      <c r="T77" s="200"/>
      <c r="U77" s="200"/>
      <c r="V77" s="200"/>
      <c r="W77" s="200"/>
      <c r="X77" s="200"/>
      <c r="Y77" s="200"/>
      <c r="Z77" s="200"/>
      <c r="AA77" s="200"/>
      <c r="AB77" s="200"/>
      <c r="AC77" s="200"/>
      <c r="AD77" s="200"/>
      <c r="AE77" s="200"/>
      <c r="AF77" s="200"/>
      <c r="AG77" s="200"/>
      <c r="AH77" s="200"/>
      <c r="AI77" s="200"/>
      <c r="AJ77" s="200"/>
      <c r="AK77" s="200"/>
      <c r="AL77" s="200"/>
      <c r="AM77" s="200"/>
      <c r="AN77" s="200"/>
      <c r="AO77" s="200"/>
      <c r="AP77" s="200"/>
      <c r="AQ77" s="200"/>
      <c r="AR77" s="200"/>
      <c r="AS77" s="200"/>
      <c r="AT77" s="200"/>
      <c r="AU77" s="200"/>
      <c r="AV77" s="200"/>
      <c r="AW77" s="200"/>
      <c r="AX77" s="200"/>
      <c r="AY77" s="200"/>
      <c r="AZ77" s="200"/>
      <c r="BA77" s="200"/>
    </row>
    <row r="78" spans="1:53" ht="14.5">
      <c r="A78" s="198"/>
      <c r="B78" s="219" t="s">
        <v>471</v>
      </c>
      <c r="C78" s="223">
        <v>3412</v>
      </c>
      <c r="D78" s="223">
        <v>3412</v>
      </c>
      <c r="E78" s="223">
        <v>3412</v>
      </c>
      <c r="F78" s="223">
        <v>3412</v>
      </c>
      <c r="G78" s="223">
        <v>3412</v>
      </c>
      <c r="H78" s="223">
        <v>3412</v>
      </c>
      <c r="I78" s="223">
        <v>3412</v>
      </c>
      <c r="J78" s="223">
        <v>3412</v>
      </c>
      <c r="K78" s="223">
        <v>3412</v>
      </c>
      <c r="L78" s="223">
        <v>3412</v>
      </c>
      <c r="M78" s="223">
        <v>3412</v>
      </c>
      <c r="N78" s="223">
        <v>3412</v>
      </c>
      <c r="O78" s="223">
        <v>3412</v>
      </c>
      <c r="P78" s="223">
        <v>3412</v>
      </c>
      <c r="Q78" s="223">
        <v>3412</v>
      </c>
      <c r="R78" s="223">
        <v>3412</v>
      </c>
      <c r="S78" s="223">
        <v>3412</v>
      </c>
      <c r="T78" s="223">
        <v>3412</v>
      </c>
      <c r="U78" s="223">
        <v>3412</v>
      </c>
      <c r="V78" s="223">
        <v>3412</v>
      </c>
      <c r="W78" s="223">
        <v>3412</v>
      </c>
      <c r="X78" s="223">
        <v>3412</v>
      </c>
      <c r="Y78" s="223">
        <v>3412</v>
      </c>
      <c r="Z78" s="223">
        <v>3412</v>
      </c>
      <c r="AA78" s="223">
        <v>3412</v>
      </c>
      <c r="AB78" s="223">
        <v>3412</v>
      </c>
      <c r="AC78" s="223">
        <v>3412</v>
      </c>
      <c r="AD78" s="223">
        <v>3412</v>
      </c>
      <c r="AE78" s="223">
        <v>3412</v>
      </c>
      <c r="AF78" s="221">
        <v>0</v>
      </c>
      <c r="AG78" s="200"/>
      <c r="AH78" s="200"/>
      <c r="AI78" s="200"/>
      <c r="AJ78" s="200"/>
      <c r="AK78" s="200"/>
      <c r="AL78" s="200"/>
      <c r="AM78" s="200"/>
      <c r="AN78" s="200"/>
      <c r="AO78" s="200"/>
      <c r="AP78" s="200"/>
      <c r="AQ78" s="200"/>
      <c r="AR78" s="200"/>
      <c r="AS78" s="200"/>
      <c r="AT78" s="200"/>
      <c r="AU78" s="200"/>
      <c r="AV78" s="200"/>
      <c r="AW78" s="200"/>
      <c r="AX78" s="200"/>
      <c r="AY78" s="200"/>
      <c r="AZ78" s="200"/>
      <c r="BA78" s="200"/>
    </row>
    <row r="79" spans="1:53" ht="15" customHeight="1" thickBot="1">
      <c r="A79" s="198"/>
      <c r="B79" s="219" t="s">
        <v>473</v>
      </c>
      <c r="C79" s="223">
        <v>8704.7636719999991</v>
      </c>
      <c r="D79" s="223">
        <v>8578.2412110000005</v>
      </c>
      <c r="E79" s="223">
        <v>8637.2558590000008</v>
      </c>
      <c r="F79" s="223">
        <v>8588.453125</v>
      </c>
      <c r="G79" s="223">
        <v>8512.0644530000009</v>
      </c>
      <c r="H79" s="223">
        <v>8435.9892579999996</v>
      </c>
      <c r="I79" s="223">
        <v>8346.515625</v>
      </c>
      <c r="J79" s="223">
        <v>8291.6826170000004</v>
      </c>
      <c r="K79" s="223">
        <v>8261.0888670000004</v>
      </c>
      <c r="L79" s="223">
        <v>8271.4091800000006</v>
      </c>
      <c r="M79" s="223">
        <v>8287.5830079999996</v>
      </c>
      <c r="N79" s="223">
        <v>8311.3779300000006</v>
      </c>
      <c r="O79" s="223">
        <v>8325.2792969999991</v>
      </c>
      <c r="P79" s="223">
        <v>8337.6533199999994</v>
      </c>
      <c r="Q79" s="223">
        <v>8327.5019530000009</v>
      </c>
      <c r="R79" s="223">
        <v>8296.8251949999994</v>
      </c>
      <c r="S79" s="223">
        <v>8242.8730469999991</v>
      </c>
      <c r="T79" s="223">
        <v>8227.1269530000009</v>
      </c>
      <c r="U79" s="223">
        <v>8192.4570309999999</v>
      </c>
      <c r="V79" s="223">
        <v>8198.7402340000008</v>
      </c>
      <c r="W79" s="223">
        <v>8188.8388670000004</v>
      </c>
      <c r="X79" s="223">
        <v>8173.1420900000003</v>
      </c>
      <c r="Y79" s="223">
        <v>8166.9145509999998</v>
      </c>
      <c r="Z79" s="223">
        <v>8150.8017579999996</v>
      </c>
      <c r="AA79" s="223">
        <v>8133.8295900000003</v>
      </c>
      <c r="AB79" s="223">
        <v>8130.3310549999997</v>
      </c>
      <c r="AC79" s="223">
        <v>8101.1708980000003</v>
      </c>
      <c r="AD79" s="223">
        <v>8098.4907229999999</v>
      </c>
      <c r="AE79" s="223">
        <v>8065.7133789999998</v>
      </c>
      <c r="AF79" s="221">
        <v>-2.7190000000000001E-3</v>
      </c>
      <c r="AG79" s="200"/>
      <c r="AH79" s="200"/>
      <c r="AI79" s="200"/>
      <c r="AJ79" s="200"/>
      <c r="AK79" s="200"/>
      <c r="AL79" s="200"/>
      <c r="AM79" s="200"/>
      <c r="AN79" s="200"/>
      <c r="AO79" s="200"/>
      <c r="AP79" s="200"/>
      <c r="AQ79" s="200"/>
      <c r="AR79" s="200"/>
      <c r="AS79" s="200"/>
      <c r="AT79" s="200"/>
      <c r="AU79" s="200"/>
      <c r="AV79" s="200"/>
      <c r="AW79" s="200"/>
      <c r="AX79" s="200"/>
      <c r="AY79" s="200"/>
      <c r="AZ79" s="200"/>
      <c r="BA79" s="200"/>
    </row>
    <row r="80" spans="1:53" ht="15" customHeight="1">
      <c r="B80" s="288" t="s">
        <v>492</v>
      </c>
      <c r="C80" s="289"/>
      <c r="D80" s="289"/>
      <c r="E80" s="289"/>
      <c r="F80" s="289"/>
      <c r="G80" s="289"/>
      <c r="H80" s="289"/>
      <c r="I80" s="289"/>
      <c r="J80" s="289"/>
      <c r="K80" s="289"/>
      <c r="L80" s="289"/>
      <c r="M80" s="289"/>
      <c r="N80" s="289"/>
      <c r="O80" s="289"/>
      <c r="P80" s="289"/>
      <c r="Q80" s="289"/>
      <c r="R80" s="289"/>
      <c r="S80" s="289"/>
      <c r="T80" s="289"/>
      <c r="U80" s="289"/>
      <c r="V80" s="289"/>
      <c r="W80" s="289"/>
      <c r="X80" s="289"/>
      <c r="Y80" s="289"/>
      <c r="Z80" s="289"/>
      <c r="AA80" s="289"/>
      <c r="AB80" s="289"/>
      <c r="AC80" s="289"/>
      <c r="AD80" s="289"/>
      <c r="AE80" s="289"/>
      <c r="AF80" s="289"/>
      <c r="AG80" s="289"/>
      <c r="AH80" s="222"/>
      <c r="AI80" s="200"/>
      <c r="AJ80" s="200"/>
      <c r="AK80" s="200"/>
      <c r="AL80" s="200"/>
      <c r="AM80" s="200"/>
      <c r="AN80" s="200"/>
      <c r="AO80" s="200"/>
      <c r="AP80" s="200"/>
      <c r="AQ80" s="200"/>
      <c r="AR80" s="200"/>
      <c r="AS80" s="200"/>
      <c r="AT80" s="200"/>
      <c r="AU80" s="200"/>
      <c r="AV80" s="200"/>
      <c r="AW80" s="200"/>
      <c r="AX80" s="200"/>
      <c r="AY80" s="200"/>
      <c r="AZ80" s="200"/>
      <c r="BA80" s="200"/>
    </row>
    <row r="81" spans="2:53" ht="15" customHeight="1">
      <c r="B81" s="200" t="s">
        <v>493</v>
      </c>
      <c r="C81" s="200"/>
      <c r="D81" s="200"/>
      <c r="E81" s="200"/>
      <c r="F81" s="200"/>
      <c r="G81" s="200"/>
      <c r="H81" s="200"/>
      <c r="I81" s="200"/>
      <c r="J81" s="200"/>
      <c r="K81" s="200"/>
      <c r="L81" s="200"/>
      <c r="M81" s="200"/>
      <c r="N81" s="200"/>
      <c r="O81" s="200"/>
      <c r="P81" s="200"/>
      <c r="Q81" s="200"/>
      <c r="R81" s="200"/>
      <c r="S81" s="200"/>
      <c r="T81" s="200"/>
      <c r="U81" s="200"/>
      <c r="V81" s="200"/>
      <c r="W81" s="200"/>
      <c r="X81" s="200"/>
      <c r="Y81" s="200"/>
      <c r="Z81" s="200"/>
      <c r="AA81" s="200"/>
      <c r="AB81" s="200"/>
      <c r="AC81" s="200"/>
      <c r="AD81" s="200"/>
      <c r="AE81" s="200"/>
      <c r="AF81" s="200"/>
      <c r="AG81" s="200"/>
      <c r="AH81" s="200"/>
      <c r="AI81" s="200"/>
      <c r="AJ81" s="200"/>
      <c r="AK81" s="200"/>
      <c r="AL81" s="200"/>
      <c r="AM81" s="200"/>
      <c r="AN81" s="200"/>
      <c r="AO81" s="200"/>
      <c r="AP81" s="200"/>
      <c r="AQ81" s="200"/>
      <c r="AR81" s="200"/>
      <c r="AS81" s="200"/>
      <c r="AT81" s="200"/>
      <c r="AU81" s="200"/>
      <c r="AV81" s="200"/>
      <c r="AW81" s="200"/>
      <c r="AX81" s="200"/>
      <c r="AY81" s="200"/>
      <c r="AZ81" s="200"/>
      <c r="BA81" s="200"/>
    </row>
    <row r="82" spans="2:53" ht="15" customHeight="1">
      <c r="B82" s="200" t="s">
        <v>494</v>
      </c>
      <c r="C82" s="200"/>
      <c r="D82" s="200"/>
      <c r="E82" s="200"/>
      <c r="F82" s="200"/>
      <c r="G82" s="200"/>
      <c r="H82" s="200"/>
      <c r="I82" s="200"/>
      <c r="J82" s="200"/>
      <c r="K82" s="200"/>
      <c r="L82" s="200"/>
      <c r="M82" s="200"/>
      <c r="N82" s="200"/>
      <c r="O82" s="200"/>
      <c r="P82" s="200"/>
      <c r="Q82" s="200"/>
      <c r="R82" s="200"/>
      <c r="S82" s="200"/>
      <c r="T82" s="200"/>
      <c r="U82" s="200"/>
      <c r="V82" s="200"/>
      <c r="W82" s="200"/>
      <c r="X82" s="200"/>
      <c r="Y82" s="200"/>
      <c r="Z82" s="200"/>
      <c r="AA82" s="200"/>
      <c r="AB82" s="200"/>
      <c r="AC82" s="200"/>
      <c r="AD82" s="200"/>
      <c r="AE82" s="200"/>
      <c r="AF82" s="200"/>
      <c r="AG82" s="200"/>
      <c r="AH82" s="200"/>
      <c r="AI82" s="200"/>
      <c r="AJ82" s="200"/>
      <c r="AK82" s="200"/>
      <c r="AL82" s="200"/>
      <c r="AM82" s="200"/>
      <c r="AN82" s="200"/>
      <c r="AO82" s="200"/>
      <c r="AP82" s="200"/>
      <c r="AQ82" s="200"/>
      <c r="AR82" s="200"/>
      <c r="AS82" s="200"/>
      <c r="AT82" s="200"/>
      <c r="AU82" s="200"/>
      <c r="AV82" s="200"/>
      <c r="AW82" s="200"/>
      <c r="AX82" s="200"/>
      <c r="AY82" s="200"/>
      <c r="AZ82" s="200"/>
      <c r="BA82" s="200"/>
    </row>
    <row r="83" spans="2:53" ht="15" customHeight="1">
      <c r="B83" s="200" t="s">
        <v>495</v>
      </c>
      <c r="C83" s="200"/>
      <c r="D83" s="200"/>
      <c r="E83" s="200"/>
      <c r="F83" s="200"/>
      <c r="G83" s="200"/>
      <c r="H83" s="200"/>
      <c r="I83" s="200"/>
      <c r="J83" s="200"/>
      <c r="K83" s="200"/>
      <c r="L83" s="200"/>
      <c r="M83" s="200"/>
      <c r="N83" s="200"/>
      <c r="O83" s="200"/>
      <c r="P83" s="200"/>
      <c r="Q83" s="200"/>
      <c r="R83" s="200"/>
      <c r="S83" s="200"/>
      <c r="T83" s="200"/>
      <c r="U83" s="200"/>
      <c r="V83" s="200"/>
      <c r="W83" s="200"/>
      <c r="X83" s="200"/>
      <c r="Y83" s="200"/>
      <c r="Z83" s="200"/>
      <c r="AA83" s="200"/>
      <c r="AB83" s="200"/>
      <c r="AC83" s="200"/>
      <c r="AD83" s="200"/>
      <c r="AE83" s="200"/>
      <c r="AF83" s="200"/>
      <c r="AG83" s="200"/>
      <c r="AH83" s="200"/>
      <c r="AI83" s="200"/>
      <c r="AJ83" s="200"/>
      <c r="AK83" s="200"/>
      <c r="AL83" s="200"/>
      <c r="AM83" s="200"/>
      <c r="AN83" s="200"/>
      <c r="AO83" s="200"/>
      <c r="AP83" s="200"/>
      <c r="AQ83" s="200"/>
      <c r="AR83" s="200"/>
      <c r="AS83" s="200"/>
      <c r="AT83" s="200"/>
      <c r="AU83" s="200"/>
      <c r="AV83" s="200"/>
      <c r="AW83" s="200"/>
      <c r="AX83" s="200"/>
      <c r="AY83" s="200"/>
      <c r="AZ83" s="200"/>
      <c r="BA83" s="200"/>
    </row>
    <row r="84" spans="2:53" ht="14.5">
      <c r="B84" s="200" t="s">
        <v>496</v>
      </c>
      <c r="C84" s="200"/>
      <c r="D84" s="200"/>
      <c r="E84" s="200"/>
      <c r="F84" s="200"/>
      <c r="G84" s="200"/>
      <c r="H84" s="200"/>
      <c r="I84" s="200"/>
      <c r="J84" s="200"/>
      <c r="K84" s="200"/>
      <c r="L84" s="200"/>
      <c r="M84" s="200"/>
      <c r="N84" s="200"/>
      <c r="O84" s="200"/>
      <c r="P84" s="200"/>
      <c r="Q84" s="200"/>
      <c r="R84" s="200"/>
      <c r="S84" s="200"/>
      <c r="T84" s="200"/>
      <c r="U84" s="200"/>
      <c r="V84" s="200"/>
      <c r="W84" s="200"/>
      <c r="X84" s="200"/>
      <c r="Y84" s="200"/>
      <c r="Z84" s="200"/>
      <c r="AA84" s="200"/>
      <c r="AB84" s="200"/>
      <c r="AC84" s="200"/>
      <c r="AD84" s="200"/>
      <c r="AE84" s="200"/>
      <c r="AF84" s="200"/>
      <c r="AG84" s="200"/>
      <c r="AH84" s="200"/>
      <c r="AI84" s="200"/>
      <c r="AJ84" s="200"/>
      <c r="AK84" s="200"/>
      <c r="AL84" s="200"/>
      <c r="AM84" s="200"/>
      <c r="AN84" s="200"/>
      <c r="AO84" s="200"/>
      <c r="AP84" s="200"/>
      <c r="AQ84" s="200"/>
      <c r="AR84" s="200"/>
      <c r="AS84" s="200"/>
      <c r="AT84" s="200"/>
      <c r="AU84" s="200"/>
      <c r="AV84" s="200"/>
      <c r="AW84" s="200"/>
      <c r="AX84" s="200"/>
      <c r="AY84" s="200"/>
      <c r="AZ84" s="200"/>
      <c r="BA84" s="200"/>
    </row>
    <row r="85" spans="2:53" ht="15" customHeight="1">
      <c r="B85" s="200" t="s">
        <v>468</v>
      </c>
      <c r="C85" s="200"/>
      <c r="D85" s="200"/>
      <c r="E85" s="200"/>
      <c r="F85" s="200"/>
      <c r="G85" s="200"/>
      <c r="H85" s="200"/>
      <c r="I85" s="200"/>
      <c r="J85" s="200"/>
      <c r="K85" s="200"/>
      <c r="L85" s="200"/>
      <c r="M85" s="200"/>
      <c r="N85" s="200"/>
      <c r="O85" s="200"/>
      <c r="P85" s="200"/>
      <c r="Q85" s="200"/>
      <c r="R85" s="200"/>
      <c r="S85" s="200"/>
      <c r="T85" s="200"/>
      <c r="U85" s="200"/>
      <c r="V85" s="200"/>
      <c r="W85" s="200"/>
      <c r="X85" s="200"/>
      <c r="Y85" s="200"/>
      <c r="Z85" s="200"/>
      <c r="AA85" s="200"/>
      <c r="AB85" s="200"/>
      <c r="AC85" s="200"/>
      <c r="AD85" s="200"/>
      <c r="AE85" s="200"/>
      <c r="AF85" s="200"/>
      <c r="AG85" s="200"/>
      <c r="AH85" s="200"/>
      <c r="AI85" s="200"/>
      <c r="AJ85" s="200"/>
      <c r="AK85" s="200"/>
      <c r="AL85" s="200"/>
      <c r="AM85" s="200"/>
      <c r="AN85" s="200"/>
      <c r="AO85" s="200"/>
      <c r="AP85" s="200"/>
      <c r="AQ85" s="200"/>
      <c r="AR85" s="200"/>
      <c r="AS85" s="200"/>
      <c r="AT85" s="200"/>
      <c r="AU85" s="200"/>
      <c r="AV85" s="200"/>
      <c r="AW85" s="200"/>
      <c r="AX85" s="200"/>
      <c r="AY85" s="200"/>
      <c r="AZ85" s="200"/>
      <c r="BA85" s="200"/>
    </row>
    <row r="86" spans="2:53" ht="15" customHeight="1">
      <c r="B86" s="200" t="s">
        <v>497</v>
      </c>
      <c r="C86" s="200"/>
      <c r="D86" s="200"/>
      <c r="E86" s="200"/>
      <c r="F86" s="200"/>
      <c r="G86" s="200"/>
      <c r="H86" s="200"/>
      <c r="I86" s="200"/>
      <c r="J86" s="200"/>
      <c r="K86" s="200"/>
      <c r="L86" s="200"/>
      <c r="M86" s="200"/>
      <c r="N86" s="200"/>
      <c r="O86" s="200"/>
      <c r="P86" s="200"/>
      <c r="Q86" s="200"/>
      <c r="R86" s="200"/>
      <c r="S86" s="200"/>
      <c r="T86" s="200"/>
      <c r="U86" s="200"/>
      <c r="V86" s="200"/>
      <c r="W86" s="200"/>
      <c r="X86" s="200"/>
      <c r="Y86" s="200"/>
      <c r="Z86" s="200"/>
      <c r="AA86" s="200"/>
      <c r="AB86" s="200"/>
      <c r="AC86" s="200"/>
      <c r="AD86" s="200"/>
      <c r="AE86" s="200"/>
      <c r="AF86" s="200"/>
      <c r="AG86" s="200"/>
      <c r="AH86" s="200"/>
      <c r="AI86" s="200"/>
      <c r="AJ86" s="200"/>
      <c r="AK86" s="200"/>
      <c r="AL86" s="200"/>
      <c r="AM86" s="200"/>
      <c r="AN86" s="200"/>
      <c r="AO86" s="200"/>
      <c r="AP86" s="200"/>
      <c r="AQ86" s="200"/>
      <c r="AR86" s="200"/>
      <c r="AS86" s="200"/>
      <c r="AT86" s="200"/>
      <c r="AU86" s="200"/>
      <c r="AV86" s="200"/>
      <c r="AW86" s="200"/>
      <c r="AX86" s="200"/>
      <c r="AY86" s="200"/>
      <c r="AZ86" s="200"/>
      <c r="BA86" s="200"/>
    </row>
    <row r="87" spans="2:53" ht="15" customHeight="1">
      <c r="B87" s="200" t="s">
        <v>498</v>
      </c>
      <c r="C87" s="200"/>
      <c r="D87" s="200"/>
      <c r="E87" s="200"/>
      <c r="F87" s="200"/>
      <c r="G87" s="200"/>
      <c r="H87" s="200"/>
      <c r="I87" s="200"/>
      <c r="J87" s="200"/>
      <c r="K87" s="200"/>
      <c r="L87" s="200"/>
      <c r="M87" s="200"/>
      <c r="N87" s="200"/>
      <c r="O87" s="200"/>
      <c r="P87" s="200"/>
      <c r="Q87" s="200"/>
      <c r="R87" s="200"/>
      <c r="S87" s="200"/>
      <c r="T87" s="200"/>
      <c r="U87" s="200"/>
      <c r="V87" s="200"/>
      <c r="W87" s="200"/>
      <c r="X87" s="200"/>
      <c r="Y87" s="200"/>
      <c r="Z87" s="200"/>
      <c r="AA87" s="200"/>
      <c r="AB87" s="200"/>
      <c r="AC87" s="200"/>
      <c r="AD87" s="200"/>
      <c r="AE87" s="200"/>
      <c r="AF87" s="200"/>
      <c r="AG87" s="200"/>
      <c r="AH87" s="200"/>
      <c r="AI87" s="200"/>
      <c r="AJ87" s="200"/>
      <c r="AK87" s="200"/>
      <c r="AL87" s="200"/>
      <c r="AM87" s="200"/>
      <c r="AN87" s="200"/>
      <c r="AO87" s="200"/>
      <c r="AP87" s="200"/>
      <c r="AQ87" s="200"/>
      <c r="AR87" s="200"/>
      <c r="AS87" s="200"/>
      <c r="AT87" s="200"/>
      <c r="AU87" s="200"/>
      <c r="AV87" s="200"/>
      <c r="AW87" s="200"/>
      <c r="AX87" s="200"/>
      <c r="AY87" s="200"/>
      <c r="AZ87" s="200"/>
      <c r="BA87" s="200"/>
    </row>
    <row r="88" spans="2:53" ht="15" customHeight="1">
      <c r="B88" s="290"/>
      <c r="C88" s="290"/>
      <c r="D88" s="290"/>
      <c r="E88" s="290"/>
      <c r="F88" s="290"/>
      <c r="G88" s="290"/>
      <c r="H88" s="290"/>
      <c r="I88" s="290"/>
      <c r="J88" s="290"/>
      <c r="K88" s="290"/>
      <c r="L88" s="290"/>
      <c r="M88" s="290"/>
      <c r="N88" s="290"/>
      <c r="O88" s="290"/>
      <c r="P88" s="290"/>
      <c r="Q88" s="290"/>
      <c r="R88" s="290"/>
      <c r="S88" s="290"/>
      <c r="T88" s="290"/>
      <c r="U88" s="290"/>
      <c r="V88" s="290"/>
      <c r="W88" s="290"/>
      <c r="X88" s="290"/>
      <c r="Y88" s="290"/>
      <c r="Z88" s="290"/>
      <c r="AA88" s="290"/>
      <c r="AB88" s="290"/>
      <c r="AC88" s="290"/>
      <c r="AD88" s="290"/>
      <c r="AE88" s="290"/>
      <c r="AF88" s="290"/>
      <c r="AG88" s="200"/>
      <c r="AH88" s="200"/>
      <c r="AI88" s="200"/>
      <c r="AJ88" s="200"/>
      <c r="AK88" s="200"/>
      <c r="AL88" s="200"/>
      <c r="AM88" s="200"/>
      <c r="AN88" s="200"/>
      <c r="AO88" s="200"/>
      <c r="AP88" s="200"/>
      <c r="AQ88" s="200"/>
      <c r="AR88" s="200"/>
      <c r="AS88" s="200"/>
      <c r="AT88" s="200"/>
      <c r="AU88" s="200"/>
      <c r="AV88" s="200"/>
      <c r="AW88" s="200"/>
      <c r="AX88" s="200"/>
      <c r="AY88" s="200"/>
      <c r="AZ88" s="200"/>
      <c r="BA88" s="200"/>
    </row>
    <row r="89" spans="2:53" ht="15" customHeight="1">
      <c r="B89" s="200"/>
      <c r="C89" s="200"/>
      <c r="D89" s="200"/>
      <c r="E89" s="200"/>
      <c r="F89" s="200"/>
      <c r="G89" s="200"/>
      <c r="H89" s="200"/>
      <c r="I89" s="200"/>
      <c r="J89" s="200"/>
      <c r="K89" s="200"/>
      <c r="L89" s="200"/>
      <c r="M89" s="200"/>
      <c r="N89" s="200"/>
      <c r="O89" s="200"/>
      <c r="P89" s="200"/>
      <c r="Q89" s="200"/>
      <c r="R89" s="200"/>
      <c r="S89" s="200"/>
      <c r="T89" s="200"/>
      <c r="U89" s="200"/>
      <c r="V89" s="200"/>
      <c r="W89" s="200"/>
      <c r="X89" s="200"/>
      <c r="Y89" s="200"/>
      <c r="Z89" s="200"/>
      <c r="AA89" s="200"/>
      <c r="AB89" s="200"/>
      <c r="AC89" s="200"/>
      <c r="AD89" s="200"/>
      <c r="AE89" s="200"/>
      <c r="AF89" s="200"/>
      <c r="AG89" s="200"/>
      <c r="AH89" s="200"/>
      <c r="AI89" s="200"/>
      <c r="AJ89" s="200"/>
      <c r="AK89" s="200"/>
      <c r="AL89" s="200"/>
      <c r="AM89" s="200"/>
      <c r="AN89" s="200"/>
      <c r="AO89" s="200"/>
      <c r="AP89" s="200"/>
      <c r="AQ89" s="200"/>
      <c r="AR89" s="200"/>
      <c r="AS89" s="200"/>
      <c r="AT89" s="200"/>
      <c r="AU89" s="200"/>
      <c r="AV89" s="200"/>
      <c r="AW89" s="200"/>
      <c r="AX89" s="200"/>
      <c r="AY89" s="200"/>
      <c r="AZ89" s="200"/>
      <c r="BA89" s="200"/>
    </row>
    <row r="90" spans="2:53" ht="15" customHeight="1">
      <c r="B90" s="200"/>
      <c r="C90" s="200"/>
      <c r="D90" s="200"/>
      <c r="E90" s="200"/>
      <c r="F90" s="200"/>
      <c r="G90" s="200"/>
      <c r="H90" s="200"/>
      <c r="I90" s="200"/>
      <c r="J90" s="200"/>
      <c r="K90" s="200"/>
      <c r="L90" s="200"/>
      <c r="M90" s="200"/>
      <c r="N90" s="200"/>
      <c r="O90" s="200"/>
      <c r="P90" s="200"/>
      <c r="Q90" s="200"/>
      <c r="R90" s="200"/>
      <c r="S90" s="200"/>
      <c r="T90" s="200"/>
      <c r="U90" s="200"/>
      <c r="V90" s="200"/>
      <c r="W90" s="200"/>
      <c r="X90" s="200"/>
      <c r="Y90" s="200"/>
      <c r="Z90" s="200"/>
      <c r="AA90" s="200"/>
      <c r="AB90" s="200"/>
      <c r="AC90" s="200"/>
      <c r="AD90" s="200"/>
      <c r="AE90" s="200"/>
      <c r="AF90" s="200"/>
      <c r="AG90" s="200"/>
      <c r="AH90" s="200"/>
      <c r="AI90" s="200"/>
      <c r="AJ90" s="200"/>
      <c r="AK90" s="200"/>
      <c r="AL90" s="200"/>
      <c r="AM90" s="200"/>
      <c r="AN90" s="200"/>
      <c r="AO90" s="200"/>
      <c r="AP90" s="200"/>
      <c r="AQ90" s="200"/>
      <c r="AR90" s="200"/>
      <c r="AS90" s="200"/>
      <c r="AT90" s="200"/>
      <c r="AU90" s="200"/>
      <c r="AV90" s="200"/>
      <c r="AW90" s="200"/>
      <c r="AX90" s="200"/>
      <c r="AY90" s="200"/>
      <c r="AZ90" s="200"/>
      <c r="BA90" s="200"/>
    </row>
    <row r="91" spans="2:53" ht="15" customHeight="1">
      <c r="B91" s="200"/>
      <c r="C91" s="200"/>
      <c r="D91" s="200"/>
      <c r="E91" s="200"/>
      <c r="F91" s="200"/>
      <c r="G91" s="200"/>
      <c r="H91" s="200"/>
      <c r="I91" s="200"/>
      <c r="J91" s="200"/>
      <c r="K91" s="200"/>
      <c r="L91" s="200"/>
      <c r="M91" s="200"/>
      <c r="N91" s="200"/>
      <c r="O91" s="200"/>
      <c r="P91" s="200"/>
      <c r="Q91" s="200"/>
      <c r="R91" s="200"/>
      <c r="S91" s="200"/>
      <c r="T91" s="200"/>
      <c r="U91" s="200"/>
      <c r="V91" s="200"/>
      <c r="W91" s="200"/>
      <c r="X91" s="200"/>
      <c r="Y91" s="200"/>
      <c r="Z91" s="200"/>
      <c r="AA91" s="200"/>
      <c r="AB91" s="200"/>
      <c r="AC91" s="200"/>
      <c r="AD91" s="200"/>
      <c r="AE91" s="200"/>
      <c r="AF91" s="200"/>
      <c r="AG91" s="200"/>
      <c r="AH91" s="200"/>
      <c r="AI91" s="200"/>
      <c r="AJ91" s="200"/>
      <c r="AK91" s="200"/>
      <c r="AL91" s="200"/>
      <c r="AM91" s="200"/>
      <c r="AN91" s="200"/>
      <c r="AO91" s="200"/>
      <c r="AP91" s="200"/>
      <c r="AQ91" s="200"/>
      <c r="AR91" s="200"/>
      <c r="AS91" s="200"/>
      <c r="AT91" s="200"/>
      <c r="AU91" s="200"/>
      <c r="AV91" s="200"/>
      <c r="AW91" s="200"/>
      <c r="AX91" s="200"/>
      <c r="AY91" s="200"/>
      <c r="AZ91" s="200"/>
      <c r="BA91" s="200"/>
    </row>
    <row r="92" spans="2:53" ht="15" customHeight="1">
      <c r="B92" s="200"/>
      <c r="C92" s="200"/>
      <c r="D92" s="200"/>
      <c r="E92" s="200"/>
      <c r="F92" s="200"/>
      <c r="G92" s="200"/>
      <c r="H92" s="200"/>
      <c r="I92" s="200"/>
      <c r="J92" s="200"/>
      <c r="K92" s="200"/>
      <c r="L92" s="200"/>
      <c r="M92" s="200"/>
      <c r="N92" s="200"/>
      <c r="O92" s="200"/>
      <c r="P92" s="200"/>
      <c r="Q92" s="200"/>
      <c r="R92" s="200"/>
      <c r="S92" s="200"/>
      <c r="T92" s="200"/>
      <c r="U92" s="200"/>
      <c r="V92" s="200"/>
      <c r="W92" s="200"/>
      <c r="X92" s="200"/>
      <c r="Y92" s="200"/>
      <c r="Z92" s="200"/>
      <c r="AA92" s="200"/>
      <c r="AB92" s="200"/>
      <c r="AC92" s="200"/>
      <c r="AD92" s="200"/>
      <c r="AE92" s="200"/>
      <c r="AF92" s="200"/>
      <c r="AG92" s="200"/>
      <c r="AH92" s="200"/>
      <c r="AI92" s="200"/>
      <c r="AJ92" s="200"/>
      <c r="AK92" s="200"/>
      <c r="AL92" s="200"/>
      <c r="AM92" s="200"/>
      <c r="AN92" s="200"/>
      <c r="AO92" s="200"/>
      <c r="AP92" s="200"/>
      <c r="AQ92" s="200"/>
      <c r="AR92" s="200"/>
      <c r="AS92" s="200"/>
      <c r="AT92" s="200"/>
      <c r="AU92" s="200"/>
      <c r="AV92" s="200"/>
      <c r="AW92" s="200"/>
      <c r="AX92" s="200"/>
      <c r="AY92" s="200"/>
      <c r="AZ92" s="200"/>
      <c r="BA92" s="200"/>
    </row>
    <row r="93" spans="2:53" ht="15" customHeight="1">
      <c r="B93" s="200"/>
      <c r="C93" s="200"/>
      <c r="D93" s="200"/>
      <c r="E93" s="200"/>
      <c r="F93" s="200"/>
      <c r="G93" s="200"/>
      <c r="H93" s="200"/>
      <c r="I93" s="200"/>
      <c r="J93" s="200"/>
      <c r="K93" s="200"/>
      <c r="L93" s="200"/>
      <c r="M93" s="200"/>
      <c r="N93" s="200"/>
      <c r="O93" s="200"/>
      <c r="P93" s="200"/>
      <c r="Q93" s="200"/>
      <c r="R93" s="200"/>
      <c r="S93" s="200"/>
      <c r="T93" s="200"/>
      <c r="U93" s="200"/>
      <c r="V93" s="200"/>
      <c r="W93" s="200"/>
      <c r="X93" s="200"/>
      <c r="Y93" s="200"/>
      <c r="Z93" s="200"/>
      <c r="AA93" s="200"/>
      <c r="AB93" s="200"/>
      <c r="AC93" s="200"/>
      <c r="AD93" s="200"/>
      <c r="AE93" s="200"/>
      <c r="AF93" s="200"/>
      <c r="AG93" s="200"/>
      <c r="AH93" s="200"/>
      <c r="AI93" s="200"/>
      <c r="AJ93" s="200"/>
      <c r="AK93" s="200"/>
      <c r="AL93" s="200"/>
      <c r="AM93" s="200"/>
      <c r="AN93" s="200"/>
      <c r="AO93" s="200"/>
      <c r="AP93" s="200"/>
      <c r="AQ93" s="200"/>
      <c r="AR93" s="200"/>
      <c r="AS93" s="200"/>
      <c r="AT93" s="200"/>
      <c r="AU93" s="200"/>
      <c r="AV93" s="200"/>
      <c r="AW93" s="200"/>
      <c r="AX93" s="200"/>
      <c r="AY93" s="200"/>
      <c r="AZ93" s="200"/>
      <c r="BA93" s="200"/>
    </row>
    <row r="94" spans="2:53" ht="15" customHeight="1">
      <c r="B94" s="200"/>
      <c r="C94" s="200"/>
      <c r="D94" s="200"/>
      <c r="E94" s="200"/>
      <c r="F94" s="200"/>
      <c r="G94" s="200"/>
      <c r="H94" s="200"/>
      <c r="I94" s="200"/>
      <c r="J94" s="200"/>
      <c r="K94" s="200"/>
      <c r="L94" s="200"/>
      <c r="M94" s="200"/>
      <c r="N94" s="200"/>
      <c r="O94" s="200"/>
      <c r="P94" s="200"/>
      <c r="Q94" s="200"/>
      <c r="R94" s="200"/>
      <c r="S94" s="200"/>
      <c r="T94" s="200"/>
      <c r="U94" s="200"/>
      <c r="V94" s="200"/>
      <c r="W94" s="200"/>
      <c r="X94" s="200"/>
      <c r="Y94" s="200"/>
      <c r="Z94" s="200"/>
      <c r="AA94" s="200"/>
      <c r="AB94" s="200"/>
      <c r="AC94" s="200"/>
      <c r="AD94" s="200"/>
      <c r="AE94" s="200"/>
      <c r="AF94" s="200"/>
      <c r="AG94" s="200"/>
      <c r="AH94" s="200"/>
      <c r="AI94" s="200"/>
      <c r="AJ94" s="200"/>
      <c r="AK94" s="200"/>
      <c r="AL94" s="200"/>
      <c r="AM94" s="200"/>
      <c r="AN94" s="200"/>
      <c r="AO94" s="200"/>
      <c r="AP94" s="200"/>
      <c r="AQ94" s="200"/>
      <c r="AR94" s="200"/>
      <c r="AS94" s="200"/>
      <c r="AT94" s="200"/>
      <c r="AU94" s="200"/>
      <c r="AV94" s="200"/>
      <c r="AW94" s="200"/>
      <c r="AX94" s="200"/>
      <c r="AY94" s="200"/>
      <c r="AZ94" s="200"/>
      <c r="BA94" s="200"/>
    </row>
    <row r="95" spans="2:53" ht="15" customHeight="1">
      <c r="B95" s="200"/>
      <c r="C95" s="200"/>
      <c r="D95" s="200"/>
      <c r="E95" s="200"/>
      <c r="F95" s="200"/>
      <c r="G95" s="200"/>
      <c r="H95" s="200"/>
      <c r="I95" s="200"/>
      <c r="J95" s="200"/>
      <c r="K95" s="200"/>
      <c r="L95" s="200"/>
      <c r="M95" s="200"/>
      <c r="N95" s="200"/>
      <c r="O95" s="200"/>
      <c r="P95" s="200"/>
      <c r="Q95" s="200"/>
      <c r="R95" s="200"/>
      <c r="S95" s="200"/>
      <c r="T95" s="200"/>
      <c r="U95" s="200"/>
      <c r="V95" s="200"/>
      <c r="W95" s="200"/>
      <c r="X95" s="200"/>
      <c r="Y95" s="200"/>
      <c r="Z95" s="200"/>
      <c r="AA95" s="200"/>
      <c r="AB95" s="200"/>
      <c r="AC95" s="200"/>
      <c r="AD95" s="200"/>
      <c r="AE95" s="200"/>
      <c r="AF95" s="200"/>
      <c r="AG95" s="200"/>
      <c r="AH95" s="200"/>
      <c r="AI95" s="200"/>
      <c r="AJ95" s="200"/>
      <c r="AK95" s="200"/>
      <c r="AL95" s="200"/>
      <c r="AM95" s="200"/>
      <c r="AN95" s="200"/>
      <c r="AO95" s="200"/>
      <c r="AP95" s="200"/>
      <c r="AQ95" s="200"/>
      <c r="AR95" s="200"/>
      <c r="AS95" s="200"/>
      <c r="AT95" s="200"/>
      <c r="AU95" s="200"/>
      <c r="AV95" s="200"/>
      <c r="AW95" s="200"/>
      <c r="AX95" s="200"/>
      <c r="AY95" s="200"/>
      <c r="AZ95" s="200"/>
      <c r="BA95" s="200"/>
    </row>
    <row r="96" spans="2:53" ht="15" customHeight="1">
      <c r="B96" s="200"/>
      <c r="C96" s="200"/>
      <c r="D96" s="200"/>
      <c r="E96" s="200"/>
      <c r="F96" s="200"/>
      <c r="G96" s="200"/>
      <c r="H96" s="200"/>
      <c r="I96" s="200"/>
      <c r="J96" s="200"/>
      <c r="K96" s="200"/>
      <c r="L96" s="200"/>
      <c r="M96" s="200"/>
      <c r="N96" s="200"/>
      <c r="O96" s="200"/>
      <c r="P96" s="200"/>
      <c r="Q96" s="200"/>
      <c r="R96" s="200"/>
      <c r="S96" s="200"/>
      <c r="T96" s="200"/>
      <c r="U96" s="200"/>
      <c r="V96" s="200"/>
      <c r="W96" s="200"/>
      <c r="X96" s="200"/>
      <c r="Y96" s="200"/>
      <c r="Z96" s="200"/>
      <c r="AA96" s="200"/>
      <c r="AB96" s="200"/>
      <c r="AC96" s="200"/>
      <c r="AD96" s="200"/>
      <c r="AE96" s="200"/>
      <c r="AF96" s="200"/>
      <c r="AG96" s="200"/>
      <c r="AH96" s="200"/>
      <c r="AI96" s="200"/>
      <c r="AJ96" s="200"/>
      <c r="AK96" s="200"/>
      <c r="AL96" s="200"/>
      <c r="AM96" s="200"/>
      <c r="AN96" s="200"/>
      <c r="AO96" s="200"/>
      <c r="AP96" s="200"/>
      <c r="AQ96" s="200"/>
      <c r="AR96" s="200"/>
      <c r="AS96" s="200"/>
      <c r="AT96" s="200"/>
      <c r="AU96" s="200"/>
      <c r="AV96" s="200"/>
      <c r="AW96" s="200"/>
      <c r="AX96" s="200"/>
      <c r="AY96" s="200"/>
      <c r="AZ96" s="200"/>
      <c r="BA96" s="200"/>
    </row>
    <row r="97" spans="2:53" ht="15" customHeight="1">
      <c r="B97" s="200"/>
      <c r="C97" s="200"/>
      <c r="D97" s="200"/>
      <c r="E97" s="200"/>
      <c r="F97" s="200"/>
      <c r="G97" s="200"/>
      <c r="H97" s="200"/>
      <c r="I97" s="200"/>
      <c r="J97" s="200"/>
      <c r="K97" s="200"/>
      <c r="L97" s="200"/>
      <c r="M97" s="200"/>
      <c r="N97" s="200"/>
      <c r="O97" s="200"/>
      <c r="P97" s="200"/>
      <c r="Q97" s="200"/>
      <c r="R97" s="200"/>
      <c r="S97" s="200"/>
      <c r="T97" s="200"/>
      <c r="U97" s="200"/>
      <c r="V97" s="200"/>
      <c r="W97" s="200"/>
      <c r="X97" s="200"/>
      <c r="Y97" s="200"/>
      <c r="Z97" s="200"/>
      <c r="AA97" s="200"/>
      <c r="AB97" s="200"/>
      <c r="AC97" s="200"/>
      <c r="AD97" s="200"/>
      <c r="AE97" s="200"/>
      <c r="AF97" s="200"/>
      <c r="AG97" s="200"/>
      <c r="AH97" s="200"/>
      <c r="AI97" s="200"/>
      <c r="AJ97" s="200"/>
      <c r="AK97" s="200"/>
      <c r="AL97" s="200"/>
      <c r="AM97" s="200"/>
      <c r="AN97" s="200"/>
      <c r="AO97" s="200"/>
      <c r="AP97" s="200"/>
      <c r="AQ97" s="200"/>
      <c r="AR97" s="200"/>
      <c r="AS97" s="200"/>
      <c r="AT97" s="200"/>
      <c r="AU97" s="200"/>
      <c r="AV97" s="200"/>
      <c r="AW97" s="200"/>
      <c r="AX97" s="200"/>
      <c r="AY97" s="200"/>
      <c r="AZ97" s="200"/>
      <c r="BA97" s="200"/>
    </row>
    <row r="98" spans="2:53" ht="15" customHeight="1">
      <c r="B98" s="200"/>
      <c r="C98" s="200"/>
      <c r="D98" s="200"/>
      <c r="E98" s="200"/>
      <c r="F98" s="200"/>
      <c r="G98" s="200"/>
      <c r="H98" s="200"/>
      <c r="I98" s="200"/>
      <c r="J98" s="200"/>
      <c r="K98" s="200"/>
      <c r="L98" s="200"/>
      <c r="M98" s="200"/>
      <c r="N98" s="200"/>
      <c r="O98" s="200"/>
      <c r="P98" s="200"/>
      <c r="Q98" s="200"/>
      <c r="R98" s="200"/>
      <c r="S98" s="200"/>
      <c r="T98" s="200"/>
      <c r="U98" s="200"/>
      <c r="V98" s="200"/>
      <c r="W98" s="200"/>
      <c r="X98" s="200"/>
      <c r="Y98" s="200"/>
      <c r="Z98" s="200"/>
      <c r="AA98" s="200"/>
      <c r="AB98" s="200"/>
      <c r="AC98" s="200"/>
      <c r="AD98" s="200"/>
      <c r="AE98" s="200"/>
      <c r="AF98" s="200"/>
      <c r="AG98" s="200"/>
      <c r="AH98" s="200"/>
      <c r="AI98" s="200"/>
      <c r="AJ98" s="200"/>
      <c r="AK98" s="200"/>
      <c r="AL98" s="200"/>
      <c r="AM98" s="200"/>
      <c r="AN98" s="200"/>
      <c r="AO98" s="200"/>
      <c r="AP98" s="200"/>
      <c r="AQ98" s="200"/>
      <c r="AR98" s="200"/>
      <c r="AS98" s="200"/>
      <c r="AT98" s="200"/>
      <c r="AU98" s="200"/>
      <c r="AV98" s="200"/>
      <c r="AW98" s="200"/>
      <c r="AX98" s="200"/>
      <c r="AY98" s="200"/>
      <c r="AZ98" s="200"/>
      <c r="BA98" s="200"/>
    </row>
    <row r="99" spans="2:53" ht="15" customHeight="1">
      <c r="B99" s="200"/>
      <c r="C99" s="200"/>
      <c r="D99" s="200"/>
      <c r="E99" s="200"/>
      <c r="F99" s="200"/>
      <c r="G99" s="200"/>
      <c r="H99" s="200"/>
      <c r="I99" s="200"/>
      <c r="J99" s="200"/>
      <c r="K99" s="200"/>
      <c r="L99" s="200"/>
      <c r="M99" s="200"/>
      <c r="N99" s="200"/>
      <c r="O99" s="200"/>
      <c r="P99" s="200"/>
      <c r="Q99" s="200"/>
      <c r="R99" s="200"/>
      <c r="S99" s="200"/>
      <c r="T99" s="200"/>
      <c r="U99" s="200"/>
      <c r="V99" s="200"/>
      <c r="W99" s="200"/>
      <c r="X99" s="200"/>
      <c r="Y99" s="200"/>
      <c r="Z99" s="200"/>
      <c r="AA99" s="200"/>
      <c r="AB99" s="200"/>
      <c r="AC99" s="200"/>
      <c r="AD99" s="200"/>
      <c r="AE99" s="200"/>
      <c r="AF99" s="200"/>
      <c r="AG99" s="200"/>
      <c r="AH99" s="200"/>
      <c r="AI99" s="200"/>
      <c r="AJ99" s="200"/>
      <c r="AK99" s="200"/>
      <c r="AL99" s="200"/>
      <c r="AM99" s="200"/>
      <c r="AN99" s="200"/>
      <c r="AO99" s="200"/>
      <c r="AP99" s="200"/>
      <c r="AQ99" s="200"/>
      <c r="AR99" s="200"/>
      <c r="AS99" s="200"/>
      <c r="AT99" s="200"/>
      <c r="AU99" s="200"/>
      <c r="AV99" s="200"/>
      <c r="AW99" s="200"/>
      <c r="AX99" s="200"/>
      <c r="AY99" s="200"/>
      <c r="AZ99" s="200"/>
      <c r="BA99" s="200"/>
    </row>
    <row r="100" spans="2:53" ht="15" customHeight="1">
      <c r="B100" s="200"/>
      <c r="C100" s="200"/>
      <c r="D100" s="200"/>
      <c r="E100" s="200"/>
      <c r="F100" s="200"/>
      <c r="G100" s="200"/>
      <c r="H100" s="200"/>
      <c r="I100" s="200"/>
      <c r="J100" s="200"/>
      <c r="K100" s="200"/>
      <c r="L100" s="200"/>
      <c r="M100" s="200"/>
      <c r="N100" s="200"/>
      <c r="O100" s="200"/>
      <c r="P100" s="200"/>
      <c r="Q100" s="200"/>
      <c r="R100" s="200"/>
      <c r="S100" s="200"/>
      <c r="T100" s="200"/>
      <c r="U100" s="200"/>
      <c r="V100" s="200"/>
      <c r="W100" s="200"/>
      <c r="X100" s="200"/>
      <c r="Y100" s="200"/>
      <c r="Z100" s="200"/>
      <c r="AA100" s="200"/>
      <c r="AB100" s="200"/>
      <c r="AC100" s="200"/>
      <c r="AD100" s="200"/>
      <c r="AE100" s="200"/>
      <c r="AF100" s="200"/>
      <c r="AG100" s="200"/>
      <c r="AH100" s="200"/>
      <c r="AI100" s="200"/>
      <c r="AJ100" s="200"/>
      <c r="AK100" s="200"/>
      <c r="AL100" s="200"/>
      <c r="AM100" s="200"/>
      <c r="AN100" s="200"/>
      <c r="AO100" s="200"/>
      <c r="AP100" s="200"/>
      <c r="AQ100" s="200"/>
      <c r="AR100" s="200"/>
      <c r="AS100" s="200"/>
      <c r="AT100" s="200"/>
      <c r="AU100" s="200"/>
      <c r="AV100" s="200"/>
      <c r="AW100" s="200"/>
      <c r="AX100" s="200"/>
      <c r="AY100" s="200"/>
      <c r="AZ100" s="200"/>
      <c r="BA100" s="200"/>
    </row>
    <row r="101" spans="2:53" ht="15" customHeight="1">
      <c r="B101" s="200"/>
      <c r="C101" s="200"/>
      <c r="D101" s="200"/>
      <c r="E101" s="200"/>
      <c r="F101" s="200"/>
      <c r="G101" s="200"/>
      <c r="H101" s="200"/>
      <c r="I101" s="200"/>
      <c r="J101" s="200"/>
      <c r="K101" s="200"/>
      <c r="L101" s="200"/>
      <c r="M101" s="200"/>
      <c r="N101" s="200"/>
      <c r="O101" s="200"/>
      <c r="P101" s="200"/>
      <c r="Q101" s="200"/>
      <c r="R101" s="200"/>
      <c r="S101" s="200"/>
      <c r="T101" s="200"/>
      <c r="U101" s="200"/>
      <c r="V101" s="200"/>
      <c r="W101" s="200"/>
      <c r="X101" s="200"/>
      <c r="Y101" s="200"/>
      <c r="Z101" s="200"/>
      <c r="AA101" s="200"/>
      <c r="AB101" s="200"/>
      <c r="AC101" s="200"/>
      <c r="AD101" s="200"/>
      <c r="AE101" s="200"/>
      <c r="AF101" s="200"/>
      <c r="AG101" s="200"/>
      <c r="AH101" s="200"/>
      <c r="AI101" s="200"/>
      <c r="AJ101" s="200"/>
      <c r="AK101" s="200"/>
      <c r="AL101" s="200"/>
      <c r="AM101" s="200"/>
      <c r="AN101" s="200"/>
      <c r="AO101" s="200"/>
      <c r="AP101" s="200"/>
      <c r="AQ101" s="200"/>
      <c r="AR101" s="200"/>
      <c r="AS101" s="200"/>
      <c r="AT101" s="200"/>
      <c r="AU101" s="200"/>
      <c r="AV101" s="200"/>
      <c r="AW101" s="200"/>
      <c r="AX101" s="200"/>
      <c r="AY101" s="200"/>
      <c r="AZ101" s="200"/>
      <c r="BA101" s="200"/>
    </row>
    <row r="102" spans="2:53" ht="15" customHeight="1">
      <c r="B102" s="200"/>
      <c r="C102" s="200"/>
      <c r="D102" s="200"/>
      <c r="E102" s="200"/>
      <c r="F102" s="200"/>
      <c r="G102" s="200"/>
      <c r="H102" s="200"/>
      <c r="I102" s="200"/>
      <c r="J102" s="200"/>
      <c r="K102" s="200"/>
      <c r="L102" s="200"/>
      <c r="M102" s="200"/>
      <c r="N102" s="200"/>
      <c r="O102" s="200"/>
      <c r="P102" s="200"/>
      <c r="Q102" s="200"/>
      <c r="R102" s="200"/>
      <c r="S102" s="200"/>
      <c r="T102" s="200"/>
      <c r="U102" s="200"/>
      <c r="V102" s="200"/>
      <c r="W102" s="200"/>
      <c r="X102" s="200"/>
      <c r="Y102" s="200"/>
      <c r="Z102" s="200"/>
      <c r="AA102" s="200"/>
      <c r="AB102" s="200"/>
      <c r="AC102" s="200"/>
      <c r="AD102" s="200"/>
      <c r="AE102" s="200"/>
      <c r="AF102" s="200"/>
      <c r="AG102" s="200"/>
      <c r="AH102" s="200"/>
      <c r="AI102" s="200"/>
      <c r="AJ102" s="200"/>
      <c r="AK102" s="200"/>
      <c r="AL102" s="200"/>
      <c r="AM102" s="200"/>
      <c r="AN102" s="200"/>
      <c r="AO102" s="200"/>
      <c r="AP102" s="200"/>
      <c r="AQ102" s="200"/>
      <c r="AR102" s="200"/>
      <c r="AS102" s="200"/>
      <c r="AT102" s="200"/>
      <c r="AU102" s="200"/>
      <c r="AV102" s="200"/>
      <c r="AW102" s="200"/>
      <c r="AX102" s="200"/>
      <c r="AY102" s="200"/>
      <c r="AZ102" s="200"/>
      <c r="BA102" s="200"/>
    </row>
    <row r="103" spans="2:53" ht="15" customHeight="1">
      <c r="B103" s="200"/>
      <c r="C103" s="200"/>
      <c r="D103" s="200"/>
      <c r="E103" s="200"/>
      <c r="F103" s="200"/>
      <c r="G103" s="200"/>
      <c r="H103" s="200"/>
      <c r="I103" s="200"/>
      <c r="J103" s="200"/>
      <c r="K103" s="200"/>
      <c r="L103" s="200"/>
      <c r="M103" s="200"/>
      <c r="N103" s="200"/>
      <c r="O103" s="200"/>
      <c r="P103" s="200"/>
      <c r="Q103" s="200"/>
      <c r="R103" s="200"/>
      <c r="S103" s="200"/>
      <c r="T103" s="200"/>
      <c r="U103" s="200"/>
      <c r="V103" s="200"/>
      <c r="W103" s="200"/>
      <c r="X103" s="200"/>
      <c r="Y103" s="200"/>
      <c r="Z103" s="200"/>
      <c r="AA103" s="200"/>
      <c r="AB103" s="200"/>
      <c r="AC103" s="200"/>
      <c r="AD103" s="200"/>
      <c r="AE103" s="200"/>
      <c r="AF103" s="200"/>
      <c r="AG103" s="200"/>
      <c r="AH103" s="200"/>
      <c r="AI103" s="200"/>
      <c r="AJ103" s="200"/>
      <c r="AK103" s="200"/>
      <c r="AL103" s="200"/>
      <c r="AM103" s="200"/>
      <c r="AN103" s="200"/>
      <c r="AO103" s="200"/>
      <c r="AP103" s="200"/>
      <c r="AQ103" s="200"/>
      <c r="AR103" s="200"/>
      <c r="AS103" s="200"/>
      <c r="AT103" s="200"/>
      <c r="AU103" s="200"/>
      <c r="AV103" s="200"/>
      <c r="AW103" s="200"/>
      <c r="AX103" s="200"/>
      <c r="AY103" s="200"/>
      <c r="AZ103" s="200"/>
      <c r="BA103" s="200"/>
    </row>
    <row r="104" spans="2:53" ht="15" customHeight="1">
      <c r="B104" s="200"/>
      <c r="C104" s="200"/>
      <c r="D104" s="200"/>
      <c r="E104" s="200"/>
      <c r="F104" s="200"/>
      <c r="G104" s="200"/>
      <c r="H104" s="200"/>
      <c r="I104" s="200"/>
      <c r="J104" s="200"/>
      <c r="K104" s="200"/>
      <c r="L104" s="200"/>
      <c r="M104" s="200"/>
      <c r="N104" s="200"/>
      <c r="O104" s="200"/>
      <c r="P104" s="200"/>
      <c r="Q104" s="200"/>
      <c r="R104" s="200"/>
      <c r="S104" s="200"/>
      <c r="T104" s="200"/>
      <c r="U104" s="200"/>
      <c r="V104" s="200"/>
      <c r="W104" s="200"/>
      <c r="X104" s="200"/>
      <c r="Y104" s="200"/>
      <c r="Z104" s="200"/>
      <c r="AA104" s="200"/>
      <c r="AB104" s="200"/>
      <c r="AC104" s="200"/>
      <c r="AD104" s="200"/>
      <c r="AE104" s="200"/>
      <c r="AF104" s="200"/>
      <c r="AG104" s="200"/>
      <c r="AH104" s="200"/>
      <c r="AI104" s="200"/>
      <c r="AJ104" s="200"/>
      <c r="AK104" s="200"/>
      <c r="AL104" s="200"/>
      <c r="AM104" s="200"/>
      <c r="AN104" s="200"/>
      <c r="AO104" s="200"/>
      <c r="AP104" s="200"/>
      <c r="AQ104" s="200"/>
      <c r="AR104" s="200"/>
      <c r="AS104" s="200"/>
      <c r="AT104" s="200"/>
      <c r="AU104" s="200"/>
      <c r="AV104" s="200"/>
      <c r="AW104" s="200"/>
      <c r="AX104" s="200"/>
      <c r="AY104" s="200"/>
      <c r="AZ104" s="200"/>
      <c r="BA104" s="200"/>
    </row>
    <row r="105" spans="2:53" ht="15" customHeight="1">
      <c r="B105" s="200"/>
      <c r="C105" s="200"/>
      <c r="D105" s="200"/>
      <c r="E105" s="200"/>
      <c r="F105" s="200"/>
      <c r="G105" s="200"/>
      <c r="H105" s="200"/>
      <c r="I105" s="200"/>
      <c r="J105" s="200"/>
      <c r="K105" s="200"/>
      <c r="L105" s="200"/>
      <c r="M105" s="200"/>
      <c r="N105" s="200"/>
      <c r="O105" s="200"/>
      <c r="P105" s="200"/>
      <c r="Q105" s="200"/>
      <c r="R105" s="200"/>
      <c r="S105" s="200"/>
      <c r="T105" s="200"/>
      <c r="U105" s="200"/>
      <c r="V105" s="200"/>
      <c r="W105" s="200"/>
      <c r="X105" s="200"/>
      <c r="Y105" s="200"/>
      <c r="Z105" s="200"/>
      <c r="AA105" s="200"/>
      <c r="AB105" s="200"/>
      <c r="AC105" s="200"/>
      <c r="AD105" s="200"/>
      <c r="AE105" s="200"/>
      <c r="AF105" s="200"/>
      <c r="AG105" s="200"/>
      <c r="AH105" s="200"/>
      <c r="AI105" s="200"/>
      <c r="AJ105" s="200"/>
      <c r="AK105" s="200"/>
      <c r="AL105" s="200"/>
      <c r="AM105" s="200"/>
      <c r="AN105" s="200"/>
      <c r="AO105" s="200"/>
      <c r="AP105" s="200"/>
      <c r="AQ105" s="200"/>
      <c r="AR105" s="200"/>
      <c r="AS105" s="200"/>
      <c r="AT105" s="200"/>
      <c r="AU105" s="200"/>
      <c r="AV105" s="200"/>
      <c r="AW105" s="200"/>
      <c r="AX105" s="200"/>
      <c r="AY105" s="200"/>
      <c r="AZ105" s="200"/>
      <c r="BA105" s="200"/>
    </row>
    <row r="106" spans="2:53" ht="15" customHeight="1">
      <c r="B106" s="200"/>
      <c r="C106" s="200"/>
      <c r="D106" s="200"/>
      <c r="E106" s="200"/>
      <c r="F106" s="200"/>
      <c r="G106" s="200"/>
      <c r="H106" s="200"/>
      <c r="I106" s="200"/>
      <c r="J106" s="200"/>
      <c r="K106" s="200"/>
      <c r="L106" s="200"/>
      <c r="M106" s="200"/>
      <c r="N106" s="200"/>
      <c r="O106" s="200"/>
      <c r="P106" s="200"/>
      <c r="Q106" s="200"/>
      <c r="R106" s="200"/>
      <c r="S106" s="200"/>
      <c r="T106" s="200"/>
      <c r="U106" s="200"/>
      <c r="V106" s="200"/>
      <c r="W106" s="200"/>
      <c r="X106" s="200"/>
      <c r="Y106" s="200"/>
      <c r="Z106" s="200"/>
      <c r="AA106" s="200"/>
      <c r="AB106" s="200"/>
      <c r="AC106" s="200"/>
      <c r="AD106" s="200"/>
      <c r="AE106" s="200"/>
      <c r="AF106" s="200"/>
      <c r="AG106" s="200"/>
      <c r="AH106" s="200"/>
      <c r="AI106" s="200"/>
      <c r="AJ106" s="200"/>
      <c r="AK106" s="200"/>
      <c r="AL106" s="200"/>
      <c r="AM106" s="200"/>
      <c r="AN106" s="200"/>
      <c r="AO106" s="200"/>
      <c r="AP106" s="200"/>
      <c r="AQ106" s="200"/>
      <c r="AR106" s="200"/>
      <c r="AS106" s="200"/>
      <c r="AT106" s="200"/>
      <c r="AU106" s="200"/>
      <c r="AV106" s="200"/>
      <c r="AW106" s="200"/>
      <c r="AX106" s="200"/>
      <c r="AY106" s="200"/>
      <c r="AZ106" s="200"/>
      <c r="BA106" s="200"/>
    </row>
    <row r="107" spans="2:53" ht="15" customHeight="1">
      <c r="B107" s="200"/>
      <c r="C107" s="200"/>
      <c r="D107" s="200"/>
      <c r="E107" s="200"/>
      <c r="F107" s="200"/>
      <c r="G107" s="200"/>
      <c r="H107" s="200"/>
      <c r="I107" s="200"/>
      <c r="J107" s="200"/>
      <c r="K107" s="200"/>
      <c r="L107" s="200"/>
      <c r="M107" s="200"/>
      <c r="N107" s="200"/>
      <c r="O107" s="200"/>
      <c r="P107" s="200"/>
      <c r="Q107" s="200"/>
      <c r="R107" s="200"/>
      <c r="S107" s="200"/>
      <c r="T107" s="200"/>
      <c r="U107" s="200"/>
      <c r="V107" s="200"/>
      <c r="W107" s="200"/>
      <c r="X107" s="200"/>
      <c r="Y107" s="200"/>
      <c r="Z107" s="200"/>
      <c r="AA107" s="200"/>
      <c r="AB107" s="200"/>
      <c r="AC107" s="200"/>
      <c r="AD107" s="200"/>
      <c r="AE107" s="200"/>
      <c r="AF107" s="200"/>
      <c r="AG107" s="200"/>
      <c r="AH107" s="200"/>
      <c r="AI107" s="200"/>
      <c r="AJ107" s="200"/>
      <c r="AK107" s="200"/>
      <c r="AL107" s="200"/>
      <c r="AM107" s="200"/>
      <c r="AN107" s="200"/>
      <c r="AO107" s="200"/>
      <c r="AP107" s="200"/>
      <c r="AQ107" s="200"/>
      <c r="AR107" s="200"/>
      <c r="AS107" s="200"/>
      <c r="AT107" s="200"/>
      <c r="AU107" s="200"/>
      <c r="AV107" s="200"/>
      <c r="AW107" s="200"/>
      <c r="AX107" s="200"/>
      <c r="AY107" s="200"/>
      <c r="AZ107" s="200"/>
      <c r="BA107" s="200"/>
    </row>
    <row r="108" spans="2:53" ht="15" customHeight="1">
      <c r="B108" s="200"/>
      <c r="C108" s="200"/>
      <c r="D108" s="200"/>
      <c r="E108" s="200"/>
      <c r="F108" s="200"/>
      <c r="G108" s="200"/>
      <c r="H108" s="200"/>
      <c r="I108" s="200"/>
      <c r="J108" s="200"/>
      <c r="K108" s="200"/>
      <c r="L108" s="200"/>
      <c r="M108" s="200"/>
      <c r="N108" s="200"/>
      <c r="O108" s="200"/>
      <c r="P108" s="200"/>
      <c r="Q108" s="200"/>
      <c r="R108" s="200"/>
      <c r="S108" s="200"/>
      <c r="T108" s="200"/>
      <c r="U108" s="200"/>
      <c r="V108" s="200"/>
      <c r="W108" s="200"/>
      <c r="X108" s="200"/>
      <c r="Y108" s="200"/>
      <c r="Z108" s="200"/>
      <c r="AA108" s="200"/>
      <c r="AB108" s="200"/>
      <c r="AC108" s="200"/>
      <c r="AD108" s="200"/>
      <c r="AE108" s="200"/>
      <c r="AF108" s="200"/>
      <c r="AG108" s="200"/>
      <c r="AH108" s="200"/>
      <c r="AI108" s="200"/>
      <c r="AJ108" s="200"/>
      <c r="AK108" s="200"/>
      <c r="AL108" s="200"/>
      <c r="AM108" s="200"/>
      <c r="AN108" s="200"/>
      <c r="AO108" s="200"/>
      <c r="AP108" s="200"/>
      <c r="AQ108" s="200"/>
      <c r="AR108" s="200"/>
      <c r="AS108" s="200"/>
      <c r="AT108" s="200"/>
      <c r="AU108" s="200"/>
      <c r="AV108" s="200"/>
      <c r="AW108" s="200"/>
      <c r="AX108" s="200"/>
      <c r="AY108" s="200"/>
      <c r="AZ108" s="200"/>
      <c r="BA108" s="200"/>
    </row>
    <row r="109" spans="2:53" ht="15" customHeight="1">
      <c r="B109" s="200"/>
      <c r="C109" s="200"/>
      <c r="D109" s="200"/>
      <c r="E109" s="200"/>
      <c r="F109" s="200"/>
      <c r="G109" s="200"/>
      <c r="H109" s="200"/>
      <c r="I109" s="200"/>
      <c r="J109" s="200"/>
      <c r="K109" s="200"/>
      <c r="L109" s="200"/>
      <c r="M109" s="200"/>
      <c r="N109" s="200"/>
      <c r="O109" s="200"/>
      <c r="P109" s="200"/>
      <c r="Q109" s="200"/>
      <c r="R109" s="200"/>
      <c r="S109" s="200"/>
      <c r="T109" s="200"/>
      <c r="U109" s="200"/>
      <c r="V109" s="200"/>
      <c r="W109" s="200"/>
      <c r="X109" s="200"/>
      <c r="Y109" s="200"/>
      <c r="Z109" s="200"/>
      <c r="AA109" s="200"/>
      <c r="AB109" s="200"/>
      <c r="AC109" s="200"/>
      <c r="AD109" s="200"/>
      <c r="AE109" s="200"/>
      <c r="AF109" s="200"/>
      <c r="AG109" s="200"/>
      <c r="AH109" s="200"/>
      <c r="AI109" s="200"/>
      <c r="AJ109" s="200"/>
      <c r="AK109" s="200"/>
      <c r="AL109" s="200"/>
      <c r="AM109" s="200"/>
      <c r="AN109" s="200"/>
      <c r="AO109" s="200"/>
      <c r="AP109" s="200"/>
      <c r="AQ109" s="200"/>
      <c r="AR109" s="200"/>
      <c r="AS109" s="200"/>
      <c r="AT109" s="200"/>
      <c r="AU109" s="200"/>
      <c r="AV109" s="200"/>
      <c r="AW109" s="200"/>
      <c r="AX109" s="200"/>
      <c r="AY109" s="200"/>
      <c r="AZ109" s="200"/>
      <c r="BA109" s="200"/>
    </row>
    <row r="110" spans="2:53" ht="15" customHeight="1">
      <c r="B110" s="200"/>
      <c r="C110" s="200"/>
      <c r="D110" s="200"/>
      <c r="E110" s="200"/>
      <c r="F110" s="200"/>
      <c r="G110" s="200"/>
      <c r="H110" s="200"/>
      <c r="I110" s="200"/>
      <c r="J110" s="200"/>
      <c r="K110" s="200"/>
      <c r="L110" s="200"/>
      <c r="M110" s="200"/>
      <c r="N110" s="200"/>
      <c r="O110" s="200"/>
      <c r="P110" s="200"/>
      <c r="Q110" s="200"/>
      <c r="R110" s="200"/>
      <c r="S110" s="200"/>
      <c r="T110" s="200"/>
      <c r="U110" s="200"/>
      <c r="V110" s="200"/>
      <c r="W110" s="200"/>
      <c r="X110" s="200"/>
      <c r="Y110" s="200"/>
      <c r="Z110" s="200"/>
      <c r="AA110" s="200"/>
      <c r="AB110" s="200"/>
      <c r="AC110" s="200"/>
      <c r="AD110" s="200"/>
      <c r="AE110" s="200"/>
      <c r="AF110" s="200"/>
      <c r="AG110" s="200"/>
      <c r="AH110" s="200"/>
      <c r="AI110" s="200"/>
      <c r="AJ110" s="200"/>
      <c r="AK110" s="200"/>
      <c r="AL110" s="200"/>
      <c r="AM110" s="200"/>
      <c r="AN110" s="200"/>
      <c r="AO110" s="200"/>
      <c r="AP110" s="200"/>
      <c r="AQ110" s="200"/>
      <c r="AR110" s="200"/>
      <c r="AS110" s="200"/>
      <c r="AT110" s="200"/>
      <c r="AU110" s="200"/>
      <c r="AV110" s="200"/>
      <c r="AW110" s="200"/>
      <c r="AX110" s="200"/>
      <c r="AY110" s="200"/>
      <c r="AZ110" s="200"/>
      <c r="BA110" s="200"/>
    </row>
    <row r="111" spans="2:53" ht="15" customHeight="1">
      <c r="B111" s="200"/>
      <c r="C111" s="200"/>
      <c r="D111" s="200"/>
      <c r="E111" s="200"/>
      <c r="F111" s="200"/>
      <c r="G111" s="200"/>
      <c r="H111" s="200"/>
      <c r="I111" s="200"/>
      <c r="J111" s="200"/>
      <c r="K111" s="200"/>
      <c r="L111" s="200"/>
      <c r="M111" s="200"/>
      <c r="N111" s="200"/>
      <c r="O111" s="200"/>
      <c r="P111" s="200"/>
      <c r="Q111" s="200"/>
      <c r="R111" s="200"/>
      <c r="S111" s="200"/>
      <c r="T111" s="200"/>
      <c r="U111" s="200"/>
      <c r="V111" s="200"/>
      <c r="W111" s="200"/>
      <c r="X111" s="200"/>
      <c r="Y111" s="200"/>
      <c r="Z111" s="200"/>
      <c r="AA111" s="200"/>
      <c r="AB111" s="200"/>
      <c r="AC111" s="200"/>
      <c r="AD111" s="200"/>
      <c r="AE111" s="200"/>
      <c r="AF111" s="200"/>
      <c r="AG111" s="200"/>
      <c r="AH111" s="200"/>
      <c r="AI111" s="200"/>
      <c r="AJ111" s="200"/>
      <c r="AK111" s="200"/>
      <c r="AL111" s="200"/>
      <c r="AM111" s="200"/>
      <c r="AN111" s="200"/>
      <c r="AO111" s="200"/>
      <c r="AP111" s="200"/>
      <c r="AQ111" s="200"/>
      <c r="AR111" s="200"/>
      <c r="AS111" s="200"/>
      <c r="AT111" s="200"/>
      <c r="AU111" s="200"/>
      <c r="AV111" s="200"/>
      <c r="AW111" s="200"/>
      <c r="AX111" s="200"/>
      <c r="AY111" s="200"/>
      <c r="AZ111" s="200"/>
      <c r="BA111" s="200"/>
    </row>
    <row r="112" spans="2:53" ht="15" customHeight="1">
      <c r="B112" s="200"/>
      <c r="C112" s="200"/>
      <c r="D112" s="200"/>
      <c r="E112" s="200"/>
      <c r="F112" s="200"/>
      <c r="G112" s="200"/>
      <c r="H112" s="200"/>
      <c r="I112" s="200"/>
      <c r="J112" s="200"/>
      <c r="K112" s="200"/>
      <c r="L112" s="200"/>
      <c r="M112" s="200"/>
      <c r="N112" s="200"/>
      <c r="O112" s="200"/>
      <c r="P112" s="200"/>
      <c r="Q112" s="200"/>
      <c r="R112" s="200"/>
      <c r="S112" s="200"/>
      <c r="T112" s="200"/>
      <c r="U112" s="200"/>
      <c r="V112" s="200"/>
      <c r="W112" s="200"/>
      <c r="X112" s="200"/>
      <c r="Y112" s="200"/>
      <c r="Z112" s="200"/>
      <c r="AA112" s="200"/>
      <c r="AB112" s="200"/>
      <c r="AC112" s="200"/>
      <c r="AD112" s="200"/>
      <c r="AE112" s="200"/>
      <c r="AF112" s="200"/>
      <c r="AG112" s="200"/>
      <c r="AH112" s="200"/>
      <c r="AI112" s="200"/>
      <c r="AJ112" s="200"/>
      <c r="AK112" s="200"/>
      <c r="AL112" s="200"/>
      <c r="AM112" s="200"/>
      <c r="AN112" s="200"/>
      <c r="AO112" s="200"/>
      <c r="AP112" s="200"/>
      <c r="AQ112" s="200"/>
      <c r="AR112" s="200"/>
      <c r="AS112" s="200"/>
      <c r="AT112" s="200"/>
      <c r="AU112" s="200"/>
      <c r="AV112" s="200"/>
      <c r="AW112" s="200"/>
      <c r="AX112" s="200"/>
      <c r="AY112" s="200"/>
      <c r="AZ112" s="200"/>
      <c r="BA112" s="200"/>
    </row>
    <row r="113" spans="2:53" ht="15" customHeight="1">
      <c r="B113" s="200"/>
      <c r="C113" s="200"/>
      <c r="D113" s="200"/>
      <c r="E113" s="200"/>
      <c r="F113" s="200"/>
      <c r="G113" s="200"/>
      <c r="H113" s="200"/>
      <c r="I113" s="200"/>
      <c r="J113" s="200"/>
      <c r="K113" s="200"/>
      <c r="L113" s="200"/>
      <c r="M113" s="200"/>
      <c r="N113" s="200"/>
      <c r="O113" s="200"/>
      <c r="P113" s="200"/>
      <c r="Q113" s="200"/>
      <c r="R113" s="200"/>
      <c r="S113" s="200"/>
      <c r="T113" s="200"/>
      <c r="U113" s="200"/>
      <c r="V113" s="200"/>
      <c r="W113" s="200"/>
      <c r="X113" s="200"/>
      <c r="Y113" s="200"/>
      <c r="Z113" s="200"/>
      <c r="AA113" s="200"/>
      <c r="AB113" s="200"/>
      <c r="AC113" s="200"/>
      <c r="AD113" s="200"/>
      <c r="AE113" s="200"/>
      <c r="AF113" s="200"/>
      <c r="AG113" s="200"/>
      <c r="AH113" s="200"/>
      <c r="AI113" s="200"/>
      <c r="AJ113" s="200"/>
      <c r="AK113" s="200"/>
      <c r="AL113" s="200"/>
      <c r="AM113" s="200"/>
      <c r="AN113" s="200"/>
      <c r="AO113" s="200"/>
      <c r="AP113" s="200"/>
      <c r="AQ113" s="200"/>
      <c r="AR113" s="200"/>
      <c r="AS113" s="200"/>
      <c r="AT113" s="200"/>
      <c r="AU113" s="200"/>
      <c r="AV113" s="200"/>
      <c r="AW113" s="200"/>
      <c r="AX113" s="200"/>
      <c r="AY113" s="200"/>
      <c r="AZ113" s="200"/>
      <c r="BA113" s="200"/>
    </row>
    <row r="114" spans="2:53" ht="15" customHeight="1">
      <c r="B114" s="200"/>
      <c r="C114" s="200"/>
      <c r="D114" s="200"/>
      <c r="E114" s="200"/>
      <c r="F114" s="200"/>
      <c r="G114" s="200"/>
      <c r="H114" s="200"/>
      <c r="I114" s="200"/>
      <c r="J114" s="200"/>
      <c r="K114" s="200"/>
      <c r="L114" s="200"/>
      <c r="M114" s="200"/>
      <c r="N114" s="200"/>
      <c r="O114" s="200"/>
      <c r="P114" s="200"/>
      <c r="Q114" s="200"/>
      <c r="R114" s="200"/>
      <c r="S114" s="200"/>
      <c r="T114" s="200"/>
      <c r="U114" s="200"/>
      <c r="V114" s="200"/>
      <c r="W114" s="200"/>
      <c r="X114" s="200"/>
      <c r="Y114" s="200"/>
      <c r="Z114" s="200"/>
      <c r="AA114" s="200"/>
      <c r="AB114" s="200"/>
      <c r="AC114" s="200"/>
      <c r="AD114" s="200"/>
      <c r="AE114" s="200"/>
      <c r="AF114" s="200"/>
      <c r="AG114" s="200"/>
      <c r="AH114" s="200"/>
      <c r="AI114" s="200"/>
      <c r="AJ114" s="200"/>
      <c r="AK114" s="200"/>
      <c r="AL114" s="200"/>
      <c r="AM114" s="200"/>
      <c r="AN114" s="200"/>
      <c r="AO114" s="200"/>
      <c r="AP114" s="200"/>
      <c r="AQ114" s="200"/>
      <c r="AR114" s="200"/>
      <c r="AS114" s="200"/>
      <c r="AT114" s="200"/>
      <c r="AU114" s="200"/>
      <c r="AV114" s="200"/>
      <c r="AW114" s="200"/>
      <c r="AX114" s="200"/>
      <c r="AY114" s="200"/>
      <c r="AZ114" s="200"/>
      <c r="BA114" s="200"/>
    </row>
    <row r="115" spans="2:53" ht="15" customHeight="1">
      <c r="B115" s="200"/>
      <c r="C115" s="200"/>
      <c r="D115" s="200"/>
      <c r="E115" s="200"/>
      <c r="F115" s="200"/>
      <c r="G115" s="200"/>
      <c r="H115" s="200"/>
      <c r="I115" s="200"/>
      <c r="J115" s="200"/>
      <c r="K115" s="200"/>
      <c r="L115" s="200"/>
      <c r="M115" s="200"/>
      <c r="N115" s="200"/>
      <c r="O115" s="200"/>
      <c r="P115" s="200"/>
      <c r="Q115" s="200"/>
      <c r="R115" s="200"/>
      <c r="S115" s="200"/>
      <c r="T115" s="200"/>
      <c r="U115" s="200"/>
      <c r="V115" s="200"/>
      <c r="W115" s="200"/>
      <c r="X115" s="200"/>
      <c r="Y115" s="200"/>
      <c r="Z115" s="200"/>
      <c r="AA115" s="200"/>
      <c r="AB115" s="200"/>
      <c r="AC115" s="200"/>
      <c r="AD115" s="200"/>
      <c r="AE115" s="200"/>
      <c r="AF115" s="200"/>
      <c r="AG115" s="200"/>
      <c r="AH115" s="200"/>
      <c r="AI115" s="200"/>
      <c r="AJ115" s="200"/>
      <c r="AK115" s="200"/>
      <c r="AL115" s="200"/>
      <c r="AM115" s="200"/>
      <c r="AN115" s="200"/>
      <c r="AO115" s="200"/>
      <c r="AP115" s="200"/>
      <c r="AQ115" s="200"/>
      <c r="AR115" s="200"/>
      <c r="AS115" s="200"/>
      <c r="AT115" s="200"/>
      <c r="AU115" s="200"/>
      <c r="AV115" s="200"/>
      <c r="AW115" s="200"/>
      <c r="AX115" s="200"/>
      <c r="AY115" s="200"/>
      <c r="AZ115" s="200"/>
      <c r="BA115" s="200"/>
    </row>
    <row r="116" spans="2:53" ht="15" customHeight="1">
      <c r="B116" s="200"/>
      <c r="C116" s="200"/>
      <c r="D116" s="200"/>
      <c r="E116" s="200"/>
      <c r="F116" s="200"/>
      <c r="G116" s="200"/>
      <c r="H116" s="200"/>
      <c r="I116" s="200"/>
      <c r="J116" s="200"/>
      <c r="K116" s="200"/>
      <c r="L116" s="200"/>
      <c r="M116" s="200"/>
      <c r="N116" s="200"/>
      <c r="O116" s="200"/>
      <c r="P116" s="200"/>
      <c r="Q116" s="200"/>
      <c r="R116" s="200"/>
      <c r="S116" s="200"/>
      <c r="T116" s="200"/>
      <c r="U116" s="200"/>
      <c r="V116" s="200"/>
      <c r="W116" s="200"/>
      <c r="X116" s="200"/>
      <c r="Y116" s="200"/>
      <c r="Z116" s="200"/>
      <c r="AA116" s="200"/>
      <c r="AB116" s="200"/>
      <c r="AC116" s="200"/>
      <c r="AD116" s="200"/>
      <c r="AE116" s="200"/>
      <c r="AF116" s="200"/>
      <c r="AG116" s="200"/>
      <c r="AH116" s="200"/>
      <c r="AI116" s="200"/>
      <c r="AJ116" s="200"/>
      <c r="AK116" s="200"/>
      <c r="AL116" s="200"/>
      <c r="AM116" s="200"/>
      <c r="AN116" s="200"/>
      <c r="AO116" s="200"/>
      <c r="AP116" s="200"/>
      <c r="AQ116" s="200"/>
      <c r="AR116" s="200"/>
      <c r="AS116" s="200"/>
      <c r="AT116" s="200"/>
      <c r="AU116" s="200"/>
      <c r="AV116" s="200"/>
      <c r="AW116" s="200"/>
      <c r="AX116" s="200"/>
      <c r="AY116" s="200"/>
      <c r="AZ116" s="200"/>
      <c r="BA116" s="200"/>
    </row>
    <row r="117" spans="2:53" ht="15" customHeight="1">
      <c r="B117" s="200"/>
      <c r="C117" s="200"/>
      <c r="D117" s="200"/>
      <c r="E117" s="200"/>
      <c r="F117" s="200"/>
      <c r="G117" s="200"/>
      <c r="H117" s="200"/>
      <c r="I117" s="200"/>
      <c r="J117" s="200"/>
      <c r="K117" s="200"/>
      <c r="L117" s="200"/>
      <c r="M117" s="200"/>
      <c r="N117" s="200"/>
      <c r="O117" s="200"/>
      <c r="P117" s="200"/>
      <c r="Q117" s="200"/>
      <c r="R117" s="200"/>
      <c r="S117" s="200"/>
      <c r="T117" s="200"/>
      <c r="U117" s="200"/>
      <c r="V117" s="200"/>
      <c r="W117" s="200"/>
      <c r="X117" s="200"/>
      <c r="Y117" s="200"/>
      <c r="Z117" s="200"/>
      <c r="AA117" s="200"/>
      <c r="AB117" s="200"/>
      <c r="AC117" s="200"/>
      <c r="AD117" s="200"/>
      <c r="AE117" s="200"/>
      <c r="AF117" s="200"/>
      <c r="AG117" s="200"/>
      <c r="AH117" s="200"/>
      <c r="AI117" s="200"/>
      <c r="AJ117" s="200"/>
      <c r="AK117" s="200"/>
      <c r="AL117" s="200"/>
      <c r="AM117" s="200"/>
      <c r="AN117" s="200"/>
      <c r="AO117" s="200"/>
      <c r="AP117" s="200"/>
      <c r="AQ117" s="200"/>
      <c r="AR117" s="200"/>
      <c r="AS117" s="200"/>
      <c r="AT117" s="200"/>
      <c r="AU117" s="200"/>
      <c r="AV117" s="200"/>
      <c r="AW117" s="200"/>
      <c r="AX117" s="200"/>
      <c r="AY117" s="200"/>
      <c r="AZ117" s="200"/>
      <c r="BA117" s="200"/>
    </row>
    <row r="118" spans="2:53" ht="15" customHeight="1">
      <c r="B118" s="200"/>
      <c r="C118" s="200"/>
      <c r="D118" s="200"/>
      <c r="E118" s="200"/>
      <c r="F118" s="200"/>
      <c r="G118" s="200"/>
      <c r="H118" s="200"/>
      <c r="I118" s="200"/>
      <c r="J118" s="200"/>
      <c r="K118" s="200"/>
      <c r="L118" s="200"/>
      <c r="M118" s="200"/>
      <c r="N118" s="200"/>
      <c r="O118" s="200"/>
      <c r="P118" s="200"/>
      <c r="Q118" s="200"/>
      <c r="R118" s="200"/>
      <c r="S118" s="200"/>
      <c r="T118" s="200"/>
      <c r="U118" s="200"/>
      <c r="V118" s="200"/>
      <c r="W118" s="200"/>
      <c r="X118" s="200"/>
      <c r="Y118" s="200"/>
      <c r="Z118" s="200"/>
      <c r="AA118" s="200"/>
      <c r="AB118" s="200"/>
      <c r="AC118" s="200"/>
      <c r="AD118" s="200"/>
      <c r="AE118" s="200"/>
      <c r="AF118" s="200"/>
      <c r="AG118" s="200"/>
      <c r="AH118" s="200"/>
      <c r="AI118" s="200"/>
      <c r="AJ118" s="200"/>
      <c r="AK118" s="200"/>
      <c r="AL118" s="200"/>
      <c r="AM118" s="200"/>
      <c r="AN118" s="200"/>
      <c r="AO118" s="200"/>
      <c r="AP118" s="200"/>
      <c r="AQ118" s="200"/>
      <c r="AR118" s="200"/>
      <c r="AS118" s="200"/>
      <c r="AT118" s="200"/>
      <c r="AU118" s="200"/>
      <c r="AV118" s="200"/>
      <c r="AW118" s="200"/>
      <c r="AX118" s="200"/>
      <c r="AY118" s="200"/>
      <c r="AZ118" s="200"/>
      <c r="BA118" s="200"/>
    </row>
    <row r="119" spans="2:53" ht="15" customHeight="1">
      <c r="B119" s="200"/>
      <c r="C119" s="200"/>
      <c r="D119" s="200"/>
      <c r="E119" s="200"/>
      <c r="F119" s="200"/>
      <c r="G119" s="200"/>
      <c r="H119" s="200"/>
      <c r="I119" s="200"/>
      <c r="J119" s="200"/>
      <c r="K119" s="200"/>
      <c r="L119" s="200"/>
      <c r="M119" s="200"/>
      <c r="N119" s="200"/>
      <c r="O119" s="200"/>
      <c r="P119" s="200"/>
      <c r="Q119" s="200"/>
      <c r="R119" s="200"/>
      <c r="S119" s="200"/>
      <c r="T119" s="200"/>
      <c r="U119" s="200"/>
      <c r="V119" s="200"/>
      <c r="W119" s="200"/>
      <c r="X119" s="200"/>
      <c r="Y119" s="200"/>
      <c r="Z119" s="200"/>
      <c r="AA119" s="200"/>
      <c r="AB119" s="200"/>
      <c r="AC119" s="200"/>
      <c r="AD119" s="200"/>
      <c r="AE119" s="200"/>
      <c r="AF119" s="200"/>
      <c r="AG119" s="200"/>
      <c r="AH119" s="200"/>
      <c r="AI119" s="200"/>
      <c r="AJ119" s="200"/>
      <c r="AK119" s="200"/>
      <c r="AL119" s="200"/>
      <c r="AM119" s="200"/>
      <c r="AN119" s="200"/>
      <c r="AO119" s="200"/>
      <c r="AP119" s="200"/>
      <c r="AQ119" s="200"/>
      <c r="AR119" s="200"/>
      <c r="AS119" s="200"/>
      <c r="AT119" s="200"/>
      <c r="AU119" s="200"/>
      <c r="AV119" s="200"/>
      <c r="AW119" s="200"/>
      <c r="AX119" s="200"/>
      <c r="AY119" s="200"/>
      <c r="AZ119" s="200"/>
      <c r="BA119" s="200"/>
    </row>
    <row r="120" spans="2:53" ht="15" customHeight="1">
      <c r="B120" s="200"/>
      <c r="C120" s="200"/>
      <c r="D120" s="200"/>
      <c r="E120" s="200"/>
      <c r="F120" s="200"/>
      <c r="G120" s="200"/>
      <c r="H120" s="200"/>
      <c r="I120" s="200"/>
      <c r="J120" s="200"/>
      <c r="K120" s="200"/>
      <c r="L120" s="200"/>
      <c r="M120" s="200"/>
      <c r="N120" s="200"/>
      <c r="O120" s="200"/>
      <c r="P120" s="200"/>
      <c r="Q120" s="200"/>
      <c r="R120" s="200"/>
      <c r="S120" s="200"/>
      <c r="T120" s="200"/>
      <c r="U120" s="200"/>
      <c r="V120" s="200"/>
      <c r="W120" s="200"/>
      <c r="X120" s="200"/>
      <c r="Y120" s="200"/>
      <c r="Z120" s="200"/>
      <c r="AA120" s="200"/>
      <c r="AB120" s="200"/>
      <c r="AC120" s="200"/>
      <c r="AD120" s="200"/>
      <c r="AE120" s="200"/>
      <c r="AF120" s="200"/>
      <c r="AG120" s="200"/>
      <c r="AH120" s="200"/>
      <c r="AI120" s="200"/>
      <c r="AJ120" s="200"/>
      <c r="AK120" s="200"/>
      <c r="AL120" s="200"/>
      <c r="AM120" s="200"/>
      <c r="AN120" s="200"/>
      <c r="AO120" s="200"/>
      <c r="AP120" s="200"/>
      <c r="AQ120" s="200"/>
      <c r="AR120" s="200"/>
      <c r="AS120" s="200"/>
      <c r="AT120" s="200"/>
      <c r="AU120" s="200"/>
      <c r="AV120" s="200"/>
      <c r="AW120" s="200"/>
      <c r="AX120" s="200"/>
      <c r="AY120" s="200"/>
      <c r="AZ120" s="200"/>
      <c r="BA120" s="200"/>
    </row>
    <row r="121" spans="2:53" ht="15" customHeight="1">
      <c r="B121" s="200"/>
      <c r="C121" s="200"/>
      <c r="D121" s="200"/>
      <c r="E121" s="200"/>
      <c r="F121" s="200"/>
      <c r="G121" s="200"/>
      <c r="H121" s="200"/>
      <c r="I121" s="200"/>
      <c r="J121" s="200"/>
      <c r="K121" s="200"/>
      <c r="L121" s="200"/>
      <c r="M121" s="200"/>
      <c r="N121" s="200"/>
      <c r="O121" s="200"/>
      <c r="P121" s="200"/>
      <c r="Q121" s="200"/>
      <c r="R121" s="200"/>
      <c r="S121" s="200"/>
      <c r="T121" s="200"/>
      <c r="U121" s="200"/>
      <c r="V121" s="200"/>
      <c r="W121" s="200"/>
      <c r="X121" s="200"/>
      <c r="Y121" s="200"/>
      <c r="Z121" s="200"/>
      <c r="AA121" s="200"/>
      <c r="AB121" s="200"/>
      <c r="AC121" s="200"/>
      <c r="AD121" s="200"/>
      <c r="AE121" s="200"/>
      <c r="AF121" s="200"/>
      <c r="AG121" s="200"/>
      <c r="AH121" s="200"/>
      <c r="AI121" s="200"/>
      <c r="AJ121" s="200"/>
      <c r="AK121" s="200"/>
      <c r="AL121" s="200"/>
      <c r="AM121" s="200"/>
      <c r="AN121" s="200"/>
      <c r="AO121" s="200"/>
      <c r="AP121" s="200"/>
      <c r="AQ121" s="200"/>
      <c r="AR121" s="200"/>
      <c r="AS121" s="200"/>
      <c r="AT121" s="200"/>
      <c r="AU121" s="200"/>
      <c r="AV121" s="200"/>
      <c r="AW121" s="200"/>
      <c r="AX121" s="200"/>
      <c r="AY121" s="200"/>
      <c r="AZ121" s="200"/>
      <c r="BA121" s="200"/>
    </row>
    <row r="122" spans="2:53" ht="15" customHeight="1">
      <c r="B122" s="200"/>
      <c r="C122" s="200"/>
      <c r="D122" s="200"/>
      <c r="E122" s="200"/>
      <c r="F122" s="200"/>
      <c r="G122" s="200"/>
      <c r="H122" s="200"/>
      <c r="I122" s="200"/>
      <c r="J122" s="200"/>
      <c r="K122" s="200"/>
      <c r="L122" s="200"/>
      <c r="M122" s="200"/>
      <c r="N122" s="200"/>
      <c r="O122" s="200"/>
      <c r="P122" s="200"/>
      <c r="Q122" s="200"/>
      <c r="R122" s="200"/>
      <c r="S122" s="200"/>
      <c r="T122" s="200"/>
      <c r="U122" s="200"/>
      <c r="V122" s="200"/>
      <c r="W122" s="200"/>
      <c r="X122" s="200"/>
      <c r="Y122" s="200"/>
      <c r="Z122" s="200"/>
      <c r="AA122" s="200"/>
      <c r="AB122" s="200"/>
      <c r="AC122" s="200"/>
      <c r="AD122" s="200"/>
      <c r="AE122" s="200"/>
      <c r="AF122" s="200"/>
      <c r="AG122" s="200"/>
      <c r="AH122" s="200"/>
      <c r="AI122" s="200"/>
      <c r="AJ122" s="200"/>
      <c r="AK122" s="200"/>
      <c r="AL122" s="200"/>
      <c r="AM122" s="200"/>
      <c r="AN122" s="200"/>
      <c r="AO122" s="200"/>
      <c r="AP122" s="200"/>
      <c r="AQ122" s="200"/>
      <c r="AR122" s="200"/>
      <c r="AS122" s="200"/>
      <c r="AT122" s="200"/>
      <c r="AU122" s="200"/>
      <c r="AV122" s="200"/>
      <c r="AW122" s="200"/>
      <c r="AX122" s="200"/>
      <c r="AY122" s="200"/>
      <c r="AZ122" s="200"/>
      <c r="BA122" s="200"/>
    </row>
    <row r="123" spans="2:53" ht="15" customHeight="1">
      <c r="B123" s="200"/>
      <c r="C123" s="200"/>
      <c r="D123" s="200"/>
      <c r="E123" s="200"/>
      <c r="F123" s="200"/>
      <c r="G123" s="200"/>
      <c r="H123" s="200"/>
      <c r="I123" s="200"/>
      <c r="J123" s="200"/>
      <c r="K123" s="200"/>
      <c r="L123" s="200"/>
      <c r="M123" s="200"/>
      <c r="N123" s="200"/>
      <c r="O123" s="200"/>
      <c r="P123" s="200"/>
      <c r="Q123" s="200"/>
      <c r="R123" s="200"/>
      <c r="S123" s="200"/>
      <c r="T123" s="200"/>
      <c r="U123" s="200"/>
      <c r="V123" s="200"/>
      <c r="W123" s="200"/>
      <c r="X123" s="200"/>
      <c r="Y123" s="200"/>
      <c r="Z123" s="200"/>
      <c r="AA123" s="200"/>
      <c r="AB123" s="200"/>
      <c r="AC123" s="200"/>
      <c r="AD123" s="200"/>
      <c r="AE123" s="200"/>
      <c r="AF123" s="200"/>
      <c r="AG123" s="200"/>
      <c r="AH123" s="200"/>
      <c r="AI123" s="200"/>
      <c r="AJ123" s="200"/>
      <c r="AK123" s="200"/>
      <c r="AL123" s="200"/>
      <c r="AM123" s="200"/>
      <c r="AN123" s="200"/>
      <c r="AO123" s="200"/>
      <c r="AP123" s="200"/>
      <c r="AQ123" s="200"/>
      <c r="AR123" s="200"/>
      <c r="AS123" s="200"/>
      <c r="AT123" s="200"/>
      <c r="AU123" s="200"/>
      <c r="AV123" s="200"/>
      <c r="AW123" s="200"/>
      <c r="AX123" s="200"/>
      <c r="AY123" s="200"/>
      <c r="AZ123" s="200"/>
      <c r="BA123" s="200"/>
    </row>
    <row r="124" spans="2:53" ht="15" customHeight="1">
      <c r="B124" s="200"/>
      <c r="C124" s="200"/>
      <c r="D124" s="200"/>
      <c r="E124" s="200"/>
      <c r="F124" s="200"/>
      <c r="G124" s="200"/>
      <c r="H124" s="200"/>
      <c r="I124" s="200"/>
      <c r="J124" s="200"/>
      <c r="K124" s="200"/>
      <c r="L124" s="200"/>
      <c r="M124" s="200"/>
      <c r="N124" s="200"/>
      <c r="O124" s="200"/>
      <c r="P124" s="200"/>
      <c r="Q124" s="200"/>
      <c r="R124" s="200"/>
      <c r="S124" s="200"/>
      <c r="T124" s="200"/>
      <c r="U124" s="200"/>
      <c r="V124" s="200"/>
      <c r="W124" s="200"/>
      <c r="X124" s="200"/>
      <c r="Y124" s="200"/>
      <c r="Z124" s="200"/>
      <c r="AA124" s="200"/>
      <c r="AB124" s="200"/>
      <c r="AC124" s="200"/>
      <c r="AD124" s="200"/>
      <c r="AE124" s="200"/>
      <c r="AF124" s="200"/>
      <c r="AG124" s="200"/>
      <c r="AH124" s="200"/>
      <c r="AI124" s="200"/>
      <c r="AJ124" s="200"/>
      <c r="AK124" s="200"/>
      <c r="AL124" s="200"/>
      <c r="AM124" s="200"/>
      <c r="AN124" s="200"/>
      <c r="AO124" s="200"/>
      <c r="AP124" s="200"/>
      <c r="AQ124" s="200"/>
      <c r="AR124" s="200"/>
      <c r="AS124" s="200"/>
      <c r="AT124" s="200"/>
      <c r="AU124" s="200"/>
      <c r="AV124" s="200"/>
      <c r="AW124" s="200"/>
      <c r="AX124" s="200"/>
      <c r="AY124" s="200"/>
      <c r="AZ124" s="200"/>
      <c r="BA124" s="200"/>
    </row>
    <row r="125" spans="2:53" ht="15" customHeight="1">
      <c r="B125" s="200"/>
      <c r="C125" s="200"/>
      <c r="D125" s="200"/>
      <c r="E125" s="200"/>
      <c r="F125" s="200"/>
      <c r="G125" s="200"/>
      <c r="H125" s="200"/>
      <c r="I125" s="200"/>
      <c r="J125" s="200"/>
      <c r="K125" s="200"/>
      <c r="L125" s="200"/>
      <c r="M125" s="200"/>
      <c r="N125" s="200"/>
      <c r="O125" s="200"/>
      <c r="P125" s="200"/>
      <c r="Q125" s="200"/>
      <c r="R125" s="200"/>
      <c r="S125" s="200"/>
      <c r="T125" s="200"/>
      <c r="U125" s="200"/>
      <c r="V125" s="200"/>
      <c r="W125" s="200"/>
      <c r="X125" s="200"/>
      <c r="Y125" s="200"/>
      <c r="Z125" s="200"/>
      <c r="AA125" s="200"/>
      <c r="AB125" s="200"/>
      <c r="AC125" s="200"/>
      <c r="AD125" s="200"/>
      <c r="AE125" s="200"/>
      <c r="AF125" s="200"/>
      <c r="AG125" s="200"/>
      <c r="AH125" s="200"/>
      <c r="AI125" s="200"/>
      <c r="AJ125" s="200"/>
      <c r="AK125" s="200"/>
      <c r="AL125" s="200"/>
      <c r="AM125" s="200"/>
      <c r="AN125" s="200"/>
      <c r="AO125" s="200"/>
      <c r="AP125" s="200"/>
      <c r="AQ125" s="200"/>
      <c r="AR125" s="200"/>
      <c r="AS125" s="200"/>
      <c r="AT125" s="200"/>
      <c r="AU125" s="200"/>
      <c r="AV125" s="200"/>
      <c r="AW125" s="200"/>
      <c r="AX125" s="200"/>
      <c r="AY125" s="200"/>
      <c r="AZ125" s="200"/>
      <c r="BA125" s="200"/>
    </row>
    <row r="126" spans="2:53" ht="15" customHeight="1">
      <c r="B126" s="200"/>
      <c r="C126" s="200"/>
      <c r="D126" s="200"/>
      <c r="E126" s="200"/>
      <c r="F126" s="200"/>
      <c r="G126" s="200"/>
      <c r="H126" s="200"/>
      <c r="I126" s="200"/>
      <c r="J126" s="200"/>
      <c r="K126" s="200"/>
      <c r="L126" s="200"/>
      <c r="M126" s="200"/>
      <c r="N126" s="200"/>
      <c r="O126" s="200"/>
      <c r="P126" s="200"/>
      <c r="Q126" s="200"/>
      <c r="R126" s="200"/>
      <c r="S126" s="200"/>
      <c r="T126" s="200"/>
      <c r="U126" s="200"/>
      <c r="V126" s="200"/>
      <c r="W126" s="200"/>
      <c r="X126" s="200"/>
      <c r="Y126" s="200"/>
      <c r="Z126" s="200"/>
      <c r="AA126" s="200"/>
      <c r="AB126" s="200"/>
      <c r="AC126" s="200"/>
      <c r="AD126" s="200"/>
      <c r="AE126" s="200"/>
      <c r="AF126" s="200"/>
      <c r="AG126" s="200"/>
      <c r="AH126" s="200"/>
      <c r="AI126" s="200"/>
      <c r="AJ126" s="200"/>
      <c r="AK126" s="200"/>
      <c r="AL126" s="200"/>
      <c r="AM126" s="200"/>
      <c r="AN126" s="200"/>
      <c r="AO126" s="200"/>
      <c r="AP126" s="200"/>
      <c r="AQ126" s="200"/>
      <c r="AR126" s="200"/>
      <c r="AS126" s="200"/>
      <c r="AT126" s="200"/>
      <c r="AU126" s="200"/>
      <c r="AV126" s="200"/>
      <c r="AW126" s="200"/>
      <c r="AX126" s="200"/>
      <c r="AY126" s="200"/>
      <c r="AZ126" s="200"/>
      <c r="BA126" s="200"/>
    </row>
    <row r="127" spans="2:53" ht="15" customHeight="1">
      <c r="B127" s="200"/>
      <c r="C127" s="200"/>
      <c r="D127" s="200"/>
      <c r="E127" s="200"/>
      <c r="F127" s="200"/>
      <c r="G127" s="200"/>
      <c r="H127" s="200"/>
      <c r="I127" s="200"/>
      <c r="J127" s="200"/>
      <c r="K127" s="200"/>
      <c r="L127" s="200"/>
      <c r="M127" s="200"/>
      <c r="N127" s="200"/>
      <c r="O127" s="200"/>
      <c r="P127" s="200"/>
      <c r="Q127" s="200"/>
      <c r="R127" s="200"/>
      <c r="S127" s="200"/>
      <c r="T127" s="200"/>
      <c r="U127" s="200"/>
      <c r="V127" s="200"/>
      <c r="W127" s="200"/>
      <c r="X127" s="200"/>
      <c r="Y127" s="200"/>
      <c r="Z127" s="200"/>
      <c r="AA127" s="200"/>
      <c r="AB127" s="200"/>
      <c r="AC127" s="200"/>
      <c r="AD127" s="200"/>
      <c r="AE127" s="200"/>
      <c r="AF127" s="200"/>
      <c r="AG127" s="200"/>
      <c r="AH127" s="200"/>
      <c r="AI127" s="200"/>
      <c r="AJ127" s="200"/>
      <c r="AK127" s="200"/>
      <c r="AL127" s="200"/>
      <c r="AM127" s="200"/>
      <c r="AN127" s="200"/>
      <c r="AO127" s="200"/>
      <c r="AP127" s="200"/>
      <c r="AQ127" s="200"/>
      <c r="AR127" s="200"/>
      <c r="AS127" s="200"/>
      <c r="AT127" s="200"/>
      <c r="AU127" s="200"/>
      <c r="AV127" s="200"/>
      <c r="AW127" s="200"/>
      <c r="AX127" s="200"/>
      <c r="AY127" s="200"/>
      <c r="AZ127" s="200"/>
      <c r="BA127" s="200"/>
    </row>
    <row r="128" spans="2:53" ht="15" customHeight="1">
      <c r="B128" s="200"/>
      <c r="C128" s="200"/>
      <c r="D128" s="200"/>
      <c r="E128" s="200"/>
      <c r="F128" s="200"/>
      <c r="G128" s="200"/>
      <c r="H128" s="200"/>
      <c r="I128" s="200"/>
      <c r="J128" s="200"/>
      <c r="K128" s="200"/>
      <c r="L128" s="200"/>
      <c r="M128" s="200"/>
      <c r="N128" s="200"/>
      <c r="O128" s="200"/>
      <c r="P128" s="200"/>
      <c r="Q128" s="200"/>
      <c r="R128" s="200"/>
      <c r="S128" s="200"/>
      <c r="T128" s="200"/>
      <c r="U128" s="200"/>
      <c r="V128" s="200"/>
      <c r="W128" s="200"/>
      <c r="X128" s="200"/>
      <c r="Y128" s="200"/>
      <c r="Z128" s="200"/>
      <c r="AA128" s="200"/>
      <c r="AB128" s="200"/>
      <c r="AC128" s="200"/>
      <c r="AD128" s="200"/>
      <c r="AE128" s="200"/>
      <c r="AF128" s="200"/>
      <c r="AG128" s="200"/>
      <c r="AH128" s="200"/>
      <c r="AI128" s="200"/>
      <c r="AJ128" s="200"/>
      <c r="AK128" s="200"/>
      <c r="AL128" s="200"/>
      <c r="AM128" s="200"/>
      <c r="AN128" s="200"/>
      <c r="AO128" s="200"/>
      <c r="AP128" s="200"/>
      <c r="AQ128" s="200"/>
      <c r="AR128" s="200"/>
      <c r="AS128" s="200"/>
      <c r="AT128" s="200"/>
      <c r="AU128" s="200"/>
      <c r="AV128" s="200"/>
      <c r="AW128" s="200"/>
      <c r="AX128" s="200"/>
      <c r="AY128" s="200"/>
      <c r="AZ128" s="200"/>
      <c r="BA128" s="200"/>
    </row>
    <row r="129" spans="1:53" ht="15" customHeight="1">
      <c r="A129" s="199"/>
      <c r="B129" s="200"/>
      <c r="C129" s="200"/>
      <c r="D129" s="200"/>
      <c r="E129" s="200"/>
      <c r="F129" s="200"/>
      <c r="G129" s="200"/>
      <c r="H129" s="200"/>
      <c r="I129" s="200"/>
      <c r="J129" s="200"/>
      <c r="K129" s="200"/>
      <c r="L129" s="200"/>
      <c r="M129" s="200"/>
      <c r="N129" s="200"/>
      <c r="O129" s="200"/>
      <c r="P129" s="200"/>
      <c r="Q129" s="200"/>
      <c r="R129" s="200"/>
      <c r="S129" s="200"/>
      <c r="T129" s="200"/>
      <c r="U129" s="200"/>
      <c r="V129" s="200"/>
      <c r="W129" s="200"/>
      <c r="X129" s="200"/>
      <c r="Y129" s="200"/>
      <c r="Z129" s="200"/>
      <c r="AA129" s="200"/>
      <c r="AB129" s="200"/>
      <c r="AC129" s="200"/>
      <c r="AD129" s="200"/>
      <c r="AE129" s="200"/>
      <c r="AF129" s="200"/>
      <c r="AG129" s="200"/>
      <c r="AH129" s="200"/>
      <c r="AI129" s="200"/>
      <c r="AJ129" s="200"/>
      <c r="AK129" s="200"/>
      <c r="AL129" s="200"/>
      <c r="AM129" s="200"/>
      <c r="AN129" s="200"/>
      <c r="AO129" s="200"/>
      <c r="AP129" s="200"/>
      <c r="AQ129" s="200"/>
      <c r="AR129" s="200"/>
      <c r="AS129" s="200"/>
      <c r="AT129" s="200"/>
      <c r="AU129" s="200"/>
      <c r="AV129" s="200"/>
      <c r="AW129" s="200"/>
      <c r="AX129" s="200"/>
      <c r="AY129" s="200"/>
      <c r="AZ129" s="200"/>
      <c r="BA129" s="200"/>
    </row>
    <row r="130" spans="1:53" ht="15" customHeight="1">
      <c r="A130" s="199"/>
      <c r="B130" s="200"/>
      <c r="C130" s="200"/>
      <c r="D130" s="200"/>
      <c r="E130" s="200"/>
      <c r="F130" s="200"/>
      <c r="G130" s="200"/>
      <c r="H130" s="200"/>
      <c r="I130" s="200"/>
      <c r="J130" s="200"/>
      <c r="K130" s="200"/>
      <c r="L130" s="200"/>
      <c r="M130" s="200"/>
      <c r="N130" s="200"/>
      <c r="O130" s="200"/>
      <c r="P130" s="200"/>
      <c r="Q130" s="200"/>
      <c r="R130" s="200"/>
      <c r="S130" s="200"/>
      <c r="T130" s="200"/>
      <c r="U130" s="200"/>
      <c r="V130" s="200"/>
      <c r="W130" s="200"/>
      <c r="X130" s="200"/>
      <c r="Y130" s="200"/>
      <c r="Z130" s="200"/>
      <c r="AA130" s="200"/>
      <c r="AB130" s="200"/>
      <c r="AC130" s="200"/>
      <c r="AD130" s="200"/>
      <c r="AE130" s="200"/>
      <c r="AF130" s="200"/>
      <c r="AG130" s="200"/>
      <c r="AH130" s="200"/>
      <c r="AI130" s="200"/>
      <c r="AJ130" s="200"/>
      <c r="AK130" s="200"/>
      <c r="AL130" s="200"/>
      <c r="AM130" s="200"/>
      <c r="AN130" s="200"/>
      <c r="AO130" s="200"/>
      <c r="AP130" s="200"/>
      <c r="AQ130" s="200"/>
      <c r="AR130" s="200"/>
      <c r="AS130" s="200"/>
      <c r="AT130" s="200"/>
      <c r="AU130" s="200"/>
      <c r="AV130" s="200"/>
      <c r="AW130" s="200"/>
      <c r="AX130" s="200"/>
      <c r="AY130" s="200"/>
      <c r="AZ130" s="200"/>
      <c r="BA130" s="200"/>
    </row>
    <row r="131" spans="1:53" ht="15" customHeight="1">
      <c r="A131" s="199"/>
      <c r="B131" s="200"/>
      <c r="C131" s="200"/>
      <c r="D131" s="200"/>
      <c r="E131" s="200"/>
      <c r="F131" s="200"/>
      <c r="G131" s="200"/>
      <c r="H131" s="200"/>
      <c r="I131" s="200"/>
      <c r="J131" s="200"/>
      <c r="K131" s="200"/>
      <c r="L131" s="200"/>
      <c r="M131" s="200"/>
      <c r="N131" s="200"/>
      <c r="O131" s="200"/>
      <c r="P131" s="200"/>
      <c r="Q131" s="200"/>
      <c r="R131" s="200"/>
      <c r="S131" s="200"/>
      <c r="T131" s="200"/>
      <c r="U131" s="200"/>
      <c r="V131" s="200"/>
      <c r="W131" s="200"/>
      <c r="X131" s="200"/>
      <c r="Y131" s="200"/>
      <c r="Z131" s="200"/>
      <c r="AA131" s="200"/>
      <c r="AB131" s="200"/>
      <c r="AC131" s="200"/>
      <c r="AD131" s="200"/>
      <c r="AE131" s="200"/>
      <c r="AF131" s="200"/>
      <c r="AG131" s="200"/>
      <c r="AH131" s="200"/>
      <c r="AI131" s="200"/>
      <c r="AJ131" s="200"/>
      <c r="AK131" s="200"/>
      <c r="AL131" s="200"/>
      <c r="AM131" s="200"/>
      <c r="AN131" s="200"/>
      <c r="AO131" s="200"/>
      <c r="AP131" s="200"/>
      <c r="AQ131" s="200"/>
      <c r="AR131" s="200"/>
      <c r="AS131" s="200"/>
      <c r="AT131" s="200"/>
      <c r="AU131" s="200"/>
      <c r="AV131" s="200"/>
      <c r="AW131" s="200"/>
      <c r="AX131" s="200"/>
      <c r="AY131" s="200"/>
      <c r="AZ131" s="200"/>
      <c r="BA131" s="200"/>
    </row>
    <row r="132" spans="1:53" ht="15" customHeight="1">
      <c r="A132" s="199"/>
      <c r="B132" s="200"/>
      <c r="C132" s="200"/>
      <c r="D132" s="200"/>
      <c r="E132" s="200"/>
      <c r="F132" s="200"/>
      <c r="G132" s="200"/>
      <c r="H132" s="200"/>
      <c r="I132" s="200"/>
      <c r="J132" s="200"/>
      <c r="K132" s="200"/>
      <c r="L132" s="200"/>
      <c r="M132" s="200"/>
      <c r="N132" s="200"/>
      <c r="O132" s="200"/>
      <c r="P132" s="200"/>
      <c r="Q132" s="200"/>
      <c r="R132" s="200"/>
      <c r="S132" s="200"/>
      <c r="T132" s="200"/>
      <c r="U132" s="200"/>
      <c r="V132" s="200"/>
      <c r="W132" s="200"/>
      <c r="X132" s="200"/>
      <c r="Y132" s="200"/>
      <c r="Z132" s="200"/>
      <c r="AA132" s="200"/>
      <c r="AB132" s="200"/>
      <c r="AC132" s="200"/>
      <c r="AD132" s="200"/>
      <c r="AE132" s="200"/>
      <c r="AF132" s="200"/>
      <c r="AG132" s="200"/>
      <c r="AH132" s="200"/>
      <c r="AI132" s="200"/>
      <c r="AJ132" s="200"/>
      <c r="AK132" s="200"/>
      <c r="AL132" s="200"/>
      <c r="AM132" s="200"/>
      <c r="AN132" s="200"/>
      <c r="AO132" s="200"/>
      <c r="AP132" s="200"/>
      <c r="AQ132" s="200"/>
      <c r="AR132" s="200"/>
      <c r="AS132" s="200"/>
      <c r="AT132" s="200"/>
      <c r="AU132" s="200"/>
      <c r="AV132" s="200"/>
      <c r="AW132" s="200"/>
      <c r="AX132" s="200"/>
      <c r="AY132" s="200"/>
      <c r="AZ132" s="200"/>
      <c r="BA132" s="200"/>
    </row>
    <row r="133" spans="1:53" ht="15" customHeight="1">
      <c r="A133" s="199"/>
      <c r="B133" s="200"/>
      <c r="C133" s="200"/>
      <c r="D133" s="200"/>
      <c r="E133" s="200"/>
      <c r="F133" s="200"/>
      <c r="G133" s="200"/>
      <c r="H133" s="200"/>
      <c r="I133" s="200"/>
      <c r="J133" s="200"/>
      <c r="K133" s="200"/>
      <c r="L133" s="200"/>
      <c r="M133" s="200"/>
      <c r="N133" s="200"/>
      <c r="O133" s="200"/>
      <c r="P133" s="200"/>
      <c r="Q133" s="200"/>
      <c r="R133" s="200"/>
      <c r="S133" s="200"/>
      <c r="T133" s="200"/>
      <c r="U133" s="200"/>
      <c r="V133" s="200"/>
      <c r="W133" s="200"/>
      <c r="X133" s="200"/>
      <c r="Y133" s="200"/>
      <c r="Z133" s="200"/>
      <c r="AA133" s="200"/>
      <c r="AB133" s="200"/>
      <c r="AC133" s="200"/>
      <c r="AD133" s="200"/>
      <c r="AE133" s="200"/>
      <c r="AF133" s="200"/>
      <c r="AG133" s="200"/>
      <c r="AH133" s="200"/>
      <c r="AI133" s="200"/>
      <c r="AJ133" s="200"/>
      <c r="AK133" s="200"/>
      <c r="AL133" s="200"/>
      <c r="AM133" s="200"/>
      <c r="AN133" s="200"/>
      <c r="AO133" s="200"/>
      <c r="AP133" s="200"/>
      <c r="AQ133" s="200"/>
      <c r="AR133" s="200"/>
      <c r="AS133" s="200"/>
      <c r="AT133" s="200"/>
      <c r="AU133" s="200"/>
      <c r="AV133" s="200"/>
      <c r="AW133" s="200"/>
      <c r="AX133" s="200"/>
      <c r="AY133" s="200"/>
      <c r="AZ133" s="200"/>
      <c r="BA133" s="200"/>
    </row>
    <row r="134" spans="1:53" ht="15" customHeight="1">
      <c r="A134" s="199"/>
      <c r="B134" s="200"/>
      <c r="C134" s="200"/>
      <c r="D134" s="200"/>
      <c r="E134" s="200"/>
      <c r="F134" s="200"/>
      <c r="G134" s="200"/>
      <c r="H134" s="200"/>
      <c r="I134" s="200"/>
      <c r="J134" s="200"/>
      <c r="K134" s="200"/>
      <c r="L134" s="200"/>
      <c r="M134" s="200"/>
      <c r="N134" s="200"/>
      <c r="O134" s="200"/>
      <c r="P134" s="200"/>
      <c r="Q134" s="200"/>
      <c r="R134" s="200"/>
      <c r="S134" s="200"/>
      <c r="T134" s="200"/>
      <c r="U134" s="200"/>
      <c r="V134" s="200"/>
      <c r="W134" s="200"/>
      <c r="X134" s="200"/>
      <c r="Y134" s="200"/>
      <c r="Z134" s="200"/>
      <c r="AA134" s="200"/>
      <c r="AB134" s="200"/>
      <c r="AC134" s="200"/>
      <c r="AD134" s="200"/>
      <c r="AE134" s="200"/>
      <c r="AF134" s="200"/>
      <c r="AG134" s="200"/>
      <c r="AH134" s="200"/>
      <c r="AI134" s="200"/>
      <c r="AJ134" s="200"/>
      <c r="AK134" s="200"/>
      <c r="AL134" s="200"/>
      <c r="AM134" s="200"/>
      <c r="AN134" s="200"/>
      <c r="AO134" s="200"/>
      <c r="AP134" s="200"/>
      <c r="AQ134" s="200"/>
      <c r="AR134" s="200"/>
      <c r="AS134" s="200"/>
      <c r="AT134" s="200"/>
      <c r="AU134" s="200"/>
      <c r="AV134" s="200"/>
      <c r="AW134" s="200"/>
      <c r="AX134" s="200"/>
      <c r="AY134" s="200"/>
      <c r="AZ134" s="200"/>
      <c r="BA134" s="200"/>
    </row>
    <row r="135" spans="1:53" ht="15" customHeight="1">
      <c r="A135" s="201" t="s">
        <v>499</v>
      </c>
      <c r="B135" s="200"/>
      <c r="C135" s="200"/>
      <c r="D135" s="200"/>
      <c r="E135" s="200"/>
      <c r="F135" s="200"/>
      <c r="G135" s="200"/>
      <c r="H135" s="200"/>
      <c r="I135" s="200"/>
      <c r="J135" s="200"/>
      <c r="K135" s="200"/>
      <c r="L135" s="200"/>
      <c r="M135" s="200"/>
      <c r="N135" s="200"/>
      <c r="O135" s="200"/>
      <c r="P135" s="200"/>
      <c r="Q135" s="200"/>
      <c r="R135" s="200"/>
      <c r="S135" s="200"/>
      <c r="T135" s="200"/>
      <c r="U135" s="200"/>
      <c r="V135" s="200"/>
      <c r="W135" s="200"/>
      <c r="X135" s="200"/>
      <c r="Y135" s="200"/>
      <c r="Z135" s="200"/>
      <c r="AA135" s="200"/>
      <c r="AB135" s="200"/>
      <c r="AC135" s="200"/>
      <c r="AD135" s="200"/>
      <c r="AE135" s="200"/>
      <c r="AF135" s="200"/>
      <c r="AG135" s="200"/>
      <c r="AH135" s="200"/>
      <c r="AI135" s="200"/>
      <c r="AJ135" s="200"/>
      <c r="AK135" s="200"/>
      <c r="AL135" s="200"/>
      <c r="AM135" s="200"/>
      <c r="AN135" s="200"/>
      <c r="AO135" s="200"/>
      <c r="AP135" s="200"/>
      <c r="AQ135" s="200"/>
      <c r="AR135" s="200"/>
      <c r="AS135" s="200"/>
      <c r="AT135" s="200"/>
      <c r="AU135" s="200"/>
      <c r="AV135" s="200"/>
      <c r="AW135" s="200"/>
      <c r="AX135" s="200"/>
      <c r="AY135" s="200"/>
      <c r="AZ135" s="200"/>
      <c r="BA135" s="200"/>
    </row>
    <row r="136" spans="1:53" ht="15" customHeight="1">
      <c r="A136" s="199"/>
      <c r="B136" s="200"/>
      <c r="C136" s="200"/>
      <c r="D136" s="200"/>
      <c r="E136" s="200"/>
      <c r="F136" s="200"/>
      <c r="G136" s="200"/>
      <c r="H136" s="200"/>
      <c r="I136" s="200"/>
      <c r="J136" s="200"/>
      <c r="K136" s="200"/>
      <c r="L136" s="200"/>
      <c r="M136" s="200"/>
      <c r="N136" s="200"/>
      <c r="O136" s="200"/>
      <c r="P136" s="200"/>
      <c r="Q136" s="200"/>
      <c r="R136" s="200"/>
      <c r="S136" s="200"/>
      <c r="T136" s="200"/>
      <c r="U136" s="200"/>
      <c r="V136" s="200"/>
      <c r="W136" s="200"/>
      <c r="X136" s="200"/>
      <c r="Y136" s="200"/>
      <c r="Z136" s="200"/>
      <c r="AA136" s="200"/>
      <c r="AB136" s="200"/>
      <c r="AC136" s="200"/>
      <c r="AD136" s="200"/>
      <c r="AE136" s="200"/>
      <c r="AF136" s="200"/>
      <c r="AG136" s="200"/>
      <c r="AH136" s="200"/>
      <c r="AI136" s="200"/>
      <c r="AJ136" s="200"/>
      <c r="AK136" s="200"/>
      <c r="AL136" s="200"/>
      <c r="AM136" s="200"/>
      <c r="AN136" s="200"/>
      <c r="AO136" s="200"/>
      <c r="AP136" s="200"/>
      <c r="AQ136" s="200"/>
      <c r="AR136" s="200"/>
      <c r="AS136" s="200"/>
      <c r="AT136" s="200"/>
      <c r="AU136" s="200"/>
      <c r="AV136" s="200"/>
      <c r="AW136" s="200"/>
      <c r="AX136" s="200"/>
      <c r="AY136" s="200"/>
      <c r="AZ136" s="200"/>
      <c r="BA136" s="200"/>
    </row>
    <row r="137" spans="1:53" ht="15" customHeight="1">
      <c r="A137" s="199"/>
      <c r="B137" s="200"/>
      <c r="C137" s="200"/>
      <c r="D137" s="200"/>
      <c r="E137" s="200"/>
      <c r="F137" s="200"/>
      <c r="G137" s="200"/>
      <c r="H137" s="200"/>
      <c r="I137" s="200"/>
      <c r="J137" s="200"/>
      <c r="K137" s="200"/>
      <c r="L137" s="200"/>
      <c r="M137" s="200"/>
      <c r="N137" s="200"/>
      <c r="O137" s="200"/>
      <c r="P137" s="200"/>
      <c r="Q137" s="200"/>
      <c r="R137" s="200"/>
      <c r="S137" s="200"/>
      <c r="T137" s="200"/>
      <c r="U137" s="200"/>
      <c r="V137" s="200"/>
      <c r="W137" s="200"/>
      <c r="X137" s="200"/>
      <c r="Y137" s="200"/>
      <c r="Z137" s="200"/>
      <c r="AA137" s="200"/>
      <c r="AB137" s="200"/>
      <c r="AC137" s="200"/>
      <c r="AD137" s="200"/>
      <c r="AE137" s="200"/>
      <c r="AF137" s="200"/>
      <c r="AG137" s="200"/>
      <c r="AH137" s="200"/>
      <c r="AI137" s="200"/>
      <c r="AJ137" s="200"/>
      <c r="AK137" s="200"/>
      <c r="AL137" s="200"/>
      <c r="AM137" s="200"/>
      <c r="AN137" s="200"/>
      <c r="AO137" s="200"/>
      <c r="AP137" s="200"/>
      <c r="AQ137" s="200"/>
      <c r="AR137" s="200"/>
      <c r="AS137" s="200"/>
      <c r="AT137" s="200"/>
      <c r="AU137" s="200"/>
      <c r="AV137" s="200"/>
      <c r="AW137" s="200"/>
      <c r="AX137" s="200"/>
      <c r="AY137" s="200"/>
      <c r="AZ137" s="200"/>
      <c r="BA137" s="200"/>
    </row>
    <row r="138" spans="1:53" ht="15" customHeight="1">
      <c r="A138" s="199"/>
      <c r="B138" s="200"/>
      <c r="C138" s="200"/>
      <c r="D138" s="200"/>
      <c r="E138" s="200"/>
      <c r="F138" s="200"/>
      <c r="G138" s="200"/>
      <c r="H138" s="200"/>
      <c r="I138" s="200"/>
      <c r="J138" s="200"/>
      <c r="K138" s="200"/>
      <c r="L138" s="200"/>
      <c r="M138" s="200"/>
      <c r="N138" s="200"/>
      <c r="O138" s="200"/>
      <c r="P138" s="200"/>
      <c r="Q138" s="200"/>
      <c r="R138" s="200"/>
      <c r="S138" s="200"/>
      <c r="T138" s="200"/>
      <c r="U138" s="200"/>
      <c r="V138" s="200"/>
      <c r="W138" s="200"/>
      <c r="X138" s="200"/>
      <c r="Y138" s="200"/>
      <c r="Z138" s="200"/>
      <c r="AA138" s="200"/>
      <c r="AB138" s="200"/>
      <c r="AC138" s="200"/>
      <c r="AD138" s="200"/>
      <c r="AE138" s="200"/>
      <c r="AF138" s="200"/>
      <c r="AG138" s="200"/>
      <c r="AH138" s="200"/>
      <c r="AI138" s="200"/>
      <c r="AJ138" s="200"/>
      <c r="AK138" s="200"/>
      <c r="AL138" s="200"/>
      <c r="AM138" s="200"/>
      <c r="AN138" s="200"/>
      <c r="AO138" s="200"/>
      <c r="AP138" s="200"/>
      <c r="AQ138" s="200"/>
      <c r="AR138" s="200"/>
      <c r="AS138" s="200"/>
      <c r="AT138" s="200"/>
      <c r="AU138" s="200"/>
      <c r="AV138" s="200"/>
      <c r="AW138" s="200"/>
      <c r="AX138" s="200"/>
      <c r="AY138" s="200"/>
      <c r="AZ138" s="200"/>
      <c r="BA138" s="200"/>
    </row>
    <row r="139" spans="1:53" ht="15" customHeight="1">
      <c r="A139" s="199"/>
      <c r="B139" s="200"/>
      <c r="C139" s="200"/>
      <c r="D139" s="200"/>
      <c r="E139" s="200"/>
      <c r="F139" s="200"/>
      <c r="G139" s="200"/>
      <c r="H139" s="200"/>
      <c r="I139" s="200"/>
      <c r="J139" s="200"/>
      <c r="K139" s="200"/>
      <c r="L139" s="200"/>
      <c r="M139" s="200"/>
      <c r="N139" s="200"/>
      <c r="O139" s="200"/>
      <c r="P139" s="200"/>
      <c r="Q139" s="200"/>
      <c r="R139" s="200"/>
      <c r="S139" s="200"/>
      <c r="T139" s="200"/>
      <c r="U139" s="200"/>
      <c r="V139" s="200"/>
      <c r="W139" s="200"/>
      <c r="X139" s="200"/>
      <c r="Y139" s="200"/>
      <c r="Z139" s="200"/>
      <c r="AA139" s="200"/>
      <c r="AB139" s="200"/>
      <c r="AC139" s="200"/>
      <c r="AD139" s="200"/>
      <c r="AE139" s="200"/>
      <c r="AF139" s="200"/>
      <c r="AG139" s="200"/>
      <c r="AH139" s="200"/>
      <c r="AI139" s="200"/>
      <c r="AJ139" s="200"/>
      <c r="AK139" s="200"/>
      <c r="AL139" s="200"/>
      <c r="AM139" s="200"/>
      <c r="AN139" s="200"/>
      <c r="AO139" s="200"/>
      <c r="AP139" s="200"/>
      <c r="AQ139" s="200"/>
      <c r="AR139" s="200"/>
      <c r="AS139" s="200"/>
      <c r="AT139" s="200"/>
      <c r="AU139" s="200"/>
      <c r="AV139" s="200"/>
      <c r="AW139" s="200"/>
      <c r="AX139" s="200"/>
      <c r="AY139" s="200"/>
      <c r="AZ139" s="200"/>
      <c r="BA139" s="200"/>
    </row>
    <row r="140" spans="1:53" ht="15" customHeight="1">
      <c r="A140" s="199"/>
      <c r="B140" s="200"/>
      <c r="C140" s="200"/>
      <c r="D140" s="200"/>
      <c r="E140" s="200"/>
      <c r="F140" s="200"/>
      <c r="G140" s="200"/>
      <c r="H140" s="200"/>
      <c r="I140" s="200"/>
      <c r="J140" s="200"/>
      <c r="K140" s="200"/>
      <c r="L140" s="200"/>
      <c r="M140" s="200"/>
      <c r="N140" s="200"/>
      <c r="O140" s="200"/>
      <c r="P140" s="200"/>
      <c r="Q140" s="200"/>
      <c r="R140" s="200"/>
      <c r="S140" s="200"/>
      <c r="T140" s="200"/>
      <c r="U140" s="200"/>
      <c r="V140" s="200"/>
      <c r="W140" s="200"/>
      <c r="X140" s="200"/>
      <c r="Y140" s="200"/>
      <c r="Z140" s="200"/>
      <c r="AA140" s="200"/>
      <c r="AB140" s="200"/>
      <c r="AC140" s="200"/>
      <c r="AD140" s="200"/>
      <c r="AE140" s="200"/>
      <c r="AF140" s="200"/>
      <c r="AG140" s="200"/>
      <c r="AH140" s="200"/>
      <c r="AI140" s="200"/>
      <c r="AJ140" s="200"/>
      <c r="AK140" s="200"/>
      <c r="AL140" s="200"/>
      <c r="AM140" s="200"/>
      <c r="AN140" s="200"/>
      <c r="AO140" s="200"/>
      <c r="AP140" s="200"/>
      <c r="AQ140" s="200"/>
      <c r="AR140" s="200"/>
      <c r="AS140" s="200"/>
      <c r="AT140" s="200"/>
      <c r="AU140" s="200"/>
      <c r="AV140" s="200"/>
      <c r="AW140" s="200"/>
      <c r="AX140" s="200"/>
      <c r="AY140" s="200"/>
      <c r="AZ140" s="200"/>
      <c r="BA140" s="200"/>
    </row>
    <row r="141" spans="1:53" ht="15" customHeight="1">
      <c r="A141" s="201" t="s">
        <v>500</v>
      </c>
      <c r="B141" s="200"/>
      <c r="C141" s="200"/>
      <c r="D141" s="200"/>
      <c r="E141" s="200"/>
      <c r="F141" s="200"/>
      <c r="G141" s="200"/>
      <c r="H141" s="200"/>
      <c r="I141" s="200"/>
      <c r="J141" s="200"/>
      <c r="K141" s="200"/>
      <c r="L141" s="200"/>
      <c r="M141" s="200"/>
      <c r="N141" s="200"/>
      <c r="O141" s="200"/>
      <c r="P141" s="200"/>
      <c r="Q141" s="200"/>
      <c r="R141" s="200"/>
      <c r="S141" s="200"/>
      <c r="T141" s="200"/>
      <c r="U141" s="200"/>
      <c r="V141" s="200"/>
      <c r="W141" s="200"/>
      <c r="X141" s="200"/>
      <c r="Y141" s="200"/>
      <c r="Z141" s="200"/>
      <c r="AA141" s="200"/>
      <c r="AB141" s="200"/>
      <c r="AC141" s="200"/>
      <c r="AD141" s="200"/>
      <c r="AE141" s="200"/>
      <c r="AF141" s="200"/>
      <c r="AG141" s="200"/>
      <c r="AH141" s="200"/>
      <c r="AI141" s="200"/>
      <c r="AJ141" s="200"/>
      <c r="AK141" s="200"/>
      <c r="AL141" s="200"/>
      <c r="AM141" s="200"/>
      <c r="AN141" s="200"/>
      <c r="AO141" s="200"/>
      <c r="AP141" s="200"/>
      <c r="AQ141" s="200"/>
      <c r="AR141" s="200"/>
      <c r="AS141" s="200"/>
      <c r="AT141" s="200"/>
      <c r="AU141" s="200"/>
      <c r="AV141" s="200"/>
      <c r="AW141" s="200"/>
      <c r="AX141" s="200"/>
      <c r="AY141" s="200"/>
      <c r="AZ141" s="200"/>
      <c r="BA141" s="200"/>
    </row>
    <row r="142" spans="1:53" ht="15" customHeight="1">
      <c r="A142" s="201" t="s">
        <v>501</v>
      </c>
      <c r="B142" s="200"/>
      <c r="C142" s="200"/>
      <c r="D142" s="200"/>
      <c r="E142" s="200"/>
      <c r="F142" s="200"/>
      <c r="G142" s="200"/>
      <c r="H142" s="200"/>
      <c r="I142" s="200"/>
      <c r="J142" s="200"/>
      <c r="K142" s="200"/>
      <c r="L142" s="200"/>
      <c r="M142" s="200"/>
      <c r="N142" s="200"/>
      <c r="O142" s="200"/>
      <c r="P142" s="200"/>
      <c r="Q142" s="200"/>
      <c r="R142" s="200"/>
      <c r="S142" s="200"/>
      <c r="T142" s="200"/>
      <c r="U142" s="200"/>
      <c r="V142" s="200"/>
      <c r="W142" s="200"/>
      <c r="X142" s="200"/>
      <c r="Y142" s="200"/>
      <c r="Z142" s="200"/>
      <c r="AA142" s="200"/>
      <c r="AB142" s="200"/>
      <c r="AC142" s="200"/>
      <c r="AD142" s="200"/>
      <c r="AE142" s="200"/>
      <c r="AF142" s="200"/>
      <c r="AG142" s="200"/>
      <c r="AH142" s="200"/>
      <c r="AI142" s="200"/>
      <c r="AJ142" s="200"/>
      <c r="AK142" s="200"/>
      <c r="AL142" s="200"/>
      <c r="AM142" s="200"/>
      <c r="AN142" s="200"/>
      <c r="AO142" s="200"/>
      <c r="AP142" s="200"/>
      <c r="AQ142" s="200"/>
      <c r="AR142" s="200"/>
      <c r="AS142" s="200"/>
      <c r="AT142" s="200"/>
      <c r="AU142" s="200"/>
      <c r="AV142" s="200"/>
      <c r="AW142" s="200"/>
      <c r="AX142" s="200"/>
      <c r="AY142" s="200"/>
      <c r="AZ142" s="200"/>
      <c r="BA142" s="200"/>
    </row>
    <row r="143" spans="1:53" ht="15" customHeight="1">
      <c r="A143" s="201" t="s">
        <v>502</v>
      </c>
      <c r="B143" s="200"/>
      <c r="C143" s="200"/>
      <c r="D143" s="200"/>
      <c r="E143" s="200"/>
      <c r="F143" s="200"/>
      <c r="G143" s="200"/>
      <c r="H143" s="200"/>
      <c r="I143" s="200"/>
      <c r="J143" s="200"/>
      <c r="K143" s="200"/>
      <c r="L143" s="200"/>
      <c r="M143" s="200"/>
      <c r="N143" s="200"/>
      <c r="O143" s="200"/>
      <c r="P143" s="200"/>
      <c r="Q143" s="200"/>
      <c r="R143" s="200"/>
      <c r="S143" s="200"/>
      <c r="T143" s="200"/>
      <c r="U143" s="200"/>
      <c r="V143" s="200"/>
      <c r="W143" s="200"/>
      <c r="X143" s="200"/>
      <c r="Y143" s="200"/>
      <c r="Z143" s="200"/>
      <c r="AA143" s="200"/>
      <c r="AB143" s="200"/>
      <c r="AC143" s="200"/>
      <c r="AD143" s="200"/>
      <c r="AE143" s="200"/>
      <c r="AF143" s="200"/>
      <c r="AG143" s="200"/>
      <c r="AH143" s="200"/>
      <c r="AI143" s="200"/>
      <c r="AJ143" s="200"/>
      <c r="AK143" s="200"/>
      <c r="AL143" s="200"/>
      <c r="AM143" s="200"/>
      <c r="AN143" s="200"/>
      <c r="AO143" s="200"/>
      <c r="AP143" s="200"/>
      <c r="AQ143" s="200"/>
      <c r="AR143" s="200"/>
      <c r="AS143" s="200"/>
      <c r="AT143" s="200"/>
      <c r="AU143" s="200"/>
      <c r="AV143" s="200"/>
      <c r="AW143" s="200"/>
      <c r="AX143" s="200"/>
      <c r="AY143" s="200"/>
      <c r="AZ143" s="200"/>
      <c r="BA143" s="200"/>
    </row>
    <row r="144" spans="1:53" ht="15" customHeight="1">
      <c r="A144" s="201" t="s">
        <v>503</v>
      </c>
      <c r="B144" s="200"/>
      <c r="C144" s="200"/>
      <c r="D144" s="200"/>
      <c r="E144" s="200"/>
      <c r="F144" s="200"/>
      <c r="G144" s="200"/>
      <c r="H144" s="200"/>
      <c r="I144" s="200"/>
      <c r="J144" s="200"/>
      <c r="K144" s="200"/>
      <c r="L144" s="200"/>
      <c r="M144" s="200"/>
      <c r="N144" s="200"/>
      <c r="O144" s="200"/>
      <c r="P144" s="200"/>
      <c r="Q144" s="200"/>
      <c r="R144" s="200"/>
      <c r="S144" s="200"/>
      <c r="T144" s="200"/>
      <c r="U144" s="200"/>
      <c r="V144" s="200"/>
      <c r="W144" s="200"/>
      <c r="X144" s="200"/>
      <c r="Y144" s="200"/>
      <c r="Z144" s="200"/>
      <c r="AA144" s="200"/>
      <c r="AB144" s="200"/>
      <c r="AC144" s="200"/>
      <c r="AD144" s="200"/>
      <c r="AE144" s="200"/>
      <c r="AF144" s="200"/>
      <c r="AG144" s="200"/>
      <c r="AH144" s="200"/>
      <c r="AI144" s="200"/>
      <c r="AJ144" s="200"/>
      <c r="AK144" s="200"/>
      <c r="AL144" s="200"/>
      <c r="AM144" s="200"/>
      <c r="AN144" s="200"/>
      <c r="AO144" s="200"/>
      <c r="AP144" s="200"/>
      <c r="AQ144" s="200"/>
      <c r="AR144" s="200"/>
      <c r="AS144" s="200"/>
      <c r="AT144" s="200"/>
      <c r="AU144" s="200"/>
      <c r="AV144" s="200"/>
      <c r="AW144" s="200"/>
      <c r="AX144" s="200"/>
      <c r="AY144" s="200"/>
      <c r="AZ144" s="200"/>
      <c r="BA144" s="200"/>
    </row>
    <row r="145" spans="1:53" ht="15" customHeight="1">
      <c r="A145" s="201" t="s">
        <v>504</v>
      </c>
      <c r="B145" s="200"/>
      <c r="C145" s="200"/>
      <c r="D145" s="200"/>
      <c r="E145" s="200"/>
      <c r="F145" s="200"/>
      <c r="G145" s="200"/>
      <c r="H145" s="200"/>
      <c r="I145" s="200"/>
      <c r="J145" s="200"/>
      <c r="K145" s="200"/>
      <c r="L145" s="200"/>
      <c r="M145" s="200"/>
      <c r="N145" s="200"/>
      <c r="O145" s="200"/>
      <c r="P145" s="200"/>
      <c r="Q145" s="200"/>
      <c r="R145" s="200"/>
      <c r="S145" s="200"/>
      <c r="T145" s="200"/>
      <c r="U145" s="200"/>
      <c r="V145" s="200"/>
      <c r="W145" s="200"/>
      <c r="X145" s="200"/>
      <c r="Y145" s="200"/>
      <c r="Z145" s="200"/>
      <c r="AA145" s="200"/>
      <c r="AB145" s="200"/>
      <c r="AC145" s="200"/>
      <c r="AD145" s="200"/>
      <c r="AE145" s="200"/>
      <c r="AF145" s="200"/>
      <c r="AG145" s="200"/>
      <c r="AH145" s="200"/>
      <c r="AI145" s="200"/>
      <c r="AJ145" s="200"/>
      <c r="AK145" s="200"/>
      <c r="AL145" s="200"/>
      <c r="AM145" s="200"/>
      <c r="AN145" s="200"/>
      <c r="AO145" s="200"/>
      <c r="AP145" s="200"/>
      <c r="AQ145" s="200"/>
      <c r="AR145" s="200"/>
      <c r="AS145" s="200"/>
      <c r="AT145" s="200"/>
      <c r="AU145" s="200"/>
      <c r="AV145" s="200"/>
      <c r="AW145" s="200"/>
      <c r="AX145" s="200"/>
      <c r="AY145" s="200"/>
      <c r="AZ145" s="200"/>
      <c r="BA145" s="200"/>
    </row>
    <row r="146" spans="1:53" ht="15" customHeight="1">
      <c r="A146" s="201" t="s">
        <v>505</v>
      </c>
      <c r="B146" s="200"/>
      <c r="C146" s="200"/>
      <c r="D146" s="200"/>
      <c r="E146" s="200"/>
      <c r="F146" s="200"/>
      <c r="G146" s="200"/>
      <c r="H146" s="200"/>
      <c r="I146" s="200"/>
      <c r="J146" s="200"/>
      <c r="K146" s="200"/>
      <c r="L146" s="200"/>
      <c r="M146" s="200"/>
      <c r="N146" s="200"/>
      <c r="O146" s="200"/>
      <c r="P146" s="200"/>
      <c r="Q146" s="200"/>
      <c r="R146" s="200"/>
      <c r="S146" s="200"/>
      <c r="T146" s="200"/>
      <c r="U146" s="200"/>
      <c r="V146" s="200"/>
      <c r="W146" s="200"/>
      <c r="X146" s="200"/>
      <c r="Y146" s="200"/>
      <c r="Z146" s="200"/>
      <c r="AA146" s="200"/>
      <c r="AB146" s="200"/>
      <c r="AC146" s="200"/>
      <c r="AD146" s="200"/>
      <c r="AE146" s="200"/>
      <c r="AF146" s="200"/>
      <c r="AG146" s="200"/>
      <c r="AH146" s="200"/>
      <c r="AI146" s="200"/>
      <c r="AJ146" s="200"/>
      <c r="AK146" s="200"/>
      <c r="AL146" s="200"/>
      <c r="AM146" s="200"/>
      <c r="AN146" s="200"/>
      <c r="AO146" s="200"/>
      <c r="AP146" s="200"/>
      <c r="AQ146" s="200"/>
      <c r="AR146" s="200"/>
      <c r="AS146" s="200"/>
      <c r="AT146" s="200"/>
      <c r="AU146" s="200"/>
      <c r="AV146" s="200"/>
      <c r="AW146" s="200"/>
      <c r="AX146" s="200"/>
      <c r="AY146" s="200"/>
      <c r="AZ146" s="200"/>
      <c r="BA146" s="200"/>
    </row>
    <row r="147" spans="1:53" ht="15" customHeight="1">
      <c r="A147" s="199"/>
      <c r="B147" s="200"/>
      <c r="C147" s="200"/>
      <c r="D147" s="200"/>
      <c r="E147" s="200"/>
      <c r="F147" s="200"/>
      <c r="G147" s="200"/>
      <c r="H147" s="200"/>
      <c r="I147" s="200"/>
      <c r="J147" s="200"/>
      <c r="K147" s="200"/>
      <c r="L147" s="200"/>
      <c r="M147" s="200"/>
      <c r="N147" s="200"/>
      <c r="O147" s="200"/>
      <c r="P147" s="200"/>
      <c r="Q147" s="200"/>
      <c r="R147" s="200"/>
      <c r="S147" s="200"/>
      <c r="T147" s="200"/>
      <c r="U147" s="200"/>
      <c r="V147" s="200"/>
      <c r="W147" s="200"/>
      <c r="X147" s="200"/>
      <c r="Y147" s="200"/>
      <c r="Z147" s="200"/>
      <c r="AA147" s="200"/>
      <c r="AB147" s="200"/>
      <c r="AC147" s="200"/>
      <c r="AD147" s="200"/>
      <c r="AE147" s="200"/>
      <c r="AF147" s="200"/>
      <c r="AG147" s="200"/>
      <c r="AH147" s="200"/>
      <c r="AI147" s="200"/>
      <c r="AJ147" s="200"/>
      <c r="AK147" s="200"/>
      <c r="AL147" s="200"/>
      <c r="AM147" s="200"/>
      <c r="AN147" s="200"/>
      <c r="AO147" s="200"/>
      <c r="AP147" s="200"/>
      <c r="AQ147" s="200"/>
      <c r="AR147" s="200"/>
      <c r="AS147" s="200"/>
      <c r="AT147" s="200"/>
      <c r="AU147" s="200"/>
      <c r="AV147" s="200"/>
      <c r="AW147" s="200"/>
      <c r="AX147" s="200"/>
      <c r="AY147" s="200"/>
      <c r="AZ147" s="200"/>
      <c r="BA147" s="200"/>
    </row>
    <row r="148" spans="1:53" ht="15" customHeight="1">
      <c r="A148" s="199"/>
      <c r="B148" s="200"/>
      <c r="C148" s="200"/>
      <c r="D148" s="200"/>
      <c r="E148" s="200"/>
      <c r="F148" s="200"/>
      <c r="G148" s="200"/>
      <c r="H148" s="200"/>
      <c r="I148" s="200"/>
      <c r="J148" s="200"/>
      <c r="K148" s="200"/>
      <c r="L148" s="200"/>
      <c r="M148" s="200"/>
      <c r="N148" s="200"/>
      <c r="O148" s="200"/>
      <c r="P148" s="200"/>
      <c r="Q148" s="200"/>
      <c r="R148" s="200"/>
      <c r="S148" s="200"/>
      <c r="T148" s="200"/>
      <c r="U148" s="200"/>
      <c r="V148" s="200"/>
      <c r="W148" s="200"/>
      <c r="X148" s="200"/>
      <c r="Y148" s="200"/>
      <c r="Z148" s="200"/>
      <c r="AA148" s="200"/>
      <c r="AB148" s="200"/>
      <c r="AC148" s="200"/>
      <c r="AD148" s="200"/>
      <c r="AE148" s="200"/>
      <c r="AF148" s="200"/>
      <c r="AG148" s="200"/>
      <c r="AH148" s="200"/>
      <c r="AI148" s="200"/>
      <c r="AJ148" s="200"/>
      <c r="AK148" s="200"/>
      <c r="AL148" s="200"/>
      <c r="AM148" s="200"/>
      <c r="AN148" s="200"/>
      <c r="AO148" s="200"/>
      <c r="AP148" s="200"/>
      <c r="AQ148" s="200"/>
      <c r="AR148" s="200"/>
      <c r="AS148" s="200"/>
      <c r="AT148" s="200"/>
      <c r="AU148" s="200"/>
      <c r="AV148" s="200"/>
      <c r="AW148" s="200"/>
      <c r="AX148" s="200"/>
      <c r="AY148" s="200"/>
      <c r="AZ148" s="200"/>
      <c r="BA148" s="200"/>
    </row>
    <row r="149" spans="1:53" ht="15" customHeight="1">
      <c r="A149" s="201" t="s">
        <v>506</v>
      </c>
      <c r="B149" s="200"/>
      <c r="C149" s="200"/>
      <c r="D149" s="200"/>
      <c r="E149" s="200"/>
      <c r="F149" s="200"/>
      <c r="G149" s="200"/>
      <c r="H149" s="200"/>
      <c r="I149" s="200"/>
      <c r="J149" s="200"/>
      <c r="K149" s="200"/>
      <c r="L149" s="200"/>
      <c r="M149" s="200"/>
      <c r="N149" s="200"/>
      <c r="O149" s="200"/>
      <c r="P149" s="200"/>
      <c r="Q149" s="200"/>
      <c r="R149" s="200"/>
      <c r="S149" s="200"/>
      <c r="T149" s="200"/>
      <c r="U149" s="200"/>
      <c r="V149" s="200"/>
      <c r="W149" s="200"/>
      <c r="X149" s="200"/>
      <c r="Y149" s="200"/>
      <c r="Z149" s="200"/>
      <c r="AA149" s="200"/>
      <c r="AB149" s="200"/>
      <c r="AC149" s="200"/>
      <c r="AD149" s="200"/>
      <c r="AE149" s="200"/>
      <c r="AF149" s="200"/>
      <c r="AG149" s="200"/>
      <c r="AH149" s="200"/>
      <c r="AI149" s="200"/>
      <c r="AJ149" s="200"/>
      <c r="AK149" s="200"/>
      <c r="AL149" s="200"/>
      <c r="AM149" s="200"/>
      <c r="AN149" s="200"/>
      <c r="AO149" s="200"/>
      <c r="AP149" s="200"/>
      <c r="AQ149" s="200"/>
      <c r="AR149" s="200"/>
      <c r="AS149" s="200"/>
      <c r="AT149" s="200"/>
      <c r="AU149" s="200"/>
      <c r="AV149" s="200"/>
      <c r="AW149" s="200"/>
      <c r="AX149" s="200"/>
      <c r="AY149" s="200"/>
      <c r="AZ149" s="200"/>
      <c r="BA149" s="200"/>
    </row>
    <row r="150" spans="1:53" ht="15" customHeight="1">
      <c r="A150" s="201" t="s">
        <v>507</v>
      </c>
      <c r="B150" s="200"/>
      <c r="C150" s="200"/>
      <c r="D150" s="200"/>
      <c r="E150" s="200"/>
      <c r="F150" s="200"/>
      <c r="G150" s="200"/>
      <c r="H150" s="200"/>
      <c r="I150" s="200"/>
      <c r="J150" s="200"/>
      <c r="K150" s="200"/>
      <c r="L150" s="200"/>
      <c r="M150" s="200"/>
      <c r="N150" s="200"/>
      <c r="O150" s="200"/>
      <c r="P150" s="200"/>
      <c r="Q150" s="200"/>
      <c r="R150" s="200"/>
      <c r="S150" s="200"/>
      <c r="T150" s="200"/>
      <c r="U150" s="200"/>
      <c r="V150" s="200"/>
      <c r="W150" s="200"/>
      <c r="X150" s="200"/>
      <c r="Y150" s="200"/>
      <c r="Z150" s="200"/>
      <c r="AA150" s="200"/>
      <c r="AB150" s="200"/>
      <c r="AC150" s="200"/>
      <c r="AD150" s="200"/>
      <c r="AE150" s="200"/>
      <c r="AF150" s="200"/>
      <c r="AG150" s="200"/>
      <c r="AH150" s="200"/>
      <c r="AI150" s="200"/>
      <c r="AJ150" s="200"/>
      <c r="AK150" s="200"/>
      <c r="AL150" s="200"/>
      <c r="AM150" s="200"/>
      <c r="AN150" s="200"/>
      <c r="AO150" s="200"/>
      <c r="AP150" s="200"/>
      <c r="AQ150" s="200"/>
      <c r="AR150" s="200"/>
      <c r="AS150" s="200"/>
      <c r="AT150" s="200"/>
      <c r="AU150" s="200"/>
      <c r="AV150" s="200"/>
      <c r="AW150" s="200"/>
      <c r="AX150" s="200"/>
      <c r="AY150" s="200"/>
      <c r="AZ150" s="200"/>
      <c r="BA150" s="200"/>
    </row>
    <row r="151" spans="1:53" ht="15" customHeight="1">
      <c r="A151" s="201" t="s">
        <v>508</v>
      </c>
      <c r="B151" s="200"/>
      <c r="C151" s="200"/>
      <c r="D151" s="200"/>
      <c r="E151" s="200"/>
      <c r="F151" s="200"/>
      <c r="G151" s="200"/>
      <c r="H151" s="200"/>
      <c r="I151" s="200"/>
      <c r="J151" s="200"/>
      <c r="K151" s="200"/>
      <c r="L151" s="200"/>
      <c r="M151" s="200"/>
      <c r="N151" s="200"/>
      <c r="O151" s="200"/>
      <c r="P151" s="200"/>
      <c r="Q151" s="200"/>
      <c r="R151" s="200"/>
      <c r="S151" s="200"/>
      <c r="T151" s="200"/>
      <c r="U151" s="200"/>
      <c r="V151" s="200"/>
      <c r="W151" s="200"/>
      <c r="X151" s="200"/>
      <c r="Y151" s="200"/>
      <c r="Z151" s="200"/>
      <c r="AA151" s="200"/>
      <c r="AB151" s="200"/>
      <c r="AC151" s="200"/>
      <c r="AD151" s="200"/>
      <c r="AE151" s="200"/>
      <c r="AF151" s="200"/>
      <c r="AG151" s="200"/>
      <c r="AH151" s="200"/>
      <c r="AI151" s="200"/>
      <c r="AJ151" s="200"/>
      <c r="AK151" s="200"/>
      <c r="AL151" s="200"/>
      <c r="AM151" s="200"/>
      <c r="AN151" s="200"/>
      <c r="AO151" s="200"/>
      <c r="AP151" s="200"/>
      <c r="AQ151" s="200"/>
      <c r="AR151" s="200"/>
      <c r="AS151" s="200"/>
      <c r="AT151" s="200"/>
      <c r="AU151" s="200"/>
      <c r="AV151" s="200"/>
      <c r="AW151" s="200"/>
      <c r="AX151" s="200"/>
      <c r="AY151" s="200"/>
      <c r="AZ151" s="200"/>
      <c r="BA151" s="200"/>
    </row>
    <row r="152" spans="1:53" ht="15" customHeight="1">
      <c r="A152" s="201" t="s">
        <v>509</v>
      </c>
      <c r="B152" s="200"/>
      <c r="C152" s="200"/>
      <c r="D152" s="200"/>
      <c r="E152" s="200"/>
      <c r="F152" s="200"/>
      <c r="G152" s="200"/>
      <c r="H152" s="200"/>
      <c r="I152" s="200"/>
      <c r="J152" s="200"/>
      <c r="K152" s="200"/>
      <c r="L152" s="200"/>
      <c r="M152" s="200"/>
      <c r="N152" s="200"/>
      <c r="O152" s="200"/>
      <c r="P152" s="200"/>
      <c r="Q152" s="200"/>
      <c r="R152" s="200"/>
      <c r="S152" s="200"/>
      <c r="T152" s="200"/>
      <c r="U152" s="200"/>
      <c r="V152" s="200"/>
      <c r="W152" s="200"/>
      <c r="X152" s="200"/>
      <c r="Y152" s="200"/>
      <c r="Z152" s="200"/>
      <c r="AA152" s="200"/>
      <c r="AB152" s="200"/>
      <c r="AC152" s="200"/>
      <c r="AD152" s="200"/>
      <c r="AE152" s="200"/>
      <c r="AF152" s="200"/>
      <c r="AG152" s="200"/>
      <c r="AH152" s="200"/>
      <c r="AI152" s="200"/>
      <c r="AJ152" s="200"/>
      <c r="AK152" s="200"/>
      <c r="AL152" s="200"/>
      <c r="AM152" s="200"/>
      <c r="AN152" s="200"/>
      <c r="AO152" s="200"/>
      <c r="AP152" s="200"/>
      <c r="AQ152" s="200"/>
      <c r="AR152" s="200"/>
      <c r="AS152" s="200"/>
      <c r="AT152" s="200"/>
      <c r="AU152" s="200"/>
      <c r="AV152" s="200"/>
      <c r="AW152" s="200"/>
      <c r="AX152" s="200"/>
      <c r="AY152" s="200"/>
      <c r="AZ152" s="200"/>
      <c r="BA152" s="200"/>
    </row>
    <row r="153" spans="1:53" ht="15" customHeight="1">
      <c r="A153" s="201" t="s">
        <v>510</v>
      </c>
      <c r="B153" s="200"/>
      <c r="C153" s="200"/>
      <c r="D153" s="200"/>
      <c r="E153" s="200"/>
      <c r="F153" s="200"/>
      <c r="G153" s="200"/>
      <c r="H153" s="200"/>
      <c r="I153" s="200"/>
      <c r="J153" s="200"/>
      <c r="K153" s="200"/>
      <c r="L153" s="200"/>
      <c r="M153" s="200"/>
      <c r="N153" s="200"/>
      <c r="O153" s="200"/>
      <c r="P153" s="200"/>
      <c r="Q153" s="200"/>
      <c r="R153" s="200"/>
      <c r="S153" s="200"/>
      <c r="T153" s="200"/>
      <c r="U153" s="200"/>
      <c r="V153" s="200"/>
      <c r="W153" s="200"/>
      <c r="X153" s="200"/>
      <c r="Y153" s="200"/>
      <c r="Z153" s="200"/>
      <c r="AA153" s="200"/>
      <c r="AB153" s="200"/>
      <c r="AC153" s="200"/>
      <c r="AD153" s="200"/>
      <c r="AE153" s="200"/>
      <c r="AF153" s="200"/>
      <c r="AG153" s="200"/>
      <c r="AH153" s="200"/>
      <c r="AI153" s="200"/>
      <c r="AJ153" s="200"/>
      <c r="AK153" s="200"/>
      <c r="AL153" s="200"/>
      <c r="AM153" s="200"/>
      <c r="AN153" s="200"/>
      <c r="AO153" s="200"/>
      <c r="AP153" s="200"/>
      <c r="AQ153" s="200"/>
      <c r="AR153" s="200"/>
      <c r="AS153" s="200"/>
      <c r="AT153" s="200"/>
      <c r="AU153" s="200"/>
      <c r="AV153" s="200"/>
      <c r="AW153" s="200"/>
      <c r="AX153" s="200"/>
      <c r="AY153" s="200"/>
      <c r="AZ153" s="200"/>
      <c r="BA153" s="200"/>
    </row>
    <row r="154" spans="1:53" ht="15" customHeight="1">
      <c r="A154" s="201" t="s">
        <v>511</v>
      </c>
      <c r="B154" s="200"/>
      <c r="C154" s="200"/>
      <c r="D154" s="200"/>
      <c r="E154" s="200"/>
      <c r="F154" s="200"/>
      <c r="G154" s="200"/>
      <c r="H154" s="200"/>
      <c r="I154" s="200"/>
      <c r="J154" s="200"/>
      <c r="K154" s="200"/>
      <c r="L154" s="200"/>
      <c r="M154" s="200"/>
      <c r="N154" s="200"/>
      <c r="O154" s="200"/>
      <c r="P154" s="200"/>
      <c r="Q154" s="200"/>
      <c r="R154" s="200"/>
      <c r="S154" s="200"/>
      <c r="T154" s="200"/>
      <c r="U154" s="200"/>
      <c r="V154" s="200"/>
      <c r="W154" s="200"/>
      <c r="X154" s="200"/>
      <c r="Y154" s="200"/>
      <c r="Z154" s="200"/>
      <c r="AA154" s="200"/>
      <c r="AB154" s="200"/>
      <c r="AC154" s="200"/>
      <c r="AD154" s="200"/>
      <c r="AE154" s="200"/>
      <c r="AF154" s="200"/>
      <c r="AG154" s="200"/>
      <c r="AH154" s="200"/>
      <c r="AI154" s="200"/>
      <c r="AJ154" s="200"/>
      <c r="AK154" s="200"/>
      <c r="AL154" s="200"/>
      <c r="AM154" s="200"/>
      <c r="AN154" s="200"/>
      <c r="AO154" s="200"/>
      <c r="AP154" s="200"/>
      <c r="AQ154" s="200"/>
      <c r="AR154" s="200"/>
      <c r="AS154" s="200"/>
      <c r="AT154" s="200"/>
      <c r="AU154" s="200"/>
      <c r="AV154" s="200"/>
      <c r="AW154" s="200"/>
      <c r="AX154" s="200"/>
      <c r="AY154" s="200"/>
      <c r="AZ154" s="200"/>
      <c r="BA154" s="200"/>
    </row>
    <row r="155" spans="1:53" ht="15" customHeight="1">
      <c r="A155" s="199"/>
      <c r="B155" s="200"/>
      <c r="C155" s="200"/>
      <c r="D155" s="200"/>
      <c r="E155" s="200"/>
      <c r="F155" s="200"/>
      <c r="G155" s="200"/>
      <c r="H155" s="200"/>
      <c r="I155" s="200"/>
      <c r="J155" s="200"/>
      <c r="K155" s="200"/>
      <c r="L155" s="200"/>
      <c r="M155" s="200"/>
      <c r="N155" s="200"/>
      <c r="O155" s="200"/>
      <c r="P155" s="200"/>
      <c r="Q155" s="200"/>
      <c r="R155" s="200"/>
      <c r="S155" s="200"/>
      <c r="T155" s="200"/>
      <c r="U155" s="200"/>
      <c r="V155" s="200"/>
      <c r="W155" s="200"/>
      <c r="X155" s="200"/>
      <c r="Y155" s="200"/>
      <c r="Z155" s="200"/>
      <c r="AA155" s="200"/>
      <c r="AB155" s="200"/>
      <c r="AC155" s="200"/>
      <c r="AD155" s="200"/>
      <c r="AE155" s="200"/>
      <c r="AF155" s="200"/>
      <c r="AG155" s="200"/>
      <c r="AH155" s="200"/>
      <c r="AI155" s="200"/>
      <c r="AJ155" s="200"/>
      <c r="AK155" s="200"/>
      <c r="AL155" s="200"/>
      <c r="AM155" s="200"/>
      <c r="AN155" s="200"/>
      <c r="AO155" s="200"/>
      <c r="AP155" s="200"/>
      <c r="AQ155" s="200"/>
      <c r="AR155" s="200"/>
      <c r="AS155" s="200"/>
      <c r="AT155" s="200"/>
      <c r="AU155" s="200"/>
      <c r="AV155" s="200"/>
      <c r="AW155" s="200"/>
      <c r="AX155" s="200"/>
      <c r="AY155" s="200"/>
      <c r="AZ155" s="200"/>
      <c r="BA155" s="200"/>
    </row>
    <row r="156" spans="1:53" ht="15" customHeight="1">
      <c r="A156" s="199"/>
      <c r="B156" s="200"/>
      <c r="C156" s="200"/>
      <c r="D156" s="200"/>
      <c r="E156" s="200"/>
      <c r="F156" s="200"/>
      <c r="G156" s="200"/>
      <c r="H156" s="200"/>
      <c r="I156" s="200"/>
      <c r="J156" s="200"/>
      <c r="K156" s="200"/>
      <c r="L156" s="200"/>
      <c r="M156" s="200"/>
      <c r="N156" s="200"/>
      <c r="O156" s="200"/>
      <c r="P156" s="200"/>
      <c r="Q156" s="200"/>
      <c r="R156" s="200"/>
      <c r="S156" s="200"/>
      <c r="T156" s="200"/>
      <c r="U156" s="200"/>
      <c r="V156" s="200"/>
      <c r="W156" s="200"/>
      <c r="X156" s="200"/>
      <c r="Y156" s="200"/>
      <c r="Z156" s="200"/>
      <c r="AA156" s="200"/>
      <c r="AB156" s="200"/>
      <c r="AC156" s="200"/>
      <c r="AD156" s="200"/>
      <c r="AE156" s="200"/>
      <c r="AF156" s="200"/>
      <c r="AG156" s="200"/>
      <c r="AH156" s="200"/>
      <c r="AI156" s="200"/>
      <c r="AJ156" s="200"/>
      <c r="AK156" s="200"/>
      <c r="AL156" s="200"/>
      <c r="AM156" s="200"/>
      <c r="AN156" s="200"/>
      <c r="AO156" s="200"/>
      <c r="AP156" s="200"/>
      <c r="AQ156" s="200"/>
      <c r="AR156" s="200"/>
      <c r="AS156" s="200"/>
      <c r="AT156" s="200"/>
      <c r="AU156" s="200"/>
      <c r="AV156" s="200"/>
      <c r="AW156" s="200"/>
      <c r="AX156" s="200"/>
      <c r="AY156" s="200"/>
      <c r="AZ156" s="200"/>
      <c r="BA156" s="200"/>
    </row>
    <row r="157" spans="1:53" ht="15" customHeight="1">
      <c r="A157" s="201" t="s">
        <v>512</v>
      </c>
      <c r="B157" s="200"/>
      <c r="C157" s="200"/>
      <c r="D157" s="200"/>
      <c r="E157" s="200"/>
      <c r="F157" s="200"/>
      <c r="G157" s="200"/>
      <c r="H157" s="200"/>
      <c r="I157" s="200"/>
      <c r="J157" s="200"/>
      <c r="K157" s="200"/>
      <c r="L157" s="200"/>
      <c r="M157" s="200"/>
      <c r="N157" s="200"/>
      <c r="O157" s="200"/>
      <c r="P157" s="200"/>
      <c r="Q157" s="200"/>
      <c r="R157" s="200"/>
      <c r="S157" s="200"/>
      <c r="T157" s="200"/>
      <c r="U157" s="200"/>
      <c r="V157" s="200"/>
      <c r="W157" s="200"/>
      <c r="X157" s="200"/>
      <c r="Y157" s="200"/>
      <c r="Z157" s="200"/>
      <c r="AA157" s="200"/>
      <c r="AB157" s="200"/>
      <c r="AC157" s="200"/>
      <c r="AD157" s="200"/>
      <c r="AE157" s="200"/>
      <c r="AF157" s="200"/>
      <c r="AG157" s="200"/>
      <c r="AH157" s="200"/>
      <c r="AI157" s="200"/>
      <c r="AJ157" s="200"/>
      <c r="AK157" s="200"/>
      <c r="AL157" s="200"/>
      <c r="AM157" s="200"/>
      <c r="AN157" s="200"/>
      <c r="AO157" s="200"/>
      <c r="AP157" s="200"/>
      <c r="AQ157" s="200"/>
      <c r="AR157" s="200"/>
      <c r="AS157" s="200"/>
      <c r="AT157" s="200"/>
      <c r="AU157" s="200"/>
      <c r="AV157" s="200"/>
      <c r="AW157" s="200"/>
      <c r="AX157" s="200"/>
      <c r="AY157" s="200"/>
      <c r="AZ157" s="200"/>
      <c r="BA157" s="200"/>
    </row>
    <row r="158" spans="1:53" ht="15" customHeight="1">
      <c r="A158" s="201" t="s">
        <v>513</v>
      </c>
      <c r="B158" s="200"/>
      <c r="C158" s="200"/>
      <c r="D158" s="200"/>
      <c r="E158" s="200"/>
      <c r="F158" s="200"/>
      <c r="G158" s="200"/>
      <c r="H158" s="200"/>
      <c r="I158" s="200"/>
      <c r="J158" s="200"/>
      <c r="K158" s="200"/>
      <c r="L158" s="200"/>
      <c r="M158" s="200"/>
      <c r="N158" s="200"/>
      <c r="O158" s="200"/>
      <c r="P158" s="200"/>
      <c r="Q158" s="200"/>
      <c r="R158" s="200"/>
      <c r="S158" s="200"/>
      <c r="T158" s="200"/>
      <c r="U158" s="200"/>
      <c r="V158" s="200"/>
      <c r="W158" s="200"/>
      <c r="X158" s="200"/>
      <c r="Y158" s="200"/>
      <c r="Z158" s="200"/>
      <c r="AA158" s="200"/>
      <c r="AB158" s="200"/>
      <c r="AC158" s="200"/>
      <c r="AD158" s="200"/>
      <c r="AE158" s="200"/>
      <c r="AF158" s="200"/>
      <c r="AG158" s="200"/>
      <c r="AH158" s="200"/>
      <c r="AI158" s="200"/>
      <c r="AJ158" s="200"/>
      <c r="AK158" s="200"/>
      <c r="AL158" s="200"/>
      <c r="AM158" s="200"/>
      <c r="AN158" s="200"/>
      <c r="AO158" s="200"/>
      <c r="AP158" s="200"/>
      <c r="AQ158" s="200"/>
      <c r="AR158" s="200"/>
      <c r="AS158" s="200"/>
      <c r="AT158" s="200"/>
      <c r="AU158" s="200"/>
      <c r="AV158" s="200"/>
      <c r="AW158" s="200"/>
      <c r="AX158" s="200"/>
      <c r="AY158" s="200"/>
      <c r="AZ158" s="200"/>
      <c r="BA158" s="200"/>
    </row>
    <row r="159" spans="1:53" ht="15" customHeight="1">
      <c r="A159" s="201" t="s">
        <v>514</v>
      </c>
      <c r="B159" s="200"/>
      <c r="C159" s="200"/>
      <c r="D159" s="200"/>
      <c r="E159" s="200"/>
      <c r="F159" s="200"/>
      <c r="G159" s="200"/>
      <c r="H159" s="200"/>
      <c r="I159" s="200"/>
      <c r="J159" s="200"/>
      <c r="K159" s="200"/>
      <c r="L159" s="200"/>
      <c r="M159" s="200"/>
      <c r="N159" s="200"/>
      <c r="O159" s="200"/>
      <c r="P159" s="200"/>
      <c r="Q159" s="200"/>
      <c r="R159" s="200"/>
      <c r="S159" s="200"/>
      <c r="T159" s="200"/>
      <c r="U159" s="200"/>
      <c r="V159" s="200"/>
      <c r="W159" s="200"/>
      <c r="X159" s="200"/>
      <c r="Y159" s="200"/>
      <c r="Z159" s="200"/>
      <c r="AA159" s="200"/>
      <c r="AB159" s="200"/>
      <c r="AC159" s="200"/>
      <c r="AD159" s="200"/>
      <c r="AE159" s="200"/>
      <c r="AF159" s="200" t="s">
        <v>478</v>
      </c>
      <c r="AG159" s="200"/>
      <c r="AH159" s="200"/>
      <c r="AI159" s="200"/>
      <c r="AJ159" s="200"/>
      <c r="AK159" s="200"/>
      <c r="AL159" s="200"/>
      <c r="AM159" s="200"/>
      <c r="AN159" s="200"/>
      <c r="AO159" s="200"/>
      <c r="AP159" s="200"/>
      <c r="AQ159" s="200"/>
      <c r="AR159" s="200"/>
      <c r="AS159" s="200"/>
      <c r="AT159" s="200"/>
      <c r="AU159" s="200"/>
      <c r="AV159" s="200"/>
      <c r="AW159" s="200"/>
      <c r="AX159" s="200"/>
      <c r="AY159" s="200"/>
      <c r="AZ159" s="200"/>
      <c r="BA159" s="200"/>
    </row>
    <row r="212" spans="2:32" ht="15" customHeight="1">
      <c r="B212" s="199"/>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row>
    <row r="213" spans="2:32" ht="15" customHeight="1">
      <c r="B213" s="286"/>
      <c r="C213" s="286"/>
      <c r="D213" s="286"/>
      <c r="E213" s="286"/>
      <c r="F213" s="286"/>
      <c r="G213" s="286"/>
      <c r="H213" s="286"/>
      <c r="I213" s="286"/>
      <c r="J213" s="286"/>
      <c r="K213" s="286"/>
      <c r="L213" s="286"/>
      <c r="M213" s="286"/>
      <c r="N213" s="286"/>
      <c r="O213" s="286"/>
      <c r="P213" s="286"/>
      <c r="Q213" s="286"/>
      <c r="R213" s="286"/>
      <c r="S213" s="286"/>
      <c r="T213" s="286"/>
      <c r="U213" s="286"/>
      <c r="V213" s="286"/>
      <c r="W213" s="286"/>
      <c r="X213" s="286"/>
      <c r="Y213" s="286"/>
      <c r="Z213" s="286"/>
      <c r="AA213" s="286"/>
      <c r="AB213" s="286"/>
      <c r="AC213" s="286"/>
      <c r="AD213" s="286"/>
      <c r="AE213" s="286"/>
      <c r="AF213" s="286"/>
    </row>
    <row r="219" spans="2:32" ht="15" customHeight="1">
      <c r="B219" s="199"/>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row>
    <row r="220" spans="2:32" ht="15" customHeight="1">
      <c r="B220" s="199"/>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row>
    <row r="221" spans="2:32" ht="15" customHeight="1">
      <c r="B221" s="199"/>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row>
    <row r="222" spans="2:32" ht="15" customHeight="1">
      <c r="B222" s="199"/>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row>
    <row r="223" spans="2:32" ht="15" customHeight="1">
      <c r="B223" s="199"/>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row>
    <row r="224" spans="2:32" ht="15" customHeight="1">
      <c r="B224" s="199"/>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row>
    <row r="378" spans="2:32" ht="15" customHeight="1">
      <c r="B378" s="199"/>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row>
    <row r="379" spans="2:32" ht="15" customHeight="1">
      <c r="B379" s="286"/>
      <c r="C379" s="286"/>
      <c r="D379" s="286"/>
      <c r="E379" s="286"/>
      <c r="F379" s="286"/>
      <c r="G379" s="286"/>
      <c r="H379" s="286"/>
      <c r="I379" s="286"/>
      <c r="J379" s="286"/>
      <c r="K379" s="286"/>
      <c r="L379" s="286"/>
      <c r="M379" s="286"/>
      <c r="N379" s="286"/>
      <c r="O379" s="286"/>
      <c r="P379" s="286"/>
      <c r="Q379" s="286"/>
      <c r="R379" s="286"/>
      <c r="S379" s="286"/>
      <c r="T379" s="286"/>
      <c r="U379" s="286"/>
      <c r="V379" s="286"/>
      <c r="W379" s="286"/>
      <c r="X379" s="286"/>
      <c r="Y379" s="286"/>
      <c r="Z379" s="286"/>
      <c r="AA379" s="286"/>
      <c r="AB379" s="286"/>
      <c r="AC379" s="286"/>
      <c r="AD379" s="286"/>
      <c r="AE379" s="286"/>
      <c r="AF379" s="286"/>
    </row>
    <row r="481" spans="2:32" ht="15" customHeight="1">
      <c r="B481" s="199"/>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row>
    <row r="495" spans="2:32" ht="15" customHeight="1">
      <c r="B495" s="199"/>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row>
    <row r="496" spans="2:32" ht="15" customHeight="1">
      <c r="B496" s="286"/>
      <c r="C496" s="286"/>
      <c r="D496" s="286"/>
      <c r="E496" s="286"/>
      <c r="F496" s="286"/>
      <c r="G496" s="286"/>
      <c r="H496" s="286"/>
      <c r="I496" s="286"/>
      <c r="J496" s="286"/>
      <c r="K496" s="286"/>
      <c r="L496" s="286"/>
      <c r="M496" s="286"/>
      <c r="N496" s="286"/>
      <c r="O496" s="286"/>
      <c r="P496" s="286"/>
      <c r="Q496" s="286"/>
      <c r="R496" s="286"/>
      <c r="S496" s="286"/>
      <c r="T496" s="286"/>
      <c r="U496" s="286"/>
      <c r="V496" s="286"/>
      <c r="W496" s="286"/>
      <c r="X496" s="286"/>
      <c r="Y496" s="286"/>
      <c r="Z496" s="286"/>
      <c r="AA496" s="286"/>
      <c r="AB496" s="286"/>
      <c r="AC496" s="286"/>
      <c r="AD496" s="286"/>
      <c r="AE496" s="286"/>
      <c r="AF496" s="286"/>
    </row>
    <row r="647" spans="2:32" ht="15" customHeight="1">
      <c r="B647" s="199"/>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row>
    <row r="648" spans="2:32" ht="15" customHeight="1">
      <c r="B648" s="286"/>
      <c r="C648" s="286"/>
      <c r="D648" s="286"/>
      <c r="E648" s="286"/>
      <c r="F648" s="286"/>
      <c r="G648" s="286"/>
      <c r="H648" s="286"/>
      <c r="I648" s="286"/>
      <c r="J648" s="286"/>
      <c r="K648" s="286"/>
      <c r="L648" s="286"/>
      <c r="M648" s="286"/>
      <c r="N648" s="286"/>
      <c r="O648" s="286"/>
      <c r="P648" s="286"/>
      <c r="Q648" s="286"/>
      <c r="R648" s="286"/>
      <c r="S648" s="286"/>
      <c r="T648" s="286"/>
      <c r="U648" s="286"/>
      <c r="V648" s="286"/>
      <c r="W648" s="286"/>
      <c r="X648" s="286"/>
      <c r="Y648" s="286"/>
      <c r="Z648" s="286"/>
      <c r="AA648" s="286"/>
      <c r="AB648" s="286"/>
      <c r="AC648" s="286"/>
      <c r="AD648" s="286"/>
      <c r="AE648" s="286"/>
      <c r="AF648" s="286"/>
    </row>
    <row r="747" spans="2:32" ht="15" customHeight="1">
      <c r="B747" s="199"/>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row>
    <row r="748" spans="2:32" ht="15" customHeight="1">
      <c r="B748" s="286"/>
      <c r="C748" s="286"/>
      <c r="D748" s="286"/>
      <c r="E748" s="286"/>
      <c r="F748" s="286"/>
      <c r="G748" s="286"/>
      <c r="H748" s="286"/>
      <c r="I748" s="286"/>
      <c r="J748" s="286"/>
      <c r="K748" s="286"/>
      <c r="L748" s="286"/>
      <c r="M748" s="286"/>
      <c r="N748" s="286"/>
      <c r="O748" s="286"/>
      <c r="P748" s="286"/>
      <c r="Q748" s="286"/>
      <c r="R748" s="286"/>
      <c r="S748" s="286"/>
      <c r="T748" s="286"/>
      <c r="U748" s="286"/>
      <c r="V748" s="286"/>
      <c r="W748" s="286"/>
      <c r="X748" s="286"/>
      <c r="Y748" s="286"/>
      <c r="Z748" s="286"/>
      <c r="AA748" s="286"/>
      <c r="AB748" s="286"/>
      <c r="AC748" s="286"/>
      <c r="AD748" s="286"/>
      <c r="AE748" s="286"/>
      <c r="AF748" s="286"/>
    </row>
    <row r="833" spans="2:32" ht="15" customHeight="1">
      <c r="B833" s="199"/>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row>
    <row r="838" spans="2:32" ht="15" customHeight="1">
      <c r="B838" s="199"/>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row>
    <row r="839" spans="2:32" ht="15" customHeight="1">
      <c r="B839" s="286"/>
      <c r="C839" s="286"/>
      <c r="D839" s="286"/>
      <c r="E839" s="286"/>
      <c r="F839" s="286"/>
      <c r="G839" s="286"/>
      <c r="H839" s="286"/>
      <c r="I839" s="286"/>
      <c r="J839" s="286"/>
      <c r="K839" s="286"/>
      <c r="L839" s="286"/>
      <c r="M839" s="286"/>
      <c r="N839" s="286"/>
      <c r="O839" s="286"/>
      <c r="P839" s="286"/>
      <c r="Q839" s="286"/>
      <c r="R839" s="286"/>
      <c r="S839" s="286"/>
      <c r="T839" s="286"/>
      <c r="U839" s="286"/>
      <c r="V839" s="286"/>
      <c r="W839" s="286"/>
      <c r="X839" s="286"/>
      <c r="Y839" s="286"/>
      <c r="Z839" s="286"/>
      <c r="AA839" s="286"/>
      <c r="AB839" s="286"/>
      <c r="AC839" s="286"/>
      <c r="AD839" s="286"/>
      <c r="AE839" s="286"/>
      <c r="AF839" s="286"/>
    </row>
    <row r="898" spans="2:32" ht="15" customHeight="1">
      <c r="B898" s="199"/>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row>
    <row r="904" spans="2:32" ht="15" customHeight="1">
      <c r="B904" s="199"/>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row>
    <row r="909" spans="2:32" ht="15" customHeight="1">
      <c r="B909" s="199"/>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row>
    <row r="910" spans="2:32" ht="15" customHeight="1">
      <c r="B910" s="286"/>
      <c r="C910" s="286"/>
      <c r="D910" s="286"/>
      <c r="E910" s="286"/>
      <c r="F910" s="286"/>
      <c r="G910" s="286"/>
      <c r="H910" s="286"/>
      <c r="I910" s="286"/>
      <c r="J910" s="286"/>
      <c r="K910" s="286"/>
      <c r="L910" s="286"/>
      <c r="M910" s="286"/>
      <c r="N910" s="286"/>
      <c r="O910" s="286"/>
      <c r="P910" s="286"/>
      <c r="Q910" s="286"/>
      <c r="R910" s="286"/>
      <c r="S910" s="286"/>
      <c r="T910" s="286"/>
      <c r="U910" s="286"/>
      <c r="V910" s="286"/>
      <c r="W910" s="286"/>
      <c r="X910" s="286"/>
      <c r="Y910" s="286"/>
      <c r="Z910" s="286"/>
      <c r="AA910" s="286"/>
      <c r="AB910" s="286"/>
      <c r="AC910" s="286"/>
      <c r="AD910" s="286"/>
      <c r="AE910" s="286"/>
      <c r="AF910" s="286"/>
    </row>
    <row r="993" spans="2:32" ht="15" customHeight="1">
      <c r="B993" s="199"/>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row>
    <row r="997" spans="2:32" ht="15" customHeight="1">
      <c r="B997" s="199"/>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row>
    <row r="1000" spans="2:32" ht="15" customHeight="1">
      <c r="B1000" s="199"/>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row>
    <row r="1002" spans="2:32" ht="15" customHeight="1">
      <c r="B1002" s="199"/>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row>
    <row r="1004" spans="2:32" ht="15" customHeight="1">
      <c r="B1004" s="199"/>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row>
    <row r="1005" spans="2:32" ht="15" customHeight="1">
      <c r="B1005" s="286"/>
      <c r="C1005" s="286"/>
      <c r="D1005" s="286"/>
      <c r="E1005" s="286"/>
      <c r="F1005" s="286"/>
      <c r="G1005" s="286"/>
      <c r="H1005" s="286"/>
      <c r="I1005" s="286"/>
      <c r="J1005" s="286"/>
      <c r="K1005" s="286"/>
      <c r="L1005" s="286"/>
      <c r="M1005" s="286"/>
      <c r="N1005" s="286"/>
      <c r="O1005" s="286"/>
      <c r="P1005" s="286"/>
      <c r="Q1005" s="286"/>
      <c r="R1005" s="286"/>
      <c r="S1005" s="286"/>
      <c r="T1005" s="286"/>
      <c r="U1005" s="286"/>
      <c r="V1005" s="286"/>
      <c r="W1005" s="286"/>
      <c r="X1005" s="286"/>
      <c r="Y1005" s="286"/>
      <c r="Z1005" s="286"/>
      <c r="AA1005" s="286"/>
      <c r="AB1005" s="286"/>
      <c r="AC1005" s="286"/>
      <c r="AD1005" s="286"/>
      <c r="AE1005" s="286"/>
      <c r="AF1005" s="286"/>
    </row>
    <row r="1154" spans="2:32" ht="15" customHeight="1">
      <c r="B1154" s="199"/>
      <c r="C1154" s="199"/>
      <c r="D1154" s="199"/>
      <c r="E1154" s="199"/>
      <c r="F1154" s="199"/>
      <c r="G1154" s="199"/>
      <c r="H1154" s="199"/>
      <c r="I1154" s="199"/>
      <c r="J1154" s="199"/>
      <c r="K1154" s="199"/>
      <c r="L1154" s="199"/>
      <c r="M1154" s="199"/>
      <c r="N1154" s="199"/>
      <c r="O1154" s="199"/>
      <c r="P1154" s="199"/>
      <c r="Q1154" s="199"/>
      <c r="R1154" s="199"/>
      <c r="S1154" s="199"/>
      <c r="T1154" s="199"/>
      <c r="U1154" s="199"/>
      <c r="V1154" s="199"/>
      <c r="W1154" s="199"/>
      <c r="X1154" s="199"/>
      <c r="Y1154" s="199"/>
      <c r="Z1154" s="199"/>
      <c r="AA1154" s="199"/>
      <c r="AB1154" s="199"/>
      <c r="AC1154" s="199"/>
      <c r="AD1154" s="199"/>
      <c r="AE1154" s="199"/>
      <c r="AF1154" s="199"/>
    </row>
    <row r="1155" spans="2:32" ht="15" customHeight="1">
      <c r="B1155" s="286"/>
      <c r="C1155" s="286"/>
      <c r="D1155" s="286"/>
      <c r="E1155" s="286"/>
      <c r="F1155" s="286"/>
      <c r="G1155" s="286"/>
      <c r="H1155" s="286"/>
      <c r="I1155" s="286"/>
      <c r="J1155" s="286"/>
      <c r="K1155" s="286"/>
      <c r="L1155" s="286"/>
      <c r="M1155" s="286"/>
      <c r="N1155" s="286"/>
      <c r="O1155" s="286"/>
      <c r="P1155" s="286"/>
      <c r="Q1155" s="286"/>
      <c r="R1155" s="286"/>
      <c r="S1155" s="286"/>
      <c r="T1155" s="286"/>
      <c r="U1155" s="286"/>
      <c r="V1155" s="286"/>
      <c r="W1155" s="286"/>
      <c r="X1155" s="286"/>
      <c r="Y1155" s="286"/>
      <c r="Z1155" s="286"/>
      <c r="AA1155" s="286"/>
      <c r="AB1155" s="286"/>
      <c r="AC1155" s="286"/>
      <c r="AD1155" s="286"/>
      <c r="AE1155" s="286"/>
      <c r="AF1155" s="286"/>
    </row>
    <row r="1313" spans="2:32" ht="15" customHeight="1">
      <c r="B1313" s="199"/>
      <c r="C1313" s="199"/>
      <c r="D1313" s="199"/>
      <c r="E1313" s="199"/>
      <c r="F1313" s="199"/>
      <c r="G1313" s="199"/>
      <c r="H1313" s="199"/>
      <c r="I1313" s="199"/>
      <c r="J1313" s="199"/>
      <c r="K1313" s="199"/>
      <c r="L1313" s="199"/>
      <c r="M1313" s="199"/>
      <c r="N1313" s="199"/>
      <c r="O1313" s="199"/>
      <c r="P1313" s="199"/>
      <c r="Q1313" s="199"/>
      <c r="R1313" s="199"/>
      <c r="S1313" s="199"/>
      <c r="T1313" s="199"/>
      <c r="U1313" s="199"/>
      <c r="V1313" s="199"/>
      <c r="W1313" s="199"/>
      <c r="X1313" s="199"/>
      <c r="Y1313" s="199"/>
      <c r="Z1313" s="199"/>
      <c r="AA1313" s="199"/>
      <c r="AB1313" s="199"/>
      <c r="AC1313" s="199"/>
      <c r="AD1313" s="199"/>
      <c r="AE1313" s="199"/>
      <c r="AF1313" s="199"/>
    </row>
    <row r="1326" spans="2:32" ht="15" customHeight="1">
      <c r="B1326" s="199"/>
      <c r="C1326" s="199"/>
      <c r="D1326" s="199"/>
      <c r="E1326" s="199"/>
      <c r="F1326" s="199"/>
      <c r="G1326" s="199"/>
      <c r="H1326" s="199"/>
      <c r="I1326" s="199"/>
      <c r="J1326" s="199"/>
      <c r="K1326" s="199"/>
      <c r="L1326" s="199"/>
      <c r="M1326" s="199"/>
      <c r="N1326" s="199"/>
      <c r="O1326" s="199"/>
      <c r="P1326" s="199"/>
      <c r="Q1326" s="199"/>
      <c r="R1326" s="199"/>
      <c r="S1326" s="199"/>
      <c r="T1326" s="199"/>
      <c r="U1326" s="199"/>
      <c r="V1326" s="199"/>
      <c r="W1326" s="199"/>
      <c r="X1326" s="199"/>
      <c r="Y1326" s="199"/>
      <c r="Z1326" s="199"/>
      <c r="AA1326" s="199"/>
      <c r="AB1326" s="199"/>
      <c r="AC1326" s="199"/>
      <c r="AD1326" s="199"/>
      <c r="AE1326" s="199"/>
      <c r="AF1326" s="199"/>
    </row>
    <row r="1327" spans="2:32" ht="15" customHeight="1">
      <c r="B1327" s="286"/>
      <c r="C1327" s="286"/>
      <c r="D1327" s="286"/>
      <c r="E1327" s="286"/>
      <c r="F1327" s="286"/>
      <c r="G1327" s="286"/>
      <c r="H1327" s="286"/>
      <c r="I1327" s="286"/>
      <c r="J1327" s="286"/>
      <c r="K1327" s="286"/>
      <c r="L1327" s="286"/>
      <c r="M1327" s="286"/>
      <c r="N1327" s="286"/>
      <c r="O1327" s="286"/>
      <c r="P1327" s="286"/>
      <c r="Q1327" s="286"/>
      <c r="R1327" s="286"/>
      <c r="S1327" s="286"/>
      <c r="T1327" s="286"/>
      <c r="U1327" s="286"/>
      <c r="V1327" s="286"/>
      <c r="W1327" s="286"/>
      <c r="X1327" s="286"/>
      <c r="Y1327" s="286"/>
      <c r="Z1327" s="286"/>
      <c r="AA1327" s="286"/>
      <c r="AB1327" s="286"/>
      <c r="AC1327" s="286"/>
      <c r="AD1327" s="286"/>
      <c r="AE1327" s="286"/>
      <c r="AF1327" s="286"/>
    </row>
    <row r="1417" spans="2:32" ht="15" customHeight="1">
      <c r="B1417" s="199"/>
      <c r="C1417" s="199"/>
      <c r="D1417" s="199"/>
      <c r="E1417" s="199"/>
      <c r="F1417" s="199"/>
      <c r="G1417" s="199"/>
      <c r="H1417" s="199"/>
      <c r="I1417" s="199"/>
      <c r="J1417" s="199"/>
      <c r="K1417" s="199"/>
      <c r="L1417" s="199"/>
      <c r="M1417" s="199"/>
      <c r="N1417" s="199"/>
      <c r="O1417" s="199"/>
      <c r="P1417" s="199"/>
      <c r="Q1417" s="199"/>
      <c r="R1417" s="199"/>
      <c r="S1417" s="199"/>
      <c r="T1417" s="199"/>
      <c r="U1417" s="199"/>
      <c r="V1417" s="199"/>
      <c r="W1417" s="199"/>
      <c r="X1417" s="199"/>
      <c r="Y1417" s="199"/>
      <c r="Z1417" s="199"/>
      <c r="AA1417" s="199"/>
      <c r="AB1417" s="199"/>
      <c r="AC1417" s="199"/>
      <c r="AD1417" s="199"/>
      <c r="AE1417" s="199"/>
      <c r="AF1417" s="199"/>
    </row>
    <row r="1421" spans="2:32" ht="15" customHeight="1">
      <c r="B1421" s="199"/>
      <c r="C1421" s="199"/>
      <c r="D1421" s="199"/>
      <c r="E1421" s="199"/>
      <c r="F1421" s="199"/>
      <c r="G1421" s="199"/>
      <c r="H1421" s="199"/>
      <c r="I1421" s="199"/>
      <c r="J1421" s="199"/>
      <c r="K1421" s="199"/>
      <c r="L1421" s="199"/>
      <c r="M1421" s="199"/>
      <c r="N1421" s="199"/>
      <c r="O1421" s="199"/>
      <c r="P1421" s="199"/>
      <c r="Q1421" s="199"/>
      <c r="R1421" s="199"/>
      <c r="S1421" s="199"/>
      <c r="T1421" s="199"/>
      <c r="U1421" s="199"/>
      <c r="V1421" s="199"/>
      <c r="W1421" s="199"/>
      <c r="X1421" s="199"/>
      <c r="Y1421" s="199"/>
      <c r="Z1421" s="199"/>
      <c r="AA1421" s="199"/>
      <c r="AB1421" s="199"/>
      <c r="AC1421" s="199"/>
      <c r="AD1421" s="199"/>
      <c r="AE1421" s="199"/>
      <c r="AF1421" s="199"/>
    </row>
    <row r="1422" spans="2:32" ht="15" customHeight="1">
      <c r="B1422" s="286"/>
      <c r="C1422" s="286"/>
      <c r="D1422" s="286"/>
      <c r="E1422" s="286"/>
      <c r="F1422" s="286"/>
      <c r="G1422" s="286"/>
      <c r="H1422" s="286"/>
      <c r="I1422" s="286"/>
      <c r="J1422" s="286"/>
      <c r="K1422" s="286"/>
      <c r="L1422" s="286"/>
      <c r="M1422" s="286"/>
      <c r="N1422" s="286"/>
      <c r="O1422" s="286"/>
      <c r="P1422" s="286"/>
      <c r="Q1422" s="286"/>
      <c r="R1422" s="286"/>
      <c r="S1422" s="286"/>
      <c r="T1422" s="286"/>
      <c r="U1422" s="286"/>
      <c r="V1422" s="286"/>
      <c r="W1422" s="286"/>
      <c r="X1422" s="286"/>
      <c r="Y1422" s="286"/>
      <c r="Z1422" s="286"/>
      <c r="AA1422" s="286"/>
      <c r="AB1422" s="286"/>
      <c r="AC1422" s="286"/>
      <c r="AD1422" s="286"/>
      <c r="AE1422" s="286"/>
      <c r="AF1422" s="286"/>
    </row>
    <row r="1539" spans="2:32" ht="15" customHeight="1">
      <c r="B1539" s="199"/>
      <c r="C1539" s="199"/>
      <c r="D1539" s="199"/>
      <c r="E1539" s="199"/>
      <c r="F1539" s="199"/>
      <c r="G1539" s="199"/>
      <c r="H1539" s="199"/>
      <c r="I1539" s="199"/>
      <c r="J1539" s="199"/>
      <c r="K1539" s="199"/>
      <c r="L1539" s="199"/>
      <c r="M1539" s="199"/>
      <c r="N1539" s="199"/>
      <c r="O1539" s="199"/>
      <c r="P1539" s="199"/>
      <c r="Q1539" s="199"/>
      <c r="R1539" s="199"/>
      <c r="S1539" s="199"/>
      <c r="T1539" s="199"/>
      <c r="U1539" s="199"/>
      <c r="V1539" s="199"/>
      <c r="W1539" s="199"/>
      <c r="X1539" s="199"/>
      <c r="Y1539" s="199"/>
      <c r="Z1539" s="199"/>
      <c r="AA1539" s="199"/>
      <c r="AB1539" s="199"/>
      <c r="AC1539" s="199"/>
      <c r="AD1539" s="199"/>
      <c r="AE1539" s="199"/>
      <c r="AF1539" s="199"/>
    </row>
    <row r="1540" spans="2:32" ht="15" customHeight="1">
      <c r="B1540" s="286"/>
      <c r="C1540" s="286"/>
      <c r="D1540" s="286"/>
      <c r="E1540" s="286"/>
      <c r="F1540" s="286"/>
      <c r="G1540" s="286"/>
      <c r="H1540" s="286"/>
      <c r="I1540" s="286"/>
      <c r="J1540" s="286"/>
      <c r="K1540" s="286"/>
      <c r="L1540" s="286"/>
      <c r="M1540" s="286"/>
      <c r="N1540" s="286"/>
      <c r="O1540" s="286"/>
      <c r="P1540" s="286"/>
      <c r="Q1540" s="286"/>
      <c r="R1540" s="286"/>
      <c r="S1540" s="286"/>
      <c r="T1540" s="286"/>
      <c r="U1540" s="286"/>
      <c r="V1540" s="286"/>
      <c r="W1540" s="286"/>
      <c r="X1540" s="286"/>
      <c r="Y1540" s="286"/>
      <c r="Z1540" s="286"/>
      <c r="AA1540" s="286"/>
      <c r="AB1540" s="286"/>
      <c r="AC1540" s="286"/>
      <c r="AD1540" s="286"/>
      <c r="AE1540" s="286"/>
      <c r="AF1540" s="286"/>
    </row>
    <row r="1544" spans="2:32" ht="15" customHeight="1">
      <c r="B1544" s="199"/>
      <c r="C1544" s="199"/>
      <c r="D1544" s="199"/>
      <c r="E1544" s="199"/>
      <c r="F1544" s="199"/>
      <c r="G1544" s="199"/>
      <c r="H1544" s="199"/>
      <c r="I1544" s="199"/>
      <c r="J1544" s="199"/>
      <c r="K1544" s="199"/>
      <c r="L1544" s="199"/>
      <c r="M1544" s="199"/>
      <c r="N1544" s="199"/>
      <c r="O1544" s="199"/>
      <c r="P1544" s="199"/>
      <c r="Q1544" s="199"/>
      <c r="R1544" s="199"/>
      <c r="S1544" s="199"/>
      <c r="T1544" s="199"/>
      <c r="U1544" s="199"/>
      <c r="V1544" s="199"/>
      <c r="W1544" s="199"/>
      <c r="X1544" s="199"/>
      <c r="Y1544" s="199"/>
      <c r="Z1544" s="199"/>
      <c r="AA1544" s="199"/>
      <c r="AB1544" s="199"/>
      <c r="AC1544" s="199"/>
      <c r="AD1544" s="199"/>
      <c r="AE1544" s="199"/>
      <c r="AF1544" s="199"/>
    </row>
    <row r="1545" spans="2:32" ht="15" customHeight="1">
      <c r="B1545" s="199"/>
      <c r="C1545" s="199"/>
      <c r="D1545" s="199"/>
      <c r="E1545" s="199"/>
      <c r="F1545" s="199"/>
      <c r="G1545" s="199"/>
      <c r="H1545" s="199"/>
      <c r="I1545" s="199"/>
      <c r="J1545" s="199"/>
      <c r="K1545" s="199"/>
      <c r="L1545" s="199"/>
      <c r="M1545" s="199"/>
      <c r="N1545" s="199"/>
      <c r="O1545" s="199"/>
      <c r="P1545" s="199"/>
      <c r="Q1545" s="199"/>
      <c r="R1545" s="199"/>
      <c r="S1545" s="199"/>
      <c r="T1545" s="199"/>
      <c r="U1545" s="199"/>
      <c r="V1545" s="199"/>
      <c r="W1545" s="199"/>
      <c r="X1545" s="199"/>
      <c r="Y1545" s="199"/>
      <c r="Z1545" s="199"/>
      <c r="AA1545" s="199"/>
      <c r="AB1545" s="199"/>
      <c r="AC1545" s="199"/>
      <c r="AD1545" s="199"/>
      <c r="AE1545" s="199"/>
      <c r="AF1545" s="199"/>
    </row>
    <row r="1546" spans="2:32" ht="15" customHeight="1">
      <c r="B1546" s="199"/>
      <c r="C1546" s="199"/>
      <c r="D1546" s="199"/>
      <c r="E1546" s="199"/>
      <c r="F1546" s="199"/>
      <c r="G1546" s="199"/>
      <c r="H1546" s="199"/>
      <c r="I1546" s="199"/>
      <c r="J1546" s="199"/>
      <c r="K1546" s="199"/>
      <c r="L1546" s="199"/>
      <c r="M1546" s="199"/>
      <c r="N1546" s="199"/>
      <c r="O1546" s="199"/>
      <c r="P1546" s="199"/>
      <c r="Q1546" s="199"/>
      <c r="R1546" s="199"/>
      <c r="S1546" s="199"/>
      <c r="T1546" s="199"/>
      <c r="U1546" s="199"/>
      <c r="V1546" s="199"/>
      <c r="W1546" s="199"/>
      <c r="X1546" s="199"/>
      <c r="Y1546" s="199"/>
      <c r="Z1546" s="199"/>
      <c r="AA1546" s="199"/>
      <c r="AB1546" s="199"/>
      <c r="AC1546" s="199"/>
      <c r="AD1546" s="199"/>
      <c r="AE1546" s="199"/>
      <c r="AF1546" s="199"/>
    </row>
    <row r="1547" spans="2:32" ht="15" customHeight="1">
      <c r="B1547" s="199"/>
      <c r="C1547" s="199"/>
      <c r="D1547" s="199"/>
      <c r="E1547" s="199"/>
      <c r="F1547" s="199"/>
      <c r="G1547" s="199"/>
      <c r="H1547" s="199"/>
      <c r="I1547" s="199"/>
      <c r="J1547" s="199"/>
      <c r="K1547" s="199"/>
      <c r="L1547" s="199"/>
      <c r="M1547" s="199"/>
      <c r="N1547" s="199"/>
      <c r="O1547" s="199"/>
      <c r="P1547" s="199"/>
      <c r="Q1547" s="199"/>
      <c r="R1547" s="199"/>
      <c r="S1547" s="199"/>
      <c r="T1547" s="199"/>
      <c r="U1547" s="199"/>
      <c r="V1547" s="199"/>
      <c r="W1547" s="199"/>
      <c r="X1547" s="199"/>
      <c r="Y1547" s="199"/>
      <c r="Z1547" s="199"/>
      <c r="AA1547" s="199"/>
      <c r="AB1547" s="199"/>
      <c r="AC1547" s="199"/>
      <c r="AD1547" s="199"/>
      <c r="AE1547" s="199"/>
      <c r="AF1547" s="199"/>
    </row>
    <row r="1548" spans="2:32" ht="15" customHeight="1">
      <c r="B1548" s="199"/>
      <c r="C1548" s="199"/>
      <c r="D1548" s="199"/>
      <c r="E1548" s="199"/>
      <c r="F1548" s="199"/>
      <c r="G1548" s="199"/>
      <c r="H1548" s="199"/>
      <c r="I1548" s="199"/>
      <c r="J1548" s="199"/>
      <c r="K1548" s="199"/>
      <c r="L1548" s="199"/>
      <c r="M1548" s="199"/>
      <c r="N1548" s="199"/>
      <c r="O1548" s="199"/>
      <c r="P1548" s="199"/>
      <c r="Q1548" s="199"/>
      <c r="R1548" s="199"/>
      <c r="S1548" s="199"/>
      <c r="T1548" s="199"/>
      <c r="U1548" s="199"/>
      <c r="V1548" s="199"/>
      <c r="W1548" s="199"/>
      <c r="X1548" s="199"/>
      <c r="Y1548" s="199"/>
      <c r="Z1548" s="199"/>
      <c r="AA1548" s="199"/>
      <c r="AB1548" s="199"/>
      <c r="AC1548" s="199"/>
      <c r="AD1548" s="199"/>
      <c r="AE1548" s="199"/>
      <c r="AF1548" s="199"/>
    </row>
    <row r="1549" spans="2:32" ht="15" customHeight="1">
      <c r="B1549" s="199"/>
      <c r="C1549" s="199"/>
      <c r="D1549" s="199"/>
      <c r="E1549" s="199"/>
      <c r="F1549" s="199"/>
      <c r="G1549" s="199"/>
      <c r="H1549" s="199"/>
      <c r="I1549" s="199"/>
      <c r="J1549" s="199"/>
      <c r="K1549" s="199"/>
      <c r="L1549" s="199"/>
      <c r="M1549" s="199"/>
      <c r="N1549" s="199"/>
      <c r="O1549" s="199"/>
      <c r="P1549" s="199"/>
      <c r="Q1549" s="199"/>
      <c r="R1549" s="199"/>
      <c r="S1549" s="199"/>
      <c r="T1549" s="199"/>
      <c r="U1549" s="199"/>
      <c r="V1549" s="199"/>
      <c r="W1549" s="199"/>
      <c r="X1549" s="199"/>
      <c r="Y1549" s="199"/>
      <c r="Z1549" s="199"/>
      <c r="AA1549" s="199"/>
      <c r="AB1549" s="199"/>
      <c r="AC1549" s="199"/>
      <c r="AD1549" s="199"/>
      <c r="AE1549" s="199"/>
      <c r="AF1549" s="199"/>
    </row>
    <row r="1550" spans="2:32" ht="15" customHeight="1">
      <c r="B1550" s="199"/>
      <c r="C1550" s="199"/>
      <c r="D1550" s="199"/>
      <c r="E1550" s="199"/>
      <c r="F1550" s="199"/>
      <c r="G1550" s="199"/>
      <c r="H1550" s="199"/>
      <c r="I1550" s="199"/>
      <c r="J1550" s="199"/>
      <c r="K1550" s="199"/>
      <c r="L1550" s="199"/>
      <c r="M1550" s="199"/>
      <c r="N1550" s="199"/>
      <c r="O1550" s="199"/>
      <c r="P1550" s="199"/>
      <c r="Q1550" s="199"/>
      <c r="R1550" s="199"/>
      <c r="S1550" s="199"/>
      <c r="T1550" s="199"/>
      <c r="U1550" s="199"/>
      <c r="V1550" s="199"/>
      <c r="W1550" s="199"/>
      <c r="X1550" s="199"/>
      <c r="Y1550" s="199"/>
      <c r="Z1550" s="199"/>
      <c r="AA1550" s="199"/>
      <c r="AB1550" s="199"/>
      <c r="AC1550" s="199"/>
      <c r="AD1550" s="199"/>
      <c r="AE1550" s="199"/>
      <c r="AF1550" s="199"/>
    </row>
    <row r="1551" spans="2:32" ht="15" customHeight="1">
      <c r="B1551" s="199"/>
      <c r="C1551" s="199"/>
      <c r="D1551" s="199"/>
      <c r="E1551" s="199"/>
      <c r="F1551" s="199"/>
      <c r="G1551" s="199"/>
      <c r="H1551" s="199"/>
      <c r="I1551" s="199"/>
      <c r="J1551" s="199"/>
      <c r="K1551" s="199"/>
      <c r="L1551" s="199"/>
      <c r="M1551" s="199"/>
      <c r="N1551" s="199"/>
      <c r="O1551" s="199"/>
      <c r="P1551" s="199"/>
      <c r="Q1551" s="199"/>
      <c r="R1551" s="199"/>
      <c r="S1551" s="199"/>
      <c r="T1551" s="199"/>
      <c r="U1551" s="199"/>
      <c r="V1551" s="199"/>
      <c r="W1551" s="199"/>
      <c r="X1551" s="199"/>
      <c r="Y1551" s="199"/>
      <c r="Z1551" s="199"/>
      <c r="AA1551" s="199"/>
      <c r="AB1551" s="199"/>
      <c r="AC1551" s="199"/>
      <c r="AD1551" s="199"/>
      <c r="AE1551" s="199"/>
      <c r="AF1551" s="199"/>
    </row>
    <row r="1552" spans="2:32" ht="15" customHeight="1">
      <c r="B1552" s="199"/>
      <c r="C1552" s="199"/>
      <c r="D1552" s="199"/>
      <c r="E1552" s="199"/>
      <c r="F1552" s="199"/>
      <c r="G1552" s="199"/>
      <c r="H1552" s="199"/>
      <c r="I1552" s="199"/>
      <c r="J1552" s="199"/>
      <c r="K1552" s="199"/>
      <c r="L1552" s="199"/>
      <c r="M1552" s="199"/>
      <c r="N1552" s="199"/>
      <c r="O1552" s="199"/>
      <c r="P1552" s="199"/>
      <c r="Q1552" s="199"/>
      <c r="R1552" s="199"/>
      <c r="S1552" s="199"/>
      <c r="T1552" s="199"/>
      <c r="U1552" s="199"/>
      <c r="V1552" s="199"/>
      <c r="W1552" s="199"/>
      <c r="X1552" s="199"/>
      <c r="Y1552" s="199"/>
      <c r="Z1552" s="199"/>
      <c r="AA1552" s="199"/>
      <c r="AB1552" s="199"/>
      <c r="AC1552" s="199"/>
      <c r="AD1552" s="199"/>
      <c r="AE1552" s="199"/>
      <c r="AF1552" s="199"/>
    </row>
    <row r="1636" spans="2:32" ht="15" customHeight="1">
      <c r="B1636" s="199"/>
      <c r="C1636" s="199"/>
      <c r="D1636" s="199"/>
      <c r="E1636" s="199"/>
      <c r="F1636" s="199"/>
      <c r="G1636" s="199"/>
      <c r="H1636" s="199"/>
      <c r="I1636" s="199"/>
      <c r="J1636" s="199"/>
      <c r="K1636" s="199"/>
      <c r="L1636" s="199"/>
      <c r="M1636" s="199"/>
      <c r="N1636" s="199"/>
      <c r="O1636" s="199"/>
      <c r="P1636" s="199"/>
      <c r="Q1636" s="199"/>
      <c r="R1636" s="199"/>
      <c r="S1636" s="199"/>
      <c r="T1636" s="199"/>
      <c r="U1636" s="199"/>
      <c r="V1636" s="199"/>
      <c r="W1636" s="199"/>
      <c r="X1636" s="199"/>
      <c r="Y1636" s="199"/>
      <c r="Z1636" s="199"/>
      <c r="AA1636" s="199"/>
      <c r="AB1636" s="199"/>
      <c r="AC1636" s="199"/>
      <c r="AD1636" s="199"/>
      <c r="AE1636" s="199"/>
      <c r="AF1636" s="199"/>
    </row>
    <row r="1639" spans="2:32" ht="15" customHeight="1">
      <c r="B1639" s="199"/>
      <c r="C1639" s="199"/>
      <c r="D1639" s="199"/>
      <c r="E1639" s="199"/>
      <c r="F1639" s="199"/>
      <c r="G1639" s="199"/>
      <c r="H1639" s="199"/>
      <c r="I1639" s="199"/>
      <c r="J1639" s="199"/>
      <c r="K1639" s="199"/>
      <c r="L1639" s="199"/>
      <c r="M1639" s="199"/>
      <c r="N1639" s="199"/>
      <c r="O1639" s="199"/>
      <c r="P1639" s="199"/>
      <c r="Q1639" s="199"/>
      <c r="R1639" s="199"/>
      <c r="S1639" s="199"/>
      <c r="T1639" s="199"/>
      <c r="U1639" s="199"/>
      <c r="V1639" s="199"/>
      <c r="W1639" s="199"/>
      <c r="X1639" s="199"/>
      <c r="Y1639" s="199"/>
      <c r="Z1639" s="199"/>
      <c r="AA1639" s="199"/>
      <c r="AB1639" s="199"/>
      <c r="AC1639" s="199"/>
      <c r="AD1639" s="199"/>
      <c r="AE1639" s="199"/>
      <c r="AF1639" s="199"/>
    </row>
    <row r="1640" spans="2:32" ht="15" customHeight="1">
      <c r="B1640" s="286"/>
      <c r="C1640" s="286"/>
      <c r="D1640" s="286"/>
      <c r="E1640" s="286"/>
      <c r="F1640" s="286"/>
      <c r="G1640" s="286"/>
      <c r="H1640" s="286"/>
      <c r="I1640" s="286"/>
      <c r="J1640" s="286"/>
      <c r="K1640" s="286"/>
      <c r="L1640" s="286"/>
      <c r="M1640" s="286"/>
      <c r="N1640" s="286"/>
      <c r="O1640" s="286"/>
      <c r="P1640" s="286"/>
      <c r="Q1640" s="286"/>
      <c r="R1640" s="286"/>
      <c r="S1640" s="286"/>
      <c r="T1640" s="286"/>
      <c r="U1640" s="286"/>
      <c r="V1640" s="286"/>
      <c r="W1640" s="286"/>
      <c r="X1640" s="286"/>
      <c r="Y1640" s="286"/>
      <c r="Z1640" s="286"/>
      <c r="AA1640" s="286"/>
      <c r="AB1640" s="286"/>
      <c r="AC1640" s="286"/>
      <c r="AD1640" s="286"/>
      <c r="AE1640" s="286"/>
      <c r="AF1640" s="286"/>
    </row>
    <row r="1644" spans="2:32" ht="15" customHeight="1">
      <c r="B1644" s="199"/>
      <c r="C1644" s="199"/>
      <c r="D1644" s="199"/>
      <c r="E1644" s="199"/>
      <c r="F1644" s="199"/>
      <c r="G1644" s="199"/>
      <c r="H1644" s="199"/>
      <c r="I1644" s="199"/>
      <c r="J1644" s="199"/>
      <c r="K1644" s="199"/>
      <c r="L1644" s="199"/>
      <c r="M1644" s="199"/>
      <c r="N1644" s="199"/>
      <c r="O1644" s="199"/>
      <c r="P1644" s="199"/>
      <c r="Q1644" s="199"/>
      <c r="R1644" s="199"/>
      <c r="S1644" s="199"/>
      <c r="T1644" s="199"/>
      <c r="U1644" s="199"/>
      <c r="V1644" s="199"/>
      <c r="W1644" s="199"/>
      <c r="X1644" s="199"/>
      <c r="Y1644" s="199"/>
      <c r="Z1644" s="199"/>
      <c r="AA1644" s="199"/>
      <c r="AB1644" s="199"/>
      <c r="AC1644" s="199"/>
      <c r="AD1644" s="199"/>
      <c r="AE1644" s="199"/>
      <c r="AF1644" s="199"/>
    </row>
    <row r="1645" spans="2:32" ht="15" customHeight="1">
      <c r="B1645" s="199"/>
      <c r="C1645" s="199"/>
      <c r="D1645" s="199"/>
      <c r="E1645" s="199"/>
      <c r="F1645" s="199"/>
      <c r="G1645" s="199"/>
      <c r="H1645" s="199"/>
      <c r="I1645" s="199"/>
      <c r="J1645" s="199"/>
      <c r="K1645" s="199"/>
      <c r="L1645" s="199"/>
      <c r="M1645" s="199"/>
      <c r="N1645" s="199"/>
      <c r="O1645" s="199"/>
      <c r="P1645" s="199"/>
      <c r="Q1645" s="199"/>
      <c r="R1645" s="199"/>
      <c r="S1645" s="199"/>
      <c r="T1645" s="199"/>
      <c r="U1645" s="199"/>
      <c r="V1645" s="199"/>
      <c r="W1645" s="199"/>
      <c r="X1645" s="199"/>
      <c r="Y1645" s="199"/>
      <c r="Z1645" s="199"/>
      <c r="AA1645" s="199"/>
      <c r="AB1645" s="199"/>
      <c r="AC1645" s="199"/>
      <c r="AD1645" s="199"/>
      <c r="AE1645" s="199"/>
      <c r="AF1645" s="199"/>
    </row>
    <row r="1646" spans="2:32" ht="15" customHeight="1">
      <c r="B1646" s="199"/>
      <c r="C1646" s="199"/>
      <c r="D1646" s="199"/>
      <c r="E1646" s="199"/>
      <c r="F1646" s="199"/>
      <c r="G1646" s="199"/>
      <c r="H1646" s="199"/>
      <c r="I1646" s="199"/>
      <c r="J1646" s="199"/>
      <c r="K1646" s="199"/>
      <c r="L1646" s="199"/>
      <c r="M1646" s="199"/>
      <c r="N1646" s="199"/>
      <c r="O1646" s="199"/>
      <c r="P1646" s="199"/>
      <c r="Q1646" s="199"/>
      <c r="R1646" s="199"/>
      <c r="S1646" s="199"/>
      <c r="T1646" s="199"/>
      <c r="U1646" s="199"/>
      <c r="V1646" s="199"/>
      <c r="W1646" s="199"/>
      <c r="X1646" s="199"/>
      <c r="Y1646" s="199"/>
      <c r="Z1646" s="199"/>
      <c r="AA1646" s="199"/>
      <c r="AB1646" s="199"/>
      <c r="AC1646" s="199"/>
      <c r="AD1646" s="199"/>
      <c r="AE1646" s="199"/>
      <c r="AF1646" s="199"/>
    </row>
    <row r="1647" spans="2:32" ht="15" customHeight="1">
      <c r="B1647" s="199"/>
      <c r="C1647" s="199"/>
      <c r="D1647" s="199"/>
      <c r="E1647" s="199"/>
      <c r="F1647" s="199"/>
      <c r="G1647" s="199"/>
      <c r="H1647" s="199"/>
      <c r="I1647" s="199"/>
      <c r="J1647" s="199"/>
      <c r="K1647" s="199"/>
      <c r="L1647" s="199"/>
      <c r="M1647" s="199"/>
      <c r="N1647" s="199"/>
      <c r="O1647" s="199"/>
      <c r="P1647" s="199"/>
      <c r="Q1647" s="199"/>
      <c r="R1647" s="199"/>
      <c r="S1647" s="199"/>
      <c r="T1647" s="199"/>
      <c r="U1647" s="199"/>
      <c r="V1647" s="199"/>
      <c r="W1647" s="199"/>
      <c r="X1647" s="199"/>
      <c r="Y1647" s="199"/>
      <c r="Z1647" s="199"/>
      <c r="AA1647" s="199"/>
      <c r="AB1647" s="199"/>
      <c r="AC1647" s="199"/>
      <c r="AD1647" s="199"/>
      <c r="AE1647" s="199"/>
      <c r="AF1647" s="199"/>
    </row>
    <row r="1648" spans="2:32" ht="15" customHeight="1">
      <c r="B1648" s="199"/>
      <c r="C1648" s="199"/>
      <c r="D1648" s="199"/>
      <c r="E1648" s="199"/>
      <c r="F1648" s="199"/>
      <c r="G1648" s="199"/>
      <c r="H1648" s="199"/>
      <c r="I1648" s="199"/>
      <c r="J1648" s="199"/>
      <c r="K1648" s="199"/>
      <c r="L1648" s="199"/>
      <c r="M1648" s="199"/>
      <c r="N1648" s="199"/>
      <c r="O1648" s="199"/>
      <c r="P1648" s="199"/>
      <c r="Q1648" s="199"/>
      <c r="R1648" s="199"/>
      <c r="S1648" s="199"/>
      <c r="T1648" s="199"/>
      <c r="U1648" s="199"/>
      <c r="V1648" s="199"/>
      <c r="W1648" s="199"/>
      <c r="X1648" s="199"/>
      <c r="Y1648" s="199"/>
      <c r="Z1648" s="199"/>
      <c r="AA1648" s="199"/>
      <c r="AB1648" s="199"/>
      <c r="AC1648" s="199"/>
      <c r="AD1648" s="199"/>
      <c r="AE1648" s="199"/>
      <c r="AF1648" s="199"/>
    </row>
    <row r="1730" spans="2:32" ht="15" customHeight="1">
      <c r="B1730" s="199"/>
      <c r="C1730" s="199"/>
      <c r="D1730" s="199"/>
      <c r="E1730" s="199"/>
      <c r="F1730" s="199"/>
      <c r="G1730" s="199"/>
      <c r="H1730" s="199"/>
      <c r="I1730" s="199"/>
      <c r="J1730" s="199"/>
      <c r="K1730" s="199"/>
      <c r="L1730" s="199"/>
      <c r="M1730" s="199"/>
      <c r="N1730" s="199"/>
      <c r="O1730" s="199"/>
      <c r="P1730" s="199"/>
      <c r="Q1730" s="199"/>
      <c r="R1730" s="199"/>
      <c r="S1730" s="199"/>
      <c r="T1730" s="199"/>
      <c r="U1730" s="199"/>
      <c r="V1730" s="199"/>
      <c r="W1730" s="199"/>
      <c r="X1730" s="199"/>
      <c r="Y1730" s="199"/>
      <c r="Z1730" s="199"/>
      <c r="AA1730" s="199"/>
      <c r="AB1730" s="199"/>
      <c r="AC1730" s="199"/>
      <c r="AD1730" s="199"/>
      <c r="AE1730" s="199"/>
      <c r="AF1730" s="199"/>
    </row>
    <row r="1736" spans="2:32" ht="15" customHeight="1">
      <c r="B1736" s="199"/>
      <c r="C1736" s="199"/>
      <c r="D1736" s="199"/>
      <c r="E1736" s="199"/>
      <c r="F1736" s="199"/>
      <c r="G1736" s="199"/>
      <c r="H1736" s="199"/>
      <c r="I1736" s="199"/>
      <c r="J1736" s="199"/>
      <c r="K1736" s="199"/>
      <c r="L1736" s="199"/>
      <c r="M1736" s="199"/>
      <c r="N1736" s="199"/>
      <c r="O1736" s="199"/>
      <c r="P1736" s="199"/>
      <c r="Q1736" s="199"/>
      <c r="R1736" s="199"/>
      <c r="S1736" s="199"/>
      <c r="T1736" s="199"/>
      <c r="U1736" s="199"/>
      <c r="V1736" s="199"/>
      <c r="W1736" s="199"/>
      <c r="X1736" s="199"/>
      <c r="Y1736" s="199"/>
      <c r="Z1736" s="199"/>
      <c r="AA1736" s="199"/>
      <c r="AB1736" s="199"/>
      <c r="AC1736" s="199"/>
      <c r="AD1736" s="199"/>
      <c r="AE1736" s="199"/>
      <c r="AF1736" s="199"/>
    </row>
    <row r="1739" spans="2:32" ht="15" customHeight="1">
      <c r="B1739" s="199"/>
      <c r="C1739" s="199"/>
      <c r="D1739" s="199"/>
      <c r="E1739" s="199"/>
      <c r="F1739" s="199"/>
      <c r="G1739" s="199"/>
      <c r="H1739" s="199"/>
      <c r="I1739" s="199"/>
      <c r="J1739" s="199"/>
      <c r="K1739" s="199"/>
      <c r="L1739" s="199"/>
      <c r="M1739" s="199"/>
      <c r="N1739" s="199"/>
      <c r="O1739" s="199"/>
      <c r="P1739" s="199"/>
      <c r="Q1739" s="199"/>
      <c r="R1739" s="199"/>
      <c r="S1739" s="199"/>
      <c r="T1739" s="199"/>
      <c r="U1739" s="199"/>
      <c r="V1739" s="199"/>
      <c r="W1739" s="199"/>
      <c r="X1739" s="199"/>
      <c r="Y1739" s="199"/>
      <c r="Z1739" s="199"/>
      <c r="AA1739" s="199"/>
      <c r="AB1739" s="199"/>
      <c r="AC1739" s="199"/>
      <c r="AD1739" s="199"/>
      <c r="AE1739" s="199"/>
      <c r="AF1739" s="199"/>
    </row>
    <row r="1740" spans="2:32" ht="15" customHeight="1">
      <c r="B1740" s="286"/>
      <c r="C1740" s="286"/>
      <c r="D1740" s="286"/>
      <c r="E1740" s="286"/>
      <c r="F1740" s="286"/>
      <c r="G1740" s="286"/>
      <c r="H1740" s="286"/>
      <c r="I1740" s="286"/>
      <c r="J1740" s="286"/>
      <c r="K1740" s="286"/>
      <c r="L1740" s="286"/>
      <c r="M1740" s="286"/>
      <c r="N1740" s="286"/>
      <c r="O1740" s="286"/>
      <c r="P1740" s="286"/>
      <c r="Q1740" s="286"/>
      <c r="R1740" s="286"/>
      <c r="S1740" s="286"/>
      <c r="T1740" s="286"/>
      <c r="U1740" s="286"/>
      <c r="V1740" s="286"/>
      <c r="W1740" s="286"/>
      <c r="X1740" s="286"/>
      <c r="Y1740" s="286"/>
      <c r="Z1740" s="286"/>
      <c r="AA1740" s="286"/>
      <c r="AB1740" s="286"/>
      <c r="AC1740" s="286"/>
      <c r="AD1740" s="286"/>
      <c r="AE1740" s="286"/>
      <c r="AF1740" s="286"/>
    </row>
    <row r="1744" spans="2:32" ht="15" customHeight="1">
      <c r="B1744" s="199"/>
      <c r="C1744" s="199"/>
      <c r="D1744" s="199"/>
      <c r="E1744" s="199"/>
      <c r="F1744" s="199"/>
      <c r="G1744" s="199"/>
      <c r="H1744" s="199"/>
      <c r="I1744" s="199"/>
      <c r="J1744" s="199"/>
      <c r="K1744" s="199"/>
      <c r="L1744" s="199"/>
      <c r="M1744" s="199"/>
      <c r="N1744" s="199"/>
      <c r="O1744" s="199"/>
      <c r="P1744" s="199"/>
      <c r="Q1744" s="199"/>
      <c r="R1744" s="199"/>
      <c r="S1744" s="199"/>
      <c r="T1744" s="199"/>
      <c r="U1744" s="199"/>
      <c r="V1744" s="199"/>
      <c r="W1744" s="199"/>
      <c r="X1744" s="199"/>
      <c r="Y1744" s="199"/>
      <c r="Z1744" s="199"/>
      <c r="AA1744" s="199"/>
      <c r="AB1744" s="199"/>
      <c r="AC1744" s="199"/>
      <c r="AD1744" s="199"/>
      <c r="AE1744" s="199"/>
      <c r="AF1744" s="199"/>
    </row>
    <row r="1830" spans="2:32" ht="15" customHeight="1">
      <c r="B1830" s="199"/>
      <c r="C1830" s="199"/>
      <c r="D1830" s="199"/>
      <c r="E1830" s="199"/>
      <c r="F1830" s="199"/>
      <c r="G1830" s="199"/>
      <c r="H1830" s="199"/>
      <c r="I1830" s="199"/>
      <c r="J1830" s="199"/>
      <c r="K1830" s="199"/>
      <c r="L1830" s="199"/>
      <c r="M1830" s="199"/>
      <c r="N1830" s="199"/>
      <c r="O1830" s="199"/>
      <c r="P1830" s="199"/>
      <c r="Q1830" s="199"/>
      <c r="R1830" s="199"/>
      <c r="S1830" s="199"/>
      <c r="T1830" s="199"/>
      <c r="U1830" s="199"/>
      <c r="V1830" s="199"/>
      <c r="W1830" s="199"/>
      <c r="X1830" s="199"/>
      <c r="Y1830" s="199"/>
      <c r="Z1830" s="199"/>
      <c r="AA1830" s="199"/>
      <c r="AB1830" s="199"/>
      <c r="AC1830" s="199"/>
      <c r="AD1830" s="199"/>
      <c r="AE1830" s="199"/>
      <c r="AF1830" s="199"/>
    </row>
    <row r="1836" spans="2:32" ht="15" customHeight="1">
      <c r="B1836" s="199"/>
      <c r="C1836" s="199"/>
      <c r="D1836" s="199"/>
      <c r="E1836" s="199"/>
      <c r="F1836" s="199"/>
      <c r="G1836" s="199"/>
      <c r="H1836" s="199"/>
      <c r="I1836" s="199"/>
      <c r="J1836" s="199"/>
      <c r="K1836" s="199"/>
      <c r="L1836" s="199"/>
      <c r="M1836" s="199"/>
      <c r="N1836" s="199"/>
      <c r="O1836" s="199"/>
      <c r="P1836" s="199"/>
      <c r="Q1836" s="199"/>
      <c r="R1836" s="199"/>
      <c r="S1836" s="199"/>
      <c r="T1836" s="199"/>
      <c r="U1836" s="199"/>
      <c r="V1836" s="199"/>
      <c r="W1836" s="199"/>
      <c r="X1836" s="199"/>
      <c r="Y1836" s="199"/>
      <c r="Z1836" s="199"/>
      <c r="AA1836" s="199"/>
      <c r="AB1836" s="199"/>
      <c r="AC1836" s="199"/>
      <c r="AD1836" s="199"/>
      <c r="AE1836" s="199"/>
      <c r="AF1836" s="199"/>
    </row>
    <row r="1839" spans="2:32" ht="15" customHeight="1">
      <c r="B1839" s="199"/>
      <c r="C1839" s="199"/>
      <c r="D1839" s="199"/>
      <c r="E1839" s="199"/>
      <c r="F1839" s="199"/>
      <c r="G1839" s="199"/>
      <c r="H1839" s="199"/>
      <c r="I1839" s="199"/>
      <c r="J1839" s="199"/>
      <c r="K1839" s="199"/>
      <c r="L1839" s="199"/>
      <c r="M1839" s="199"/>
      <c r="N1839" s="199"/>
      <c r="O1839" s="199"/>
      <c r="P1839" s="199"/>
      <c r="Q1839" s="199"/>
      <c r="R1839" s="199"/>
      <c r="S1839" s="199"/>
      <c r="T1839" s="199"/>
      <c r="U1839" s="199"/>
      <c r="V1839" s="199"/>
      <c r="W1839" s="199"/>
      <c r="X1839" s="199"/>
      <c r="Y1839" s="199"/>
      <c r="Z1839" s="199"/>
      <c r="AA1839" s="199"/>
      <c r="AB1839" s="199"/>
      <c r="AC1839" s="199"/>
      <c r="AD1839" s="199"/>
      <c r="AE1839" s="199"/>
      <c r="AF1839" s="199"/>
    </row>
    <row r="1840" spans="2:32" ht="15" customHeight="1">
      <c r="B1840" s="286"/>
      <c r="C1840" s="286"/>
      <c r="D1840" s="286"/>
      <c r="E1840" s="286"/>
      <c r="F1840" s="286"/>
      <c r="G1840" s="286"/>
      <c r="H1840" s="286"/>
      <c r="I1840" s="286"/>
      <c r="J1840" s="286"/>
      <c r="K1840" s="286"/>
      <c r="L1840" s="286"/>
      <c r="M1840" s="286"/>
      <c r="N1840" s="286"/>
      <c r="O1840" s="286"/>
      <c r="P1840" s="286"/>
      <c r="Q1840" s="286"/>
      <c r="R1840" s="286"/>
      <c r="S1840" s="286"/>
      <c r="T1840" s="286"/>
      <c r="U1840" s="286"/>
      <c r="V1840" s="286"/>
      <c r="W1840" s="286"/>
      <c r="X1840" s="286"/>
      <c r="Y1840" s="286"/>
      <c r="Z1840" s="286"/>
      <c r="AA1840" s="286"/>
      <c r="AB1840" s="286"/>
      <c r="AC1840" s="286"/>
      <c r="AD1840" s="286"/>
      <c r="AE1840" s="286"/>
      <c r="AF1840" s="286"/>
    </row>
    <row r="1939" spans="2:32" ht="15" customHeight="1">
      <c r="B1939" s="199"/>
      <c r="C1939" s="199"/>
      <c r="D1939" s="199"/>
      <c r="E1939" s="199"/>
      <c r="F1939" s="199"/>
      <c r="G1939" s="199"/>
      <c r="H1939" s="199"/>
      <c r="I1939" s="199"/>
      <c r="J1939" s="199"/>
      <c r="K1939" s="199"/>
      <c r="L1939" s="199"/>
      <c r="M1939" s="199"/>
      <c r="N1939" s="199"/>
      <c r="O1939" s="199"/>
      <c r="P1939" s="199"/>
      <c r="Q1939" s="199"/>
      <c r="R1939" s="199"/>
      <c r="S1939" s="199"/>
      <c r="T1939" s="199"/>
      <c r="U1939" s="199"/>
      <c r="V1939" s="199"/>
      <c r="W1939" s="199"/>
      <c r="X1939" s="199"/>
      <c r="Y1939" s="199"/>
      <c r="Z1939" s="199"/>
      <c r="AA1939" s="199"/>
      <c r="AB1939" s="199"/>
      <c r="AC1939" s="199"/>
      <c r="AD1939" s="199"/>
      <c r="AE1939" s="199"/>
      <c r="AF1939" s="199"/>
    </row>
    <row r="1940" spans="2:32" ht="15" customHeight="1">
      <c r="B1940" s="286"/>
      <c r="C1940" s="286"/>
      <c r="D1940" s="286"/>
      <c r="E1940" s="286"/>
      <c r="F1940" s="286"/>
      <c r="G1940" s="286"/>
      <c r="H1940" s="286"/>
      <c r="I1940" s="286"/>
      <c r="J1940" s="286"/>
      <c r="K1940" s="286"/>
      <c r="L1940" s="286"/>
      <c r="M1940" s="286"/>
      <c r="N1940" s="286"/>
      <c r="O1940" s="286"/>
      <c r="P1940" s="286"/>
      <c r="Q1940" s="286"/>
      <c r="R1940" s="286"/>
      <c r="S1940" s="286"/>
      <c r="T1940" s="286"/>
      <c r="U1940" s="286"/>
      <c r="V1940" s="286"/>
      <c r="W1940" s="286"/>
      <c r="X1940" s="286"/>
      <c r="Y1940" s="286"/>
      <c r="Z1940" s="286"/>
      <c r="AA1940" s="286"/>
      <c r="AB1940" s="286"/>
      <c r="AC1940" s="286"/>
      <c r="AD1940" s="286"/>
      <c r="AE1940" s="286"/>
      <c r="AF1940" s="286"/>
    </row>
    <row r="1944" spans="2:32" ht="15" customHeight="1">
      <c r="B1944" s="199"/>
      <c r="C1944" s="199"/>
      <c r="D1944" s="199"/>
      <c r="E1944" s="199"/>
      <c r="F1944" s="199"/>
      <c r="G1944" s="199"/>
      <c r="H1944" s="199"/>
      <c r="I1944" s="199"/>
      <c r="J1944" s="199"/>
      <c r="K1944" s="199"/>
      <c r="L1944" s="199"/>
      <c r="M1944" s="199"/>
      <c r="N1944" s="199"/>
      <c r="O1944" s="199"/>
      <c r="P1944" s="199"/>
      <c r="Q1944" s="199"/>
      <c r="R1944" s="199"/>
      <c r="S1944" s="199"/>
      <c r="T1944" s="199"/>
      <c r="U1944" s="199"/>
      <c r="V1944" s="199"/>
      <c r="W1944" s="199"/>
      <c r="X1944" s="199"/>
      <c r="Y1944" s="199"/>
      <c r="Z1944" s="199"/>
      <c r="AA1944" s="199"/>
      <c r="AB1944" s="199"/>
      <c r="AC1944" s="199"/>
      <c r="AD1944" s="199"/>
      <c r="AE1944" s="199"/>
      <c r="AF1944" s="199"/>
    </row>
    <row r="1945" spans="2:32"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row>
    <row r="1946" spans="2:32" ht="15" customHeight="1">
      <c r="B1946" s="199"/>
      <c r="C1946" s="199"/>
      <c r="D1946" s="199"/>
      <c r="E1946" s="199"/>
      <c r="F1946" s="199"/>
      <c r="G1946" s="199"/>
      <c r="H1946" s="199"/>
      <c r="I1946" s="199"/>
      <c r="J1946" s="199"/>
      <c r="K1946" s="199"/>
      <c r="L1946" s="199"/>
      <c r="M1946" s="199"/>
      <c r="N1946" s="199"/>
      <c r="O1946" s="199"/>
      <c r="P1946" s="199"/>
      <c r="Q1946" s="199"/>
      <c r="R1946" s="199"/>
      <c r="S1946" s="199"/>
      <c r="T1946" s="199"/>
      <c r="U1946" s="199"/>
      <c r="V1946" s="199"/>
      <c r="W1946" s="199"/>
      <c r="X1946" s="199"/>
      <c r="Y1946" s="199"/>
      <c r="Z1946" s="199"/>
      <c r="AA1946" s="199"/>
      <c r="AB1946" s="199"/>
      <c r="AC1946" s="199"/>
      <c r="AD1946" s="199"/>
      <c r="AE1946" s="199"/>
      <c r="AF1946" s="199"/>
    </row>
    <row r="1947" spans="2:32" ht="15" customHeight="1">
      <c r="B1947" s="199"/>
      <c r="C1947" s="199"/>
      <c r="D1947" s="199"/>
      <c r="E1947" s="199"/>
      <c r="F1947" s="199"/>
      <c r="G1947" s="199"/>
      <c r="H1947" s="199"/>
      <c r="I1947" s="199"/>
      <c r="J1947" s="199"/>
      <c r="K1947" s="199"/>
      <c r="L1947" s="199"/>
      <c r="M1947" s="199"/>
      <c r="N1947" s="199"/>
      <c r="O1947" s="199"/>
      <c r="P1947" s="199"/>
      <c r="Q1947" s="199"/>
      <c r="R1947" s="199"/>
      <c r="S1947" s="199"/>
      <c r="T1947" s="199"/>
      <c r="U1947" s="199"/>
      <c r="V1947" s="199"/>
      <c r="W1947" s="199"/>
      <c r="X1947" s="199"/>
      <c r="Y1947" s="199"/>
      <c r="Z1947" s="199"/>
      <c r="AA1947" s="199"/>
      <c r="AB1947" s="199"/>
      <c r="AC1947" s="199"/>
      <c r="AD1947" s="199"/>
      <c r="AE1947" s="199"/>
      <c r="AF1947" s="199"/>
    </row>
    <row r="1948" spans="2:32" ht="15" customHeight="1">
      <c r="B1948" s="199"/>
      <c r="C1948" s="199"/>
      <c r="D1948" s="199"/>
      <c r="E1948" s="199"/>
      <c r="F1948" s="199"/>
      <c r="G1948" s="199"/>
      <c r="H1948" s="199"/>
      <c r="I1948" s="199"/>
      <c r="J1948" s="199"/>
      <c r="K1948" s="199"/>
      <c r="L1948" s="199"/>
      <c r="M1948" s="199"/>
      <c r="N1948" s="199"/>
      <c r="O1948" s="199"/>
      <c r="P1948" s="199"/>
      <c r="Q1948" s="199"/>
      <c r="R1948" s="199"/>
      <c r="S1948" s="199"/>
      <c r="T1948" s="199"/>
      <c r="U1948" s="199"/>
      <c r="V1948" s="199"/>
      <c r="W1948" s="199"/>
      <c r="X1948" s="199"/>
      <c r="Y1948" s="199"/>
      <c r="Z1948" s="199"/>
      <c r="AA1948" s="199"/>
      <c r="AB1948" s="199"/>
      <c r="AC1948" s="199"/>
      <c r="AD1948" s="199"/>
      <c r="AE1948" s="199"/>
      <c r="AF1948" s="199"/>
    </row>
    <row r="1949" spans="2:32" ht="15" customHeight="1">
      <c r="B1949" s="199"/>
      <c r="C1949" s="199"/>
      <c r="D1949" s="199"/>
      <c r="E1949" s="199"/>
      <c r="F1949" s="199"/>
      <c r="G1949" s="199"/>
      <c r="H1949" s="199"/>
      <c r="I1949" s="199"/>
      <c r="J1949" s="199"/>
      <c r="K1949" s="199"/>
      <c r="L1949" s="199"/>
      <c r="M1949" s="199"/>
      <c r="N1949" s="199"/>
      <c r="O1949" s="199"/>
      <c r="P1949" s="199"/>
      <c r="Q1949" s="199"/>
      <c r="R1949" s="199"/>
      <c r="S1949" s="199"/>
      <c r="T1949" s="199"/>
      <c r="U1949" s="199"/>
      <c r="V1949" s="199"/>
      <c r="W1949" s="199"/>
      <c r="X1949" s="199"/>
      <c r="Y1949" s="199"/>
      <c r="Z1949" s="199"/>
      <c r="AA1949" s="199"/>
      <c r="AB1949" s="199"/>
      <c r="AC1949" s="199"/>
      <c r="AD1949" s="199"/>
      <c r="AE1949" s="199"/>
      <c r="AF1949" s="199"/>
    </row>
    <row r="1950" spans="2:32" ht="15" customHeight="1">
      <c r="B1950" s="199"/>
      <c r="C1950" s="199"/>
      <c r="D1950" s="199"/>
      <c r="E1950" s="199"/>
      <c r="F1950" s="199"/>
      <c r="G1950" s="199"/>
      <c r="H1950" s="199"/>
      <c r="I1950" s="199"/>
      <c r="J1950" s="199"/>
      <c r="K1950" s="199"/>
      <c r="L1950" s="199"/>
      <c r="M1950" s="199"/>
      <c r="N1950" s="199"/>
      <c r="O1950" s="199"/>
      <c r="P1950" s="199"/>
      <c r="Q1950" s="199"/>
      <c r="R1950" s="199"/>
      <c r="S1950" s="199"/>
      <c r="T1950" s="199"/>
      <c r="U1950" s="199"/>
      <c r="V1950" s="199"/>
      <c r="W1950" s="199"/>
      <c r="X1950" s="199"/>
      <c r="Y1950" s="199"/>
      <c r="Z1950" s="199"/>
      <c r="AA1950" s="199"/>
      <c r="AB1950" s="199"/>
      <c r="AC1950" s="199"/>
      <c r="AD1950" s="199"/>
      <c r="AE1950" s="199"/>
      <c r="AF1950" s="199"/>
    </row>
    <row r="1951" spans="2:32" ht="15" customHeight="1">
      <c r="B1951" s="199"/>
      <c r="C1951" s="199"/>
      <c r="D1951" s="199"/>
      <c r="E1951" s="199"/>
      <c r="F1951" s="199"/>
      <c r="G1951" s="199"/>
      <c r="H1951" s="199"/>
      <c r="I1951" s="199"/>
      <c r="J1951" s="199"/>
      <c r="K1951" s="199"/>
      <c r="L1951" s="199"/>
      <c r="M1951" s="199"/>
      <c r="N1951" s="199"/>
      <c r="O1951" s="199"/>
      <c r="P1951" s="199"/>
      <c r="Q1951" s="199"/>
      <c r="R1951" s="199"/>
      <c r="S1951" s="199"/>
      <c r="T1951" s="199"/>
      <c r="U1951" s="199"/>
      <c r="V1951" s="199"/>
      <c r="W1951" s="199"/>
      <c r="X1951" s="199"/>
      <c r="Y1951" s="199"/>
      <c r="Z1951" s="199"/>
      <c r="AA1951" s="199"/>
      <c r="AB1951" s="199"/>
      <c r="AC1951" s="199"/>
      <c r="AD1951" s="199"/>
      <c r="AE1951" s="199"/>
      <c r="AF1951" s="199"/>
    </row>
    <row r="1952" spans="2:32" ht="15" customHeight="1">
      <c r="B1952" s="199"/>
      <c r="C1952" s="199"/>
      <c r="D1952" s="199"/>
      <c r="E1952" s="199"/>
      <c r="F1952" s="199"/>
      <c r="G1952" s="199"/>
      <c r="H1952" s="199"/>
      <c r="I1952" s="199"/>
      <c r="J1952" s="199"/>
      <c r="K1952" s="199"/>
      <c r="L1952" s="199"/>
      <c r="M1952" s="199"/>
      <c r="N1952" s="199"/>
      <c r="O1952" s="199"/>
      <c r="P1952" s="199"/>
      <c r="Q1952" s="199"/>
      <c r="R1952" s="199"/>
      <c r="S1952" s="199"/>
      <c r="T1952" s="199"/>
      <c r="U1952" s="199"/>
      <c r="V1952" s="199"/>
      <c r="W1952" s="199"/>
      <c r="X1952" s="199"/>
      <c r="Y1952" s="199"/>
      <c r="Z1952" s="199"/>
      <c r="AA1952" s="199"/>
      <c r="AB1952" s="199"/>
      <c r="AC1952" s="199"/>
      <c r="AD1952" s="199"/>
      <c r="AE1952" s="199"/>
      <c r="AF1952" s="199"/>
    </row>
    <row r="2036" spans="2:32" ht="15" customHeight="1">
      <c r="B2036" s="199"/>
      <c r="C2036" s="199"/>
      <c r="D2036" s="199"/>
      <c r="E2036" s="199"/>
      <c r="F2036" s="199"/>
      <c r="G2036" s="199"/>
      <c r="H2036" s="199"/>
      <c r="I2036" s="199"/>
      <c r="J2036" s="199"/>
      <c r="K2036" s="199"/>
      <c r="L2036" s="199"/>
      <c r="M2036" s="199"/>
      <c r="N2036" s="199"/>
      <c r="O2036" s="199"/>
      <c r="P2036" s="199"/>
      <c r="Q2036" s="199"/>
      <c r="R2036" s="199"/>
      <c r="S2036" s="199"/>
      <c r="T2036" s="199"/>
      <c r="U2036" s="199"/>
      <c r="V2036" s="199"/>
      <c r="W2036" s="199"/>
      <c r="X2036" s="199"/>
      <c r="Y2036" s="199"/>
      <c r="Z2036" s="199"/>
      <c r="AA2036" s="199"/>
      <c r="AB2036" s="199"/>
      <c r="AC2036" s="199"/>
      <c r="AD2036" s="199"/>
      <c r="AE2036" s="199"/>
      <c r="AF2036" s="199"/>
    </row>
    <row r="2039" spans="2:32" ht="15" customHeight="1">
      <c r="B2039" s="199"/>
      <c r="C2039" s="199"/>
      <c r="D2039" s="199"/>
      <c r="E2039" s="199"/>
      <c r="F2039" s="199"/>
      <c r="G2039" s="199"/>
      <c r="H2039" s="199"/>
      <c r="I2039" s="199"/>
      <c r="J2039" s="199"/>
      <c r="K2039" s="199"/>
      <c r="L2039" s="199"/>
      <c r="M2039" s="199"/>
      <c r="N2039" s="199"/>
      <c r="O2039" s="199"/>
      <c r="P2039" s="199"/>
      <c r="Q2039" s="199"/>
      <c r="R2039" s="199"/>
      <c r="S2039" s="199"/>
      <c r="T2039" s="199"/>
      <c r="U2039" s="199"/>
      <c r="V2039" s="199"/>
      <c r="W2039" s="199"/>
      <c r="X2039" s="199"/>
      <c r="Y2039" s="199"/>
      <c r="Z2039" s="199"/>
      <c r="AA2039" s="199"/>
      <c r="AB2039" s="199"/>
      <c r="AC2039" s="199"/>
      <c r="AD2039" s="199"/>
      <c r="AE2039" s="199"/>
      <c r="AF2039" s="199"/>
    </row>
    <row r="2040" spans="2:32" ht="15" customHeight="1">
      <c r="B2040" s="286"/>
      <c r="C2040" s="286"/>
      <c r="D2040" s="286"/>
      <c r="E2040" s="286"/>
      <c r="F2040" s="286"/>
      <c r="G2040" s="286"/>
      <c r="H2040" s="286"/>
      <c r="I2040" s="286"/>
      <c r="J2040" s="286"/>
      <c r="K2040" s="286"/>
      <c r="L2040" s="286"/>
      <c r="M2040" s="286"/>
      <c r="N2040" s="286"/>
      <c r="O2040" s="286"/>
      <c r="P2040" s="286"/>
      <c r="Q2040" s="286"/>
      <c r="R2040" s="286"/>
      <c r="S2040" s="286"/>
      <c r="T2040" s="286"/>
      <c r="U2040" s="286"/>
      <c r="V2040" s="286"/>
      <c r="W2040" s="286"/>
      <c r="X2040" s="286"/>
      <c r="Y2040" s="286"/>
      <c r="Z2040" s="286"/>
      <c r="AA2040" s="286"/>
      <c r="AB2040" s="286"/>
      <c r="AC2040" s="286"/>
      <c r="AD2040" s="286"/>
      <c r="AE2040" s="286"/>
      <c r="AF2040" s="286"/>
    </row>
    <row r="2044" spans="2:32" ht="15" customHeight="1">
      <c r="B2044" s="199"/>
      <c r="C2044" s="199"/>
      <c r="D2044" s="199"/>
      <c r="E2044" s="199"/>
      <c r="F2044" s="199"/>
      <c r="G2044" s="199"/>
      <c r="H2044" s="199"/>
      <c r="I2044" s="199"/>
      <c r="J2044" s="199"/>
      <c r="K2044" s="199"/>
      <c r="L2044" s="199"/>
      <c r="M2044" s="199"/>
      <c r="N2044" s="199"/>
      <c r="O2044" s="199"/>
      <c r="P2044" s="199"/>
      <c r="Q2044" s="199"/>
      <c r="R2044" s="199"/>
      <c r="S2044" s="199"/>
      <c r="T2044" s="199"/>
      <c r="U2044" s="199"/>
      <c r="V2044" s="199"/>
      <c r="W2044" s="199"/>
      <c r="X2044" s="199"/>
      <c r="Y2044" s="199"/>
      <c r="Z2044" s="199"/>
      <c r="AA2044" s="199"/>
      <c r="AB2044" s="199"/>
      <c r="AC2044" s="199"/>
      <c r="AD2044" s="199"/>
      <c r="AE2044" s="199"/>
      <c r="AF2044" s="199"/>
    </row>
    <row r="2045" spans="2:32" ht="15" customHeight="1">
      <c r="B2045" s="199"/>
      <c r="C2045" s="199"/>
      <c r="D2045" s="199"/>
      <c r="E2045" s="199"/>
      <c r="F2045" s="199"/>
      <c r="G2045" s="199"/>
      <c r="H2045" s="199"/>
      <c r="I2045" s="199"/>
      <c r="J2045" s="199"/>
      <c r="K2045" s="199"/>
      <c r="L2045" s="199"/>
      <c r="M2045" s="199"/>
      <c r="N2045" s="199"/>
      <c r="O2045" s="199"/>
      <c r="P2045" s="199"/>
      <c r="Q2045" s="199"/>
      <c r="R2045" s="199"/>
      <c r="S2045" s="199"/>
      <c r="T2045" s="199"/>
      <c r="U2045" s="199"/>
      <c r="V2045" s="199"/>
      <c r="W2045" s="199"/>
      <c r="X2045" s="199"/>
      <c r="Y2045" s="199"/>
      <c r="Z2045" s="199"/>
      <c r="AA2045" s="199"/>
      <c r="AB2045" s="199"/>
      <c r="AC2045" s="199"/>
      <c r="AD2045" s="199"/>
      <c r="AE2045" s="199"/>
      <c r="AF2045" s="199"/>
    </row>
    <row r="2046" spans="2:32" ht="15" customHeight="1">
      <c r="B2046" s="199"/>
      <c r="C2046" s="199"/>
      <c r="D2046" s="199"/>
      <c r="E2046" s="199"/>
      <c r="F2046" s="199"/>
      <c r="G2046" s="199"/>
      <c r="H2046" s="199"/>
      <c r="I2046" s="199"/>
      <c r="J2046" s="199"/>
      <c r="K2046" s="199"/>
      <c r="L2046" s="199"/>
      <c r="M2046" s="199"/>
      <c r="N2046" s="199"/>
      <c r="O2046" s="199"/>
      <c r="P2046" s="199"/>
      <c r="Q2046" s="199"/>
      <c r="R2046" s="199"/>
      <c r="S2046" s="199"/>
      <c r="T2046" s="199"/>
      <c r="U2046" s="199"/>
      <c r="V2046" s="199"/>
      <c r="W2046" s="199"/>
      <c r="X2046" s="199"/>
      <c r="Y2046" s="199"/>
      <c r="Z2046" s="199"/>
      <c r="AA2046" s="199"/>
      <c r="AB2046" s="199"/>
      <c r="AC2046" s="199"/>
      <c r="AD2046" s="199"/>
      <c r="AE2046" s="199"/>
      <c r="AF2046" s="199"/>
    </row>
    <row r="2047" spans="2:32" ht="15" customHeight="1">
      <c r="B2047" s="199"/>
      <c r="C2047" s="199"/>
      <c r="D2047" s="199"/>
      <c r="E2047" s="199"/>
      <c r="F2047" s="199"/>
      <c r="G2047" s="199"/>
      <c r="H2047" s="199"/>
      <c r="I2047" s="199"/>
      <c r="J2047" s="199"/>
      <c r="K2047" s="199"/>
      <c r="L2047" s="199"/>
      <c r="M2047" s="199"/>
      <c r="N2047" s="199"/>
      <c r="O2047" s="199"/>
      <c r="P2047" s="199"/>
      <c r="Q2047" s="199"/>
      <c r="R2047" s="199"/>
      <c r="S2047" s="199"/>
      <c r="T2047" s="199"/>
      <c r="U2047" s="199"/>
      <c r="V2047" s="199"/>
      <c r="W2047" s="199"/>
      <c r="X2047" s="199"/>
      <c r="Y2047" s="199"/>
      <c r="Z2047" s="199"/>
      <c r="AA2047" s="199"/>
      <c r="AB2047" s="199"/>
      <c r="AC2047" s="199"/>
      <c r="AD2047" s="199"/>
      <c r="AE2047" s="199"/>
      <c r="AF2047" s="199"/>
    </row>
    <row r="2048" spans="2:32" ht="15" customHeight="1">
      <c r="B2048" s="199"/>
      <c r="C2048" s="199"/>
      <c r="D2048" s="199"/>
      <c r="E2048" s="199"/>
      <c r="F2048" s="199"/>
      <c r="G2048" s="199"/>
      <c r="H2048" s="199"/>
      <c r="I2048" s="199"/>
      <c r="J2048" s="199"/>
      <c r="K2048" s="199"/>
      <c r="L2048" s="199"/>
      <c r="M2048" s="199"/>
      <c r="N2048" s="199"/>
      <c r="O2048" s="199"/>
      <c r="P2048" s="199"/>
      <c r="Q2048" s="199"/>
      <c r="R2048" s="199"/>
      <c r="S2048" s="199"/>
      <c r="T2048" s="199"/>
      <c r="U2048" s="199"/>
      <c r="V2048" s="199"/>
      <c r="W2048" s="199"/>
      <c r="X2048" s="199"/>
      <c r="Y2048" s="199"/>
      <c r="Z2048" s="199"/>
      <c r="AA2048" s="199"/>
      <c r="AB2048" s="199"/>
      <c r="AC2048" s="199"/>
      <c r="AD2048" s="199"/>
      <c r="AE2048" s="199"/>
      <c r="AF2048" s="199"/>
    </row>
    <row r="2130" spans="2:32" ht="15" customHeight="1">
      <c r="B2130" s="199"/>
      <c r="C2130" s="199"/>
      <c r="D2130" s="199"/>
      <c r="E2130" s="199"/>
      <c r="F2130" s="199"/>
      <c r="G2130" s="199"/>
      <c r="H2130" s="199"/>
      <c r="I2130" s="199"/>
      <c r="J2130" s="199"/>
      <c r="K2130" s="199"/>
      <c r="L2130" s="199"/>
      <c r="M2130" s="199"/>
      <c r="N2130" s="199"/>
      <c r="O2130" s="199"/>
      <c r="P2130" s="199"/>
      <c r="Q2130" s="199"/>
      <c r="R2130" s="199"/>
      <c r="S2130" s="199"/>
      <c r="T2130" s="199"/>
      <c r="U2130" s="199"/>
      <c r="V2130" s="199"/>
      <c r="W2130" s="199"/>
      <c r="X2130" s="199"/>
      <c r="Y2130" s="199"/>
      <c r="Z2130" s="199"/>
      <c r="AA2130" s="199"/>
      <c r="AB2130" s="199"/>
      <c r="AC2130" s="199"/>
      <c r="AD2130" s="199"/>
      <c r="AE2130" s="199"/>
      <c r="AF2130" s="199"/>
    </row>
    <row r="2136" spans="2:32" ht="15" customHeight="1">
      <c r="B2136" s="199"/>
      <c r="C2136" s="199"/>
      <c r="D2136" s="199"/>
      <c r="E2136" s="199"/>
      <c r="F2136" s="199"/>
      <c r="G2136" s="199"/>
      <c r="H2136" s="199"/>
      <c r="I2136" s="199"/>
      <c r="J2136" s="199"/>
      <c r="K2136" s="199"/>
      <c r="L2136" s="199"/>
      <c r="M2136" s="199"/>
      <c r="N2136" s="199"/>
      <c r="O2136" s="199"/>
      <c r="P2136" s="199"/>
      <c r="Q2136" s="199"/>
      <c r="R2136" s="199"/>
      <c r="S2136" s="199"/>
      <c r="T2136" s="199"/>
      <c r="U2136" s="199"/>
      <c r="V2136" s="199"/>
      <c r="W2136" s="199"/>
      <c r="X2136" s="199"/>
      <c r="Y2136" s="199"/>
      <c r="Z2136" s="199"/>
      <c r="AA2136" s="199"/>
      <c r="AB2136" s="199"/>
      <c r="AC2136" s="199"/>
      <c r="AD2136" s="199"/>
      <c r="AE2136" s="199"/>
      <c r="AF2136" s="199"/>
    </row>
    <row r="2139" spans="2:32" ht="15" customHeight="1">
      <c r="B2139" s="199"/>
      <c r="C2139" s="199"/>
      <c r="D2139" s="199"/>
      <c r="E2139" s="199"/>
      <c r="F2139" s="199"/>
      <c r="G2139" s="199"/>
      <c r="H2139" s="199"/>
      <c r="I2139" s="199"/>
      <c r="J2139" s="199"/>
      <c r="K2139" s="199"/>
      <c r="L2139" s="199"/>
      <c r="M2139" s="199"/>
      <c r="N2139" s="199"/>
      <c r="O2139" s="199"/>
      <c r="P2139" s="199"/>
      <c r="Q2139" s="199"/>
      <c r="R2139" s="199"/>
      <c r="S2139" s="199"/>
      <c r="T2139" s="199"/>
      <c r="U2139" s="199"/>
      <c r="V2139" s="199"/>
      <c r="W2139" s="199"/>
      <c r="X2139" s="199"/>
      <c r="Y2139" s="199"/>
      <c r="Z2139" s="199"/>
      <c r="AA2139" s="199"/>
      <c r="AB2139" s="199"/>
      <c r="AC2139" s="199"/>
      <c r="AD2139" s="199"/>
      <c r="AE2139" s="199"/>
      <c r="AF2139" s="199"/>
    </row>
    <row r="2140" spans="2:32" ht="15" customHeight="1">
      <c r="B2140" s="286"/>
      <c r="C2140" s="286"/>
      <c r="D2140" s="286"/>
      <c r="E2140" s="286"/>
      <c r="F2140" s="286"/>
      <c r="G2140" s="286"/>
      <c r="H2140" s="286"/>
      <c r="I2140" s="286"/>
      <c r="J2140" s="286"/>
      <c r="K2140" s="286"/>
      <c r="L2140" s="286"/>
      <c r="M2140" s="286"/>
      <c r="N2140" s="286"/>
      <c r="O2140" s="286"/>
      <c r="P2140" s="286"/>
      <c r="Q2140" s="286"/>
      <c r="R2140" s="286"/>
      <c r="S2140" s="286"/>
      <c r="T2140" s="286"/>
      <c r="U2140" s="286"/>
      <c r="V2140" s="286"/>
      <c r="W2140" s="286"/>
      <c r="X2140" s="286"/>
      <c r="Y2140" s="286"/>
      <c r="Z2140" s="286"/>
      <c r="AA2140" s="286"/>
      <c r="AB2140" s="286"/>
      <c r="AC2140" s="286"/>
      <c r="AD2140" s="286"/>
      <c r="AE2140" s="286"/>
      <c r="AF2140" s="286"/>
    </row>
    <row r="2144" spans="2:32" ht="15" customHeight="1">
      <c r="B2144" s="199"/>
      <c r="C2144" s="199"/>
      <c r="D2144" s="199"/>
      <c r="E2144" s="199"/>
      <c r="F2144" s="199"/>
      <c r="G2144" s="199"/>
      <c r="H2144" s="199"/>
      <c r="I2144" s="199"/>
      <c r="J2144" s="199"/>
      <c r="K2144" s="199"/>
      <c r="L2144" s="199"/>
      <c r="M2144" s="199"/>
      <c r="N2144" s="199"/>
      <c r="O2144" s="199"/>
      <c r="P2144" s="199"/>
      <c r="Q2144" s="199"/>
      <c r="R2144" s="199"/>
      <c r="S2144" s="199"/>
      <c r="T2144" s="199"/>
      <c r="U2144" s="199"/>
      <c r="V2144" s="199"/>
      <c r="W2144" s="199"/>
      <c r="X2144" s="199"/>
      <c r="Y2144" s="199"/>
      <c r="Z2144" s="199"/>
      <c r="AA2144" s="199"/>
      <c r="AB2144" s="199"/>
      <c r="AC2144" s="199"/>
      <c r="AD2144" s="199"/>
      <c r="AE2144" s="199"/>
      <c r="AF2144" s="199"/>
    </row>
    <row r="2230" spans="2:32" ht="15" customHeight="1">
      <c r="B2230" s="199"/>
      <c r="C2230" s="199"/>
      <c r="D2230" s="199"/>
      <c r="E2230" s="199"/>
      <c r="F2230" s="199"/>
      <c r="G2230" s="199"/>
      <c r="H2230" s="199"/>
      <c r="I2230" s="199"/>
      <c r="J2230" s="199"/>
      <c r="K2230" s="199"/>
      <c r="L2230" s="199"/>
      <c r="M2230" s="199"/>
      <c r="N2230" s="199"/>
      <c r="O2230" s="199"/>
      <c r="P2230" s="199"/>
      <c r="Q2230" s="199"/>
      <c r="R2230" s="199"/>
      <c r="S2230" s="199"/>
      <c r="T2230" s="199"/>
      <c r="U2230" s="199"/>
      <c r="V2230" s="199"/>
      <c r="W2230" s="199"/>
      <c r="X2230" s="199"/>
      <c r="Y2230" s="199"/>
      <c r="Z2230" s="199"/>
      <c r="AA2230" s="199"/>
      <c r="AB2230" s="199"/>
      <c r="AC2230" s="199"/>
      <c r="AD2230" s="199"/>
      <c r="AE2230" s="199"/>
      <c r="AF2230" s="199"/>
    </row>
    <row r="2236" spans="2:32" ht="15" customHeight="1">
      <c r="B2236" s="199"/>
      <c r="C2236" s="199"/>
      <c r="D2236" s="199"/>
      <c r="E2236" s="199"/>
      <c r="F2236" s="199"/>
      <c r="G2236" s="199"/>
      <c r="H2236" s="199"/>
      <c r="I2236" s="199"/>
      <c r="J2236" s="199"/>
      <c r="K2236" s="199"/>
      <c r="L2236" s="199"/>
      <c r="M2236" s="199"/>
      <c r="N2236" s="199"/>
      <c r="O2236" s="199"/>
      <c r="P2236" s="199"/>
      <c r="Q2236" s="199"/>
      <c r="R2236" s="199"/>
      <c r="S2236" s="199"/>
      <c r="T2236" s="199"/>
      <c r="U2236" s="199"/>
      <c r="V2236" s="199"/>
      <c r="W2236" s="199"/>
      <c r="X2236" s="199"/>
      <c r="Y2236" s="199"/>
      <c r="Z2236" s="199"/>
      <c r="AA2236" s="199"/>
      <c r="AB2236" s="199"/>
      <c r="AC2236" s="199"/>
      <c r="AD2236" s="199"/>
      <c r="AE2236" s="199"/>
      <c r="AF2236" s="199"/>
    </row>
    <row r="2239" spans="2:32" ht="15" customHeight="1">
      <c r="B2239" s="199"/>
      <c r="C2239" s="199"/>
      <c r="D2239" s="199"/>
      <c r="E2239" s="199"/>
      <c r="F2239" s="199"/>
      <c r="G2239" s="199"/>
      <c r="H2239" s="199"/>
      <c r="I2239" s="199"/>
      <c r="J2239" s="199"/>
      <c r="K2239" s="199"/>
      <c r="L2239" s="199"/>
      <c r="M2239" s="199"/>
      <c r="N2239" s="199"/>
      <c r="O2239" s="199"/>
      <c r="P2239" s="199"/>
      <c r="Q2239" s="199"/>
      <c r="R2239" s="199"/>
      <c r="S2239" s="199"/>
      <c r="T2239" s="199"/>
      <c r="U2239" s="199"/>
      <c r="V2239" s="199"/>
      <c r="W2239" s="199"/>
      <c r="X2239" s="199"/>
      <c r="Y2239" s="199"/>
      <c r="Z2239" s="199"/>
      <c r="AA2239" s="199"/>
      <c r="AB2239" s="199"/>
      <c r="AC2239" s="199"/>
      <c r="AD2239" s="199"/>
      <c r="AE2239" s="199"/>
      <c r="AF2239" s="199"/>
    </row>
    <row r="2240" spans="2:32" ht="15" customHeight="1">
      <c r="B2240" s="286"/>
      <c r="C2240" s="286"/>
      <c r="D2240" s="286"/>
      <c r="E2240" s="286"/>
      <c r="F2240" s="286"/>
      <c r="G2240" s="286"/>
      <c r="H2240" s="286"/>
      <c r="I2240" s="286"/>
      <c r="J2240" s="286"/>
      <c r="K2240" s="286"/>
      <c r="L2240" s="286"/>
      <c r="M2240" s="286"/>
      <c r="N2240" s="286"/>
      <c r="O2240" s="286"/>
      <c r="P2240" s="286"/>
      <c r="Q2240" s="286"/>
      <c r="R2240" s="286"/>
      <c r="S2240" s="286"/>
      <c r="T2240" s="286"/>
      <c r="U2240" s="286"/>
      <c r="V2240" s="286"/>
      <c r="W2240" s="286"/>
      <c r="X2240" s="286"/>
      <c r="Y2240" s="286"/>
      <c r="Z2240" s="286"/>
      <c r="AA2240" s="286"/>
      <c r="AB2240" s="286"/>
      <c r="AC2240" s="286"/>
      <c r="AD2240" s="286"/>
      <c r="AE2240" s="286"/>
      <c r="AF2240" s="286"/>
    </row>
    <row r="2339" spans="2:32" ht="15" customHeight="1">
      <c r="B2339" s="199"/>
      <c r="C2339" s="199"/>
      <c r="D2339" s="199"/>
      <c r="E2339" s="199"/>
      <c r="F2339" s="199"/>
      <c r="G2339" s="199"/>
      <c r="H2339" s="199"/>
      <c r="I2339" s="199"/>
      <c r="J2339" s="199"/>
      <c r="K2339" s="199"/>
      <c r="L2339" s="199"/>
      <c r="M2339" s="199"/>
      <c r="N2339" s="199"/>
      <c r="O2339" s="199"/>
      <c r="P2339" s="199"/>
      <c r="Q2339" s="199"/>
      <c r="R2339" s="199"/>
      <c r="S2339" s="199"/>
      <c r="T2339" s="199"/>
      <c r="U2339" s="199"/>
      <c r="V2339" s="199"/>
      <c r="W2339" s="199"/>
      <c r="X2339" s="199"/>
      <c r="Y2339" s="199"/>
      <c r="Z2339" s="199"/>
      <c r="AA2339" s="199"/>
      <c r="AB2339" s="199"/>
      <c r="AC2339" s="199"/>
      <c r="AD2339" s="199"/>
      <c r="AE2339" s="199"/>
      <c r="AF2339" s="199"/>
    </row>
    <row r="2340" spans="2:32" ht="15" customHeight="1">
      <c r="B2340" s="286"/>
      <c r="C2340" s="286"/>
      <c r="D2340" s="286"/>
      <c r="E2340" s="286"/>
      <c r="F2340" s="286"/>
      <c r="G2340" s="286"/>
      <c r="H2340" s="286"/>
      <c r="I2340" s="286"/>
      <c r="J2340" s="286"/>
      <c r="K2340" s="286"/>
      <c r="L2340" s="286"/>
      <c r="M2340" s="286"/>
      <c r="N2340" s="286"/>
      <c r="O2340" s="286"/>
      <c r="P2340" s="286"/>
      <c r="Q2340" s="286"/>
      <c r="R2340" s="286"/>
      <c r="S2340" s="286"/>
      <c r="T2340" s="286"/>
      <c r="U2340" s="286"/>
      <c r="V2340" s="286"/>
      <c r="W2340" s="286"/>
      <c r="X2340" s="286"/>
      <c r="Y2340" s="286"/>
      <c r="Z2340" s="286"/>
      <c r="AA2340" s="286"/>
      <c r="AB2340" s="286"/>
      <c r="AC2340" s="286"/>
      <c r="AD2340" s="286"/>
      <c r="AE2340" s="286"/>
      <c r="AF2340" s="286"/>
    </row>
    <row r="2440" spans="2:34" ht="15" customHeight="1">
      <c r="B2440" s="287"/>
      <c r="C2440" s="287"/>
      <c r="D2440" s="287"/>
      <c r="E2440" s="287"/>
      <c r="F2440" s="287"/>
      <c r="G2440" s="287"/>
      <c r="H2440" s="287"/>
      <c r="I2440" s="287"/>
      <c r="J2440" s="287"/>
      <c r="K2440" s="287"/>
      <c r="L2440" s="287"/>
      <c r="M2440" s="287"/>
      <c r="N2440" s="287"/>
      <c r="O2440" s="287"/>
      <c r="P2440" s="287"/>
      <c r="Q2440" s="287"/>
      <c r="R2440" s="287"/>
      <c r="S2440" s="287"/>
      <c r="T2440" s="287"/>
      <c r="U2440" s="287"/>
      <c r="V2440" s="287"/>
      <c r="W2440" s="287"/>
      <c r="X2440" s="287"/>
      <c r="Y2440" s="287"/>
      <c r="Z2440" s="287"/>
      <c r="AA2440" s="287"/>
      <c r="AB2440" s="287"/>
      <c r="AC2440" s="287"/>
      <c r="AD2440" s="287"/>
      <c r="AE2440" s="287"/>
      <c r="AF2440" s="287"/>
      <c r="AG2440" s="287"/>
      <c r="AH2440" s="287"/>
    </row>
    <row r="2540" spans="2:34" ht="15" customHeight="1">
      <c r="B2540" s="287"/>
      <c r="C2540" s="287"/>
      <c r="D2540" s="287"/>
      <c r="E2540" s="287"/>
      <c r="F2540" s="287"/>
      <c r="G2540" s="287"/>
      <c r="H2540" s="287"/>
      <c r="I2540" s="287"/>
      <c r="J2540" s="287"/>
      <c r="K2540" s="287"/>
      <c r="L2540" s="287"/>
      <c r="M2540" s="287"/>
      <c r="N2540" s="287"/>
      <c r="O2540" s="287"/>
      <c r="P2540" s="287"/>
      <c r="Q2540" s="287"/>
      <c r="R2540" s="287"/>
      <c r="S2540" s="287"/>
      <c r="T2540" s="287"/>
      <c r="U2540" s="287"/>
      <c r="V2540" s="287"/>
      <c r="W2540" s="287"/>
      <c r="X2540" s="287"/>
      <c r="Y2540" s="287"/>
      <c r="Z2540" s="287"/>
      <c r="AA2540" s="287"/>
      <c r="AB2540" s="287"/>
      <c r="AC2540" s="287"/>
      <c r="AD2540" s="287"/>
      <c r="AE2540" s="287"/>
      <c r="AF2540" s="287"/>
      <c r="AG2540" s="287"/>
      <c r="AH2540" s="287"/>
    </row>
  </sheetData>
  <mergeCells count="24">
    <mergeCell ref="B648:AF648"/>
    <mergeCell ref="B80:AG80"/>
    <mergeCell ref="B88:AF88"/>
    <mergeCell ref="B213:AF213"/>
    <mergeCell ref="B379:AF379"/>
    <mergeCell ref="B496:AF496"/>
    <mergeCell ref="B2040:AF2040"/>
    <mergeCell ref="B748:AF748"/>
    <mergeCell ref="B839:AF839"/>
    <mergeCell ref="B910:AF910"/>
    <mergeCell ref="B1005:AF1005"/>
    <mergeCell ref="B1422:AF1422"/>
    <mergeCell ref="B1155:AF1155"/>
    <mergeCell ref="B1327:AF1327"/>
    <mergeCell ref="B2540:AH2540"/>
    <mergeCell ref="B2440:AH2440"/>
    <mergeCell ref="B2140:AF2140"/>
    <mergeCell ref="B2240:AF2240"/>
    <mergeCell ref="B2340:AF2340"/>
    <mergeCell ref="B1540:AF1540"/>
    <mergeCell ref="B1640:AF1640"/>
    <mergeCell ref="B1740:AF1740"/>
    <mergeCell ref="B1840:AF1840"/>
    <mergeCell ref="B1940:AF1940"/>
  </mergeCells>
  <pageMargins left="0.75" right="0.75" top="1" bottom="1" header="0.5" footer="0.5"/>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163"/>
  <sheetViews>
    <sheetView workbookViewId="0"/>
  </sheetViews>
  <sheetFormatPr defaultColWidth="9.08984375" defaultRowHeight="14.5"/>
  <cols>
    <col min="1" max="1" width="33.08984375" customWidth="1"/>
    <col min="2" max="2" width="13.36328125" bestFit="1" customWidth="1"/>
    <col min="3" max="3" width="11.54296875" customWidth="1"/>
    <col min="4" max="4" width="12.81640625" bestFit="1" customWidth="1"/>
    <col min="5" max="5" width="10.36328125" bestFit="1" customWidth="1"/>
    <col min="6" max="6" width="15.26953125" customWidth="1"/>
    <col min="7" max="7" width="13.36328125" customWidth="1"/>
    <col min="8" max="8" width="12.7265625" bestFit="1" customWidth="1"/>
    <col min="9" max="9" width="9.7265625" bestFit="1" customWidth="1"/>
    <col min="11" max="11" width="10.36328125" customWidth="1"/>
    <col min="12" max="12" width="12.36328125" bestFit="1" customWidth="1"/>
    <col min="15" max="15" width="12.81640625" bestFit="1" customWidth="1"/>
    <col min="19" max="19" width="10.36328125" customWidth="1"/>
    <col min="23" max="23" width="10.7265625" customWidth="1"/>
  </cols>
  <sheetData>
    <row r="1" spans="1:23" ht="15.5">
      <c r="A1" s="35" t="s">
        <v>240</v>
      </c>
    </row>
    <row r="2" spans="1:23">
      <c r="A2" s="36" t="s">
        <v>241</v>
      </c>
    </row>
    <row r="3" spans="1:23" ht="12.75" customHeight="1">
      <c r="A3" s="37" t="s">
        <v>103</v>
      </c>
      <c r="B3" s="38" t="s">
        <v>242</v>
      </c>
      <c r="C3" s="39"/>
      <c r="D3" s="39"/>
      <c r="E3" s="40" t="s">
        <v>243</v>
      </c>
      <c r="F3" s="40" t="s">
        <v>244</v>
      </c>
      <c r="G3" s="40" t="s">
        <v>245</v>
      </c>
      <c r="H3" s="40" t="s">
        <v>245</v>
      </c>
      <c r="I3" s="41"/>
    </row>
    <row r="4" spans="1:23" ht="26.5">
      <c r="A4" s="42"/>
      <c r="B4" s="43" t="s">
        <v>246</v>
      </c>
      <c r="C4" s="44" t="s">
        <v>247</v>
      </c>
      <c r="D4" s="44" t="s">
        <v>248</v>
      </c>
      <c r="E4" s="44"/>
      <c r="F4" s="44" t="s">
        <v>249</v>
      </c>
      <c r="G4" s="44" t="s">
        <v>250</v>
      </c>
      <c r="H4" s="45" t="s">
        <v>251</v>
      </c>
      <c r="I4" s="46" t="s">
        <v>252</v>
      </c>
    </row>
    <row r="5" spans="1:23">
      <c r="A5" s="47" t="s">
        <v>253</v>
      </c>
      <c r="B5" s="48">
        <v>1</v>
      </c>
      <c r="C5" s="49" t="s">
        <v>254</v>
      </c>
      <c r="D5" s="49"/>
      <c r="E5" s="50"/>
      <c r="F5" s="50"/>
      <c r="G5" s="50"/>
      <c r="H5" s="50"/>
      <c r="I5" s="51"/>
    </row>
    <row r="6" spans="1:23">
      <c r="A6" s="52" t="s">
        <v>255</v>
      </c>
      <c r="B6" s="53" t="s">
        <v>256</v>
      </c>
      <c r="C6" s="54" t="s">
        <v>256</v>
      </c>
      <c r="D6" s="54" t="s">
        <v>256</v>
      </c>
      <c r="E6" s="54" t="s">
        <v>257</v>
      </c>
      <c r="F6" s="55"/>
      <c r="G6" s="55"/>
      <c r="H6" s="55"/>
      <c r="I6" s="56"/>
    </row>
    <row r="7" spans="1:23">
      <c r="A7" s="57" t="s">
        <v>258</v>
      </c>
      <c r="B7" s="58">
        <v>129670</v>
      </c>
      <c r="C7" s="59">
        <v>129670</v>
      </c>
      <c r="D7" s="59">
        <v>138350</v>
      </c>
      <c r="E7" s="59">
        <v>3205</v>
      </c>
      <c r="F7" s="60">
        <v>0.85299999999999998</v>
      </c>
      <c r="G7" s="61">
        <v>16000</v>
      </c>
      <c r="H7" s="62">
        <v>1.6E-2</v>
      </c>
      <c r="I7" s="63">
        <v>0.93726057101554028</v>
      </c>
    </row>
    <row r="8" spans="1:23">
      <c r="A8" s="57" t="s">
        <v>259</v>
      </c>
      <c r="B8" s="58">
        <v>135084.91292306196</v>
      </c>
      <c r="C8" s="64">
        <v>135084.91292306196</v>
      </c>
      <c r="D8" s="64">
        <v>144475.84269846199</v>
      </c>
      <c r="E8" s="64">
        <v>3266</v>
      </c>
      <c r="F8" s="65">
        <v>0.85562068501529054</v>
      </c>
      <c r="G8" s="61">
        <v>1800</v>
      </c>
      <c r="H8" s="62">
        <v>1.8E-3</v>
      </c>
      <c r="I8" s="63">
        <v>0.93500000000000005</v>
      </c>
    </row>
    <row r="9" spans="1:23">
      <c r="A9" s="57" t="s">
        <v>260</v>
      </c>
      <c r="B9" s="58">
        <v>152370.90134048002</v>
      </c>
      <c r="C9" s="64">
        <v>152370.90134048002</v>
      </c>
      <c r="D9" s="64">
        <v>162963.53084543315</v>
      </c>
      <c r="E9" s="64">
        <v>3839.6821254480283</v>
      </c>
      <c r="F9" s="65">
        <v>0.83</v>
      </c>
      <c r="G9" s="61">
        <v>48000</v>
      </c>
      <c r="H9" s="62">
        <v>4.8000000000000001E-2</v>
      </c>
      <c r="I9" s="63">
        <v>0.93500000000000016</v>
      </c>
    </row>
    <row r="10" spans="1:23">
      <c r="A10" s="57" t="s">
        <v>261</v>
      </c>
      <c r="B10" s="58">
        <v>152370.90134048002</v>
      </c>
      <c r="C10" s="66">
        <v>152370.90134048002</v>
      </c>
      <c r="D10" s="66">
        <v>162963.53084543315</v>
      </c>
      <c r="E10" s="66">
        <v>3839.6821254480283</v>
      </c>
      <c r="F10" s="67">
        <v>0.83</v>
      </c>
      <c r="G10" s="66">
        <v>48000</v>
      </c>
      <c r="H10" s="62">
        <v>4.8000000000000001E-2</v>
      </c>
      <c r="I10" s="63">
        <v>0.93500000000000016</v>
      </c>
    </row>
    <row r="11" spans="1:23">
      <c r="A11" s="57" t="s">
        <v>262</v>
      </c>
      <c r="B11" s="58">
        <v>145194.18901496602</v>
      </c>
      <c r="C11" s="66">
        <v>145194.18901496602</v>
      </c>
      <c r="D11" s="66">
        <v>155287.90268980322</v>
      </c>
      <c r="E11" s="66">
        <v>3500.47748781362</v>
      </c>
      <c r="F11" s="67">
        <v>0.83245885654014951</v>
      </c>
      <c r="G11" s="66">
        <v>37227.389654331695</v>
      </c>
      <c r="H11" s="62">
        <v>3.7227389654331693E-2</v>
      </c>
      <c r="I11" s="63">
        <v>0.93500000000000005</v>
      </c>
      <c r="L11" s="66"/>
      <c r="M11" s="66"/>
      <c r="N11" s="66"/>
      <c r="O11" s="66"/>
      <c r="P11" s="67"/>
      <c r="Q11" s="66"/>
      <c r="R11" s="62"/>
      <c r="S11" s="68"/>
    </row>
    <row r="12" spans="1:23">
      <c r="A12" s="57" t="s">
        <v>263</v>
      </c>
      <c r="B12" s="58">
        <v>128448.52692210001</v>
      </c>
      <c r="C12" s="64">
        <v>128448.52692210001</v>
      </c>
      <c r="D12" s="64">
        <v>137378.10365999999</v>
      </c>
      <c r="E12" s="64">
        <v>2709</v>
      </c>
      <c r="F12" s="65">
        <v>0.84059083544303792</v>
      </c>
      <c r="G12" s="61">
        <v>1600</v>
      </c>
      <c r="H12" s="62">
        <v>1.6000000000000001E-3</v>
      </c>
      <c r="I12" s="63">
        <v>0.93500000000000005</v>
      </c>
    </row>
    <row r="13" spans="1:23">
      <c r="A13" t="s">
        <v>264</v>
      </c>
      <c r="B13" s="58">
        <v>125600.90733399388</v>
      </c>
      <c r="C13" s="69">
        <v>125600.90733399388</v>
      </c>
      <c r="D13" s="69">
        <v>134008.52571649614</v>
      </c>
      <c r="E13" s="70">
        <v>3087.2372132564833</v>
      </c>
      <c r="F13" s="71">
        <v>0.85299999999999998</v>
      </c>
      <c r="G13" s="71">
        <v>16000</v>
      </c>
      <c r="H13" s="62">
        <v>1.6E-2</v>
      </c>
      <c r="I13" s="63">
        <v>0.93726057101554028</v>
      </c>
    </row>
    <row r="14" spans="1:23">
      <c r="A14" t="s">
        <v>265</v>
      </c>
      <c r="B14" s="58">
        <v>122492.60888766299</v>
      </c>
      <c r="C14" s="69">
        <v>122492.60888766299</v>
      </c>
      <c r="D14" s="69">
        <v>130692.16040416578</v>
      </c>
      <c r="E14" s="70">
        <v>2984.0426545960995</v>
      </c>
      <c r="F14" s="71">
        <v>0.85299999999999998</v>
      </c>
      <c r="G14" s="71">
        <v>16000</v>
      </c>
      <c r="H14" s="62">
        <v>1.6E-2</v>
      </c>
      <c r="I14" s="63">
        <v>0.93726057101554017</v>
      </c>
    </row>
    <row r="15" spans="1:23">
      <c r="A15" s="57" t="s">
        <v>266</v>
      </c>
      <c r="B15" s="58">
        <v>116090</v>
      </c>
      <c r="C15" s="59">
        <v>116090</v>
      </c>
      <c r="D15" s="59">
        <v>124340</v>
      </c>
      <c r="E15" s="59">
        <v>2819</v>
      </c>
      <c r="F15" s="60">
        <v>0.86299999999999999</v>
      </c>
      <c r="G15" s="66">
        <v>10</v>
      </c>
      <c r="H15" s="62">
        <v>1.0000000000000001E-5</v>
      </c>
      <c r="I15" s="63">
        <v>0.93364967025896739</v>
      </c>
      <c r="P15" s="72"/>
      <c r="Q15" s="72"/>
      <c r="R15" s="72"/>
      <c r="S15" s="72"/>
      <c r="T15" s="72"/>
      <c r="U15" s="72"/>
      <c r="V15" s="27"/>
      <c r="W15" s="69"/>
    </row>
    <row r="16" spans="1:23">
      <c r="A16" s="57" t="s">
        <v>267</v>
      </c>
      <c r="B16" s="58">
        <v>112193.52</v>
      </c>
      <c r="C16" s="66">
        <v>112193.52</v>
      </c>
      <c r="D16" s="66">
        <v>120438.62000000001</v>
      </c>
      <c r="E16" s="66">
        <v>2835.5620000000004</v>
      </c>
      <c r="F16" s="67">
        <v>0.82778546968819577</v>
      </c>
      <c r="G16" s="73">
        <v>9.0261788360871336</v>
      </c>
      <c r="H16" s="62">
        <v>9.0261788360871334E-6</v>
      </c>
      <c r="I16" s="63">
        <v>0.931541062160958</v>
      </c>
      <c r="S16" s="72"/>
      <c r="T16" s="72"/>
      <c r="U16" s="72"/>
      <c r="V16" s="27"/>
      <c r="W16" s="69"/>
    </row>
    <row r="17" spans="1:23">
      <c r="A17" s="57" t="s">
        <v>268</v>
      </c>
      <c r="B17" s="58">
        <v>112193.52</v>
      </c>
      <c r="C17" s="66">
        <v>112193.52</v>
      </c>
      <c r="D17" s="66">
        <v>120438.62000000001</v>
      </c>
      <c r="E17" s="66">
        <v>2835.5620000000004</v>
      </c>
      <c r="F17" s="67">
        <v>0.82778546968819577</v>
      </c>
      <c r="G17" s="73">
        <v>9.0261788360871336</v>
      </c>
      <c r="H17" s="62">
        <v>9.0261788360871334E-6</v>
      </c>
      <c r="I17" s="63">
        <v>0.931541062160958</v>
      </c>
      <c r="P17" s="72"/>
      <c r="Q17" s="72"/>
      <c r="R17" s="72"/>
      <c r="S17" s="72"/>
      <c r="T17" s="72"/>
      <c r="U17" s="72"/>
      <c r="V17" s="27"/>
      <c r="W17" s="69"/>
    </row>
    <row r="18" spans="1:23">
      <c r="A18" s="57" t="s">
        <v>269</v>
      </c>
      <c r="B18" s="58">
        <v>106150</v>
      </c>
      <c r="C18" s="66">
        <v>106150</v>
      </c>
      <c r="D18" s="66">
        <v>114387.5</v>
      </c>
      <c r="E18" s="66">
        <v>2861.25</v>
      </c>
      <c r="F18" s="67">
        <v>0.77774999999999994</v>
      </c>
      <c r="G18" s="73">
        <v>7.642500028014183</v>
      </c>
      <c r="H18" s="62">
        <v>7.6425000280141833E-6</v>
      </c>
      <c r="I18" s="63">
        <v>0.92798601245765489</v>
      </c>
      <c r="S18" s="72"/>
      <c r="T18" s="72"/>
      <c r="U18" s="72"/>
      <c r="V18" s="27"/>
      <c r="W18" s="69"/>
    </row>
    <row r="19" spans="1:23">
      <c r="A19" s="57" t="s">
        <v>270</v>
      </c>
      <c r="B19" s="58">
        <v>100186</v>
      </c>
      <c r="C19" s="66">
        <v>100186</v>
      </c>
      <c r="D19" s="66">
        <v>108416</v>
      </c>
      <c r="E19" s="66">
        <v>2886.6</v>
      </c>
      <c r="F19" s="67">
        <v>0.72659999999999991</v>
      </c>
      <c r="G19" s="73">
        <v>6.2280000448226929</v>
      </c>
      <c r="H19" s="62">
        <v>6.2280000448226927E-6</v>
      </c>
      <c r="I19" s="63">
        <v>0.92408869539551353</v>
      </c>
      <c r="J19" s="72"/>
      <c r="K19" s="72"/>
      <c r="L19" s="72"/>
      <c r="M19" s="27"/>
      <c r="N19" s="69"/>
    </row>
    <row r="20" spans="1:23">
      <c r="A20" s="57" t="s">
        <v>271</v>
      </c>
      <c r="B20" s="58">
        <v>128450</v>
      </c>
      <c r="C20" s="59">
        <v>128450</v>
      </c>
      <c r="D20" s="59">
        <v>137380</v>
      </c>
      <c r="E20" s="59">
        <v>3167</v>
      </c>
      <c r="F20" s="60">
        <v>0.86499999999999999</v>
      </c>
      <c r="G20" s="66">
        <v>200</v>
      </c>
      <c r="H20" s="62">
        <v>2.0000000000000001E-4</v>
      </c>
      <c r="I20" s="63">
        <v>0.93499781627602274</v>
      </c>
      <c r="W20" s="69"/>
    </row>
    <row r="21" spans="1:23">
      <c r="A21" s="74" t="s">
        <v>456</v>
      </c>
      <c r="B21" s="58">
        <v>129487.84757606639</v>
      </c>
      <c r="C21" s="66">
        <v>129487.84757606639</v>
      </c>
      <c r="D21" s="66">
        <v>138490</v>
      </c>
      <c r="E21" s="66">
        <v>3206</v>
      </c>
      <c r="F21" s="75">
        <v>0.871</v>
      </c>
      <c r="G21" s="66">
        <v>11</v>
      </c>
      <c r="H21" s="62">
        <v>1.1E-5</v>
      </c>
      <c r="I21" s="63"/>
    </row>
    <row r="22" spans="1:23">
      <c r="A22" s="57" t="s">
        <v>272</v>
      </c>
      <c r="B22" s="58">
        <v>128450</v>
      </c>
      <c r="C22" s="66">
        <v>128450</v>
      </c>
      <c r="D22" s="66">
        <v>137380</v>
      </c>
      <c r="E22" s="66">
        <v>3167</v>
      </c>
      <c r="F22" s="67">
        <v>0.86499999999999999</v>
      </c>
      <c r="G22" s="66">
        <v>11</v>
      </c>
      <c r="H22" s="62">
        <v>1.1E-5</v>
      </c>
      <c r="I22" s="63">
        <v>0.93499781627602274</v>
      </c>
    </row>
    <row r="23" spans="1:23">
      <c r="A23" s="57" t="s">
        <v>273</v>
      </c>
      <c r="B23" s="58">
        <v>129487.84757606639</v>
      </c>
      <c r="C23" s="66">
        <v>129487.84757606639</v>
      </c>
      <c r="D23" s="59">
        <v>138490</v>
      </c>
      <c r="E23" s="59">
        <v>3206</v>
      </c>
      <c r="F23" s="60">
        <v>0.871</v>
      </c>
      <c r="G23" s="61">
        <v>11</v>
      </c>
      <c r="H23" s="62">
        <v>1.1E-5</v>
      </c>
      <c r="I23" s="63">
        <v>0.93499781627602274</v>
      </c>
    </row>
    <row r="24" spans="1:23">
      <c r="A24" s="57" t="s">
        <v>274</v>
      </c>
      <c r="B24" s="58">
        <v>116920</v>
      </c>
      <c r="C24" s="59">
        <v>116920</v>
      </c>
      <c r="D24" s="59">
        <v>125080</v>
      </c>
      <c r="E24" s="59">
        <v>2745</v>
      </c>
      <c r="F24" s="60">
        <v>0.85</v>
      </c>
      <c r="G24" s="61">
        <v>1</v>
      </c>
      <c r="H24" s="62">
        <v>9.9999999999999995E-7</v>
      </c>
      <c r="I24" s="63">
        <v>0.93476175247841387</v>
      </c>
    </row>
    <row r="25" spans="1:23">
      <c r="A25" s="57" t="s">
        <v>457</v>
      </c>
      <c r="B25" s="58">
        <v>118237.434842673</v>
      </c>
      <c r="C25" s="66">
        <v>118237.434842673</v>
      </c>
      <c r="D25" s="66">
        <v>126586.157141156</v>
      </c>
      <c r="E25" s="66">
        <v>2833.8569764657</v>
      </c>
      <c r="F25" s="67">
        <v>0.85315638757897505</v>
      </c>
      <c r="G25" s="66">
        <v>10</v>
      </c>
      <c r="H25" s="62">
        <v>1.0000000000000001E-5</v>
      </c>
      <c r="I25" s="63">
        <v>0.93404711473172097</v>
      </c>
    </row>
    <row r="26" spans="1:23">
      <c r="A26" s="57" t="s">
        <v>275</v>
      </c>
      <c r="B26" s="58">
        <v>124307.03423937227</v>
      </c>
      <c r="C26" s="66">
        <v>124307.03423937227</v>
      </c>
      <c r="D26" s="66">
        <v>132948.69438683367</v>
      </c>
      <c r="E26" s="66">
        <v>3035.8996219999995</v>
      </c>
      <c r="F26" s="67">
        <v>0.86199999999999999</v>
      </c>
      <c r="G26" s="66">
        <v>700</v>
      </c>
      <c r="H26" s="62">
        <v>6.9999999999999999E-4</v>
      </c>
      <c r="I26" s="63">
        <v>0.93500003751584637</v>
      </c>
    </row>
    <row r="27" spans="1:23">
      <c r="A27" s="57" t="s">
        <v>276</v>
      </c>
      <c r="B27" s="58">
        <v>123041.23110601204</v>
      </c>
      <c r="C27" s="59">
        <v>123041.23110601204</v>
      </c>
      <c r="D27" s="59">
        <v>131594.89429852215</v>
      </c>
      <c r="E27" s="76">
        <v>2998.0455119999997</v>
      </c>
      <c r="F27" s="60">
        <v>0.86</v>
      </c>
      <c r="G27" s="61">
        <v>11</v>
      </c>
      <c r="H27" s="62">
        <v>1.1E-5</v>
      </c>
      <c r="I27" s="63">
        <v>0.93500003751584626</v>
      </c>
    </row>
    <row r="28" spans="1:23">
      <c r="A28" s="57" t="s">
        <v>277</v>
      </c>
      <c r="B28" s="58">
        <v>111520</v>
      </c>
      <c r="C28" s="66">
        <v>111520</v>
      </c>
      <c r="D28" s="59">
        <v>119740</v>
      </c>
      <c r="E28" s="59">
        <v>2651</v>
      </c>
      <c r="F28" s="60">
        <v>0.84199999999999997</v>
      </c>
      <c r="G28" s="61">
        <v>0</v>
      </c>
      <c r="H28" s="62">
        <v>0</v>
      </c>
      <c r="I28" s="63">
        <v>0.93135126106564226</v>
      </c>
    </row>
    <row r="29" spans="1:23">
      <c r="A29" s="57" t="s">
        <v>278</v>
      </c>
      <c r="B29" s="58">
        <v>140352.52220119376</v>
      </c>
      <c r="C29" s="66">
        <v>140352.52220119376</v>
      </c>
      <c r="D29" s="66">
        <v>150110</v>
      </c>
      <c r="E29" s="66">
        <v>3752</v>
      </c>
      <c r="F29" s="67">
        <v>0.86799999999999999</v>
      </c>
      <c r="G29" s="61">
        <v>5000</v>
      </c>
      <c r="H29" s="62">
        <v>5.0000000000000001E-3</v>
      </c>
      <c r="I29" s="63">
        <v>0.93499781627602263</v>
      </c>
    </row>
    <row r="30" spans="1:23">
      <c r="A30" s="57" t="s">
        <v>279</v>
      </c>
      <c r="B30" s="58">
        <v>140352.52220119376</v>
      </c>
      <c r="C30" s="59">
        <v>140352.52220119376</v>
      </c>
      <c r="D30" s="59">
        <v>150110</v>
      </c>
      <c r="E30" s="59">
        <v>3752</v>
      </c>
      <c r="F30" s="77">
        <v>0.86799999999999999</v>
      </c>
      <c r="G30" s="61">
        <v>27000</v>
      </c>
      <c r="H30" s="62">
        <v>2.7E-2</v>
      </c>
      <c r="I30" s="63">
        <v>0.93499781627602263</v>
      </c>
    </row>
    <row r="31" spans="1:23">
      <c r="A31" s="57" t="s">
        <v>280</v>
      </c>
      <c r="B31" s="58">
        <v>57250</v>
      </c>
      <c r="C31" s="59">
        <v>57250</v>
      </c>
      <c r="D31" s="59">
        <v>65200</v>
      </c>
      <c r="E31" s="59">
        <v>3006</v>
      </c>
      <c r="F31" s="77">
        <v>0.375</v>
      </c>
      <c r="G31" s="66">
        <v>0</v>
      </c>
      <c r="H31" s="62">
        <v>0</v>
      </c>
      <c r="I31" s="63">
        <v>0.87806748466257667</v>
      </c>
    </row>
    <row r="32" spans="1:23">
      <c r="A32" s="57" t="s">
        <v>281</v>
      </c>
      <c r="B32" s="58">
        <v>76330</v>
      </c>
      <c r="C32" s="78">
        <v>76330</v>
      </c>
      <c r="D32" s="76">
        <v>84530</v>
      </c>
      <c r="E32" s="78">
        <v>2988</v>
      </c>
      <c r="F32" s="79">
        <v>0.52200000000000002</v>
      </c>
      <c r="G32" s="69">
        <v>0.57000011205673218</v>
      </c>
      <c r="H32" s="62">
        <v>5.7000011205673218E-7</v>
      </c>
      <c r="I32" s="63">
        <v>0.90299302022950434</v>
      </c>
    </row>
    <row r="33" spans="1:9">
      <c r="A33" s="57" t="s">
        <v>282</v>
      </c>
      <c r="B33" s="58">
        <v>99837</v>
      </c>
      <c r="C33" s="78">
        <v>99837</v>
      </c>
      <c r="D33" s="76">
        <v>108458</v>
      </c>
      <c r="E33" s="78">
        <v>3065</v>
      </c>
      <c r="F33" s="79">
        <v>0.64859999999999995</v>
      </c>
      <c r="G33" s="69">
        <v>0</v>
      </c>
      <c r="H33" s="62">
        <v>0</v>
      </c>
      <c r="I33" s="63">
        <v>0.92051300964428628</v>
      </c>
    </row>
    <row r="34" spans="1:9">
      <c r="A34" s="57" t="s">
        <v>283</v>
      </c>
      <c r="B34" s="58">
        <v>83127</v>
      </c>
      <c r="C34" s="66">
        <v>83127</v>
      </c>
      <c r="D34" s="66">
        <v>89511</v>
      </c>
      <c r="E34" s="66">
        <v>2964</v>
      </c>
      <c r="F34" s="67">
        <v>0.61980000000000002</v>
      </c>
      <c r="G34" s="66">
        <v>0</v>
      </c>
      <c r="H34" s="62">
        <v>0</v>
      </c>
      <c r="I34" s="63">
        <v>0.92867915675168411</v>
      </c>
    </row>
    <row r="35" spans="1:9">
      <c r="A35" s="57" t="s">
        <v>284</v>
      </c>
      <c r="B35" s="58">
        <v>116090</v>
      </c>
      <c r="C35" s="59">
        <v>116090</v>
      </c>
      <c r="D35" s="59">
        <v>124340</v>
      </c>
      <c r="E35" s="61">
        <v>2819</v>
      </c>
      <c r="F35" s="77">
        <v>0.86299999999999999</v>
      </c>
      <c r="G35" s="61">
        <v>10</v>
      </c>
      <c r="H35" s="62">
        <v>1.0000000000000001E-5</v>
      </c>
      <c r="I35" s="63">
        <v>0.93364967025896739</v>
      </c>
    </row>
    <row r="36" spans="1:9">
      <c r="A36" s="57" t="s">
        <v>285</v>
      </c>
      <c r="B36" s="58">
        <v>84950</v>
      </c>
      <c r="C36" s="59">
        <v>84950</v>
      </c>
      <c r="D36" s="59">
        <v>91410</v>
      </c>
      <c r="E36" s="59">
        <v>1923</v>
      </c>
      <c r="F36" s="60">
        <v>0.82</v>
      </c>
      <c r="G36" s="61">
        <v>0</v>
      </c>
      <c r="H36" s="62">
        <v>0</v>
      </c>
      <c r="I36" s="63">
        <v>0.9293293950333662</v>
      </c>
    </row>
    <row r="37" spans="1:9">
      <c r="A37" s="57" t="s">
        <v>286</v>
      </c>
      <c r="B37" s="58">
        <v>74720</v>
      </c>
      <c r="C37" s="59">
        <v>74720</v>
      </c>
      <c r="D37" s="59">
        <v>84820</v>
      </c>
      <c r="E37" s="59">
        <v>1621</v>
      </c>
      <c r="F37" s="80">
        <v>0.75</v>
      </c>
      <c r="G37" s="61">
        <v>0</v>
      </c>
      <c r="H37" s="62">
        <v>0</v>
      </c>
      <c r="I37" s="63">
        <v>0.88092431030417351</v>
      </c>
    </row>
    <row r="38" spans="1:9">
      <c r="A38" s="57" t="s">
        <v>287</v>
      </c>
      <c r="B38" s="58">
        <v>68930</v>
      </c>
      <c r="C38" s="61">
        <v>68930</v>
      </c>
      <c r="D38" s="66">
        <v>75610</v>
      </c>
      <c r="E38" s="61">
        <v>2518</v>
      </c>
      <c r="F38" s="77">
        <v>0.52200000000000002</v>
      </c>
      <c r="G38" s="61">
        <v>0</v>
      </c>
      <c r="H38" s="62">
        <v>0</v>
      </c>
      <c r="I38" s="63">
        <v>0.91165189789710355</v>
      </c>
    </row>
    <row r="39" spans="1:9">
      <c r="A39" s="57" t="s">
        <v>288</v>
      </c>
      <c r="B39" s="58">
        <v>72200</v>
      </c>
      <c r="C39" s="59">
        <v>72200</v>
      </c>
      <c r="D39" s="59">
        <v>79196.89540113158</v>
      </c>
      <c r="E39" s="59">
        <v>3255</v>
      </c>
      <c r="F39" s="60">
        <v>0.47399999999999998</v>
      </c>
      <c r="G39" s="61">
        <v>0</v>
      </c>
      <c r="H39" s="62">
        <v>0</v>
      </c>
      <c r="I39" s="63">
        <v>0.91165189789710355</v>
      </c>
    </row>
    <row r="40" spans="1:9">
      <c r="A40" s="57" t="s">
        <v>289</v>
      </c>
      <c r="B40" s="58">
        <v>119550</v>
      </c>
      <c r="C40" s="59">
        <v>119550</v>
      </c>
      <c r="D40" s="59">
        <v>127960</v>
      </c>
      <c r="E40" s="59">
        <v>3361</v>
      </c>
      <c r="F40" s="60">
        <v>0.77600000000000002</v>
      </c>
      <c r="G40" s="61">
        <v>0</v>
      </c>
      <c r="H40" s="62">
        <v>0</v>
      </c>
      <c r="I40" s="63">
        <v>0.93427633635511098</v>
      </c>
    </row>
    <row r="41" spans="1:9">
      <c r="A41" s="57" t="s">
        <v>290</v>
      </c>
      <c r="B41" s="58">
        <v>123670</v>
      </c>
      <c r="C41" s="61">
        <v>123670</v>
      </c>
      <c r="D41" s="61">
        <v>130030</v>
      </c>
      <c r="E41" s="61">
        <v>3017</v>
      </c>
      <c r="F41" s="77">
        <v>0.85299999999999998</v>
      </c>
      <c r="G41" s="66">
        <v>0</v>
      </c>
      <c r="H41" s="62">
        <v>0</v>
      </c>
      <c r="I41" s="63">
        <v>0.95108821041298164</v>
      </c>
    </row>
    <row r="42" spans="1:9">
      <c r="A42" s="57" t="s">
        <v>291</v>
      </c>
      <c r="B42" s="58">
        <v>117059</v>
      </c>
      <c r="C42" s="76">
        <v>117059</v>
      </c>
      <c r="D42" s="76">
        <v>125293.76528649101</v>
      </c>
      <c r="E42" s="76">
        <v>2835</v>
      </c>
      <c r="F42" s="77">
        <v>0.871</v>
      </c>
      <c r="G42" s="66">
        <v>0</v>
      </c>
      <c r="H42" s="62">
        <v>0</v>
      </c>
      <c r="I42" s="63">
        <v>0.93427633635511098</v>
      </c>
    </row>
    <row r="43" spans="1:9">
      <c r="A43" s="57" t="s">
        <v>292</v>
      </c>
      <c r="B43" s="58">
        <v>122887</v>
      </c>
      <c r="C43" s="76">
        <v>122887</v>
      </c>
      <c r="D43" s="76">
        <v>130817</v>
      </c>
      <c r="E43" s="76">
        <v>2948</v>
      </c>
      <c r="F43" s="77">
        <v>0.871</v>
      </c>
      <c r="G43" s="66">
        <v>0</v>
      </c>
      <c r="H43" s="62">
        <v>0</v>
      </c>
      <c r="I43" s="63">
        <v>0.93938096730547249</v>
      </c>
    </row>
    <row r="44" spans="1:9">
      <c r="A44" s="57" t="s">
        <v>293</v>
      </c>
      <c r="B44" s="58">
        <v>123542.426446789</v>
      </c>
      <c r="C44" s="76">
        <v>123542.426446789</v>
      </c>
      <c r="D44" s="76">
        <v>133070.13702382601</v>
      </c>
      <c r="E44" s="76">
        <v>3003.2639480974099</v>
      </c>
      <c r="F44" s="77">
        <v>0.871</v>
      </c>
      <c r="G44" s="66">
        <v>0</v>
      </c>
      <c r="H44" s="62">
        <v>0</v>
      </c>
      <c r="I44" s="63">
        <v>0.92840083590406852</v>
      </c>
    </row>
    <row r="45" spans="1:9">
      <c r="A45" t="s">
        <v>294</v>
      </c>
      <c r="B45" s="58">
        <v>115983</v>
      </c>
      <c r="C45" s="64">
        <v>115983</v>
      </c>
      <c r="D45" s="66">
        <v>124230</v>
      </c>
      <c r="E45" s="64">
        <v>2830</v>
      </c>
      <c r="F45" s="65">
        <v>0.84</v>
      </c>
      <c r="G45" s="61">
        <v>0</v>
      </c>
      <c r="H45" s="62">
        <v>0</v>
      </c>
      <c r="I45" s="63">
        <v>0.93361506882395562</v>
      </c>
    </row>
    <row r="46" spans="1:9">
      <c r="A46" s="57" t="s">
        <v>295</v>
      </c>
      <c r="B46" s="58">
        <v>113309</v>
      </c>
      <c r="C46" s="66">
        <v>113309</v>
      </c>
      <c r="D46" s="66">
        <v>121365.86456635887</v>
      </c>
      <c r="E46" s="66">
        <v>2713</v>
      </c>
      <c r="F46" s="67">
        <v>0.83109999999999995</v>
      </c>
      <c r="G46" s="81">
        <v>10</v>
      </c>
      <c r="H46" s="62">
        <v>1.0000000000000001E-5</v>
      </c>
      <c r="I46" s="63">
        <v>0.93361506882395551</v>
      </c>
    </row>
    <row r="47" spans="1:9">
      <c r="A47" s="57" t="s">
        <v>458</v>
      </c>
      <c r="B47" s="58">
        <v>112060.7</v>
      </c>
      <c r="C47" s="59">
        <v>112060.7</v>
      </c>
      <c r="D47" s="59">
        <v>120028.80388505213</v>
      </c>
      <c r="E47" s="59">
        <v>2819</v>
      </c>
      <c r="F47" s="77">
        <v>0.86430000000000007</v>
      </c>
      <c r="G47" s="61">
        <v>10</v>
      </c>
      <c r="H47" s="62">
        <v>1.0000000000000001E-5</v>
      </c>
      <c r="I47" s="63">
        <v>0.93361506882395551</v>
      </c>
    </row>
    <row r="48" spans="1:9">
      <c r="A48" s="57" t="s">
        <v>296</v>
      </c>
      <c r="B48" s="58">
        <v>119776.6214942081</v>
      </c>
      <c r="C48" s="59">
        <v>119776.6214942081</v>
      </c>
      <c r="D48" s="59">
        <v>128103.33335647394</v>
      </c>
      <c r="E48" s="59">
        <v>2865.5561269999994</v>
      </c>
      <c r="F48" s="77">
        <v>0.84699999999999998</v>
      </c>
      <c r="G48" s="61">
        <v>0</v>
      </c>
      <c r="H48" s="62">
        <v>0</v>
      </c>
      <c r="I48" s="63">
        <v>0.93500003751584626</v>
      </c>
    </row>
    <row r="49" spans="1:9">
      <c r="A49" s="57" t="s">
        <v>297</v>
      </c>
      <c r="B49" s="58">
        <v>30500</v>
      </c>
      <c r="C49" s="59">
        <v>30500</v>
      </c>
      <c r="D49" s="59">
        <v>36020</v>
      </c>
      <c r="E49" s="59">
        <v>268</v>
      </c>
      <c r="F49" s="77">
        <v>0</v>
      </c>
      <c r="G49" s="61">
        <v>0</v>
      </c>
      <c r="H49" s="62">
        <v>0</v>
      </c>
      <c r="I49" s="63">
        <v>0.84675180455302612</v>
      </c>
    </row>
    <row r="50" spans="1:9">
      <c r="A50" s="57" t="s">
        <v>298</v>
      </c>
      <c r="B50" s="58">
        <v>93540</v>
      </c>
      <c r="C50" s="59">
        <v>93540</v>
      </c>
      <c r="D50" s="59">
        <v>101130</v>
      </c>
      <c r="E50" s="59">
        <v>2811</v>
      </c>
      <c r="F50" s="77">
        <v>0.68100000000000005</v>
      </c>
      <c r="G50" s="61">
        <v>0</v>
      </c>
      <c r="H50" s="62">
        <v>0</v>
      </c>
      <c r="I50" s="63">
        <v>0.92494808662118067</v>
      </c>
    </row>
    <row r="51" spans="1:9">
      <c r="A51" s="57" t="s">
        <v>299</v>
      </c>
      <c r="B51" s="58">
        <v>96720</v>
      </c>
      <c r="C51" s="59">
        <v>96720</v>
      </c>
      <c r="D51" s="59">
        <v>104530</v>
      </c>
      <c r="E51" s="59">
        <v>2810</v>
      </c>
      <c r="F51" s="77">
        <v>0.70599999999999996</v>
      </c>
      <c r="G51" s="61">
        <v>0</v>
      </c>
      <c r="H51" s="62">
        <v>0</v>
      </c>
      <c r="I51" s="63">
        <v>0.92528460728977324</v>
      </c>
    </row>
    <row r="52" spans="1:9">
      <c r="A52" s="57" t="s">
        <v>300</v>
      </c>
      <c r="B52" s="58">
        <v>100480</v>
      </c>
      <c r="C52" s="59">
        <v>100480</v>
      </c>
      <c r="D52" s="59">
        <v>108570</v>
      </c>
      <c r="E52" s="59">
        <v>2913</v>
      </c>
      <c r="F52" s="77">
        <v>0.70599999999999996</v>
      </c>
      <c r="G52" s="61">
        <v>0</v>
      </c>
      <c r="H52" s="62">
        <v>0</v>
      </c>
      <c r="I52" s="63">
        <v>0.92548586165607438</v>
      </c>
    </row>
    <row r="53" spans="1:9">
      <c r="A53" s="57" t="s">
        <v>301</v>
      </c>
      <c r="B53" s="58">
        <v>94970</v>
      </c>
      <c r="C53" s="59">
        <v>94970</v>
      </c>
      <c r="D53" s="59">
        <v>103220</v>
      </c>
      <c r="E53" s="59">
        <v>2213</v>
      </c>
      <c r="F53" s="77">
        <v>0.82799999999999996</v>
      </c>
      <c r="G53" s="61">
        <v>0</v>
      </c>
      <c r="H53" s="62">
        <v>0</v>
      </c>
      <c r="I53" s="63">
        <v>0.92007362914163926</v>
      </c>
    </row>
    <row r="54" spans="1:9">
      <c r="A54" s="57" t="s">
        <v>38</v>
      </c>
      <c r="B54" s="58">
        <v>90060</v>
      </c>
      <c r="C54" s="59">
        <v>90060</v>
      </c>
      <c r="D54" s="59">
        <v>98560</v>
      </c>
      <c r="E54" s="59">
        <v>2118</v>
      </c>
      <c r="F54" s="77">
        <v>0.82799999999999996</v>
      </c>
      <c r="G54" s="61">
        <v>0</v>
      </c>
      <c r="H54" s="62">
        <v>0</v>
      </c>
      <c r="I54" s="63">
        <v>0.91375811688311692</v>
      </c>
    </row>
    <row r="55" spans="1:9">
      <c r="A55" s="57" t="s">
        <v>44</v>
      </c>
      <c r="B55" s="58">
        <v>95720</v>
      </c>
      <c r="C55" s="66">
        <v>95720</v>
      </c>
      <c r="D55" s="59">
        <v>103010</v>
      </c>
      <c r="E55" s="66">
        <v>2253</v>
      </c>
      <c r="F55" s="67">
        <v>0.85699999999999998</v>
      </c>
      <c r="G55" s="61">
        <v>0</v>
      </c>
      <c r="H55" s="62">
        <v>0</v>
      </c>
      <c r="I55" s="63">
        <v>0.92923017182797785</v>
      </c>
    </row>
    <row r="56" spans="1:9">
      <c r="A56" s="57" t="s">
        <v>36</v>
      </c>
      <c r="B56" s="58">
        <v>84250</v>
      </c>
      <c r="C56" s="82">
        <v>84250</v>
      </c>
      <c r="D56" s="66">
        <v>91420</v>
      </c>
      <c r="E56" s="82">
        <v>1920</v>
      </c>
      <c r="F56" s="83">
        <v>0.81799999999999995</v>
      </c>
      <c r="G56" s="61">
        <v>0</v>
      </c>
      <c r="H56" s="62">
        <v>0</v>
      </c>
      <c r="I56" s="63">
        <v>0.92157077225989936</v>
      </c>
    </row>
    <row r="57" spans="1:9">
      <c r="A57" s="57" t="s">
        <v>302</v>
      </c>
      <c r="B57" s="58">
        <v>83686.11202275462</v>
      </c>
      <c r="C57" s="61">
        <v>83686.11202275462</v>
      </c>
      <c r="D57" s="61">
        <v>90050</v>
      </c>
      <c r="E57" s="82">
        <v>2532</v>
      </c>
      <c r="F57" s="83"/>
      <c r="G57" s="61">
        <v>0</v>
      </c>
      <c r="H57" s="62">
        <v>0</v>
      </c>
      <c r="I57" s="63">
        <v>0.92932939503336609</v>
      </c>
    </row>
    <row r="58" spans="1:9">
      <c r="A58" s="52" t="s">
        <v>303</v>
      </c>
      <c r="B58" s="84">
        <v>105124.8</v>
      </c>
      <c r="C58" s="85">
        <v>105124.8</v>
      </c>
      <c r="D58" s="85">
        <v>112166.3</v>
      </c>
      <c r="E58" s="85">
        <v>2478.6999999999998</v>
      </c>
      <c r="F58" s="86">
        <v>0.83625099999999997</v>
      </c>
      <c r="G58" s="87">
        <v>0</v>
      </c>
      <c r="H58" s="88">
        <v>0</v>
      </c>
      <c r="I58" s="89">
        <v>0.93722267739953979</v>
      </c>
    </row>
    <row r="59" spans="1:9">
      <c r="A59" s="57" t="s">
        <v>305</v>
      </c>
      <c r="B59" s="58" t="s">
        <v>306</v>
      </c>
      <c r="C59" s="59" t="s">
        <v>306</v>
      </c>
      <c r="D59" s="59" t="s">
        <v>306</v>
      </c>
      <c r="E59" s="90" t="s">
        <v>307</v>
      </c>
      <c r="F59" s="60"/>
      <c r="G59" s="61"/>
      <c r="H59" s="62"/>
      <c r="I59" s="63" t="s">
        <v>252</v>
      </c>
    </row>
    <row r="60" spans="1:9">
      <c r="A60" s="57" t="s">
        <v>308</v>
      </c>
      <c r="B60" s="58">
        <v>983</v>
      </c>
      <c r="C60" s="91">
        <v>983</v>
      </c>
      <c r="D60" s="91">
        <v>1089</v>
      </c>
      <c r="E60" s="92">
        <v>22</v>
      </c>
      <c r="F60" s="77">
        <v>0.72399999999999998</v>
      </c>
      <c r="G60" s="61">
        <v>6</v>
      </c>
      <c r="H60" s="62">
        <v>6.0000000000000002E-6</v>
      </c>
      <c r="I60" s="63">
        <v>0.90266299357208446</v>
      </c>
    </row>
    <row r="61" spans="1:9">
      <c r="A61" s="57" t="s">
        <v>309</v>
      </c>
      <c r="B61" s="58">
        <v>962.18504920853229</v>
      </c>
      <c r="C61" s="91">
        <v>962.18504920853229</v>
      </c>
      <c r="D61" s="91">
        <v>1068.0254046214709</v>
      </c>
      <c r="E61" s="92">
        <v>20.303179298999996</v>
      </c>
      <c r="F61" s="77">
        <v>0.75</v>
      </c>
      <c r="G61" s="61">
        <v>0</v>
      </c>
      <c r="H61" s="62">
        <v>0</v>
      </c>
      <c r="I61" s="63">
        <v>0.9009009009009008</v>
      </c>
    </row>
    <row r="62" spans="1:9">
      <c r="A62" s="57" t="s">
        <v>310</v>
      </c>
      <c r="B62" s="58">
        <v>290</v>
      </c>
      <c r="C62" s="66">
        <v>290</v>
      </c>
      <c r="D62" s="66">
        <v>343</v>
      </c>
      <c r="E62" s="93">
        <v>2.5499999999999998</v>
      </c>
      <c r="F62" s="80">
        <v>0</v>
      </c>
      <c r="G62" s="61">
        <v>0</v>
      </c>
      <c r="H62" s="62">
        <v>0</v>
      </c>
      <c r="I62" s="63">
        <v>0.84548104956268222</v>
      </c>
    </row>
    <row r="63" spans="1:9">
      <c r="A63" s="57" t="s">
        <v>311</v>
      </c>
      <c r="B63" s="58"/>
      <c r="C63" s="64"/>
      <c r="D63" s="64"/>
      <c r="E63" s="94">
        <v>55.977829999999997</v>
      </c>
      <c r="F63" s="80">
        <v>0.27272727272727271</v>
      </c>
      <c r="G63" s="76">
        <v>0</v>
      </c>
      <c r="H63" s="62">
        <v>0</v>
      </c>
      <c r="I63" s="63"/>
    </row>
    <row r="64" spans="1:9">
      <c r="A64" s="52" t="s">
        <v>304</v>
      </c>
      <c r="B64" s="84">
        <v>1159.2737122826286</v>
      </c>
      <c r="C64" s="95">
        <v>1159.2737122826286</v>
      </c>
      <c r="D64" s="85">
        <v>1279.7381453012381</v>
      </c>
      <c r="E64" s="87">
        <v>25.019852271678111</v>
      </c>
      <c r="F64" s="86">
        <v>0.76981385823883608</v>
      </c>
      <c r="G64" s="87">
        <v>6</v>
      </c>
      <c r="H64" s="88">
        <v>6.0000000000000002E-6</v>
      </c>
      <c r="I64" s="89">
        <v>0.90586790472651468</v>
      </c>
    </row>
    <row r="65" spans="1:12">
      <c r="A65" s="57" t="s">
        <v>312</v>
      </c>
      <c r="B65" s="58" t="s">
        <v>313</v>
      </c>
      <c r="C65" s="66" t="s">
        <v>313</v>
      </c>
      <c r="D65" s="66" t="s">
        <v>313</v>
      </c>
      <c r="E65" s="66"/>
      <c r="F65" s="67"/>
      <c r="G65" s="66"/>
      <c r="H65" s="62"/>
      <c r="I65" s="63" t="s">
        <v>252</v>
      </c>
    </row>
    <row r="66" spans="1:12">
      <c r="A66" s="74" t="s">
        <v>314</v>
      </c>
      <c r="B66" s="58">
        <v>19474169.219601419</v>
      </c>
      <c r="C66" s="66">
        <v>19474169.219601419</v>
      </c>
      <c r="D66" s="59">
        <v>20673610.116392747</v>
      </c>
      <c r="E66" s="82"/>
      <c r="F66" s="60">
        <v>0.58571109877499994</v>
      </c>
      <c r="G66" s="76">
        <v>10455.988337376644</v>
      </c>
      <c r="H66" s="62">
        <v>1.0455988337376645E-2</v>
      </c>
      <c r="I66" s="96"/>
      <c r="K66" s="97"/>
    </row>
    <row r="67" spans="1:12">
      <c r="A67" s="74" t="s">
        <v>315</v>
      </c>
      <c r="B67" s="58">
        <v>22639319.979813498</v>
      </c>
      <c r="C67" s="66">
        <v>22639319.979813498</v>
      </c>
      <c r="D67" s="59">
        <v>23633492.9618803</v>
      </c>
      <c r="E67" s="82"/>
      <c r="F67" s="80">
        <v>0.61199999999999999</v>
      </c>
      <c r="G67" s="76">
        <v>15352.092718927001</v>
      </c>
      <c r="H67" s="62">
        <v>1.5352092718927001E-2</v>
      </c>
      <c r="I67" s="96">
        <v>0.95793372635732021</v>
      </c>
      <c r="K67" s="97"/>
    </row>
    <row r="68" spans="1:12">
      <c r="A68" s="74" t="s">
        <v>316</v>
      </c>
      <c r="B68" s="58">
        <v>16085444.010446707</v>
      </c>
      <c r="C68" s="66">
        <v>16085444.010446707</v>
      </c>
      <c r="D68" s="76">
        <v>17449319.671483699</v>
      </c>
      <c r="E68" s="82"/>
      <c r="F68" s="80">
        <v>0.53700000000000003</v>
      </c>
      <c r="G68" s="76">
        <v>3568.253687975</v>
      </c>
      <c r="H68" s="62">
        <v>3.5682536879749998E-3</v>
      </c>
      <c r="I68" s="96">
        <v>0.92183788899999997</v>
      </c>
      <c r="K68" s="97"/>
    </row>
    <row r="69" spans="1:12">
      <c r="A69" s="74" t="s">
        <v>317</v>
      </c>
      <c r="B69" s="58">
        <v>10805182.822031699</v>
      </c>
      <c r="C69" s="66">
        <v>10805182.822031699</v>
      </c>
      <c r="D69" s="76">
        <v>12992301.9717196</v>
      </c>
      <c r="E69" s="82"/>
      <c r="F69" s="65">
        <v>0.49099999999999999</v>
      </c>
      <c r="G69" s="76">
        <v>9064.2347162629994</v>
      </c>
      <c r="H69" s="62">
        <v>9.0642347162629994E-3</v>
      </c>
      <c r="I69" s="63">
        <v>0.83166038209020898</v>
      </c>
      <c r="K69" s="97"/>
    </row>
    <row r="70" spans="1:12">
      <c r="A70" s="74" t="s">
        <v>318</v>
      </c>
      <c r="B70" s="58">
        <v>22639319.979813498</v>
      </c>
      <c r="C70" s="66">
        <v>22639319.979813498</v>
      </c>
      <c r="D70" s="64">
        <v>23633492.9618803</v>
      </c>
      <c r="E70" s="82"/>
      <c r="F70" s="65">
        <v>0.80642049800000004</v>
      </c>
      <c r="G70" s="76">
        <v>16142.739251388</v>
      </c>
      <c r="H70" s="62">
        <v>1.6142739251388E-2</v>
      </c>
      <c r="I70" s="63">
        <v>0.95793372635732021</v>
      </c>
      <c r="K70" s="97"/>
    </row>
    <row r="71" spans="1:12">
      <c r="A71" s="57" t="s">
        <v>319</v>
      </c>
      <c r="B71" s="58">
        <v>9945646.340310514</v>
      </c>
      <c r="C71" s="66">
        <v>9945646.340310514</v>
      </c>
      <c r="D71" s="76">
        <v>11958783.362163</v>
      </c>
      <c r="E71" s="66"/>
      <c r="F71" s="80">
        <v>0.32642858499999999</v>
      </c>
      <c r="G71" s="98">
        <v>9064.2347162629994</v>
      </c>
      <c r="H71" s="62">
        <v>9.0642347162629994E-3</v>
      </c>
      <c r="I71" s="96">
        <v>0.83166038209020898</v>
      </c>
      <c r="K71" s="97"/>
      <c r="L71" s="97"/>
    </row>
    <row r="72" spans="1:12">
      <c r="A72" s="57" t="s">
        <v>320</v>
      </c>
      <c r="B72" s="58">
        <v>26949428.734871496</v>
      </c>
      <c r="C72" s="66">
        <v>26949428.734871496</v>
      </c>
      <c r="D72" s="76">
        <v>28595925.1717753</v>
      </c>
      <c r="E72" s="66"/>
      <c r="F72" s="80">
        <v>0.86670000000000003</v>
      </c>
      <c r="G72" s="66">
        <v>45137.714412408997</v>
      </c>
      <c r="H72" s="62">
        <v>4.5137714412408998E-2</v>
      </c>
      <c r="I72" s="63">
        <v>0.94242199100000001</v>
      </c>
      <c r="K72" s="97"/>
    </row>
    <row r="73" spans="1:12">
      <c r="A73" s="57" t="s">
        <v>321</v>
      </c>
      <c r="B73" s="58">
        <v>26664354.295994278</v>
      </c>
      <c r="C73" s="66">
        <v>26664354.295994278</v>
      </c>
      <c r="D73" s="59">
        <v>28293433.886979699</v>
      </c>
      <c r="E73" s="82"/>
      <c r="F73" s="80">
        <v>0.48798697000000002</v>
      </c>
      <c r="G73" s="61">
        <v>45137.714412408997</v>
      </c>
      <c r="H73" s="62">
        <v>4.5137714412408998E-2</v>
      </c>
      <c r="I73" s="63">
        <v>0.94242199100000001</v>
      </c>
    </row>
    <row r="74" spans="1:12" ht="12.65" customHeight="1">
      <c r="A74" s="57" t="s">
        <v>322</v>
      </c>
      <c r="B74" s="58">
        <v>24599421.97472629</v>
      </c>
      <c r="C74" s="76">
        <v>24599421.97472629</v>
      </c>
      <c r="D74" s="76">
        <v>25679670</v>
      </c>
      <c r="E74" s="82"/>
      <c r="F74" s="80">
        <v>0.747</v>
      </c>
      <c r="G74" s="61">
        <v>11800</v>
      </c>
      <c r="H74" s="62">
        <v>1.18E-2</v>
      </c>
      <c r="I74" s="63">
        <v>0.95793372635732044</v>
      </c>
      <c r="K74" s="99"/>
    </row>
    <row r="75" spans="1:12">
      <c r="A75" s="57" t="s">
        <v>459</v>
      </c>
      <c r="B75" s="58">
        <v>28385750.368920002</v>
      </c>
      <c r="C75" s="76">
        <v>28385750.368920002</v>
      </c>
      <c r="D75" s="76">
        <v>30120000</v>
      </c>
      <c r="E75" s="66"/>
      <c r="F75" s="80">
        <v>0.8641323406231759</v>
      </c>
      <c r="G75" s="76">
        <v>45137.714412408997</v>
      </c>
      <c r="H75" s="62">
        <v>4.5137714412408998E-2</v>
      </c>
      <c r="I75" s="63">
        <v>0.94242199100000001</v>
      </c>
      <c r="K75" s="99"/>
    </row>
    <row r="76" spans="1:12">
      <c r="A76" s="57" t="s">
        <v>323</v>
      </c>
      <c r="B76" s="58">
        <v>15396000</v>
      </c>
      <c r="C76" s="76">
        <v>15396000</v>
      </c>
      <c r="D76" s="59">
        <v>16524000</v>
      </c>
      <c r="E76" s="82"/>
      <c r="F76" s="60">
        <v>0.48699999999999999</v>
      </c>
      <c r="G76" s="61">
        <v>500</v>
      </c>
      <c r="H76" s="62">
        <v>5.0000000000000001E-4</v>
      </c>
      <c r="I76" s="63">
        <v>0.93173565722585328</v>
      </c>
    </row>
    <row r="77" spans="1:12">
      <c r="A77" s="57" t="s">
        <v>324</v>
      </c>
      <c r="B77" s="58">
        <v>15929000</v>
      </c>
      <c r="C77" s="98">
        <v>15929000</v>
      </c>
      <c r="D77" s="59">
        <v>17062000</v>
      </c>
      <c r="E77" s="82"/>
      <c r="F77" s="60">
        <v>0.501</v>
      </c>
      <c r="G77" s="61">
        <v>200</v>
      </c>
      <c r="H77" s="62">
        <v>2.0000000000000001E-4</v>
      </c>
      <c r="I77" s="63">
        <v>0.93359512366662756</v>
      </c>
      <c r="K77" s="100"/>
    </row>
    <row r="78" spans="1:12">
      <c r="A78" s="57" t="s">
        <v>325</v>
      </c>
      <c r="B78" s="58">
        <v>14447000</v>
      </c>
      <c r="C78" s="61">
        <v>14447000</v>
      </c>
      <c r="D78" s="61">
        <v>15583000</v>
      </c>
      <c r="E78" s="66"/>
      <c r="F78" s="77">
        <v>0.46600000000000003</v>
      </c>
      <c r="G78" s="61">
        <v>1100</v>
      </c>
      <c r="H78" s="62">
        <v>1.1000000000000001E-3</v>
      </c>
      <c r="I78" s="63">
        <v>0.92710004492074694</v>
      </c>
      <c r="K78" s="99"/>
    </row>
    <row r="79" spans="1:12">
      <c r="A79" s="57" t="s">
        <v>326</v>
      </c>
      <c r="B79" s="58">
        <v>15342000</v>
      </c>
      <c r="C79" s="61">
        <v>15342000</v>
      </c>
      <c r="D79" s="61">
        <v>16377000</v>
      </c>
      <c r="E79" s="66"/>
      <c r="F79" s="77">
        <v>0.47599999999999998</v>
      </c>
      <c r="G79" s="61">
        <v>800</v>
      </c>
      <c r="H79" s="62">
        <v>8.0000000000000004E-4</v>
      </c>
      <c r="I79" s="63">
        <v>0.93680161201685286</v>
      </c>
    </row>
    <row r="80" spans="1:12">
      <c r="A80" s="57" t="s">
        <v>327</v>
      </c>
      <c r="B80" s="58">
        <v>14716000</v>
      </c>
      <c r="C80" s="61">
        <v>14716000</v>
      </c>
      <c r="D80" s="66">
        <v>15774000</v>
      </c>
      <c r="E80" s="66"/>
      <c r="F80" s="77">
        <v>0.46700000000000003</v>
      </c>
      <c r="G80" s="61">
        <v>1000</v>
      </c>
      <c r="H80" s="62">
        <v>1E-3</v>
      </c>
      <c r="I80" s="63">
        <v>0.93292760238366934</v>
      </c>
    </row>
    <row r="81" spans="1:14">
      <c r="A81" s="57" t="s">
        <v>328</v>
      </c>
      <c r="B81" s="58">
        <v>17289000</v>
      </c>
      <c r="C81" s="76">
        <v>17289000</v>
      </c>
      <c r="D81" s="66">
        <v>17906000</v>
      </c>
      <c r="E81" s="66"/>
      <c r="F81" s="77">
        <v>0.503</v>
      </c>
      <c r="G81" s="66">
        <v>400</v>
      </c>
      <c r="H81" s="62">
        <v>4.0000000000000002E-4</v>
      </c>
      <c r="I81" s="63">
        <v>0.96554227633195577</v>
      </c>
    </row>
    <row r="82" spans="1:14">
      <c r="A82" s="57" t="s">
        <v>460</v>
      </c>
      <c r="B82" s="58">
        <v>15929000</v>
      </c>
      <c r="C82" s="61">
        <v>15929000</v>
      </c>
      <c r="D82" s="76">
        <v>17062000</v>
      </c>
      <c r="E82" s="66"/>
      <c r="F82" s="77">
        <v>0.501</v>
      </c>
      <c r="G82" s="66">
        <v>200</v>
      </c>
      <c r="H82" s="62">
        <v>2.0000000000000001E-4</v>
      </c>
      <c r="I82" s="63">
        <v>0.93359512366662756</v>
      </c>
    </row>
    <row r="83" spans="1:14">
      <c r="A83" s="74" t="s">
        <v>329</v>
      </c>
      <c r="B83" s="58">
        <v>14999999.999999998</v>
      </c>
      <c r="C83" s="61">
        <v>14999999.999999998</v>
      </c>
      <c r="D83" s="61"/>
      <c r="E83" s="66"/>
      <c r="F83" s="101">
        <v>0.47799999999999998</v>
      </c>
      <c r="G83" s="61">
        <v>400</v>
      </c>
      <c r="H83" s="102">
        <v>4.0000000000000002E-4</v>
      </c>
      <c r="I83" s="103"/>
    </row>
    <row r="84" spans="1:14">
      <c r="A84" s="104" t="s">
        <v>330</v>
      </c>
      <c r="B84" s="66">
        <v>13454048.892850777</v>
      </c>
      <c r="C84" s="76">
        <v>13454048.892850777</v>
      </c>
      <c r="D84" s="76">
        <v>15774000</v>
      </c>
      <c r="E84" s="66"/>
      <c r="F84" s="105">
        <v>0.5</v>
      </c>
      <c r="G84" s="61"/>
      <c r="H84" s="102"/>
      <c r="I84" s="103">
        <v>0.85292563033160751</v>
      </c>
    </row>
    <row r="85" spans="1:14">
      <c r="A85" s="104" t="s">
        <v>331</v>
      </c>
      <c r="B85" s="66">
        <v>12381771.311916806</v>
      </c>
      <c r="C85" s="76">
        <v>12381771.311916806</v>
      </c>
      <c r="D85" s="76">
        <v>14062678</v>
      </c>
      <c r="E85" s="66"/>
      <c r="F85" s="105">
        <v>0.46300000000000002</v>
      </c>
      <c r="G85" s="61"/>
      <c r="H85" s="102"/>
      <c r="I85" s="103">
        <v>0.88047037071579148</v>
      </c>
    </row>
    <row r="86" spans="1:14">
      <c r="A86" s="104" t="s">
        <v>332</v>
      </c>
      <c r="B86" s="66">
        <v>18916910.5715716</v>
      </c>
      <c r="C86" s="66">
        <v>18916910.5715716</v>
      </c>
      <c r="D86" s="66">
        <v>18916910.5715716</v>
      </c>
      <c r="E86" s="66"/>
      <c r="F86" s="106">
        <v>0.51200000000000001</v>
      </c>
      <c r="G86" s="76">
        <v>0</v>
      </c>
      <c r="H86" s="102">
        <v>0</v>
      </c>
      <c r="I86" s="103">
        <v>1</v>
      </c>
    </row>
    <row r="87" spans="1:14">
      <c r="A87" s="107" t="s">
        <v>333</v>
      </c>
      <c r="B87" s="66">
        <v>12781599.343864119</v>
      </c>
      <c r="C87" s="76">
        <v>12781599.343864119</v>
      </c>
      <c r="D87" s="76">
        <v>14131556.354955051</v>
      </c>
      <c r="E87" s="66"/>
      <c r="F87" s="105">
        <v>0.39339999999999997</v>
      </c>
      <c r="G87" s="61">
        <v>0</v>
      </c>
      <c r="H87" s="102">
        <v>0</v>
      </c>
      <c r="I87" s="103">
        <v>0.90447216306662592</v>
      </c>
    </row>
    <row r="88" spans="1:14">
      <c r="A88" s="108" t="s">
        <v>334</v>
      </c>
      <c r="B88" s="109">
        <v>14409931.248165678</v>
      </c>
      <c r="C88" s="110">
        <v>14409931.248165678</v>
      </c>
      <c r="D88" s="110">
        <v>15305245.093897162</v>
      </c>
      <c r="E88" s="109"/>
      <c r="F88" s="111">
        <v>0.41985</v>
      </c>
      <c r="G88" s="110">
        <v>0</v>
      </c>
      <c r="H88" s="112">
        <v>0</v>
      </c>
      <c r="I88" s="113">
        <v>0.94150280898876404</v>
      </c>
    </row>
    <row r="89" spans="1:14">
      <c r="A89" t="s">
        <v>335</v>
      </c>
      <c r="B89" s="66">
        <v>14409931.248165678</v>
      </c>
      <c r="C89" s="114">
        <v>14409931.248165678</v>
      </c>
      <c r="D89" s="114">
        <v>15305245.093897162</v>
      </c>
      <c r="E89" s="115"/>
      <c r="F89" s="116">
        <v>0.41985</v>
      </c>
      <c r="G89" s="69">
        <v>0</v>
      </c>
      <c r="H89" s="102">
        <v>0</v>
      </c>
      <c r="I89" s="117">
        <v>0.94150280898876404</v>
      </c>
    </row>
    <row r="90" spans="1:14">
      <c r="A90" s="36" t="s">
        <v>336</v>
      </c>
      <c r="B90" s="118">
        <v>11209638.734587256</v>
      </c>
      <c r="C90" s="118">
        <v>11209638.734587256</v>
      </c>
      <c r="D90" s="118">
        <v>13583444.58426456</v>
      </c>
      <c r="E90" s="118"/>
      <c r="F90" s="118">
        <v>0.49161518093556933</v>
      </c>
      <c r="G90">
        <v>1765.2250661959399</v>
      </c>
      <c r="H90">
        <v>1.7652250661959398E-3</v>
      </c>
      <c r="I90">
        <v>0.8252427184466018</v>
      </c>
    </row>
    <row r="91" spans="1:14">
      <c r="A91" t="s">
        <v>337</v>
      </c>
      <c r="B91" s="118">
        <v>14155275.214870876</v>
      </c>
      <c r="C91" s="118">
        <v>14155275.214870876</v>
      </c>
      <c r="D91" s="118">
        <v>16144032.889687445</v>
      </c>
      <c r="E91" s="118"/>
      <c r="F91" s="118">
        <v>0.50491510277033058</v>
      </c>
      <c r="G91">
        <v>1787.3100983020554</v>
      </c>
      <c r="H91">
        <v>1.7873100983020554E-3</v>
      </c>
      <c r="I91">
        <v>0.87681159420289856</v>
      </c>
    </row>
    <row r="92" spans="1:14">
      <c r="A92" s="119" t="s">
        <v>461</v>
      </c>
      <c r="B92" s="120">
        <v>152370.90134048002</v>
      </c>
      <c r="C92" s="121">
        <v>152370.90134048002</v>
      </c>
      <c r="D92" s="121">
        <v>162963.53084543315</v>
      </c>
      <c r="E92" s="121">
        <v>3839.6821254480283</v>
      </c>
      <c r="F92" s="121">
        <v>0.83</v>
      </c>
      <c r="G92" s="122">
        <v>48000</v>
      </c>
      <c r="H92" s="122">
        <v>4.8000000000000001E-2</v>
      </c>
      <c r="I92" s="122">
        <v>0.93500000000000016</v>
      </c>
      <c r="J92" s="122"/>
      <c r="K92" s="122"/>
      <c r="L92" s="122"/>
      <c r="M92" s="122"/>
      <c r="N92" s="123"/>
    </row>
    <row r="93" spans="1:14">
      <c r="A93" s="124" t="s">
        <v>76</v>
      </c>
      <c r="B93" s="125">
        <v>144230</v>
      </c>
      <c r="C93" s="126"/>
      <c r="D93" s="126"/>
      <c r="E93" s="126">
        <v>3785.4109999999991</v>
      </c>
      <c r="F93" s="126">
        <v>0.80800504236780391</v>
      </c>
      <c r="G93" s="126">
        <v>3510</v>
      </c>
      <c r="H93" s="126"/>
      <c r="I93" s="126"/>
      <c r="J93" s="126"/>
      <c r="K93" s="126"/>
      <c r="L93" s="126"/>
      <c r="M93" s="126"/>
      <c r="N93" s="127"/>
    </row>
    <row r="94" spans="1:14">
      <c r="A94" s="128"/>
      <c r="B94" s="129"/>
      <c r="N94" s="130"/>
    </row>
    <row r="95" spans="1:14">
      <c r="A95" s="128" t="s">
        <v>338</v>
      </c>
      <c r="B95" s="129"/>
      <c r="N95" s="130"/>
    </row>
    <row r="96" spans="1:14">
      <c r="A96" s="124" t="s">
        <v>339</v>
      </c>
      <c r="B96" s="131"/>
      <c r="C96" s="132"/>
      <c r="D96" s="132"/>
      <c r="E96" s="132"/>
      <c r="F96" s="132"/>
      <c r="G96" s="132"/>
      <c r="H96" s="132"/>
      <c r="I96" s="132"/>
      <c r="J96" s="132"/>
      <c r="K96" s="132"/>
      <c r="L96" s="132"/>
      <c r="M96" s="132"/>
      <c r="N96" s="133"/>
    </row>
    <row r="97" spans="1:14">
      <c r="A97" s="18" t="s">
        <v>340</v>
      </c>
      <c r="B97" s="69" t="s">
        <v>341</v>
      </c>
      <c r="C97" t="s">
        <v>341</v>
      </c>
      <c r="D97" t="s">
        <v>341</v>
      </c>
      <c r="E97" t="s">
        <v>342</v>
      </c>
      <c r="F97" t="s">
        <v>342</v>
      </c>
      <c r="G97" t="s">
        <v>343</v>
      </c>
      <c r="H97" t="s">
        <v>343</v>
      </c>
      <c r="I97" t="s">
        <v>344</v>
      </c>
      <c r="J97" t="s">
        <v>344</v>
      </c>
      <c r="K97" t="s">
        <v>345</v>
      </c>
      <c r="L97" t="s">
        <v>345</v>
      </c>
      <c r="M97" t="s">
        <v>346</v>
      </c>
      <c r="N97" t="s">
        <v>346</v>
      </c>
    </row>
    <row r="98" spans="1:14">
      <c r="A98" s="3" t="s">
        <v>347</v>
      </c>
      <c r="B98" s="69">
        <v>100</v>
      </c>
      <c r="C98">
        <v>100</v>
      </c>
      <c r="D98">
        <v>20</v>
      </c>
      <c r="E98">
        <v>100</v>
      </c>
      <c r="F98">
        <v>20</v>
      </c>
      <c r="G98">
        <v>100</v>
      </c>
      <c r="H98">
        <v>20</v>
      </c>
      <c r="I98">
        <v>100</v>
      </c>
      <c r="J98">
        <v>20</v>
      </c>
      <c r="K98">
        <v>100</v>
      </c>
      <c r="L98">
        <v>20</v>
      </c>
      <c r="M98">
        <v>100</v>
      </c>
      <c r="N98">
        <v>20</v>
      </c>
    </row>
    <row r="99" spans="1:14">
      <c r="A99" s="134" t="s">
        <v>348</v>
      </c>
      <c r="B99" s="135">
        <v>1</v>
      </c>
      <c r="C99" s="136">
        <v>1</v>
      </c>
      <c r="D99" s="136">
        <v>1</v>
      </c>
      <c r="E99" s="136">
        <v>1</v>
      </c>
      <c r="F99" s="136">
        <v>1</v>
      </c>
      <c r="G99" s="137">
        <v>1</v>
      </c>
      <c r="H99">
        <v>1</v>
      </c>
      <c r="I99">
        <v>1</v>
      </c>
      <c r="J99">
        <v>1</v>
      </c>
      <c r="K99">
        <v>1</v>
      </c>
      <c r="L99">
        <v>1</v>
      </c>
      <c r="M99">
        <v>1</v>
      </c>
      <c r="N99">
        <v>1</v>
      </c>
    </row>
    <row r="100" spans="1:14">
      <c r="A100" s="124" t="s">
        <v>349</v>
      </c>
      <c r="B100" s="125">
        <v>30</v>
      </c>
      <c r="C100" s="138">
        <v>30</v>
      </c>
      <c r="D100" s="138">
        <v>85</v>
      </c>
      <c r="E100" s="138">
        <v>6</v>
      </c>
      <c r="F100" s="138">
        <v>68</v>
      </c>
      <c r="G100" s="139">
        <v>25</v>
      </c>
      <c r="H100">
        <v>72</v>
      </c>
      <c r="I100">
        <v>23</v>
      </c>
      <c r="J100">
        <v>62</v>
      </c>
      <c r="K100">
        <v>21</v>
      </c>
      <c r="L100">
        <v>56</v>
      </c>
      <c r="M100">
        <v>21</v>
      </c>
      <c r="N100">
        <v>63</v>
      </c>
    </row>
    <row r="101" spans="1:14">
      <c r="A101" s="128" t="s">
        <v>350</v>
      </c>
      <c r="B101" s="129">
        <v>265</v>
      </c>
      <c r="C101">
        <v>265</v>
      </c>
      <c r="D101">
        <v>264</v>
      </c>
      <c r="E101" s="69">
        <v>234</v>
      </c>
      <c r="F101">
        <v>277</v>
      </c>
      <c r="G101" s="130">
        <v>298</v>
      </c>
      <c r="H101">
        <v>289</v>
      </c>
      <c r="I101">
        <v>296</v>
      </c>
      <c r="J101">
        <v>275</v>
      </c>
      <c r="K101">
        <v>310</v>
      </c>
      <c r="L101">
        <v>280</v>
      </c>
      <c r="M101">
        <v>290</v>
      </c>
      <c r="N101">
        <v>270</v>
      </c>
    </row>
    <row r="102" spans="1:14">
      <c r="A102" s="128"/>
      <c r="B102" s="129"/>
      <c r="G102" s="130"/>
    </row>
    <row r="103" spans="1:14">
      <c r="A103" s="128" t="s">
        <v>351</v>
      </c>
      <c r="B103" s="129"/>
      <c r="G103" s="130"/>
    </row>
    <row r="104" spans="1:14">
      <c r="A104" s="128" t="s">
        <v>352</v>
      </c>
      <c r="B104" s="129" t="s">
        <v>353</v>
      </c>
      <c r="C104" t="s">
        <v>353</v>
      </c>
      <c r="D104" s="140" t="s">
        <v>354</v>
      </c>
      <c r="E104" s="140" t="s">
        <v>354</v>
      </c>
      <c r="F104" s="140" t="s">
        <v>355</v>
      </c>
      <c r="G104" s="141" t="s">
        <v>355</v>
      </c>
    </row>
    <row r="105" spans="1:14">
      <c r="A105" s="124" t="s">
        <v>347</v>
      </c>
      <c r="B105" s="131">
        <v>100</v>
      </c>
      <c r="C105" s="132"/>
      <c r="D105" s="132">
        <v>100</v>
      </c>
      <c r="E105" s="132">
        <v>20</v>
      </c>
      <c r="F105" s="132">
        <v>100</v>
      </c>
      <c r="G105" s="133">
        <v>20</v>
      </c>
    </row>
    <row r="106" spans="1:14">
      <c r="A106" t="s">
        <v>356</v>
      </c>
      <c r="B106">
        <v>0</v>
      </c>
      <c r="C106">
        <v>0</v>
      </c>
      <c r="D106">
        <v>4.5</v>
      </c>
      <c r="E106">
        <v>14</v>
      </c>
      <c r="F106">
        <v>0.66</v>
      </c>
      <c r="G106">
        <v>7.5</v>
      </c>
    </row>
    <row r="107" spans="1:14">
      <c r="A107" s="36" t="s">
        <v>357</v>
      </c>
      <c r="B107">
        <v>0</v>
      </c>
      <c r="C107">
        <v>0</v>
      </c>
      <c r="D107">
        <v>2.65</v>
      </c>
      <c r="E107">
        <v>7.65</v>
      </c>
      <c r="F107">
        <v>0.42</v>
      </c>
      <c r="G107">
        <v>4.9000000000000004</v>
      </c>
    </row>
    <row r="108" spans="1:14">
      <c r="A108" s="119" t="s">
        <v>358</v>
      </c>
      <c r="B108" s="142">
        <v>0</v>
      </c>
      <c r="C108">
        <v>0</v>
      </c>
      <c r="D108">
        <v>-11</v>
      </c>
      <c r="E108">
        <v>19</v>
      </c>
      <c r="F108">
        <v>-2.9</v>
      </c>
      <c r="G108">
        <v>-87</v>
      </c>
    </row>
    <row r="109" spans="1:14">
      <c r="A109" s="128" t="s">
        <v>359</v>
      </c>
      <c r="B109" s="143">
        <v>0</v>
      </c>
      <c r="C109">
        <v>0</v>
      </c>
      <c r="D109">
        <v>900</v>
      </c>
      <c r="E109">
        <v>3200</v>
      </c>
      <c r="F109">
        <v>130</v>
      </c>
      <c r="G109">
        <v>920</v>
      </c>
    </row>
    <row r="110" spans="1:14">
      <c r="A110" s="128" t="s">
        <v>360</v>
      </c>
      <c r="B110" s="143">
        <v>0</v>
      </c>
      <c r="C110">
        <v>0</v>
      </c>
      <c r="D110">
        <v>-69</v>
      </c>
      <c r="E110">
        <v>-240</v>
      </c>
      <c r="F110">
        <v>-10</v>
      </c>
      <c r="G110">
        <v>-71</v>
      </c>
    </row>
    <row r="111" spans="1:14">
      <c r="A111" s="128"/>
      <c r="B111" s="143"/>
    </row>
    <row r="112" spans="1:14">
      <c r="A112" s="124" t="s">
        <v>361</v>
      </c>
      <c r="B112" s="144"/>
    </row>
    <row r="113" spans="1:24">
      <c r="A113" t="s">
        <v>362</v>
      </c>
      <c r="B113">
        <v>0.85</v>
      </c>
    </row>
    <row r="114" spans="1:24">
      <c r="A114" s="36" t="s">
        <v>363</v>
      </c>
      <c r="B114">
        <v>0.42857142857142855</v>
      </c>
    </row>
    <row r="115" spans="1:24">
      <c r="A115" t="s">
        <v>364</v>
      </c>
      <c r="B115">
        <v>0.75</v>
      </c>
    </row>
    <row r="116" spans="1:24">
      <c r="A116" t="s">
        <v>365</v>
      </c>
      <c r="B116" s="145">
        <v>0.27272727272727271</v>
      </c>
      <c r="F116" s="146"/>
      <c r="J116" s="146"/>
      <c r="N116" s="146"/>
      <c r="R116" s="147"/>
      <c r="V116" s="147"/>
    </row>
    <row r="117" spans="1:24">
      <c r="A117" t="s">
        <v>366</v>
      </c>
      <c r="B117" s="148">
        <v>0.5</v>
      </c>
      <c r="F117" s="149"/>
      <c r="J117" s="149"/>
      <c r="N117" s="149"/>
      <c r="R117" s="150"/>
      <c r="V117" s="150"/>
    </row>
    <row r="118" spans="1:24">
      <c r="B118" s="151"/>
      <c r="C118" s="152"/>
      <c r="D118" s="153"/>
      <c r="F118" s="151"/>
      <c r="G118" s="152"/>
      <c r="H118" s="153"/>
      <c r="J118" s="151"/>
      <c r="K118" s="154"/>
      <c r="L118" s="153"/>
      <c r="N118" s="151"/>
      <c r="O118" s="154"/>
      <c r="P118" s="153"/>
      <c r="R118" s="151"/>
      <c r="S118" s="154"/>
      <c r="T118" s="153"/>
      <c r="V118" s="151"/>
      <c r="W118" s="154"/>
      <c r="X118" s="153"/>
    </row>
    <row r="119" spans="1:24">
      <c r="A119" t="s">
        <v>367</v>
      </c>
      <c r="B119" s="155"/>
      <c r="C119" s="156"/>
      <c r="D119" s="157"/>
      <c r="F119" s="155"/>
      <c r="G119" s="156"/>
      <c r="H119" s="157"/>
      <c r="J119" s="155"/>
      <c r="K119" s="156"/>
      <c r="L119" s="157"/>
      <c r="N119" s="155"/>
      <c r="O119" s="156"/>
      <c r="P119" s="157"/>
      <c r="R119" s="155"/>
      <c r="S119" s="156"/>
      <c r="T119" s="157"/>
      <c r="V119" s="155"/>
      <c r="W119" s="156"/>
      <c r="X119" s="157"/>
    </row>
    <row r="120" spans="1:24">
      <c r="B120" s="158"/>
      <c r="C120" s="150"/>
      <c r="D120" s="159"/>
      <c r="F120" s="158"/>
      <c r="G120" s="150"/>
      <c r="H120" s="159"/>
      <c r="J120" s="158"/>
      <c r="K120" s="150"/>
      <c r="L120" s="159"/>
      <c r="N120" s="158"/>
      <c r="O120" s="150"/>
      <c r="P120" s="159"/>
      <c r="R120" s="158"/>
      <c r="S120" s="150"/>
      <c r="T120" s="159"/>
      <c r="V120" s="158"/>
      <c r="W120" s="150"/>
      <c r="X120" s="159"/>
    </row>
    <row r="121" spans="1:24">
      <c r="B121" s="158">
        <v>10</v>
      </c>
      <c r="C121" s="150"/>
      <c r="D121" s="159"/>
      <c r="F121" s="158">
        <v>200</v>
      </c>
      <c r="G121" s="150"/>
      <c r="H121" s="159"/>
      <c r="J121" s="158">
        <v>11</v>
      </c>
      <c r="K121" s="150"/>
      <c r="L121" s="159"/>
      <c r="N121" s="158">
        <v>11</v>
      </c>
      <c r="O121" s="150"/>
      <c r="P121" s="159"/>
      <c r="R121" s="158">
        <v>27000</v>
      </c>
      <c r="S121" s="150"/>
      <c r="T121" s="159"/>
      <c r="V121" s="158">
        <v>1000</v>
      </c>
      <c r="W121" s="150"/>
      <c r="X121" s="159"/>
    </row>
    <row r="122" spans="1:24">
      <c r="B122" s="158">
        <v>10</v>
      </c>
      <c r="C122" s="150"/>
      <c r="D122" s="159"/>
      <c r="F122" s="158">
        <v>200</v>
      </c>
      <c r="G122" s="150"/>
      <c r="H122" s="159"/>
      <c r="J122" s="158">
        <v>11</v>
      </c>
      <c r="K122" s="150"/>
      <c r="L122" s="159"/>
      <c r="N122" s="158">
        <v>11</v>
      </c>
      <c r="O122" s="150"/>
      <c r="P122" s="159"/>
      <c r="R122" s="158">
        <v>27000</v>
      </c>
      <c r="S122" s="150"/>
      <c r="T122" s="159"/>
      <c r="V122" s="158">
        <v>1000</v>
      </c>
      <c r="W122" s="150"/>
      <c r="X122" s="159"/>
    </row>
    <row r="123" spans="1:24">
      <c r="B123" s="158" t="s">
        <v>368</v>
      </c>
      <c r="C123" s="150" t="s">
        <v>369</v>
      </c>
      <c r="D123" s="159" t="s">
        <v>370</v>
      </c>
      <c r="F123" s="160" t="s">
        <v>368</v>
      </c>
      <c r="G123" s="161" t="s">
        <v>371</v>
      </c>
      <c r="H123" s="162" t="s">
        <v>370</v>
      </c>
      <c r="J123" s="160" t="s">
        <v>368</v>
      </c>
      <c r="K123" s="161" t="s">
        <v>372</v>
      </c>
      <c r="L123" s="162" t="s">
        <v>370</v>
      </c>
      <c r="N123" s="160" t="s">
        <v>368</v>
      </c>
      <c r="O123" s="161" t="s">
        <v>373</v>
      </c>
      <c r="P123" s="162" t="s">
        <v>370</v>
      </c>
      <c r="R123" s="160" t="s">
        <v>368</v>
      </c>
      <c r="S123" s="161" t="s">
        <v>374</v>
      </c>
      <c r="T123" s="162" t="s">
        <v>370</v>
      </c>
      <c r="V123" s="160" t="s">
        <v>368</v>
      </c>
      <c r="W123" s="161" t="s">
        <v>375</v>
      </c>
      <c r="X123" s="162" t="s">
        <v>370</v>
      </c>
    </row>
    <row r="124" spans="1:24">
      <c r="B124" s="158">
        <v>1990</v>
      </c>
      <c r="C124" s="150">
        <v>500</v>
      </c>
      <c r="D124" s="159">
        <v>19.607843137254903</v>
      </c>
      <c r="F124" s="158">
        <v>1990</v>
      </c>
      <c r="G124" s="150">
        <v>600</v>
      </c>
      <c r="H124" s="159">
        <v>3</v>
      </c>
      <c r="J124" s="158">
        <v>1990</v>
      </c>
      <c r="K124" s="150">
        <v>350</v>
      </c>
      <c r="L124" s="159">
        <v>31.818181818181817</v>
      </c>
      <c r="N124" s="158">
        <v>1990</v>
      </c>
      <c r="O124" s="150">
        <v>2283</v>
      </c>
      <c r="P124" s="159">
        <v>14.006134969325153</v>
      </c>
      <c r="R124" s="158">
        <v>1990</v>
      </c>
      <c r="S124" s="150">
        <v>27000</v>
      </c>
      <c r="T124" s="159">
        <v>1</v>
      </c>
      <c r="V124" s="158">
        <v>1990</v>
      </c>
      <c r="W124" s="150">
        <v>2000</v>
      </c>
      <c r="X124" s="159">
        <v>1</v>
      </c>
    </row>
    <row r="125" spans="1:24">
      <c r="B125" s="158">
        <v>1995</v>
      </c>
      <c r="C125" s="150">
        <v>340</v>
      </c>
      <c r="D125" s="159">
        <v>13.333333333333334</v>
      </c>
      <c r="F125" s="163">
        <v>1995</v>
      </c>
      <c r="G125" s="164">
        <v>350</v>
      </c>
      <c r="H125" s="165">
        <v>1.75</v>
      </c>
      <c r="J125" s="163">
        <v>1995</v>
      </c>
      <c r="K125" s="164">
        <v>200</v>
      </c>
      <c r="L125" s="165">
        <v>18.181818181818183</v>
      </c>
      <c r="N125" s="163">
        <v>1995</v>
      </c>
      <c r="O125" s="164">
        <v>2283</v>
      </c>
      <c r="P125" s="165">
        <v>14.006134969325153</v>
      </c>
      <c r="R125" s="163">
        <v>1995</v>
      </c>
      <c r="S125" s="164">
        <v>27000</v>
      </c>
      <c r="T125" s="165">
        <v>1</v>
      </c>
      <c r="V125" s="163">
        <v>1995</v>
      </c>
      <c r="W125" s="164">
        <v>2000</v>
      </c>
      <c r="X125" s="165">
        <v>1</v>
      </c>
    </row>
    <row r="126" spans="1:24">
      <c r="B126" s="163">
        <v>2000</v>
      </c>
      <c r="C126" s="164">
        <v>200</v>
      </c>
      <c r="D126" s="165">
        <v>7.8431372549019605</v>
      </c>
      <c r="F126">
        <v>2000</v>
      </c>
      <c r="G126">
        <v>200</v>
      </c>
      <c r="H126">
        <v>1</v>
      </c>
      <c r="J126">
        <v>2000</v>
      </c>
      <c r="K126">
        <v>120</v>
      </c>
      <c r="L126">
        <v>10.909090909090908</v>
      </c>
      <c r="N126">
        <v>2000</v>
      </c>
      <c r="O126">
        <v>2283</v>
      </c>
      <c r="P126">
        <v>14.006134969325153</v>
      </c>
      <c r="R126">
        <v>2000</v>
      </c>
      <c r="S126">
        <v>27000</v>
      </c>
      <c r="T126">
        <v>1</v>
      </c>
      <c r="V126">
        <v>2000</v>
      </c>
      <c r="W126">
        <v>2000</v>
      </c>
      <c r="X126">
        <v>1</v>
      </c>
    </row>
    <row r="127" spans="1:24">
      <c r="B127">
        <v>2005</v>
      </c>
      <c r="C127">
        <v>25.5</v>
      </c>
      <c r="D127">
        <v>1</v>
      </c>
      <c r="F127">
        <v>2005</v>
      </c>
      <c r="G127">
        <v>200</v>
      </c>
      <c r="H127">
        <v>1</v>
      </c>
      <c r="J127">
        <v>2005</v>
      </c>
      <c r="K127">
        <v>120</v>
      </c>
      <c r="L127">
        <v>10.909090909090908</v>
      </c>
      <c r="N127">
        <v>2005</v>
      </c>
      <c r="O127">
        <v>2283</v>
      </c>
      <c r="P127">
        <v>14.006134969325153</v>
      </c>
      <c r="R127">
        <v>2005</v>
      </c>
      <c r="S127">
        <v>27000</v>
      </c>
      <c r="T127">
        <v>1</v>
      </c>
      <c r="V127">
        <v>2005</v>
      </c>
      <c r="W127">
        <v>2000</v>
      </c>
      <c r="X127">
        <v>1</v>
      </c>
    </row>
    <row r="128" spans="1:24">
      <c r="A128" s="36"/>
      <c r="B128">
        <v>2010</v>
      </c>
      <c r="C128">
        <v>25.5</v>
      </c>
      <c r="D128">
        <v>1</v>
      </c>
      <c r="F128">
        <v>2010</v>
      </c>
      <c r="G128">
        <v>200</v>
      </c>
      <c r="H128">
        <v>1</v>
      </c>
      <c r="J128">
        <v>2010</v>
      </c>
      <c r="K128">
        <v>11</v>
      </c>
      <c r="L128">
        <v>1</v>
      </c>
      <c r="N128">
        <v>2010</v>
      </c>
      <c r="O128">
        <v>163</v>
      </c>
      <c r="P128">
        <v>1</v>
      </c>
      <c r="R128">
        <v>2010</v>
      </c>
      <c r="S128">
        <v>27000</v>
      </c>
      <c r="T128">
        <v>1</v>
      </c>
      <c r="V128">
        <v>2010</v>
      </c>
      <c r="W128">
        <v>2000</v>
      </c>
      <c r="X128">
        <v>1</v>
      </c>
    </row>
    <row r="129" spans="1:24">
      <c r="A129" s="166"/>
      <c r="B129" s="167">
        <v>2015</v>
      </c>
      <c r="C129" s="167">
        <v>25.5</v>
      </c>
      <c r="D129" s="167">
        <v>1</v>
      </c>
      <c r="E129" s="167"/>
      <c r="F129" s="168">
        <v>2015</v>
      </c>
      <c r="G129">
        <v>200</v>
      </c>
      <c r="H129">
        <v>1</v>
      </c>
      <c r="J129">
        <v>2015</v>
      </c>
      <c r="K129">
        <v>11</v>
      </c>
      <c r="L129">
        <v>1</v>
      </c>
      <c r="N129">
        <v>2015</v>
      </c>
      <c r="O129">
        <v>11</v>
      </c>
      <c r="P129">
        <v>6.7484662576687116E-2</v>
      </c>
      <c r="R129">
        <v>2015</v>
      </c>
      <c r="S129">
        <v>27000</v>
      </c>
      <c r="T129">
        <v>1</v>
      </c>
      <c r="V129">
        <v>2015</v>
      </c>
      <c r="W129">
        <v>1000</v>
      </c>
      <c r="X129">
        <v>0.5</v>
      </c>
    </row>
    <row r="130" spans="1:24">
      <c r="A130" s="169"/>
      <c r="B130" s="170">
        <v>2017</v>
      </c>
      <c r="C130" s="170">
        <v>10</v>
      </c>
      <c r="D130" s="170">
        <v>0.39215686274509803</v>
      </c>
      <c r="E130" s="171"/>
      <c r="F130" s="172">
        <v>2020</v>
      </c>
      <c r="G130">
        <v>200</v>
      </c>
      <c r="H130">
        <v>1</v>
      </c>
      <c r="J130">
        <v>2020</v>
      </c>
      <c r="K130">
        <v>11</v>
      </c>
      <c r="L130">
        <v>1</v>
      </c>
      <c r="N130">
        <v>2020</v>
      </c>
      <c r="O130">
        <v>11</v>
      </c>
      <c r="P130">
        <v>6.7484662576687116E-2</v>
      </c>
      <c r="R130">
        <v>2020</v>
      </c>
      <c r="S130">
        <v>5000</v>
      </c>
      <c r="T130">
        <v>0.185</v>
      </c>
      <c r="V130">
        <v>2020</v>
      </c>
      <c r="W130">
        <v>1000</v>
      </c>
      <c r="X130">
        <v>0.5</v>
      </c>
    </row>
    <row r="131" spans="1:24">
      <c r="A131" s="169"/>
      <c r="B131" s="173">
        <v>2020</v>
      </c>
      <c r="C131" s="170">
        <v>10</v>
      </c>
      <c r="D131" s="170">
        <v>0.39215686274509803</v>
      </c>
      <c r="E131" s="171"/>
      <c r="F131" s="174"/>
    </row>
    <row r="132" spans="1:24">
      <c r="A132" s="169"/>
      <c r="B132" s="173"/>
      <c r="C132" s="173"/>
      <c r="D132" s="170"/>
      <c r="E132" s="173"/>
      <c r="F132" s="174"/>
    </row>
    <row r="133" spans="1:24">
      <c r="A133" s="169" t="s">
        <v>376</v>
      </c>
      <c r="B133" s="173"/>
      <c r="C133" s="171"/>
      <c r="D133" s="170"/>
      <c r="E133" s="170"/>
      <c r="F133" s="172"/>
    </row>
    <row r="134" spans="1:24">
      <c r="A134" s="175" t="s">
        <v>377</v>
      </c>
      <c r="B134" s="176" t="s">
        <v>378</v>
      </c>
      <c r="C134" s="176" t="s">
        <v>379</v>
      </c>
      <c r="D134" s="177" t="s">
        <v>380</v>
      </c>
      <c r="E134" s="176" t="s">
        <v>381</v>
      </c>
      <c r="F134" s="178" t="s">
        <v>382</v>
      </c>
    </row>
    <row r="135" spans="1:24">
      <c r="A135" t="s">
        <v>383</v>
      </c>
      <c r="B135">
        <v>1</v>
      </c>
      <c r="C135">
        <v>1000</v>
      </c>
      <c r="D135">
        <v>1000000</v>
      </c>
      <c r="E135">
        <v>453.59237000000002</v>
      </c>
      <c r="F135">
        <v>907184.74</v>
      </c>
    </row>
    <row r="136" spans="1:24">
      <c r="A136" s="166" t="s">
        <v>90</v>
      </c>
      <c r="B136" s="167">
        <v>1E-3</v>
      </c>
      <c r="C136" s="167">
        <v>1</v>
      </c>
      <c r="D136" s="167">
        <v>1000</v>
      </c>
      <c r="E136" s="167">
        <v>0.45359237000000002</v>
      </c>
      <c r="F136" s="168">
        <v>907.18474000000003</v>
      </c>
    </row>
    <row r="137" spans="1:24">
      <c r="A137" s="169" t="s">
        <v>384</v>
      </c>
      <c r="B137" s="148">
        <v>9.9999999999999995E-7</v>
      </c>
      <c r="C137" s="179">
        <v>1E-3</v>
      </c>
      <c r="D137" s="180">
        <v>1</v>
      </c>
      <c r="E137" s="181">
        <v>4.5359237000000004E-4</v>
      </c>
      <c r="F137" s="182">
        <v>0.90718474000000004</v>
      </c>
    </row>
    <row r="138" spans="1:24">
      <c r="A138" s="169" t="s">
        <v>385</v>
      </c>
      <c r="B138" s="170">
        <v>2.2046226218487759E-3</v>
      </c>
      <c r="C138" s="170">
        <v>2.2046226218487757</v>
      </c>
      <c r="D138" s="170">
        <v>2204.6226218487759</v>
      </c>
      <c r="E138" s="170">
        <v>1</v>
      </c>
      <c r="F138" s="172">
        <v>2000</v>
      </c>
    </row>
    <row r="139" spans="1:24">
      <c r="A139" s="169" t="s">
        <v>386</v>
      </c>
      <c r="B139" s="170">
        <v>1.102311310924388E-6</v>
      </c>
      <c r="C139" s="171">
        <v>1.1023113109243879E-3</v>
      </c>
      <c r="D139" s="170">
        <v>1.1023113109243878</v>
      </c>
      <c r="E139" s="171">
        <v>5.0000000000000001E-4</v>
      </c>
      <c r="F139" s="174">
        <v>1</v>
      </c>
    </row>
    <row r="140" spans="1:24">
      <c r="A140" s="169"/>
      <c r="B140" s="150"/>
      <c r="C140" s="173"/>
      <c r="D140" s="171"/>
      <c r="E140" s="170"/>
      <c r="F140" s="174"/>
    </row>
    <row r="141" spans="1:24">
      <c r="A141" s="175" t="s">
        <v>387</v>
      </c>
      <c r="B141" s="164" t="s">
        <v>388</v>
      </c>
      <c r="C141" s="176" t="s">
        <v>389</v>
      </c>
      <c r="D141" s="177" t="s">
        <v>390</v>
      </c>
      <c r="E141" s="177" t="s">
        <v>391</v>
      </c>
      <c r="F141" s="178" t="s">
        <v>392</v>
      </c>
    </row>
    <row r="142" spans="1:24">
      <c r="A142" t="s">
        <v>393</v>
      </c>
      <c r="B142">
        <v>1</v>
      </c>
      <c r="C142">
        <v>9.9999999999999995E-7</v>
      </c>
      <c r="D142">
        <v>1E-3</v>
      </c>
      <c r="E142">
        <v>3.7854109999999998E-3</v>
      </c>
      <c r="F142">
        <v>2.8316846999999999E-2</v>
      </c>
    </row>
    <row r="143" spans="1:24">
      <c r="A143" s="166" t="s">
        <v>394</v>
      </c>
      <c r="B143" s="167">
        <v>1000000</v>
      </c>
      <c r="C143" s="167">
        <v>1</v>
      </c>
      <c r="D143" s="167">
        <v>1000.0000000000001</v>
      </c>
      <c r="E143" s="167">
        <v>3785.4110000000001</v>
      </c>
      <c r="F143" s="167">
        <v>28316.847000000002</v>
      </c>
      <c r="G143" s="167"/>
      <c r="H143" s="167"/>
      <c r="I143" s="168"/>
    </row>
    <row r="144" spans="1:24">
      <c r="A144" s="169" t="s">
        <v>395</v>
      </c>
      <c r="B144" s="170">
        <v>1000</v>
      </c>
      <c r="C144" s="170">
        <v>1E-3</v>
      </c>
      <c r="D144" s="170">
        <v>1</v>
      </c>
      <c r="E144" s="170">
        <v>3.7854109999999999</v>
      </c>
      <c r="F144" s="170">
        <v>28.316846999999999</v>
      </c>
      <c r="G144" s="170"/>
      <c r="H144" s="170"/>
      <c r="I144" s="130"/>
    </row>
    <row r="145" spans="1:9">
      <c r="A145" s="169" t="s">
        <v>396</v>
      </c>
      <c r="B145" s="171">
        <v>264.17210707106841</v>
      </c>
      <c r="C145" s="170">
        <v>2.6417210707106839E-4</v>
      </c>
      <c r="D145" s="170">
        <v>0.26417210707106842</v>
      </c>
      <c r="E145" s="150">
        <v>1</v>
      </c>
      <c r="F145" s="170">
        <v>7.4805211375990615</v>
      </c>
      <c r="G145" s="171"/>
      <c r="H145" s="170"/>
      <c r="I145" s="130"/>
    </row>
    <row r="146" spans="1:9">
      <c r="A146" s="169" t="s">
        <v>397</v>
      </c>
      <c r="B146" s="173">
        <v>35.314666212661322</v>
      </c>
      <c r="C146" s="171">
        <v>3.5314666212661319E-5</v>
      </c>
      <c r="D146" s="170">
        <v>3.5314666212661321E-2</v>
      </c>
      <c r="E146" s="183">
        <v>0.13368052594273649</v>
      </c>
      <c r="F146" s="150">
        <v>1</v>
      </c>
      <c r="G146" s="173"/>
      <c r="H146" s="170"/>
      <c r="I146" s="130"/>
    </row>
    <row r="147" spans="1:9">
      <c r="A147" s="169"/>
      <c r="B147" s="173"/>
      <c r="C147" s="171"/>
      <c r="D147" s="170"/>
      <c r="E147" s="170"/>
      <c r="F147" s="170"/>
      <c r="G147" s="171"/>
      <c r="H147" s="170"/>
      <c r="I147" s="130"/>
    </row>
    <row r="148" spans="1:9">
      <c r="A148" s="169" t="s">
        <v>398</v>
      </c>
      <c r="B148" s="184" t="s">
        <v>399</v>
      </c>
      <c r="C148" s="173" t="s">
        <v>400</v>
      </c>
      <c r="D148" s="171" t="s">
        <v>401</v>
      </c>
      <c r="E148" s="171" t="s">
        <v>402</v>
      </c>
      <c r="F148" s="170" t="s">
        <v>403</v>
      </c>
      <c r="G148" s="173" t="s">
        <v>404</v>
      </c>
      <c r="H148" s="170" t="s">
        <v>405</v>
      </c>
      <c r="I148" s="130" t="s">
        <v>406</v>
      </c>
    </row>
    <row r="149" spans="1:9">
      <c r="A149" s="169" t="s">
        <v>407</v>
      </c>
      <c r="B149" s="173">
        <v>1</v>
      </c>
      <c r="C149" s="171">
        <v>1000</v>
      </c>
      <c r="D149" s="170">
        <v>1000000</v>
      </c>
      <c r="E149" s="171">
        <v>3600</v>
      </c>
      <c r="F149" s="170">
        <v>3600000</v>
      </c>
      <c r="G149" s="170">
        <v>1055.05585</v>
      </c>
      <c r="H149" s="170">
        <v>1055055850</v>
      </c>
      <c r="I149" s="130">
        <v>2684519.5376862194</v>
      </c>
    </row>
    <row r="150" spans="1:9">
      <c r="A150" s="169" t="s">
        <v>408</v>
      </c>
      <c r="B150" s="185">
        <v>1E-3</v>
      </c>
      <c r="C150" s="173">
        <v>1</v>
      </c>
      <c r="D150" s="173">
        <v>1000</v>
      </c>
      <c r="E150" s="186">
        <v>3.6</v>
      </c>
      <c r="F150" s="173">
        <v>3600</v>
      </c>
      <c r="G150" s="173">
        <v>1.05505585</v>
      </c>
      <c r="H150" s="170">
        <v>1055055.8500000001</v>
      </c>
      <c r="I150" s="130">
        <v>2684.5195376862198</v>
      </c>
    </row>
    <row r="151" spans="1:9">
      <c r="A151" s="175" t="s">
        <v>409</v>
      </c>
      <c r="B151" s="132">
        <v>9.9999999999999995E-7</v>
      </c>
      <c r="C151" s="132">
        <v>1E-3</v>
      </c>
      <c r="D151" s="132">
        <v>1</v>
      </c>
      <c r="E151" s="132">
        <v>3.5999999999999999E-3</v>
      </c>
      <c r="F151" s="132">
        <v>3.6</v>
      </c>
      <c r="G151" s="132">
        <v>1.0550558499999999E-3</v>
      </c>
      <c r="H151" s="132">
        <v>1055.05585</v>
      </c>
      <c r="I151" s="133">
        <v>2.6845195376862194</v>
      </c>
    </row>
    <row r="152" spans="1:9">
      <c r="A152" t="s">
        <v>410</v>
      </c>
      <c r="B152">
        <v>2.7777777777777778E-4</v>
      </c>
      <c r="C152">
        <v>0.27777777777777779</v>
      </c>
      <c r="D152">
        <v>277.77777777777777</v>
      </c>
      <c r="E152">
        <v>1</v>
      </c>
      <c r="F152">
        <v>1000</v>
      </c>
      <c r="G152">
        <v>0.29307106944444444</v>
      </c>
      <c r="H152">
        <v>293071.06944444444</v>
      </c>
      <c r="I152">
        <v>745.69987157950538</v>
      </c>
    </row>
    <row r="153" spans="1:9">
      <c r="A153" t="s">
        <v>411</v>
      </c>
      <c r="B153">
        <v>2.7777777777777776E-7</v>
      </c>
      <c r="C153">
        <v>2.7777777777777778E-4</v>
      </c>
      <c r="D153">
        <v>0.27777777777777779</v>
      </c>
      <c r="E153">
        <v>1E-3</v>
      </c>
      <c r="F153">
        <v>1</v>
      </c>
      <c r="G153">
        <v>2.9307106944444444E-4</v>
      </c>
      <c r="H153">
        <v>293.07106944444445</v>
      </c>
      <c r="I153">
        <v>0.74569987157950535</v>
      </c>
    </row>
    <row r="154" spans="1:9">
      <c r="A154" t="s">
        <v>412</v>
      </c>
      <c r="B154">
        <v>9.4781712266701337E-4</v>
      </c>
      <c r="C154">
        <v>0.94781712266701335</v>
      </c>
      <c r="D154">
        <v>947.81712266701334</v>
      </c>
      <c r="E154">
        <v>3.4121416416012482</v>
      </c>
      <c r="F154">
        <v>3412.141641601248</v>
      </c>
      <c r="G154">
        <v>1</v>
      </c>
      <c r="H154">
        <v>1000000</v>
      </c>
      <c r="I154">
        <v>2544.4335839531336</v>
      </c>
    </row>
    <row r="155" spans="1:9">
      <c r="A155" t="s">
        <v>413</v>
      </c>
      <c r="B155">
        <v>9.4781712266701324E-10</v>
      </c>
      <c r="C155">
        <v>9.4781712266701326E-7</v>
      </c>
      <c r="D155">
        <v>9.4781712266701326E-4</v>
      </c>
      <c r="E155">
        <v>3.4121416416012478E-6</v>
      </c>
      <c r="F155">
        <v>3.4121416416012479E-3</v>
      </c>
      <c r="G155">
        <v>9.9999999999999995E-7</v>
      </c>
      <c r="H155">
        <v>1</v>
      </c>
      <c r="I155">
        <v>2.5444335839531337E-3</v>
      </c>
    </row>
    <row r="156" spans="1:9">
      <c r="A156" t="s">
        <v>414</v>
      </c>
      <c r="B156">
        <v>3.72506136E-7</v>
      </c>
      <c r="C156">
        <v>3.7250613599999999E-4</v>
      </c>
      <c r="D156">
        <v>0.37250613599999999</v>
      </c>
      <c r="E156">
        <v>1.3410220896E-3</v>
      </c>
      <c r="F156">
        <v>1.3410220896</v>
      </c>
      <c r="G156">
        <v>3.9301477794769559E-4</v>
      </c>
      <c r="H156">
        <v>393.01477794769556</v>
      </c>
      <c r="I156">
        <v>1</v>
      </c>
    </row>
    <row r="158" spans="1:9">
      <c r="A158" t="s">
        <v>462</v>
      </c>
      <c r="B158" t="s">
        <v>463</v>
      </c>
      <c r="C158" t="s">
        <v>464</v>
      </c>
      <c r="D158" t="s">
        <v>465</v>
      </c>
      <c r="E158" t="s">
        <v>466</v>
      </c>
      <c r="F158" t="s">
        <v>467</v>
      </c>
    </row>
    <row r="159" spans="1:9">
      <c r="A159" t="s">
        <v>463</v>
      </c>
      <c r="B159">
        <v>1</v>
      </c>
      <c r="C159">
        <v>1000</v>
      </c>
      <c r="D159">
        <v>1000000</v>
      </c>
      <c r="E159">
        <v>304.8</v>
      </c>
      <c r="F159">
        <v>1609340</v>
      </c>
    </row>
    <row r="160" spans="1:9">
      <c r="A160" t="s">
        <v>464</v>
      </c>
      <c r="B160">
        <v>1E-3</v>
      </c>
      <c r="C160">
        <v>1</v>
      </c>
      <c r="D160">
        <v>1000</v>
      </c>
      <c r="E160">
        <v>0.30480000000000002</v>
      </c>
      <c r="F160">
        <v>1609.34</v>
      </c>
    </row>
    <row r="161" spans="1:6">
      <c r="A161" t="s">
        <v>465</v>
      </c>
      <c r="B161">
        <v>9.9999999999999995E-7</v>
      </c>
      <c r="C161">
        <v>1E-3</v>
      </c>
      <c r="D161">
        <v>1</v>
      </c>
      <c r="E161">
        <v>3.0480000000000004E-4</v>
      </c>
      <c r="F161">
        <v>1.60934</v>
      </c>
    </row>
    <row r="162" spans="1:6">
      <c r="A162" t="s">
        <v>466</v>
      </c>
      <c r="B162">
        <v>3.2808398950131233E-3</v>
      </c>
      <c r="C162">
        <v>3.2808398950131235</v>
      </c>
      <c r="D162">
        <v>3280.8398950131236</v>
      </c>
      <c r="E162">
        <v>1</v>
      </c>
      <c r="F162">
        <v>5280</v>
      </c>
    </row>
    <row r="163" spans="1:6">
      <c r="A163" t="s">
        <v>467</v>
      </c>
      <c r="B163">
        <v>6.2137273664980671E-7</v>
      </c>
      <c r="C163">
        <v>6.2137273664980672E-4</v>
      </c>
      <c r="D163">
        <v>0.62137273664980675</v>
      </c>
      <c r="E163">
        <v>1.8939393939393939E-4</v>
      </c>
      <c r="F163">
        <v>1</v>
      </c>
    </row>
  </sheetData>
  <dataValidations count="5">
    <dataValidation type="list" allowBlank="1" showInputMessage="1" showErrorMessage="1" sqref="B5" xr:uid="{00000000-0002-0000-0600-000000000000}">
      <formula1>"1,2"</formula1>
    </dataValidation>
    <dataValidation type="list" allowBlank="1" showInputMessage="1" showErrorMessage="1" sqref="B92" xr:uid="{00000000-0002-0000-0600-000001000000}">
      <formula1>"AR5/GWP,AR5/GTP,AR4/GWP,AR3/GWP,AR2/GWP,AR1/GWP"</formula1>
    </dataValidation>
    <dataValidation type="list" allowBlank="1" showInputMessage="1" showErrorMessage="1" sqref="B93" xr:uid="{00000000-0002-0000-0600-000002000000}">
      <formula1>$C$93:$D$93</formula1>
    </dataValidation>
    <dataValidation type="list" allowBlank="1" showInputMessage="1" showErrorMessage="1" sqref="B99" xr:uid="{00000000-0002-0000-0600-000003000000}">
      <formula1>"None, GWP, GTP"</formula1>
    </dataValidation>
    <dataValidation type="list" allowBlank="1" showInputMessage="1" showErrorMessage="1" sqref="B100" xr:uid="{00000000-0002-0000-0600-000004000000}">
      <formula1>$D$100:$E$100</formula1>
    </dataValidation>
  </dataValidation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J51"/>
  <sheetViews>
    <sheetView topLeftCell="A22" workbookViewId="0">
      <selection activeCell="I50" sqref="I50"/>
    </sheetView>
  </sheetViews>
  <sheetFormatPr defaultRowHeight="14.5"/>
  <cols>
    <col min="1" max="1" width="44.54296875" customWidth="1"/>
    <col min="2" max="4" width="13.54296875" style="18" customWidth="1"/>
    <col min="5" max="5" width="16.26953125" style="18" customWidth="1"/>
    <col min="6" max="6" width="22.36328125" style="3" customWidth="1"/>
    <col min="8" max="8" width="14.08984375" customWidth="1"/>
    <col min="9" max="9" width="8.81640625" customWidth="1"/>
    <col min="10" max="10" width="20.26953125" customWidth="1"/>
    <col min="11" max="11" width="14.36328125" customWidth="1"/>
  </cols>
  <sheetData>
    <row r="1" spans="1:7">
      <c r="A1" s="31" t="s">
        <v>103</v>
      </c>
      <c r="B1" s="32" t="s">
        <v>96</v>
      </c>
      <c r="C1" s="32" t="s">
        <v>22</v>
      </c>
      <c r="D1" s="32" t="s">
        <v>27</v>
      </c>
      <c r="E1" s="33" t="s">
        <v>104</v>
      </c>
      <c r="F1" s="34" t="s">
        <v>89</v>
      </c>
      <c r="G1" s="20" t="s">
        <v>105</v>
      </c>
    </row>
    <row r="2" spans="1:7">
      <c r="A2" s="30" t="s">
        <v>115</v>
      </c>
      <c r="B2" s="28"/>
      <c r="C2" s="28"/>
      <c r="D2" s="28"/>
      <c r="E2" s="28"/>
      <c r="F2" s="29"/>
    </row>
    <row r="3" spans="1:7">
      <c r="A3" t="s">
        <v>116</v>
      </c>
      <c r="B3" s="21">
        <f>'Uranium, Coal, MSW, Hydrogen'!B13</f>
        <v>472.52336600000007</v>
      </c>
      <c r="C3" s="21">
        <f>'Uranium, Coal, MSW, Hydrogen'!C13</f>
        <v>1.997711</v>
      </c>
      <c r="D3" s="21">
        <f>'Uranium, Coal, MSW, Hydrogen'!D13</f>
        <v>108.32638300000001</v>
      </c>
      <c r="E3" s="23">
        <f>B3+C3-D3</f>
        <v>366.19469400000003</v>
      </c>
      <c r="F3" t="s">
        <v>102</v>
      </c>
    </row>
    <row r="4" spans="1:7">
      <c r="A4" t="s">
        <v>106</v>
      </c>
      <c r="B4" s="225">
        <f>'AEO 2025 HZC Table 1'!F9</f>
        <v>39.777957999999998</v>
      </c>
      <c r="C4" s="225">
        <f>'AEO 2025 HZC Table 1'!F20</f>
        <v>3.0873529999999998</v>
      </c>
      <c r="D4" s="225">
        <f>'AEO 2025 HZC Table 1'!F25</f>
        <v>7.8187519999999999</v>
      </c>
      <c r="E4" s="23">
        <f t="shared" ref="E4:E5" si="0">B4+C4-D4</f>
        <v>35.046559000000002</v>
      </c>
      <c r="F4" s="3" t="s">
        <v>107</v>
      </c>
    </row>
    <row r="5" spans="1:7">
      <c r="A5" t="s">
        <v>108</v>
      </c>
      <c r="B5" s="22">
        <f>'Uranium, Coal, MSW, Hydrogen'!B3</f>
        <v>0.67700000000000005</v>
      </c>
      <c r="C5" s="18">
        <f>'Uranium, Coal, MSW, Hydrogen'!C3</f>
        <v>55.222999999999999</v>
      </c>
      <c r="D5" s="18">
        <f>'Uranium, Coal, MSW, Hydrogen'!D3</f>
        <v>0</v>
      </c>
      <c r="E5" s="18">
        <f t="shared" si="0"/>
        <v>55.9</v>
      </c>
      <c r="F5" s="3" t="s">
        <v>101</v>
      </c>
    </row>
    <row r="6" spans="1:7">
      <c r="A6" s="7" t="s">
        <v>118</v>
      </c>
      <c r="B6" s="28"/>
      <c r="C6" s="28"/>
      <c r="D6" s="28"/>
      <c r="E6" s="28"/>
      <c r="F6" s="29"/>
    </row>
    <row r="7" spans="1:7">
      <c r="A7" s="7" t="s">
        <v>119</v>
      </c>
      <c r="B7" s="28"/>
      <c r="C7" s="28"/>
      <c r="D7" s="28"/>
      <c r="E7" s="28"/>
      <c r="F7" s="29"/>
    </row>
    <row r="8" spans="1:7">
      <c r="A8" s="7" t="s">
        <v>120</v>
      </c>
      <c r="B8" s="28"/>
      <c r="C8" s="28"/>
      <c r="D8" s="28"/>
      <c r="E8" s="28"/>
      <c r="F8" s="29"/>
    </row>
    <row r="9" spans="1:7">
      <c r="A9" t="s">
        <v>109</v>
      </c>
      <c r="B9" s="18">
        <f>'Biomass Data'!A18</f>
        <v>13341865</v>
      </c>
      <c r="C9" s="23">
        <f>'Biomass Data'!A26</f>
        <v>0</v>
      </c>
      <c r="D9" s="18">
        <f>'Biomass Data'!A21</f>
        <v>8871212</v>
      </c>
      <c r="E9" s="23">
        <f t="shared" ref="E9:E14" si="1">B9+C9-D9</f>
        <v>4470653</v>
      </c>
      <c r="F9" s="3" t="s">
        <v>426</v>
      </c>
    </row>
    <row r="10" spans="1:7">
      <c r="A10" t="s">
        <v>110</v>
      </c>
      <c r="B10" s="256">
        <f>SUM('Petroleum and Biofuels '!E37:F37)</f>
        <v>3523246</v>
      </c>
      <c r="C10" s="256">
        <f>'Petroleum and Biofuels '!G37</f>
        <v>39911</v>
      </c>
      <c r="D10" s="256">
        <f>'Petroleum and Biofuels '!L37</f>
        <v>291546</v>
      </c>
      <c r="E10" s="257">
        <f t="shared" si="1"/>
        <v>3271611</v>
      </c>
      <c r="F10" s="3" t="s">
        <v>111</v>
      </c>
    </row>
    <row r="11" spans="1:7">
      <c r="A11" t="s">
        <v>121</v>
      </c>
      <c r="B11" s="257">
        <f>SUM('Petroleum and Biofuels '!E43:F43)</f>
        <v>1806591</v>
      </c>
      <c r="C11" s="256">
        <f>'Petroleum and Biofuels '!G43</f>
        <v>53868</v>
      </c>
      <c r="D11" s="256">
        <f>'Petroleum and Biofuels '!L43</f>
        <v>472631</v>
      </c>
      <c r="E11" s="257">
        <f t="shared" si="1"/>
        <v>1387828</v>
      </c>
      <c r="F11" s="3" t="s">
        <v>111</v>
      </c>
    </row>
    <row r="12" spans="1:7">
      <c r="A12" t="s">
        <v>122</v>
      </c>
      <c r="B12" s="256">
        <f>SUM('Petroleum and Biofuels '!E25:F25)</f>
        <v>386316</v>
      </c>
      <c r="C12" s="257">
        <f>IF(ISNUMBER('Petroleum and Biofuels '!G25)=FALSE,0,'Petroleum and Biofuels '!G25)</f>
        <v>0</v>
      </c>
      <c r="D12" s="256">
        <f>'Petroleum and Biofuels '!L25</f>
        <v>46223</v>
      </c>
      <c r="E12" s="257">
        <f>B12+C12-D12</f>
        <v>340093</v>
      </c>
      <c r="F12" s="3" t="s">
        <v>111</v>
      </c>
    </row>
    <row r="13" spans="1:7">
      <c r="A13" t="s">
        <v>123</v>
      </c>
      <c r="B13" s="256">
        <f>SUM('Petroleum and Biofuels '!E26:F26)</f>
        <v>124142</v>
      </c>
      <c r="C13" s="256">
        <f>'Petroleum and Biofuels '!G26</f>
        <v>22625</v>
      </c>
      <c r="D13" s="256">
        <f>'Petroleum and Biofuels '!L26</f>
        <v>4303</v>
      </c>
      <c r="E13" s="257">
        <f t="shared" si="1"/>
        <v>142464</v>
      </c>
      <c r="F13" s="3" t="s">
        <v>111</v>
      </c>
    </row>
    <row r="14" spans="1:7">
      <c r="A14" t="s">
        <v>112</v>
      </c>
      <c r="B14" s="257">
        <f>SUM('Petroleum and Biofuels '!E41:F42)</f>
        <v>665538</v>
      </c>
      <c r="C14" s="256">
        <f>SUM('Petroleum and Biofuels '!G41:G42)</f>
        <v>38457</v>
      </c>
      <c r="D14" s="256">
        <f>SUM('Petroleum and Biofuels '!L41:L42)</f>
        <v>78860</v>
      </c>
      <c r="E14" s="257">
        <f t="shared" si="1"/>
        <v>625135</v>
      </c>
      <c r="F14" s="3" t="s">
        <v>111</v>
      </c>
    </row>
    <row r="15" spans="1:7">
      <c r="A15" s="7" t="s">
        <v>148</v>
      </c>
      <c r="B15" s="28"/>
      <c r="C15" s="28"/>
      <c r="D15" s="28"/>
      <c r="E15" s="28"/>
      <c r="F15" s="29"/>
    </row>
    <row r="16" spans="1:7">
      <c r="A16" s="7" t="s">
        <v>125</v>
      </c>
      <c r="B16" s="28"/>
      <c r="C16" s="28"/>
      <c r="D16" s="28"/>
      <c r="E16" s="28"/>
      <c r="F16" s="29"/>
    </row>
    <row r="17" spans="1:10">
      <c r="A17" t="s">
        <v>126</v>
      </c>
      <c r="B17" s="23">
        <f>'Uranium, Coal, MSW, Hydrogen'!B14</f>
        <v>40.016958000000002</v>
      </c>
      <c r="C17" s="18">
        <f>'Uranium, Coal, MSW, Hydrogen'!C14</f>
        <v>0</v>
      </c>
      <c r="D17" s="18">
        <f>'Uranium, Coal, MSW, Hydrogen'!D14</f>
        <v>0</v>
      </c>
      <c r="E17" s="23">
        <f t="shared" ref="E17:E22" si="2">B17+C17-D17</f>
        <v>40.016958000000002</v>
      </c>
      <c r="F17" t="s">
        <v>102</v>
      </c>
    </row>
    <row r="18" spans="1:10">
      <c r="A18" t="s">
        <v>113</v>
      </c>
      <c r="B18" s="258">
        <f>'Petroleum and Biofuels '!C6</f>
        <v>4843858</v>
      </c>
      <c r="C18" s="256">
        <f>'Petroleum and Biofuels '!G6</f>
        <v>2411095</v>
      </c>
      <c r="D18" s="256">
        <f>'Petroleum and Biofuels '!L6</f>
        <v>1498096</v>
      </c>
      <c r="E18" s="257">
        <f t="shared" si="2"/>
        <v>5756857</v>
      </c>
      <c r="F18" s="3" t="s">
        <v>111</v>
      </c>
    </row>
    <row r="19" spans="1:10">
      <c r="A19" t="s">
        <v>127</v>
      </c>
      <c r="B19" s="256">
        <f>SUM('Petroleum and Biofuels '!C47:F47)</f>
        <v>115747</v>
      </c>
      <c r="C19" s="256">
        <f>'Petroleum and Biofuels '!G47</f>
        <v>40046</v>
      </c>
      <c r="D19" s="256">
        <f>'Petroleum and Biofuels '!L47</f>
        <v>50003</v>
      </c>
      <c r="E19" s="257">
        <f t="shared" si="2"/>
        <v>105790</v>
      </c>
      <c r="F19" s="3" t="s">
        <v>111</v>
      </c>
    </row>
    <row r="20" spans="1:10">
      <c r="A20" t="s">
        <v>114</v>
      </c>
      <c r="B20" s="256">
        <f>SUM('Petroleum and Biofuels '!C9:F11)</f>
        <v>2217544</v>
      </c>
      <c r="C20" s="256">
        <f>SUM('Petroleum and Biofuels '!G9:G11)</f>
        <v>55423</v>
      </c>
      <c r="D20" s="256">
        <f>SUM('Petroleum and Biofuels '!L9:L11)</f>
        <v>1004275</v>
      </c>
      <c r="E20" s="257">
        <f t="shared" si="2"/>
        <v>1268692</v>
      </c>
      <c r="F20" s="3" t="s">
        <v>111</v>
      </c>
    </row>
    <row r="21" spans="1:10">
      <c r="A21" t="s">
        <v>128</v>
      </c>
      <c r="B21" s="18">
        <f>'Uranium, Coal, MSW, Hydrogen'!A18</f>
        <v>292</v>
      </c>
      <c r="C21" s="18">
        <v>0</v>
      </c>
      <c r="D21" s="18">
        <v>0</v>
      </c>
      <c r="E21" s="18">
        <f t="shared" si="2"/>
        <v>292</v>
      </c>
      <c r="F21" s="3" t="s">
        <v>102</v>
      </c>
      <c r="I21" s="193"/>
    </row>
    <row r="22" spans="1:10">
      <c r="A22" t="s">
        <v>129</v>
      </c>
      <c r="B22" s="18">
        <f>'Uranium, Coal, MSW, Hydrogen'!A31</f>
        <v>5.74</v>
      </c>
      <c r="C22" s="18">
        <v>0</v>
      </c>
      <c r="D22" s="18">
        <v>0</v>
      </c>
      <c r="E22" s="18">
        <f t="shared" si="2"/>
        <v>5.74</v>
      </c>
      <c r="F22" s="3" t="s">
        <v>143</v>
      </c>
    </row>
    <row r="24" spans="1:10">
      <c r="A24" s="187" t="s">
        <v>415</v>
      </c>
      <c r="B24" s="188"/>
      <c r="C24" s="188"/>
      <c r="D24" s="188"/>
      <c r="E24" s="188"/>
      <c r="F24" s="189"/>
    </row>
    <row r="25" spans="1:10">
      <c r="A25" s="31" t="s">
        <v>103</v>
      </c>
      <c r="B25" s="32" t="s">
        <v>96</v>
      </c>
      <c r="C25" s="32" t="s">
        <v>22</v>
      </c>
      <c r="D25" s="32" t="s">
        <v>27</v>
      </c>
      <c r="E25" s="33" t="s">
        <v>104</v>
      </c>
      <c r="F25" s="34" t="s">
        <v>89</v>
      </c>
      <c r="H25" s="194" t="s">
        <v>428</v>
      </c>
      <c r="I25" s="6"/>
      <c r="J25" s="6"/>
    </row>
    <row r="26" spans="1:10">
      <c r="A26" s="30" t="s">
        <v>115</v>
      </c>
      <c r="B26" s="28"/>
      <c r="C26" s="28"/>
      <c r="D26" s="28"/>
      <c r="E26" s="28"/>
      <c r="F26" s="29"/>
    </row>
    <row r="27" spans="1:10">
      <c r="A27" t="s">
        <v>116</v>
      </c>
      <c r="B27" s="190">
        <f>B3*$H27</f>
        <v>9289066568828650</v>
      </c>
      <c r="C27" s="190">
        <f>C3*$H27</f>
        <v>39271857858308</v>
      </c>
      <c r="D27" s="190">
        <f t="shared" ref="D27:E27" si="3">D3*$H27</f>
        <v>2129526400705924.3</v>
      </c>
      <c r="E27" s="190">
        <f t="shared" si="3"/>
        <v>7198812025981033</v>
      </c>
      <c r="F27" t="s">
        <v>412</v>
      </c>
      <c r="H27" s="226">
        <f>'AEO Conversion Factors'!$C66*10^12</f>
        <v>19658428000000</v>
      </c>
      <c r="I27" t="s">
        <v>427</v>
      </c>
      <c r="J27" t="s">
        <v>102</v>
      </c>
    </row>
    <row r="28" spans="1:10">
      <c r="A28" t="s">
        <v>106</v>
      </c>
      <c r="B28" s="190">
        <f>B4*$H28</f>
        <v>3.9777958E+16</v>
      </c>
      <c r="C28" s="190">
        <f t="shared" ref="B28:E29" si="4">C4*$H28</f>
        <v>3087353000000000</v>
      </c>
      <c r="D28" s="190">
        <f t="shared" si="4"/>
        <v>7818752000000000</v>
      </c>
      <c r="E28" s="190">
        <f t="shared" si="4"/>
        <v>3.5046559000000004E+16</v>
      </c>
      <c r="F28" t="s">
        <v>412</v>
      </c>
      <c r="H28">
        <f>10^15</f>
        <v>1000000000000000</v>
      </c>
      <c r="I28" t="s">
        <v>427</v>
      </c>
      <c r="J28" s="3" t="s">
        <v>429</v>
      </c>
    </row>
    <row r="29" spans="1:10">
      <c r="A29" t="s">
        <v>108</v>
      </c>
      <c r="B29" s="190">
        <f t="shared" si="4"/>
        <v>121860000000000.02</v>
      </c>
      <c r="C29" s="190">
        <f t="shared" si="4"/>
        <v>9940140000000000</v>
      </c>
      <c r="D29" s="190">
        <f t="shared" si="4"/>
        <v>0</v>
      </c>
      <c r="E29" s="190">
        <f t="shared" si="4"/>
        <v>1.0062E+16</v>
      </c>
      <c r="F29" t="s">
        <v>412</v>
      </c>
      <c r="H29">
        <f>10^6*1.8*10^8</f>
        <v>180000000000000</v>
      </c>
      <c r="I29" t="s">
        <v>427</v>
      </c>
      <c r="J29" s="3" t="s">
        <v>101</v>
      </c>
    </row>
    <row r="30" spans="1:10">
      <c r="A30" s="7" t="s">
        <v>118</v>
      </c>
      <c r="B30" s="191"/>
      <c r="C30" s="191"/>
      <c r="D30" s="191"/>
      <c r="E30" s="191"/>
      <c r="F30" s="29"/>
    </row>
    <row r="31" spans="1:10">
      <c r="A31" s="7" t="s">
        <v>119</v>
      </c>
      <c r="B31" s="191"/>
      <c r="C31" s="191"/>
      <c r="D31" s="191"/>
      <c r="E31" s="191"/>
      <c r="F31" s="29"/>
    </row>
    <row r="32" spans="1:10">
      <c r="A32" s="7" t="s">
        <v>120</v>
      </c>
      <c r="B32" s="191"/>
      <c r="C32" s="191"/>
      <c r="D32" s="191"/>
      <c r="E32" s="191"/>
      <c r="F32" s="29"/>
    </row>
    <row r="33" spans="1:10">
      <c r="A33" t="s">
        <v>109</v>
      </c>
      <c r="B33" s="190">
        <f>B9*$H33</f>
        <v>238899434690000</v>
      </c>
      <c r="C33" s="190">
        <f t="shared" ref="C33:E33" si="5">C9*$H33</f>
        <v>0</v>
      </c>
      <c r="D33" s="190">
        <f t="shared" si="5"/>
        <v>158847922072000</v>
      </c>
      <c r="E33" s="190">
        <f t="shared" si="5"/>
        <v>80051512618000</v>
      </c>
      <c r="F33" t="s">
        <v>412</v>
      </c>
      <c r="H33" s="69">
        <f>'GREET1 Fuel_Specs'!$D$81</f>
        <v>17906000</v>
      </c>
      <c r="I33" t="s">
        <v>427</v>
      </c>
      <c r="J33" s="3" t="s">
        <v>386</v>
      </c>
    </row>
    <row r="34" spans="1:10">
      <c r="A34" t="s">
        <v>110</v>
      </c>
      <c r="B34" s="190">
        <f t="shared" ref="B34:E38" si="6">B10*$H34</f>
        <v>1.7798420573906E+16</v>
      </c>
      <c r="C34" s="190">
        <f t="shared" si="6"/>
        <v>201618837721000</v>
      </c>
      <c r="D34" s="190">
        <f t="shared" si="6"/>
        <v>1472806135206000</v>
      </c>
      <c r="E34" s="190">
        <f t="shared" si="6"/>
        <v>1.6527233276421E+16</v>
      </c>
      <c r="F34" t="s">
        <v>412</v>
      </c>
      <c r="H34" s="226">
        <f>'AEO Conversion Factors'!$C32*10^9</f>
        <v>5051711000</v>
      </c>
      <c r="I34" t="s">
        <v>427</v>
      </c>
      <c r="J34" s="3" t="s">
        <v>111</v>
      </c>
    </row>
    <row r="35" spans="1:10">
      <c r="A35" t="s">
        <v>121</v>
      </c>
      <c r="B35" s="190">
        <f t="shared" si="6"/>
        <v>1.0523392575E+16</v>
      </c>
      <c r="C35" s="190">
        <f t="shared" si="6"/>
        <v>313781100000000</v>
      </c>
      <c r="D35" s="190">
        <f t="shared" si="6"/>
        <v>2753075575000000</v>
      </c>
      <c r="E35" s="190">
        <f t="shared" si="6"/>
        <v>8084098100000000</v>
      </c>
      <c r="F35" t="s">
        <v>412</v>
      </c>
      <c r="H35" s="226">
        <f>'AEO Conversion Factors'!$C19*10^9</f>
        <v>5825000000</v>
      </c>
      <c r="I35" t="s">
        <v>427</v>
      </c>
      <c r="J35" s="3" t="s">
        <v>111</v>
      </c>
    </row>
    <row r="36" spans="1:10">
      <c r="A36" t="s">
        <v>122</v>
      </c>
      <c r="B36" s="190">
        <f t="shared" si="6"/>
        <v>1543105652508000</v>
      </c>
      <c r="C36" s="190">
        <f t="shared" si="6"/>
        <v>0</v>
      </c>
      <c r="D36" s="190">
        <f t="shared" si="6"/>
        <v>184633752099000</v>
      </c>
      <c r="E36" s="190">
        <f t="shared" si="6"/>
        <v>1358471900409000</v>
      </c>
      <c r="F36" t="s">
        <v>412</v>
      </c>
      <c r="H36" s="226">
        <f>'AEO Conversion Factors'!$C29*10^9</f>
        <v>3994413000</v>
      </c>
      <c r="I36" t="s">
        <v>427</v>
      </c>
      <c r="J36" s="3" t="s">
        <v>111</v>
      </c>
    </row>
    <row r="37" spans="1:10">
      <c r="A37" t="s">
        <v>123</v>
      </c>
      <c r="B37" s="190">
        <f t="shared" si="6"/>
        <v>665276978000000</v>
      </c>
      <c r="C37" s="190">
        <f t="shared" si="6"/>
        <v>121247375000000</v>
      </c>
      <c r="D37" s="190">
        <f t="shared" si="6"/>
        <v>23059777000000</v>
      </c>
      <c r="E37" s="190">
        <f t="shared" si="6"/>
        <v>763464576000000</v>
      </c>
      <c r="F37" t="s">
        <v>412</v>
      </c>
      <c r="H37" s="226">
        <f>'AEO Conversion Factors'!$C18*10^9</f>
        <v>5359000000</v>
      </c>
      <c r="I37" t="s">
        <v>427</v>
      </c>
      <c r="J37" s="3" t="s">
        <v>111</v>
      </c>
    </row>
    <row r="38" spans="1:10">
      <c r="A38" t="s">
        <v>112</v>
      </c>
      <c r="B38" s="190">
        <f t="shared" si="6"/>
        <v>3773600460000000</v>
      </c>
      <c r="C38" s="190">
        <f t="shared" si="6"/>
        <v>218051190000000</v>
      </c>
      <c r="D38" s="190">
        <f t="shared" si="6"/>
        <v>447136200000000</v>
      </c>
      <c r="E38" s="190">
        <f t="shared" si="6"/>
        <v>3544515450000000</v>
      </c>
      <c r="F38" t="s">
        <v>412</v>
      </c>
      <c r="H38" s="226">
        <f>'AEO Conversion Factors'!$C30*10^9</f>
        <v>5670000000</v>
      </c>
      <c r="I38" t="s">
        <v>427</v>
      </c>
      <c r="J38" s="3" t="s">
        <v>111</v>
      </c>
    </row>
    <row r="39" spans="1:10">
      <c r="A39" s="7" t="s">
        <v>148</v>
      </c>
      <c r="B39" s="191"/>
      <c r="C39" s="191"/>
      <c r="D39" s="191"/>
      <c r="E39" s="191"/>
      <c r="F39" s="29"/>
    </row>
    <row r="40" spans="1:10">
      <c r="A40" s="7" t="s">
        <v>125</v>
      </c>
      <c r="B40" s="191"/>
      <c r="C40" s="191"/>
      <c r="D40" s="191"/>
      <c r="E40" s="191"/>
      <c r="F40" s="29"/>
    </row>
    <row r="41" spans="1:10">
      <c r="A41" t="s">
        <v>126</v>
      </c>
      <c r="B41" s="190">
        <f t="shared" ref="B41:E42" si="7">B17*$H41</f>
        <v>519912402325620.44</v>
      </c>
      <c r="C41" s="190">
        <f t="shared" si="7"/>
        <v>0</v>
      </c>
      <c r="D41" s="190">
        <f t="shared" si="7"/>
        <v>0</v>
      </c>
      <c r="E41" s="190">
        <f t="shared" si="7"/>
        <v>519912402325620.44</v>
      </c>
      <c r="F41" t="s">
        <v>412</v>
      </c>
      <c r="H41">
        <f>'GREET1 Fuel_Specs'!$D$69*10^6</f>
        <v>12992301971719.6</v>
      </c>
      <c r="I41" t="s">
        <v>427</v>
      </c>
      <c r="J41" t="s">
        <v>102</v>
      </c>
    </row>
    <row r="42" spans="1:10">
      <c r="A42" t="s">
        <v>113</v>
      </c>
      <c r="B42" s="206">
        <f>B18*$H42</f>
        <v>2.7585282080342E+16</v>
      </c>
      <c r="C42" s="190">
        <f t="shared" si="7"/>
        <v>1.3730942504405E+16</v>
      </c>
      <c r="D42" s="190">
        <f t="shared" si="7"/>
        <v>8531505412304000</v>
      </c>
      <c r="E42" s="190">
        <f t="shared" si="7"/>
        <v>3.2784719172443E+16</v>
      </c>
      <c r="F42" t="s">
        <v>412</v>
      </c>
      <c r="H42" s="227">
        <f>'AEO Conversion Factors'!C48*10^9</f>
        <v>5694899000</v>
      </c>
      <c r="I42" t="s">
        <v>427</v>
      </c>
      <c r="J42" s="3" t="s">
        <v>111</v>
      </c>
    </row>
    <row r="43" spans="1:10">
      <c r="A43" t="s">
        <v>127</v>
      </c>
      <c r="B43" s="190">
        <f t="shared" ref="B43:E43" si="8">B19*$H43</f>
        <v>727701389000000</v>
      </c>
      <c r="C43" s="190">
        <f t="shared" si="8"/>
        <v>251769202000000</v>
      </c>
      <c r="D43" s="190">
        <f t="shared" si="8"/>
        <v>314368861000000</v>
      </c>
      <c r="E43" s="190">
        <f t="shared" si="8"/>
        <v>665101730000000</v>
      </c>
      <c r="F43" t="s">
        <v>412</v>
      </c>
      <c r="H43" s="226">
        <f>'AEO Conversion Factors'!$C41*10^9</f>
        <v>6287000000</v>
      </c>
      <c r="I43" t="s">
        <v>427</v>
      </c>
      <c r="J43" s="3" t="s">
        <v>111</v>
      </c>
    </row>
    <row r="44" spans="1:10">
      <c r="A44" t="s">
        <v>114</v>
      </c>
      <c r="B44" s="190">
        <f t="shared" ref="B44:E44" si="9">B20*$H44</f>
        <v>8513639275680000</v>
      </c>
      <c r="C44" s="190">
        <f t="shared" si="9"/>
        <v>212781090060000</v>
      </c>
      <c r="D44" s="190">
        <f t="shared" si="9"/>
        <v>3855632665500000</v>
      </c>
      <c r="E44" s="190">
        <f t="shared" si="9"/>
        <v>4870787700240000</v>
      </c>
      <c r="F44" t="s">
        <v>412</v>
      </c>
      <c r="H44">
        <f>'GREET1 Fuel_Specs'!$D$36*10^3*42</f>
        <v>3839220000</v>
      </c>
      <c r="I44" t="s">
        <v>427</v>
      </c>
      <c r="J44" s="3" t="s">
        <v>111</v>
      </c>
    </row>
    <row r="45" spans="1:10">
      <c r="A45" t="s">
        <v>128</v>
      </c>
      <c r="B45" s="190">
        <f t="shared" ref="B45:E45" si="10">B21*$H45</f>
        <v>3966365818605251.5</v>
      </c>
      <c r="C45" s="190">
        <f t="shared" si="10"/>
        <v>0</v>
      </c>
      <c r="D45" s="190">
        <f t="shared" si="10"/>
        <v>0</v>
      </c>
      <c r="E45" s="190">
        <f t="shared" si="10"/>
        <v>3966365818605251.5</v>
      </c>
      <c r="F45" t="s">
        <v>412</v>
      </c>
      <c r="H45">
        <f>'GREET1 Fuel_Specs'!$D$90*10^6</f>
        <v>13583444584264.561</v>
      </c>
      <c r="I45" t="s">
        <v>427</v>
      </c>
      <c r="J45" t="s">
        <v>102</v>
      </c>
    </row>
    <row r="46" spans="1:10">
      <c r="A46" t="s">
        <v>129</v>
      </c>
      <c r="B46" s="190">
        <f t="shared" ref="B46:E46" si="11">B22*$H46</f>
        <v>772086274509804</v>
      </c>
      <c r="C46" s="190">
        <f t="shared" si="11"/>
        <v>0</v>
      </c>
      <c r="D46" s="190">
        <f t="shared" si="11"/>
        <v>0</v>
      </c>
      <c r="E46" s="190">
        <f t="shared" si="11"/>
        <v>772086274509804</v>
      </c>
      <c r="F46" t="s">
        <v>412</v>
      </c>
      <c r="H46">
        <f>'GREET1 Fuel_Specs'!$D$62/'GREET1 Fuel_Specs'!$E$62*10^12</f>
        <v>134509803921568.64</v>
      </c>
      <c r="I46" t="s">
        <v>427</v>
      </c>
      <c r="J46" s="3" t="s">
        <v>143</v>
      </c>
    </row>
    <row r="48" spans="1:10">
      <c r="H48" s="226">
        <f>'AEO Conversion Factors'!C48</f>
        <v>5.6948990000000004</v>
      </c>
    </row>
    <row r="49" spans="8:8">
      <c r="H49" s="205">
        <f>10^9</f>
        <v>1000000000</v>
      </c>
    </row>
    <row r="50" spans="8:8">
      <c r="H50" s="210">
        <f>H48*H49</f>
        <v>5694899000</v>
      </c>
    </row>
    <row r="51" spans="8:8">
      <c r="H51">
        <f>H50/H42</f>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AD73"/>
  <sheetViews>
    <sheetView workbookViewId="0">
      <selection activeCell="I19" sqref="I19"/>
    </sheetView>
  </sheetViews>
  <sheetFormatPr defaultRowHeight="14.5"/>
  <cols>
    <col min="1" max="1" width="21.453125" customWidth="1"/>
  </cols>
  <sheetData>
    <row r="1" spans="1:30">
      <c r="A1" s="195" t="s">
        <v>445</v>
      </c>
      <c r="B1" s="196"/>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row>
    <row r="2" spans="1:30" s="1" customFormat="1">
      <c r="B2" s="1">
        <v>2024</v>
      </c>
      <c r="C2" s="1">
        <v>2025</v>
      </c>
      <c r="D2" s="1">
        <v>2026</v>
      </c>
      <c r="E2" s="1">
        <v>2027</v>
      </c>
      <c r="F2" s="1">
        <v>2028</v>
      </c>
      <c r="G2" s="1">
        <v>2029</v>
      </c>
      <c r="H2" s="1">
        <v>2030</v>
      </c>
      <c r="I2" s="1">
        <v>2031</v>
      </c>
      <c r="J2" s="1">
        <v>2032</v>
      </c>
      <c r="K2" s="1">
        <v>2033</v>
      </c>
      <c r="L2" s="1">
        <v>2034</v>
      </c>
      <c r="M2" s="1">
        <v>2035</v>
      </c>
      <c r="N2" s="1">
        <v>2036</v>
      </c>
      <c r="O2" s="1">
        <v>2037</v>
      </c>
      <c r="P2" s="1">
        <v>2038</v>
      </c>
      <c r="Q2" s="1">
        <v>2039</v>
      </c>
      <c r="R2" s="1">
        <v>2040</v>
      </c>
      <c r="S2" s="1">
        <v>2041</v>
      </c>
      <c r="T2" s="1">
        <v>2042</v>
      </c>
      <c r="U2" s="1">
        <v>2043</v>
      </c>
      <c r="V2" s="1">
        <v>2044</v>
      </c>
      <c r="W2" s="1">
        <v>2045</v>
      </c>
      <c r="X2" s="1">
        <v>2046</v>
      </c>
      <c r="Y2" s="1">
        <v>2047</v>
      </c>
      <c r="Z2" s="1">
        <v>2048</v>
      </c>
      <c r="AA2" s="1">
        <v>2049</v>
      </c>
      <c r="AB2" s="1">
        <v>2050</v>
      </c>
    </row>
    <row r="3" spans="1:30" ht="29">
      <c r="A3" s="30" t="s">
        <v>115</v>
      </c>
      <c r="B3" s="7">
        <v>0</v>
      </c>
      <c r="C3" s="7">
        <v>0</v>
      </c>
      <c r="D3" s="7">
        <v>0</v>
      </c>
      <c r="E3" s="7">
        <v>0</v>
      </c>
      <c r="F3" s="7">
        <v>0</v>
      </c>
      <c r="G3" s="7">
        <v>0</v>
      </c>
      <c r="H3" s="7">
        <v>0</v>
      </c>
      <c r="I3" s="7">
        <v>0</v>
      </c>
      <c r="J3" s="7">
        <v>0</v>
      </c>
      <c r="K3" s="7">
        <v>0</v>
      </c>
      <c r="L3" s="7">
        <v>0</v>
      </c>
      <c r="M3" s="7">
        <v>0</v>
      </c>
      <c r="N3" s="7">
        <v>0</v>
      </c>
      <c r="O3" s="7">
        <v>0</v>
      </c>
      <c r="P3" s="7">
        <v>0</v>
      </c>
      <c r="Q3" s="7">
        <v>0</v>
      </c>
      <c r="R3" s="7">
        <v>0</v>
      </c>
      <c r="S3" s="7">
        <v>0</v>
      </c>
      <c r="T3" s="7">
        <v>0</v>
      </c>
      <c r="U3" s="7">
        <v>0</v>
      </c>
      <c r="V3" s="7">
        <v>0</v>
      </c>
      <c r="W3" s="7">
        <v>0</v>
      </c>
      <c r="X3" s="7">
        <v>0</v>
      </c>
      <c r="Y3" s="7">
        <v>0</v>
      </c>
      <c r="Z3" s="7">
        <v>0</v>
      </c>
      <c r="AA3" s="7">
        <v>0</v>
      </c>
      <c r="AB3" s="7">
        <v>0</v>
      </c>
      <c r="AC3" s="7"/>
      <c r="AD3" s="7"/>
    </row>
    <row r="4" spans="1:30">
      <c r="A4" t="s">
        <v>116</v>
      </c>
      <c r="B4" s="229">
        <f>'AEO 2025 HZC Table 1'!F$10/'AEO 2025 HZC Table 1'!$F$10</f>
        <v>1</v>
      </c>
      <c r="C4" s="229">
        <f>'AEO 2025 HZC Table 1'!G$10/'AEO 2025 HZC Table 1'!$F$10</f>
        <v>0.98700477844293888</v>
      </c>
      <c r="D4" s="229">
        <f>'AEO 2025 HZC Table 1'!H$10/'AEO 2025 HZC Table 1'!$F$10</f>
        <v>0.90537095037920678</v>
      </c>
      <c r="E4" s="229">
        <f>'AEO 2025 HZC Table 1'!I$10/'AEO 2025 HZC Table 1'!$F$10</f>
        <v>0.80633696546953926</v>
      </c>
      <c r="F4" s="229">
        <f>'AEO 2025 HZC Table 1'!J$10/'AEO 2025 HZC Table 1'!$F$10</f>
        <v>0.80224172783820513</v>
      </c>
      <c r="G4" s="229">
        <f>'AEO 2025 HZC Table 1'!K$10/'AEO 2025 HZC Table 1'!$F$10</f>
        <v>0.76872190046615396</v>
      </c>
      <c r="H4" s="229">
        <f>'AEO 2025 HZC Table 1'!L$10/'AEO 2025 HZC Table 1'!$F$10</f>
        <v>0.6901260125574169</v>
      </c>
      <c r="I4" s="229">
        <f>'AEO 2025 HZC Table 1'!M$10/'AEO 2025 HZC Table 1'!$F$10</f>
        <v>0.66121891698368707</v>
      </c>
      <c r="J4" s="229">
        <f>'AEO 2025 HZC Table 1'!N$10/'AEO 2025 HZC Table 1'!$F$10</f>
        <v>0.42021003716566729</v>
      </c>
      <c r="K4" s="229">
        <f>'AEO 2025 HZC Table 1'!O$10/'AEO 2025 HZC Table 1'!$F$10</f>
        <v>0.4201700950330497</v>
      </c>
      <c r="L4" s="229">
        <f>'AEO 2025 HZC Table 1'!P$10/'AEO 2025 HZC Table 1'!$F$10</f>
        <v>0.41575911971436513</v>
      </c>
      <c r="M4" s="229">
        <f>'AEO 2025 HZC Table 1'!Q$10/'AEO 2025 HZC Table 1'!$F$10</f>
        <v>0.41875146738627456</v>
      </c>
      <c r="N4" s="229">
        <f>'AEO 2025 HZC Table 1'!R$10/'AEO 2025 HZC Table 1'!$F$10</f>
        <v>0.41169905064370155</v>
      </c>
      <c r="O4" s="229">
        <f>'AEO 2025 HZC Table 1'!S$10/'AEO 2025 HZC Table 1'!$F$10</f>
        <v>0.41288776747833628</v>
      </c>
      <c r="P4" s="229">
        <f>'AEO 2025 HZC Table 1'!T$10/'AEO 2025 HZC Table 1'!$F$10</f>
        <v>0.40541576350360703</v>
      </c>
      <c r="Q4" s="229">
        <f>'AEO 2025 HZC Table 1'!U$10/'AEO 2025 HZC Table 1'!$F$10</f>
        <v>0.37580792705202709</v>
      </c>
      <c r="R4" s="229">
        <f>'AEO 2025 HZC Table 1'!V$10/'AEO 2025 HZC Table 1'!$F$10</f>
        <v>0.37923905366371646</v>
      </c>
      <c r="S4" s="229">
        <f>'AEO 2025 HZC Table 1'!W$10/'AEO 2025 HZC Table 1'!$F$10</f>
        <v>0.37499768627890329</v>
      </c>
      <c r="T4" s="229">
        <f>'AEO 2025 HZC Table 1'!X$10/'AEO 2025 HZC Table 1'!$F$10</f>
        <v>0.37542448257889793</v>
      </c>
      <c r="U4" s="229">
        <f>'AEO 2025 HZC Table 1'!Y$10/'AEO 2025 HZC Table 1'!$F$10</f>
        <v>0.37653584806402435</v>
      </c>
      <c r="V4" s="229">
        <f>'AEO 2025 HZC Table 1'!Z$10/'AEO 2025 HZC Table 1'!$F$10</f>
        <v>0.37757755836665907</v>
      </c>
      <c r="W4" s="229">
        <f>'AEO 2025 HZC Table 1'!AA$10/'AEO 2025 HZC Table 1'!$F$10</f>
        <v>0.38161551313462938</v>
      </c>
      <c r="X4" s="229">
        <f>'AEO 2025 HZC Table 1'!AB$10/'AEO 2025 HZC Table 1'!$F$10</f>
        <v>0.36835121799149528</v>
      </c>
      <c r="Y4" s="229">
        <f>'AEO 2025 HZC Table 1'!AC$10/'AEO 2025 HZC Table 1'!$F$10</f>
        <v>0.37167518278396666</v>
      </c>
      <c r="Z4" s="229">
        <f>'AEO 2025 HZC Table 1'!AD$10/'AEO 2025 HZC Table 1'!$F$10</f>
        <v>0.37260934158804077</v>
      </c>
      <c r="AA4" s="229">
        <f>'AEO 2025 HZC Table 1'!AE$10/'AEO 2025 HZC Table 1'!$F$10</f>
        <v>0.37435676118014388</v>
      </c>
      <c r="AB4" s="229">
        <f>'AEO 2025 HZC Table 1'!AF$10/'AEO 2025 HZC Table 1'!$F$10</f>
        <v>0.36992932190923394</v>
      </c>
    </row>
    <row r="5" spans="1:30">
      <c r="A5" t="s">
        <v>106</v>
      </c>
      <c r="B5" s="229">
        <f>'AEO 2025 HZC Table 1'!F9/'AEO 2025 HZC Table 1'!$F$9</f>
        <v>1</v>
      </c>
      <c r="C5" s="229">
        <f>'AEO 2025 HZC Table 1'!G9/'AEO 2025 HZC Table 1'!$F$9</f>
        <v>1.0046849061482745</v>
      </c>
      <c r="D5" s="229">
        <f>'AEO 2025 HZC Table 1'!H9/'AEO 2025 HZC Table 1'!$F$9</f>
        <v>1.0150389067231658</v>
      </c>
      <c r="E5" s="229">
        <f>'AEO 2025 HZC Table 1'!I9/'AEO 2025 HZC Table 1'!$F$9</f>
        <v>1.0209780753451447</v>
      </c>
      <c r="F5" s="229">
        <f>'AEO 2025 HZC Table 1'!J9/'AEO 2025 HZC Table 1'!$F$9</f>
        <v>1.05123925667577</v>
      </c>
      <c r="G5" s="229">
        <f>'AEO 2025 HZC Table 1'!K9/'AEO 2025 HZC Table 1'!$F$9</f>
        <v>1.0722446587127474</v>
      </c>
      <c r="H5" s="229">
        <f>'AEO 2025 HZC Table 1'!L9/'AEO 2025 HZC Table 1'!$F$9</f>
        <v>1.0951613453863067</v>
      </c>
      <c r="I5" s="229">
        <f>'AEO 2025 HZC Table 1'!M9/'AEO 2025 HZC Table 1'!$F$9</f>
        <v>1.0974983180383469</v>
      </c>
      <c r="J5" s="229">
        <f>'AEO 2025 HZC Table 1'!N9/'AEO 2025 HZC Table 1'!$F$9</f>
        <v>1.1443821977990927</v>
      </c>
      <c r="K5" s="229">
        <f>'AEO 2025 HZC Table 1'!O9/'AEO 2025 HZC Table 1'!$F$9</f>
        <v>1.1438815939219404</v>
      </c>
      <c r="L5" s="229">
        <f>'AEO 2025 HZC Table 1'!P9/'AEO 2025 HZC Table 1'!$F$9</f>
        <v>1.1436321592978704</v>
      </c>
      <c r="M5" s="229">
        <f>'AEO 2025 HZC Table 1'!Q9/'AEO 2025 HZC Table 1'!$F$9</f>
        <v>1.1333347227125135</v>
      </c>
      <c r="N5" s="229">
        <f>'AEO 2025 HZC Table 1'!R9/'AEO 2025 HZC Table 1'!$F$9</f>
        <v>1.1242981854422995</v>
      </c>
      <c r="O5" s="229">
        <f>'AEO 2025 HZC Table 1'!S9/'AEO 2025 HZC Table 1'!$F$9</f>
        <v>1.1081234486697382</v>
      </c>
      <c r="P5" s="229">
        <f>'AEO 2025 HZC Table 1'!T9/'AEO 2025 HZC Table 1'!$F$9</f>
        <v>1.1023375307500702</v>
      </c>
      <c r="Q5" s="229">
        <f>'AEO 2025 HZC Table 1'!U9/'AEO 2025 HZC Table 1'!$F$9</f>
        <v>1.0926883677638757</v>
      </c>
      <c r="R5" s="229">
        <f>'AEO 2025 HZC Table 1'!V9/'AEO 2025 HZC Table 1'!$F$9</f>
        <v>1.0994662923622174</v>
      </c>
      <c r="S5" s="229">
        <f>'AEO 2025 HZC Table 1'!W9/'AEO 2025 HZC Table 1'!$F$9</f>
        <v>1.1137130518363965</v>
      </c>
      <c r="T5" s="229">
        <f>'AEO 2025 HZC Table 1'!X9/'AEO 2025 HZC Table 1'!$F$9</f>
        <v>1.1198861188399867</v>
      </c>
      <c r="U5" s="229">
        <f>'AEO 2025 HZC Table 1'!Y9/'AEO 2025 HZC Table 1'!$F$9</f>
        <v>1.1246233906727943</v>
      </c>
      <c r="V5" s="229">
        <f>'AEO 2025 HZC Table 1'!Z9/'AEO 2025 HZC Table 1'!$F$9</f>
        <v>1.1287940673073265</v>
      </c>
      <c r="W5" s="229">
        <f>'AEO 2025 HZC Table 1'!AA9/'AEO 2025 HZC Table 1'!$F$9</f>
        <v>1.135376531897389</v>
      </c>
      <c r="X5" s="229">
        <f>'AEO 2025 HZC Table 1'!AB9/'AEO 2025 HZC Table 1'!$F$9</f>
        <v>1.1451740433734683</v>
      </c>
      <c r="Y5" s="229">
        <f>'AEO 2025 HZC Table 1'!AC9/'AEO 2025 HZC Table 1'!$F$9</f>
        <v>1.152006219122661</v>
      </c>
      <c r="Z5" s="229">
        <f>'AEO 2025 HZC Table 1'!AD9/'AEO 2025 HZC Table 1'!$F$9</f>
        <v>1.1561104519241536</v>
      </c>
      <c r="AA5" s="229">
        <f>'AEO 2025 HZC Table 1'!AE9/'AEO 2025 HZC Table 1'!$F$9</f>
        <v>1.1615095978531629</v>
      </c>
      <c r="AB5" s="229">
        <f>'AEO 2025 HZC Table 1'!AF9/'AEO 2025 HZC Table 1'!$F$9</f>
        <v>1.1654769709395341</v>
      </c>
    </row>
    <row r="6" spans="1:30">
      <c r="A6" t="s">
        <v>108</v>
      </c>
      <c r="B6" s="229">
        <f>'AEO 2025 HZC Table 1'!F11/'AEO 2025 HZC Table 1'!$F$11</f>
        <v>1</v>
      </c>
      <c r="C6" s="229">
        <f>'AEO 2025 HZC Table 1'!G11/'AEO 2025 HZC Table 1'!$F$11</f>
        <v>1.0195119374837951</v>
      </c>
      <c r="D6" s="229">
        <f>'AEO 2025 HZC Table 1'!H11/'AEO 2025 HZC Table 1'!$F$11</f>
        <v>1.0291884362650914</v>
      </c>
      <c r="E6" s="229">
        <f>'AEO 2025 HZC Table 1'!I11/'AEO 2025 HZC Table 1'!$F$11</f>
        <v>1.026847796619935</v>
      </c>
      <c r="F6" s="229">
        <f>'AEO 2025 HZC Table 1'!J11/'AEO 2025 HZC Table 1'!$F$11</f>
        <v>1.0268309300287619</v>
      </c>
      <c r="G6" s="229">
        <f>'AEO 2025 HZC Table 1'!K11/'AEO 2025 HZC Table 1'!$F$11</f>
        <v>1.0268170181688889</v>
      </c>
      <c r="H6" s="229">
        <f>'AEO 2025 HZC Table 1'!L11/'AEO 2025 HZC Table 1'!$F$11</f>
        <v>1.0153366559286807</v>
      </c>
      <c r="I6" s="229">
        <f>'AEO 2025 HZC Table 1'!M11/'AEO 2025 HZC Table 1'!$F$11</f>
        <v>1.0046512395220919</v>
      </c>
      <c r="J6" s="229">
        <f>'AEO 2025 HZC Table 1'!N11/'AEO 2025 HZC Table 1'!$F$11</f>
        <v>1.0046458225147077</v>
      </c>
      <c r="K6" s="229">
        <f>'AEO 2025 HZC Table 1'!O11/'AEO 2025 HZC Table 1'!$F$11</f>
        <v>1.004665397609573</v>
      </c>
      <c r="L6" s="229">
        <f>'AEO 2025 HZC Table 1'!P11/'AEO 2025 HZC Table 1'!$F$11</f>
        <v>1.004665397609573</v>
      </c>
      <c r="M6" s="229">
        <f>'AEO 2025 HZC Table 1'!Q11/'AEO 2025 HZC Table 1'!$F$11</f>
        <v>1.0020451665151133</v>
      </c>
      <c r="N6" s="229">
        <f>'AEO 2025 HZC Table 1'!R11/'AEO 2025 HZC Table 1'!$F$11</f>
        <v>0.99564583408740526</v>
      </c>
      <c r="O6" s="229">
        <f>'AEO 2025 HZC Table 1'!S11/'AEO 2025 HZC Table 1'!$F$11</f>
        <v>1.0006672768186802</v>
      </c>
      <c r="P6" s="229">
        <f>'AEO 2025 HZC Table 1'!T11/'AEO 2025 HZC Table 1'!$F$11</f>
        <v>1.0002935033091758</v>
      </c>
      <c r="Q6" s="229">
        <f>'AEO 2025 HZC Table 1'!U11/'AEO 2025 HZC Table 1'!$F$11</f>
        <v>0.9985391315995461</v>
      </c>
      <c r="R6" s="229">
        <f>'AEO 2025 HZC Table 1'!V11/'AEO 2025 HZC Table 1'!$F$11</f>
        <v>0.99837575958139324</v>
      </c>
      <c r="S6" s="229">
        <f>'AEO 2025 HZC Table 1'!W11/'AEO 2025 HZC Table 1'!$F$11</f>
        <v>0.99845775337498022</v>
      </c>
      <c r="T6" s="229">
        <f>'AEO 2025 HZC Table 1'!X11/'AEO 2025 HZC Table 1'!$F$11</f>
        <v>0.9985001045236197</v>
      </c>
      <c r="U6" s="229">
        <f>'AEO 2025 HZC Table 1'!Y11/'AEO 2025 HZC Table 1'!$F$11</f>
        <v>0.99854935004529344</v>
      </c>
      <c r="V6" s="229">
        <f>'AEO 2025 HZC Table 1'!Z11/'AEO 2025 HZC Table 1'!$F$11</f>
        <v>0.9982974592019318</v>
      </c>
      <c r="W6" s="229">
        <f>'AEO 2025 HZC Table 1'!AA11/'AEO 2025 HZC Table 1'!$F$11</f>
        <v>0.99847868272169149</v>
      </c>
      <c r="X6" s="229">
        <f>'AEO 2025 HZC Table 1'!AB11/'AEO 2025 HZC Table 1'!$F$11</f>
        <v>0.99802500835327157</v>
      </c>
      <c r="Y6" s="229">
        <f>'AEO 2025 HZC Table 1'!AC11/'AEO 2025 HZC Table 1'!$F$11</f>
        <v>0.99844605756358273</v>
      </c>
      <c r="Z6" s="229">
        <f>'AEO 2025 HZC Table 1'!AD11/'AEO 2025 HZC Table 1'!$F$11</f>
        <v>0.99832983813243248</v>
      </c>
      <c r="AA6" s="229">
        <f>'AEO 2025 HZC Table 1'!AE11/'AEO 2025 HZC Table 1'!$F$11</f>
        <v>0.99810343184653705</v>
      </c>
      <c r="AB6" s="229">
        <f>'AEO 2025 HZC Table 1'!AF11/'AEO 2025 HZC Table 1'!$F$11</f>
        <v>0.9981998299552135</v>
      </c>
    </row>
    <row r="7" spans="1:30">
      <c r="A7" s="7" t="s">
        <v>118</v>
      </c>
      <c r="B7" s="7">
        <v>0</v>
      </c>
      <c r="C7" s="7">
        <v>0</v>
      </c>
      <c r="D7" s="7">
        <v>0</v>
      </c>
      <c r="E7" s="7">
        <v>0</v>
      </c>
      <c r="F7" s="7">
        <v>0</v>
      </c>
      <c r="G7" s="7">
        <v>0</v>
      </c>
      <c r="H7" s="7">
        <v>0</v>
      </c>
      <c r="I7" s="7">
        <v>0</v>
      </c>
      <c r="J7" s="7">
        <v>0</v>
      </c>
      <c r="K7" s="7">
        <v>0</v>
      </c>
      <c r="L7" s="7">
        <v>0</v>
      </c>
      <c r="M7" s="7">
        <v>0</v>
      </c>
      <c r="N7" s="7">
        <v>0</v>
      </c>
      <c r="O7" s="7">
        <v>0</v>
      </c>
      <c r="P7" s="7">
        <v>0</v>
      </c>
      <c r="Q7" s="7">
        <v>0</v>
      </c>
      <c r="R7" s="7">
        <v>0</v>
      </c>
      <c r="S7" s="7">
        <v>0</v>
      </c>
      <c r="T7" s="7">
        <v>0</v>
      </c>
      <c r="U7" s="7">
        <v>0</v>
      </c>
      <c r="V7" s="7">
        <v>0</v>
      </c>
      <c r="W7" s="7">
        <v>0</v>
      </c>
      <c r="X7" s="7">
        <v>0</v>
      </c>
      <c r="Y7" s="7">
        <v>0</v>
      </c>
      <c r="Z7" s="7">
        <v>0</v>
      </c>
      <c r="AA7" s="7">
        <v>0</v>
      </c>
      <c r="AB7" s="7">
        <v>0</v>
      </c>
      <c r="AC7" s="7"/>
      <c r="AD7" s="7"/>
    </row>
    <row r="8" spans="1:30">
      <c r="A8" s="7" t="s">
        <v>119</v>
      </c>
      <c r="B8" s="7">
        <v>0</v>
      </c>
      <c r="C8" s="7">
        <v>0</v>
      </c>
      <c r="D8" s="7">
        <v>0</v>
      </c>
      <c r="E8" s="7">
        <v>0</v>
      </c>
      <c r="F8" s="7">
        <v>0</v>
      </c>
      <c r="G8" s="7">
        <v>0</v>
      </c>
      <c r="H8" s="7">
        <v>0</v>
      </c>
      <c r="I8" s="7">
        <v>0</v>
      </c>
      <c r="J8" s="7">
        <v>0</v>
      </c>
      <c r="K8" s="7">
        <v>0</v>
      </c>
      <c r="L8" s="7">
        <v>0</v>
      </c>
      <c r="M8" s="7">
        <v>0</v>
      </c>
      <c r="N8" s="7">
        <v>0</v>
      </c>
      <c r="O8" s="7">
        <v>0</v>
      </c>
      <c r="P8" s="7">
        <v>0</v>
      </c>
      <c r="Q8" s="7">
        <v>0</v>
      </c>
      <c r="R8" s="7">
        <v>0</v>
      </c>
      <c r="S8" s="7">
        <v>0</v>
      </c>
      <c r="T8" s="7">
        <v>0</v>
      </c>
      <c r="U8" s="7">
        <v>0</v>
      </c>
      <c r="V8" s="7">
        <v>0</v>
      </c>
      <c r="W8" s="7">
        <v>0</v>
      </c>
      <c r="X8" s="7">
        <v>0</v>
      </c>
      <c r="Y8" s="7">
        <v>0</v>
      </c>
      <c r="Z8" s="7">
        <v>0</v>
      </c>
      <c r="AA8" s="7">
        <v>0</v>
      </c>
      <c r="AB8" s="7">
        <v>0</v>
      </c>
      <c r="AC8" s="7"/>
      <c r="AD8" s="7"/>
    </row>
    <row r="9" spans="1:30">
      <c r="A9" s="7" t="s">
        <v>120</v>
      </c>
      <c r="B9" s="7">
        <v>0</v>
      </c>
      <c r="C9" s="7">
        <v>0</v>
      </c>
      <c r="D9" s="7">
        <v>0</v>
      </c>
      <c r="E9" s="7">
        <v>0</v>
      </c>
      <c r="F9" s="7">
        <v>0</v>
      </c>
      <c r="G9" s="7">
        <v>0</v>
      </c>
      <c r="H9" s="7">
        <v>0</v>
      </c>
      <c r="I9" s="7">
        <v>0</v>
      </c>
      <c r="J9" s="7">
        <v>0</v>
      </c>
      <c r="K9" s="7">
        <v>0</v>
      </c>
      <c r="L9" s="7">
        <v>0</v>
      </c>
      <c r="M9" s="7">
        <v>0</v>
      </c>
      <c r="N9" s="7">
        <v>0</v>
      </c>
      <c r="O9" s="7">
        <v>0</v>
      </c>
      <c r="P9" s="7">
        <v>0</v>
      </c>
      <c r="Q9" s="7">
        <v>0</v>
      </c>
      <c r="R9" s="7">
        <v>0</v>
      </c>
      <c r="S9" s="7">
        <v>0</v>
      </c>
      <c r="T9" s="7">
        <v>0</v>
      </c>
      <c r="U9" s="7">
        <v>0</v>
      </c>
      <c r="V9" s="7">
        <v>0</v>
      </c>
      <c r="W9" s="7">
        <v>0</v>
      </c>
      <c r="X9" s="7">
        <v>0</v>
      </c>
      <c r="Y9" s="7">
        <v>0</v>
      </c>
      <c r="Z9" s="7">
        <v>0</v>
      </c>
      <c r="AA9" s="7">
        <v>0</v>
      </c>
      <c r="AB9" s="7">
        <v>0</v>
      </c>
      <c r="AC9" s="7"/>
      <c r="AD9" s="7"/>
    </row>
    <row r="10" spans="1:30">
      <c r="A10" t="s">
        <v>109</v>
      </c>
      <c r="B10" s="229">
        <f>'AEO 2025 HZC Table 1'!F13/'AEO 2025 HZC Table 1'!$F$13</f>
        <v>1</v>
      </c>
      <c r="C10" s="229">
        <f>'AEO 2025 HZC Table 1'!G13/'AEO 2025 HZC Table 1'!$F$13</f>
        <v>1.0185979674148653</v>
      </c>
      <c r="D10" s="229">
        <f>'AEO 2025 HZC Table 1'!H13/'AEO 2025 HZC Table 1'!$F$13</f>
        <v>1.0214897878879365</v>
      </c>
      <c r="E10" s="229">
        <f>'AEO 2025 HZC Table 1'!I13/'AEO 2025 HZC Table 1'!$F$13</f>
        <v>1.0058682330552888</v>
      </c>
      <c r="F10" s="229">
        <f>'AEO 2025 HZC Table 1'!J13/'AEO 2025 HZC Table 1'!$F$13</f>
        <v>0.97082780693154958</v>
      </c>
      <c r="G10" s="229">
        <f>'AEO 2025 HZC Table 1'!K13/'AEO 2025 HZC Table 1'!$F$13</f>
        <v>0.97492469394193304</v>
      </c>
      <c r="H10" s="229">
        <f>'AEO 2025 HZC Table 1'!L13/'AEO 2025 HZC Table 1'!$F$13</f>
        <v>0.98015201986451705</v>
      </c>
      <c r="I10" s="229">
        <f>'AEO 2025 HZC Table 1'!M13/'AEO 2025 HZC Table 1'!$F$13</f>
        <v>0.98172047205365054</v>
      </c>
      <c r="J10" s="229">
        <f>'AEO 2025 HZC Table 1'!N13/'AEO 2025 HZC Table 1'!$F$13</f>
        <v>0.98503186090767547</v>
      </c>
      <c r="K10" s="229">
        <f>'AEO 2025 HZC Table 1'!O13/'AEO 2025 HZC Table 1'!$F$13</f>
        <v>0.98283882637883024</v>
      </c>
      <c r="L10" s="229">
        <f>'AEO 2025 HZC Table 1'!P13/'AEO 2025 HZC Table 1'!$F$13</f>
        <v>0.98292765869394871</v>
      </c>
      <c r="M10" s="229">
        <f>'AEO 2025 HZC Table 1'!Q13/'AEO 2025 HZC Table 1'!$F$13</f>
        <v>0.98295182786799051</v>
      </c>
      <c r="N10" s="229">
        <f>'AEO 2025 HZC Table 1'!R13/'AEO 2025 HZC Table 1'!$F$13</f>
        <v>0.98825590151867226</v>
      </c>
      <c r="O10" s="229">
        <f>'AEO 2025 HZC Table 1'!S13/'AEO 2025 HZC Table 1'!$F$13</f>
        <v>0.98825250935389453</v>
      </c>
      <c r="P10" s="229">
        <f>'AEO 2025 HZC Table 1'!T13/'AEO 2025 HZC Table 1'!$F$13</f>
        <v>0.98761245026238409</v>
      </c>
      <c r="Q10" s="229">
        <f>'AEO 2025 HZC Table 1'!U13/'AEO 2025 HZC Table 1'!$F$13</f>
        <v>0.98928881569351113</v>
      </c>
      <c r="R10" s="229">
        <f>'AEO 2025 HZC Table 1'!V13/'AEO 2025 HZC Table 1'!$F$13</f>
        <v>0.99391657649161969</v>
      </c>
      <c r="S10" s="229">
        <f>'AEO 2025 HZC Table 1'!W13/'AEO 2025 HZC Table 1'!$F$13</f>
        <v>0.9910847549330557</v>
      </c>
      <c r="T10" s="229">
        <f>'AEO 2025 HZC Table 1'!X13/'AEO 2025 HZC Table 1'!$F$13</f>
        <v>0.98956379305081121</v>
      </c>
      <c r="U10" s="229">
        <f>'AEO 2025 HZC Table 1'!Y13/'AEO 2025 HZC Table 1'!$F$13</f>
        <v>0.98708772477331863</v>
      </c>
      <c r="V10" s="229">
        <f>'AEO 2025 HZC Table 1'!Z13/'AEO 2025 HZC Table 1'!$F$13</f>
        <v>0.98917008992628841</v>
      </c>
      <c r="W10" s="229">
        <f>'AEO 2025 HZC Table 1'!AA13/'AEO 2025 HZC Table 1'!$F$13</f>
        <v>0.99320697802216451</v>
      </c>
      <c r="X10" s="229">
        <f>'AEO 2025 HZC Table 1'!AB13/'AEO 2025 HZC Table 1'!$F$13</f>
        <v>0.99647596481646694</v>
      </c>
      <c r="Y10" s="229">
        <f>'AEO 2025 HZC Table 1'!AC13/'AEO 2025 HZC Table 1'!$F$13</f>
        <v>1.0015131175011958</v>
      </c>
      <c r="Z10" s="229">
        <f>'AEO 2025 HZC Table 1'!AD13/'AEO 2025 HZC Table 1'!$F$13</f>
        <v>1.0058302832118375</v>
      </c>
      <c r="AA10" s="229">
        <f>'AEO 2025 HZC Table 1'!AE13/'AEO 2025 HZC Table 1'!$F$13</f>
        <v>1.0118808451239327</v>
      </c>
      <c r="AB10" s="229">
        <f>'AEO 2025 HZC Table 1'!AF13/'AEO 2025 HZC Table 1'!$F$13</f>
        <v>1.0179515480143964</v>
      </c>
    </row>
    <row r="11" spans="1:30">
      <c r="A11" t="s">
        <v>110</v>
      </c>
      <c r="B11" s="233">
        <f>'AEO 2025 Alt T Table 1'!F$7/'AEO 2025 Alt T Table 1'!$F$7</f>
        <v>1</v>
      </c>
      <c r="C11" s="233">
        <f>'AEO 2025 Alt T Table 1'!G$7/'AEO 2025 Alt T Table 1'!$F$7</f>
        <v>1.0290599038117523</v>
      </c>
      <c r="D11" s="233">
        <f>'AEO 2025 Alt T Table 1'!H$7/'AEO 2025 Alt T Table 1'!$F$7</f>
        <v>1.0395104336714649</v>
      </c>
      <c r="E11" s="233">
        <f>'AEO 2025 Alt T Table 1'!I$7/'AEO 2025 Alt T Table 1'!$F$7</f>
        <v>1.0539953266927522</v>
      </c>
      <c r="F11" s="233">
        <f>'AEO 2025 Alt T Table 1'!J$7/'AEO 2025 Alt T Table 1'!$F$7</f>
        <v>1.0518566408712593</v>
      </c>
      <c r="G11" s="233">
        <f>'AEO 2025 Alt T Table 1'!K$7/'AEO 2025 Alt T Table 1'!$F$7</f>
        <v>1.0522429275028582</v>
      </c>
      <c r="H11" s="233">
        <f>'AEO 2025 Alt T Table 1'!L$7/'AEO 2025 Alt T Table 1'!$F$7</f>
        <v>1.0466010818064713</v>
      </c>
      <c r="I11" s="233">
        <f>'AEO 2025 Alt T Table 1'!M$7/'AEO 2025 Alt T Table 1'!$F$7</f>
        <v>1.032544930899151</v>
      </c>
      <c r="J11" s="233">
        <f>'AEO 2025 Alt T Table 1'!N$7/'AEO 2025 Alt T Table 1'!$F$7</f>
        <v>1.0176563830943872</v>
      </c>
      <c r="K11" s="233">
        <f>'AEO 2025 Alt T Table 1'!O$7/'AEO 2025 Alt T Table 1'!$F$7</f>
        <v>1.0075980384838923</v>
      </c>
      <c r="L11" s="233">
        <f>'AEO 2025 Alt T Table 1'!P$7/'AEO 2025 Alt T Table 1'!$F$7</f>
        <v>1.0009117733567598</v>
      </c>
      <c r="M11" s="233">
        <f>'AEO 2025 Alt T Table 1'!Q$7/'AEO 2025 Alt T Table 1'!$F$7</f>
        <v>0.9846929052228327</v>
      </c>
      <c r="N11" s="233">
        <f>'AEO 2025 Alt T Table 1'!R$7/'AEO 2025 Alt T Table 1'!$F$7</f>
        <v>0.97028272802471838</v>
      </c>
      <c r="O11" s="233">
        <f>'AEO 2025 Alt T Table 1'!S$7/'AEO 2025 Alt T Table 1'!$F$7</f>
        <v>0.96253828002572961</v>
      </c>
      <c r="P11" s="233">
        <f>'AEO 2025 Alt T Table 1'!T$7/'AEO 2025 Alt T Table 1'!$F$7</f>
        <v>0.95584986663662497</v>
      </c>
      <c r="Q11" s="233">
        <f>'AEO 2025 Alt T Table 1'!U$7/'AEO 2025 Alt T Table 1'!$F$7</f>
        <v>0.94288583385807978</v>
      </c>
      <c r="R11" s="233">
        <f>'AEO 2025 Alt T Table 1'!V$7/'AEO 2025 Alt T Table 1'!$F$7</f>
        <v>0.93094681333008944</v>
      </c>
      <c r="S11" s="233">
        <f>'AEO 2025 Alt T Table 1'!W$7/'AEO 2025 Alt T Table 1'!$F$7</f>
        <v>0.93068257710749425</v>
      </c>
      <c r="T11" s="233">
        <f>'AEO 2025 Alt T Table 1'!X$7/'AEO 2025 Alt T Table 1'!$F$7</f>
        <v>0.93503910674247681</v>
      </c>
      <c r="U11" s="233">
        <f>'AEO 2025 Alt T Table 1'!Y$7/'AEO 2025 Alt T Table 1'!$F$7</f>
        <v>0.92858467185225557</v>
      </c>
      <c r="V11" s="233">
        <f>'AEO 2025 Alt T Table 1'!Z$7/'AEO 2025 Alt T Table 1'!$F$7</f>
        <v>0.9186882479365216</v>
      </c>
      <c r="W11" s="233">
        <f>'AEO 2025 Alt T Table 1'!AA$7/'AEO 2025 Alt T Table 1'!$F$7</f>
        <v>0.9101151533957359</v>
      </c>
      <c r="X11" s="233">
        <f>'AEO 2025 Alt T Table 1'!AB$7/'AEO 2025 Alt T Table 1'!$F$7</f>
        <v>0.90442222275787176</v>
      </c>
      <c r="Y11" s="233">
        <f>'AEO 2025 Alt T Table 1'!AC$7/'AEO 2025 Alt T Table 1'!$F$7</f>
        <v>0.91414281689285448</v>
      </c>
      <c r="Z11" s="233">
        <f>'AEO 2025 Alt T Table 1'!AD$7/'AEO 2025 Alt T Table 1'!$F$7</f>
        <v>0.91073192304911055</v>
      </c>
      <c r="AA11" s="233">
        <f>'AEO 2025 Alt T Table 1'!AE$7/'AEO 2025 Alt T Table 1'!$F$7</f>
        <v>0.90169669730573732</v>
      </c>
      <c r="AB11" s="233">
        <f>'AEO 2025 Alt T Table 1'!AF$7/'AEO 2025 Alt T Table 1'!$F$7</f>
        <v>0.88532111528149038</v>
      </c>
    </row>
    <row r="12" spans="1:30">
      <c r="A12" t="s">
        <v>121</v>
      </c>
      <c r="B12" s="233">
        <f>'AEO 2025 Alt T Table 1'!F$7/'AEO 2025 Alt T Table 1'!$F$7</f>
        <v>1</v>
      </c>
      <c r="C12" s="233">
        <f>'AEO 2025 Alt T Table 1'!G$7/'AEO 2025 Alt T Table 1'!$F$7</f>
        <v>1.0290599038117523</v>
      </c>
      <c r="D12" s="233">
        <f>'AEO 2025 Alt T Table 1'!H$7/'AEO 2025 Alt T Table 1'!$F$7</f>
        <v>1.0395104336714649</v>
      </c>
      <c r="E12" s="233">
        <f>'AEO 2025 Alt T Table 1'!I$7/'AEO 2025 Alt T Table 1'!$F$7</f>
        <v>1.0539953266927522</v>
      </c>
      <c r="F12" s="233">
        <f>'AEO 2025 Alt T Table 1'!J$7/'AEO 2025 Alt T Table 1'!$F$7</f>
        <v>1.0518566408712593</v>
      </c>
      <c r="G12" s="233">
        <f>'AEO 2025 Alt T Table 1'!K$7/'AEO 2025 Alt T Table 1'!$F$7</f>
        <v>1.0522429275028582</v>
      </c>
      <c r="H12" s="233">
        <f>'AEO 2025 Alt T Table 1'!L$7/'AEO 2025 Alt T Table 1'!$F$7</f>
        <v>1.0466010818064713</v>
      </c>
      <c r="I12" s="233">
        <f>'AEO 2025 Alt T Table 1'!M$7/'AEO 2025 Alt T Table 1'!$F$7</f>
        <v>1.032544930899151</v>
      </c>
      <c r="J12" s="233">
        <f>'AEO 2025 Alt T Table 1'!N$7/'AEO 2025 Alt T Table 1'!$F$7</f>
        <v>1.0176563830943872</v>
      </c>
      <c r="K12" s="233">
        <f>'AEO 2025 Alt T Table 1'!O$7/'AEO 2025 Alt T Table 1'!$F$7</f>
        <v>1.0075980384838923</v>
      </c>
      <c r="L12" s="233">
        <f>'AEO 2025 Alt T Table 1'!P$7/'AEO 2025 Alt T Table 1'!$F$7</f>
        <v>1.0009117733567598</v>
      </c>
      <c r="M12" s="233">
        <f>'AEO 2025 Alt T Table 1'!Q$7/'AEO 2025 Alt T Table 1'!$F$7</f>
        <v>0.9846929052228327</v>
      </c>
      <c r="N12" s="233">
        <f>'AEO 2025 Alt T Table 1'!R$7/'AEO 2025 Alt T Table 1'!$F$7</f>
        <v>0.97028272802471838</v>
      </c>
      <c r="O12" s="233">
        <f>'AEO 2025 Alt T Table 1'!S$7/'AEO 2025 Alt T Table 1'!$F$7</f>
        <v>0.96253828002572961</v>
      </c>
      <c r="P12" s="233">
        <f>'AEO 2025 Alt T Table 1'!T$7/'AEO 2025 Alt T Table 1'!$F$7</f>
        <v>0.95584986663662497</v>
      </c>
      <c r="Q12" s="233">
        <f>'AEO 2025 Alt T Table 1'!U$7/'AEO 2025 Alt T Table 1'!$F$7</f>
        <v>0.94288583385807978</v>
      </c>
      <c r="R12" s="233">
        <f>'AEO 2025 Alt T Table 1'!V$7/'AEO 2025 Alt T Table 1'!$F$7</f>
        <v>0.93094681333008944</v>
      </c>
      <c r="S12" s="233">
        <f>'AEO 2025 Alt T Table 1'!W$7/'AEO 2025 Alt T Table 1'!$F$7</f>
        <v>0.93068257710749425</v>
      </c>
      <c r="T12" s="233">
        <f>'AEO 2025 Alt T Table 1'!X$7/'AEO 2025 Alt T Table 1'!$F$7</f>
        <v>0.93503910674247681</v>
      </c>
      <c r="U12" s="233">
        <f>'AEO 2025 Alt T Table 1'!Y$7/'AEO 2025 Alt T Table 1'!$F$7</f>
        <v>0.92858467185225557</v>
      </c>
      <c r="V12" s="233">
        <f>'AEO 2025 Alt T Table 1'!Z$7/'AEO 2025 Alt T Table 1'!$F$7</f>
        <v>0.9186882479365216</v>
      </c>
      <c r="W12" s="233">
        <f>'AEO 2025 Alt T Table 1'!AA$7/'AEO 2025 Alt T Table 1'!$F$7</f>
        <v>0.9101151533957359</v>
      </c>
      <c r="X12" s="233">
        <f>'AEO 2025 Alt T Table 1'!AB$7/'AEO 2025 Alt T Table 1'!$F$7</f>
        <v>0.90442222275787176</v>
      </c>
      <c r="Y12" s="233">
        <f>'AEO 2025 Alt T Table 1'!AC$7/'AEO 2025 Alt T Table 1'!$F$7</f>
        <v>0.91414281689285448</v>
      </c>
      <c r="Z12" s="233">
        <f>'AEO 2025 Alt T Table 1'!AD$7/'AEO 2025 Alt T Table 1'!$F$7</f>
        <v>0.91073192304911055</v>
      </c>
      <c r="AA12" s="233">
        <f>'AEO 2025 Alt T Table 1'!AE$7/'AEO 2025 Alt T Table 1'!$F$7</f>
        <v>0.90169669730573732</v>
      </c>
      <c r="AB12" s="233">
        <f>'AEO 2025 Alt T Table 1'!AF$7/'AEO 2025 Alt T Table 1'!$F$7</f>
        <v>0.88532111528149038</v>
      </c>
    </row>
    <row r="13" spans="1:30">
      <c r="A13" t="s">
        <v>122</v>
      </c>
      <c r="B13" s="233">
        <f>'AEO 2025 Alt T Table 1'!F$7/'AEO 2025 Alt T Table 1'!$F$7</f>
        <v>1</v>
      </c>
      <c r="C13" s="233">
        <f>'AEO 2025 Alt T Table 1'!G$7/'AEO 2025 Alt T Table 1'!$F$7</f>
        <v>1.0290599038117523</v>
      </c>
      <c r="D13" s="233">
        <f>'AEO 2025 Alt T Table 1'!H$7/'AEO 2025 Alt T Table 1'!$F$7</f>
        <v>1.0395104336714649</v>
      </c>
      <c r="E13" s="233">
        <f>'AEO 2025 Alt T Table 1'!I$7/'AEO 2025 Alt T Table 1'!$F$7</f>
        <v>1.0539953266927522</v>
      </c>
      <c r="F13" s="233">
        <f>'AEO 2025 Alt T Table 1'!J$7/'AEO 2025 Alt T Table 1'!$F$7</f>
        <v>1.0518566408712593</v>
      </c>
      <c r="G13" s="233">
        <f>'AEO 2025 Alt T Table 1'!K$7/'AEO 2025 Alt T Table 1'!$F$7</f>
        <v>1.0522429275028582</v>
      </c>
      <c r="H13" s="233">
        <f>'AEO 2025 Alt T Table 1'!L$7/'AEO 2025 Alt T Table 1'!$F$7</f>
        <v>1.0466010818064713</v>
      </c>
      <c r="I13" s="233">
        <f>'AEO 2025 Alt T Table 1'!M$7/'AEO 2025 Alt T Table 1'!$F$7</f>
        <v>1.032544930899151</v>
      </c>
      <c r="J13" s="233">
        <f>'AEO 2025 Alt T Table 1'!N$7/'AEO 2025 Alt T Table 1'!$F$7</f>
        <v>1.0176563830943872</v>
      </c>
      <c r="K13" s="233">
        <f>'AEO 2025 Alt T Table 1'!O$7/'AEO 2025 Alt T Table 1'!$F$7</f>
        <v>1.0075980384838923</v>
      </c>
      <c r="L13" s="233">
        <f>'AEO 2025 Alt T Table 1'!P$7/'AEO 2025 Alt T Table 1'!$F$7</f>
        <v>1.0009117733567598</v>
      </c>
      <c r="M13" s="233">
        <f>'AEO 2025 Alt T Table 1'!Q$7/'AEO 2025 Alt T Table 1'!$F$7</f>
        <v>0.9846929052228327</v>
      </c>
      <c r="N13" s="233">
        <f>'AEO 2025 Alt T Table 1'!R$7/'AEO 2025 Alt T Table 1'!$F$7</f>
        <v>0.97028272802471838</v>
      </c>
      <c r="O13" s="233">
        <f>'AEO 2025 Alt T Table 1'!S$7/'AEO 2025 Alt T Table 1'!$F$7</f>
        <v>0.96253828002572961</v>
      </c>
      <c r="P13" s="233">
        <f>'AEO 2025 Alt T Table 1'!T$7/'AEO 2025 Alt T Table 1'!$F$7</f>
        <v>0.95584986663662497</v>
      </c>
      <c r="Q13" s="233">
        <f>'AEO 2025 Alt T Table 1'!U$7/'AEO 2025 Alt T Table 1'!$F$7</f>
        <v>0.94288583385807978</v>
      </c>
      <c r="R13" s="233">
        <f>'AEO 2025 Alt T Table 1'!V$7/'AEO 2025 Alt T Table 1'!$F$7</f>
        <v>0.93094681333008944</v>
      </c>
      <c r="S13" s="233">
        <f>'AEO 2025 Alt T Table 1'!W$7/'AEO 2025 Alt T Table 1'!$F$7</f>
        <v>0.93068257710749425</v>
      </c>
      <c r="T13" s="233">
        <f>'AEO 2025 Alt T Table 1'!X$7/'AEO 2025 Alt T Table 1'!$F$7</f>
        <v>0.93503910674247681</v>
      </c>
      <c r="U13" s="233">
        <f>'AEO 2025 Alt T Table 1'!Y$7/'AEO 2025 Alt T Table 1'!$F$7</f>
        <v>0.92858467185225557</v>
      </c>
      <c r="V13" s="233">
        <f>'AEO 2025 Alt T Table 1'!Z$7/'AEO 2025 Alt T Table 1'!$F$7</f>
        <v>0.9186882479365216</v>
      </c>
      <c r="W13" s="233">
        <f>'AEO 2025 Alt T Table 1'!AA$7/'AEO 2025 Alt T Table 1'!$F$7</f>
        <v>0.9101151533957359</v>
      </c>
      <c r="X13" s="233">
        <f>'AEO 2025 Alt T Table 1'!AB$7/'AEO 2025 Alt T Table 1'!$F$7</f>
        <v>0.90442222275787176</v>
      </c>
      <c r="Y13" s="233">
        <f>'AEO 2025 Alt T Table 1'!AC$7/'AEO 2025 Alt T Table 1'!$F$7</f>
        <v>0.91414281689285448</v>
      </c>
      <c r="Z13" s="233">
        <f>'AEO 2025 Alt T Table 1'!AD$7/'AEO 2025 Alt T Table 1'!$F$7</f>
        <v>0.91073192304911055</v>
      </c>
      <c r="AA13" s="233">
        <f>'AEO 2025 Alt T Table 1'!AE$7/'AEO 2025 Alt T Table 1'!$F$7</f>
        <v>0.90169669730573732</v>
      </c>
      <c r="AB13" s="233">
        <f>'AEO 2025 Alt T Table 1'!AF$7/'AEO 2025 Alt T Table 1'!$F$7</f>
        <v>0.88532111528149038</v>
      </c>
    </row>
    <row r="14" spans="1:30">
      <c r="A14" t="s">
        <v>123</v>
      </c>
      <c r="B14" s="233">
        <f>'AEO 2025 Alt T Table 1'!F$7/'AEO 2025 Alt T Table 1'!$F$7</f>
        <v>1</v>
      </c>
      <c r="C14" s="233">
        <f>'AEO 2025 Alt T Table 1'!G$7/'AEO 2025 Alt T Table 1'!$F$7</f>
        <v>1.0290599038117523</v>
      </c>
      <c r="D14" s="233">
        <f>'AEO 2025 Alt T Table 1'!H$7/'AEO 2025 Alt T Table 1'!$F$7</f>
        <v>1.0395104336714649</v>
      </c>
      <c r="E14" s="233">
        <f>'AEO 2025 Alt T Table 1'!I$7/'AEO 2025 Alt T Table 1'!$F$7</f>
        <v>1.0539953266927522</v>
      </c>
      <c r="F14" s="233">
        <f>'AEO 2025 Alt T Table 1'!J$7/'AEO 2025 Alt T Table 1'!$F$7</f>
        <v>1.0518566408712593</v>
      </c>
      <c r="G14" s="233">
        <f>'AEO 2025 Alt T Table 1'!K$7/'AEO 2025 Alt T Table 1'!$F$7</f>
        <v>1.0522429275028582</v>
      </c>
      <c r="H14" s="233">
        <f>'AEO 2025 Alt T Table 1'!L$7/'AEO 2025 Alt T Table 1'!$F$7</f>
        <v>1.0466010818064713</v>
      </c>
      <c r="I14" s="233">
        <f>'AEO 2025 Alt T Table 1'!M$7/'AEO 2025 Alt T Table 1'!$F$7</f>
        <v>1.032544930899151</v>
      </c>
      <c r="J14" s="233">
        <f>'AEO 2025 Alt T Table 1'!N$7/'AEO 2025 Alt T Table 1'!$F$7</f>
        <v>1.0176563830943872</v>
      </c>
      <c r="K14" s="233">
        <f>'AEO 2025 Alt T Table 1'!O$7/'AEO 2025 Alt T Table 1'!$F$7</f>
        <v>1.0075980384838923</v>
      </c>
      <c r="L14" s="233">
        <f>'AEO 2025 Alt T Table 1'!P$7/'AEO 2025 Alt T Table 1'!$F$7</f>
        <v>1.0009117733567598</v>
      </c>
      <c r="M14" s="233">
        <f>'AEO 2025 Alt T Table 1'!Q$7/'AEO 2025 Alt T Table 1'!$F$7</f>
        <v>0.9846929052228327</v>
      </c>
      <c r="N14" s="233">
        <f>'AEO 2025 Alt T Table 1'!R$7/'AEO 2025 Alt T Table 1'!$F$7</f>
        <v>0.97028272802471838</v>
      </c>
      <c r="O14" s="233">
        <f>'AEO 2025 Alt T Table 1'!S$7/'AEO 2025 Alt T Table 1'!$F$7</f>
        <v>0.96253828002572961</v>
      </c>
      <c r="P14" s="233">
        <f>'AEO 2025 Alt T Table 1'!T$7/'AEO 2025 Alt T Table 1'!$F$7</f>
        <v>0.95584986663662497</v>
      </c>
      <c r="Q14" s="233">
        <f>'AEO 2025 Alt T Table 1'!U$7/'AEO 2025 Alt T Table 1'!$F$7</f>
        <v>0.94288583385807978</v>
      </c>
      <c r="R14" s="233">
        <f>'AEO 2025 Alt T Table 1'!V$7/'AEO 2025 Alt T Table 1'!$F$7</f>
        <v>0.93094681333008944</v>
      </c>
      <c r="S14" s="233">
        <f>'AEO 2025 Alt T Table 1'!W$7/'AEO 2025 Alt T Table 1'!$F$7</f>
        <v>0.93068257710749425</v>
      </c>
      <c r="T14" s="233">
        <f>'AEO 2025 Alt T Table 1'!X$7/'AEO 2025 Alt T Table 1'!$F$7</f>
        <v>0.93503910674247681</v>
      </c>
      <c r="U14" s="233">
        <f>'AEO 2025 Alt T Table 1'!Y$7/'AEO 2025 Alt T Table 1'!$F$7</f>
        <v>0.92858467185225557</v>
      </c>
      <c r="V14" s="233">
        <f>'AEO 2025 Alt T Table 1'!Z$7/'AEO 2025 Alt T Table 1'!$F$7</f>
        <v>0.9186882479365216</v>
      </c>
      <c r="W14" s="233">
        <f>'AEO 2025 Alt T Table 1'!AA$7/'AEO 2025 Alt T Table 1'!$F$7</f>
        <v>0.9101151533957359</v>
      </c>
      <c r="X14" s="233">
        <f>'AEO 2025 Alt T Table 1'!AB$7/'AEO 2025 Alt T Table 1'!$F$7</f>
        <v>0.90442222275787176</v>
      </c>
      <c r="Y14" s="233">
        <f>'AEO 2025 Alt T Table 1'!AC$7/'AEO 2025 Alt T Table 1'!$F$7</f>
        <v>0.91414281689285448</v>
      </c>
      <c r="Z14" s="233">
        <f>'AEO 2025 Alt T Table 1'!AD$7/'AEO 2025 Alt T Table 1'!$F$7</f>
        <v>0.91073192304911055</v>
      </c>
      <c r="AA14" s="233">
        <f>'AEO 2025 Alt T Table 1'!AE$7/'AEO 2025 Alt T Table 1'!$F$7</f>
        <v>0.90169669730573732</v>
      </c>
      <c r="AB14" s="233">
        <f>'AEO 2025 Alt T Table 1'!AF$7/'AEO 2025 Alt T Table 1'!$F$7</f>
        <v>0.88532111528149038</v>
      </c>
    </row>
    <row r="15" spans="1:30">
      <c r="A15" t="s">
        <v>112</v>
      </c>
      <c r="B15" s="233">
        <f>'AEO 2025 Alt T Table 1'!F$7/'AEO 2025 Alt T Table 1'!$F$7</f>
        <v>1</v>
      </c>
      <c r="C15" s="233">
        <f>'AEO 2025 Alt T Table 1'!G$7/'AEO 2025 Alt T Table 1'!$F$7</f>
        <v>1.0290599038117523</v>
      </c>
      <c r="D15" s="233">
        <f>'AEO 2025 Alt T Table 1'!H$7/'AEO 2025 Alt T Table 1'!$F$7</f>
        <v>1.0395104336714649</v>
      </c>
      <c r="E15" s="233">
        <f>'AEO 2025 Alt T Table 1'!I$7/'AEO 2025 Alt T Table 1'!$F$7</f>
        <v>1.0539953266927522</v>
      </c>
      <c r="F15" s="233">
        <f>'AEO 2025 Alt T Table 1'!J$7/'AEO 2025 Alt T Table 1'!$F$7</f>
        <v>1.0518566408712593</v>
      </c>
      <c r="G15" s="233">
        <f>'AEO 2025 Alt T Table 1'!K$7/'AEO 2025 Alt T Table 1'!$F$7</f>
        <v>1.0522429275028582</v>
      </c>
      <c r="H15" s="233">
        <f>'AEO 2025 Alt T Table 1'!L$7/'AEO 2025 Alt T Table 1'!$F$7</f>
        <v>1.0466010818064713</v>
      </c>
      <c r="I15" s="233">
        <f>'AEO 2025 Alt T Table 1'!M$7/'AEO 2025 Alt T Table 1'!$F$7</f>
        <v>1.032544930899151</v>
      </c>
      <c r="J15" s="233">
        <f>'AEO 2025 Alt T Table 1'!N$7/'AEO 2025 Alt T Table 1'!$F$7</f>
        <v>1.0176563830943872</v>
      </c>
      <c r="K15" s="233">
        <f>'AEO 2025 Alt T Table 1'!O$7/'AEO 2025 Alt T Table 1'!$F$7</f>
        <v>1.0075980384838923</v>
      </c>
      <c r="L15" s="233">
        <f>'AEO 2025 Alt T Table 1'!P$7/'AEO 2025 Alt T Table 1'!$F$7</f>
        <v>1.0009117733567598</v>
      </c>
      <c r="M15" s="233">
        <f>'AEO 2025 Alt T Table 1'!Q$7/'AEO 2025 Alt T Table 1'!$F$7</f>
        <v>0.9846929052228327</v>
      </c>
      <c r="N15" s="233">
        <f>'AEO 2025 Alt T Table 1'!R$7/'AEO 2025 Alt T Table 1'!$F$7</f>
        <v>0.97028272802471838</v>
      </c>
      <c r="O15" s="233">
        <f>'AEO 2025 Alt T Table 1'!S$7/'AEO 2025 Alt T Table 1'!$F$7</f>
        <v>0.96253828002572961</v>
      </c>
      <c r="P15" s="233">
        <f>'AEO 2025 Alt T Table 1'!T$7/'AEO 2025 Alt T Table 1'!$F$7</f>
        <v>0.95584986663662497</v>
      </c>
      <c r="Q15" s="233">
        <f>'AEO 2025 Alt T Table 1'!U$7/'AEO 2025 Alt T Table 1'!$F$7</f>
        <v>0.94288583385807978</v>
      </c>
      <c r="R15" s="233">
        <f>'AEO 2025 Alt T Table 1'!V$7/'AEO 2025 Alt T Table 1'!$F$7</f>
        <v>0.93094681333008944</v>
      </c>
      <c r="S15" s="233">
        <f>'AEO 2025 Alt T Table 1'!W$7/'AEO 2025 Alt T Table 1'!$F$7</f>
        <v>0.93068257710749425</v>
      </c>
      <c r="T15" s="233">
        <f>'AEO 2025 Alt T Table 1'!X$7/'AEO 2025 Alt T Table 1'!$F$7</f>
        <v>0.93503910674247681</v>
      </c>
      <c r="U15" s="233">
        <f>'AEO 2025 Alt T Table 1'!Y$7/'AEO 2025 Alt T Table 1'!$F$7</f>
        <v>0.92858467185225557</v>
      </c>
      <c r="V15" s="233">
        <f>'AEO 2025 Alt T Table 1'!Z$7/'AEO 2025 Alt T Table 1'!$F$7</f>
        <v>0.9186882479365216</v>
      </c>
      <c r="W15" s="233">
        <f>'AEO 2025 Alt T Table 1'!AA$7/'AEO 2025 Alt T Table 1'!$F$7</f>
        <v>0.9101151533957359</v>
      </c>
      <c r="X15" s="233">
        <f>'AEO 2025 Alt T Table 1'!AB$7/'AEO 2025 Alt T Table 1'!$F$7</f>
        <v>0.90442222275787176</v>
      </c>
      <c r="Y15" s="233">
        <f>'AEO 2025 Alt T Table 1'!AC$7/'AEO 2025 Alt T Table 1'!$F$7</f>
        <v>0.91414281689285448</v>
      </c>
      <c r="Z15" s="233">
        <f>'AEO 2025 Alt T Table 1'!AD$7/'AEO 2025 Alt T Table 1'!$F$7</f>
        <v>0.91073192304911055</v>
      </c>
      <c r="AA15" s="233">
        <f>'AEO 2025 Alt T Table 1'!AE$7/'AEO 2025 Alt T Table 1'!$F$7</f>
        <v>0.90169669730573732</v>
      </c>
      <c r="AB15" s="233">
        <f>'AEO 2025 Alt T Table 1'!AF$7/'AEO 2025 Alt T Table 1'!$F$7</f>
        <v>0.88532111528149038</v>
      </c>
    </row>
    <row r="16" spans="1:30">
      <c r="A16" s="7" t="s">
        <v>148</v>
      </c>
      <c r="B16" s="7">
        <v>0</v>
      </c>
      <c r="C16" s="7">
        <v>0</v>
      </c>
      <c r="D16" s="7">
        <v>0</v>
      </c>
      <c r="E16" s="7">
        <v>0</v>
      </c>
      <c r="F16" s="7">
        <v>0</v>
      </c>
      <c r="G16" s="7">
        <v>0</v>
      </c>
      <c r="H16" s="7">
        <v>0</v>
      </c>
      <c r="I16" s="7">
        <v>0</v>
      </c>
      <c r="J16" s="7">
        <v>0</v>
      </c>
      <c r="K16" s="7">
        <v>0</v>
      </c>
      <c r="L16" s="7">
        <v>0</v>
      </c>
      <c r="M16" s="7">
        <v>0</v>
      </c>
      <c r="N16" s="7">
        <v>0</v>
      </c>
      <c r="O16" s="7">
        <v>0</v>
      </c>
      <c r="P16" s="7">
        <v>0</v>
      </c>
      <c r="Q16" s="7">
        <v>0</v>
      </c>
      <c r="R16" s="7">
        <v>0</v>
      </c>
      <c r="S16" s="7">
        <v>0</v>
      </c>
      <c r="T16" s="7">
        <v>0</v>
      </c>
      <c r="U16" s="7">
        <v>0</v>
      </c>
      <c r="V16" s="7">
        <v>0</v>
      </c>
      <c r="W16" s="7">
        <v>0</v>
      </c>
      <c r="X16" s="7">
        <v>0</v>
      </c>
      <c r="Y16" s="7">
        <v>0</v>
      </c>
      <c r="Z16" s="7">
        <v>0</v>
      </c>
      <c r="AA16" s="7">
        <v>0</v>
      </c>
      <c r="AB16" s="7">
        <v>0</v>
      </c>
      <c r="AC16" s="7"/>
      <c r="AD16" s="7"/>
    </row>
    <row r="17" spans="1:30">
      <c r="A17" s="7" t="s">
        <v>125</v>
      </c>
      <c r="B17" s="7">
        <v>0</v>
      </c>
      <c r="C17" s="7">
        <v>0</v>
      </c>
      <c r="D17" s="7">
        <v>0</v>
      </c>
      <c r="E17" s="7">
        <v>0</v>
      </c>
      <c r="F17" s="7">
        <v>0</v>
      </c>
      <c r="G17" s="7">
        <v>0</v>
      </c>
      <c r="H17" s="7">
        <v>0</v>
      </c>
      <c r="I17" s="7">
        <v>0</v>
      </c>
      <c r="J17" s="7">
        <v>0</v>
      </c>
      <c r="K17" s="7">
        <v>0</v>
      </c>
      <c r="L17" s="7">
        <v>0</v>
      </c>
      <c r="M17" s="7">
        <v>0</v>
      </c>
      <c r="N17" s="7">
        <v>0</v>
      </c>
      <c r="O17" s="7">
        <v>0</v>
      </c>
      <c r="P17" s="7">
        <v>0</v>
      </c>
      <c r="Q17" s="7">
        <v>0</v>
      </c>
      <c r="R17" s="7">
        <v>0</v>
      </c>
      <c r="S17" s="7">
        <v>0</v>
      </c>
      <c r="T17" s="7">
        <v>0</v>
      </c>
      <c r="U17" s="7">
        <v>0</v>
      </c>
      <c r="V17" s="7">
        <v>0</v>
      </c>
      <c r="W17" s="7">
        <v>0</v>
      </c>
      <c r="X17" s="7">
        <v>0</v>
      </c>
      <c r="Y17" s="7">
        <v>0</v>
      </c>
      <c r="Z17" s="7">
        <v>0</v>
      </c>
      <c r="AA17" s="7">
        <v>0</v>
      </c>
      <c r="AB17" s="7">
        <v>0</v>
      </c>
      <c r="AC17" s="7"/>
      <c r="AD17" s="7"/>
    </row>
    <row r="18" spans="1:30">
      <c r="A18" t="s">
        <v>126</v>
      </c>
      <c r="B18" s="229">
        <f>'AEO 2025 HZC Table 1'!F$10/'AEO 2025 HZC Table 1'!$F$10</f>
        <v>1</v>
      </c>
      <c r="C18" s="229">
        <f>'AEO 2025 HZC Table 1'!G$10/'AEO 2025 HZC Table 1'!$F$10</f>
        <v>0.98700477844293888</v>
      </c>
      <c r="D18" s="229">
        <f>'AEO 2025 HZC Table 1'!H$10/'AEO 2025 HZC Table 1'!$F$10</f>
        <v>0.90537095037920678</v>
      </c>
      <c r="E18" s="229">
        <f>'AEO 2025 HZC Table 1'!I$10/'AEO 2025 HZC Table 1'!$F$10</f>
        <v>0.80633696546953926</v>
      </c>
      <c r="F18" s="229">
        <f>'AEO 2025 HZC Table 1'!J$10/'AEO 2025 HZC Table 1'!$F$10</f>
        <v>0.80224172783820513</v>
      </c>
      <c r="G18" s="229">
        <f>'AEO 2025 HZC Table 1'!K$10/'AEO 2025 HZC Table 1'!$F$10</f>
        <v>0.76872190046615396</v>
      </c>
      <c r="H18" s="229">
        <f>'AEO 2025 HZC Table 1'!L$10/'AEO 2025 HZC Table 1'!$F$10</f>
        <v>0.6901260125574169</v>
      </c>
      <c r="I18" s="229">
        <f>'AEO 2025 HZC Table 1'!M$10/'AEO 2025 HZC Table 1'!$F$10</f>
        <v>0.66121891698368707</v>
      </c>
      <c r="J18" s="229">
        <f>'AEO 2025 HZC Table 1'!N$10/'AEO 2025 HZC Table 1'!$F$10</f>
        <v>0.42021003716566729</v>
      </c>
      <c r="K18" s="229">
        <f>'AEO 2025 HZC Table 1'!O$10/'AEO 2025 HZC Table 1'!$F$10</f>
        <v>0.4201700950330497</v>
      </c>
      <c r="L18" s="229">
        <f>'AEO 2025 HZC Table 1'!P$10/'AEO 2025 HZC Table 1'!$F$10</f>
        <v>0.41575911971436513</v>
      </c>
      <c r="M18" s="229">
        <f>'AEO 2025 HZC Table 1'!Q$10/'AEO 2025 HZC Table 1'!$F$10</f>
        <v>0.41875146738627456</v>
      </c>
      <c r="N18" s="229">
        <f>'AEO 2025 HZC Table 1'!R$10/'AEO 2025 HZC Table 1'!$F$10</f>
        <v>0.41169905064370155</v>
      </c>
      <c r="O18" s="229">
        <f>'AEO 2025 HZC Table 1'!S$10/'AEO 2025 HZC Table 1'!$F$10</f>
        <v>0.41288776747833628</v>
      </c>
      <c r="P18" s="229">
        <f>'AEO 2025 HZC Table 1'!T$10/'AEO 2025 HZC Table 1'!$F$10</f>
        <v>0.40541576350360703</v>
      </c>
      <c r="Q18" s="229">
        <f>'AEO 2025 HZC Table 1'!U$10/'AEO 2025 HZC Table 1'!$F$10</f>
        <v>0.37580792705202709</v>
      </c>
      <c r="R18" s="229">
        <f>'AEO 2025 HZC Table 1'!V$10/'AEO 2025 HZC Table 1'!$F$10</f>
        <v>0.37923905366371646</v>
      </c>
      <c r="S18" s="229">
        <f>'AEO 2025 HZC Table 1'!W$10/'AEO 2025 HZC Table 1'!$F$10</f>
        <v>0.37499768627890329</v>
      </c>
      <c r="T18" s="229">
        <f>'AEO 2025 HZC Table 1'!X$10/'AEO 2025 HZC Table 1'!$F$10</f>
        <v>0.37542448257889793</v>
      </c>
      <c r="U18" s="229">
        <f>'AEO 2025 HZC Table 1'!Y$10/'AEO 2025 HZC Table 1'!$F$10</f>
        <v>0.37653584806402435</v>
      </c>
      <c r="V18" s="229">
        <f>'AEO 2025 HZC Table 1'!Z$10/'AEO 2025 HZC Table 1'!$F$10</f>
        <v>0.37757755836665907</v>
      </c>
      <c r="W18" s="229">
        <f>'AEO 2025 HZC Table 1'!AA$10/'AEO 2025 HZC Table 1'!$F$10</f>
        <v>0.38161551313462938</v>
      </c>
      <c r="X18" s="229">
        <f>'AEO 2025 HZC Table 1'!AB$10/'AEO 2025 HZC Table 1'!$F$10</f>
        <v>0.36835121799149528</v>
      </c>
      <c r="Y18" s="229">
        <f>'AEO 2025 HZC Table 1'!AC$10/'AEO 2025 HZC Table 1'!$F$10</f>
        <v>0.37167518278396666</v>
      </c>
      <c r="Z18" s="229">
        <f>'AEO 2025 HZC Table 1'!AD$10/'AEO 2025 HZC Table 1'!$F$10</f>
        <v>0.37260934158804077</v>
      </c>
      <c r="AA18" s="229">
        <f>'AEO 2025 HZC Table 1'!AE$10/'AEO 2025 HZC Table 1'!$F$10</f>
        <v>0.37435676118014388</v>
      </c>
      <c r="AB18" s="229">
        <f>'AEO 2025 HZC Table 1'!AF$10/'AEO 2025 HZC Table 1'!$F$10</f>
        <v>0.36992932190923394</v>
      </c>
    </row>
    <row r="19" spans="1:30">
      <c r="A19" t="s">
        <v>113</v>
      </c>
      <c r="B19" s="233">
        <f>'AEO 2025 Alt T Table 1'!F$7/'AEO 2025 Alt T Table 1'!$F$7</f>
        <v>1</v>
      </c>
      <c r="C19" s="233">
        <f>'AEO 2025 Alt T Table 1'!G$7/'AEO 2025 Alt T Table 1'!$F$7</f>
        <v>1.0290599038117523</v>
      </c>
      <c r="D19" s="233">
        <f>'AEO 2025 Alt T Table 1'!H$7/'AEO 2025 Alt T Table 1'!$F$7</f>
        <v>1.0395104336714649</v>
      </c>
      <c r="E19" s="233">
        <f>'AEO 2025 Alt T Table 1'!I$7/'AEO 2025 Alt T Table 1'!$F$7</f>
        <v>1.0539953266927522</v>
      </c>
      <c r="F19" s="233">
        <f>'AEO 2025 Alt T Table 1'!J$7/'AEO 2025 Alt T Table 1'!$F$7</f>
        <v>1.0518566408712593</v>
      </c>
      <c r="G19" s="233">
        <f>'AEO 2025 Alt T Table 1'!K$7/'AEO 2025 Alt T Table 1'!$F$7</f>
        <v>1.0522429275028582</v>
      </c>
      <c r="H19" s="233">
        <f>'AEO 2025 Alt T Table 1'!L$7/'AEO 2025 Alt T Table 1'!$F$7</f>
        <v>1.0466010818064713</v>
      </c>
      <c r="I19" s="233">
        <f>'AEO 2025 Alt T Table 1'!M$7/'AEO 2025 Alt T Table 1'!$F$7</f>
        <v>1.032544930899151</v>
      </c>
      <c r="J19" s="233">
        <f>'AEO 2025 Alt T Table 1'!N$7/'AEO 2025 Alt T Table 1'!$F$7</f>
        <v>1.0176563830943872</v>
      </c>
      <c r="K19" s="233">
        <f>'AEO 2025 Alt T Table 1'!O$7/'AEO 2025 Alt T Table 1'!$F$7</f>
        <v>1.0075980384838923</v>
      </c>
      <c r="L19" s="233">
        <f>'AEO 2025 Alt T Table 1'!P$7/'AEO 2025 Alt T Table 1'!$F$7</f>
        <v>1.0009117733567598</v>
      </c>
      <c r="M19" s="233">
        <f>'AEO 2025 Alt T Table 1'!Q$7/'AEO 2025 Alt T Table 1'!$F$7</f>
        <v>0.9846929052228327</v>
      </c>
      <c r="N19" s="233">
        <f>'AEO 2025 Alt T Table 1'!R$7/'AEO 2025 Alt T Table 1'!$F$7</f>
        <v>0.97028272802471838</v>
      </c>
      <c r="O19" s="233">
        <f>'AEO 2025 Alt T Table 1'!S$7/'AEO 2025 Alt T Table 1'!$F$7</f>
        <v>0.96253828002572961</v>
      </c>
      <c r="P19" s="233">
        <f>'AEO 2025 Alt T Table 1'!T$7/'AEO 2025 Alt T Table 1'!$F$7</f>
        <v>0.95584986663662497</v>
      </c>
      <c r="Q19" s="233">
        <f>'AEO 2025 Alt T Table 1'!U$7/'AEO 2025 Alt T Table 1'!$F$7</f>
        <v>0.94288583385807978</v>
      </c>
      <c r="R19" s="233">
        <f>'AEO 2025 Alt T Table 1'!V$7/'AEO 2025 Alt T Table 1'!$F$7</f>
        <v>0.93094681333008944</v>
      </c>
      <c r="S19" s="233">
        <f>'AEO 2025 Alt T Table 1'!W$7/'AEO 2025 Alt T Table 1'!$F$7</f>
        <v>0.93068257710749425</v>
      </c>
      <c r="T19" s="233">
        <f>'AEO 2025 Alt T Table 1'!X$7/'AEO 2025 Alt T Table 1'!$F$7</f>
        <v>0.93503910674247681</v>
      </c>
      <c r="U19" s="233">
        <f>'AEO 2025 Alt T Table 1'!Y$7/'AEO 2025 Alt T Table 1'!$F$7</f>
        <v>0.92858467185225557</v>
      </c>
      <c r="V19" s="233">
        <f>'AEO 2025 Alt T Table 1'!Z$7/'AEO 2025 Alt T Table 1'!$F$7</f>
        <v>0.9186882479365216</v>
      </c>
      <c r="W19" s="233">
        <f>'AEO 2025 Alt T Table 1'!AA$7/'AEO 2025 Alt T Table 1'!$F$7</f>
        <v>0.9101151533957359</v>
      </c>
      <c r="X19" s="233">
        <f>'AEO 2025 Alt T Table 1'!AB$7/'AEO 2025 Alt T Table 1'!$F$7</f>
        <v>0.90442222275787176</v>
      </c>
      <c r="Y19" s="233">
        <f>'AEO 2025 Alt T Table 1'!AC$7/'AEO 2025 Alt T Table 1'!$F$7</f>
        <v>0.91414281689285448</v>
      </c>
      <c r="Z19" s="233">
        <f>'AEO 2025 Alt T Table 1'!AD$7/'AEO 2025 Alt T Table 1'!$F$7</f>
        <v>0.91073192304911055</v>
      </c>
      <c r="AA19" s="233">
        <f>'AEO 2025 Alt T Table 1'!AE$7/'AEO 2025 Alt T Table 1'!$F$7</f>
        <v>0.90169669730573732</v>
      </c>
      <c r="AB19" s="233">
        <f>'AEO 2025 Alt T Table 1'!AF$7/'AEO 2025 Alt T Table 1'!$F$7</f>
        <v>0.88532111528149038</v>
      </c>
    </row>
    <row r="20" spans="1:30">
      <c r="A20" t="s">
        <v>127</v>
      </c>
      <c r="B20" s="233">
        <f>'AEO 2025 Alt T Table 1'!F$7/'AEO 2025 Alt T Table 1'!$F$7</f>
        <v>1</v>
      </c>
      <c r="C20" s="233">
        <f>'AEO 2025 Alt T Table 1'!G$7/'AEO 2025 Alt T Table 1'!$F$7</f>
        <v>1.0290599038117523</v>
      </c>
      <c r="D20" s="233">
        <f>'AEO 2025 Alt T Table 1'!H$7/'AEO 2025 Alt T Table 1'!$F$7</f>
        <v>1.0395104336714649</v>
      </c>
      <c r="E20" s="233">
        <f>'AEO 2025 Alt T Table 1'!I$7/'AEO 2025 Alt T Table 1'!$F$7</f>
        <v>1.0539953266927522</v>
      </c>
      <c r="F20" s="233">
        <f>'AEO 2025 Alt T Table 1'!J$7/'AEO 2025 Alt T Table 1'!$F$7</f>
        <v>1.0518566408712593</v>
      </c>
      <c r="G20" s="233">
        <f>'AEO 2025 Alt T Table 1'!K$7/'AEO 2025 Alt T Table 1'!$F$7</f>
        <v>1.0522429275028582</v>
      </c>
      <c r="H20" s="233">
        <f>'AEO 2025 Alt T Table 1'!L$7/'AEO 2025 Alt T Table 1'!$F$7</f>
        <v>1.0466010818064713</v>
      </c>
      <c r="I20" s="233">
        <f>'AEO 2025 Alt T Table 1'!M$7/'AEO 2025 Alt T Table 1'!$F$7</f>
        <v>1.032544930899151</v>
      </c>
      <c r="J20" s="233">
        <f>'AEO 2025 Alt T Table 1'!N$7/'AEO 2025 Alt T Table 1'!$F$7</f>
        <v>1.0176563830943872</v>
      </c>
      <c r="K20" s="233">
        <f>'AEO 2025 Alt T Table 1'!O$7/'AEO 2025 Alt T Table 1'!$F$7</f>
        <v>1.0075980384838923</v>
      </c>
      <c r="L20" s="233">
        <f>'AEO 2025 Alt T Table 1'!P$7/'AEO 2025 Alt T Table 1'!$F$7</f>
        <v>1.0009117733567598</v>
      </c>
      <c r="M20" s="233">
        <f>'AEO 2025 Alt T Table 1'!Q$7/'AEO 2025 Alt T Table 1'!$F$7</f>
        <v>0.9846929052228327</v>
      </c>
      <c r="N20" s="233">
        <f>'AEO 2025 Alt T Table 1'!R$7/'AEO 2025 Alt T Table 1'!$F$7</f>
        <v>0.97028272802471838</v>
      </c>
      <c r="O20" s="233">
        <f>'AEO 2025 Alt T Table 1'!S$7/'AEO 2025 Alt T Table 1'!$F$7</f>
        <v>0.96253828002572961</v>
      </c>
      <c r="P20" s="233">
        <f>'AEO 2025 Alt T Table 1'!T$7/'AEO 2025 Alt T Table 1'!$F$7</f>
        <v>0.95584986663662497</v>
      </c>
      <c r="Q20" s="233">
        <f>'AEO 2025 Alt T Table 1'!U$7/'AEO 2025 Alt T Table 1'!$F$7</f>
        <v>0.94288583385807978</v>
      </c>
      <c r="R20" s="233">
        <f>'AEO 2025 Alt T Table 1'!V$7/'AEO 2025 Alt T Table 1'!$F$7</f>
        <v>0.93094681333008944</v>
      </c>
      <c r="S20" s="233">
        <f>'AEO 2025 Alt T Table 1'!W$7/'AEO 2025 Alt T Table 1'!$F$7</f>
        <v>0.93068257710749425</v>
      </c>
      <c r="T20" s="233">
        <f>'AEO 2025 Alt T Table 1'!X$7/'AEO 2025 Alt T Table 1'!$F$7</f>
        <v>0.93503910674247681</v>
      </c>
      <c r="U20" s="233">
        <f>'AEO 2025 Alt T Table 1'!Y$7/'AEO 2025 Alt T Table 1'!$F$7</f>
        <v>0.92858467185225557</v>
      </c>
      <c r="V20" s="233">
        <f>'AEO 2025 Alt T Table 1'!Z$7/'AEO 2025 Alt T Table 1'!$F$7</f>
        <v>0.9186882479365216</v>
      </c>
      <c r="W20" s="233">
        <f>'AEO 2025 Alt T Table 1'!AA$7/'AEO 2025 Alt T Table 1'!$F$7</f>
        <v>0.9101151533957359</v>
      </c>
      <c r="X20" s="233">
        <f>'AEO 2025 Alt T Table 1'!AB$7/'AEO 2025 Alt T Table 1'!$F$7</f>
        <v>0.90442222275787176</v>
      </c>
      <c r="Y20" s="233">
        <f>'AEO 2025 Alt T Table 1'!AC$7/'AEO 2025 Alt T Table 1'!$F$7</f>
        <v>0.91414281689285448</v>
      </c>
      <c r="Z20" s="233">
        <f>'AEO 2025 Alt T Table 1'!AD$7/'AEO 2025 Alt T Table 1'!$F$7</f>
        <v>0.91073192304911055</v>
      </c>
      <c r="AA20" s="233">
        <f>'AEO 2025 Alt T Table 1'!AE$7/'AEO 2025 Alt T Table 1'!$F$7</f>
        <v>0.90169669730573732</v>
      </c>
      <c r="AB20" s="233">
        <f>'AEO 2025 Alt T Table 1'!AF$7/'AEO 2025 Alt T Table 1'!$F$7</f>
        <v>0.88532111528149038</v>
      </c>
    </row>
    <row r="21" spans="1:30">
      <c r="A21" t="s">
        <v>114</v>
      </c>
      <c r="B21" s="233">
        <f>'AEO 2025 Alt T Table 1'!F8/'AEO 2025 Alt T Table 1'!$F$8</f>
        <v>1</v>
      </c>
      <c r="C21" s="233">
        <f>'AEO 2025 Alt T Table 1'!G8/'AEO 2025 Alt T Table 1'!$F$8</f>
        <v>1.0119668825433052</v>
      </c>
      <c r="D21" s="233">
        <f>'AEO 2025 Alt T Table 1'!H8/'AEO 2025 Alt T Table 1'!$F$8</f>
        <v>1.076305603867467</v>
      </c>
      <c r="E21" s="233">
        <f>'AEO 2025 Alt T Table 1'!I8/'AEO 2025 Alt T Table 1'!$F$8</f>
        <v>1.1053764496321816</v>
      </c>
      <c r="F21" s="233">
        <f>'AEO 2025 Alt T Table 1'!J8/'AEO 2025 Alt T Table 1'!$F$8</f>
        <v>1.1030291559234229</v>
      </c>
      <c r="G21" s="233">
        <f>'AEO 2025 Alt T Table 1'!K8/'AEO 2025 Alt T Table 1'!$F$8</f>
        <v>1.106001172305288</v>
      </c>
      <c r="H21" s="233">
        <f>'AEO 2025 Alt T Table 1'!L8/'AEO 2025 Alt T Table 1'!$F$8</f>
        <v>1.1139377663078833</v>
      </c>
      <c r="I21" s="233">
        <f>'AEO 2025 Alt T Table 1'!M8/'AEO 2025 Alt T Table 1'!$F$8</f>
        <v>1.1016751802086782</v>
      </c>
      <c r="J21" s="233">
        <f>'AEO 2025 Alt T Table 1'!N8/'AEO 2025 Alt T Table 1'!$F$8</f>
        <v>1.1161976346175067</v>
      </c>
      <c r="K21" s="233">
        <f>'AEO 2025 Alt T Table 1'!O8/'AEO 2025 Alt T Table 1'!$F$8</f>
        <v>1.1289495569980621</v>
      </c>
      <c r="L21" s="233">
        <f>'AEO 2025 Alt T Table 1'!P8/'AEO 2025 Alt T Table 1'!$F$8</f>
        <v>1.1357416832117184</v>
      </c>
      <c r="M21" s="233">
        <f>'AEO 2025 Alt T Table 1'!Q8/'AEO 2025 Alt T Table 1'!$F$8</f>
        <v>1.1624006164944001</v>
      </c>
      <c r="N21" s="233">
        <f>'AEO 2025 Alt T Table 1'!R8/'AEO 2025 Alt T Table 1'!$F$8</f>
        <v>1.1619606945690828</v>
      </c>
      <c r="O21" s="233">
        <f>'AEO 2025 Alt T Table 1'!S8/'AEO 2025 Alt T Table 1'!$F$8</f>
        <v>1.169627410165651</v>
      </c>
      <c r="P21" s="233">
        <f>'AEO 2025 Alt T Table 1'!T8/'AEO 2025 Alt T Table 1'!$F$8</f>
        <v>1.1833428006916666</v>
      </c>
      <c r="Q21" s="233">
        <f>'AEO 2025 Alt T Table 1'!U8/'AEO 2025 Alt T Table 1'!$F$8</f>
        <v>1.1806153965518842</v>
      </c>
      <c r="R21" s="233">
        <f>'AEO 2025 Alt T Table 1'!V8/'AEO 2025 Alt T Table 1'!$F$8</f>
        <v>1.1796647850827673</v>
      </c>
      <c r="S21" s="233">
        <f>'AEO 2025 Alt T Table 1'!W8/'AEO 2025 Alt T Table 1'!$F$8</f>
        <v>1.1835077015404196</v>
      </c>
      <c r="T21" s="233">
        <f>'AEO 2025 Alt T Table 1'!X8/'AEO 2025 Alt T Table 1'!$F$8</f>
        <v>1.1909980011781187</v>
      </c>
      <c r="U21" s="233">
        <f>'AEO 2025 Alt T Table 1'!Y8/'AEO 2025 Alt T Table 1'!$F$8</f>
        <v>1.1986903183301882</v>
      </c>
      <c r="V21" s="233">
        <f>'AEO 2025 Alt T Table 1'!Z8/'AEO 2025 Alt T Table 1'!$F$8</f>
        <v>1.2049774566565106</v>
      </c>
      <c r="W21" s="233">
        <f>'AEO 2025 Alt T Table 1'!AA8/'AEO 2025 Alt T Table 1'!$F$8</f>
        <v>1.213264534835947</v>
      </c>
      <c r="X21" s="233">
        <f>'AEO 2025 Alt T Table 1'!AB8/'AEO 2025 Alt T Table 1'!$F$8</f>
        <v>1.2252930176285155</v>
      </c>
      <c r="Y21" s="233">
        <f>'AEO 2025 Alt T Table 1'!AC8/'AEO 2025 Alt T Table 1'!$F$8</f>
        <v>1.2359917846956137</v>
      </c>
      <c r="Z21" s="233">
        <f>'AEO 2025 Alt T Table 1'!AD8/'AEO 2025 Alt T Table 1'!$F$8</f>
        <v>1.2400066452247116</v>
      </c>
      <c r="AA21" s="233">
        <f>'AEO 2025 Alt T Table 1'!AE8/'AEO 2025 Alt T Table 1'!$F$8</f>
        <v>1.2401036851818086</v>
      </c>
      <c r="AB21" s="233">
        <f>'AEO 2025 Alt T Table 1'!AF8/'AEO 2025 Alt T Table 1'!$F$8</f>
        <v>1.2363233751480891</v>
      </c>
    </row>
    <row r="22" spans="1:30">
      <c r="A22" t="s">
        <v>128</v>
      </c>
      <c r="B22" s="233">
        <f>'AEO 2025 Alt T Table 1'!F15/'AEO 2025 Alt T Table 1'!$F$15</f>
        <v>1</v>
      </c>
      <c r="C22" s="233">
        <f>'AEO 2025 Alt T Table 1'!G15/'AEO 2025 Alt T Table 1'!$F$15</f>
        <v>1.0416938168217265</v>
      </c>
      <c r="D22" s="233">
        <f>'AEO 2025 Alt T Table 1'!H15/'AEO 2025 Alt T Table 1'!$F$15</f>
        <v>0.48459321814610506</v>
      </c>
      <c r="E22" s="233">
        <f>'AEO 2025 Alt T Table 1'!I15/'AEO 2025 Alt T Table 1'!$F$15</f>
        <v>0.48369638089413203</v>
      </c>
      <c r="F22" s="233">
        <f>'AEO 2025 Alt T Table 1'!J15/'AEO 2025 Alt T Table 1'!$F$15</f>
        <v>0.44046294444901846</v>
      </c>
      <c r="G22" s="233">
        <f>'AEO 2025 Alt T Table 1'!K15/'AEO 2025 Alt T Table 1'!$F$15</f>
        <v>0.42682219686900885</v>
      </c>
      <c r="H22" s="233">
        <f>'AEO 2025 Alt T Table 1'!L15/'AEO 2025 Alt T Table 1'!$F$15</f>
        <v>0.42854530057279966</v>
      </c>
      <c r="I22" s="233">
        <f>'AEO 2025 Alt T Table 1'!M15/'AEO 2025 Alt T Table 1'!$F$15</f>
        <v>0.42852883405276343</v>
      </c>
      <c r="J22" s="233">
        <f>'AEO 2025 Alt T Table 1'!N15/'AEO 2025 Alt T Table 1'!$F$15</f>
        <v>0.35578856988273488</v>
      </c>
      <c r="K22" s="233">
        <f>'AEO 2025 Alt T Table 1'!O15/'AEO 2025 Alt T Table 1'!$F$15</f>
        <v>0.35578856988273488</v>
      </c>
      <c r="L22" s="233">
        <f>'AEO 2025 Alt T Table 1'!P15/'AEO 2025 Alt T Table 1'!$F$15</f>
        <v>0.35578856988273488</v>
      </c>
      <c r="M22" s="233">
        <f>'AEO 2025 Alt T Table 1'!Q15/'AEO 2025 Alt T Table 1'!$F$15</f>
        <v>0.35578856988273488</v>
      </c>
      <c r="N22" s="233">
        <f>'AEO 2025 Alt T Table 1'!R15/'AEO 2025 Alt T Table 1'!$F$15</f>
        <v>0.35578856988273488</v>
      </c>
      <c r="O22" s="233">
        <f>'AEO 2025 Alt T Table 1'!S15/'AEO 2025 Alt T Table 1'!$F$15</f>
        <v>0.35578856988273488</v>
      </c>
      <c r="P22" s="233">
        <f>'AEO 2025 Alt T Table 1'!T15/'AEO 2025 Alt T Table 1'!$F$15</f>
        <v>0.35578856988273488</v>
      </c>
      <c r="Q22" s="233">
        <f>'AEO 2025 Alt T Table 1'!U15/'AEO 2025 Alt T Table 1'!$F$15</f>
        <v>0.35578856988273488</v>
      </c>
      <c r="R22" s="233">
        <f>'AEO 2025 Alt T Table 1'!V15/'AEO 2025 Alt T Table 1'!$F$15</f>
        <v>0.35578856988273488</v>
      </c>
      <c r="S22" s="233">
        <f>'AEO 2025 Alt T Table 1'!W15/'AEO 2025 Alt T Table 1'!$F$15</f>
        <v>0.35578856988273488</v>
      </c>
      <c r="T22" s="233">
        <f>'AEO 2025 Alt T Table 1'!X15/'AEO 2025 Alt T Table 1'!$F$15</f>
        <v>0.35578856988273488</v>
      </c>
      <c r="U22" s="233">
        <f>'AEO 2025 Alt T Table 1'!Y15/'AEO 2025 Alt T Table 1'!$F$15</f>
        <v>0.35578856988273488</v>
      </c>
      <c r="V22" s="233">
        <f>'AEO 2025 Alt T Table 1'!Z15/'AEO 2025 Alt T Table 1'!$F$15</f>
        <v>0.35578856988273488</v>
      </c>
      <c r="W22" s="233">
        <f>'AEO 2025 Alt T Table 1'!AA15/'AEO 2025 Alt T Table 1'!$F$15</f>
        <v>0.35578856988273488</v>
      </c>
      <c r="X22" s="233">
        <f>'AEO 2025 Alt T Table 1'!AB15/'AEO 2025 Alt T Table 1'!$F$15</f>
        <v>0.35578856988273488</v>
      </c>
      <c r="Y22" s="233">
        <f>'AEO 2025 Alt T Table 1'!AC15/'AEO 2025 Alt T Table 1'!$F$15</f>
        <v>0.35578856988273488</v>
      </c>
      <c r="Z22" s="233">
        <f>'AEO 2025 Alt T Table 1'!AD15/'AEO 2025 Alt T Table 1'!$F$15</f>
        <v>0.35578856988273488</v>
      </c>
      <c r="AA22" s="233">
        <f>'AEO 2025 Alt T Table 1'!AE15/'AEO 2025 Alt T Table 1'!$F$15</f>
        <v>0.35578856988273488</v>
      </c>
      <c r="AB22" s="233">
        <f>'AEO 2025 Alt T Table 1'!AF15/'AEO 2025 Alt T Table 1'!$F$15</f>
        <v>0.35578856988273488</v>
      </c>
    </row>
    <row r="23" spans="1:30">
      <c r="A23" t="s">
        <v>129</v>
      </c>
      <c r="B23" s="233">
        <v>1</v>
      </c>
      <c r="C23" s="233">
        <f>SUM('AEO 2025 Alt T Table 19'!D14:D16)/SUM('AEO 2025 Alt T Table 19'!$C$14:$C$16)</f>
        <v>1.0146136354120956</v>
      </c>
      <c r="D23" s="233">
        <f>SUM('AEO 2025 Alt T Table 19'!E14:E16)/SUM('AEO 2025 Alt T Table 19'!$C$14:$C$16)</f>
        <v>1.0364845188700587</v>
      </c>
      <c r="E23" s="233">
        <f>SUM('AEO 2025 Alt T Table 19'!F14:F16)/SUM('AEO 2025 Alt T Table 19'!$C$14:$C$16)</f>
        <v>1.0432451640094531</v>
      </c>
      <c r="F23" s="233">
        <f>SUM('AEO 2025 Alt T Table 19'!G14:G16)/SUM('AEO 2025 Alt T Table 19'!$C$14:$C$16)</f>
        <v>1.0428686543853127</v>
      </c>
      <c r="G23" s="233">
        <f>SUM('AEO 2025 Alt T Table 19'!H14:H16)/SUM('AEO 2025 Alt T Table 19'!$C$14:$C$16)</f>
        <v>1.0464872378214618</v>
      </c>
      <c r="H23" s="233">
        <f>SUM('AEO 2025 Alt T Table 19'!I14:I16)/SUM('AEO 2025 Alt T Table 19'!$C$14:$C$16)</f>
        <v>1.0565418100896447</v>
      </c>
      <c r="I23" s="233">
        <f>SUM('AEO 2025 Alt T Table 19'!J14:J16)/SUM('AEO 2025 Alt T Table 19'!$C$14:$C$16)</f>
        <v>1.0657092562583463</v>
      </c>
      <c r="J23" s="233">
        <f>SUM('AEO 2025 Alt T Table 19'!K14:K16)/SUM('AEO 2025 Alt T Table 19'!$C$14:$C$16)</f>
        <v>1.0755892186842606</v>
      </c>
      <c r="K23" s="233">
        <f>SUM('AEO 2025 Alt T Table 19'!L14:L16)/SUM('AEO 2025 Alt T Table 19'!$C$14:$C$16)</f>
        <v>1.0814825217325659</v>
      </c>
      <c r="L23" s="233">
        <f>SUM('AEO 2025 Alt T Table 19'!M14:M16)/SUM('AEO 2025 Alt T Table 19'!$C$14:$C$16)</f>
        <v>1.0868863478182968</v>
      </c>
      <c r="M23" s="233">
        <f>SUM('AEO 2025 Alt T Table 19'!N14:N16)/SUM('AEO 2025 Alt T Table 19'!$C$14:$C$16)</f>
        <v>1.0921807738960487</v>
      </c>
      <c r="N23" s="233">
        <f>SUM('AEO 2025 Alt T Table 19'!O14:O16)/SUM('AEO 2025 Alt T Table 19'!$C$14:$C$16)</f>
        <v>1.1010936546020247</v>
      </c>
      <c r="O23" s="233">
        <f>SUM('AEO 2025 Alt T Table 19'!P14:P16)/SUM('AEO 2025 Alt T Table 19'!$C$14:$C$16)</f>
        <v>1.1071323988796422</v>
      </c>
      <c r="P23" s="233">
        <f>SUM('AEO 2025 Alt T Table 19'!Q14:Q16)/SUM('AEO 2025 Alt T Table 19'!$C$14:$C$16)</f>
        <v>1.1138739922539738</v>
      </c>
      <c r="Q23" s="233">
        <f>SUM('AEO 2025 Alt T Table 19'!R14:R16)/SUM('AEO 2025 Alt T Table 19'!$C$14:$C$16)</f>
        <v>1.1197437653613251</v>
      </c>
      <c r="R23" s="233">
        <f>SUM('AEO 2025 Alt T Table 19'!S14:S16)/SUM('AEO 2025 Alt T Table 19'!$C$14:$C$16)</f>
        <v>1.1209832323653628</v>
      </c>
      <c r="S23" s="233">
        <f>SUM('AEO 2025 Alt T Table 19'!T14:T16)/SUM('AEO 2025 Alt T Table 19'!$C$14:$C$16)</f>
        <v>1.1236681534269748</v>
      </c>
      <c r="T23" s="233">
        <f>SUM('AEO 2025 Alt T Table 19'!U14:U16)/SUM('AEO 2025 Alt T Table 19'!$C$14:$C$16)</f>
        <v>1.1251891600825505</v>
      </c>
      <c r="U23" s="233">
        <f>SUM('AEO 2025 Alt T Table 19'!V14:V16)/SUM('AEO 2025 Alt T Table 19'!$C$14:$C$16)</f>
        <v>1.1308334820022921</v>
      </c>
      <c r="V23" s="233">
        <f>SUM('AEO 2025 Alt T Table 19'!W14:W16)/SUM('AEO 2025 Alt T Table 19'!$C$14:$C$16)</f>
        <v>1.1362673128676368</v>
      </c>
      <c r="W23" s="233">
        <f>SUM('AEO 2025 Alt T Table 19'!X14:X16)/SUM('AEO 2025 Alt T Table 19'!$C$14:$C$16)</f>
        <v>1.1422178329069566</v>
      </c>
      <c r="X23" s="233">
        <f>SUM('AEO 2025 Alt T Table 19'!Y14:Y16)/SUM('AEO 2025 Alt T Table 19'!$C$14:$C$16)</f>
        <v>1.1468599164337068</v>
      </c>
      <c r="Y23" s="233">
        <f>SUM('AEO 2025 Alt T Table 19'!Z14:Z16)/SUM('AEO 2025 Alt T Table 19'!$C$14:$C$16)</f>
        <v>1.1483247092293682</v>
      </c>
      <c r="Z23" s="233">
        <f>SUM('AEO 2025 Alt T Table 19'!AA14:AA16)/SUM('AEO 2025 Alt T Table 19'!$C$14:$C$16)</f>
        <v>1.1499748661431561</v>
      </c>
      <c r="AA23" s="233">
        <f>SUM('AEO 2025 Alt T Table 19'!AB14:AB16)/SUM('AEO 2025 Alt T Table 19'!$C$14:$C$16)</f>
        <v>1.149863499563375</v>
      </c>
      <c r="AB23" s="233">
        <f>SUM('AEO 2025 Alt T Table 19'!AC14:AC16)/SUM('AEO 2025 Alt T Table 19'!$C$14:$C$16)</f>
        <v>1.1503307238435712</v>
      </c>
    </row>
    <row r="26" spans="1:30">
      <c r="A26" s="195" t="s">
        <v>453</v>
      </c>
      <c r="B26" s="196"/>
      <c r="C26" s="196"/>
      <c r="D26" s="196"/>
      <c r="E26" s="196"/>
      <c r="F26" s="196"/>
      <c r="G26" s="196"/>
      <c r="H26" s="196"/>
      <c r="I26" s="196"/>
      <c r="J26" s="196"/>
      <c r="K26" s="196"/>
      <c r="L26" s="196"/>
      <c r="M26" s="196"/>
      <c r="N26" s="196"/>
      <c r="O26" s="196"/>
      <c r="P26" s="196"/>
      <c r="Q26" s="196"/>
      <c r="R26" s="196"/>
      <c r="S26" s="196"/>
      <c r="T26" s="196"/>
      <c r="U26" s="196"/>
      <c r="V26" s="196"/>
      <c r="W26" s="196"/>
      <c r="X26" s="196"/>
      <c r="Y26" s="196"/>
      <c r="Z26" s="196"/>
      <c r="AA26" s="196"/>
      <c r="AB26" s="196"/>
      <c r="AC26" s="196"/>
      <c r="AD26" s="196"/>
    </row>
    <row r="27" spans="1:30" s="1" customFormat="1">
      <c r="B27" s="1">
        <f t="shared" ref="B27:AB27" si="0">B2</f>
        <v>2024</v>
      </c>
      <c r="C27" s="1">
        <f t="shared" si="0"/>
        <v>2025</v>
      </c>
      <c r="D27" s="1">
        <f t="shared" si="0"/>
        <v>2026</v>
      </c>
      <c r="E27" s="1">
        <f t="shared" si="0"/>
        <v>2027</v>
      </c>
      <c r="F27" s="1">
        <f t="shared" si="0"/>
        <v>2028</v>
      </c>
      <c r="G27" s="1">
        <f t="shared" si="0"/>
        <v>2029</v>
      </c>
      <c r="H27" s="1">
        <f t="shared" si="0"/>
        <v>2030</v>
      </c>
      <c r="I27" s="1">
        <f t="shared" si="0"/>
        <v>2031</v>
      </c>
      <c r="J27" s="1">
        <f t="shared" si="0"/>
        <v>2032</v>
      </c>
      <c r="K27" s="1">
        <f t="shared" si="0"/>
        <v>2033</v>
      </c>
      <c r="L27" s="1">
        <f t="shared" si="0"/>
        <v>2034</v>
      </c>
      <c r="M27" s="1">
        <f t="shared" si="0"/>
        <v>2035</v>
      </c>
      <c r="N27" s="1">
        <f t="shared" si="0"/>
        <v>2036</v>
      </c>
      <c r="O27" s="1">
        <f t="shared" si="0"/>
        <v>2037</v>
      </c>
      <c r="P27" s="1">
        <f t="shared" si="0"/>
        <v>2038</v>
      </c>
      <c r="Q27" s="1">
        <f t="shared" si="0"/>
        <v>2039</v>
      </c>
      <c r="R27" s="1">
        <f t="shared" si="0"/>
        <v>2040</v>
      </c>
      <c r="S27" s="1">
        <f t="shared" si="0"/>
        <v>2041</v>
      </c>
      <c r="T27" s="1">
        <f t="shared" si="0"/>
        <v>2042</v>
      </c>
      <c r="U27" s="1">
        <f t="shared" si="0"/>
        <v>2043</v>
      </c>
      <c r="V27" s="1">
        <f t="shared" si="0"/>
        <v>2044</v>
      </c>
      <c r="W27" s="1">
        <f t="shared" si="0"/>
        <v>2045</v>
      </c>
      <c r="X27" s="1">
        <f t="shared" si="0"/>
        <v>2046</v>
      </c>
      <c r="Y27" s="1">
        <f t="shared" si="0"/>
        <v>2047</v>
      </c>
      <c r="Z27" s="1">
        <f t="shared" si="0"/>
        <v>2048</v>
      </c>
      <c r="AA27" s="1">
        <f t="shared" si="0"/>
        <v>2049</v>
      </c>
      <c r="AB27" s="1">
        <f t="shared" si="0"/>
        <v>2050</v>
      </c>
    </row>
    <row r="28" spans="1:30" ht="29">
      <c r="A28" s="30" t="s">
        <v>115</v>
      </c>
      <c r="B28" s="7">
        <v>0</v>
      </c>
      <c r="C28" s="7">
        <v>0</v>
      </c>
      <c r="D28" s="7">
        <v>0</v>
      </c>
      <c r="E28" s="7">
        <v>0</v>
      </c>
      <c r="F28" s="7">
        <v>0</v>
      </c>
      <c r="G28" s="7">
        <v>0</v>
      </c>
      <c r="H28" s="7">
        <v>0</v>
      </c>
      <c r="I28" s="7">
        <v>0</v>
      </c>
      <c r="J28" s="7">
        <v>0</v>
      </c>
      <c r="K28" s="7">
        <v>0</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c r="AD28" s="7"/>
    </row>
    <row r="29" spans="1:30">
      <c r="A29" t="s">
        <v>116</v>
      </c>
      <c r="B29" s="229">
        <f>'AEO 2025 HZC Table 1'!F$21/'AEO 2025 HZC Table 1'!$F$21</f>
        <v>1</v>
      </c>
      <c r="C29" s="229">
        <f>'AEO 2025 HZC Table 1'!G$21/'AEO 2025 HZC Table 1'!$F$21</f>
        <v>1.4563698495962387</v>
      </c>
      <c r="D29" s="229">
        <f>'AEO 2025 HZC Table 1'!H$21/'AEO 2025 HZC Table 1'!$F$21</f>
        <v>1.7354548026902901</v>
      </c>
      <c r="E29" s="229">
        <f>'AEO 2025 HZC Table 1'!I$21/'AEO 2025 HZC Table 1'!$F$21</f>
        <v>2.3388764338419348</v>
      </c>
      <c r="F29" s="229">
        <f>'AEO 2025 HZC Table 1'!J$21/'AEO 2025 HZC Table 1'!$F$21</f>
        <v>2.7881831835100019</v>
      </c>
      <c r="G29" s="229">
        <f>'AEO 2025 HZC Table 1'!K$21/'AEO 2025 HZC Table 1'!$F$21</f>
        <v>2.9909126526347865</v>
      </c>
      <c r="H29" s="229">
        <f>'AEO 2025 HZC Table 1'!L$21/'AEO 2025 HZC Table 1'!$F$21</f>
        <v>3.2783231395424766</v>
      </c>
      <c r="I29" s="229">
        <f>'AEO 2025 HZC Table 1'!M$21/'AEO 2025 HZC Table 1'!$F$21</f>
        <v>3.3549398167294258</v>
      </c>
      <c r="J29" s="229">
        <f>'AEO 2025 HZC Table 1'!N$21/'AEO 2025 HZC Table 1'!$F$21</f>
        <v>3.4315673769671116</v>
      </c>
      <c r="K29" s="229">
        <f>'AEO 2025 HZC Table 1'!O$21/'AEO 2025 HZC Table 1'!$F$21</f>
        <v>3.518011448969375</v>
      </c>
      <c r="L29" s="229">
        <f>'AEO 2025 HZC Table 1'!P$21/'AEO 2025 HZC Table 1'!$F$21</f>
        <v>3.5486363537426815</v>
      </c>
      <c r="M29" s="229">
        <f>'AEO 2025 HZC Table 1'!Q$21/'AEO 2025 HZC Table 1'!$F$21</f>
        <v>3.5950852142872693</v>
      </c>
      <c r="N29" s="229">
        <f>'AEO 2025 HZC Table 1'!R$21/'AEO 2025 HZC Table 1'!$F$21</f>
        <v>3.5106980388742572</v>
      </c>
      <c r="O29" s="229">
        <f>'AEO 2025 HZC Table 1'!S$21/'AEO 2025 HZC Table 1'!$F$21</f>
        <v>3.4701151426767951</v>
      </c>
      <c r="P29" s="229">
        <f>'AEO 2025 HZC Table 1'!T$21/'AEO 2025 HZC Table 1'!$F$21</f>
        <v>3.4510698038874263</v>
      </c>
      <c r="Q29" s="229">
        <f>'AEO 2025 HZC Table 1'!U$21/'AEO 2025 HZC Table 1'!$F$21</f>
        <v>3.3653004810308427</v>
      </c>
      <c r="R29" s="229">
        <f>'AEO 2025 HZC Table 1'!V$21/'AEO 2025 HZC Table 1'!$F$21</f>
        <v>3.4182247567638164</v>
      </c>
      <c r="S29" s="229">
        <f>'AEO 2025 HZC Table 1'!W$21/'AEO 2025 HZC Table 1'!$F$21</f>
        <v>3.4337439871144682</v>
      </c>
      <c r="T29" s="229">
        <f>'AEO 2025 HZC Table 1'!X$21/'AEO 2025 HZC Table 1'!$F$21</f>
        <v>3.4069390331497726</v>
      </c>
      <c r="U29" s="229">
        <f>'AEO 2025 HZC Table 1'!Y$21/'AEO 2025 HZC Table 1'!$F$21</f>
        <v>3.1902248438282217</v>
      </c>
      <c r="V29" s="229">
        <f>'AEO 2025 HZC Table 1'!Z$21/'AEO 2025 HZC Table 1'!$F$21</f>
        <v>3.1744879524628344</v>
      </c>
      <c r="W29" s="229">
        <f>'AEO 2025 HZC Table 1'!AA$21/'AEO 2025 HZC Table 1'!$F$21</f>
        <v>3.1485645256078185</v>
      </c>
      <c r="X29" s="229">
        <f>'AEO 2025 HZC Table 1'!AB$21/'AEO 2025 HZC Table 1'!$F$21</f>
        <v>2.9730426833249899</v>
      </c>
      <c r="Y29" s="229">
        <f>'AEO 2025 HZC Table 1'!AC$21/'AEO 2025 HZC Table 1'!$F$21</f>
        <v>2.8541235879241671</v>
      </c>
      <c r="Z29" s="229">
        <f>'AEO 2025 HZC Table 1'!AD$21/'AEO 2025 HZC Table 1'!$F$21</f>
        <v>2.781566288662038</v>
      </c>
      <c r="AA29" s="229">
        <f>'AEO 2025 HZC Table 1'!AE$21/'AEO 2025 HZC Table 1'!$F$21</f>
        <v>2.6720719151992687</v>
      </c>
      <c r="AB29" s="229">
        <f>'AEO 2025 HZC Table 1'!AF$21/'AEO 2025 HZC Table 1'!$F$21</f>
        <v>2.5732864636614936</v>
      </c>
    </row>
    <row r="30" spans="1:30">
      <c r="A30" t="s">
        <v>106</v>
      </c>
      <c r="B30" s="229">
        <f>'AEO 2025 HZC Table 1'!F20/'AEO 2025 HZC Table 1'!$F$20</f>
        <v>1</v>
      </c>
      <c r="C30" s="229">
        <f>'AEO 2025 HZC Table 1'!G20/'AEO 2025 HZC Table 1'!$F$20</f>
        <v>0.94855236832328549</v>
      </c>
      <c r="D30" s="229">
        <f>'AEO 2025 HZC Table 1'!H20/'AEO 2025 HZC Table 1'!$F$20</f>
        <v>0.79310982579575451</v>
      </c>
      <c r="E30" s="229">
        <f>'AEO 2025 HZC Table 1'!I20/'AEO 2025 HZC Table 1'!$F$20</f>
        <v>0.87183648905713085</v>
      </c>
      <c r="F30" s="229">
        <f>'AEO 2025 HZC Table 1'!J20/'AEO 2025 HZC Table 1'!$F$20</f>
        <v>0.85356582159539263</v>
      </c>
      <c r="G30" s="229">
        <f>'AEO 2025 HZC Table 1'!K20/'AEO 2025 HZC Table 1'!$F$20</f>
        <v>0.86994878784512175</v>
      </c>
      <c r="H30" s="229">
        <f>'AEO 2025 HZC Table 1'!L20/'AEO 2025 HZC Table 1'!$F$20</f>
        <v>0.89246160060090318</v>
      </c>
      <c r="I30" s="229">
        <f>'AEO 2025 HZC Table 1'!M20/'AEO 2025 HZC Table 1'!$F$20</f>
        <v>0.89579358110329466</v>
      </c>
      <c r="J30" s="229">
        <f>'AEO 2025 HZC Table 1'!N20/'AEO 2025 HZC Table 1'!$F$20</f>
        <v>0.89432630476657515</v>
      </c>
      <c r="K30" s="229">
        <f>'AEO 2025 HZC Table 1'!O20/'AEO 2025 HZC Table 1'!$F$20</f>
        <v>0.85058171190660747</v>
      </c>
      <c r="L30" s="229">
        <f>'AEO 2025 HZC Table 1'!P20/'AEO 2025 HZC Table 1'!$F$20</f>
        <v>0.80259076302580246</v>
      </c>
      <c r="M30" s="229">
        <f>'AEO 2025 HZC Table 1'!Q20/'AEO 2025 HZC Table 1'!$F$20</f>
        <v>0.80212628747020509</v>
      </c>
      <c r="N30" s="229">
        <f>'AEO 2025 HZC Table 1'!R20/'AEO 2025 HZC Table 1'!$F$20</f>
        <v>0.81361736089135261</v>
      </c>
      <c r="O30" s="229">
        <f>'AEO 2025 HZC Table 1'!S20/'AEO 2025 HZC Table 1'!$F$20</f>
        <v>0.82319190581705437</v>
      </c>
      <c r="P30" s="229">
        <f>'AEO 2025 HZC Table 1'!T20/'AEO 2025 HZC Table 1'!$F$20</f>
        <v>0.83402027562121983</v>
      </c>
      <c r="Q30" s="229">
        <f>'AEO 2025 HZC Table 1'!U20/'AEO 2025 HZC Table 1'!$F$20</f>
        <v>0.84143180258298944</v>
      </c>
      <c r="R30" s="229">
        <f>'AEO 2025 HZC Table 1'!V20/'AEO 2025 HZC Table 1'!$F$20</f>
        <v>0.8276105777343894</v>
      </c>
      <c r="S30" s="229">
        <f>'AEO 2025 HZC Table 1'!W20/'AEO 2025 HZC Table 1'!$F$20</f>
        <v>0.78541132160786287</v>
      </c>
      <c r="T30" s="229">
        <f>'AEO 2025 HZC Table 1'!X20/'AEO 2025 HZC Table 1'!$F$20</f>
        <v>0.78664571236266156</v>
      </c>
      <c r="U30" s="229">
        <f>'AEO 2025 HZC Table 1'!Y20/'AEO 2025 HZC Table 1'!$F$20</f>
        <v>0.80815540043525969</v>
      </c>
      <c r="V30" s="229">
        <f>'AEO 2025 HZC Table 1'!Z20/'AEO 2025 HZC Table 1'!$F$20</f>
        <v>0.82971658893557032</v>
      </c>
      <c r="W30" s="229">
        <f>'AEO 2025 HZC Table 1'!AA20/'AEO 2025 HZC Table 1'!$F$20</f>
        <v>0.82564254881123089</v>
      </c>
      <c r="X30" s="229">
        <f>'AEO 2025 HZC Table 1'!AB20/'AEO 2025 HZC Table 1'!$F$20</f>
        <v>0.77127332054352071</v>
      </c>
      <c r="Y30" s="229">
        <f>'AEO 2025 HZC Table 1'!AC20/'AEO 2025 HZC Table 1'!$F$20</f>
        <v>0.7656523241754345</v>
      </c>
      <c r="Z30" s="229">
        <f>'AEO 2025 HZC Table 1'!AD20/'AEO 2025 HZC Table 1'!$F$20</f>
        <v>0.78631468445623165</v>
      </c>
      <c r="AA30" s="229">
        <f>'AEO 2025 HZC Table 1'!AE20/'AEO 2025 HZC Table 1'!$F$20</f>
        <v>0.8155426347424477</v>
      </c>
      <c r="AB30" s="229">
        <f>'AEO 2025 HZC Table 1'!AF20/'AEO 2025 HZC Table 1'!$F$20</f>
        <v>0.84458142622498966</v>
      </c>
    </row>
    <row r="31" spans="1:30">
      <c r="A31" t="s">
        <v>108</v>
      </c>
      <c r="B31">
        <v>1</v>
      </c>
      <c r="C31">
        <v>1</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row>
    <row r="32" spans="1:30">
      <c r="A32" s="7" t="s">
        <v>118</v>
      </c>
      <c r="B32" s="7">
        <v>0</v>
      </c>
      <c r="C32" s="7">
        <v>0</v>
      </c>
      <c r="D32" s="7">
        <v>0</v>
      </c>
      <c r="E32" s="7">
        <v>0</v>
      </c>
      <c r="F32" s="7">
        <v>0</v>
      </c>
      <c r="G32" s="7">
        <v>0</v>
      </c>
      <c r="H32" s="7">
        <v>0</v>
      </c>
      <c r="I32" s="7">
        <v>0</v>
      </c>
      <c r="J32" s="7">
        <v>0</v>
      </c>
      <c r="K32" s="7">
        <v>0</v>
      </c>
      <c r="L32" s="7">
        <v>0</v>
      </c>
      <c r="M32" s="7">
        <v>0</v>
      </c>
      <c r="N32" s="7">
        <v>0</v>
      </c>
      <c r="O32" s="7">
        <v>0</v>
      </c>
      <c r="P32" s="7">
        <v>0</v>
      </c>
      <c r="Q32" s="7">
        <v>0</v>
      </c>
      <c r="R32" s="7">
        <v>0</v>
      </c>
      <c r="S32" s="7">
        <v>0</v>
      </c>
      <c r="T32" s="7">
        <v>0</v>
      </c>
      <c r="U32" s="7">
        <v>0</v>
      </c>
      <c r="V32" s="7">
        <v>0</v>
      </c>
      <c r="W32" s="7">
        <v>0</v>
      </c>
      <c r="X32" s="7">
        <v>0</v>
      </c>
      <c r="Y32" s="7">
        <v>0</v>
      </c>
      <c r="Z32" s="7">
        <v>0</v>
      </c>
      <c r="AA32" s="7">
        <v>0</v>
      </c>
      <c r="AB32" s="7">
        <v>0</v>
      </c>
      <c r="AC32" s="7"/>
      <c r="AD32" s="7"/>
    </row>
    <row r="33" spans="1:30">
      <c r="A33" s="7" t="s">
        <v>119</v>
      </c>
      <c r="B33" s="7">
        <v>0</v>
      </c>
      <c r="C33" s="7">
        <v>0</v>
      </c>
      <c r="D33" s="7">
        <v>0</v>
      </c>
      <c r="E33" s="7">
        <v>0</v>
      </c>
      <c r="F33" s="7">
        <v>0</v>
      </c>
      <c r="G33" s="7">
        <v>0</v>
      </c>
      <c r="H33" s="7">
        <v>0</v>
      </c>
      <c r="I33" s="7">
        <v>0</v>
      </c>
      <c r="J33" s="7">
        <v>0</v>
      </c>
      <c r="K33" s="7">
        <v>0</v>
      </c>
      <c r="L33" s="7">
        <v>0</v>
      </c>
      <c r="M33" s="7">
        <v>0</v>
      </c>
      <c r="N33" s="7">
        <v>0</v>
      </c>
      <c r="O33" s="7">
        <v>0</v>
      </c>
      <c r="P33" s="7">
        <v>0</v>
      </c>
      <c r="Q33" s="7">
        <v>0</v>
      </c>
      <c r="R33" s="7">
        <v>0</v>
      </c>
      <c r="S33" s="7">
        <v>0</v>
      </c>
      <c r="T33" s="7">
        <v>0</v>
      </c>
      <c r="U33" s="7">
        <v>0</v>
      </c>
      <c r="V33" s="7">
        <v>0</v>
      </c>
      <c r="W33" s="7">
        <v>0</v>
      </c>
      <c r="X33" s="7">
        <v>0</v>
      </c>
      <c r="Y33" s="7">
        <v>0</v>
      </c>
      <c r="Z33" s="7">
        <v>0</v>
      </c>
      <c r="AA33" s="7">
        <v>0</v>
      </c>
      <c r="AB33" s="7">
        <v>0</v>
      </c>
      <c r="AC33" s="7"/>
      <c r="AD33" s="7"/>
    </row>
    <row r="34" spans="1:30">
      <c r="A34" s="7" t="s">
        <v>120</v>
      </c>
      <c r="B34" s="7">
        <v>0</v>
      </c>
      <c r="C34" s="7">
        <v>0</v>
      </c>
      <c r="D34" s="7">
        <v>0</v>
      </c>
      <c r="E34" s="7">
        <v>0</v>
      </c>
      <c r="F34" s="7">
        <v>0</v>
      </c>
      <c r="G34" s="7">
        <v>0</v>
      </c>
      <c r="H34" s="7">
        <v>0</v>
      </c>
      <c r="I34" s="7">
        <v>0</v>
      </c>
      <c r="J34" s="7">
        <v>0</v>
      </c>
      <c r="K34" s="7">
        <v>0</v>
      </c>
      <c r="L34" s="7">
        <v>0</v>
      </c>
      <c r="M34" s="7">
        <v>0</v>
      </c>
      <c r="N34" s="7">
        <v>0</v>
      </c>
      <c r="O34" s="7">
        <v>0</v>
      </c>
      <c r="P34" s="7">
        <v>0</v>
      </c>
      <c r="Q34" s="7">
        <v>0</v>
      </c>
      <c r="R34" s="7">
        <v>0</v>
      </c>
      <c r="S34" s="7">
        <v>0</v>
      </c>
      <c r="T34" s="7">
        <v>0</v>
      </c>
      <c r="U34" s="7">
        <v>0</v>
      </c>
      <c r="V34" s="7">
        <v>0</v>
      </c>
      <c r="W34" s="7">
        <v>0</v>
      </c>
      <c r="X34" s="7">
        <v>0</v>
      </c>
      <c r="Y34" s="7">
        <v>0</v>
      </c>
      <c r="Z34" s="7">
        <v>0</v>
      </c>
      <c r="AA34" s="7">
        <v>0</v>
      </c>
      <c r="AB34" s="7">
        <v>0</v>
      </c>
      <c r="AC34" s="7"/>
      <c r="AD34" s="7"/>
    </row>
    <row r="35" spans="1:30">
      <c r="A35" t="s">
        <v>109</v>
      </c>
      <c r="B35">
        <v>1</v>
      </c>
      <c r="C35">
        <v>1</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row>
    <row r="36" spans="1:30">
      <c r="A36" t="s">
        <v>110</v>
      </c>
      <c r="B36" s="233">
        <f>'AEO 2025 Alt T Table 1'!F$19/'AEO 2025 Alt T Table 1'!$F$19</f>
        <v>1</v>
      </c>
      <c r="C36" s="233">
        <f>'AEO 2025 Alt T Table 1'!G$19/'AEO 2025 Alt T Table 1'!$F$19</f>
        <v>0.9742064055253018</v>
      </c>
      <c r="D36" s="233">
        <f>'AEO 2025 Alt T Table 1'!H$19/'AEO 2025 Alt T Table 1'!$F$19</f>
        <v>1.0145058424458673</v>
      </c>
      <c r="E36" s="233">
        <f>'AEO 2025 Alt T Table 1'!I$19/'AEO 2025 Alt T Table 1'!$F$19</f>
        <v>0.98818355111020162</v>
      </c>
      <c r="F36" s="233">
        <f>'AEO 2025 Alt T Table 1'!J$19/'AEO 2025 Alt T Table 1'!$F$19</f>
        <v>0.9637963593963772</v>
      </c>
      <c r="G36" s="233">
        <f>'AEO 2025 Alt T Table 1'!K$19/'AEO 2025 Alt T Table 1'!$F$19</f>
        <v>0.94566615434245971</v>
      </c>
      <c r="H36" s="233">
        <f>'AEO 2025 Alt T Table 1'!L$19/'AEO 2025 Alt T Table 1'!$F$19</f>
        <v>0.92936318685238017</v>
      </c>
      <c r="I36" s="233">
        <f>'AEO 2025 Alt T Table 1'!M$19/'AEO 2025 Alt T Table 1'!$F$19</f>
        <v>0.92787360442663913</v>
      </c>
      <c r="J36" s="233">
        <f>'AEO 2025 Alt T Table 1'!N$19/'AEO 2025 Alt T Table 1'!$F$19</f>
        <v>0.91062110527262807</v>
      </c>
      <c r="K36" s="233">
        <f>'AEO 2025 Alt T Table 1'!O$19/'AEO 2025 Alt T Table 1'!$F$19</f>
        <v>0.9011657741101935</v>
      </c>
      <c r="L36" s="233">
        <f>'AEO 2025 Alt T Table 1'!P$19/'AEO 2025 Alt T Table 1'!$F$19</f>
        <v>0.89559076197262666</v>
      </c>
      <c r="M36" s="233">
        <f>'AEO 2025 Alt T Table 1'!Q$19/'AEO 2025 Alt T Table 1'!$F$19</f>
        <v>0.88749987350273518</v>
      </c>
      <c r="N36" s="233">
        <f>'AEO 2025 Alt T Table 1'!R$19/'AEO 2025 Alt T Table 1'!$F$19</f>
        <v>0.88438569596080041</v>
      </c>
      <c r="O36" s="233">
        <f>'AEO 2025 Alt T Table 1'!S$19/'AEO 2025 Alt T Table 1'!$F$19</f>
        <v>0.88288204457097175</v>
      </c>
      <c r="P36" s="233">
        <f>'AEO 2025 Alt T Table 1'!T$19/'AEO 2025 Alt T Table 1'!$F$19</f>
        <v>0.88061027710675943</v>
      </c>
      <c r="Q36" s="233">
        <f>'AEO 2025 Alt T Table 1'!U$19/'AEO 2025 Alt T Table 1'!$F$19</f>
        <v>0.86822983553380972</v>
      </c>
      <c r="R36" s="233">
        <f>'AEO 2025 Alt T Table 1'!V$19/'AEO 2025 Alt T Table 1'!$F$19</f>
        <v>0.86574135665786567</v>
      </c>
      <c r="S36" s="233">
        <f>'AEO 2025 Alt T Table 1'!W$19/'AEO 2025 Alt T Table 1'!$F$19</f>
        <v>0.86645887382632125</v>
      </c>
      <c r="T36" s="233">
        <f>'AEO 2025 Alt T Table 1'!X$19/'AEO 2025 Alt T Table 1'!$F$19</f>
        <v>0.87312460091655597</v>
      </c>
      <c r="U36" s="233">
        <f>'AEO 2025 Alt T Table 1'!Y$19/'AEO 2025 Alt T Table 1'!$F$19</f>
        <v>0.87344794026663397</v>
      </c>
      <c r="V36" s="233">
        <f>'AEO 2025 Alt T Table 1'!Z$19/'AEO 2025 Alt T Table 1'!$F$19</f>
        <v>0.87307671707387258</v>
      </c>
      <c r="W36" s="233">
        <f>'AEO 2025 Alt T Table 1'!AA$19/'AEO 2025 Alt T Table 1'!$F$19</f>
        <v>0.86944544339574437</v>
      </c>
      <c r="X36" s="233">
        <f>'AEO 2025 Alt T Table 1'!AB$19/'AEO 2025 Alt T Table 1'!$F$19</f>
        <v>0.8689735160389892</v>
      </c>
      <c r="Y36" s="233">
        <f>'AEO 2025 Alt T Table 1'!AC$19/'AEO 2025 Alt T Table 1'!$F$19</f>
        <v>0.86965869927243711</v>
      </c>
      <c r="Z36" s="233">
        <f>'AEO 2025 Alt T Table 1'!AD$19/'AEO 2025 Alt T Table 1'!$F$19</f>
        <v>0.88635164857406112</v>
      </c>
      <c r="AA36" s="233">
        <f>'AEO 2025 Alt T Table 1'!AE$19/'AEO 2025 Alt T Table 1'!$F$19</f>
        <v>0.88717974286376478</v>
      </c>
      <c r="AB36" s="233">
        <f>'AEO 2025 Alt T Table 1'!AF$19/'AEO 2025 Alt T Table 1'!$F$19</f>
        <v>0.87030068831789731</v>
      </c>
    </row>
    <row r="37" spans="1:30">
      <c r="A37" t="s">
        <v>121</v>
      </c>
      <c r="B37" s="233">
        <f>'AEO 2025 Alt T Table 1'!F$19/'AEO 2025 Alt T Table 1'!$F$19</f>
        <v>1</v>
      </c>
      <c r="C37" s="233">
        <f>'AEO 2025 Alt T Table 1'!G$19/'AEO 2025 Alt T Table 1'!$F$19</f>
        <v>0.9742064055253018</v>
      </c>
      <c r="D37" s="233">
        <f>'AEO 2025 Alt T Table 1'!H$19/'AEO 2025 Alt T Table 1'!$F$19</f>
        <v>1.0145058424458673</v>
      </c>
      <c r="E37" s="233">
        <f>'AEO 2025 Alt T Table 1'!I$19/'AEO 2025 Alt T Table 1'!$F$19</f>
        <v>0.98818355111020162</v>
      </c>
      <c r="F37" s="233">
        <f>'AEO 2025 Alt T Table 1'!J$19/'AEO 2025 Alt T Table 1'!$F$19</f>
        <v>0.9637963593963772</v>
      </c>
      <c r="G37" s="233">
        <f>'AEO 2025 Alt T Table 1'!K$19/'AEO 2025 Alt T Table 1'!$F$19</f>
        <v>0.94566615434245971</v>
      </c>
      <c r="H37" s="233">
        <f>'AEO 2025 Alt T Table 1'!L$19/'AEO 2025 Alt T Table 1'!$F$19</f>
        <v>0.92936318685238017</v>
      </c>
      <c r="I37" s="233">
        <f>'AEO 2025 Alt T Table 1'!M$19/'AEO 2025 Alt T Table 1'!$F$19</f>
        <v>0.92787360442663913</v>
      </c>
      <c r="J37" s="233">
        <f>'AEO 2025 Alt T Table 1'!N$19/'AEO 2025 Alt T Table 1'!$F$19</f>
        <v>0.91062110527262807</v>
      </c>
      <c r="K37" s="233">
        <f>'AEO 2025 Alt T Table 1'!O$19/'AEO 2025 Alt T Table 1'!$F$19</f>
        <v>0.9011657741101935</v>
      </c>
      <c r="L37" s="233">
        <f>'AEO 2025 Alt T Table 1'!P$19/'AEO 2025 Alt T Table 1'!$F$19</f>
        <v>0.89559076197262666</v>
      </c>
      <c r="M37" s="233">
        <f>'AEO 2025 Alt T Table 1'!Q$19/'AEO 2025 Alt T Table 1'!$F$19</f>
        <v>0.88749987350273518</v>
      </c>
      <c r="N37" s="233">
        <f>'AEO 2025 Alt T Table 1'!R$19/'AEO 2025 Alt T Table 1'!$F$19</f>
        <v>0.88438569596080041</v>
      </c>
      <c r="O37" s="233">
        <f>'AEO 2025 Alt T Table 1'!S$19/'AEO 2025 Alt T Table 1'!$F$19</f>
        <v>0.88288204457097175</v>
      </c>
      <c r="P37" s="233">
        <f>'AEO 2025 Alt T Table 1'!T$19/'AEO 2025 Alt T Table 1'!$F$19</f>
        <v>0.88061027710675943</v>
      </c>
      <c r="Q37" s="233">
        <f>'AEO 2025 Alt T Table 1'!U$19/'AEO 2025 Alt T Table 1'!$F$19</f>
        <v>0.86822983553380972</v>
      </c>
      <c r="R37" s="233">
        <f>'AEO 2025 Alt T Table 1'!V$19/'AEO 2025 Alt T Table 1'!$F$19</f>
        <v>0.86574135665786567</v>
      </c>
      <c r="S37" s="233">
        <f>'AEO 2025 Alt T Table 1'!W$19/'AEO 2025 Alt T Table 1'!$F$19</f>
        <v>0.86645887382632125</v>
      </c>
      <c r="T37" s="233">
        <f>'AEO 2025 Alt T Table 1'!X$19/'AEO 2025 Alt T Table 1'!$F$19</f>
        <v>0.87312460091655597</v>
      </c>
      <c r="U37" s="233">
        <f>'AEO 2025 Alt T Table 1'!Y$19/'AEO 2025 Alt T Table 1'!$F$19</f>
        <v>0.87344794026663397</v>
      </c>
      <c r="V37" s="233">
        <f>'AEO 2025 Alt T Table 1'!Z$19/'AEO 2025 Alt T Table 1'!$F$19</f>
        <v>0.87307671707387258</v>
      </c>
      <c r="W37" s="233">
        <f>'AEO 2025 Alt T Table 1'!AA$19/'AEO 2025 Alt T Table 1'!$F$19</f>
        <v>0.86944544339574437</v>
      </c>
      <c r="X37" s="233">
        <f>'AEO 2025 Alt T Table 1'!AB$19/'AEO 2025 Alt T Table 1'!$F$19</f>
        <v>0.8689735160389892</v>
      </c>
      <c r="Y37" s="233">
        <f>'AEO 2025 Alt T Table 1'!AC$19/'AEO 2025 Alt T Table 1'!$F$19</f>
        <v>0.86965869927243711</v>
      </c>
      <c r="Z37" s="233">
        <f>'AEO 2025 Alt T Table 1'!AD$19/'AEO 2025 Alt T Table 1'!$F$19</f>
        <v>0.88635164857406112</v>
      </c>
      <c r="AA37" s="233">
        <f>'AEO 2025 Alt T Table 1'!AE$19/'AEO 2025 Alt T Table 1'!$F$19</f>
        <v>0.88717974286376478</v>
      </c>
      <c r="AB37" s="233">
        <f>'AEO 2025 Alt T Table 1'!AF$19/'AEO 2025 Alt T Table 1'!$F$19</f>
        <v>0.87030068831789731</v>
      </c>
    </row>
    <row r="38" spans="1:30">
      <c r="A38" t="s">
        <v>122</v>
      </c>
      <c r="B38" s="233">
        <f>'AEO 2025 Alt T Table 1'!F$19/'AEO 2025 Alt T Table 1'!$F$19</f>
        <v>1</v>
      </c>
      <c r="C38" s="233">
        <f>'AEO 2025 Alt T Table 1'!G$19/'AEO 2025 Alt T Table 1'!$F$19</f>
        <v>0.9742064055253018</v>
      </c>
      <c r="D38" s="233">
        <f>'AEO 2025 Alt T Table 1'!H$19/'AEO 2025 Alt T Table 1'!$F$19</f>
        <v>1.0145058424458673</v>
      </c>
      <c r="E38" s="233">
        <f>'AEO 2025 Alt T Table 1'!I$19/'AEO 2025 Alt T Table 1'!$F$19</f>
        <v>0.98818355111020162</v>
      </c>
      <c r="F38" s="233">
        <f>'AEO 2025 Alt T Table 1'!J$19/'AEO 2025 Alt T Table 1'!$F$19</f>
        <v>0.9637963593963772</v>
      </c>
      <c r="G38" s="233">
        <f>'AEO 2025 Alt T Table 1'!K$19/'AEO 2025 Alt T Table 1'!$F$19</f>
        <v>0.94566615434245971</v>
      </c>
      <c r="H38" s="233">
        <f>'AEO 2025 Alt T Table 1'!L$19/'AEO 2025 Alt T Table 1'!$F$19</f>
        <v>0.92936318685238017</v>
      </c>
      <c r="I38" s="233">
        <f>'AEO 2025 Alt T Table 1'!M$19/'AEO 2025 Alt T Table 1'!$F$19</f>
        <v>0.92787360442663913</v>
      </c>
      <c r="J38" s="233">
        <f>'AEO 2025 Alt T Table 1'!N$19/'AEO 2025 Alt T Table 1'!$F$19</f>
        <v>0.91062110527262807</v>
      </c>
      <c r="K38" s="233">
        <f>'AEO 2025 Alt T Table 1'!O$19/'AEO 2025 Alt T Table 1'!$F$19</f>
        <v>0.9011657741101935</v>
      </c>
      <c r="L38" s="233">
        <f>'AEO 2025 Alt T Table 1'!P$19/'AEO 2025 Alt T Table 1'!$F$19</f>
        <v>0.89559076197262666</v>
      </c>
      <c r="M38" s="233">
        <f>'AEO 2025 Alt T Table 1'!Q$19/'AEO 2025 Alt T Table 1'!$F$19</f>
        <v>0.88749987350273518</v>
      </c>
      <c r="N38" s="233">
        <f>'AEO 2025 Alt T Table 1'!R$19/'AEO 2025 Alt T Table 1'!$F$19</f>
        <v>0.88438569596080041</v>
      </c>
      <c r="O38" s="233">
        <f>'AEO 2025 Alt T Table 1'!S$19/'AEO 2025 Alt T Table 1'!$F$19</f>
        <v>0.88288204457097175</v>
      </c>
      <c r="P38" s="233">
        <f>'AEO 2025 Alt T Table 1'!T$19/'AEO 2025 Alt T Table 1'!$F$19</f>
        <v>0.88061027710675943</v>
      </c>
      <c r="Q38" s="233">
        <f>'AEO 2025 Alt T Table 1'!U$19/'AEO 2025 Alt T Table 1'!$F$19</f>
        <v>0.86822983553380972</v>
      </c>
      <c r="R38" s="233">
        <f>'AEO 2025 Alt T Table 1'!V$19/'AEO 2025 Alt T Table 1'!$F$19</f>
        <v>0.86574135665786567</v>
      </c>
      <c r="S38" s="233">
        <f>'AEO 2025 Alt T Table 1'!W$19/'AEO 2025 Alt T Table 1'!$F$19</f>
        <v>0.86645887382632125</v>
      </c>
      <c r="T38" s="233">
        <f>'AEO 2025 Alt T Table 1'!X$19/'AEO 2025 Alt T Table 1'!$F$19</f>
        <v>0.87312460091655597</v>
      </c>
      <c r="U38" s="233">
        <f>'AEO 2025 Alt T Table 1'!Y$19/'AEO 2025 Alt T Table 1'!$F$19</f>
        <v>0.87344794026663397</v>
      </c>
      <c r="V38" s="233">
        <f>'AEO 2025 Alt T Table 1'!Z$19/'AEO 2025 Alt T Table 1'!$F$19</f>
        <v>0.87307671707387258</v>
      </c>
      <c r="W38" s="233">
        <f>'AEO 2025 Alt T Table 1'!AA$19/'AEO 2025 Alt T Table 1'!$F$19</f>
        <v>0.86944544339574437</v>
      </c>
      <c r="X38" s="233">
        <f>'AEO 2025 Alt T Table 1'!AB$19/'AEO 2025 Alt T Table 1'!$F$19</f>
        <v>0.8689735160389892</v>
      </c>
      <c r="Y38" s="233">
        <f>'AEO 2025 Alt T Table 1'!AC$19/'AEO 2025 Alt T Table 1'!$F$19</f>
        <v>0.86965869927243711</v>
      </c>
      <c r="Z38" s="233">
        <f>'AEO 2025 Alt T Table 1'!AD$19/'AEO 2025 Alt T Table 1'!$F$19</f>
        <v>0.88635164857406112</v>
      </c>
      <c r="AA38" s="233">
        <f>'AEO 2025 Alt T Table 1'!AE$19/'AEO 2025 Alt T Table 1'!$F$19</f>
        <v>0.88717974286376478</v>
      </c>
      <c r="AB38" s="233">
        <f>'AEO 2025 Alt T Table 1'!AF$19/'AEO 2025 Alt T Table 1'!$F$19</f>
        <v>0.87030068831789731</v>
      </c>
    </row>
    <row r="39" spans="1:30">
      <c r="A39" t="s">
        <v>123</v>
      </c>
      <c r="B39" s="233">
        <f>'AEO 2025 Alt T Table 1'!F$19/'AEO 2025 Alt T Table 1'!$F$19</f>
        <v>1</v>
      </c>
      <c r="C39" s="233">
        <f>'AEO 2025 Alt T Table 1'!G$19/'AEO 2025 Alt T Table 1'!$F$19</f>
        <v>0.9742064055253018</v>
      </c>
      <c r="D39" s="233">
        <f>'AEO 2025 Alt T Table 1'!H$19/'AEO 2025 Alt T Table 1'!$F$19</f>
        <v>1.0145058424458673</v>
      </c>
      <c r="E39" s="233">
        <f>'AEO 2025 Alt T Table 1'!I$19/'AEO 2025 Alt T Table 1'!$F$19</f>
        <v>0.98818355111020162</v>
      </c>
      <c r="F39" s="233">
        <f>'AEO 2025 Alt T Table 1'!J$19/'AEO 2025 Alt T Table 1'!$F$19</f>
        <v>0.9637963593963772</v>
      </c>
      <c r="G39" s="233">
        <f>'AEO 2025 Alt T Table 1'!K$19/'AEO 2025 Alt T Table 1'!$F$19</f>
        <v>0.94566615434245971</v>
      </c>
      <c r="H39" s="233">
        <f>'AEO 2025 Alt T Table 1'!L$19/'AEO 2025 Alt T Table 1'!$F$19</f>
        <v>0.92936318685238017</v>
      </c>
      <c r="I39" s="233">
        <f>'AEO 2025 Alt T Table 1'!M$19/'AEO 2025 Alt T Table 1'!$F$19</f>
        <v>0.92787360442663913</v>
      </c>
      <c r="J39" s="233">
        <f>'AEO 2025 Alt T Table 1'!N$19/'AEO 2025 Alt T Table 1'!$F$19</f>
        <v>0.91062110527262807</v>
      </c>
      <c r="K39" s="233">
        <f>'AEO 2025 Alt T Table 1'!O$19/'AEO 2025 Alt T Table 1'!$F$19</f>
        <v>0.9011657741101935</v>
      </c>
      <c r="L39" s="233">
        <f>'AEO 2025 Alt T Table 1'!P$19/'AEO 2025 Alt T Table 1'!$F$19</f>
        <v>0.89559076197262666</v>
      </c>
      <c r="M39" s="233">
        <f>'AEO 2025 Alt T Table 1'!Q$19/'AEO 2025 Alt T Table 1'!$F$19</f>
        <v>0.88749987350273518</v>
      </c>
      <c r="N39" s="233">
        <f>'AEO 2025 Alt T Table 1'!R$19/'AEO 2025 Alt T Table 1'!$F$19</f>
        <v>0.88438569596080041</v>
      </c>
      <c r="O39" s="233">
        <f>'AEO 2025 Alt T Table 1'!S$19/'AEO 2025 Alt T Table 1'!$F$19</f>
        <v>0.88288204457097175</v>
      </c>
      <c r="P39" s="233">
        <f>'AEO 2025 Alt T Table 1'!T$19/'AEO 2025 Alt T Table 1'!$F$19</f>
        <v>0.88061027710675943</v>
      </c>
      <c r="Q39" s="233">
        <f>'AEO 2025 Alt T Table 1'!U$19/'AEO 2025 Alt T Table 1'!$F$19</f>
        <v>0.86822983553380972</v>
      </c>
      <c r="R39" s="233">
        <f>'AEO 2025 Alt T Table 1'!V$19/'AEO 2025 Alt T Table 1'!$F$19</f>
        <v>0.86574135665786567</v>
      </c>
      <c r="S39" s="233">
        <f>'AEO 2025 Alt T Table 1'!W$19/'AEO 2025 Alt T Table 1'!$F$19</f>
        <v>0.86645887382632125</v>
      </c>
      <c r="T39" s="233">
        <f>'AEO 2025 Alt T Table 1'!X$19/'AEO 2025 Alt T Table 1'!$F$19</f>
        <v>0.87312460091655597</v>
      </c>
      <c r="U39" s="233">
        <f>'AEO 2025 Alt T Table 1'!Y$19/'AEO 2025 Alt T Table 1'!$F$19</f>
        <v>0.87344794026663397</v>
      </c>
      <c r="V39" s="233">
        <f>'AEO 2025 Alt T Table 1'!Z$19/'AEO 2025 Alt T Table 1'!$F$19</f>
        <v>0.87307671707387258</v>
      </c>
      <c r="W39" s="233">
        <f>'AEO 2025 Alt T Table 1'!AA$19/'AEO 2025 Alt T Table 1'!$F$19</f>
        <v>0.86944544339574437</v>
      </c>
      <c r="X39" s="233">
        <f>'AEO 2025 Alt T Table 1'!AB$19/'AEO 2025 Alt T Table 1'!$F$19</f>
        <v>0.8689735160389892</v>
      </c>
      <c r="Y39" s="233">
        <f>'AEO 2025 Alt T Table 1'!AC$19/'AEO 2025 Alt T Table 1'!$F$19</f>
        <v>0.86965869927243711</v>
      </c>
      <c r="Z39" s="233">
        <f>'AEO 2025 Alt T Table 1'!AD$19/'AEO 2025 Alt T Table 1'!$F$19</f>
        <v>0.88635164857406112</v>
      </c>
      <c r="AA39" s="233">
        <f>'AEO 2025 Alt T Table 1'!AE$19/'AEO 2025 Alt T Table 1'!$F$19</f>
        <v>0.88717974286376478</v>
      </c>
      <c r="AB39" s="233">
        <f>'AEO 2025 Alt T Table 1'!AF$19/'AEO 2025 Alt T Table 1'!$F$19</f>
        <v>0.87030068831789731</v>
      </c>
    </row>
    <row r="40" spans="1:30">
      <c r="A40" t="s">
        <v>112</v>
      </c>
      <c r="B40" s="233">
        <f>'AEO 2025 Alt T Table 1'!F$19/'AEO 2025 Alt T Table 1'!$F$19</f>
        <v>1</v>
      </c>
      <c r="C40" s="233">
        <f>'AEO 2025 Alt T Table 1'!G$19/'AEO 2025 Alt T Table 1'!$F$19</f>
        <v>0.9742064055253018</v>
      </c>
      <c r="D40" s="233">
        <f>'AEO 2025 Alt T Table 1'!H$19/'AEO 2025 Alt T Table 1'!$F$19</f>
        <v>1.0145058424458673</v>
      </c>
      <c r="E40" s="233">
        <f>'AEO 2025 Alt T Table 1'!I$19/'AEO 2025 Alt T Table 1'!$F$19</f>
        <v>0.98818355111020162</v>
      </c>
      <c r="F40" s="233">
        <f>'AEO 2025 Alt T Table 1'!J$19/'AEO 2025 Alt T Table 1'!$F$19</f>
        <v>0.9637963593963772</v>
      </c>
      <c r="G40" s="233">
        <f>'AEO 2025 Alt T Table 1'!K$19/'AEO 2025 Alt T Table 1'!$F$19</f>
        <v>0.94566615434245971</v>
      </c>
      <c r="H40" s="233">
        <f>'AEO 2025 Alt T Table 1'!L$19/'AEO 2025 Alt T Table 1'!$F$19</f>
        <v>0.92936318685238017</v>
      </c>
      <c r="I40" s="233">
        <f>'AEO 2025 Alt T Table 1'!M$19/'AEO 2025 Alt T Table 1'!$F$19</f>
        <v>0.92787360442663913</v>
      </c>
      <c r="J40" s="233">
        <f>'AEO 2025 Alt T Table 1'!N$19/'AEO 2025 Alt T Table 1'!$F$19</f>
        <v>0.91062110527262807</v>
      </c>
      <c r="K40" s="233">
        <f>'AEO 2025 Alt T Table 1'!O$19/'AEO 2025 Alt T Table 1'!$F$19</f>
        <v>0.9011657741101935</v>
      </c>
      <c r="L40" s="233">
        <f>'AEO 2025 Alt T Table 1'!P$19/'AEO 2025 Alt T Table 1'!$F$19</f>
        <v>0.89559076197262666</v>
      </c>
      <c r="M40" s="233">
        <f>'AEO 2025 Alt T Table 1'!Q$19/'AEO 2025 Alt T Table 1'!$F$19</f>
        <v>0.88749987350273518</v>
      </c>
      <c r="N40" s="233">
        <f>'AEO 2025 Alt T Table 1'!R$19/'AEO 2025 Alt T Table 1'!$F$19</f>
        <v>0.88438569596080041</v>
      </c>
      <c r="O40" s="233">
        <f>'AEO 2025 Alt T Table 1'!S$19/'AEO 2025 Alt T Table 1'!$F$19</f>
        <v>0.88288204457097175</v>
      </c>
      <c r="P40" s="233">
        <f>'AEO 2025 Alt T Table 1'!T$19/'AEO 2025 Alt T Table 1'!$F$19</f>
        <v>0.88061027710675943</v>
      </c>
      <c r="Q40" s="233">
        <f>'AEO 2025 Alt T Table 1'!U$19/'AEO 2025 Alt T Table 1'!$F$19</f>
        <v>0.86822983553380972</v>
      </c>
      <c r="R40" s="233">
        <f>'AEO 2025 Alt T Table 1'!V$19/'AEO 2025 Alt T Table 1'!$F$19</f>
        <v>0.86574135665786567</v>
      </c>
      <c r="S40" s="233">
        <f>'AEO 2025 Alt T Table 1'!W$19/'AEO 2025 Alt T Table 1'!$F$19</f>
        <v>0.86645887382632125</v>
      </c>
      <c r="T40" s="233">
        <f>'AEO 2025 Alt T Table 1'!X$19/'AEO 2025 Alt T Table 1'!$F$19</f>
        <v>0.87312460091655597</v>
      </c>
      <c r="U40" s="233">
        <f>'AEO 2025 Alt T Table 1'!Y$19/'AEO 2025 Alt T Table 1'!$F$19</f>
        <v>0.87344794026663397</v>
      </c>
      <c r="V40" s="233">
        <f>'AEO 2025 Alt T Table 1'!Z$19/'AEO 2025 Alt T Table 1'!$F$19</f>
        <v>0.87307671707387258</v>
      </c>
      <c r="W40" s="233">
        <f>'AEO 2025 Alt T Table 1'!AA$19/'AEO 2025 Alt T Table 1'!$F$19</f>
        <v>0.86944544339574437</v>
      </c>
      <c r="X40" s="233">
        <f>'AEO 2025 Alt T Table 1'!AB$19/'AEO 2025 Alt T Table 1'!$F$19</f>
        <v>0.8689735160389892</v>
      </c>
      <c r="Y40" s="233">
        <f>'AEO 2025 Alt T Table 1'!AC$19/'AEO 2025 Alt T Table 1'!$F$19</f>
        <v>0.86965869927243711</v>
      </c>
      <c r="Z40" s="233">
        <f>'AEO 2025 Alt T Table 1'!AD$19/'AEO 2025 Alt T Table 1'!$F$19</f>
        <v>0.88635164857406112</v>
      </c>
      <c r="AA40" s="233">
        <f>'AEO 2025 Alt T Table 1'!AE$19/'AEO 2025 Alt T Table 1'!$F$19</f>
        <v>0.88717974286376478</v>
      </c>
      <c r="AB40" s="233">
        <f>'AEO 2025 Alt T Table 1'!AF$19/'AEO 2025 Alt T Table 1'!$F$19</f>
        <v>0.87030068831789731</v>
      </c>
    </row>
    <row r="41" spans="1:30">
      <c r="A41" s="7" t="s">
        <v>148</v>
      </c>
      <c r="B41" s="7">
        <v>0</v>
      </c>
      <c r="C41" s="7">
        <v>0</v>
      </c>
      <c r="D41" s="7">
        <v>0</v>
      </c>
      <c r="E41" s="7">
        <v>0</v>
      </c>
      <c r="F41" s="7">
        <v>0</v>
      </c>
      <c r="G41" s="7">
        <v>0</v>
      </c>
      <c r="H41" s="7">
        <v>0</v>
      </c>
      <c r="I41" s="7">
        <v>0</v>
      </c>
      <c r="J41" s="7">
        <v>0</v>
      </c>
      <c r="K41" s="7">
        <v>0</v>
      </c>
      <c r="L41" s="7">
        <v>0</v>
      </c>
      <c r="M41" s="7">
        <v>0</v>
      </c>
      <c r="N41" s="7">
        <v>0</v>
      </c>
      <c r="O41" s="7">
        <v>0</v>
      </c>
      <c r="P41" s="7">
        <v>0</v>
      </c>
      <c r="Q41" s="7">
        <v>0</v>
      </c>
      <c r="R41" s="7">
        <v>0</v>
      </c>
      <c r="S41" s="7">
        <v>0</v>
      </c>
      <c r="T41" s="7">
        <v>0</v>
      </c>
      <c r="U41" s="7">
        <v>0</v>
      </c>
      <c r="V41" s="7">
        <v>0</v>
      </c>
      <c r="W41" s="7">
        <v>0</v>
      </c>
      <c r="X41" s="7">
        <v>0</v>
      </c>
      <c r="Y41" s="7">
        <v>0</v>
      </c>
      <c r="Z41" s="7">
        <v>0</v>
      </c>
      <c r="AA41" s="7">
        <v>0</v>
      </c>
      <c r="AB41" s="7">
        <v>0</v>
      </c>
      <c r="AC41" s="7"/>
      <c r="AD41" s="7"/>
    </row>
    <row r="42" spans="1:30">
      <c r="A42" s="7" t="s">
        <v>125</v>
      </c>
      <c r="B42" s="7">
        <v>0</v>
      </c>
      <c r="C42" s="7">
        <v>0</v>
      </c>
      <c r="D42" s="7">
        <v>0</v>
      </c>
      <c r="E42" s="7">
        <v>0</v>
      </c>
      <c r="F42" s="7">
        <v>0</v>
      </c>
      <c r="G42" s="7">
        <v>0</v>
      </c>
      <c r="H42" s="7">
        <v>0</v>
      </c>
      <c r="I42" s="7">
        <v>0</v>
      </c>
      <c r="J42" s="7">
        <v>0</v>
      </c>
      <c r="K42" s="7">
        <v>0</v>
      </c>
      <c r="L42" s="7">
        <v>0</v>
      </c>
      <c r="M42" s="7">
        <v>0</v>
      </c>
      <c r="N42" s="7">
        <v>0</v>
      </c>
      <c r="O42" s="7">
        <v>0</v>
      </c>
      <c r="P42" s="7">
        <v>0</v>
      </c>
      <c r="Q42" s="7">
        <v>0</v>
      </c>
      <c r="R42" s="7">
        <v>0</v>
      </c>
      <c r="S42" s="7">
        <v>0</v>
      </c>
      <c r="T42" s="7">
        <v>0</v>
      </c>
      <c r="U42" s="7">
        <v>0</v>
      </c>
      <c r="V42" s="7">
        <v>0</v>
      </c>
      <c r="W42" s="7">
        <v>0</v>
      </c>
      <c r="X42" s="7">
        <v>0</v>
      </c>
      <c r="Y42" s="7">
        <v>0</v>
      </c>
      <c r="Z42" s="7">
        <v>0</v>
      </c>
      <c r="AA42" s="7">
        <v>0</v>
      </c>
      <c r="AB42" s="7">
        <v>0</v>
      </c>
      <c r="AC42" s="7"/>
      <c r="AD42" s="7"/>
    </row>
    <row r="43" spans="1:30">
      <c r="A43" t="s">
        <v>126</v>
      </c>
      <c r="B43" s="229">
        <f>'AEO 2025 HZC Table 1'!F$21/'AEO 2025 HZC Table 1'!$F$21</f>
        <v>1</v>
      </c>
      <c r="C43" s="229">
        <f>'AEO 2025 HZC Table 1'!G$21/'AEO 2025 HZC Table 1'!$F$21</f>
        <v>1.4563698495962387</v>
      </c>
      <c r="D43" s="229">
        <f>'AEO 2025 HZC Table 1'!H$21/'AEO 2025 HZC Table 1'!$F$21</f>
        <v>1.7354548026902901</v>
      </c>
      <c r="E43" s="229">
        <f>'AEO 2025 HZC Table 1'!I$21/'AEO 2025 HZC Table 1'!$F$21</f>
        <v>2.3388764338419348</v>
      </c>
      <c r="F43" s="229">
        <f>'AEO 2025 HZC Table 1'!J$21/'AEO 2025 HZC Table 1'!$F$21</f>
        <v>2.7881831835100019</v>
      </c>
      <c r="G43" s="229">
        <f>'AEO 2025 HZC Table 1'!K$21/'AEO 2025 HZC Table 1'!$F$21</f>
        <v>2.9909126526347865</v>
      </c>
      <c r="H43" s="229">
        <f>'AEO 2025 HZC Table 1'!L$21/'AEO 2025 HZC Table 1'!$F$21</f>
        <v>3.2783231395424766</v>
      </c>
      <c r="I43" s="229">
        <f>'AEO 2025 HZC Table 1'!M$21/'AEO 2025 HZC Table 1'!$F$21</f>
        <v>3.3549398167294258</v>
      </c>
      <c r="J43" s="229">
        <f>'AEO 2025 HZC Table 1'!N$21/'AEO 2025 HZC Table 1'!$F$21</f>
        <v>3.4315673769671116</v>
      </c>
      <c r="K43" s="229">
        <f>'AEO 2025 HZC Table 1'!O$21/'AEO 2025 HZC Table 1'!$F$21</f>
        <v>3.518011448969375</v>
      </c>
      <c r="L43" s="229">
        <f>'AEO 2025 HZC Table 1'!P$21/'AEO 2025 HZC Table 1'!$F$21</f>
        <v>3.5486363537426815</v>
      </c>
      <c r="M43" s="229">
        <f>'AEO 2025 HZC Table 1'!Q$21/'AEO 2025 HZC Table 1'!$F$21</f>
        <v>3.5950852142872693</v>
      </c>
      <c r="N43" s="229">
        <f>'AEO 2025 HZC Table 1'!R$21/'AEO 2025 HZC Table 1'!$F$21</f>
        <v>3.5106980388742572</v>
      </c>
      <c r="O43" s="229">
        <f>'AEO 2025 HZC Table 1'!S$21/'AEO 2025 HZC Table 1'!$F$21</f>
        <v>3.4701151426767951</v>
      </c>
      <c r="P43" s="229">
        <f>'AEO 2025 HZC Table 1'!T$21/'AEO 2025 HZC Table 1'!$F$21</f>
        <v>3.4510698038874263</v>
      </c>
      <c r="Q43" s="229">
        <f>'AEO 2025 HZC Table 1'!U$21/'AEO 2025 HZC Table 1'!$F$21</f>
        <v>3.3653004810308427</v>
      </c>
      <c r="R43" s="229">
        <f>'AEO 2025 HZC Table 1'!V$21/'AEO 2025 HZC Table 1'!$F$21</f>
        <v>3.4182247567638164</v>
      </c>
      <c r="S43" s="229">
        <f>'AEO 2025 HZC Table 1'!W$21/'AEO 2025 HZC Table 1'!$F$21</f>
        <v>3.4337439871144682</v>
      </c>
      <c r="T43" s="229">
        <f>'AEO 2025 HZC Table 1'!X$21/'AEO 2025 HZC Table 1'!$F$21</f>
        <v>3.4069390331497726</v>
      </c>
      <c r="U43" s="229">
        <f>'AEO 2025 HZC Table 1'!Y$21/'AEO 2025 HZC Table 1'!$F$21</f>
        <v>3.1902248438282217</v>
      </c>
      <c r="V43" s="229">
        <f>'AEO 2025 HZC Table 1'!Z$21/'AEO 2025 HZC Table 1'!$F$21</f>
        <v>3.1744879524628344</v>
      </c>
      <c r="W43" s="229">
        <f>'AEO 2025 HZC Table 1'!AA$21/'AEO 2025 HZC Table 1'!$F$21</f>
        <v>3.1485645256078185</v>
      </c>
      <c r="X43" s="229">
        <f>'AEO 2025 HZC Table 1'!AB$21/'AEO 2025 HZC Table 1'!$F$21</f>
        <v>2.9730426833249899</v>
      </c>
      <c r="Y43" s="229">
        <f>'AEO 2025 HZC Table 1'!AC$21/'AEO 2025 HZC Table 1'!$F$21</f>
        <v>2.8541235879241671</v>
      </c>
      <c r="Z43" s="229">
        <f>'AEO 2025 HZC Table 1'!AD$21/'AEO 2025 HZC Table 1'!$F$21</f>
        <v>2.781566288662038</v>
      </c>
      <c r="AA43" s="229">
        <f>'AEO 2025 HZC Table 1'!AE$21/'AEO 2025 HZC Table 1'!$F$21</f>
        <v>2.6720719151992687</v>
      </c>
      <c r="AB43" s="229">
        <f>'AEO 2025 HZC Table 1'!AF$21/'AEO 2025 HZC Table 1'!$F$21</f>
        <v>2.5732864636614936</v>
      </c>
    </row>
    <row r="44" spans="1:30">
      <c r="A44" t="s">
        <v>113</v>
      </c>
      <c r="B44" s="233">
        <f>'AEO 2025 Alt T Table 1'!F18/'AEO 2025 Alt T Table 1'!$F$18</f>
        <v>1</v>
      </c>
      <c r="C44" s="233">
        <f>'AEO 2025 Alt T Table 1'!G18/'AEO 2025 Alt T Table 1'!$F$18</f>
        <v>0.92470006194855692</v>
      </c>
      <c r="D44" s="233">
        <f>'AEO 2025 Alt T Table 1'!H18/'AEO 2025 Alt T Table 1'!$F$18</f>
        <v>0.96527175194018011</v>
      </c>
      <c r="E44" s="233">
        <f>'AEO 2025 Alt T Table 1'!I18/'AEO 2025 Alt T Table 1'!$F$18</f>
        <v>0.91258296829327656</v>
      </c>
      <c r="F44" s="233">
        <f>'AEO 2025 Alt T Table 1'!J18/'AEO 2025 Alt T Table 1'!$F$18</f>
        <v>0.95044983303369268</v>
      </c>
      <c r="G44" s="233">
        <f>'AEO 2025 Alt T Table 1'!K18/'AEO 2025 Alt T Table 1'!$F$18</f>
        <v>0.96716595614780543</v>
      </c>
      <c r="H44" s="233">
        <f>'AEO 2025 Alt T Table 1'!L18/'AEO 2025 Alt T Table 1'!$F$18</f>
        <v>0.96814195242510637</v>
      </c>
      <c r="I44" s="233">
        <f>'AEO 2025 Alt T Table 1'!M18/'AEO 2025 Alt T Table 1'!$F$18</f>
        <v>0.99579136905208798</v>
      </c>
      <c r="J44" s="233">
        <f>'AEO 2025 Alt T Table 1'!N18/'AEO 2025 Alt T Table 1'!$F$18</f>
        <v>1.0508192376373919</v>
      </c>
      <c r="K44" s="233">
        <f>'AEO 2025 Alt T Table 1'!O18/'AEO 2025 Alt T Table 1'!$F$18</f>
        <v>1.0506349899280214</v>
      </c>
      <c r="L44" s="233">
        <f>'AEO 2025 Alt T Table 1'!P18/'AEO 2025 Alt T Table 1'!$F$18</f>
        <v>1.0827646220704099</v>
      </c>
      <c r="M44" s="233">
        <f>'AEO 2025 Alt T Table 1'!Q18/'AEO 2025 Alt T Table 1'!$F$18</f>
        <v>1.0948416978119915</v>
      </c>
      <c r="N44" s="233">
        <f>'AEO 2025 Alt T Table 1'!R18/'AEO 2025 Alt T Table 1'!$F$18</f>
        <v>1.1107359039481908</v>
      </c>
      <c r="O44" s="233">
        <f>'AEO 2025 Alt T Table 1'!S18/'AEO 2025 Alt T Table 1'!$F$18</f>
        <v>1.0932893333731906</v>
      </c>
      <c r="P44" s="233">
        <f>'AEO 2025 Alt T Table 1'!T18/'AEO 2025 Alt T Table 1'!$F$18</f>
        <v>1.0944561207364563</v>
      </c>
      <c r="Q44" s="233">
        <f>'AEO 2025 Alt T Table 1'!U18/'AEO 2025 Alt T Table 1'!$F$18</f>
        <v>1.119526207187548</v>
      </c>
      <c r="R44" s="233">
        <f>'AEO 2025 Alt T Table 1'!V18/'AEO 2025 Alt T Table 1'!$F$18</f>
        <v>1.1303352454227704</v>
      </c>
      <c r="S44" s="233">
        <f>'AEO 2025 Alt T Table 1'!W18/'AEO 2025 Alt T Table 1'!$F$18</f>
        <v>1.1209100280208049</v>
      </c>
      <c r="T44" s="233">
        <f>'AEO 2025 Alt T Table 1'!X18/'AEO 2025 Alt T Table 1'!$F$18</f>
        <v>1.0986237694835927</v>
      </c>
      <c r="U44" s="233">
        <f>'AEO 2025 Alt T Table 1'!Y18/'AEO 2025 Alt T Table 1'!$F$18</f>
        <v>1.1103718855765934</v>
      </c>
      <c r="V44" s="233">
        <f>'AEO 2025 Alt T Table 1'!Z18/'AEO 2025 Alt T Table 1'!$F$18</f>
        <v>1.1262180151142358</v>
      </c>
      <c r="W44" s="233">
        <f>'AEO 2025 Alt T Table 1'!AA18/'AEO 2025 Alt T Table 1'!$F$18</f>
        <v>1.1376153373441249</v>
      </c>
      <c r="X44" s="233">
        <f>'AEO 2025 Alt T Table 1'!AB18/'AEO 2025 Alt T Table 1'!$F$18</f>
        <v>1.1018670113120517</v>
      </c>
      <c r="Y44" s="233">
        <f>'AEO 2025 Alt T Table 1'!AC18/'AEO 2025 Alt T Table 1'!$F$18</f>
        <v>1.0771052900926803</v>
      </c>
      <c r="Z44" s="233">
        <f>'AEO 2025 Alt T Table 1'!AD18/'AEO 2025 Alt T Table 1'!$F$18</f>
        <v>1.0758670766080622</v>
      </c>
      <c r="AA44" s="233">
        <f>'AEO 2025 Alt T Table 1'!AE18/'AEO 2025 Alt T Table 1'!$F$18</f>
        <v>1.1009468059299248</v>
      </c>
      <c r="AB44" s="233">
        <f>'AEO 2025 Alt T Table 1'!AF18/'AEO 2025 Alt T Table 1'!$F$18</f>
        <v>1.1351847828886983</v>
      </c>
    </row>
    <row r="45" spans="1:30">
      <c r="A45" t="s">
        <v>127</v>
      </c>
      <c r="B45" s="233">
        <f>'AEO 2025 Alt T Table 1'!F$19/'AEO 2025 Alt T Table 1'!$F$19</f>
        <v>1</v>
      </c>
      <c r="C45" s="233">
        <f>'AEO 2025 Alt T Table 1'!G$19/'AEO 2025 Alt T Table 1'!$F$19</f>
        <v>0.9742064055253018</v>
      </c>
      <c r="D45" s="233">
        <f>'AEO 2025 Alt T Table 1'!H$19/'AEO 2025 Alt T Table 1'!$F$19</f>
        <v>1.0145058424458673</v>
      </c>
      <c r="E45" s="233">
        <f>'AEO 2025 Alt T Table 1'!I$19/'AEO 2025 Alt T Table 1'!$F$19</f>
        <v>0.98818355111020162</v>
      </c>
      <c r="F45" s="233">
        <f>'AEO 2025 Alt T Table 1'!J$19/'AEO 2025 Alt T Table 1'!$F$19</f>
        <v>0.9637963593963772</v>
      </c>
      <c r="G45" s="233">
        <f>'AEO 2025 Alt T Table 1'!K$19/'AEO 2025 Alt T Table 1'!$F$19</f>
        <v>0.94566615434245971</v>
      </c>
      <c r="H45" s="233">
        <f>'AEO 2025 Alt T Table 1'!L$19/'AEO 2025 Alt T Table 1'!$F$19</f>
        <v>0.92936318685238017</v>
      </c>
      <c r="I45" s="233">
        <f>'AEO 2025 Alt T Table 1'!M$19/'AEO 2025 Alt T Table 1'!$F$19</f>
        <v>0.92787360442663913</v>
      </c>
      <c r="J45" s="233">
        <f>'AEO 2025 Alt T Table 1'!N$19/'AEO 2025 Alt T Table 1'!$F$19</f>
        <v>0.91062110527262807</v>
      </c>
      <c r="K45" s="233">
        <f>'AEO 2025 Alt T Table 1'!O$19/'AEO 2025 Alt T Table 1'!$F$19</f>
        <v>0.9011657741101935</v>
      </c>
      <c r="L45" s="233">
        <f>'AEO 2025 Alt T Table 1'!P$19/'AEO 2025 Alt T Table 1'!$F$19</f>
        <v>0.89559076197262666</v>
      </c>
      <c r="M45" s="233">
        <f>'AEO 2025 Alt T Table 1'!Q$19/'AEO 2025 Alt T Table 1'!$F$19</f>
        <v>0.88749987350273518</v>
      </c>
      <c r="N45" s="233">
        <f>'AEO 2025 Alt T Table 1'!R$19/'AEO 2025 Alt T Table 1'!$F$19</f>
        <v>0.88438569596080041</v>
      </c>
      <c r="O45" s="233">
        <f>'AEO 2025 Alt T Table 1'!S$19/'AEO 2025 Alt T Table 1'!$F$19</f>
        <v>0.88288204457097175</v>
      </c>
      <c r="P45" s="233">
        <f>'AEO 2025 Alt T Table 1'!T$19/'AEO 2025 Alt T Table 1'!$F$19</f>
        <v>0.88061027710675943</v>
      </c>
      <c r="Q45" s="233">
        <f>'AEO 2025 Alt T Table 1'!U$19/'AEO 2025 Alt T Table 1'!$F$19</f>
        <v>0.86822983553380972</v>
      </c>
      <c r="R45" s="233">
        <f>'AEO 2025 Alt T Table 1'!V$19/'AEO 2025 Alt T Table 1'!$F$19</f>
        <v>0.86574135665786567</v>
      </c>
      <c r="S45" s="233">
        <f>'AEO 2025 Alt T Table 1'!W$19/'AEO 2025 Alt T Table 1'!$F$19</f>
        <v>0.86645887382632125</v>
      </c>
      <c r="T45" s="233">
        <f>'AEO 2025 Alt T Table 1'!X$19/'AEO 2025 Alt T Table 1'!$F$19</f>
        <v>0.87312460091655597</v>
      </c>
      <c r="U45" s="233">
        <f>'AEO 2025 Alt T Table 1'!Y$19/'AEO 2025 Alt T Table 1'!$F$19</f>
        <v>0.87344794026663397</v>
      </c>
      <c r="V45" s="233">
        <f>'AEO 2025 Alt T Table 1'!Z$19/'AEO 2025 Alt T Table 1'!$F$19</f>
        <v>0.87307671707387258</v>
      </c>
      <c r="W45" s="233">
        <f>'AEO 2025 Alt T Table 1'!AA$19/'AEO 2025 Alt T Table 1'!$F$19</f>
        <v>0.86944544339574437</v>
      </c>
      <c r="X45" s="233">
        <f>'AEO 2025 Alt T Table 1'!AB$19/'AEO 2025 Alt T Table 1'!$F$19</f>
        <v>0.8689735160389892</v>
      </c>
      <c r="Y45" s="233">
        <f>'AEO 2025 Alt T Table 1'!AC$19/'AEO 2025 Alt T Table 1'!$F$19</f>
        <v>0.86965869927243711</v>
      </c>
      <c r="Z45" s="233">
        <f>'AEO 2025 Alt T Table 1'!AD$19/'AEO 2025 Alt T Table 1'!$F$19</f>
        <v>0.88635164857406112</v>
      </c>
      <c r="AA45" s="233">
        <f>'AEO 2025 Alt T Table 1'!AE$19/'AEO 2025 Alt T Table 1'!$F$19</f>
        <v>0.88717974286376478</v>
      </c>
      <c r="AB45" s="233">
        <f>'AEO 2025 Alt T Table 1'!AF$19/'AEO 2025 Alt T Table 1'!$F$19</f>
        <v>0.87030068831789731</v>
      </c>
    </row>
    <row r="46" spans="1:30">
      <c r="A46" t="s">
        <v>114</v>
      </c>
      <c r="B46" s="233">
        <f>'AEO 2025 Alt T Table 1'!F$19/'AEO 2025 Alt T Table 1'!$F$19</f>
        <v>1</v>
      </c>
      <c r="C46" s="233">
        <f>'AEO 2025 Alt T Table 1'!G$19/'AEO 2025 Alt T Table 1'!$F$19</f>
        <v>0.9742064055253018</v>
      </c>
      <c r="D46" s="233">
        <f>'AEO 2025 Alt T Table 1'!H$19/'AEO 2025 Alt T Table 1'!$F$19</f>
        <v>1.0145058424458673</v>
      </c>
      <c r="E46" s="233">
        <f>'AEO 2025 Alt T Table 1'!I$19/'AEO 2025 Alt T Table 1'!$F$19</f>
        <v>0.98818355111020162</v>
      </c>
      <c r="F46" s="233">
        <f>'AEO 2025 Alt T Table 1'!J$19/'AEO 2025 Alt T Table 1'!$F$19</f>
        <v>0.9637963593963772</v>
      </c>
      <c r="G46" s="233">
        <f>'AEO 2025 Alt T Table 1'!K$19/'AEO 2025 Alt T Table 1'!$F$19</f>
        <v>0.94566615434245971</v>
      </c>
      <c r="H46" s="233">
        <f>'AEO 2025 Alt T Table 1'!L$19/'AEO 2025 Alt T Table 1'!$F$19</f>
        <v>0.92936318685238017</v>
      </c>
      <c r="I46" s="233">
        <f>'AEO 2025 Alt T Table 1'!M$19/'AEO 2025 Alt T Table 1'!$F$19</f>
        <v>0.92787360442663913</v>
      </c>
      <c r="J46" s="233">
        <f>'AEO 2025 Alt T Table 1'!N$19/'AEO 2025 Alt T Table 1'!$F$19</f>
        <v>0.91062110527262807</v>
      </c>
      <c r="K46" s="233">
        <f>'AEO 2025 Alt T Table 1'!O$19/'AEO 2025 Alt T Table 1'!$F$19</f>
        <v>0.9011657741101935</v>
      </c>
      <c r="L46" s="233">
        <f>'AEO 2025 Alt T Table 1'!P$19/'AEO 2025 Alt T Table 1'!$F$19</f>
        <v>0.89559076197262666</v>
      </c>
      <c r="M46" s="233">
        <f>'AEO 2025 Alt T Table 1'!Q$19/'AEO 2025 Alt T Table 1'!$F$19</f>
        <v>0.88749987350273518</v>
      </c>
      <c r="N46" s="233">
        <f>'AEO 2025 Alt T Table 1'!R$19/'AEO 2025 Alt T Table 1'!$F$19</f>
        <v>0.88438569596080041</v>
      </c>
      <c r="O46" s="233">
        <f>'AEO 2025 Alt T Table 1'!S$19/'AEO 2025 Alt T Table 1'!$F$19</f>
        <v>0.88288204457097175</v>
      </c>
      <c r="P46" s="233">
        <f>'AEO 2025 Alt T Table 1'!T$19/'AEO 2025 Alt T Table 1'!$F$19</f>
        <v>0.88061027710675943</v>
      </c>
      <c r="Q46" s="233">
        <f>'AEO 2025 Alt T Table 1'!U$19/'AEO 2025 Alt T Table 1'!$F$19</f>
        <v>0.86822983553380972</v>
      </c>
      <c r="R46" s="233">
        <f>'AEO 2025 Alt T Table 1'!V$19/'AEO 2025 Alt T Table 1'!$F$19</f>
        <v>0.86574135665786567</v>
      </c>
      <c r="S46" s="233">
        <f>'AEO 2025 Alt T Table 1'!W$19/'AEO 2025 Alt T Table 1'!$F$19</f>
        <v>0.86645887382632125</v>
      </c>
      <c r="T46" s="233">
        <f>'AEO 2025 Alt T Table 1'!X$19/'AEO 2025 Alt T Table 1'!$F$19</f>
        <v>0.87312460091655597</v>
      </c>
      <c r="U46" s="233">
        <f>'AEO 2025 Alt T Table 1'!Y$19/'AEO 2025 Alt T Table 1'!$F$19</f>
        <v>0.87344794026663397</v>
      </c>
      <c r="V46" s="233">
        <f>'AEO 2025 Alt T Table 1'!Z$19/'AEO 2025 Alt T Table 1'!$F$19</f>
        <v>0.87307671707387258</v>
      </c>
      <c r="W46" s="233">
        <f>'AEO 2025 Alt T Table 1'!AA$19/'AEO 2025 Alt T Table 1'!$F$19</f>
        <v>0.86944544339574437</v>
      </c>
      <c r="X46" s="233">
        <f>'AEO 2025 Alt T Table 1'!AB$19/'AEO 2025 Alt T Table 1'!$F$19</f>
        <v>0.8689735160389892</v>
      </c>
      <c r="Y46" s="233">
        <f>'AEO 2025 Alt T Table 1'!AC$19/'AEO 2025 Alt T Table 1'!$F$19</f>
        <v>0.86965869927243711</v>
      </c>
      <c r="Z46" s="233">
        <f>'AEO 2025 Alt T Table 1'!AD$19/'AEO 2025 Alt T Table 1'!$F$19</f>
        <v>0.88635164857406112</v>
      </c>
      <c r="AA46" s="233">
        <f>'AEO 2025 Alt T Table 1'!AE$19/'AEO 2025 Alt T Table 1'!$F$19</f>
        <v>0.88717974286376478</v>
      </c>
      <c r="AB46" s="233">
        <f>'AEO 2025 Alt T Table 1'!AF$19/'AEO 2025 Alt T Table 1'!$F$19</f>
        <v>0.87030068831789731</v>
      </c>
    </row>
    <row r="47" spans="1:30">
      <c r="A47" t="s">
        <v>128</v>
      </c>
      <c r="B47">
        <v>1</v>
      </c>
      <c r="C47">
        <v>1</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row>
    <row r="48" spans="1:30">
      <c r="A48" t="s">
        <v>129</v>
      </c>
      <c r="B48">
        <v>1</v>
      </c>
      <c r="C48">
        <v>1</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row>
    <row r="51" spans="1:30">
      <c r="A51" s="195" t="s">
        <v>446</v>
      </c>
      <c r="B51" s="196"/>
      <c r="C51" s="196"/>
      <c r="D51" s="196"/>
      <c r="E51" s="196"/>
      <c r="F51" s="196"/>
      <c r="G51" s="196"/>
      <c r="H51" s="196"/>
      <c r="I51" s="196"/>
      <c r="J51" s="196"/>
      <c r="K51" s="196"/>
      <c r="L51" s="196"/>
      <c r="M51" s="196"/>
      <c r="N51" s="196"/>
      <c r="O51" s="196"/>
      <c r="P51" s="196"/>
      <c r="Q51" s="196"/>
      <c r="R51" s="196"/>
      <c r="S51" s="196"/>
      <c r="T51" s="196"/>
      <c r="U51" s="196"/>
      <c r="V51" s="196"/>
      <c r="W51" s="196"/>
      <c r="X51" s="196"/>
      <c r="Y51" s="196"/>
      <c r="Z51" s="196"/>
      <c r="AA51" s="196"/>
      <c r="AB51" s="196"/>
      <c r="AC51" s="196"/>
      <c r="AD51" s="196"/>
    </row>
    <row r="52" spans="1:30" s="1" customFormat="1">
      <c r="B52" s="1">
        <f t="shared" ref="B52:AB52" si="1">B2</f>
        <v>2024</v>
      </c>
      <c r="C52" s="1">
        <f t="shared" si="1"/>
        <v>2025</v>
      </c>
      <c r="D52" s="1">
        <f t="shared" si="1"/>
        <v>2026</v>
      </c>
      <c r="E52" s="1">
        <f t="shared" si="1"/>
        <v>2027</v>
      </c>
      <c r="F52" s="1">
        <f t="shared" si="1"/>
        <v>2028</v>
      </c>
      <c r="G52" s="1">
        <f t="shared" si="1"/>
        <v>2029</v>
      </c>
      <c r="H52" s="1">
        <f t="shared" si="1"/>
        <v>2030</v>
      </c>
      <c r="I52" s="1">
        <f t="shared" si="1"/>
        <v>2031</v>
      </c>
      <c r="J52" s="1">
        <f t="shared" si="1"/>
        <v>2032</v>
      </c>
      <c r="K52" s="1">
        <f t="shared" si="1"/>
        <v>2033</v>
      </c>
      <c r="L52" s="1">
        <f t="shared" si="1"/>
        <v>2034</v>
      </c>
      <c r="M52" s="1">
        <f t="shared" si="1"/>
        <v>2035</v>
      </c>
      <c r="N52" s="1">
        <f t="shared" si="1"/>
        <v>2036</v>
      </c>
      <c r="O52" s="1">
        <f t="shared" si="1"/>
        <v>2037</v>
      </c>
      <c r="P52" s="1">
        <f t="shared" si="1"/>
        <v>2038</v>
      </c>
      <c r="Q52" s="1">
        <f t="shared" si="1"/>
        <v>2039</v>
      </c>
      <c r="R52" s="1">
        <f t="shared" si="1"/>
        <v>2040</v>
      </c>
      <c r="S52" s="1">
        <f t="shared" si="1"/>
        <v>2041</v>
      </c>
      <c r="T52" s="1">
        <f t="shared" si="1"/>
        <v>2042</v>
      </c>
      <c r="U52" s="1">
        <f t="shared" si="1"/>
        <v>2043</v>
      </c>
      <c r="V52" s="1">
        <f t="shared" si="1"/>
        <v>2044</v>
      </c>
      <c r="W52" s="1">
        <f t="shared" si="1"/>
        <v>2045</v>
      </c>
      <c r="X52" s="1">
        <f t="shared" si="1"/>
        <v>2046</v>
      </c>
      <c r="Y52" s="1">
        <f t="shared" si="1"/>
        <v>2047</v>
      </c>
      <c r="Z52" s="1">
        <f t="shared" si="1"/>
        <v>2048</v>
      </c>
      <c r="AA52" s="1">
        <f t="shared" si="1"/>
        <v>2049</v>
      </c>
      <c r="AB52" s="1">
        <f t="shared" si="1"/>
        <v>2050</v>
      </c>
    </row>
    <row r="53" spans="1:30" ht="29">
      <c r="A53" s="30" t="s">
        <v>115</v>
      </c>
      <c r="B53" s="7">
        <v>0</v>
      </c>
      <c r="C53" s="7">
        <v>0</v>
      </c>
      <c r="D53" s="7">
        <v>0</v>
      </c>
      <c r="E53" s="7">
        <v>0</v>
      </c>
      <c r="F53" s="7">
        <v>0</v>
      </c>
      <c r="G53" s="7">
        <v>0</v>
      </c>
      <c r="H53" s="7">
        <v>0</v>
      </c>
      <c r="I53" s="7">
        <v>0</v>
      </c>
      <c r="J53" s="7">
        <v>0</v>
      </c>
      <c r="K53" s="7">
        <v>0</v>
      </c>
      <c r="L53" s="7">
        <v>0</v>
      </c>
      <c r="M53" s="7">
        <v>0</v>
      </c>
      <c r="N53" s="7">
        <v>0</v>
      </c>
      <c r="O53" s="7">
        <v>0</v>
      </c>
      <c r="P53" s="7">
        <v>0</v>
      </c>
      <c r="Q53" s="7">
        <v>0</v>
      </c>
      <c r="R53" s="7">
        <v>0</v>
      </c>
      <c r="S53" s="7">
        <v>0</v>
      </c>
      <c r="T53" s="7">
        <v>0</v>
      </c>
      <c r="U53" s="7">
        <v>0</v>
      </c>
      <c r="V53" s="7">
        <v>0</v>
      </c>
      <c r="W53" s="7">
        <v>0</v>
      </c>
      <c r="X53" s="7">
        <v>0</v>
      </c>
      <c r="Y53" s="7">
        <v>0</v>
      </c>
      <c r="Z53" s="7">
        <v>0</v>
      </c>
      <c r="AA53" s="7">
        <v>0</v>
      </c>
      <c r="AB53" s="7">
        <v>0</v>
      </c>
      <c r="AC53" s="7"/>
      <c r="AD53" s="7"/>
    </row>
    <row r="54" spans="1:30">
      <c r="A54" t="s">
        <v>116</v>
      </c>
      <c r="B54" s="229">
        <f>'AEO 2025 HZC Table 1'!F$26/'AEO 2025 HZC Table 1'!$F$26</f>
        <v>1</v>
      </c>
      <c r="C54" s="229">
        <f>'AEO 2025 HZC Table 1'!G$26/'AEO 2025 HZC Table 1'!$F$26</f>
        <v>0.95609199409212253</v>
      </c>
      <c r="D54" s="229">
        <f>'AEO 2025 HZC Table 1'!H$26/'AEO 2025 HZC Table 1'!$F$26</f>
        <v>0.99462346454814821</v>
      </c>
      <c r="E54" s="229">
        <f>'AEO 2025 HZC Table 1'!I$26/'AEO 2025 HZC Table 1'!$F$26</f>
        <v>1.0312023998458815</v>
      </c>
      <c r="F54" s="229">
        <f>'AEO 2025 HZC Table 1'!J$26/'AEO 2025 HZC Table 1'!$F$26</f>
        <v>1.0801192583962498</v>
      </c>
      <c r="G54" s="229">
        <f>'AEO 2025 HZC Table 1'!K$26/'AEO 2025 HZC Table 1'!$F$26</f>
        <v>1.0573100810039722</v>
      </c>
      <c r="H54" s="229">
        <f>'AEO 2025 HZC Table 1'!L$26/'AEO 2025 HZC Table 1'!$F$26</f>
        <v>1.0349496821305053</v>
      </c>
      <c r="I54" s="229">
        <f>'AEO 2025 HZC Table 1'!M$26/'AEO 2025 HZC Table 1'!$F$26</f>
        <v>1.0288788793380241</v>
      </c>
      <c r="J54" s="229">
        <f>'AEO 2025 HZC Table 1'!N$26/'AEO 2025 HZC Table 1'!$F$26</f>
        <v>1.0369656994504939</v>
      </c>
      <c r="K54" s="229">
        <f>'AEO 2025 HZC Table 1'!O$26/'AEO 2025 HZC Table 1'!$F$26</f>
        <v>1.0341948682194722</v>
      </c>
      <c r="L54" s="229">
        <f>'AEO 2025 HZC Table 1'!P$26/'AEO 2025 HZC Table 1'!$F$26</f>
        <v>1.0275916225563495</v>
      </c>
      <c r="M54" s="229">
        <f>'AEO 2025 HZC Table 1'!Q$26/'AEO 2025 HZC Table 1'!$F$26</f>
        <v>1.0571240379058224</v>
      </c>
      <c r="N54" s="229">
        <f>'AEO 2025 HZC Table 1'!R$26/'AEO 2025 HZC Table 1'!$F$26</f>
        <v>1.0463317034685846</v>
      </c>
      <c r="O54" s="229">
        <f>'AEO 2025 HZC Table 1'!S$26/'AEO 2025 HZC Table 1'!$F$26</f>
        <v>1.0711312117570431</v>
      </c>
      <c r="P54" s="229">
        <f>'AEO 2025 HZC Table 1'!T$26/'AEO 2025 HZC Table 1'!$F$26</f>
        <v>1.0628077095966313</v>
      </c>
      <c r="Q54" s="229">
        <f>'AEO 2025 HZC Table 1'!U$26/'AEO 2025 HZC Table 1'!$F$26</f>
        <v>1.0905633583164385</v>
      </c>
      <c r="R54" s="229">
        <f>'AEO 2025 HZC Table 1'!V$26/'AEO 2025 HZC Table 1'!$F$26</f>
        <v>1.1063770216591593</v>
      </c>
      <c r="S54" s="229">
        <f>'AEO 2025 HZC Table 1'!W$26/'AEO 2025 HZC Table 1'!$F$26</f>
        <v>1.0933965708624216</v>
      </c>
      <c r="T54" s="229">
        <f>'AEO 2025 HZC Table 1'!X$26/'AEO 2025 HZC Table 1'!$F$26</f>
        <v>1.0990347408881997</v>
      </c>
      <c r="U54" s="229">
        <f>'AEO 2025 HZC Table 1'!Y$26/'AEO 2025 HZC Table 1'!$F$26</f>
        <v>1.1066922307741704</v>
      </c>
      <c r="V54" s="229">
        <f>'AEO 2025 HZC Table 1'!Z$26/'AEO 2025 HZC Table 1'!$F$26</f>
        <v>1.115826323080169</v>
      </c>
      <c r="W54" s="229">
        <f>'AEO 2025 HZC Table 1'!AA$26/'AEO 2025 HZC Table 1'!$F$26</f>
        <v>1.1424737860871319</v>
      </c>
      <c r="X54" s="229">
        <f>'AEO 2025 HZC Table 1'!AB$26/'AEO 2025 HZC Table 1'!$F$26</f>
        <v>1.1495724127808304</v>
      </c>
      <c r="Y54" s="229">
        <f>'AEO 2025 HZC Table 1'!AC$26/'AEO 2025 HZC Table 1'!$F$26</f>
        <v>1.1656036768280935</v>
      </c>
      <c r="Z54" s="229">
        <f>'AEO 2025 HZC Table 1'!AD$26/'AEO 2025 HZC Table 1'!$F$26</f>
        <v>1.1729099966057224</v>
      </c>
      <c r="AA54" s="229">
        <f>'AEO 2025 HZC Table 1'!AE$26/'AEO 2025 HZC Table 1'!$F$26</f>
        <v>1.184499711027732</v>
      </c>
      <c r="AB54" s="229">
        <f>'AEO 2025 HZC Table 1'!AF$26/'AEO 2025 HZC Table 1'!$F$26</f>
        <v>1.1721364683002009</v>
      </c>
    </row>
    <row r="55" spans="1:30">
      <c r="A55" t="s">
        <v>106</v>
      </c>
      <c r="B55" s="229">
        <f>'AEO 2025 HZC Table 1'!F25/'AEO 2025 HZC Table 1'!$F$25</f>
        <v>1</v>
      </c>
      <c r="C55" s="229">
        <f>'AEO 2025 HZC Table 1'!G25/'AEO 2025 HZC Table 1'!$F$25</f>
        <v>1.0988593831854496</v>
      </c>
      <c r="D55" s="229">
        <f>'AEO 2025 HZC Table 1'!H25/'AEO 2025 HZC Table 1'!$F$25</f>
        <v>1.1649965365316615</v>
      </c>
      <c r="E55" s="229">
        <f>'AEO 2025 HZC Table 1'!I25/'AEO 2025 HZC Table 1'!$F$25</f>
        <v>1.1522942536097833</v>
      </c>
      <c r="F55" s="229">
        <f>'AEO 2025 HZC Table 1'!J25/'AEO 2025 HZC Table 1'!$F$25</f>
        <v>1.282785027584965</v>
      </c>
      <c r="G55" s="229">
        <f>'AEO 2025 HZC Table 1'!K25/'AEO 2025 HZC Table 1'!$F$25</f>
        <v>1.3631805945501279</v>
      </c>
      <c r="H55" s="229">
        <f>'AEO 2025 HZC Table 1'!L25/'AEO 2025 HZC Table 1'!$F$25</f>
        <v>1.4452002058640561</v>
      </c>
      <c r="I55" s="229">
        <f>'AEO 2025 HZC Table 1'!M25/'AEO 2025 HZC Table 1'!$F$25</f>
        <v>1.4787949534657194</v>
      </c>
      <c r="J55" s="229">
        <f>'AEO 2025 HZC Table 1'!N25/'AEO 2025 HZC Table 1'!$F$25</f>
        <v>1.5130355841955341</v>
      </c>
      <c r="K55" s="229">
        <f>'AEO 2025 HZC Table 1'!O25/'AEO 2025 HZC Table 1'!$F$25</f>
        <v>1.5473007712739832</v>
      </c>
      <c r="L55" s="229">
        <f>'AEO 2025 HZC Table 1'!P25/'AEO 2025 HZC Table 1'!$F$25</f>
        <v>1.582006437856067</v>
      </c>
      <c r="M55" s="229">
        <f>'AEO 2025 HZC Table 1'!Q25/'AEO 2025 HZC Table 1'!$F$25</f>
        <v>1.5999300144063913</v>
      </c>
      <c r="N55" s="229">
        <f>'AEO 2025 HZC Table 1'!R25/'AEO 2025 HZC Table 1'!$F$25</f>
        <v>1.6227605121635782</v>
      </c>
      <c r="O55" s="229">
        <f>'AEO 2025 HZC Table 1'!S25/'AEO 2025 HZC Table 1'!$F$25</f>
        <v>1.6398073503290551</v>
      </c>
      <c r="P55" s="229">
        <f>'AEO 2025 HZC Table 1'!T25/'AEO 2025 HZC Table 1'!$F$25</f>
        <v>1.6469890591235021</v>
      </c>
      <c r="Q55" s="229">
        <f>'AEO 2025 HZC Table 1'!U25/'AEO 2025 HZC Table 1'!$F$25</f>
        <v>1.6551397205078253</v>
      </c>
      <c r="R55" s="229">
        <f>'AEO 2025 HZC Table 1'!V25/'AEO 2025 HZC Table 1'!$F$25</f>
        <v>1.6687267993664463</v>
      </c>
      <c r="S55" s="229">
        <f>'AEO 2025 HZC Table 1'!W25/'AEO 2025 HZC Table 1'!$F$25</f>
        <v>1.6753738959874926</v>
      </c>
      <c r="T55" s="229">
        <f>'AEO 2025 HZC Table 1'!X25/'AEO 2025 HZC Table 1'!$F$25</f>
        <v>1.6796607693913301</v>
      </c>
      <c r="U55" s="229">
        <f>'AEO 2025 HZC Table 1'!Y25/'AEO 2025 HZC Table 1'!$F$25</f>
        <v>1.6777085396748741</v>
      </c>
      <c r="V55" s="229">
        <f>'AEO 2025 HZC Table 1'!Z25/'AEO 2025 HZC Table 1'!$F$25</f>
        <v>1.6767745031432126</v>
      </c>
      <c r="W55" s="229">
        <f>'AEO 2025 HZC Table 1'!AA25/'AEO 2025 HZC Table 1'!$F$25</f>
        <v>1.6791609453784953</v>
      </c>
      <c r="X55" s="229">
        <f>'AEO 2025 HZC Table 1'!AB25/'AEO 2025 HZC Table 1'!$F$25</f>
        <v>1.6829071954194226</v>
      </c>
      <c r="Y55" s="229">
        <f>'AEO 2025 HZC Table 1'!AC25/'AEO 2025 HZC Table 1'!$F$25</f>
        <v>1.6879792324913234</v>
      </c>
      <c r="Z55" s="229">
        <f>'AEO 2025 HZC Table 1'!AD25/'AEO 2025 HZC Table 1'!$F$25</f>
        <v>1.689813156882326</v>
      </c>
      <c r="AA55" s="229">
        <f>'AEO 2025 HZC Table 1'!AE25/'AEO 2025 HZC Table 1'!$F$25</f>
        <v>1.6881911588959466</v>
      </c>
      <c r="AB55" s="229">
        <f>'AEO 2025 HZC Table 1'!AF25/'AEO 2025 HZC Table 1'!$F$25</f>
        <v>1.6949225400677754</v>
      </c>
    </row>
    <row r="56" spans="1:30">
      <c r="A56" t="s">
        <v>108</v>
      </c>
      <c r="B56" s="209">
        <v>1</v>
      </c>
      <c r="C56" s="209">
        <v>1</v>
      </c>
      <c r="D56" s="209">
        <v>1</v>
      </c>
      <c r="E56" s="209">
        <v>1</v>
      </c>
      <c r="F56" s="209">
        <v>1</v>
      </c>
      <c r="G56" s="209">
        <v>1</v>
      </c>
      <c r="H56" s="209">
        <v>1</v>
      </c>
      <c r="I56" s="209">
        <v>1</v>
      </c>
      <c r="J56" s="209">
        <v>1</v>
      </c>
      <c r="K56" s="209">
        <v>1</v>
      </c>
      <c r="L56" s="209">
        <v>1</v>
      </c>
      <c r="M56" s="209">
        <v>1</v>
      </c>
      <c r="N56" s="209">
        <v>1</v>
      </c>
      <c r="O56" s="209">
        <v>1</v>
      </c>
      <c r="P56" s="209">
        <v>1</v>
      </c>
      <c r="Q56" s="209">
        <v>1</v>
      </c>
      <c r="R56" s="209">
        <v>1</v>
      </c>
      <c r="S56" s="209">
        <v>1</v>
      </c>
      <c r="T56" s="209">
        <v>1</v>
      </c>
      <c r="U56" s="209">
        <v>1</v>
      </c>
      <c r="V56" s="209">
        <v>1</v>
      </c>
      <c r="W56" s="209">
        <v>1</v>
      </c>
      <c r="X56" s="209">
        <v>1</v>
      </c>
      <c r="Y56" s="209">
        <v>1</v>
      </c>
      <c r="Z56" s="209">
        <v>1</v>
      </c>
      <c r="AA56" s="209">
        <v>1</v>
      </c>
      <c r="AB56" s="209">
        <v>1</v>
      </c>
    </row>
    <row r="57" spans="1:30">
      <c r="A57" s="7" t="s">
        <v>118</v>
      </c>
      <c r="B57" s="232">
        <v>0</v>
      </c>
      <c r="C57" s="232">
        <v>0</v>
      </c>
      <c r="D57" s="232">
        <v>0</v>
      </c>
      <c r="E57" s="232">
        <v>0</v>
      </c>
      <c r="F57" s="232">
        <v>0</v>
      </c>
      <c r="G57" s="232">
        <v>0</v>
      </c>
      <c r="H57" s="232">
        <v>0</v>
      </c>
      <c r="I57" s="232">
        <v>0</v>
      </c>
      <c r="J57" s="232">
        <v>0</v>
      </c>
      <c r="K57" s="232">
        <v>0</v>
      </c>
      <c r="L57" s="232">
        <v>0</v>
      </c>
      <c r="M57" s="232">
        <v>0</v>
      </c>
      <c r="N57" s="232">
        <v>0</v>
      </c>
      <c r="O57" s="232">
        <v>0</v>
      </c>
      <c r="P57" s="232">
        <v>0</v>
      </c>
      <c r="Q57" s="232">
        <v>0</v>
      </c>
      <c r="R57" s="232">
        <v>0</v>
      </c>
      <c r="S57" s="232">
        <v>0</v>
      </c>
      <c r="T57" s="232">
        <v>0</v>
      </c>
      <c r="U57" s="232">
        <v>0</v>
      </c>
      <c r="V57" s="232">
        <v>0</v>
      </c>
      <c r="W57" s="232">
        <v>0</v>
      </c>
      <c r="X57" s="232">
        <v>0</v>
      </c>
      <c r="Y57" s="232">
        <v>0</v>
      </c>
      <c r="Z57" s="232">
        <v>0</v>
      </c>
      <c r="AA57" s="232">
        <v>0</v>
      </c>
      <c r="AB57" s="232">
        <v>0</v>
      </c>
      <c r="AC57" s="7"/>
      <c r="AD57" s="7"/>
    </row>
    <row r="58" spans="1:30">
      <c r="A58" s="7" t="s">
        <v>119</v>
      </c>
      <c r="B58" s="232">
        <v>0</v>
      </c>
      <c r="C58" s="232">
        <v>0</v>
      </c>
      <c r="D58" s="232">
        <v>0</v>
      </c>
      <c r="E58" s="232">
        <v>0</v>
      </c>
      <c r="F58" s="232">
        <v>0</v>
      </c>
      <c r="G58" s="232">
        <v>0</v>
      </c>
      <c r="H58" s="232">
        <v>0</v>
      </c>
      <c r="I58" s="232">
        <v>0</v>
      </c>
      <c r="J58" s="232">
        <v>0</v>
      </c>
      <c r="K58" s="232">
        <v>0</v>
      </c>
      <c r="L58" s="232">
        <v>0</v>
      </c>
      <c r="M58" s="232">
        <v>0</v>
      </c>
      <c r="N58" s="232">
        <v>0</v>
      </c>
      <c r="O58" s="232">
        <v>0</v>
      </c>
      <c r="P58" s="232">
        <v>0</v>
      </c>
      <c r="Q58" s="232">
        <v>0</v>
      </c>
      <c r="R58" s="232">
        <v>0</v>
      </c>
      <c r="S58" s="232">
        <v>0</v>
      </c>
      <c r="T58" s="232">
        <v>0</v>
      </c>
      <c r="U58" s="232">
        <v>0</v>
      </c>
      <c r="V58" s="232">
        <v>0</v>
      </c>
      <c r="W58" s="232">
        <v>0</v>
      </c>
      <c r="X58" s="232">
        <v>0</v>
      </c>
      <c r="Y58" s="232">
        <v>0</v>
      </c>
      <c r="Z58" s="232">
        <v>0</v>
      </c>
      <c r="AA58" s="232">
        <v>0</v>
      </c>
      <c r="AB58" s="232">
        <v>0</v>
      </c>
      <c r="AC58" s="7"/>
      <c r="AD58" s="7"/>
    </row>
    <row r="59" spans="1:30">
      <c r="A59" s="7" t="s">
        <v>120</v>
      </c>
      <c r="B59" s="232">
        <v>0</v>
      </c>
      <c r="C59" s="232">
        <v>0</v>
      </c>
      <c r="D59" s="232">
        <v>0</v>
      </c>
      <c r="E59" s="232">
        <v>0</v>
      </c>
      <c r="F59" s="232">
        <v>0</v>
      </c>
      <c r="G59" s="232">
        <v>0</v>
      </c>
      <c r="H59" s="232">
        <v>0</v>
      </c>
      <c r="I59" s="232">
        <v>0</v>
      </c>
      <c r="J59" s="232">
        <v>0</v>
      </c>
      <c r="K59" s="232">
        <v>0</v>
      </c>
      <c r="L59" s="232">
        <v>0</v>
      </c>
      <c r="M59" s="232">
        <v>0</v>
      </c>
      <c r="N59" s="232">
        <v>0</v>
      </c>
      <c r="O59" s="232">
        <v>0</v>
      </c>
      <c r="P59" s="232">
        <v>0</v>
      </c>
      <c r="Q59" s="232">
        <v>0</v>
      </c>
      <c r="R59" s="232">
        <v>0</v>
      </c>
      <c r="S59" s="232">
        <v>0</v>
      </c>
      <c r="T59" s="232">
        <v>0</v>
      </c>
      <c r="U59" s="232">
        <v>0</v>
      </c>
      <c r="V59" s="232">
        <v>0</v>
      </c>
      <c r="W59" s="232">
        <v>0</v>
      </c>
      <c r="X59" s="232">
        <v>0</v>
      </c>
      <c r="Y59" s="232">
        <v>0</v>
      </c>
      <c r="Z59" s="232">
        <v>0</v>
      </c>
      <c r="AA59" s="232">
        <v>0</v>
      </c>
      <c r="AB59" s="232">
        <v>0</v>
      </c>
      <c r="AC59" s="7"/>
      <c r="AD59" s="7"/>
    </row>
    <row r="60" spans="1:30">
      <c r="A60" t="s">
        <v>109</v>
      </c>
      <c r="B60" s="209">
        <v>1</v>
      </c>
      <c r="C60" s="209">
        <v>1</v>
      </c>
      <c r="D60" s="209">
        <v>1</v>
      </c>
      <c r="E60" s="209">
        <v>1</v>
      </c>
      <c r="F60" s="209">
        <v>1</v>
      </c>
      <c r="G60" s="209">
        <v>1</v>
      </c>
      <c r="H60" s="209">
        <v>1</v>
      </c>
      <c r="I60" s="209">
        <v>1</v>
      </c>
      <c r="J60" s="209">
        <v>1</v>
      </c>
      <c r="K60" s="209">
        <v>1</v>
      </c>
      <c r="L60" s="209">
        <v>1</v>
      </c>
      <c r="M60" s="209">
        <v>1</v>
      </c>
      <c r="N60" s="209">
        <v>1</v>
      </c>
      <c r="O60" s="209">
        <v>1</v>
      </c>
      <c r="P60" s="209">
        <v>1</v>
      </c>
      <c r="Q60" s="209">
        <v>1</v>
      </c>
      <c r="R60" s="209">
        <v>1</v>
      </c>
      <c r="S60" s="209">
        <v>1</v>
      </c>
      <c r="T60" s="209">
        <v>1</v>
      </c>
      <c r="U60" s="209">
        <v>1</v>
      </c>
      <c r="V60" s="209">
        <v>1</v>
      </c>
      <c r="W60" s="209">
        <v>1</v>
      </c>
      <c r="X60" s="209">
        <v>1</v>
      </c>
      <c r="Y60" s="209">
        <v>1</v>
      </c>
      <c r="Z60" s="209">
        <v>1</v>
      </c>
      <c r="AA60" s="209">
        <v>1</v>
      </c>
      <c r="AB60" s="209">
        <v>1</v>
      </c>
    </row>
    <row r="61" spans="1:30">
      <c r="A61" s="230" t="s">
        <v>110</v>
      </c>
      <c r="B61" s="233">
        <f>'AEO 2025 Alt T Table 1'!F$24/'AEO 2025 Alt T Table 1'!$F$24</f>
        <v>1</v>
      </c>
      <c r="C61" s="233">
        <f>'AEO 2025 Alt T Table 1'!G$24/'AEO 2025 Alt T Table 1'!$F$24</f>
        <v>0.98472323023107156</v>
      </c>
      <c r="D61" s="233">
        <f>'AEO 2025 Alt T Table 1'!H$24/'AEO 2025 Alt T Table 1'!$F$24</f>
        <v>1.0435052719837674</v>
      </c>
      <c r="E61" s="233">
        <f>'AEO 2025 Alt T Table 1'!I$24/'AEO 2025 Alt T Table 1'!$F$24</f>
        <v>1.0409994344608473</v>
      </c>
      <c r="F61" s="233">
        <f>'AEO 2025 Alt T Table 1'!J$24/'AEO 2025 Alt T Table 1'!$F$24</f>
        <v>1.0544502432283065</v>
      </c>
      <c r="G61" s="233">
        <f>'AEO 2025 Alt T Table 1'!K$24/'AEO 2025 Alt T Table 1'!$F$24</f>
        <v>1.0712116561380605</v>
      </c>
      <c r="H61" s="233">
        <f>'AEO 2025 Alt T Table 1'!L$24/'AEO 2025 Alt T Table 1'!$F$24</f>
        <v>1.0786683210893437</v>
      </c>
      <c r="I61" s="233">
        <f>'AEO 2025 Alt T Table 1'!M$24/'AEO 2025 Alt T Table 1'!$F$24</f>
        <v>1.0810404584376647</v>
      </c>
      <c r="J61" s="233">
        <f>'AEO 2025 Alt T Table 1'!N$24/'AEO 2025 Alt T Table 1'!$F$24</f>
        <v>1.1076990727587928</v>
      </c>
      <c r="K61" s="233">
        <f>'AEO 2025 Alt T Table 1'!O$24/'AEO 2025 Alt T Table 1'!$F$24</f>
        <v>1.1104082681504643</v>
      </c>
      <c r="L61" s="233">
        <f>'AEO 2025 Alt T Table 1'!P$24/'AEO 2025 Alt T Table 1'!$F$24</f>
        <v>1.1349643237881317</v>
      </c>
      <c r="M61" s="233">
        <f>'AEO 2025 Alt T Table 1'!Q$24/'AEO 2025 Alt T Table 1'!$F$24</f>
        <v>1.1415632648459595</v>
      </c>
      <c r="N61" s="233">
        <f>'AEO 2025 Alt T Table 1'!R$24/'AEO 2025 Alt T Table 1'!$F$24</f>
        <v>1.1401093601594683</v>
      </c>
      <c r="O61" s="233">
        <f>'AEO 2025 Alt T Table 1'!S$24/'AEO 2025 Alt T Table 1'!$F$24</f>
        <v>1.1272482940520898</v>
      </c>
      <c r="P61" s="233">
        <f>'AEO 2025 Alt T Table 1'!T$24/'AEO 2025 Alt T Table 1'!$F$24</f>
        <v>1.1333243425371367</v>
      </c>
      <c r="Q61" s="233">
        <f>'AEO 2025 Alt T Table 1'!U$24/'AEO 2025 Alt T Table 1'!$F$24</f>
        <v>1.1354883781292655</v>
      </c>
      <c r="R61" s="233">
        <f>'AEO 2025 Alt T Table 1'!V$24/'AEO 2025 Alt T Table 1'!$F$24</f>
        <v>1.1294448591580966</v>
      </c>
      <c r="S61" s="233">
        <f>'AEO 2025 Alt T Table 1'!W$24/'AEO 2025 Alt T Table 1'!$F$24</f>
        <v>1.1274321923009321</v>
      </c>
      <c r="T61" s="233">
        <f>'AEO 2025 Alt T Table 1'!X$24/'AEO 2025 Alt T Table 1'!$F$24</f>
        <v>1.1260297926780809</v>
      </c>
      <c r="U61" s="233">
        <f>'AEO 2025 Alt T Table 1'!Y$24/'AEO 2025 Alt T Table 1'!$F$24</f>
        <v>1.1302523849773092</v>
      </c>
      <c r="V61" s="233">
        <f>'AEO 2025 Alt T Table 1'!Z$24/'AEO 2025 Alt T Table 1'!$F$24</f>
        <v>1.1338575458040487</v>
      </c>
      <c r="W61" s="233">
        <f>'AEO 2025 Alt T Table 1'!AA$24/'AEO 2025 Alt T Table 1'!$F$24</f>
        <v>1.1352120224823476</v>
      </c>
      <c r="X61" s="233">
        <f>'AEO 2025 Alt T Table 1'!AB$24/'AEO 2025 Alt T Table 1'!$F$24</f>
        <v>1.1135511903938409</v>
      </c>
      <c r="Y61" s="233">
        <f>'AEO 2025 Alt T Table 1'!AC$24/'AEO 2025 Alt T Table 1'!$F$24</f>
        <v>1.1137530960521513</v>
      </c>
      <c r="Z61" s="233">
        <f>'AEO 2025 Alt T Table 1'!AD$24/'AEO 2025 Alt T Table 1'!$F$24</f>
        <v>1.1121443373256374</v>
      </c>
      <c r="AA61" s="233">
        <f>'AEO 2025 Alt T Table 1'!AE$24/'AEO 2025 Alt T Table 1'!$F$24</f>
        <v>1.1162969330816106</v>
      </c>
      <c r="AB61" s="233">
        <f>'AEO 2025 Alt T Table 1'!AF$24/'AEO 2025 Alt T Table 1'!$F$24</f>
        <v>1.1112821115798148</v>
      </c>
    </row>
    <row r="62" spans="1:30">
      <c r="A62" s="230" t="s">
        <v>121</v>
      </c>
      <c r="B62" s="233">
        <f>'AEO 2025 Alt T Table 1'!F$24/'AEO 2025 Alt T Table 1'!$F$24</f>
        <v>1</v>
      </c>
      <c r="C62" s="233">
        <f>'AEO 2025 Alt T Table 1'!G$24/'AEO 2025 Alt T Table 1'!$F$24</f>
        <v>0.98472323023107156</v>
      </c>
      <c r="D62" s="233">
        <f>'AEO 2025 Alt T Table 1'!H$24/'AEO 2025 Alt T Table 1'!$F$24</f>
        <v>1.0435052719837674</v>
      </c>
      <c r="E62" s="233">
        <f>'AEO 2025 Alt T Table 1'!I$24/'AEO 2025 Alt T Table 1'!$F$24</f>
        <v>1.0409994344608473</v>
      </c>
      <c r="F62" s="233">
        <f>'AEO 2025 Alt T Table 1'!J$24/'AEO 2025 Alt T Table 1'!$F$24</f>
        <v>1.0544502432283065</v>
      </c>
      <c r="G62" s="233">
        <f>'AEO 2025 Alt T Table 1'!K$24/'AEO 2025 Alt T Table 1'!$F$24</f>
        <v>1.0712116561380605</v>
      </c>
      <c r="H62" s="233">
        <f>'AEO 2025 Alt T Table 1'!L$24/'AEO 2025 Alt T Table 1'!$F$24</f>
        <v>1.0786683210893437</v>
      </c>
      <c r="I62" s="233">
        <f>'AEO 2025 Alt T Table 1'!M$24/'AEO 2025 Alt T Table 1'!$F$24</f>
        <v>1.0810404584376647</v>
      </c>
      <c r="J62" s="233">
        <f>'AEO 2025 Alt T Table 1'!N$24/'AEO 2025 Alt T Table 1'!$F$24</f>
        <v>1.1076990727587928</v>
      </c>
      <c r="K62" s="233">
        <f>'AEO 2025 Alt T Table 1'!O$24/'AEO 2025 Alt T Table 1'!$F$24</f>
        <v>1.1104082681504643</v>
      </c>
      <c r="L62" s="233">
        <f>'AEO 2025 Alt T Table 1'!P$24/'AEO 2025 Alt T Table 1'!$F$24</f>
        <v>1.1349643237881317</v>
      </c>
      <c r="M62" s="233">
        <f>'AEO 2025 Alt T Table 1'!Q$24/'AEO 2025 Alt T Table 1'!$F$24</f>
        <v>1.1415632648459595</v>
      </c>
      <c r="N62" s="233">
        <f>'AEO 2025 Alt T Table 1'!R$24/'AEO 2025 Alt T Table 1'!$F$24</f>
        <v>1.1401093601594683</v>
      </c>
      <c r="O62" s="233">
        <f>'AEO 2025 Alt T Table 1'!S$24/'AEO 2025 Alt T Table 1'!$F$24</f>
        <v>1.1272482940520898</v>
      </c>
      <c r="P62" s="233">
        <f>'AEO 2025 Alt T Table 1'!T$24/'AEO 2025 Alt T Table 1'!$F$24</f>
        <v>1.1333243425371367</v>
      </c>
      <c r="Q62" s="233">
        <f>'AEO 2025 Alt T Table 1'!U$24/'AEO 2025 Alt T Table 1'!$F$24</f>
        <v>1.1354883781292655</v>
      </c>
      <c r="R62" s="233">
        <f>'AEO 2025 Alt T Table 1'!V$24/'AEO 2025 Alt T Table 1'!$F$24</f>
        <v>1.1294448591580966</v>
      </c>
      <c r="S62" s="233">
        <f>'AEO 2025 Alt T Table 1'!W$24/'AEO 2025 Alt T Table 1'!$F$24</f>
        <v>1.1274321923009321</v>
      </c>
      <c r="T62" s="233">
        <f>'AEO 2025 Alt T Table 1'!X$24/'AEO 2025 Alt T Table 1'!$F$24</f>
        <v>1.1260297926780809</v>
      </c>
      <c r="U62" s="233">
        <f>'AEO 2025 Alt T Table 1'!Y$24/'AEO 2025 Alt T Table 1'!$F$24</f>
        <v>1.1302523849773092</v>
      </c>
      <c r="V62" s="233">
        <f>'AEO 2025 Alt T Table 1'!Z$24/'AEO 2025 Alt T Table 1'!$F$24</f>
        <v>1.1338575458040487</v>
      </c>
      <c r="W62" s="233">
        <f>'AEO 2025 Alt T Table 1'!AA$24/'AEO 2025 Alt T Table 1'!$F$24</f>
        <v>1.1352120224823476</v>
      </c>
      <c r="X62" s="233">
        <f>'AEO 2025 Alt T Table 1'!AB$24/'AEO 2025 Alt T Table 1'!$F$24</f>
        <v>1.1135511903938409</v>
      </c>
      <c r="Y62" s="233">
        <f>'AEO 2025 Alt T Table 1'!AC$24/'AEO 2025 Alt T Table 1'!$F$24</f>
        <v>1.1137530960521513</v>
      </c>
      <c r="Z62" s="233">
        <f>'AEO 2025 Alt T Table 1'!AD$24/'AEO 2025 Alt T Table 1'!$F$24</f>
        <v>1.1121443373256374</v>
      </c>
      <c r="AA62" s="233">
        <f>'AEO 2025 Alt T Table 1'!AE$24/'AEO 2025 Alt T Table 1'!$F$24</f>
        <v>1.1162969330816106</v>
      </c>
      <c r="AB62" s="233">
        <f>'AEO 2025 Alt T Table 1'!AF$24/'AEO 2025 Alt T Table 1'!$F$24</f>
        <v>1.1112821115798148</v>
      </c>
    </row>
    <row r="63" spans="1:30">
      <c r="A63" t="s">
        <v>122</v>
      </c>
      <c r="B63" s="233">
        <f>'AEO 2025 Alt T Table 1'!F$24/'AEO 2025 Alt T Table 1'!$F$24</f>
        <v>1</v>
      </c>
      <c r="C63" s="233">
        <f>'AEO 2025 Alt T Table 1'!G$24/'AEO 2025 Alt T Table 1'!$F$24</f>
        <v>0.98472323023107156</v>
      </c>
      <c r="D63" s="233">
        <f>'AEO 2025 Alt T Table 1'!H$24/'AEO 2025 Alt T Table 1'!$F$24</f>
        <v>1.0435052719837674</v>
      </c>
      <c r="E63" s="233">
        <f>'AEO 2025 Alt T Table 1'!I$24/'AEO 2025 Alt T Table 1'!$F$24</f>
        <v>1.0409994344608473</v>
      </c>
      <c r="F63" s="233">
        <f>'AEO 2025 Alt T Table 1'!J$24/'AEO 2025 Alt T Table 1'!$F$24</f>
        <v>1.0544502432283065</v>
      </c>
      <c r="G63" s="233">
        <f>'AEO 2025 Alt T Table 1'!K$24/'AEO 2025 Alt T Table 1'!$F$24</f>
        <v>1.0712116561380605</v>
      </c>
      <c r="H63" s="233">
        <f>'AEO 2025 Alt T Table 1'!L$24/'AEO 2025 Alt T Table 1'!$F$24</f>
        <v>1.0786683210893437</v>
      </c>
      <c r="I63" s="233">
        <f>'AEO 2025 Alt T Table 1'!M$24/'AEO 2025 Alt T Table 1'!$F$24</f>
        <v>1.0810404584376647</v>
      </c>
      <c r="J63" s="233">
        <f>'AEO 2025 Alt T Table 1'!N$24/'AEO 2025 Alt T Table 1'!$F$24</f>
        <v>1.1076990727587928</v>
      </c>
      <c r="K63" s="233">
        <f>'AEO 2025 Alt T Table 1'!O$24/'AEO 2025 Alt T Table 1'!$F$24</f>
        <v>1.1104082681504643</v>
      </c>
      <c r="L63" s="233">
        <f>'AEO 2025 Alt T Table 1'!P$24/'AEO 2025 Alt T Table 1'!$F$24</f>
        <v>1.1349643237881317</v>
      </c>
      <c r="M63" s="233">
        <f>'AEO 2025 Alt T Table 1'!Q$24/'AEO 2025 Alt T Table 1'!$F$24</f>
        <v>1.1415632648459595</v>
      </c>
      <c r="N63" s="233">
        <f>'AEO 2025 Alt T Table 1'!R$24/'AEO 2025 Alt T Table 1'!$F$24</f>
        <v>1.1401093601594683</v>
      </c>
      <c r="O63" s="233">
        <f>'AEO 2025 Alt T Table 1'!S$24/'AEO 2025 Alt T Table 1'!$F$24</f>
        <v>1.1272482940520898</v>
      </c>
      <c r="P63" s="233">
        <f>'AEO 2025 Alt T Table 1'!T$24/'AEO 2025 Alt T Table 1'!$F$24</f>
        <v>1.1333243425371367</v>
      </c>
      <c r="Q63" s="233">
        <f>'AEO 2025 Alt T Table 1'!U$24/'AEO 2025 Alt T Table 1'!$F$24</f>
        <v>1.1354883781292655</v>
      </c>
      <c r="R63" s="233">
        <f>'AEO 2025 Alt T Table 1'!V$24/'AEO 2025 Alt T Table 1'!$F$24</f>
        <v>1.1294448591580966</v>
      </c>
      <c r="S63" s="233">
        <f>'AEO 2025 Alt T Table 1'!W$24/'AEO 2025 Alt T Table 1'!$F$24</f>
        <v>1.1274321923009321</v>
      </c>
      <c r="T63" s="233">
        <f>'AEO 2025 Alt T Table 1'!X$24/'AEO 2025 Alt T Table 1'!$F$24</f>
        <v>1.1260297926780809</v>
      </c>
      <c r="U63" s="233">
        <f>'AEO 2025 Alt T Table 1'!Y$24/'AEO 2025 Alt T Table 1'!$F$24</f>
        <v>1.1302523849773092</v>
      </c>
      <c r="V63" s="233">
        <f>'AEO 2025 Alt T Table 1'!Z$24/'AEO 2025 Alt T Table 1'!$F$24</f>
        <v>1.1338575458040487</v>
      </c>
      <c r="W63" s="233">
        <f>'AEO 2025 Alt T Table 1'!AA$24/'AEO 2025 Alt T Table 1'!$F$24</f>
        <v>1.1352120224823476</v>
      </c>
      <c r="X63" s="233">
        <f>'AEO 2025 Alt T Table 1'!AB$24/'AEO 2025 Alt T Table 1'!$F$24</f>
        <v>1.1135511903938409</v>
      </c>
      <c r="Y63" s="233">
        <f>'AEO 2025 Alt T Table 1'!AC$24/'AEO 2025 Alt T Table 1'!$F$24</f>
        <v>1.1137530960521513</v>
      </c>
      <c r="Z63" s="233">
        <f>'AEO 2025 Alt T Table 1'!AD$24/'AEO 2025 Alt T Table 1'!$F$24</f>
        <v>1.1121443373256374</v>
      </c>
      <c r="AA63" s="233">
        <f>'AEO 2025 Alt T Table 1'!AE$24/'AEO 2025 Alt T Table 1'!$F$24</f>
        <v>1.1162969330816106</v>
      </c>
      <c r="AB63" s="233">
        <f>'AEO 2025 Alt T Table 1'!AF$24/'AEO 2025 Alt T Table 1'!$F$24</f>
        <v>1.1112821115798148</v>
      </c>
    </row>
    <row r="64" spans="1:30">
      <c r="A64" t="s">
        <v>123</v>
      </c>
      <c r="B64" s="233">
        <f>'AEO 2025 Alt T Table 1'!F$24/'AEO 2025 Alt T Table 1'!$F$24</f>
        <v>1</v>
      </c>
      <c r="C64" s="233">
        <f>'AEO 2025 Alt T Table 1'!G$24/'AEO 2025 Alt T Table 1'!$F$24</f>
        <v>0.98472323023107156</v>
      </c>
      <c r="D64" s="233">
        <f>'AEO 2025 Alt T Table 1'!H$24/'AEO 2025 Alt T Table 1'!$F$24</f>
        <v>1.0435052719837674</v>
      </c>
      <c r="E64" s="233">
        <f>'AEO 2025 Alt T Table 1'!I$24/'AEO 2025 Alt T Table 1'!$F$24</f>
        <v>1.0409994344608473</v>
      </c>
      <c r="F64" s="233">
        <f>'AEO 2025 Alt T Table 1'!J$24/'AEO 2025 Alt T Table 1'!$F$24</f>
        <v>1.0544502432283065</v>
      </c>
      <c r="G64" s="233">
        <f>'AEO 2025 Alt T Table 1'!K$24/'AEO 2025 Alt T Table 1'!$F$24</f>
        <v>1.0712116561380605</v>
      </c>
      <c r="H64" s="233">
        <f>'AEO 2025 Alt T Table 1'!L$24/'AEO 2025 Alt T Table 1'!$F$24</f>
        <v>1.0786683210893437</v>
      </c>
      <c r="I64" s="233">
        <f>'AEO 2025 Alt T Table 1'!M$24/'AEO 2025 Alt T Table 1'!$F$24</f>
        <v>1.0810404584376647</v>
      </c>
      <c r="J64" s="233">
        <f>'AEO 2025 Alt T Table 1'!N$24/'AEO 2025 Alt T Table 1'!$F$24</f>
        <v>1.1076990727587928</v>
      </c>
      <c r="K64" s="233">
        <f>'AEO 2025 Alt T Table 1'!O$24/'AEO 2025 Alt T Table 1'!$F$24</f>
        <v>1.1104082681504643</v>
      </c>
      <c r="L64" s="233">
        <f>'AEO 2025 Alt T Table 1'!P$24/'AEO 2025 Alt T Table 1'!$F$24</f>
        <v>1.1349643237881317</v>
      </c>
      <c r="M64" s="233">
        <f>'AEO 2025 Alt T Table 1'!Q$24/'AEO 2025 Alt T Table 1'!$F$24</f>
        <v>1.1415632648459595</v>
      </c>
      <c r="N64" s="233">
        <f>'AEO 2025 Alt T Table 1'!R$24/'AEO 2025 Alt T Table 1'!$F$24</f>
        <v>1.1401093601594683</v>
      </c>
      <c r="O64" s="233">
        <f>'AEO 2025 Alt T Table 1'!S$24/'AEO 2025 Alt T Table 1'!$F$24</f>
        <v>1.1272482940520898</v>
      </c>
      <c r="P64" s="233">
        <f>'AEO 2025 Alt T Table 1'!T$24/'AEO 2025 Alt T Table 1'!$F$24</f>
        <v>1.1333243425371367</v>
      </c>
      <c r="Q64" s="233">
        <f>'AEO 2025 Alt T Table 1'!U$24/'AEO 2025 Alt T Table 1'!$F$24</f>
        <v>1.1354883781292655</v>
      </c>
      <c r="R64" s="233">
        <f>'AEO 2025 Alt T Table 1'!V$24/'AEO 2025 Alt T Table 1'!$F$24</f>
        <v>1.1294448591580966</v>
      </c>
      <c r="S64" s="233">
        <f>'AEO 2025 Alt T Table 1'!W$24/'AEO 2025 Alt T Table 1'!$F$24</f>
        <v>1.1274321923009321</v>
      </c>
      <c r="T64" s="233">
        <f>'AEO 2025 Alt T Table 1'!X$24/'AEO 2025 Alt T Table 1'!$F$24</f>
        <v>1.1260297926780809</v>
      </c>
      <c r="U64" s="233">
        <f>'AEO 2025 Alt T Table 1'!Y$24/'AEO 2025 Alt T Table 1'!$F$24</f>
        <v>1.1302523849773092</v>
      </c>
      <c r="V64" s="233">
        <f>'AEO 2025 Alt T Table 1'!Z$24/'AEO 2025 Alt T Table 1'!$F$24</f>
        <v>1.1338575458040487</v>
      </c>
      <c r="W64" s="233">
        <f>'AEO 2025 Alt T Table 1'!AA$24/'AEO 2025 Alt T Table 1'!$F$24</f>
        <v>1.1352120224823476</v>
      </c>
      <c r="X64" s="233">
        <f>'AEO 2025 Alt T Table 1'!AB$24/'AEO 2025 Alt T Table 1'!$F$24</f>
        <v>1.1135511903938409</v>
      </c>
      <c r="Y64" s="233">
        <f>'AEO 2025 Alt T Table 1'!AC$24/'AEO 2025 Alt T Table 1'!$F$24</f>
        <v>1.1137530960521513</v>
      </c>
      <c r="Z64" s="233">
        <f>'AEO 2025 Alt T Table 1'!AD$24/'AEO 2025 Alt T Table 1'!$F$24</f>
        <v>1.1121443373256374</v>
      </c>
      <c r="AA64" s="233">
        <f>'AEO 2025 Alt T Table 1'!AE$24/'AEO 2025 Alt T Table 1'!$F$24</f>
        <v>1.1162969330816106</v>
      </c>
      <c r="AB64" s="233">
        <f>'AEO 2025 Alt T Table 1'!AF$24/'AEO 2025 Alt T Table 1'!$F$24</f>
        <v>1.1112821115798148</v>
      </c>
    </row>
    <row r="65" spans="1:30">
      <c r="A65" t="s">
        <v>112</v>
      </c>
      <c r="B65" s="233">
        <f>'AEO 2025 Alt T Table 1'!F$24/'AEO 2025 Alt T Table 1'!$F$24</f>
        <v>1</v>
      </c>
      <c r="C65" s="233">
        <f>'AEO 2025 Alt T Table 1'!G$24/'AEO 2025 Alt T Table 1'!$F$24</f>
        <v>0.98472323023107156</v>
      </c>
      <c r="D65" s="233">
        <f>'AEO 2025 Alt T Table 1'!H$24/'AEO 2025 Alt T Table 1'!$F$24</f>
        <v>1.0435052719837674</v>
      </c>
      <c r="E65" s="233">
        <f>'AEO 2025 Alt T Table 1'!I$24/'AEO 2025 Alt T Table 1'!$F$24</f>
        <v>1.0409994344608473</v>
      </c>
      <c r="F65" s="233">
        <f>'AEO 2025 Alt T Table 1'!J$24/'AEO 2025 Alt T Table 1'!$F$24</f>
        <v>1.0544502432283065</v>
      </c>
      <c r="G65" s="233">
        <f>'AEO 2025 Alt T Table 1'!K$24/'AEO 2025 Alt T Table 1'!$F$24</f>
        <v>1.0712116561380605</v>
      </c>
      <c r="H65" s="233">
        <f>'AEO 2025 Alt T Table 1'!L$24/'AEO 2025 Alt T Table 1'!$F$24</f>
        <v>1.0786683210893437</v>
      </c>
      <c r="I65" s="233">
        <f>'AEO 2025 Alt T Table 1'!M$24/'AEO 2025 Alt T Table 1'!$F$24</f>
        <v>1.0810404584376647</v>
      </c>
      <c r="J65" s="233">
        <f>'AEO 2025 Alt T Table 1'!N$24/'AEO 2025 Alt T Table 1'!$F$24</f>
        <v>1.1076990727587928</v>
      </c>
      <c r="K65" s="233">
        <f>'AEO 2025 Alt T Table 1'!O$24/'AEO 2025 Alt T Table 1'!$F$24</f>
        <v>1.1104082681504643</v>
      </c>
      <c r="L65" s="233">
        <f>'AEO 2025 Alt T Table 1'!P$24/'AEO 2025 Alt T Table 1'!$F$24</f>
        <v>1.1349643237881317</v>
      </c>
      <c r="M65" s="233">
        <f>'AEO 2025 Alt T Table 1'!Q$24/'AEO 2025 Alt T Table 1'!$F$24</f>
        <v>1.1415632648459595</v>
      </c>
      <c r="N65" s="233">
        <f>'AEO 2025 Alt T Table 1'!R$24/'AEO 2025 Alt T Table 1'!$F$24</f>
        <v>1.1401093601594683</v>
      </c>
      <c r="O65" s="233">
        <f>'AEO 2025 Alt T Table 1'!S$24/'AEO 2025 Alt T Table 1'!$F$24</f>
        <v>1.1272482940520898</v>
      </c>
      <c r="P65" s="233">
        <f>'AEO 2025 Alt T Table 1'!T$24/'AEO 2025 Alt T Table 1'!$F$24</f>
        <v>1.1333243425371367</v>
      </c>
      <c r="Q65" s="233">
        <f>'AEO 2025 Alt T Table 1'!U$24/'AEO 2025 Alt T Table 1'!$F$24</f>
        <v>1.1354883781292655</v>
      </c>
      <c r="R65" s="233">
        <f>'AEO 2025 Alt T Table 1'!V$24/'AEO 2025 Alt T Table 1'!$F$24</f>
        <v>1.1294448591580966</v>
      </c>
      <c r="S65" s="233">
        <f>'AEO 2025 Alt T Table 1'!W$24/'AEO 2025 Alt T Table 1'!$F$24</f>
        <v>1.1274321923009321</v>
      </c>
      <c r="T65" s="233">
        <f>'AEO 2025 Alt T Table 1'!X$24/'AEO 2025 Alt T Table 1'!$F$24</f>
        <v>1.1260297926780809</v>
      </c>
      <c r="U65" s="233">
        <f>'AEO 2025 Alt T Table 1'!Y$24/'AEO 2025 Alt T Table 1'!$F$24</f>
        <v>1.1302523849773092</v>
      </c>
      <c r="V65" s="233">
        <f>'AEO 2025 Alt T Table 1'!Z$24/'AEO 2025 Alt T Table 1'!$F$24</f>
        <v>1.1338575458040487</v>
      </c>
      <c r="W65" s="233">
        <f>'AEO 2025 Alt T Table 1'!AA$24/'AEO 2025 Alt T Table 1'!$F$24</f>
        <v>1.1352120224823476</v>
      </c>
      <c r="X65" s="233">
        <f>'AEO 2025 Alt T Table 1'!AB$24/'AEO 2025 Alt T Table 1'!$F$24</f>
        <v>1.1135511903938409</v>
      </c>
      <c r="Y65" s="233">
        <f>'AEO 2025 Alt T Table 1'!AC$24/'AEO 2025 Alt T Table 1'!$F$24</f>
        <v>1.1137530960521513</v>
      </c>
      <c r="Z65" s="233">
        <f>'AEO 2025 Alt T Table 1'!AD$24/'AEO 2025 Alt T Table 1'!$F$24</f>
        <v>1.1121443373256374</v>
      </c>
      <c r="AA65" s="233">
        <f>'AEO 2025 Alt T Table 1'!AE$24/'AEO 2025 Alt T Table 1'!$F$24</f>
        <v>1.1162969330816106</v>
      </c>
      <c r="AB65" s="233">
        <f>'AEO 2025 Alt T Table 1'!AF$24/'AEO 2025 Alt T Table 1'!$F$24</f>
        <v>1.1112821115798148</v>
      </c>
    </row>
    <row r="66" spans="1:30">
      <c r="A66" s="7" t="s">
        <v>148</v>
      </c>
      <c r="B66" s="232">
        <v>0</v>
      </c>
      <c r="C66" s="232">
        <v>0</v>
      </c>
      <c r="D66" s="232">
        <v>0</v>
      </c>
      <c r="E66" s="232">
        <v>0</v>
      </c>
      <c r="F66" s="232">
        <v>0</v>
      </c>
      <c r="G66" s="232">
        <v>0</v>
      </c>
      <c r="H66" s="232">
        <v>0</v>
      </c>
      <c r="I66" s="232">
        <v>0</v>
      </c>
      <c r="J66" s="232">
        <v>0</v>
      </c>
      <c r="K66" s="232">
        <v>0</v>
      </c>
      <c r="L66" s="232">
        <v>0</v>
      </c>
      <c r="M66" s="232">
        <v>0</v>
      </c>
      <c r="N66" s="232">
        <v>0</v>
      </c>
      <c r="O66" s="232">
        <v>0</v>
      </c>
      <c r="P66" s="232">
        <v>0</v>
      </c>
      <c r="Q66" s="232">
        <v>0</v>
      </c>
      <c r="R66" s="232">
        <v>0</v>
      </c>
      <c r="S66" s="232">
        <v>0</v>
      </c>
      <c r="T66" s="232">
        <v>0</v>
      </c>
      <c r="U66" s="232">
        <v>0</v>
      </c>
      <c r="V66" s="232">
        <v>0</v>
      </c>
      <c r="W66" s="232">
        <v>0</v>
      </c>
      <c r="X66" s="232">
        <v>0</v>
      </c>
      <c r="Y66" s="232">
        <v>0</v>
      </c>
      <c r="Z66" s="232">
        <v>0</v>
      </c>
      <c r="AA66" s="232">
        <v>0</v>
      </c>
      <c r="AB66" s="232">
        <v>0</v>
      </c>
      <c r="AC66" s="7"/>
      <c r="AD66" s="7"/>
    </row>
    <row r="67" spans="1:30">
      <c r="A67" s="7" t="s">
        <v>125</v>
      </c>
      <c r="B67" s="232">
        <v>0</v>
      </c>
      <c r="C67" s="232">
        <v>0</v>
      </c>
      <c r="D67" s="232">
        <v>0</v>
      </c>
      <c r="E67" s="232">
        <v>0</v>
      </c>
      <c r="F67" s="232">
        <v>0</v>
      </c>
      <c r="G67" s="232">
        <v>0</v>
      </c>
      <c r="H67" s="232">
        <v>0</v>
      </c>
      <c r="I67" s="232">
        <v>0</v>
      </c>
      <c r="J67" s="232">
        <v>0</v>
      </c>
      <c r="K67" s="232">
        <v>0</v>
      </c>
      <c r="L67" s="232">
        <v>0</v>
      </c>
      <c r="M67" s="232">
        <v>0</v>
      </c>
      <c r="N67" s="232">
        <v>0</v>
      </c>
      <c r="O67" s="232">
        <v>0</v>
      </c>
      <c r="P67" s="232">
        <v>0</v>
      </c>
      <c r="Q67" s="232">
        <v>0</v>
      </c>
      <c r="R67" s="232">
        <v>0</v>
      </c>
      <c r="S67" s="232">
        <v>0</v>
      </c>
      <c r="T67" s="232">
        <v>0</v>
      </c>
      <c r="U67" s="232">
        <v>0</v>
      </c>
      <c r="V67" s="232">
        <v>0</v>
      </c>
      <c r="W67" s="232">
        <v>0</v>
      </c>
      <c r="X67" s="232">
        <v>0</v>
      </c>
      <c r="Y67" s="232">
        <v>0</v>
      </c>
      <c r="Z67" s="232">
        <v>0</v>
      </c>
      <c r="AA67" s="232">
        <v>0</v>
      </c>
      <c r="AB67" s="232">
        <v>0</v>
      </c>
      <c r="AC67" s="7"/>
      <c r="AD67" s="7"/>
    </row>
    <row r="68" spans="1:30">
      <c r="A68" t="s">
        <v>126</v>
      </c>
      <c r="B68" s="229">
        <f>'AEO 2025 HZC Table 1'!F$26/'AEO 2025 HZC Table 1'!$F$26</f>
        <v>1</v>
      </c>
      <c r="C68" s="229">
        <f>'AEO 2025 HZC Table 1'!G$26/'AEO 2025 HZC Table 1'!$F$26</f>
        <v>0.95609199409212253</v>
      </c>
      <c r="D68" s="229">
        <f>'AEO 2025 HZC Table 1'!H$26/'AEO 2025 HZC Table 1'!$F$26</f>
        <v>0.99462346454814821</v>
      </c>
      <c r="E68" s="229">
        <f>'AEO 2025 HZC Table 1'!I$26/'AEO 2025 HZC Table 1'!$F$26</f>
        <v>1.0312023998458815</v>
      </c>
      <c r="F68" s="229">
        <f>'AEO 2025 HZC Table 1'!J$26/'AEO 2025 HZC Table 1'!$F$26</f>
        <v>1.0801192583962498</v>
      </c>
      <c r="G68" s="229">
        <f>'AEO 2025 HZC Table 1'!K$26/'AEO 2025 HZC Table 1'!$F$26</f>
        <v>1.0573100810039722</v>
      </c>
      <c r="H68" s="229">
        <f>'AEO 2025 HZC Table 1'!L$26/'AEO 2025 HZC Table 1'!$F$26</f>
        <v>1.0349496821305053</v>
      </c>
      <c r="I68" s="229">
        <f>'AEO 2025 HZC Table 1'!M$26/'AEO 2025 HZC Table 1'!$F$26</f>
        <v>1.0288788793380241</v>
      </c>
      <c r="J68" s="229">
        <f>'AEO 2025 HZC Table 1'!N$26/'AEO 2025 HZC Table 1'!$F$26</f>
        <v>1.0369656994504939</v>
      </c>
      <c r="K68" s="229">
        <f>'AEO 2025 HZC Table 1'!O$26/'AEO 2025 HZC Table 1'!$F$26</f>
        <v>1.0341948682194722</v>
      </c>
      <c r="L68" s="229">
        <f>'AEO 2025 HZC Table 1'!P$26/'AEO 2025 HZC Table 1'!$F$26</f>
        <v>1.0275916225563495</v>
      </c>
      <c r="M68" s="229">
        <f>'AEO 2025 HZC Table 1'!Q$26/'AEO 2025 HZC Table 1'!$F$26</f>
        <v>1.0571240379058224</v>
      </c>
      <c r="N68" s="229">
        <f>'AEO 2025 HZC Table 1'!R$26/'AEO 2025 HZC Table 1'!$F$26</f>
        <v>1.0463317034685846</v>
      </c>
      <c r="O68" s="229">
        <f>'AEO 2025 HZC Table 1'!S$26/'AEO 2025 HZC Table 1'!$F$26</f>
        <v>1.0711312117570431</v>
      </c>
      <c r="P68" s="229">
        <f>'AEO 2025 HZC Table 1'!T$26/'AEO 2025 HZC Table 1'!$F$26</f>
        <v>1.0628077095966313</v>
      </c>
      <c r="Q68" s="229">
        <f>'AEO 2025 HZC Table 1'!U$26/'AEO 2025 HZC Table 1'!$F$26</f>
        <v>1.0905633583164385</v>
      </c>
      <c r="R68" s="229">
        <f>'AEO 2025 HZC Table 1'!V$26/'AEO 2025 HZC Table 1'!$F$26</f>
        <v>1.1063770216591593</v>
      </c>
      <c r="S68" s="229">
        <f>'AEO 2025 HZC Table 1'!W$26/'AEO 2025 HZC Table 1'!$F$26</f>
        <v>1.0933965708624216</v>
      </c>
      <c r="T68" s="229">
        <f>'AEO 2025 HZC Table 1'!X$26/'AEO 2025 HZC Table 1'!$F$26</f>
        <v>1.0990347408881997</v>
      </c>
      <c r="U68" s="229">
        <f>'AEO 2025 HZC Table 1'!Y$26/'AEO 2025 HZC Table 1'!$F$26</f>
        <v>1.1066922307741704</v>
      </c>
      <c r="V68" s="229">
        <f>'AEO 2025 HZC Table 1'!Z$26/'AEO 2025 HZC Table 1'!$F$26</f>
        <v>1.115826323080169</v>
      </c>
      <c r="W68" s="229">
        <f>'AEO 2025 HZC Table 1'!AA$26/'AEO 2025 HZC Table 1'!$F$26</f>
        <v>1.1424737860871319</v>
      </c>
      <c r="X68" s="229">
        <f>'AEO 2025 HZC Table 1'!AB$26/'AEO 2025 HZC Table 1'!$F$26</f>
        <v>1.1495724127808304</v>
      </c>
      <c r="Y68" s="229">
        <f>'AEO 2025 HZC Table 1'!AC$26/'AEO 2025 HZC Table 1'!$F$26</f>
        <v>1.1656036768280935</v>
      </c>
      <c r="Z68" s="229">
        <f>'AEO 2025 HZC Table 1'!AD$26/'AEO 2025 HZC Table 1'!$F$26</f>
        <v>1.1729099966057224</v>
      </c>
      <c r="AA68" s="229">
        <f>'AEO 2025 HZC Table 1'!AE$26/'AEO 2025 HZC Table 1'!$F$26</f>
        <v>1.184499711027732</v>
      </c>
      <c r="AB68" s="229">
        <f>'AEO 2025 HZC Table 1'!AF$26/'AEO 2025 HZC Table 1'!$F$26</f>
        <v>1.1721364683002009</v>
      </c>
    </row>
    <row r="69" spans="1:30">
      <c r="A69" t="s">
        <v>113</v>
      </c>
      <c r="B69" s="233">
        <f>'AEO 2025 Alt T Table 1'!F$24/'AEO 2025 Alt T Table 1'!$F$24</f>
        <v>1</v>
      </c>
      <c r="C69" s="233">
        <f>'AEO 2025 Alt T Table 1'!G$24/'AEO 2025 Alt T Table 1'!$F$24</f>
        <v>0.98472323023107156</v>
      </c>
      <c r="D69" s="233">
        <f>'AEO 2025 Alt T Table 1'!H$24/'AEO 2025 Alt T Table 1'!$F$24</f>
        <v>1.0435052719837674</v>
      </c>
      <c r="E69" s="233">
        <f>'AEO 2025 Alt T Table 1'!I$24/'AEO 2025 Alt T Table 1'!$F$24</f>
        <v>1.0409994344608473</v>
      </c>
      <c r="F69" s="233">
        <f>'AEO 2025 Alt T Table 1'!J$24/'AEO 2025 Alt T Table 1'!$F$24</f>
        <v>1.0544502432283065</v>
      </c>
      <c r="G69" s="233">
        <f>'AEO 2025 Alt T Table 1'!K$24/'AEO 2025 Alt T Table 1'!$F$24</f>
        <v>1.0712116561380605</v>
      </c>
      <c r="H69" s="233">
        <f>'AEO 2025 Alt T Table 1'!L$24/'AEO 2025 Alt T Table 1'!$F$24</f>
        <v>1.0786683210893437</v>
      </c>
      <c r="I69" s="233">
        <f>'AEO 2025 Alt T Table 1'!M$24/'AEO 2025 Alt T Table 1'!$F$24</f>
        <v>1.0810404584376647</v>
      </c>
      <c r="J69" s="233">
        <f>'AEO 2025 Alt T Table 1'!N$24/'AEO 2025 Alt T Table 1'!$F$24</f>
        <v>1.1076990727587928</v>
      </c>
      <c r="K69" s="233">
        <f>'AEO 2025 Alt T Table 1'!O$24/'AEO 2025 Alt T Table 1'!$F$24</f>
        <v>1.1104082681504643</v>
      </c>
      <c r="L69" s="233">
        <f>'AEO 2025 Alt T Table 1'!P$24/'AEO 2025 Alt T Table 1'!$F$24</f>
        <v>1.1349643237881317</v>
      </c>
      <c r="M69" s="233">
        <f>'AEO 2025 Alt T Table 1'!Q$24/'AEO 2025 Alt T Table 1'!$F$24</f>
        <v>1.1415632648459595</v>
      </c>
      <c r="N69" s="233">
        <f>'AEO 2025 Alt T Table 1'!R$24/'AEO 2025 Alt T Table 1'!$F$24</f>
        <v>1.1401093601594683</v>
      </c>
      <c r="O69" s="233">
        <f>'AEO 2025 Alt T Table 1'!S$24/'AEO 2025 Alt T Table 1'!$F$24</f>
        <v>1.1272482940520898</v>
      </c>
      <c r="P69" s="233">
        <f>'AEO 2025 Alt T Table 1'!T$24/'AEO 2025 Alt T Table 1'!$F$24</f>
        <v>1.1333243425371367</v>
      </c>
      <c r="Q69" s="233">
        <f>'AEO 2025 Alt T Table 1'!U$24/'AEO 2025 Alt T Table 1'!$F$24</f>
        <v>1.1354883781292655</v>
      </c>
      <c r="R69" s="233">
        <f>'AEO 2025 Alt T Table 1'!V$24/'AEO 2025 Alt T Table 1'!$F$24</f>
        <v>1.1294448591580966</v>
      </c>
      <c r="S69" s="233">
        <f>'AEO 2025 Alt T Table 1'!W$24/'AEO 2025 Alt T Table 1'!$F$24</f>
        <v>1.1274321923009321</v>
      </c>
      <c r="T69" s="233">
        <f>'AEO 2025 Alt T Table 1'!X$24/'AEO 2025 Alt T Table 1'!$F$24</f>
        <v>1.1260297926780809</v>
      </c>
      <c r="U69" s="233">
        <f>'AEO 2025 Alt T Table 1'!Y$24/'AEO 2025 Alt T Table 1'!$F$24</f>
        <v>1.1302523849773092</v>
      </c>
      <c r="V69" s="233">
        <f>'AEO 2025 Alt T Table 1'!Z$24/'AEO 2025 Alt T Table 1'!$F$24</f>
        <v>1.1338575458040487</v>
      </c>
      <c r="W69" s="233">
        <f>'AEO 2025 Alt T Table 1'!AA$24/'AEO 2025 Alt T Table 1'!$F$24</f>
        <v>1.1352120224823476</v>
      </c>
      <c r="X69" s="233">
        <f>'AEO 2025 Alt T Table 1'!AB$24/'AEO 2025 Alt T Table 1'!$F$24</f>
        <v>1.1135511903938409</v>
      </c>
      <c r="Y69" s="233">
        <f>'AEO 2025 Alt T Table 1'!AC$24/'AEO 2025 Alt T Table 1'!$F$24</f>
        <v>1.1137530960521513</v>
      </c>
      <c r="Z69" s="233">
        <f>'AEO 2025 Alt T Table 1'!AD$24/'AEO 2025 Alt T Table 1'!$F$24</f>
        <v>1.1121443373256374</v>
      </c>
      <c r="AA69" s="233">
        <f>'AEO 2025 Alt T Table 1'!AE$24/'AEO 2025 Alt T Table 1'!$F$24</f>
        <v>1.1162969330816106</v>
      </c>
      <c r="AB69" s="233">
        <f>'AEO 2025 Alt T Table 1'!AF$24/'AEO 2025 Alt T Table 1'!$F$24</f>
        <v>1.1112821115798148</v>
      </c>
    </row>
    <row r="70" spans="1:30">
      <c r="A70" t="s">
        <v>127</v>
      </c>
      <c r="B70" s="233">
        <f>'AEO 2025 Alt T Table 1'!F$24/'AEO 2025 Alt T Table 1'!$F$24</f>
        <v>1</v>
      </c>
      <c r="C70" s="233">
        <f>'AEO 2025 Alt T Table 1'!G$24/'AEO 2025 Alt T Table 1'!$F$24</f>
        <v>0.98472323023107156</v>
      </c>
      <c r="D70" s="233">
        <f>'AEO 2025 Alt T Table 1'!H$24/'AEO 2025 Alt T Table 1'!$F$24</f>
        <v>1.0435052719837674</v>
      </c>
      <c r="E70" s="233">
        <f>'AEO 2025 Alt T Table 1'!I$24/'AEO 2025 Alt T Table 1'!$F$24</f>
        <v>1.0409994344608473</v>
      </c>
      <c r="F70" s="233">
        <f>'AEO 2025 Alt T Table 1'!J$24/'AEO 2025 Alt T Table 1'!$F$24</f>
        <v>1.0544502432283065</v>
      </c>
      <c r="G70" s="233">
        <f>'AEO 2025 Alt T Table 1'!K$24/'AEO 2025 Alt T Table 1'!$F$24</f>
        <v>1.0712116561380605</v>
      </c>
      <c r="H70" s="233">
        <f>'AEO 2025 Alt T Table 1'!L$24/'AEO 2025 Alt T Table 1'!$F$24</f>
        <v>1.0786683210893437</v>
      </c>
      <c r="I70" s="233">
        <f>'AEO 2025 Alt T Table 1'!M$24/'AEO 2025 Alt T Table 1'!$F$24</f>
        <v>1.0810404584376647</v>
      </c>
      <c r="J70" s="233">
        <f>'AEO 2025 Alt T Table 1'!N$24/'AEO 2025 Alt T Table 1'!$F$24</f>
        <v>1.1076990727587928</v>
      </c>
      <c r="K70" s="233">
        <f>'AEO 2025 Alt T Table 1'!O$24/'AEO 2025 Alt T Table 1'!$F$24</f>
        <v>1.1104082681504643</v>
      </c>
      <c r="L70" s="233">
        <f>'AEO 2025 Alt T Table 1'!P$24/'AEO 2025 Alt T Table 1'!$F$24</f>
        <v>1.1349643237881317</v>
      </c>
      <c r="M70" s="233">
        <f>'AEO 2025 Alt T Table 1'!Q$24/'AEO 2025 Alt T Table 1'!$F$24</f>
        <v>1.1415632648459595</v>
      </c>
      <c r="N70" s="233">
        <f>'AEO 2025 Alt T Table 1'!R$24/'AEO 2025 Alt T Table 1'!$F$24</f>
        <v>1.1401093601594683</v>
      </c>
      <c r="O70" s="233">
        <f>'AEO 2025 Alt T Table 1'!S$24/'AEO 2025 Alt T Table 1'!$F$24</f>
        <v>1.1272482940520898</v>
      </c>
      <c r="P70" s="233">
        <f>'AEO 2025 Alt T Table 1'!T$24/'AEO 2025 Alt T Table 1'!$F$24</f>
        <v>1.1333243425371367</v>
      </c>
      <c r="Q70" s="233">
        <f>'AEO 2025 Alt T Table 1'!U$24/'AEO 2025 Alt T Table 1'!$F$24</f>
        <v>1.1354883781292655</v>
      </c>
      <c r="R70" s="233">
        <f>'AEO 2025 Alt T Table 1'!V$24/'AEO 2025 Alt T Table 1'!$F$24</f>
        <v>1.1294448591580966</v>
      </c>
      <c r="S70" s="233">
        <f>'AEO 2025 Alt T Table 1'!W$24/'AEO 2025 Alt T Table 1'!$F$24</f>
        <v>1.1274321923009321</v>
      </c>
      <c r="T70" s="233">
        <f>'AEO 2025 Alt T Table 1'!X$24/'AEO 2025 Alt T Table 1'!$F$24</f>
        <v>1.1260297926780809</v>
      </c>
      <c r="U70" s="233">
        <f>'AEO 2025 Alt T Table 1'!Y$24/'AEO 2025 Alt T Table 1'!$F$24</f>
        <v>1.1302523849773092</v>
      </c>
      <c r="V70" s="233">
        <f>'AEO 2025 Alt T Table 1'!Z$24/'AEO 2025 Alt T Table 1'!$F$24</f>
        <v>1.1338575458040487</v>
      </c>
      <c r="W70" s="233">
        <f>'AEO 2025 Alt T Table 1'!AA$24/'AEO 2025 Alt T Table 1'!$F$24</f>
        <v>1.1352120224823476</v>
      </c>
      <c r="X70" s="233">
        <f>'AEO 2025 Alt T Table 1'!AB$24/'AEO 2025 Alt T Table 1'!$F$24</f>
        <v>1.1135511903938409</v>
      </c>
      <c r="Y70" s="233">
        <f>'AEO 2025 Alt T Table 1'!AC$24/'AEO 2025 Alt T Table 1'!$F$24</f>
        <v>1.1137530960521513</v>
      </c>
      <c r="Z70" s="233">
        <f>'AEO 2025 Alt T Table 1'!AD$24/'AEO 2025 Alt T Table 1'!$F$24</f>
        <v>1.1121443373256374</v>
      </c>
      <c r="AA70" s="233">
        <f>'AEO 2025 Alt T Table 1'!AE$24/'AEO 2025 Alt T Table 1'!$F$24</f>
        <v>1.1162969330816106</v>
      </c>
      <c r="AB70" s="233">
        <f>'AEO 2025 Alt T Table 1'!AF$24/'AEO 2025 Alt T Table 1'!$F$24</f>
        <v>1.1112821115798148</v>
      </c>
    </row>
    <row r="71" spans="1:30">
      <c r="A71" t="s">
        <v>114</v>
      </c>
      <c r="B71" s="233">
        <f>'AEO 2025 Alt T Table 1'!F$24/'AEO 2025 Alt T Table 1'!$F$24</f>
        <v>1</v>
      </c>
      <c r="C71" s="233">
        <f>'AEO 2025 Alt T Table 1'!G$24/'AEO 2025 Alt T Table 1'!$F$24</f>
        <v>0.98472323023107156</v>
      </c>
      <c r="D71" s="233">
        <f>'AEO 2025 Alt T Table 1'!H$24/'AEO 2025 Alt T Table 1'!$F$24</f>
        <v>1.0435052719837674</v>
      </c>
      <c r="E71" s="233">
        <f>'AEO 2025 Alt T Table 1'!I$24/'AEO 2025 Alt T Table 1'!$F$24</f>
        <v>1.0409994344608473</v>
      </c>
      <c r="F71" s="233">
        <f>'AEO 2025 Alt T Table 1'!J$24/'AEO 2025 Alt T Table 1'!$F$24</f>
        <v>1.0544502432283065</v>
      </c>
      <c r="G71" s="233">
        <f>'AEO 2025 Alt T Table 1'!K$24/'AEO 2025 Alt T Table 1'!$F$24</f>
        <v>1.0712116561380605</v>
      </c>
      <c r="H71" s="233">
        <f>'AEO 2025 Alt T Table 1'!L$24/'AEO 2025 Alt T Table 1'!$F$24</f>
        <v>1.0786683210893437</v>
      </c>
      <c r="I71" s="233">
        <f>'AEO 2025 Alt T Table 1'!M$24/'AEO 2025 Alt T Table 1'!$F$24</f>
        <v>1.0810404584376647</v>
      </c>
      <c r="J71" s="233">
        <f>'AEO 2025 Alt T Table 1'!N$24/'AEO 2025 Alt T Table 1'!$F$24</f>
        <v>1.1076990727587928</v>
      </c>
      <c r="K71" s="233">
        <f>'AEO 2025 Alt T Table 1'!O$24/'AEO 2025 Alt T Table 1'!$F$24</f>
        <v>1.1104082681504643</v>
      </c>
      <c r="L71" s="233">
        <f>'AEO 2025 Alt T Table 1'!P$24/'AEO 2025 Alt T Table 1'!$F$24</f>
        <v>1.1349643237881317</v>
      </c>
      <c r="M71" s="233">
        <f>'AEO 2025 Alt T Table 1'!Q$24/'AEO 2025 Alt T Table 1'!$F$24</f>
        <v>1.1415632648459595</v>
      </c>
      <c r="N71" s="233">
        <f>'AEO 2025 Alt T Table 1'!R$24/'AEO 2025 Alt T Table 1'!$F$24</f>
        <v>1.1401093601594683</v>
      </c>
      <c r="O71" s="233">
        <f>'AEO 2025 Alt T Table 1'!S$24/'AEO 2025 Alt T Table 1'!$F$24</f>
        <v>1.1272482940520898</v>
      </c>
      <c r="P71" s="233">
        <f>'AEO 2025 Alt T Table 1'!T$24/'AEO 2025 Alt T Table 1'!$F$24</f>
        <v>1.1333243425371367</v>
      </c>
      <c r="Q71" s="233">
        <f>'AEO 2025 Alt T Table 1'!U$24/'AEO 2025 Alt T Table 1'!$F$24</f>
        <v>1.1354883781292655</v>
      </c>
      <c r="R71" s="233">
        <f>'AEO 2025 Alt T Table 1'!V$24/'AEO 2025 Alt T Table 1'!$F$24</f>
        <v>1.1294448591580966</v>
      </c>
      <c r="S71" s="233">
        <f>'AEO 2025 Alt T Table 1'!W$24/'AEO 2025 Alt T Table 1'!$F$24</f>
        <v>1.1274321923009321</v>
      </c>
      <c r="T71" s="233">
        <f>'AEO 2025 Alt T Table 1'!X$24/'AEO 2025 Alt T Table 1'!$F$24</f>
        <v>1.1260297926780809</v>
      </c>
      <c r="U71" s="233">
        <f>'AEO 2025 Alt T Table 1'!Y$24/'AEO 2025 Alt T Table 1'!$F$24</f>
        <v>1.1302523849773092</v>
      </c>
      <c r="V71" s="233">
        <f>'AEO 2025 Alt T Table 1'!Z$24/'AEO 2025 Alt T Table 1'!$F$24</f>
        <v>1.1338575458040487</v>
      </c>
      <c r="W71" s="233">
        <f>'AEO 2025 Alt T Table 1'!AA$24/'AEO 2025 Alt T Table 1'!$F$24</f>
        <v>1.1352120224823476</v>
      </c>
      <c r="X71" s="233">
        <f>'AEO 2025 Alt T Table 1'!AB$24/'AEO 2025 Alt T Table 1'!$F$24</f>
        <v>1.1135511903938409</v>
      </c>
      <c r="Y71" s="233">
        <f>'AEO 2025 Alt T Table 1'!AC$24/'AEO 2025 Alt T Table 1'!$F$24</f>
        <v>1.1137530960521513</v>
      </c>
      <c r="Z71" s="233">
        <f>'AEO 2025 Alt T Table 1'!AD$24/'AEO 2025 Alt T Table 1'!$F$24</f>
        <v>1.1121443373256374</v>
      </c>
      <c r="AA71" s="233">
        <f>'AEO 2025 Alt T Table 1'!AE$24/'AEO 2025 Alt T Table 1'!$F$24</f>
        <v>1.1162969330816106</v>
      </c>
      <c r="AB71" s="233">
        <f>'AEO 2025 Alt T Table 1'!AF$24/'AEO 2025 Alt T Table 1'!$F$24</f>
        <v>1.1112821115798148</v>
      </c>
    </row>
    <row r="72" spans="1:30">
      <c r="A72" t="s">
        <v>128</v>
      </c>
      <c r="B72" s="209">
        <v>1</v>
      </c>
      <c r="C72" s="209">
        <v>1</v>
      </c>
      <c r="D72" s="209">
        <v>1</v>
      </c>
      <c r="E72" s="209">
        <v>1</v>
      </c>
      <c r="F72" s="209">
        <v>1</v>
      </c>
      <c r="G72" s="209">
        <v>1</v>
      </c>
      <c r="H72" s="209">
        <v>1</v>
      </c>
      <c r="I72" s="209">
        <v>1</v>
      </c>
      <c r="J72" s="209">
        <v>1</v>
      </c>
      <c r="K72" s="209">
        <v>1</v>
      </c>
      <c r="L72" s="209">
        <v>1</v>
      </c>
      <c r="M72" s="209">
        <v>1</v>
      </c>
      <c r="N72" s="209">
        <v>1</v>
      </c>
      <c r="O72" s="209">
        <v>1</v>
      </c>
      <c r="P72" s="209">
        <v>1</v>
      </c>
      <c r="Q72" s="209">
        <v>1</v>
      </c>
      <c r="R72" s="209">
        <v>1</v>
      </c>
      <c r="S72" s="209">
        <v>1</v>
      </c>
      <c r="T72" s="209">
        <v>1</v>
      </c>
      <c r="U72" s="209">
        <v>1</v>
      </c>
      <c r="V72" s="209">
        <v>1</v>
      </c>
      <c r="W72" s="209">
        <v>1</v>
      </c>
      <c r="X72" s="209">
        <v>1</v>
      </c>
      <c r="Y72" s="209">
        <v>1</v>
      </c>
      <c r="Z72" s="209">
        <v>1</v>
      </c>
      <c r="AA72" s="209">
        <v>1</v>
      </c>
      <c r="AB72" s="209">
        <v>1</v>
      </c>
    </row>
    <row r="73" spans="1:30">
      <c r="A73" t="s">
        <v>129</v>
      </c>
      <c r="B73" s="209">
        <v>1</v>
      </c>
      <c r="C73" s="209">
        <v>1</v>
      </c>
      <c r="D73" s="209">
        <v>1</v>
      </c>
      <c r="E73" s="209">
        <v>1</v>
      </c>
      <c r="F73" s="209">
        <v>1</v>
      </c>
      <c r="G73" s="209">
        <v>1</v>
      </c>
      <c r="H73" s="209">
        <v>1</v>
      </c>
      <c r="I73" s="209">
        <v>1</v>
      </c>
      <c r="J73" s="209">
        <v>1</v>
      </c>
      <c r="K73" s="209">
        <v>1</v>
      </c>
      <c r="L73" s="209">
        <v>1</v>
      </c>
      <c r="M73" s="209">
        <v>1</v>
      </c>
      <c r="N73" s="209">
        <v>1</v>
      </c>
      <c r="O73" s="209">
        <v>1</v>
      </c>
      <c r="P73" s="209">
        <v>1</v>
      </c>
      <c r="Q73" s="209">
        <v>1</v>
      </c>
      <c r="R73" s="209">
        <v>1</v>
      </c>
      <c r="S73" s="209">
        <v>1</v>
      </c>
      <c r="T73" s="209">
        <v>1</v>
      </c>
      <c r="U73" s="209">
        <v>1</v>
      </c>
      <c r="V73" s="209">
        <v>1</v>
      </c>
      <c r="W73" s="209">
        <v>1</v>
      </c>
      <c r="X73" s="209">
        <v>1</v>
      </c>
      <c r="Y73" s="209">
        <v>1</v>
      </c>
      <c r="Z73" s="209">
        <v>1</v>
      </c>
      <c r="AA73" s="209">
        <v>1</v>
      </c>
      <c r="AB73" s="209">
        <v>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C22"/>
  <sheetViews>
    <sheetView workbookViewId="0"/>
  </sheetViews>
  <sheetFormatPr defaultRowHeight="14.5"/>
  <cols>
    <col min="1" max="1" width="36.26953125" customWidth="1"/>
    <col min="2" max="30" width="13" customWidth="1"/>
  </cols>
  <sheetData>
    <row r="1" spans="1:29">
      <c r="A1" s="24" t="s">
        <v>454</v>
      </c>
      <c r="B1" s="18">
        <v>2024</v>
      </c>
      <c r="C1" s="18">
        <v>2025</v>
      </c>
      <c r="D1" s="18">
        <v>2026</v>
      </c>
      <c r="E1" s="18">
        <v>2027</v>
      </c>
      <c r="F1" s="18">
        <v>2028</v>
      </c>
      <c r="G1" s="18">
        <v>2029</v>
      </c>
      <c r="H1" s="18">
        <v>2030</v>
      </c>
      <c r="I1" s="18">
        <v>2031</v>
      </c>
      <c r="J1" s="18">
        <v>2032</v>
      </c>
      <c r="K1" s="18">
        <v>2033</v>
      </c>
      <c r="L1" s="18">
        <v>2034</v>
      </c>
      <c r="M1" s="18">
        <v>2035</v>
      </c>
      <c r="N1" s="18">
        <v>2036</v>
      </c>
      <c r="O1" s="18">
        <v>2037</v>
      </c>
      <c r="P1" s="18">
        <v>2038</v>
      </c>
      <c r="Q1" s="18">
        <v>2039</v>
      </c>
      <c r="R1" s="18">
        <v>2040</v>
      </c>
      <c r="S1" s="18">
        <v>2041</v>
      </c>
      <c r="T1" s="18">
        <v>2042</v>
      </c>
      <c r="U1" s="18">
        <v>2043</v>
      </c>
      <c r="V1" s="18">
        <v>2044</v>
      </c>
      <c r="W1" s="18">
        <v>2045</v>
      </c>
      <c r="X1" s="18">
        <v>2046</v>
      </c>
      <c r="Y1" s="18">
        <v>2047</v>
      </c>
      <c r="Z1" s="18">
        <v>2048</v>
      </c>
      <c r="AA1" s="18">
        <v>2049</v>
      </c>
      <c r="AB1" s="18">
        <v>2050</v>
      </c>
      <c r="AC1" s="18"/>
    </row>
    <row r="2" spans="1:29">
      <c r="A2" s="24" t="s">
        <v>115</v>
      </c>
      <c r="B2">
        <f>'Start Year Data'!B26</f>
        <v>0</v>
      </c>
      <c r="C2">
        <f>$B2*'Time Series Scaling Factors'!C3</f>
        <v>0</v>
      </c>
      <c r="D2">
        <f>$B2*'Time Series Scaling Factors'!D3</f>
        <v>0</v>
      </c>
      <c r="E2">
        <f>$B2*'Time Series Scaling Factors'!E3</f>
        <v>0</v>
      </c>
      <c r="F2">
        <f>$B2*'Time Series Scaling Factors'!F3</f>
        <v>0</v>
      </c>
      <c r="G2">
        <f>$B2*'Time Series Scaling Factors'!G3</f>
        <v>0</v>
      </c>
      <c r="H2">
        <f>$B2*'Time Series Scaling Factors'!H3</f>
        <v>0</v>
      </c>
      <c r="I2">
        <f>$B2*'Time Series Scaling Factors'!I3</f>
        <v>0</v>
      </c>
      <c r="J2">
        <f>$B2*'Time Series Scaling Factors'!J3</f>
        <v>0</v>
      </c>
      <c r="K2">
        <f>$B2*'Time Series Scaling Factors'!K3</f>
        <v>0</v>
      </c>
      <c r="L2">
        <f>$B2*'Time Series Scaling Factors'!L3</f>
        <v>0</v>
      </c>
      <c r="M2">
        <f>$B2*'Time Series Scaling Factors'!M3</f>
        <v>0</v>
      </c>
      <c r="N2">
        <f>$B2*'Time Series Scaling Factors'!N3</f>
        <v>0</v>
      </c>
      <c r="O2">
        <f>$B2*'Time Series Scaling Factors'!O3</f>
        <v>0</v>
      </c>
      <c r="P2">
        <f>$B2*'Time Series Scaling Factors'!P3</f>
        <v>0</v>
      </c>
      <c r="Q2">
        <f>$B2*'Time Series Scaling Factors'!Q3</f>
        <v>0</v>
      </c>
      <c r="R2">
        <f>$B2*'Time Series Scaling Factors'!R3</f>
        <v>0</v>
      </c>
      <c r="S2">
        <f>$B2*'Time Series Scaling Factors'!S3</f>
        <v>0</v>
      </c>
      <c r="T2">
        <f>$B2*'Time Series Scaling Factors'!T3</f>
        <v>0</v>
      </c>
      <c r="U2">
        <f>$B2*'Time Series Scaling Factors'!U3</f>
        <v>0</v>
      </c>
      <c r="V2">
        <f>$B2*'Time Series Scaling Factors'!V3</f>
        <v>0</v>
      </c>
      <c r="W2">
        <f>$B2*'Time Series Scaling Factors'!W3</f>
        <v>0</v>
      </c>
      <c r="X2">
        <f>$B2*'Time Series Scaling Factors'!X3</f>
        <v>0</v>
      </c>
      <c r="Y2">
        <f>$B2*'Time Series Scaling Factors'!Y3</f>
        <v>0</v>
      </c>
      <c r="Z2">
        <f>$B2*'Time Series Scaling Factors'!Z3</f>
        <v>0</v>
      </c>
      <c r="AA2">
        <f>$B2*'Time Series Scaling Factors'!AA3</f>
        <v>0</v>
      </c>
      <c r="AB2">
        <f>$B2*'Time Series Scaling Factors'!AB3</f>
        <v>0</v>
      </c>
    </row>
    <row r="3" spans="1:29">
      <c r="A3" s="1" t="s">
        <v>116</v>
      </c>
      <c r="B3">
        <f>'Start Year Data'!B27</f>
        <v>9289066568828650</v>
      </c>
      <c r="C3">
        <f>$B3*'Time Series Scaling Factors'!C4</f>
        <v>9168353090708432</v>
      </c>
      <c r="D3">
        <f>$B3*'Time Series Scaling Factors'!D4</f>
        <v>8410051027556112</v>
      </c>
      <c r="E3">
        <f>$B3*'Time Series Scaling Factors'!E4</f>
        <v>7490117749153839</v>
      </c>
      <c r="F3">
        <f>$B3*'Time Series Scaling Factors'!F4</f>
        <v>7452076814181204</v>
      </c>
      <c r="G3">
        <f>$B3*'Time Series Scaling Factors'!G4</f>
        <v>7140708906346576</v>
      </c>
      <c r="H3">
        <f>$B3*'Time Series Scaling Factors'!H4</f>
        <v>6410626471526122</v>
      </c>
      <c r="I3">
        <f>$B3*'Time Series Scaling Factors'!I4</f>
        <v>6142106536430254</v>
      </c>
      <c r="J3">
        <f>$B3*'Time Series Scaling Factors'!J4</f>
        <v>3903359008121844.5</v>
      </c>
      <c r="K3">
        <f>$B3*'Time Series Scaling Factors'!K4</f>
        <v>3902987982993058.5</v>
      </c>
      <c r="L3">
        <f>$B3*'Time Series Scaling Factors'!L4</f>
        <v>3862014139624337.5</v>
      </c>
      <c r="M3">
        <f>$B3*'Time Series Scaling Factors'!M4</f>
        <v>3889810256345783.5</v>
      </c>
      <c r="N3">
        <f>$B3*'Time Series Scaling Factors'!N4</f>
        <v>3824299887752901.5</v>
      </c>
      <c r="O3">
        <f>$B3*'Time Series Scaling Factors'!O4</f>
        <v>3835341957561310.5</v>
      </c>
      <c r="P3">
        <f>$B3*'Time Series Scaling Factors'!P4</f>
        <v>3765934015237498.5</v>
      </c>
      <c r="Q3">
        <f>$B3*'Time Series Scaling Factors'!Q4</f>
        <v>3490904851479781</v>
      </c>
      <c r="R3">
        <f>$B3*'Time Series Scaling Factors'!R4</f>
        <v>3522776814981843</v>
      </c>
      <c r="S3">
        <f>$B3*'Time Series Scaling Factors'!S4</f>
        <v>3483378471001454.5</v>
      </c>
      <c r="T3">
        <f>$B3*'Time Series Scaling Factors'!T4</f>
        <v>3487343010243434.5</v>
      </c>
      <c r="U3">
        <f>$B3*'Time Series Scaling Factors'!U4</f>
        <v>3497666558217072.5</v>
      </c>
      <c r="V3">
        <f>$B3*'Time Series Scaling Factors'!V4</f>
        <v>3507343074563681</v>
      </c>
      <c r="W3">
        <f>$B3*'Time Series Scaling Factors'!W4</f>
        <v>3544851905205276.5</v>
      </c>
      <c r="X3">
        <f>$B3*'Time Series Scaling Factors'!X4</f>
        <v>3421638984632113</v>
      </c>
      <c r="Y3">
        <f>$B3*'Time Series Scaling Factors'!Y4</f>
        <v>3452515514861822.5</v>
      </c>
      <c r="Z3">
        <f>$B3*'Time Series Scaling Factors'!Z4</f>
        <v>3461192978178724</v>
      </c>
      <c r="AA3">
        <f>$B3*'Time Series Scaling Factors'!AA4</f>
        <v>3477424875093445.5</v>
      </c>
      <c r="AB3">
        <f>$B3*'Time Series Scaling Factors'!AB4</f>
        <v>3436298096976517</v>
      </c>
    </row>
    <row r="4" spans="1:29">
      <c r="A4" s="1" t="s">
        <v>106</v>
      </c>
      <c r="B4">
        <f>'Start Year Data'!B28</f>
        <v>3.9777958E+16</v>
      </c>
      <c r="C4">
        <f>$B4*'Time Series Scaling Factors'!C5</f>
        <v>3.9964314000000008E+16</v>
      </c>
      <c r="D4">
        <f>$B4*'Time Series Scaling Factors'!D5</f>
        <v>4.0376175000000008E+16</v>
      </c>
      <c r="E4">
        <f>$B4*'Time Series Scaling Factors'!E5</f>
        <v>4.0612423E+16</v>
      </c>
      <c r="F4">
        <f>$B4*'Time Series Scaling Factors'!F5</f>
        <v>4.1816151E+16</v>
      </c>
      <c r="G4">
        <f>$B4*'Time Series Scaling Factors'!G5</f>
        <v>4.2651703E+16</v>
      </c>
      <c r="H4">
        <f>$B4*'Time Series Scaling Factors'!H5</f>
        <v>4.3563282E+16</v>
      </c>
      <c r="I4">
        <f>$B4*'Time Series Scaling Factors'!I5</f>
        <v>4.3656242E+16</v>
      </c>
      <c r="J4">
        <f>$B4*'Time Series Scaling Factors'!J5</f>
        <v>4.5521187E+16</v>
      </c>
      <c r="K4">
        <f>$B4*'Time Series Scaling Factors'!K5</f>
        <v>4.5501274E+16</v>
      </c>
      <c r="L4">
        <f>$B4*'Time Series Scaling Factors'!L5</f>
        <v>4.5491352E+16</v>
      </c>
      <c r="M4">
        <f>$B4*'Time Series Scaling Factors'!M5</f>
        <v>4.5081741000000008E+16</v>
      </c>
      <c r="N4">
        <f>$B4*'Time Series Scaling Factors'!N5</f>
        <v>4.4722286E+16</v>
      </c>
      <c r="O4">
        <f>$B4*'Time Series Scaling Factors'!O5</f>
        <v>4.4078888E+16</v>
      </c>
      <c r="P4">
        <f>$B4*'Time Series Scaling Factors'!P5</f>
        <v>4.3848736E+16</v>
      </c>
      <c r="Q4">
        <f>$B4*'Time Series Scaling Factors'!Q5</f>
        <v>4.3464912E+16</v>
      </c>
      <c r="R4">
        <f>$B4*'Time Series Scaling Factors'!R5</f>
        <v>4.3734524E+16</v>
      </c>
      <c r="S4">
        <f>$B4*'Time Series Scaling Factors'!S5</f>
        <v>4.4301231E+16</v>
      </c>
      <c r="T4">
        <f>$B4*'Time Series Scaling Factors'!T5</f>
        <v>4.4546783E+16</v>
      </c>
      <c r="U4">
        <f>$B4*'Time Series Scaling Factors'!U5</f>
        <v>4.4735222E+16</v>
      </c>
      <c r="V4">
        <f>$B4*'Time Series Scaling Factors'!V5</f>
        <v>4.4901123000000008E+16</v>
      </c>
      <c r="W4">
        <f>$B4*'Time Series Scaling Factors'!W5</f>
        <v>4.516296E+16</v>
      </c>
      <c r="X4">
        <f>$B4*'Time Series Scaling Factors'!X5</f>
        <v>4.5552685E+16</v>
      </c>
      <c r="Y4">
        <f>$B4*'Time Series Scaling Factors'!Y5</f>
        <v>4.5824455000000008E+16</v>
      </c>
      <c r="Z4">
        <f>$B4*'Time Series Scaling Factors'!Z5</f>
        <v>4.5987713E+16</v>
      </c>
      <c r="AA4">
        <f>$B4*'Time Series Scaling Factors'!AA5</f>
        <v>4.620248E+16</v>
      </c>
      <c r="AB4">
        <f>$B4*'Time Series Scaling Factors'!AB5</f>
        <v>4.6360294000000008E+16</v>
      </c>
    </row>
    <row r="5" spans="1:29">
      <c r="A5" s="1" t="s">
        <v>117</v>
      </c>
      <c r="B5">
        <f>'Start Year Data'!B29</f>
        <v>121860000000000.02</v>
      </c>
      <c r="C5">
        <f>$B5*'Time Series Scaling Factors'!C6</f>
        <v>124237724701775.28</v>
      </c>
      <c r="D5">
        <f>$B5*'Time Series Scaling Factors'!D6</f>
        <v>125416902843264.05</v>
      </c>
      <c r="E5">
        <f>$B5*'Time Series Scaling Factors'!E6</f>
        <v>125131672496105.3</v>
      </c>
      <c r="F5">
        <f>$B5*'Time Series Scaling Factors'!F6</f>
        <v>125129617133304.94</v>
      </c>
      <c r="G5">
        <f>$B5*'Time Series Scaling Factors'!G6</f>
        <v>125127921834060.83</v>
      </c>
      <c r="H5">
        <f>$B5*'Time Series Scaling Factors'!H6</f>
        <v>123728924891469.05</v>
      </c>
      <c r="I5">
        <f>$B5*'Time Series Scaling Factors'!I6</f>
        <v>122426800048162.14</v>
      </c>
      <c r="J5">
        <f>$B5*'Time Series Scaling Factors'!J6</f>
        <v>122426139931642.3</v>
      </c>
      <c r="K5">
        <f>$B5*'Time Series Scaling Factors'!K6</f>
        <v>122428525352702.58</v>
      </c>
      <c r="L5">
        <f>$B5*'Time Series Scaling Factors'!L6</f>
        <v>122428525352702.58</v>
      </c>
      <c r="M5">
        <f>$B5*'Time Series Scaling Factors'!M6</f>
        <v>122109223991531.72</v>
      </c>
      <c r="N5">
        <f>$B5*'Time Series Scaling Factors'!N6</f>
        <v>121329401341891.22</v>
      </c>
      <c r="O5">
        <f>$B5*'Time Series Scaling Factors'!O6</f>
        <v>121941314353124.38</v>
      </c>
      <c r="P5">
        <f>$B5*'Time Series Scaling Factors'!P6</f>
        <v>121895766313256.17</v>
      </c>
      <c r="Q5">
        <f>$B5*'Time Series Scaling Factors'!Q6</f>
        <v>121681978576720.7</v>
      </c>
      <c r="R5">
        <f>$B5*'Time Series Scaling Factors'!R6</f>
        <v>121662070062588.59</v>
      </c>
      <c r="S5">
        <f>$B5*'Time Series Scaling Factors'!S6</f>
        <v>121672061826275.11</v>
      </c>
      <c r="T5">
        <f>$B5*'Time Series Scaling Factors'!T6</f>
        <v>121677222737248.31</v>
      </c>
      <c r="U5">
        <f>$B5*'Time Series Scaling Factors'!U6</f>
        <v>121683223796519.47</v>
      </c>
      <c r="V5">
        <f>$B5*'Time Series Scaling Factors'!V6</f>
        <v>121652528378347.42</v>
      </c>
      <c r="W5">
        <f>$B5*'Time Series Scaling Factors'!W6</f>
        <v>121674612276465.34</v>
      </c>
      <c r="X5">
        <f>$B5*'Time Series Scaling Factors'!X6</f>
        <v>121619327517929.69</v>
      </c>
      <c r="Y5">
        <f>$B5*'Time Series Scaling Factors'!Y6</f>
        <v>121670636574698.2</v>
      </c>
      <c r="Z5">
        <f>$B5*'Time Series Scaling Factors'!Z6</f>
        <v>121656474074818.23</v>
      </c>
      <c r="AA5">
        <f>$B5*'Time Series Scaling Factors'!AA6</f>
        <v>121628884204819.02</v>
      </c>
      <c r="AB5">
        <f>$B5*'Time Series Scaling Factors'!AB6</f>
        <v>121640631278342.33</v>
      </c>
    </row>
    <row r="6" spans="1:29">
      <c r="A6" s="1" t="s">
        <v>118</v>
      </c>
      <c r="B6">
        <f>'Start Year Data'!B30</f>
        <v>0</v>
      </c>
      <c r="C6">
        <f>$B6*'Time Series Scaling Factors'!C7</f>
        <v>0</v>
      </c>
      <c r="D6">
        <f>$B6*'Time Series Scaling Factors'!D7</f>
        <v>0</v>
      </c>
      <c r="E6">
        <f>$B6*'Time Series Scaling Factors'!E7</f>
        <v>0</v>
      </c>
      <c r="F6">
        <f>$B6*'Time Series Scaling Factors'!F7</f>
        <v>0</v>
      </c>
      <c r="G6">
        <f>$B6*'Time Series Scaling Factors'!G7</f>
        <v>0</v>
      </c>
      <c r="H6">
        <f>$B6*'Time Series Scaling Factors'!H7</f>
        <v>0</v>
      </c>
      <c r="I6">
        <f>$B6*'Time Series Scaling Factors'!I7</f>
        <v>0</v>
      </c>
      <c r="J6">
        <f>$B6*'Time Series Scaling Factors'!J7</f>
        <v>0</v>
      </c>
      <c r="K6">
        <f>$B6*'Time Series Scaling Factors'!K7</f>
        <v>0</v>
      </c>
      <c r="L6">
        <f>$B6*'Time Series Scaling Factors'!L7</f>
        <v>0</v>
      </c>
      <c r="M6">
        <f>$B6*'Time Series Scaling Factors'!M7</f>
        <v>0</v>
      </c>
      <c r="N6">
        <f>$B6*'Time Series Scaling Factors'!N7</f>
        <v>0</v>
      </c>
      <c r="O6">
        <f>$B6*'Time Series Scaling Factors'!O7</f>
        <v>0</v>
      </c>
      <c r="P6">
        <f>$B6*'Time Series Scaling Factors'!P7</f>
        <v>0</v>
      </c>
      <c r="Q6">
        <f>$B6*'Time Series Scaling Factors'!Q7</f>
        <v>0</v>
      </c>
      <c r="R6">
        <f>$B6*'Time Series Scaling Factors'!R7</f>
        <v>0</v>
      </c>
      <c r="S6">
        <f>$B6*'Time Series Scaling Factors'!S7</f>
        <v>0</v>
      </c>
      <c r="T6">
        <f>$B6*'Time Series Scaling Factors'!T7</f>
        <v>0</v>
      </c>
      <c r="U6">
        <f>$B6*'Time Series Scaling Factors'!U7</f>
        <v>0</v>
      </c>
      <c r="V6">
        <f>$B6*'Time Series Scaling Factors'!V7</f>
        <v>0</v>
      </c>
      <c r="W6">
        <f>$B6*'Time Series Scaling Factors'!W7</f>
        <v>0</v>
      </c>
      <c r="X6">
        <f>$B6*'Time Series Scaling Factors'!X7</f>
        <v>0</v>
      </c>
      <c r="Y6">
        <f>$B6*'Time Series Scaling Factors'!Y7</f>
        <v>0</v>
      </c>
      <c r="Z6">
        <f>$B6*'Time Series Scaling Factors'!Z7</f>
        <v>0</v>
      </c>
      <c r="AA6">
        <f>$B6*'Time Series Scaling Factors'!AA7</f>
        <v>0</v>
      </c>
      <c r="AB6">
        <f>$B6*'Time Series Scaling Factors'!AB7</f>
        <v>0</v>
      </c>
    </row>
    <row r="7" spans="1:29">
      <c r="A7" s="1" t="s">
        <v>119</v>
      </c>
      <c r="B7">
        <f>'Start Year Data'!B31</f>
        <v>0</v>
      </c>
      <c r="C7">
        <f>$B7*'Time Series Scaling Factors'!C8</f>
        <v>0</v>
      </c>
      <c r="D7">
        <f>$B7*'Time Series Scaling Factors'!D8</f>
        <v>0</v>
      </c>
      <c r="E7">
        <f>$B7*'Time Series Scaling Factors'!E8</f>
        <v>0</v>
      </c>
      <c r="F7">
        <f>$B7*'Time Series Scaling Factors'!F8</f>
        <v>0</v>
      </c>
      <c r="G7">
        <f>$B7*'Time Series Scaling Factors'!G8</f>
        <v>0</v>
      </c>
      <c r="H7">
        <f>$B7*'Time Series Scaling Factors'!H8</f>
        <v>0</v>
      </c>
      <c r="I7">
        <f>$B7*'Time Series Scaling Factors'!I8</f>
        <v>0</v>
      </c>
      <c r="J7">
        <f>$B7*'Time Series Scaling Factors'!J8</f>
        <v>0</v>
      </c>
      <c r="K7">
        <f>$B7*'Time Series Scaling Factors'!K8</f>
        <v>0</v>
      </c>
      <c r="L7">
        <f>$B7*'Time Series Scaling Factors'!L8</f>
        <v>0</v>
      </c>
      <c r="M7">
        <f>$B7*'Time Series Scaling Factors'!M8</f>
        <v>0</v>
      </c>
      <c r="N7">
        <f>$B7*'Time Series Scaling Factors'!N8</f>
        <v>0</v>
      </c>
      <c r="O7">
        <f>$B7*'Time Series Scaling Factors'!O8</f>
        <v>0</v>
      </c>
      <c r="P7">
        <f>$B7*'Time Series Scaling Factors'!P8</f>
        <v>0</v>
      </c>
      <c r="Q7">
        <f>$B7*'Time Series Scaling Factors'!Q8</f>
        <v>0</v>
      </c>
      <c r="R7">
        <f>$B7*'Time Series Scaling Factors'!R8</f>
        <v>0</v>
      </c>
      <c r="S7">
        <f>$B7*'Time Series Scaling Factors'!S8</f>
        <v>0</v>
      </c>
      <c r="T7">
        <f>$B7*'Time Series Scaling Factors'!T8</f>
        <v>0</v>
      </c>
      <c r="U7">
        <f>$B7*'Time Series Scaling Factors'!U8</f>
        <v>0</v>
      </c>
      <c r="V7">
        <f>$B7*'Time Series Scaling Factors'!V8</f>
        <v>0</v>
      </c>
      <c r="W7">
        <f>$B7*'Time Series Scaling Factors'!W8</f>
        <v>0</v>
      </c>
      <c r="X7">
        <f>$B7*'Time Series Scaling Factors'!X8</f>
        <v>0</v>
      </c>
      <c r="Y7">
        <f>$B7*'Time Series Scaling Factors'!Y8</f>
        <v>0</v>
      </c>
      <c r="Z7">
        <f>$B7*'Time Series Scaling Factors'!Z8</f>
        <v>0</v>
      </c>
      <c r="AA7">
        <f>$B7*'Time Series Scaling Factors'!AA8</f>
        <v>0</v>
      </c>
      <c r="AB7">
        <f>$B7*'Time Series Scaling Factors'!AB8</f>
        <v>0</v>
      </c>
    </row>
    <row r="8" spans="1:29">
      <c r="A8" s="1" t="s">
        <v>120</v>
      </c>
      <c r="B8">
        <f>'Start Year Data'!B32</f>
        <v>0</v>
      </c>
      <c r="C8">
        <f>$B8*'Time Series Scaling Factors'!C9</f>
        <v>0</v>
      </c>
      <c r="D8">
        <f>$B8*'Time Series Scaling Factors'!D9</f>
        <v>0</v>
      </c>
      <c r="E8">
        <f>$B8*'Time Series Scaling Factors'!E9</f>
        <v>0</v>
      </c>
      <c r="F8">
        <f>$B8*'Time Series Scaling Factors'!F9</f>
        <v>0</v>
      </c>
      <c r="G8">
        <f>$B8*'Time Series Scaling Factors'!G9</f>
        <v>0</v>
      </c>
      <c r="H8">
        <f>$B8*'Time Series Scaling Factors'!H9</f>
        <v>0</v>
      </c>
      <c r="I8">
        <f>$B8*'Time Series Scaling Factors'!I9</f>
        <v>0</v>
      </c>
      <c r="J8">
        <f>$B8*'Time Series Scaling Factors'!J9</f>
        <v>0</v>
      </c>
      <c r="K8">
        <f>$B8*'Time Series Scaling Factors'!K9</f>
        <v>0</v>
      </c>
      <c r="L8">
        <f>$B8*'Time Series Scaling Factors'!L9</f>
        <v>0</v>
      </c>
      <c r="M8">
        <f>$B8*'Time Series Scaling Factors'!M9</f>
        <v>0</v>
      </c>
      <c r="N8">
        <f>$B8*'Time Series Scaling Factors'!N9</f>
        <v>0</v>
      </c>
      <c r="O8">
        <f>$B8*'Time Series Scaling Factors'!O9</f>
        <v>0</v>
      </c>
      <c r="P8">
        <f>$B8*'Time Series Scaling Factors'!P9</f>
        <v>0</v>
      </c>
      <c r="Q8">
        <f>$B8*'Time Series Scaling Factors'!Q9</f>
        <v>0</v>
      </c>
      <c r="R8">
        <f>$B8*'Time Series Scaling Factors'!R9</f>
        <v>0</v>
      </c>
      <c r="S8">
        <f>$B8*'Time Series Scaling Factors'!S9</f>
        <v>0</v>
      </c>
      <c r="T8">
        <f>$B8*'Time Series Scaling Factors'!T9</f>
        <v>0</v>
      </c>
      <c r="U8">
        <f>$B8*'Time Series Scaling Factors'!U9</f>
        <v>0</v>
      </c>
      <c r="V8">
        <f>$B8*'Time Series Scaling Factors'!V9</f>
        <v>0</v>
      </c>
      <c r="W8">
        <f>$B8*'Time Series Scaling Factors'!W9</f>
        <v>0</v>
      </c>
      <c r="X8">
        <f>$B8*'Time Series Scaling Factors'!X9</f>
        <v>0</v>
      </c>
      <c r="Y8">
        <f>$B8*'Time Series Scaling Factors'!Y9</f>
        <v>0</v>
      </c>
      <c r="Z8">
        <f>$B8*'Time Series Scaling Factors'!Z9</f>
        <v>0</v>
      </c>
      <c r="AA8">
        <f>$B8*'Time Series Scaling Factors'!AA9</f>
        <v>0</v>
      </c>
      <c r="AB8">
        <f>$B8*'Time Series Scaling Factors'!AB9</f>
        <v>0</v>
      </c>
    </row>
    <row r="9" spans="1:29">
      <c r="A9" s="1" t="s">
        <v>109</v>
      </c>
      <c r="B9">
        <f>'Start Year Data'!B33</f>
        <v>238899434690000</v>
      </c>
      <c r="C9">
        <f>$B9*'Time Series Scaling Factors'!C10</f>
        <v>243342478591794.38</v>
      </c>
      <c r="D9">
        <f>$B9*'Time Series Scaling Factors'!D10</f>
        <v>244033332868036.06</v>
      </c>
      <c r="E9">
        <f>$B9*'Time Series Scaling Factors'!E10</f>
        <v>240301352249537.69</v>
      </c>
      <c r="F9">
        <f>$B9*'Time Series Scaling Factors'!F10</f>
        <v>231930214257279.66</v>
      </c>
      <c r="G9">
        <f>$B9*'Time Series Scaling Factors'!G10</f>
        <v>232908958248049.06</v>
      </c>
      <c r="H9">
        <f>$B9*'Time Series Scaling Factors'!H10</f>
        <v>234157763455894.78</v>
      </c>
      <c r="I9">
        <f>$B9*'Time Series Scaling Factors'!I10</f>
        <v>234532465797217.06</v>
      </c>
      <c r="J9">
        <f>$B9*'Time Series Scaling Factors'!J10</f>
        <v>235323554722482.38</v>
      </c>
      <c r="K9">
        <f>$B9*'Time Series Scaling Factors'!K10</f>
        <v>234799640013285.59</v>
      </c>
      <c r="L9">
        <f>$B9*'Time Series Scaling Factors'!L10</f>
        <v>234820862003149.63</v>
      </c>
      <c r="M9">
        <f>$B9*'Time Series Scaling Factors'!M10</f>
        <v>234826636005165.13</v>
      </c>
      <c r="N9">
        <f>$B9*'Time Series Scaling Factors'!N10</f>
        <v>236093776201867.13</v>
      </c>
      <c r="O9">
        <f>$B9*'Time Series Scaling Factors'!O10</f>
        <v>236092965815619.34</v>
      </c>
      <c r="P9">
        <f>$B9*'Time Series Scaling Factors'!P10</f>
        <v>235940056060489.31</v>
      </c>
      <c r="Q9">
        <f>$B9*'Time Series Scaling Factors'!Q10</f>
        <v>236340538814319.41</v>
      </c>
      <c r="R9">
        <f>$B9*'Time Series Scaling Factors'!R10</f>
        <v>237446108252868.09</v>
      </c>
      <c r="S9">
        <f>$B9*'Time Series Scaling Factors'!S10</f>
        <v>236769587683384.19</v>
      </c>
      <c r="T9">
        <f>$B9*'Time Series Scaling Factors'!T10</f>
        <v>236406230749530.94</v>
      </c>
      <c r="U9">
        <f>$B9*'Time Series Scaling Factors'!U10</f>
        <v>235814699437784.13</v>
      </c>
      <c r="V9">
        <f>$B9*'Time Series Scaling Factors'!V10</f>
        <v>236312175295646.75</v>
      </c>
      <c r="W9">
        <f>$B9*'Time Series Scaling Factors'!W10</f>
        <v>237276585579658.34</v>
      </c>
      <c r="X9">
        <f>$B9*'Time Series Scaling Factors'!X10</f>
        <v>238057544676826.28</v>
      </c>
      <c r="Y9">
        <f>$B9*'Time Series Scaling Factors'!Y10</f>
        <v>239260917605655.22</v>
      </c>
      <c r="Z9">
        <f>$B9*'Time Series Scaling Factors'!Z10</f>
        <v>240292286053390.59</v>
      </c>
      <c r="AA9">
        <f>$B9*'Time Series Scaling Factors'!AA10</f>
        <v>241737761873746.97</v>
      </c>
      <c r="AB9">
        <f>$B9*'Time Series Scaling Factors'!AB10</f>
        <v>243188049362449.69</v>
      </c>
    </row>
    <row r="10" spans="1:29">
      <c r="A10" s="1" t="s">
        <v>110</v>
      </c>
      <c r="B10">
        <f>'Start Year Data'!B34</f>
        <v>1.7798420573906E+16</v>
      </c>
      <c r="C10">
        <f>$B10*'Time Series Scaling Factors'!C11</f>
        <v>1.831564096378482E+16</v>
      </c>
      <c r="D10">
        <f>$B10*'Time Series Scaling Factors'!D11</f>
        <v>1.8501643889448148E+16</v>
      </c>
      <c r="E10">
        <f>$B10*'Time Series Scaling Factors'!E11</f>
        <v>1.8759452107409056E+16</v>
      </c>
      <c r="F10">
        <f>$B10*'Time Series Scaling Factors'!F11</f>
        <v>1.8721386877682676E+16</v>
      </c>
      <c r="G10">
        <f>$B10*'Time Series Scaling Factors'!G11</f>
        <v>1.8728262169613952E+16</v>
      </c>
      <c r="H10">
        <f>$B10*'Time Series Scaling Factors'!H11</f>
        <v>1.8627846227096576E+16</v>
      </c>
      <c r="I10">
        <f>$B10*'Time Series Scaling Factors'!I11</f>
        <v>1.83776689415978E+16</v>
      </c>
      <c r="J10">
        <f>$B10*'Time Series Scaling Factors'!J11</f>
        <v>1.8112676306033908E+16</v>
      </c>
      <c r="K10">
        <f>$B10*'Time Series Scaling Factors'!K11</f>
        <v>1.7933653658379038E+16</v>
      </c>
      <c r="L10">
        <f>$B10*'Time Series Scaling Factors'!L11</f>
        <v>1.7814648699577694E+16</v>
      </c>
      <c r="M10">
        <f>$B10*'Time Series Scaling Factors'!M11</f>
        <v>1.7525978463297336E+16</v>
      </c>
      <c r="N10">
        <f>$B10*'Time Series Scaling Factors'!N11</f>
        <v>1.7269500068980788E+16</v>
      </c>
      <c r="O10">
        <f>$B10*'Time Series Scaling Factors'!O11</f>
        <v>1.713166112638204E+16</v>
      </c>
      <c r="P10">
        <f>$B10*'Time Series Scaling Factors'!P11</f>
        <v>1.7012617931910612E+16</v>
      </c>
      <c r="Q10">
        <f>$B10*'Time Series Scaling Factors'!Q11</f>
        <v>1.6781878624184162E+16</v>
      </c>
      <c r="R10">
        <f>$B10*'Time Series Scaling Factors'!R11</f>
        <v>1.6569382915586492E+16</v>
      </c>
      <c r="S10">
        <f>$B10*'Time Series Scaling Factors'!S11</f>
        <v>1.6564679928165882E+16</v>
      </c>
      <c r="T10">
        <f>$B10*'Time Series Scaling Factors'!T11</f>
        <v>1.6642219274851988E+16</v>
      </c>
      <c r="U10">
        <f>$B10*'Time Series Scaling Factors'!U11</f>
        <v>1.6527340528108938E+16</v>
      </c>
      <c r="V10">
        <f>$B10*'Time Series Scaling Factors'!V11</f>
        <v>1.6351199813079042E+16</v>
      </c>
      <c r="W10">
        <f>$B10*'Time Series Scaling Factors'!W11</f>
        <v>1.619861227082228E+16</v>
      </c>
      <c r="X10">
        <f>$B10*'Time Series Scaling Factors'!X11</f>
        <v>1.60972870970315E+16</v>
      </c>
      <c r="Y10">
        <f>$B10*'Time Series Scaling Factors'!Y11</f>
        <v>1.6270298319674166E+16</v>
      </c>
      <c r="Z10">
        <f>$B10*'Time Series Scaling Factors'!Z11</f>
        <v>1.6209589796510266E+16</v>
      </c>
      <c r="AA10">
        <f>$B10*'Time Series Scaling Factors'!AA11</f>
        <v>1.6048777048749526E+16</v>
      </c>
      <c r="AB10">
        <f>$B10*'Time Series Scaling Factors'!AB11</f>
        <v>1.5757317552739484E+16</v>
      </c>
    </row>
    <row r="11" spans="1:29">
      <c r="A11" s="1" t="s">
        <v>121</v>
      </c>
      <c r="B11">
        <f>'Start Year Data'!B35</f>
        <v>1.0523392575E+16</v>
      </c>
      <c r="C11">
        <f>$B11*'Time Series Scaling Factors'!C12</f>
        <v>1.0829201351002808E+16</v>
      </c>
      <c r="D11">
        <f>$B11*'Time Series Scaling Factors'!D12</f>
        <v>1.0939176379333324E+16</v>
      </c>
      <c r="E11">
        <f>$B11*'Time Series Scaling Factors'!E12</f>
        <v>1.1091606595003208E+16</v>
      </c>
      <c r="F11">
        <f>$B11*'Time Series Scaling Factors'!F12</f>
        <v>1.1069100364509052E+16</v>
      </c>
      <c r="G11">
        <f>$B11*'Time Series Scaling Factors'!G12</f>
        <v>1.1073165410379842E+16</v>
      </c>
      <c r="H11">
        <f>$B11*'Time Series Scaling Factors'!H12</f>
        <v>1.1013794053269188E+16</v>
      </c>
      <c r="I11">
        <f>$B11*'Time Series Scaling Factors'!I12</f>
        <v>1.0865875659178014E+16</v>
      </c>
      <c r="J11">
        <f>$B11*'Time Series Scaling Factors'!J12</f>
        <v>1.070919762575683E+16</v>
      </c>
      <c r="K11">
        <f>$B11*'Time Series Scaling Factors'!K12</f>
        <v>1.0603349716765956E+16</v>
      </c>
      <c r="L11">
        <f>$B11*'Time Series Scaling Factors'!L12</f>
        <v>1.053298752397261E+16</v>
      </c>
      <c r="M11">
        <f>$B11*'Time Series Scaling Factors'!M12</f>
        <v>1.0362310007477136E+16</v>
      </c>
      <c r="N11">
        <f>$B11*'Time Series Scaling Factors'!N12</f>
        <v>1.0210666055746066E+16</v>
      </c>
      <c r="O11">
        <f>$B11*'Time Series Scaling Factors'!O12</f>
        <v>1.0129168189176034E+16</v>
      </c>
      <c r="P11">
        <f>$B11*'Time Series Scaling Factors'!P12</f>
        <v>1.00587833893786E+16</v>
      </c>
      <c r="Q11">
        <f>$B11*'Time Series Scaling Factors'!Q12</f>
        <v>9922357783094800</v>
      </c>
      <c r="R11">
        <f>$B11*'Time Series Scaling Factors'!R12</f>
        <v>9796718783117774</v>
      </c>
      <c r="S11">
        <f>$B11*'Time Series Scaling Factors'!S12</f>
        <v>9793938121614870</v>
      </c>
      <c r="T11">
        <f>$B11*'Time Series Scaling Factors'!T12</f>
        <v>9839783593228412</v>
      </c>
      <c r="U11">
        <f>$B11*'Time Series Scaling Factors'!U12</f>
        <v>9771861041028838</v>
      </c>
      <c r="V11">
        <f>$B11*'Time Series Scaling Factors'!V12</f>
        <v>9667717087074950</v>
      </c>
      <c r="W11">
        <f>$B11*'Time Series Scaling Factors'!W12</f>
        <v>9577499047639674</v>
      </c>
      <c r="X11">
        <f>$B11*'Time Series Scaling Factors'!X12</f>
        <v>9517590103635184</v>
      </c>
      <c r="Y11">
        <f>$B11*'Time Series Scaling Factors'!Y12</f>
        <v>9619883731779850</v>
      </c>
      <c r="Z11">
        <f>$B11*'Time Series Scaling Factors'!Z12</f>
        <v>9583989556830482</v>
      </c>
      <c r="AA11">
        <f>$B11*'Time Series Scaling Factors'!AA12</f>
        <v>9488908329329218</v>
      </c>
      <c r="AB11">
        <f>$B11*'Time Series Scaling Factors'!AB12</f>
        <v>9316581651043954</v>
      </c>
    </row>
    <row r="12" spans="1:29">
      <c r="A12" s="1" t="s">
        <v>122</v>
      </c>
      <c r="B12">
        <f>'Start Year Data'!B36</f>
        <v>1543105652508000</v>
      </c>
      <c r="C12">
        <f>$B12*'Time Series Scaling Factors'!C13</f>
        <v>1587948154341253.8</v>
      </c>
      <c r="D12">
        <f>$B12*'Time Series Scaling Factors'!D13</f>
        <v>1604074426039480</v>
      </c>
      <c r="E12">
        <f>$B12*'Time Series Scaling Factors'!E13</f>
        <v>1626426146336602</v>
      </c>
      <c r="F12">
        <f>$B12*'Time Series Scaling Factors'!F13</f>
        <v>1623125928156517.5</v>
      </c>
      <c r="G12">
        <f>$B12*'Time Series Scaling Factors'!G13</f>
        <v>1623722009241226.3</v>
      </c>
      <c r="H12">
        <f>$B12*'Time Series Scaling Factors'!H13</f>
        <v>1615016045256553.5</v>
      </c>
      <c r="I12">
        <f>$B12*'Time Series Scaling Factors'!I13</f>
        <v>1593325919338962.3</v>
      </c>
      <c r="J12">
        <f>$B12*'Time Series Scaling Factors'!J13</f>
        <v>1570351317063795.5</v>
      </c>
      <c r="K12">
        <f>$B12*'Time Series Scaling Factors'!K13</f>
        <v>1554830228640467.5</v>
      </c>
      <c r="L12">
        <f>$B12*'Time Series Scaling Factors'!L13</f>
        <v>1544512615128622.3</v>
      </c>
      <c r="M12">
        <f>$B12*'Time Series Scaling Factors'!M13</f>
        <v>1519485188033877.5</v>
      </c>
      <c r="N12">
        <f>$B12*'Time Series Scaling Factors'!N13</f>
        <v>1497248762145825.3</v>
      </c>
      <c r="O12">
        <f>$B12*'Time Series Scaling Factors'!O13</f>
        <v>1485298260663031.5</v>
      </c>
      <c r="P12">
        <f>$B12*'Time Series Scaling Factors'!P13</f>
        <v>1474977332155994</v>
      </c>
      <c r="Q12">
        <f>$B12*'Time Series Scaling Factors'!Q13</f>
        <v>1454972459896122</v>
      </c>
      <c r="R12">
        <f>$B12*'Time Series Scaling Factors'!R13</f>
        <v>1436549289833971</v>
      </c>
      <c r="S12">
        <f>$B12*'Time Series Scaling Factors'!S13</f>
        <v>1436141545425287</v>
      </c>
      <c r="T12">
        <f>$B12*'Time Series Scaling Factors'!T13</f>
        <v>1442864130930347.3</v>
      </c>
      <c r="U12">
        <f>$B12*'Time Series Scaling Factors'!U13</f>
        <v>1432904255967502</v>
      </c>
      <c r="V12">
        <f>$B12*'Time Series Scaling Factors'!V13</f>
        <v>1417633028283517.5</v>
      </c>
      <c r="W12">
        <f>$B12*'Time Series Scaling Factors'!W13</f>
        <v>1404403837638145.5</v>
      </c>
      <c r="X12">
        <f>$B12*'Time Series Scaling Factors'!X13</f>
        <v>1395619044191521.5</v>
      </c>
      <c r="Y12">
        <f>$B12*'Time Series Scaling Factors'!Y13</f>
        <v>1410618947946949.5</v>
      </c>
      <c r="Z12">
        <f>$B12*'Time Series Scaling Factors'!Z13</f>
        <v>1405355578376563.5</v>
      </c>
      <c r="AA12">
        <f>$B12*'Time Series Scaling Factors'!AA13</f>
        <v>1391413270460278.3</v>
      </c>
      <c r="AB12">
        <f>$B12*'Time Series Scaling Factors'!AB13</f>
        <v>1366144017275554.5</v>
      </c>
    </row>
    <row r="13" spans="1:29">
      <c r="A13" s="1" t="s">
        <v>123</v>
      </c>
      <c r="B13">
        <f>'Start Year Data'!B37</f>
        <v>665276978000000</v>
      </c>
      <c r="C13">
        <f>$B13*'Time Series Scaling Factors'!C14</f>
        <v>684609862988853.25</v>
      </c>
      <c r="D13">
        <f>$B13*'Time Series Scaling Factors'!D14</f>
        <v>691562359912421.63</v>
      </c>
      <c r="E13">
        <f>$B13*'Time Series Scaling Factors'!E14</f>
        <v>701198825768276.88</v>
      </c>
      <c r="F13">
        <f>$B13*'Time Series Scaling Factors'!F14</f>
        <v>699776007328062.63</v>
      </c>
      <c r="G13">
        <f>$B13*'Time Series Scaling Factors'!G14</f>
        <v>700032994930974.63</v>
      </c>
      <c r="H13">
        <f>$B13*'Time Series Scaling Factors'!H14</f>
        <v>696279604875740</v>
      </c>
      <c r="I13">
        <f>$B13*'Time Series Scaling Factors'!I14</f>
        <v>686928371277806</v>
      </c>
      <c r="J13">
        <f>$B13*'Time Series Scaling Factors'!J14</f>
        <v>677023363187444.25</v>
      </c>
      <c r="K13">
        <f>$B13*'Time Series Scaling Factors'!K14</f>
        <v>670331778081291.63</v>
      </c>
      <c r="L13">
        <f>$B13*'Time Series Scaling Factors'!L14</f>
        <v>665883559823406.13</v>
      </c>
      <c r="M13">
        <f>$B13*'Time Series Scaling Factors'!M14</f>
        <v>655093520244686.5</v>
      </c>
      <c r="N13">
        <f>$B13*'Time Series Scaling Factors'!N14</f>
        <v>645506761105880.5</v>
      </c>
      <c r="O13">
        <f>$B13*'Time Series Scaling Factors'!O14</f>
        <v>640354558144835.13</v>
      </c>
      <c r="P13">
        <f>$B13*'Time Series Scaling Factors'!P14</f>
        <v>635904910697716.88</v>
      </c>
      <c r="Q13">
        <f>$B13*'Time Series Scaling Factors'!Q14</f>
        <v>627280238148113.38</v>
      </c>
      <c r="R13">
        <f>$B13*'Time Series Scaling Factors'!R14</f>
        <v>619337482650972</v>
      </c>
      <c r="S13">
        <f>$B13*'Time Series Scaling Factors'!S14</f>
        <v>619161692375325.75</v>
      </c>
      <c r="T13">
        <f>$B13*'Time Series Scaling Factors'!T14</f>
        <v>622059991245454.38</v>
      </c>
      <c r="U13">
        <f>$B13*'Time Series Scaling Factors'!U14</f>
        <v>617766004306990.25</v>
      </c>
      <c r="V13">
        <f>$B13*'Time Series Scaling Factors'!V14</f>
        <v>611182141311323.88</v>
      </c>
      <c r="W13">
        <f>$B13*'Time Series Scaling Factors'!W14</f>
        <v>605478658883121.63</v>
      </c>
      <c r="X13">
        <f>$B13*'Time Series Scaling Factors'!X14</f>
        <v>601691283192399.75</v>
      </c>
      <c r="Y13">
        <f>$B13*'Time Series Scaling Factors'!Y14</f>
        <v>608158170682885.63</v>
      </c>
      <c r="Z13">
        <f>$B13*'Time Series Scaling Factors'!Z14</f>
        <v>605888981534240.75</v>
      </c>
      <c r="AA13">
        <f>$B13*'Time Series Scaling Factors'!AA14</f>
        <v>599878053856141.63</v>
      </c>
      <c r="AB13">
        <f>$B13*'Time Series Scaling Factors'!AB14</f>
        <v>588983756134059.5</v>
      </c>
    </row>
    <row r="14" spans="1:29">
      <c r="A14" s="1" t="s">
        <v>112</v>
      </c>
      <c r="B14">
        <f>'Start Year Data'!B38</f>
        <v>3773600460000000</v>
      </c>
      <c r="C14">
        <f>$B14*'Time Series Scaling Factors'!C15</f>
        <v>3883260926391584</v>
      </c>
      <c r="D14">
        <f>$B14*'Time Series Scaling Factors'!D15</f>
        <v>3922697050677439.5</v>
      </c>
      <c r="E14">
        <f>$B14*'Time Series Scaling Factors'!E15</f>
        <v>3977357249645620</v>
      </c>
      <c r="F14">
        <f>$B14*'Time Series Scaling Factors'!F15</f>
        <v>3969286703845839</v>
      </c>
      <c r="G14">
        <f>$B14*'Time Series Scaling Factors'!G15</f>
        <v>3970744395256532.5</v>
      </c>
      <c r="H14">
        <f>$B14*'Time Series Scaling Factors'!H15</f>
        <v>3949454323741397.5</v>
      </c>
      <c r="I14">
        <f>$B14*'Time Series Scaling Factors'!I15</f>
        <v>3896412026211704.5</v>
      </c>
      <c r="J14">
        <f>$B14*'Time Series Scaling Factors'!J15</f>
        <v>3840228595366916</v>
      </c>
      <c r="K14">
        <f>$B14*'Time Series Scaling Factors'!K15</f>
        <v>3802272421517913.5</v>
      </c>
      <c r="L14">
        <f>$B14*'Time Series Scaling Factors'!L15</f>
        <v>3777041128358484.5</v>
      </c>
      <c r="M14">
        <f>$B14*'Time Series Scaling Factors'!M15</f>
        <v>3715837600107618</v>
      </c>
      <c r="N14">
        <f>$B14*'Time Series Scaling Factors'!N15</f>
        <v>3661459348804132</v>
      </c>
      <c r="O14">
        <f>$B14*'Time Series Scaling Factors'!O15</f>
        <v>3632234896272702</v>
      </c>
      <c r="P14">
        <f>$B14*'Time Series Scaling Factors'!P15</f>
        <v>3606995496430906.5</v>
      </c>
      <c r="Q14">
        <f>$B14*'Time Series Scaling Factors'!Q15</f>
        <v>3558074416374333.5</v>
      </c>
      <c r="R14">
        <f>$B14*'Time Series Scaling Factors'!R15</f>
        <v>3513021323017959.5</v>
      </c>
      <c r="S14">
        <f>$B14*'Time Series Scaling Factors'!S15</f>
        <v>3512024201086826</v>
      </c>
      <c r="T14">
        <f>$B14*'Time Series Scaling Factors'!T15</f>
        <v>3528464003321399.5</v>
      </c>
      <c r="U14">
        <f>$B14*'Time Series Scaling Factors'!U15</f>
        <v>3504107544850620.5</v>
      </c>
      <c r="V14">
        <f>$B14*'Time Series Scaling Factors'!V15</f>
        <v>3466762395009852</v>
      </c>
      <c r="W14">
        <f>$B14*'Time Series Scaling Factors'!W15</f>
        <v>3434410961507119.5</v>
      </c>
      <c r="X14">
        <f>$B14*'Time Series Scaling Factors'!X15</f>
        <v>3412928115833327.5</v>
      </c>
      <c r="Y14">
        <f>$B14*'Time Series Scaling Factors'!Y15</f>
        <v>3449609754332571.5</v>
      </c>
      <c r="Z14">
        <f>$B14*'Time Series Scaling Factors'!Z15</f>
        <v>3436738403754808</v>
      </c>
      <c r="AA14">
        <f>$B14*'Time Series Scaling Factors'!AA15</f>
        <v>3402643071733411</v>
      </c>
      <c r="AB14">
        <f>$B14*'Time Series Scaling Factors'!AB15</f>
        <v>3340848167873945</v>
      </c>
    </row>
    <row r="15" spans="1:29">
      <c r="A15" s="1" t="s">
        <v>148</v>
      </c>
      <c r="B15">
        <f>'Start Year Data'!B39</f>
        <v>0</v>
      </c>
      <c r="C15">
        <f>$B15*'Time Series Scaling Factors'!C16</f>
        <v>0</v>
      </c>
      <c r="D15">
        <f>$B15*'Time Series Scaling Factors'!D16</f>
        <v>0</v>
      </c>
      <c r="E15">
        <f>$B15*'Time Series Scaling Factors'!E16</f>
        <v>0</v>
      </c>
      <c r="F15">
        <f>$B15*'Time Series Scaling Factors'!F16</f>
        <v>0</v>
      </c>
      <c r="G15">
        <f>$B15*'Time Series Scaling Factors'!G16</f>
        <v>0</v>
      </c>
      <c r="H15">
        <f>$B15*'Time Series Scaling Factors'!H16</f>
        <v>0</v>
      </c>
      <c r="I15">
        <f>$B15*'Time Series Scaling Factors'!I16</f>
        <v>0</v>
      </c>
      <c r="J15">
        <f>$B15*'Time Series Scaling Factors'!J16</f>
        <v>0</v>
      </c>
      <c r="K15">
        <f>$B15*'Time Series Scaling Factors'!K16</f>
        <v>0</v>
      </c>
      <c r="L15">
        <f>$B15*'Time Series Scaling Factors'!L16</f>
        <v>0</v>
      </c>
      <c r="M15">
        <f>$B15*'Time Series Scaling Factors'!M16</f>
        <v>0</v>
      </c>
      <c r="N15">
        <f>$B15*'Time Series Scaling Factors'!N16</f>
        <v>0</v>
      </c>
      <c r="O15">
        <f>$B15*'Time Series Scaling Factors'!O16</f>
        <v>0</v>
      </c>
      <c r="P15">
        <f>$B15*'Time Series Scaling Factors'!P16</f>
        <v>0</v>
      </c>
      <c r="Q15">
        <f>$B15*'Time Series Scaling Factors'!Q16</f>
        <v>0</v>
      </c>
      <c r="R15">
        <f>$B15*'Time Series Scaling Factors'!R16</f>
        <v>0</v>
      </c>
      <c r="S15">
        <f>$B15*'Time Series Scaling Factors'!S16</f>
        <v>0</v>
      </c>
      <c r="T15">
        <f>$B15*'Time Series Scaling Factors'!T16</f>
        <v>0</v>
      </c>
      <c r="U15">
        <f>$B15*'Time Series Scaling Factors'!U16</f>
        <v>0</v>
      </c>
      <c r="V15">
        <f>$B15*'Time Series Scaling Factors'!V16</f>
        <v>0</v>
      </c>
      <c r="W15">
        <f>$B15*'Time Series Scaling Factors'!W16</f>
        <v>0</v>
      </c>
      <c r="X15">
        <f>$B15*'Time Series Scaling Factors'!X16</f>
        <v>0</v>
      </c>
      <c r="Y15">
        <f>$B15*'Time Series Scaling Factors'!Y16</f>
        <v>0</v>
      </c>
      <c r="Z15">
        <f>$B15*'Time Series Scaling Factors'!Z16</f>
        <v>0</v>
      </c>
      <c r="AA15">
        <f>$B15*'Time Series Scaling Factors'!AA16</f>
        <v>0</v>
      </c>
      <c r="AB15">
        <f>$B15*'Time Series Scaling Factors'!AB16</f>
        <v>0</v>
      </c>
    </row>
    <row r="16" spans="1:29">
      <c r="A16" s="1" t="s">
        <v>125</v>
      </c>
      <c r="B16">
        <f>'Start Year Data'!B40</f>
        <v>0</v>
      </c>
      <c r="C16">
        <f>$B16*'Time Series Scaling Factors'!C17</f>
        <v>0</v>
      </c>
      <c r="D16">
        <f>$B16*'Time Series Scaling Factors'!D17</f>
        <v>0</v>
      </c>
      <c r="E16">
        <f>$B16*'Time Series Scaling Factors'!E17</f>
        <v>0</v>
      </c>
      <c r="F16">
        <f>$B16*'Time Series Scaling Factors'!F17</f>
        <v>0</v>
      </c>
      <c r="G16">
        <f>$B16*'Time Series Scaling Factors'!G17</f>
        <v>0</v>
      </c>
      <c r="H16">
        <f>$B16*'Time Series Scaling Factors'!H17</f>
        <v>0</v>
      </c>
      <c r="I16">
        <f>$B16*'Time Series Scaling Factors'!I17</f>
        <v>0</v>
      </c>
      <c r="J16">
        <f>$B16*'Time Series Scaling Factors'!J17</f>
        <v>0</v>
      </c>
      <c r="K16">
        <f>$B16*'Time Series Scaling Factors'!K17</f>
        <v>0</v>
      </c>
      <c r="L16">
        <f>$B16*'Time Series Scaling Factors'!L17</f>
        <v>0</v>
      </c>
      <c r="M16">
        <f>$B16*'Time Series Scaling Factors'!M17</f>
        <v>0</v>
      </c>
      <c r="N16">
        <f>$B16*'Time Series Scaling Factors'!N17</f>
        <v>0</v>
      </c>
      <c r="O16">
        <f>$B16*'Time Series Scaling Factors'!O17</f>
        <v>0</v>
      </c>
      <c r="P16">
        <f>$B16*'Time Series Scaling Factors'!P17</f>
        <v>0</v>
      </c>
      <c r="Q16">
        <f>$B16*'Time Series Scaling Factors'!Q17</f>
        <v>0</v>
      </c>
      <c r="R16">
        <f>$B16*'Time Series Scaling Factors'!R17</f>
        <v>0</v>
      </c>
      <c r="S16">
        <f>$B16*'Time Series Scaling Factors'!S17</f>
        <v>0</v>
      </c>
      <c r="T16">
        <f>$B16*'Time Series Scaling Factors'!T17</f>
        <v>0</v>
      </c>
      <c r="U16">
        <f>$B16*'Time Series Scaling Factors'!U17</f>
        <v>0</v>
      </c>
      <c r="V16">
        <f>$B16*'Time Series Scaling Factors'!V17</f>
        <v>0</v>
      </c>
      <c r="W16">
        <f>$B16*'Time Series Scaling Factors'!W17</f>
        <v>0</v>
      </c>
      <c r="X16">
        <f>$B16*'Time Series Scaling Factors'!X17</f>
        <v>0</v>
      </c>
      <c r="Y16">
        <f>$B16*'Time Series Scaling Factors'!Y17</f>
        <v>0</v>
      </c>
      <c r="Z16">
        <f>$B16*'Time Series Scaling Factors'!Z17</f>
        <v>0</v>
      </c>
      <c r="AA16">
        <f>$B16*'Time Series Scaling Factors'!AA17</f>
        <v>0</v>
      </c>
      <c r="AB16">
        <f>$B16*'Time Series Scaling Factors'!AB17</f>
        <v>0</v>
      </c>
    </row>
    <row r="17" spans="1:28">
      <c r="A17" s="1" t="s">
        <v>126</v>
      </c>
      <c r="B17">
        <f>'Start Year Data'!B41</f>
        <v>519912402325620.44</v>
      </c>
      <c r="C17">
        <f>$B17*'Time Series Scaling Factors'!C18</f>
        <v>513156025467135.13</v>
      </c>
      <c r="D17">
        <f>$B17*'Time Series Scaling Factors'!D18</f>
        <v>470713585807483.5</v>
      </c>
      <c r="E17">
        <f>$B17*'Time Series Scaling Factors'!E18</f>
        <v>419224588801219</v>
      </c>
      <c r="F17">
        <f>$B17*'Time Series Scaling Factors'!F18</f>
        <v>417095423966217.81</v>
      </c>
      <c r="G17">
        <f>$B17*'Time Series Scaling Factors'!G18</f>
        <v>399668049991674.56</v>
      </c>
      <c r="H17">
        <f>$B17*'Time Series Scaling Factors'!H18</f>
        <v>358805073096127.94</v>
      </c>
      <c r="I17">
        <f>$B17*'Time Series Scaling Factors'!I18</f>
        <v>343775915592133.75</v>
      </c>
      <c r="J17">
        <f>$B17*'Time Series Scaling Factors'!J18</f>
        <v>218472409904140.34</v>
      </c>
      <c r="K17">
        <f>$B17*'Time Series Scaling Factors'!K18</f>
        <v>218451643494017.09</v>
      </c>
      <c r="L17">
        <f>$B17*'Time Series Scaling Factors'!L18</f>
        <v>216158322719480.78</v>
      </c>
      <c r="M17">
        <f>$B17*'Time Series Scaling Factors'!M18</f>
        <v>217714081386176.69</v>
      </c>
      <c r="N17">
        <f>$B17*'Time Series Scaling Factors'!N18</f>
        <v>214047442455344.16</v>
      </c>
      <c r="O17">
        <f>$B17*'Time Series Scaling Factors'!O18</f>
        <v>214665471080524</v>
      </c>
      <c r="P17">
        <f>$B17*'Time Series Scaling Factors'!P18</f>
        <v>210780683543835.94</v>
      </c>
      <c r="Q17">
        <f>$B17*'Time Series Scaling Factors'!Q18</f>
        <v>195387202166630.94</v>
      </c>
      <c r="R17">
        <f>$B17*'Time Series Scaling Factors'!R18</f>
        <v>197171087445997.72</v>
      </c>
      <c r="S17">
        <f>$B17*'Time Series Scaling Factors'!S18</f>
        <v>194965947939813.97</v>
      </c>
      <c r="T17">
        <f>$B17*'Time Series Scaling Factors'!T18</f>
        <v>195187844629447.88</v>
      </c>
      <c r="U17">
        <f>$B17*'Time Series Scaling Factors'!U18</f>
        <v>195765657328681.72</v>
      </c>
      <c r="V17">
        <f>$B17*'Time Series Scaling Factors'!V18</f>
        <v>196307255434651.88</v>
      </c>
      <c r="W17">
        <f>$B17*'Time Series Scaling Factors'!W18</f>
        <v>198406638198549.53</v>
      </c>
      <c r="X17">
        <f>$B17*'Time Series Scaling Factors'!X18</f>
        <v>191510366645526.63</v>
      </c>
      <c r="Y17">
        <f>$B17*'Time Series Scaling Factors'!Y18</f>
        <v>193238537166026.19</v>
      </c>
      <c r="Z17">
        <f>$B17*'Time Series Scaling Factors'!Z18</f>
        <v>193724217914006</v>
      </c>
      <c r="AA17">
        <f>$B17*'Time Series Scaling Factors'!AA18</f>
        <v>194632723032007.19</v>
      </c>
      <c r="AB17">
        <f>$B17*'Time Series Scaling Factors'!AB18</f>
        <v>192330842444517.59</v>
      </c>
    </row>
    <row r="18" spans="1:28">
      <c r="A18" s="1" t="s">
        <v>113</v>
      </c>
      <c r="B18">
        <f>'Start Year Data'!B42</f>
        <v>2.7585282080342E+16</v>
      </c>
      <c r="C18">
        <f>$B18*'Time Series Scaling Factors'!C19</f>
        <v>2.8386907724216792E+16</v>
      </c>
      <c r="D18">
        <f>$B18*'Time Series Scaling Factors'!D19</f>
        <v>2.8675188538286E+16</v>
      </c>
      <c r="E18">
        <f>$B18*'Time Series Scaling Factors'!E19</f>
        <v>2.9074758398181788E+16</v>
      </c>
      <c r="F18">
        <f>$B18*'Time Series Scaling Factors'!F19</f>
        <v>2.901576214651468E+16</v>
      </c>
      <c r="G18">
        <f>$B18*'Time Series Scaling Factors'!G19</f>
        <v>2.90264179722112E+16</v>
      </c>
      <c r="H18">
        <f>$B18*'Time Series Scaling Factors'!H19</f>
        <v>2.8870786067222604E+16</v>
      </c>
      <c r="I18">
        <f>$B18*'Time Series Scaling Factors'!I19</f>
        <v>2.848304317948032E+16</v>
      </c>
      <c r="J18">
        <f>$B18*'Time Series Scaling Factors'!J19</f>
        <v>2.8072338388519252E+16</v>
      </c>
      <c r="K18">
        <f>$B18*'Time Series Scaling Factors'!K19</f>
        <v>2.7794876115177464E+16</v>
      </c>
      <c r="L18">
        <f>$B18*'Time Series Scaling Factors'!L19</f>
        <v>2.761043360558156E+16</v>
      </c>
      <c r="M18">
        <f>$B18*'Time Series Scaling Factors'!M19</f>
        <v>2.7163031553083312E+16</v>
      </c>
      <c r="N18">
        <f>$B18*'Time Series Scaling Factors'!N19</f>
        <v>2.6765522750245616E+16</v>
      </c>
      <c r="O18">
        <f>$B18*'Time Series Scaling Factors'!O19</f>
        <v>2.6551889967636968E+16</v>
      </c>
      <c r="P18">
        <f>$B18*'Time Series Scaling Factors'!P19</f>
        <v>2.636738819762858E+16</v>
      </c>
      <c r="Q18">
        <f>$B18*'Time Series Scaling Factors'!Q19</f>
        <v>2.6009771696533612E+16</v>
      </c>
      <c r="R18">
        <f>$B18*'Time Series Scaling Factors'!R19</f>
        <v>2.5680430447506004E+16</v>
      </c>
      <c r="S18">
        <f>$B18*'Time Series Scaling Factors'!S19</f>
        <v>2.5673141416769872E+16</v>
      </c>
      <c r="T18">
        <f>$B18*'Time Series Scaling Factors'!T19</f>
        <v>2.5793317515642236E+16</v>
      </c>
      <c r="U18">
        <f>$B18*'Time Series Scaling Factors'!U19</f>
        <v>2.561527010852628E+16</v>
      </c>
      <c r="V18">
        <f>$B18*'Time Series Scaling Factors'!V19</f>
        <v>2.5342274463224116E+16</v>
      </c>
      <c r="W18">
        <f>$B18*'Time Series Scaling Factors'!W19</f>
        <v>2.5105783232015104E+16</v>
      </c>
      <c r="X18">
        <f>$B18*'Time Series Scaling Factors'!X19</f>
        <v>2.49487421345058E+16</v>
      </c>
      <c r="Y18">
        <f>$B18*'Time Series Scaling Factors'!Y19</f>
        <v>2.5216887465707816E+16</v>
      </c>
      <c r="Z18">
        <f>$B18*'Time Series Scaling Factors'!Z19</f>
        <v>2.512279699688204E+16</v>
      </c>
      <c r="AA18">
        <f>$B18*'Time Series Scaling Factors'!AA19</f>
        <v>2.487355774609152E+16</v>
      </c>
      <c r="AB18">
        <f>$B18*'Time Series Scaling Factors'!AB19</f>
        <v>2.4421832696722892E+16</v>
      </c>
    </row>
    <row r="19" spans="1:28">
      <c r="A19" s="1" t="s">
        <v>127</v>
      </c>
      <c r="B19">
        <f>'Start Year Data'!B43</f>
        <v>727701389000000</v>
      </c>
      <c r="C19">
        <f>$B19*'Time Series Scaling Factors'!C20</f>
        <v>748848321368018.5</v>
      </c>
      <c r="D19">
        <f>$B19*'Time Series Scaling Factors'!D20</f>
        <v>756453186462717.38</v>
      </c>
      <c r="E19">
        <f>$B19*'Time Series Scaling Factors'!E20</f>
        <v>766993863233824.5</v>
      </c>
      <c r="F19">
        <f>$B19*'Time Series Scaling Factors'!F20</f>
        <v>765437538590889.5</v>
      </c>
      <c r="G19">
        <f>$B19*'Time Series Scaling Factors'!G20</f>
        <v>765718639909256.25</v>
      </c>
      <c r="H19">
        <f>$B19*'Time Series Scaling Factors'!H20</f>
        <v>761613060959471.75</v>
      </c>
      <c r="I19">
        <f>$B19*'Time Series Scaling Factors'!I20</f>
        <v>751384380420221.25</v>
      </c>
      <c r="J19">
        <f>$B19*'Time Series Scaling Factors'!J20</f>
        <v>740549963502501.75</v>
      </c>
      <c r="K19">
        <f>$B19*'Time Series Scaling Factors'!K20</f>
        <v>733230492158403.88</v>
      </c>
      <c r="L19">
        <f>$B19*'Time Series Scaling Factors'!L20</f>
        <v>728364887738167.38</v>
      </c>
      <c r="M19">
        <f>$B19*'Time Series Scaling Factors'!M20</f>
        <v>716562394869100.75</v>
      </c>
      <c r="N19">
        <f>$B19*'Time Series Scaling Factors'!N20</f>
        <v>706076088906296.75</v>
      </c>
      <c r="O19">
        <f>$B19*'Time Series Scaling Factors'!O20</f>
        <v>700440443340394.38</v>
      </c>
      <c r="P19">
        <f>$B19*'Time Series Scaling Factors'!P20</f>
        <v>695573275626936.75</v>
      </c>
      <c r="Q19">
        <f>$B19*'Time Series Scaling Factors'!Q20</f>
        <v>686139330966947.88</v>
      </c>
      <c r="R19">
        <f>$B19*'Time Series Scaling Factors'!R20</f>
        <v>677451289145429.75</v>
      </c>
      <c r="S19">
        <f>$B19*'Time Series Scaling Factors'!S20</f>
        <v>677259004079223.13</v>
      </c>
      <c r="T19">
        <f>$B19*'Time Series Scaling Factors'!T20</f>
        <v>680429256745819.63</v>
      </c>
      <c r="U19">
        <f>$B19*'Time Series Scaling Factors'!U20</f>
        <v>675732355510995.63</v>
      </c>
      <c r="V19">
        <f>$B19*'Time Series Scaling Factors'!V20</f>
        <v>668530714081383.13</v>
      </c>
      <c r="W19">
        <f>$B19*'Time Series Scaling Factors'!W20</f>
        <v>662292061276025.13</v>
      </c>
      <c r="X19">
        <f>$B19*'Time Series Scaling Factors'!X20</f>
        <v>658149307743370.75</v>
      </c>
      <c r="Y19">
        <f>$B19*'Time Series Scaling Factors'!Y20</f>
        <v>665222997597302.88</v>
      </c>
      <c r="Z19">
        <f>$B19*'Time Series Scaling Factors'!Z20</f>
        <v>662740885409478.88</v>
      </c>
      <c r="AA19">
        <f>$B19*'Time Series Scaling Factors'!AA20</f>
        <v>656165939086097.63</v>
      </c>
      <c r="AB19">
        <f>$B19*'Time Series Scaling Factors'!AB20</f>
        <v>644249405301369.63</v>
      </c>
    </row>
    <row r="20" spans="1:28">
      <c r="A20" s="1" t="s">
        <v>114</v>
      </c>
      <c r="B20">
        <f>'Start Year Data'!B44</f>
        <v>8513639275680000</v>
      </c>
      <c r="C20">
        <f>$B20*'Time Series Scaling Factors'!C21</f>
        <v>8615520996908133</v>
      </c>
      <c r="D20">
        <f>$B20*'Time Series Scaling Factors'!D21</f>
        <v>9163277661720546</v>
      </c>
      <c r="E20">
        <f>$B20*'Time Series Scaling Factors'!E21</f>
        <v>9410776356000256</v>
      </c>
      <c r="F20">
        <f>$B20*'Time Series Scaling Factors'!F21</f>
        <v>9390792344089812</v>
      </c>
      <c r="G20">
        <f>$B20*'Time Series Scaling Factors'!G21</f>
        <v>9416095019486424</v>
      </c>
      <c r="H20">
        <f>$B20*'Time Series Scaling Factors'!H21</f>
        <v>9483664317902044</v>
      </c>
      <c r="I20">
        <f>$B20*'Time Series Scaling Factors'!I21</f>
        <v>9379265083266444</v>
      </c>
      <c r="J20">
        <f>$B20*'Time Series Scaling Factors'!J21</f>
        <v>9502904021500718</v>
      </c>
      <c r="K20">
        <f>$B20*'Time Series Scaling Factors'!K21</f>
        <v>9611469288720238</v>
      </c>
      <c r="L20">
        <f>$B20*'Time Series Scaling Factors'!L21</f>
        <v>9669295001218198</v>
      </c>
      <c r="M20">
        <f>$B20*'Time Series Scaling Factors'!M21</f>
        <v>9896259542661370</v>
      </c>
      <c r="N20">
        <f>$B20*'Time Series Scaling Factors'!N21</f>
        <v>9892514206079756</v>
      </c>
      <c r="O20">
        <f>$B20*'Time Series Scaling Factors'!O21</f>
        <v>9957785857098168</v>
      </c>
      <c r="P20">
        <f>$B20*'Time Series Scaling Factors'!P21</f>
        <v>1.0074553744561744E+16</v>
      </c>
      <c r="Q20">
        <f>$B20*'Time Series Scaling Factors'!Q21</f>
        <v>1.005133360955664E+16</v>
      </c>
      <c r="R20">
        <f>$B20*'Time Series Scaling Factors'!R21</f>
        <v>1.0043240446417254E+16</v>
      </c>
      <c r="S20">
        <f>$B20*'Time Series Scaling Factors'!S21</f>
        <v>1.007595765090428E+16</v>
      </c>
      <c r="T20">
        <f>$B20*'Time Series Scaling Factors'!T21</f>
        <v>1.0139727360086406E+16</v>
      </c>
      <c r="U20">
        <f>$B20*'Time Series Scaling Factors'!U21</f>
        <v>1.0205216973513252E+16</v>
      </c>
      <c r="V20">
        <f>$B20*'Time Series Scaling Factors'!V21</f>
        <v>1.0258743401299864E+16</v>
      </c>
      <c r="W20">
        <f>$B20*'Time Series Scaling Factors'!W21</f>
        <v>1.0329296595568944E+16</v>
      </c>
      <c r="X20">
        <f>$B20*'Time Series Scaling Factors'!X21</f>
        <v>1.0431702759098596E+16</v>
      </c>
      <c r="Y20">
        <f>$B20*'Time Series Scaling Factors'!Y21</f>
        <v>1.0522788202602394E+16</v>
      </c>
      <c r="Z20">
        <f>$B20*'Time Series Scaling Factors'!Z21</f>
        <v>1.05569692768893E+16</v>
      </c>
      <c r="AA20">
        <f>$B20*'Time Series Scaling Factors'!AA21</f>
        <v>1.0557795440079352E+16</v>
      </c>
      <c r="AB20">
        <f>$B20*'Time Series Scaling Factors'!AB21</f>
        <v>1.052561124410203E+16</v>
      </c>
    </row>
    <row r="21" spans="1:28">
      <c r="A21" s="1" t="s">
        <v>128</v>
      </c>
      <c r="B21">
        <f>'Start Year Data'!B45</f>
        <v>3966365818605251.5</v>
      </c>
      <c r="C21">
        <f>$B21*'Time Series Scaling Factors'!C22</f>
        <v>4131738748494136</v>
      </c>
      <c r="D21">
        <f>$B21*'Time Series Scaling Factors'!D22</f>
        <v>1922073976382629.3</v>
      </c>
      <c r="E21">
        <f>$B21*'Time Series Scaling Factors'!E22</f>
        <v>1918516791761551.5</v>
      </c>
      <c r="F21">
        <f>$B21*'Time Series Scaling Factors'!F22</f>
        <v>1747037167224810.5</v>
      </c>
      <c r="G21">
        <f>$B21*'Time Series Scaling Factors'!G22</f>
        <v>1692932972283238</v>
      </c>
      <c r="H21">
        <f>$B21*'Time Series Scaling Factors'!H22</f>
        <v>1699767431915866</v>
      </c>
      <c r="I21">
        <f>$B21*'Time Series Scaling Factors'!I22</f>
        <v>1699702119673643</v>
      </c>
      <c r="J21">
        <f>$B21*'Time Series Scaling Factors'!J22</f>
        <v>1411187622233325.5</v>
      </c>
      <c r="K21">
        <f>$B21*'Time Series Scaling Factors'!K22</f>
        <v>1411187622233325.5</v>
      </c>
      <c r="L21">
        <f>$B21*'Time Series Scaling Factors'!L22</f>
        <v>1411187622233325.5</v>
      </c>
      <c r="M21">
        <f>$B21*'Time Series Scaling Factors'!M22</f>
        <v>1411187622233325.5</v>
      </c>
      <c r="N21">
        <f>$B21*'Time Series Scaling Factors'!N22</f>
        <v>1411187622233325.5</v>
      </c>
      <c r="O21">
        <f>$B21*'Time Series Scaling Factors'!O22</f>
        <v>1411187622233325.5</v>
      </c>
      <c r="P21">
        <f>$B21*'Time Series Scaling Factors'!P22</f>
        <v>1411187622233325.5</v>
      </c>
      <c r="Q21">
        <f>$B21*'Time Series Scaling Factors'!Q22</f>
        <v>1411187622233325.5</v>
      </c>
      <c r="R21">
        <f>$B21*'Time Series Scaling Factors'!R22</f>
        <v>1411187622233325.5</v>
      </c>
      <c r="S21">
        <f>$B21*'Time Series Scaling Factors'!S22</f>
        <v>1411187622233325.5</v>
      </c>
      <c r="T21">
        <f>$B21*'Time Series Scaling Factors'!T22</f>
        <v>1411187622233325.5</v>
      </c>
      <c r="U21">
        <f>$B21*'Time Series Scaling Factors'!U22</f>
        <v>1411187622233325.5</v>
      </c>
      <c r="V21">
        <f>$B21*'Time Series Scaling Factors'!V22</f>
        <v>1411187622233325.5</v>
      </c>
      <c r="W21">
        <f>$B21*'Time Series Scaling Factors'!W22</f>
        <v>1411187622233325.5</v>
      </c>
      <c r="X21">
        <f>$B21*'Time Series Scaling Factors'!X22</f>
        <v>1411187622233325.5</v>
      </c>
      <c r="Y21">
        <f>$B21*'Time Series Scaling Factors'!Y22</f>
        <v>1411187622233325.5</v>
      </c>
      <c r="Z21">
        <f>$B21*'Time Series Scaling Factors'!Z22</f>
        <v>1411187622233325.5</v>
      </c>
      <c r="AA21">
        <f>$B21*'Time Series Scaling Factors'!AA22</f>
        <v>1411187622233325.5</v>
      </c>
      <c r="AB21">
        <f>$B21*'Time Series Scaling Factors'!AB22</f>
        <v>1411187622233325.5</v>
      </c>
    </row>
    <row r="22" spans="1:28">
      <c r="A22" s="1" t="s">
        <v>129</v>
      </c>
      <c r="B22">
        <f>'Start Year Data'!B46</f>
        <v>772086274509804</v>
      </c>
      <c r="C22">
        <f>$B22*'Time Series Scaling Factors'!C23</f>
        <v>783369261832173.38</v>
      </c>
      <c r="D22">
        <f>$B22*'Time Series Scaling Factors'!D23</f>
        <v>800255470761470.25</v>
      </c>
      <c r="E22">
        <f>$B22*'Time Series Scaling Factors'!E23</f>
        <v>805475272080428.13</v>
      </c>
      <c r="F22">
        <f>$B22*'Time Series Scaling Factors'!F23</f>
        <v>805184574167408.5</v>
      </c>
      <c r="G22">
        <f>$B22*'Time Series Scaling Factors'!G23</f>
        <v>807978432771627.75</v>
      </c>
      <c r="H22">
        <f>$B22*'Time Series Scaling Factors'!H23</f>
        <v>815741430015958.63</v>
      </c>
      <c r="I22">
        <f>$B22*'Time Series Scaling Factors'!I23</f>
        <v>822819489375120.63</v>
      </c>
      <c r="J22">
        <f>$B22*'Time Series Scaling Factors'!J23</f>
        <v>830447672756841.63</v>
      </c>
      <c r="K22">
        <f>$B22*'Time Series Scaling Factors'!K23</f>
        <v>834997811151964.88</v>
      </c>
      <c r="L22">
        <f>$B22*'Time Series Scaling Factors'!L23</f>
        <v>839170031102595.88</v>
      </c>
      <c r="M22">
        <f>$B22*'Time Series Scaling Factors'!M23</f>
        <v>843257784808634.88</v>
      </c>
      <c r="N22">
        <f>$B22*'Time Series Scaling Factors'!N23</f>
        <v>850139297668062.13</v>
      </c>
      <c r="O22">
        <f>$B22*'Time Series Scaling Factors'!O23</f>
        <v>854801729240085.25</v>
      </c>
      <c r="P22">
        <f>$B22*'Time Series Scaling Factors'!P23</f>
        <v>860006820952732.88</v>
      </c>
      <c r="Q22">
        <f>$B22*'Time Series Scaling Factors'!Q23</f>
        <v>864538792203405.63</v>
      </c>
      <c r="R22">
        <f>$B22*'Time Series Scaling Factors'!R23</f>
        <v>865495767664930.88</v>
      </c>
      <c r="S22">
        <f>$B22*'Time Series Scaling Factors'!S23</f>
        <v>867568758364743.88</v>
      </c>
      <c r="T22">
        <f>$B22*'Time Series Scaling Factors'!T23</f>
        <v>868743106726951.88</v>
      </c>
      <c r="U22">
        <f>$B22*'Time Series Scaling Factors'!U23</f>
        <v>873101010210099.13</v>
      </c>
      <c r="V22">
        <f>$B22*'Time Series Scaling Factors'!V23</f>
        <v>877296396439239.63</v>
      </c>
      <c r="W22">
        <f>$B22*'Time Series Scaling Factors'!W23</f>
        <v>881890711287793.88</v>
      </c>
      <c r="X22">
        <f>$B22*'Time Series Scaling Factors'!X23</f>
        <v>885474800263925.75</v>
      </c>
      <c r="Y22">
        <f>$B22*'Time Series Scaling Factors'!Y23</f>
        <v>886605746676456.88</v>
      </c>
      <c r="Z22">
        <f>$B22*'Time Series Scaling Factors'!Z23</f>
        <v>887879810180380</v>
      </c>
      <c r="AA22">
        <f>$B22*'Time Series Scaling Factors'!AA23</f>
        <v>887793825572691.88</v>
      </c>
      <c r="AB22">
        <f>$B22*'Time Series Scaling Factors'!AB23</f>
        <v>888154563026549</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C22"/>
  <sheetViews>
    <sheetView workbookViewId="0"/>
  </sheetViews>
  <sheetFormatPr defaultRowHeight="14.5"/>
  <cols>
    <col min="1" max="1" width="36.26953125" customWidth="1"/>
    <col min="2" max="30" width="13" customWidth="1"/>
  </cols>
  <sheetData>
    <row r="1" spans="1:29">
      <c r="A1" s="24" t="s">
        <v>454</v>
      </c>
      <c r="B1" s="18">
        <v>2024</v>
      </c>
      <c r="C1" s="18">
        <v>2025</v>
      </c>
      <c r="D1" s="18">
        <v>2026</v>
      </c>
      <c r="E1" s="18">
        <v>2027</v>
      </c>
      <c r="F1" s="18">
        <v>2028</v>
      </c>
      <c r="G1" s="18">
        <v>2029</v>
      </c>
      <c r="H1" s="18">
        <v>2030</v>
      </c>
      <c r="I1" s="18">
        <v>2031</v>
      </c>
      <c r="J1" s="18">
        <v>2032</v>
      </c>
      <c r="K1" s="18">
        <v>2033</v>
      </c>
      <c r="L1" s="18">
        <v>2034</v>
      </c>
      <c r="M1" s="18">
        <v>2035</v>
      </c>
      <c r="N1" s="18">
        <v>2036</v>
      </c>
      <c r="O1" s="18">
        <v>2037</v>
      </c>
      <c r="P1" s="18">
        <v>2038</v>
      </c>
      <c r="Q1" s="18">
        <v>2039</v>
      </c>
      <c r="R1" s="18">
        <v>2040</v>
      </c>
      <c r="S1" s="18">
        <v>2041</v>
      </c>
      <c r="T1" s="18">
        <v>2042</v>
      </c>
      <c r="U1" s="18">
        <v>2043</v>
      </c>
      <c r="V1" s="18">
        <v>2044</v>
      </c>
      <c r="W1" s="18">
        <v>2045</v>
      </c>
      <c r="X1" s="18">
        <v>2046</v>
      </c>
      <c r="Y1" s="18">
        <v>2047</v>
      </c>
      <c r="Z1" s="18">
        <v>2048</v>
      </c>
      <c r="AA1" s="18">
        <v>2049</v>
      </c>
      <c r="AB1" s="18">
        <v>2050</v>
      </c>
      <c r="AC1" s="18"/>
    </row>
    <row r="2" spans="1:29">
      <c r="A2" s="24" t="s">
        <v>115</v>
      </c>
      <c r="B2">
        <f>'Start Year Data'!C26</f>
        <v>0</v>
      </c>
      <c r="C2">
        <f>$B2*'Time Series Scaling Factors'!C28</f>
        <v>0</v>
      </c>
      <c r="D2">
        <f>$B2*'Time Series Scaling Factors'!D28</f>
        <v>0</v>
      </c>
      <c r="E2">
        <f>$B2*'Time Series Scaling Factors'!E28</f>
        <v>0</v>
      </c>
      <c r="F2">
        <f>$B2*'Time Series Scaling Factors'!F28</f>
        <v>0</v>
      </c>
      <c r="G2">
        <f>$B2*'Time Series Scaling Factors'!G28</f>
        <v>0</v>
      </c>
      <c r="H2">
        <f>$B2*'Time Series Scaling Factors'!H28</f>
        <v>0</v>
      </c>
      <c r="I2">
        <f>$B2*'Time Series Scaling Factors'!I28</f>
        <v>0</v>
      </c>
      <c r="J2">
        <f>$B2*'Time Series Scaling Factors'!J28</f>
        <v>0</v>
      </c>
      <c r="K2">
        <f>$B2*'Time Series Scaling Factors'!K28</f>
        <v>0</v>
      </c>
      <c r="L2">
        <f>$B2*'Time Series Scaling Factors'!L28</f>
        <v>0</v>
      </c>
      <c r="M2">
        <f>$B2*'Time Series Scaling Factors'!M28</f>
        <v>0</v>
      </c>
      <c r="N2">
        <f>$B2*'Time Series Scaling Factors'!N28</f>
        <v>0</v>
      </c>
      <c r="O2">
        <f>$B2*'Time Series Scaling Factors'!O28</f>
        <v>0</v>
      </c>
      <c r="P2">
        <f>$B2*'Time Series Scaling Factors'!P28</f>
        <v>0</v>
      </c>
      <c r="Q2">
        <f>$B2*'Time Series Scaling Factors'!Q28</f>
        <v>0</v>
      </c>
      <c r="R2">
        <f>$B2*'Time Series Scaling Factors'!R28</f>
        <v>0</v>
      </c>
      <c r="S2">
        <f>$B2*'Time Series Scaling Factors'!S28</f>
        <v>0</v>
      </c>
      <c r="T2">
        <f>$B2*'Time Series Scaling Factors'!T28</f>
        <v>0</v>
      </c>
      <c r="U2">
        <f>$B2*'Time Series Scaling Factors'!U28</f>
        <v>0</v>
      </c>
      <c r="V2">
        <f>$B2*'Time Series Scaling Factors'!V28</f>
        <v>0</v>
      </c>
      <c r="W2">
        <f>$B2*'Time Series Scaling Factors'!W28</f>
        <v>0</v>
      </c>
      <c r="X2">
        <f>$B2*'Time Series Scaling Factors'!X28</f>
        <v>0</v>
      </c>
      <c r="Y2">
        <f>$B2*'Time Series Scaling Factors'!Y28</f>
        <v>0</v>
      </c>
      <c r="Z2">
        <f>$B2*'Time Series Scaling Factors'!Z28</f>
        <v>0</v>
      </c>
      <c r="AA2">
        <f>$B2*'Time Series Scaling Factors'!AA28</f>
        <v>0</v>
      </c>
      <c r="AB2">
        <f>$B2*'Time Series Scaling Factors'!AB28</f>
        <v>0</v>
      </c>
    </row>
    <row r="3" spans="1:29">
      <c r="A3" s="1" t="s">
        <v>116</v>
      </c>
      <c r="B3">
        <f>'Start Year Data'!C27</f>
        <v>39271857858308</v>
      </c>
      <c r="C3">
        <f>$B3*'Time Series Scaling Factors'!C29</f>
        <v>57194349722468.891</v>
      </c>
      <c r="D3">
        <f>$B3*'Time Series Scaling Factors'!D29</f>
        <v>68154534330771.031</v>
      </c>
      <c r="E3">
        <f>$B3*'Time Series Scaling Factors'!E29</f>
        <v>91852022857986.781</v>
      </c>
      <c r="F3">
        <f>$B3*'Time Series Scaling Factors'!F29</f>
        <v>109497133665729.48</v>
      </c>
      <c r="G3">
        <f>$B3*'Time Series Scaling Factors'!G29</f>
        <v>117458696560888.27</v>
      </c>
      <c r="H3">
        <f>$B3*'Time Series Scaling Factors'!H29</f>
        <v>128745840349714.16</v>
      </c>
      <c r="I3">
        <f>$B3*'Time Series Scaling Factors'!I29</f>
        <v>131754719605775.91</v>
      </c>
      <c r="J3">
        <f>$B3*'Time Series Scaling Factors'!J29</f>
        <v>134764026259459.23</v>
      </c>
      <c r="K3">
        <f>$B3*'Time Series Scaling Factors'!K29</f>
        <v>138158845567825.47</v>
      </c>
      <c r="L3">
        <f>$B3*'Time Series Scaling Factors'!L29</f>
        <v>139361542475006.97</v>
      </c>
      <c r="M3">
        <f>$B3*'Time Series Scaling Factors'!M29</f>
        <v>141185675523994.41</v>
      </c>
      <c r="N3">
        <f>$B3*'Time Series Scaling Factors'!N29</f>
        <v>137871634366110.48</v>
      </c>
      <c r="O3">
        <f>$B3*'Time Series Scaling Factors'!O29</f>
        <v>136277868635165.28</v>
      </c>
      <c r="P3">
        <f>$B3*'Time Series Scaling Factors'!P29</f>
        <v>135529922797365.88</v>
      </c>
      <c r="Q3">
        <f>$B3*'Time Series Scaling Factors'!Q29</f>
        <v>132161602141538.8</v>
      </c>
      <c r="R3">
        <f>$B3*'Time Series Scaling Factors'!R29</f>
        <v>134240036775378.03</v>
      </c>
      <c r="S3">
        <f>$B3*'Time Series Scaling Factors'!S29</f>
        <v>134849505783779.17</v>
      </c>
      <c r="T3">
        <f>$B3*'Time Series Scaling Factors'!T29</f>
        <v>133796825441779.16</v>
      </c>
      <c r="U3">
        <f>$B3*'Time Series Scaling Factors'!U29</f>
        <v>125286056602864.77</v>
      </c>
      <c r="V3">
        <f>$B3*'Time Series Scaling Factors'!V29</f>
        <v>124668039642031.64</v>
      </c>
      <c r="W3">
        <f>$B3*'Time Series Scaling Factors'!W29</f>
        <v>123649978507381.2</v>
      </c>
      <c r="X3">
        <f>$B3*'Time Series Scaling Factors'!X29</f>
        <v>116756909666221.61</v>
      </c>
      <c r="Y3">
        <f>$B3*'Time Series Scaling Factors'!Y29</f>
        <v>112086735855001.92</v>
      </c>
      <c r="Z3">
        <f>$B3*'Time Series Scaling Factors'!Z29</f>
        <v>109237275911796.88</v>
      </c>
      <c r="AA3">
        <f>$B3*'Time Series Scaling Factors'!AA29</f>
        <v>104937228440882.5</v>
      </c>
      <c r="AB3">
        <f>$B3*'Time Series Scaling Factors'!AB29</f>
        <v>101057740229622.23</v>
      </c>
    </row>
    <row r="4" spans="1:29">
      <c r="A4" s="1" t="s">
        <v>106</v>
      </c>
      <c r="B4">
        <f>'Start Year Data'!C28</f>
        <v>3087353000000000</v>
      </c>
      <c r="C4">
        <f>$B4*'Time Series Scaling Factors'!C30</f>
        <v>2928516000000000.5</v>
      </c>
      <c r="D4">
        <f>$B4*'Time Series Scaling Factors'!D30</f>
        <v>2448610000000000</v>
      </c>
      <c r="E4">
        <f>$B4*'Time Series Scaling Factors'!E30</f>
        <v>2691667000000000</v>
      </c>
      <c r="F4">
        <f>$B4*'Time Series Scaling Factors'!F30</f>
        <v>2635259000000000</v>
      </c>
      <c r="G4">
        <f>$B4*'Time Series Scaling Factors'!G30</f>
        <v>2685839000000000</v>
      </c>
      <c r="H4">
        <f>$B4*'Time Series Scaling Factors'!H30</f>
        <v>2755344000000000</v>
      </c>
      <c r="I4">
        <f>$B4*'Time Series Scaling Factors'!I30</f>
        <v>2765631000000000</v>
      </c>
      <c r="J4">
        <f>$B4*'Time Series Scaling Factors'!J30</f>
        <v>2761101000000000</v>
      </c>
      <c r="K4">
        <f>$B4*'Time Series Scaling Factors'!K30</f>
        <v>2626046000000000.5</v>
      </c>
      <c r="L4">
        <f>$B4*'Time Series Scaling Factors'!L30</f>
        <v>2477881000000000.5</v>
      </c>
      <c r="M4">
        <f>$B4*'Time Series Scaling Factors'!M30</f>
        <v>2476447000000000</v>
      </c>
      <c r="N4">
        <f>$B4*'Time Series Scaling Factors'!N30</f>
        <v>2511924000000000</v>
      </c>
      <c r="O4">
        <f>$B4*'Time Series Scaling Factors'!O30</f>
        <v>2541484000000000.5</v>
      </c>
      <c r="P4">
        <f>$B4*'Time Series Scaling Factors'!P30</f>
        <v>2574915000000000</v>
      </c>
      <c r="Q4">
        <f>$B4*'Time Series Scaling Factors'!Q30</f>
        <v>2597797000000000</v>
      </c>
      <c r="R4">
        <f>$B4*'Time Series Scaling Factors'!R30</f>
        <v>2555126000000000.5</v>
      </c>
      <c r="S4">
        <f>$B4*'Time Series Scaling Factors'!S30</f>
        <v>2424842000000000</v>
      </c>
      <c r="T4">
        <f>$B4*'Time Series Scaling Factors'!T30</f>
        <v>2428653000000000.5</v>
      </c>
      <c r="U4">
        <f>$B4*'Time Series Scaling Factors'!U30</f>
        <v>2495061000000000.5</v>
      </c>
      <c r="V4">
        <f>$B4*'Time Series Scaling Factors'!V30</f>
        <v>2561628000000000</v>
      </c>
      <c r="W4">
        <f>$B4*'Time Series Scaling Factors'!W30</f>
        <v>2549050000000000</v>
      </c>
      <c r="X4">
        <f>$B4*'Time Series Scaling Factors'!X30</f>
        <v>2381193000000000.5</v>
      </c>
      <c r="Y4">
        <f>$B4*'Time Series Scaling Factors'!Y30</f>
        <v>2363839000000000</v>
      </c>
      <c r="Z4">
        <f>$B4*'Time Series Scaling Factors'!Z30</f>
        <v>2427631000000000</v>
      </c>
      <c r="AA4">
        <f>$B4*'Time Series Scaling Factors'!AA30</f>
        <v>2517868000000000</v>
      </c>
      <c r="AB4">
        <f>$B4*'Time Series Scaling Factors'!AB30</f>
        <v>2607521000000000.5</v>
      </c>
    </row>
    <row r="5" spans="1:29">
      <c r="A5" s="1" t="s">
        <v>117</v>
      </c>
      <c r="B5">
        <f>'Start Year Data'!C29</f>
        <v>9940140000000000</v>
      </c>
      <c r="C5">
        <f>$B5*'Time Series Scaling Factors'!C31</f>
        <v>9940140000000000</v>
      </c>
      <c r="D5">
        <f>$B5*'Time Series Scaling Factors'!D31</f>
        <v>9940140000000000</v>
      </c>
      <c r="E5">
        <f>$B5*'Time Series Scaling Factors'!E31</f>
        <v>9940140000000000</v>
      </c>
      <c r="F5">
        <f>$B5*'Time Series Scaling Factors'!F31</f>
        <v>9940140000000000</v>
      </c>
      <c r="G5">
        <f>$B5*'Time Series Scaling Factors'!G31</f>
        <v>9940140000000000</v>
      </c>
      <c r="H5">
        <f>$B5*'Time Series Scaling Factors'!H31</f>
        <v>9940140000000000</v>
      </c>
      <c r="I5">
        <f>$B5*'Time Series Scaling Factors'!I31</f>
        <v>9940140000000000</v>
      </c>
      <c r="J5">
        <f>$B5*'Time Series Scaling Factors'!J31</f>
        <v>9940140000000000</v>
      </c>
      <c r="K5">
        <f>$B5*'Time Series Scaling Factors'!K31</f>
        <v>9940140000000000</v>
      </c>
      <c r="L5">
        <f>$B5*'Time Series Scaling Factors'!L31</f>
        <v>9940140000000000</v>
      </c>
      <c r="M5">
        <f>$B5*'Time Series Scaling Factors'!M31</f>
        <v>9940140000000000</v>
      </c>
      <c r="N5">
        <f>$B5*'Time Series Scaling Factors'!N31</f>
        <v>9940140000000000</v>
      </c>
      <c r="O5">
        <f>$B5*'Time Series Scaling Factors'!O31</f>
        <v>9940140000000000</v>
      </c>
      <c r="P5">
        <f>$B5*'Time Series Scaling Factors'!P31</f>
        <v>9940140000000000</v>
      </c>
      <c r="Q5">
        <f>$B5*'Time Series Scaling Factors'!Q31</f>
        <v>9940140000000000</v>
      </c>
      <c r="R5">
        <f>$B5*'Time Series Scaling Factors'!R31</f>
        <v>9940140000000000</v>
      </c>
      <c r="S5">
        <f>$B5*'Time Series Scaling Factors'!S31</f>
        <v>9940140000000000</v>
      </c>
      <c r="T5">
        <f>$B5*'Time Series Scaling Factors'!T31</f>
        <v>9940140000000000</v>
      </c>
      <c r="U5">
        <f>$B5*'Time Series Scaling Factors'!U31</f>
        <v>9940140000000000</v>
      </c>
      <c r="V5">
        <f>$B5*'Time Series Scaling Factors'!V31</f>
        <v>9940140000000000</v>
      </c>
      <c r="W5">
        <f>$B5*'Time Series Scaling Factors'!W31</f>
        <v>9940140000000000</v>
      </c>
      <c r="X5">
        <f>$B5*'Time Series Scaling Factors'!X31</f>
        <v>9940140000000000</v>
      </c>
      <c r="Y5">
        <f>$B5*'Time Series Scaling Factors'!Y31</f>
        <v>9940140000000000</v>
      </c>
      <c r="Z5">
        <f>$B5*'Time Series Scaling Factors'!Z31</f>
        <v>9940140000000000</v>
      </c>
      <c r="AA5">
        <f>$B5*'Time Series Scaling Factors'!AA31</f>
        <v>9940140000000000</v>
      </c>
      <c r="AB5">
        <f>$B5*'Time Series Scaling Factors'!AB31</f>
        <v>9940140000000000</v>
      </c>
    </row>
    <row r="6" spans="1:29">
      <c r="A6" s="1" t="s">
        <v>118</v>
      </c>
      <c r="B6">
        <f>'Start Year Data'!C30</f>
        <v>0</v>
      </c>
      <c r="C6">
        <f>$B6*'Time Series Scaling Factors'!C32</f>
        <v>0</v>
      </c>
      <c r="D6">
        <f>$B6*'Time Series Scaling Factors'!D32</f>
        <v>0</v>
      </c>
      <c r="E6">
        <f>$B6*'Time Series Scaling Factors'!E32</f>
        <v>0</v>
      </c>
      <c r="F6">
        <f>$B6*'Time Series Scaling Factors'!F32</f>
        <v>0</v>
      </c>
      <c r="G6">
        <f>$B6*'Time Series Scaling Factors'!G32</f>
        <v>0</v>
      </c>
      <c r="H6">
        <f>$B6*'Time Series Scaling Factors'!H32</f>
        <v>0</v>
      </c>
      <c r="I6">
        <f>$B6*'Time Series Scaling Factors'!I32</f>
        <v>0</v>
      </c>
      <c r="J6">
        <f>$B6*'Time Series Scaling Factors'!J32</f>
        <v>0</v>
      </c>
      <c r="K6">
        <f>$B6*'Time Series Scaling Factors'!K32</f>
        <v>0</v>
      </c>
      <c r="L6">
        <f>$B6*'Time Series Scaling Factors'!L32</f>
        <v>0</v>
      </c>
      <c r="M6">
        <f>$B6*'Time Series Scaling Factors'!M32</f>
        <v>0</v>
      </c>
      <c r="N6">
        <f>$B6*'Time Series Scaling Factors'!N32</f>
        <v>0</v>
      </c>
      <c r="O6">
        <f>$B6*'Time Series Scaling Factors'!O32</f>
        <v>0</v>
      </c>
      <c r="P6">
        <f>$B6*'Time Series Scaling Factors'!P32</f>
        <v>0</v>
      </c>
      <c r="Q6">
        <f>$B6*'Time Series Scaling Factors'!Q32</f>
        <v>0</v>
      </c>
      <c r="R6">
        <f>$B6*'Time Series Scaling Factors'!R32</f>
        <v>0</v>
      </c>
      <c r="S6">
        <f>$B6*'Time Series Scaling Factors'!S32</f>
        <v>0</v>
      </c>
      <c r="T6">
        <f>$B6*'Time Series Scaling Factors'!T32</f>
        <v>0</v>
      </c>
      <c r="U6">
        <f>$B6*'Time Series Scaling Factors'!U32</f>
        <v>0</v>
      </c>
      <c r="V6">
        <f>$B6*'Time Series Scaling Factors'!V32</f>
        <v>0</v>
      </c>
      <c r="W6">
        <f>$B6*'Time Series Scaling Factors'!W32</f>
        <v>0</v>
      </c>
      <c r="X6">
        <f>$B6*'Time Series Scaling Factors'!X32</f>
        <v>0</v>
      </c>
      <c r="Y6">
        <f>$B6*'Time Series Scaling Factors'!Y32</f>
        <v>0</v>
      </c>
      <c r="Z6">
        <f>$B6*'Time Series Scaling Factors'!Z32</f>
        <v>0</v>
      </c>
      <c r="AA6">
        <f>$B6*'Time Series Scaling Factors'!AA32</f>
        <v>0</v>
      </c>
      <c r="AB6">
        <f>$B6*'Time Series Scaling Factors'!AB32</f>
        <v>0</v>
      </c>
    </row>
    <row r="7" spans="1:29">
      <c r="A7" s="1" t="s">
        <v>119</v>
      </c>
      <c r="B7">
        <f>'Start Year Data'!C31</f>
        <v>0</v>
      </c>
      <c r="C7">
        <f>$B7*'Time Series Scaling Factors'!C33</f>
        <v>0</v>
      </c>
      <c r="D7">
        <f>$B7*'Time Series Scaling Factors'!D33</f>
        <v>0</v>
      </c>
      <c r="E7">
        <f>$B7*'Time Series Scaling Factors'!E33</f>
        <v>0</v>
      </c>
      <c r="F7">
        <f>$B7*'Time Series Scaling Factors'!F33</f>
        <v>0</v>
      </c>
      <c r="G7">
        <f>$B7*'Time Series Scaling Factors'!G33</f>
        <v>0</v>
      </c>
      <c r="H7">
        <f>$B7*'Time Series Scaling Factors'!H33</f>
        <v>0</v>
      </c>
      <c r="I7">
        <f>$B7*'Time Series Scaling Factors'!I33</f>
        <v>0</v>
      </c>
      <c r="J7">
        <f>$B7*'Time Series Scaling Factors'!J33</f>
        <v>0</v>
      </c>
      <c r="K7">
        <f>$B7*'Time Series Scaling Factors'!K33</f>
        <v>0</v>
      </c>
      <c r="L7">
        <f>$B7*'Time Series Scaling Factors'!L33</f>
        <v>0</v>
      </c>
      <c r="M7">
        <f>$B7*'Time Series Scaling Factors'!M33</f>
        <v>0</v>
      </c>
      <c r="N7">
        <f>$B7*'Time Series Scaling Factors'!N33</f>
        <v>0</v>
      </c>
      <c r="O7">
        <f>$B7*'Time Series Scaling Factors'!O33</f>
        <v>0</v>
      </c>
      <c r="P7">
        <f>$B7*'Time Series Scaling Factors'!P33</f>
        <v>0</v>
      </c>
      <c r="Q7">
        <f>$B7*'Time Series Scaling Factors'!Q33</f>
        <v>0</v>
      </c>
      <c r="R7">
        <f>$B7*'Time Series Scaling Factors'!R33</f>
        <v>0</v>
      </c>
      <c r="S7">
        <f>$B7*'Time Series Scaling Factors'!S33</f>
        <v>0</v>
      </c>
      <c r="T7">
        <f>$B7*'Time Series Scaling Factors'!T33</f>
        <v>0</v>
      </c>
      <c r="U7">
        <f>$B7*'Time Series Scaling Factors'!U33</f>
        <v>0</v>
      </c>
      <c r="V7">
        <f>$B7*'Time Series Scaling Factors'!V33</f>
        <v>0</v>
      </c>
      <c r="W7">
        <f>$B7*'Time Series Scaling Factors'!W33</f>
        <v>0</v>
      </c>
      <c r="X7">
        <f>$B7*'Time Series Scaling Factors'!X33</f>
        <v>0</v>
      </c>
      <c r="Y7">
        <f>$B7*'Time Series Scaling Factors'!Y33</f>
        <v>0</v>
      </c>
      <c r="Z7">
        <f>$B7*'Time Series Scaling Factors'!Z33</f>
        <v>0</v>
      </c>
      <c r="AA7">
        <f>$B7*'Time Series Scaling Factors'!AA33</f>
        <v>0</v>
      </c>
      <c r="AB7">
        <f>$B7*'Time Series Scaling Factors'!AB33</f>
        <v>0</v>
      </c>
    </row>
    <row r="8" spans="1:29">
      <c r="A8" s="1" t="s">
        <v>120</v>
      </c>
      <c r="B8">
        <f>'Start Year Data'!C32</f>
        <v>0</v>
      </c>
      <c r="C8">
        <f>$B8*'Time Series Scaling Factors'!C34</f>
        <v>0</v>
      </c>
      <c r="D8">
        <f>$B8*'Time Series Scaling Factors'!D34</f>
        <v>0</v>
      </c>
      <c r="E8">
        <f>$B8*'Time Series Scaling Factors'!E34</f>
        <v>0</v>
      </c>
      <c r="F8">
        <f>$B8*'Time Series Scaling Factors'!F34</f>
        <v>0</v>
      </c>
      <c r="G8">
        <f>$B8*'Time Series Scaling Factors'!G34</f>
        <v>0</v>
      </c>
      <c r="H8">
        <f>$B8*'Time Series Scaling Factors'!H34</f>
        <v>0</v>
      </c>
      <c r="I8">
        <f>$B8*'Time Series Scaling Factors'!I34</f>
        <v>0</v>
      </c>
      <c r="J8">
        <f>$B8*'Time Series Scaling Factors'!J34</f>
        <v>0</v>
      </c>
      <c r="K8">
        <f>$B8*'Time Series Scaling Factors'!K34</f>
        <v>0</v>
      </c>
      <c r="L8">
        <f>$B8*'Time Series Scaling Factors'!L34</f>
        <v>0</v>
      </c>
      <c r="M8">
        <f>$B8*'Time Series Scaling Factors'!M34</f>
        <v>0</v>
      </c>
      <c r="N8">
        <f>$B8*'Time Series Scaling Factors'!N34</f>
        <v>0</v>
      </c>
      <c r="O8">
        <f>$B8*'Time Series Scaling Factors'!O34</f>
        <v>0</v>
      </c>
      <c r="P8">
        <f>$B8*'Time Series Scaling Factors'!P34</f>
        <v>0</v>
      </c>
      <c r="Q8">
        <f>$B8*'Time Series Scaling Factors'!Q34</f>
        <v>0</v>
      </c>
      <c r="R8">
        <f>$B8*'Time Series Scaling Factors'!R34</f>
        <v>0</v>
      </c>
      <c r="S8">
        <f>$B8*'Time Series Scaling Factors'!S34</f>
        <v>0</v>
      </c>
      <c r="T8">
        <f>$B8*'Time Series Scaling Factors'!T34</f>
        <v>0</v>
      </c>
      <c r="U8">
        <f>$B8*'Time Series Scaling Factors'!U34</f>
        <v>0</v>
      </c>
      <c r="V8">
        <f>$B8*'Time Series Scaling Factors'!V34</f>
        <v>0</v>
      </c>
      <c r="W8">
        <f>$B8*'Time Series Scaling Factors'!W34</f>
        <v>0</v>
      </c>
      <c r="X8">
        <f>$B8*'Time Series Scaling Factors'!X34</f>
        <v>0</v>
      </c>
      <c r="Y8">
        <f>$B8*'Time Series Scaling Factors'!Y34</f>
        <v>0</v>
      </c>
      <c r="Z8">
        <f>$B8*'Time Series Scaling Factors'!Z34</f>
        <v>0</v>
      </c>
      <c r="AA8">
        <f>$B8*'Time Series Scaling Factors'!AA34</f>
        <v>0</v>
      </c>
      <c r="AB8">
        <f>$B8*'Time Series Scaling Factors'!AB34</f>
        <v>0</v>
      </c>
    </row>
    <row r="9" spans="1:29">
      <c r="A9" s="1" t="s">
        <v>109</v>
      </c>
      <c r="B9">
        <f>'Start Year Data'!C33</f>
        <v>0</v>
      </c>
      <c r="C9">
        <f>$B9*'Time Series Scaling Factors'!C35</f>
        <v>0</v>
      </c>
      <c r="D9">
        <f>$B9*'Time Series Scaling Factors'!D35</f>
        <v>0</v>
      </c>
      <c r="E9">
        <f>$B9*'Time Series Scaling Factors'!E35</f>
        <v>0</v>
      </c>
      <c r="F9">
        <f>$B9*'Time Series Scaling Factors'!F35</f>
        <v>0</v>
      </c>
      <c r="G9">
        <f>$B9*'Time Series Scaling Factors'!G35</f>
        <v>0</v>
      </c>
      <c r="H9">
        <f>$B9*'Time Series Scaling Factors'!H35</f>
        <v>0</v>
      </c>
      <c r="I9">
        <f>$B9*'Time Series Scaling Factors'!I35</f>
        <v>0</v>
      </c>
      <c r="J9">
        <f>$B9*'Time Series Scaling Factors'!J35</f>
        <v>0</v>
      </c>
      <c r="K9">
        <f>$B9*'Time Series Scaling Factors'!K35</f>
        <v>0</v>
      </c>
      <c r="L9">
        <f>$B9*'Time Series Scaling Factors'!L35</f>
        <v>0</v>
      </c>
      <c r="M9">
        <f>$B9*'Time Series Scaling Factors'!M35</f>
        <v>0</v>
      </c>
      <c r="N9">
        <f>$B9*'Time Series Scaling Factors'!N35</f>
        <v>0</v>
      </c>
      <c r="O9">
        <f>$B9*'Time Series Scaling Factors'!O35</f>
        <v>0</v>
      </c>
      <c r="P9">
        <f>$B9*'Time Series Scaling Factors'!P35</f>
        <v>0</v>
      </c>
      <c r="Q9">
        <f>$B9*'Time Series Scaling Factors'!Q35</f>
        <v>0</v>
      </c>
      <c r="R9">
        <f>$B9*'Time Series Scaling Factors'!R35</f>
        <v>0</v>
      </c>
      <c r="S9">
        <f>$B9*'Time Series Scaling Factors'!S35</f>
        <v>0</v>
      </c>
      <c r="T9">
        <f>$B9*'Time Series Scaling Factors'!T35</f>
        <v>0</v>
      </c>
      <c r="U9">
        <f>$B9*'Time Series Scaling Factors'!U35</f>
        <v>0</v>
      </c>
      <c r="V9">
        <f>$B9*'Time Series Scaling Factors'!V35</f>
        <v>0</v>
      </c>
      <c r="W9">
        <f>$B9*'Time Series Scaling Factors'!W35</f>
        <v>0</v>
      </c>
      <c r="X9">
        <f>$B9*'Time Series Scaling Factors'!X35</f>
        <v>0</v>
      </c>
      <c r="Y9">
        <f>$B9*'Time Series Scaling Factors'!Y35</f>
        <v>0</v>
      </c>
      <c r="Z9">
        <f>$B9*'Time Series Scaling Factors'!Z35</f>
        <v>0</v>
      </c>
      <c r="AA9">
        <f>$B9*'Time Series Scaling Factors'!AA35</f>
        <v>0</v>
      </c>
      <c r="AB9">
        <f>$B9*'Time Series Scaling Factors'!AB35</f>
        <v>0</v>
      </c>
    </row>
    <row r="10" spans="1:29">
      <c r="A10" s="1" t="s">
        <v>110</v>
      </c>
      <c r="B10">
        <f>'Start Year Data'!C34</f>
        <v>201618837721000</v>
      </c>
      <c r="C10">
        <f>$B10*'Time Series Scaling Factors'!C36</f>
        <v>196418363182364.53</v>
      </c>
      <c r="D10">
        <f>$B10*'Time Series Scaling Factors'!D36</f>
        <v>204543488815099.72</v>
      </c>
      <c r="E10">
        <f>$B10*'Time Series Scaling Factors'!E36</f>
        <v>199236419029849.25</v>
      </c>
      <c r="F10">
        <f>$B10*'Time Series Scaling Factors'!F36</f>
        <v>194319501781228.78</v>
      </c>
      <c r="G10">
        <f>$B10*'Time Series Scaling Factors'!G36</f>
        <v>190664110910614.53</v>
      </c>
      <c r="H10">
        <f>$B10*'Time Series Scaling Factors'!H36</f>
        <v>187377125553861.44</v>
      </c>
      <c r="I10">
        <f>$B10*'Time Series Scaling Factors'!I36</f>
        <v>187076797676493.91</v>
      </c>
      <c r="J10">
        <f>$B10*'Time Series Scaling Factors'!J36</f>
        <v>183598368849279.66</v>
      </c>
      <c r="K10">
        <f>$B10*'Time Series Scaling Factors'!K36</f>
        <v>181691995970042.44</v>
      </c>
      <c r="L10">
        <f>$B10*'Time Series Scaling Factors'!L36</f>
        <v>180567968502585.75</v>
      </c>
      <c r="M10">
        <f>$B10*'Time Series Scaling Factors'!M36</f>
        <v>178936692973156</v>
      </c>
      <c r="N10">
        <f>$B10*'Time Series Scaling Factors'!N36</f>
        <v>178308816116694.25</v>
      </c>
      <c r="O10">
        <f>$B10*'Time Series Scaling Factors'!O36</f>
        <v>178005651671139.44</v>
      </c>
      <c r="P10">
        <f>$B10*'Time Series Scaling Factors'!P36</f>
        <v>177547620555432.56</v>
      </c>
      <c r="Q10">
        <f>$B10*'Time Series Scaling Factors'!Q36</f>
        <v>175051490315021.69</v>
      </c>
      <c r="R10">
        <f>$B10*'Time Series Scaling Factors'!R36</f>
        <v>174549766096360.59</v>
      </c>
      <c r="S10">
        <f>$B10*'Time Series Scaling Factors'!S36</f>
        <v>174694431073909.47</v>
      </c>
      <c r="T10">
        <f>$B10*'Time Series Scaling Factors'!T36</f>
        <v>176038367222408</v>
      </c>
      <c r="U10">
        <f>$B10*'Time Series Scaling Factors'!U36</f>
        <v>176103558526360.19</v>
      </c>
      <c r="V10">
        <f>$B10*'Time Series Scaling Factors'!V36</f>
        <v>176028712937700.53</v>
      </c>
      <c r="W10">
        <f>$B10*'Time Series Scaling Factors'!W36</f>
        <v>175296579759269.47</v>
      </c>
      <c r="X10">
        <f>$B10*'Time Series Scaling Factors'!X36</f>
        <v>175201430314111.75</v>
      </c>
      <c r="Y10">
        <f>$B10*'Time Series Scaling Factors'!Y36</f>
        <v>175339576161265.44</v>
      </c>
      <c r="Z10">
        <f>$B10*'Time Series Scaling Factors'!Z36</f>
        <v>178705189197594.44</v>
      </c>
      <c r="AA10">
        <f>$B10*'Time Series Scaling Factors'!AA36</f>
        <v>178872148605807.91</v>
      </c>
      <c r="AB10">
        <f>$B10*'Time Series Scaling Factors'!AB36</f>
        <v>175469013246440.75</v>
      </c>
    </row>
    <row r="11" spans="1:29">
      <c r="A11" s="1" t="s">
        <v>121</v>
      </c>
      <c r="B11">
        <f>'Start Year Data'!C35</f>
        <v>313781100000000</v>
      </c>
      <c r="C11">
        <f>$B11*'Time Series Scaling Factors'!C37</f>
        <v>305687557552775.25</v>
      </c>
      <c r="D11">
        <f>$B11*'Time Series Scaling Factors'!D37</f>
        <v>318332759199090.94</v>
      </c>
      <c r="E11">
        <f>$B11*'Time Series Scaling Factors'!E37</f>
        <v>310073321669265.31</v>
      </c>
      <c r="F11">
        <f>$B11*'Time Series Scaling Factors'!F37</f>
        <v>302421081827390.56</v>
      </c>
      <c r="G11">
        <f>$B11*'Time Series Scaling Factors'!G37</f>
        <v>296732166142346.81</v>
      </c>
      <c r="H11">
        <f>$B11*'Time Series Scaling Factors'!H37</f>
        <v>291616603070045.38</v>
      </c>
      <c r="I11">
        <f>$B11*'Time Series Scaling Factors'!I37</f>
        <v>291149200257955.69</v>
      </c>
      <c r="J11">
        <f>$B11*'Time Series Scaling Factors'!J37</f>
        <v>285735692095661.06</v>
      </c>
      <c r="K11">
        <f>$B11*'Time Series Scaling Factors'!K37</f>
        <v>282768787882648.06</v>
      </c>
      <c r="L11">
        <f>$B11*'Time Series Scaling Factors'!L37</f>
        <v>281019454441608.97</v>
      </c>
      <c r="M11">
        <f>$B11*'Time Series Scaling Factors'!M37</f>
        <v>278480686557549.09</v>
      </c>
      <c r="N11">
        <f>$B11*'Time Series Scaling Factors'!N37</f>
        <v>277503516502845.5</v>
      </c>
      <c r="O11">
        <f>$B11*'Time Series Scaling Factors'!O37</f>
        <v>277031699115728.53</v>
      </c>
      <c r="P11">
        <f>$B11*'Time Series Scaling Factors'!P37</f>
        <v>276318861421863.78</v>
      </c>
      <c r="Q11">
        <f>$B11*'Time Series Scaling Factors'!Q37</f>
        <v>272434112846617.91</v>
      </c>
      <c r="R11">
        <f>$B11*'Time Series Scaling Factors'!R37</f>
        <v>271653275207597.41</v>
      </c>
      <c r="S11">
        <f>$B11*'Time Series Scaling Factors'!S37</f>
        <v>271878418533984.28</v>
      </c>
      <c r="T11">
        <f>$B11*'Time Series Scaling Factors'!T37</f>
        <v>273969997712657.94</v>
      </c>
      <c r="U11">
        <f>$B11*'Time Series Scaling Factors'!U37</f>
        <v>274071455489598.69</v>
      </c>
      <c r="V11">
        <f>$B11*'Time Series Scaling Factors'!V37</f>
        <v>273954972667828.53</v>
      </c>
      <c r="W11">
        <f>$B11*'Time Series Scaling Factors'!W37</f>
        <v>272815547618704.41</v>
      </c>
      <c r="X11">
        <f>$B11*'Time Series Scaling Factors'!X37</f>
        <v>272667465733581.69</v>
      </c>
      <c r="Y11">
        <f>$B11*'Time Series Scaling Factors'!Y37</f>
        <v>272882463282274.5</v>
      </c>
      <c r="Z11">
        <f>$B11*'Time Series Scaling Factors'!Z37</f>
        <v>278120395276382.34</v>
      </c>
      <c r="AA11">
        <f>$B11*'Time Series Scaling Factors'!AA37</f>
        <v>278380235613509.25</v>
      </c>
      <c r="AB11">
        <f>$B11*'Time Series Scaling Factors'!AB37</f>
        <v>273083907311146.97</v>
      </c>
    </row>
    <row r="12" spans="1:29">
      <c r="A12" s="1" t="s">
        <v>122</v>
      </c>
      <c r="B12">
        <f>'Start Year Data'!C36</f>
        <v>0</v>
      </c>
      <c r="C12">
        <f>$B12*'Time Series Scaling Factors'!C38</f>
        <v>0</v>
      </c>
      <c r="D12">
        <f>$B12*'Time Series Scaling Factors'!D38</f>
        <v>0</v>
      </c>
      <c r="E12">
        <f>$B12*'Time Series Scaling Factors'!E38</f>
        <v>0</v>
      </c>
      <c r="F12">
        <f>$B12*'Time Series Scaling Factors'!F38</f>
        <v>0</v>
      </c>
      <c r="G12">
        <f>$B12*'Time Series Scaling Factors'!G38</f>
        <v>0</v>
      </c>
      <c r="H12">
        <f>$B12*'Time Series Scaling Factors'!H38</f>
        <v>0</v>
      </c>
      <c r="I12">
        <f>$B12*'Time Series Scaling Factors'!I38</f>
        <v>0</v>
      </c>
      <c r="J12">
        <f>$B12*'Time Series Scaling Factors'!J38</f>
        <v>0</v>
      </c>
      <c r="K12">
        <f>$B12*'Time Series Scaling Factors'!K38</f>
        <v>0</v>
      </c>
      <c r="L12">
        <f>$B12*'Time Series Scaling Factors'!L38</f>
        <v>0</v>
      </c>
      <c r="M12">
        <f>$B12*'Time Series Scaling Factors'!M38</f>
        <v>0</v>
      </c>
      <c r="N12">
        <f>$B12*'Time Series Scaling Factors'!N38</f>
        <v>0</v>
      </c>
      <c r="O12">
        <f>$B12*'Time Series Scaling Factors'!O38</f>
        <v>0</v>
      </c>
      <c r="P12">
        <f>$B12*'Time Series Scaling Factors'!P38</f>
        <v>0</v>
      </c>
      <c r="Q12">
        <f>$B12*'Time Series Scaling Factors'!Q38</f>
        <v>0</v>
      </c>
      <c r="R12">
        <f>$B12*'Time Series Scaling Factors'!R38</f>
        <v>0</v>
      </c>
      <c r="S12">
        <f>$B12*'Time Series Scaling Factors'!S38</f>
        <v>0</v>
      </c>
      <c r="T12">
        <f>$B12*'Time Series Scaling Factors'!T38</f>
        <v>0</v>
      </c>
      <c r="U12">
        <f>$B12*'Time Series Scaling Factors'!U38</f>
        <v>0</v>
      </c>
      <c r="V12">
        <f>$B12*'Time Series Scaling Factors'!V38</f>
        <v>0</v>
      </c>
      <c r="W12">
        <f>$B12*'Time Series Scaling Factors'!W38</f>
        <v>0</v>
      </c>
      <c r="X12">
        <f>$B12*'Time Series Scaling Factors'!X38</f>
        <v>0</v>
      </c>
      <c r="Y12">
        <f>$B12*'Time Series Scaling Factors'!Y38</f>
        <v>0</v>
      </c>
      <c r="Z12">
        <f>$B12*'Time Series Scaling Factors'!Z38</f>
        <v>0</v>
      </c>
      <c r="AA12">
        <f>$B12*'Time Series Scaling Factors'!AA38</f>
        <v>0</v>
      </c>
      <c r="AB12">
        <f>$B12*'Time Series Scaling Factors'!AB38</f>
        <v>0</v>
      </c>
    </row>
    <row r="13" spans="1:29">
      <c r="A13" s="1" t="s">
        <v>123</v>
      </c>
      <c r="B13">
        <f>'Start Year Data'!C37</f>
        <v>121247375000000</v>
      </c>
      <c r="C13">
        <f>$B13*'Time Series Scaling Factors'!C39</f>
        <v>118119969378128.34</v>
      </c>
      <c r="D13">
        <f>$B13*'Time Series Scaling Factors'!D39</f>
        <v>123006170318724.98</v>
      </c>
      <c r="E13">
        <f>$B13*'Time Series Scaling Factors'!E39</f>
        <v>119814661590290.28</v>
      </c>
      <c r="F13">
        <f>$B13*'Time Series Scaling Factors'!F39</f>
        <v>116857778611367.31</v>
      </c>
      <c r="G13">
        <f>$B13*'Time Series Scaling Factors'!G39</f>
        <v>114659538840368.09</v>
      </c>
      <c r="H13">
        <f>$B13*'Time Series Scaling Factors'!H39</f>
        <v>112682846827485.61</v>
      </c>
      <c r="I13">
        <f>$B13*'Time Series Scaling Factors'!I39</f>
        <v>112502238868518.38</v>
      </c>
      <c r="J13">
        <f>$B13*'Time Series Scaling Factors'!J39</f>
        <v>110410418633904.81</v>
      </c>
      <c r="K13">
        <f>$B13*'Time Series Scaling Factors'!K39</f>
        <v>109263984550703.92</v>
      </c>
      <c r="L13">
        <f>$B13*'Time Series Scaling Factors'!L39</f>
        <v>108588028963430.8</v>
      </c>
      <c r="M13">
        <f>$B13*'Time Series Scaling Factors'!M39</f>
        <v>107607029975038.7</v>
      </c>
      <c r="N13">
        <f>$B13*'Time Series Scaling Factors'!N39</f>
        <v>107229444122795.16</v>
      </c>
      <c r="O13">
        <f>$B13*'Time Series Scaling Factors'!O39</f>
        <v>107047130338863.33</v>
      </c>
      <c r="P13">
        <f>$B13*'Time Series Scaling Factors'!P39</f>
        <v>106771684497217.17</v>
      </c>
      <c r="Q13">
        <f>$B13*'Time Series Scaling Factors'!Q39</f>
        <v>105270588455156.16</v>
      </c>
      <c r="R13">
        <f>$B13*'Time Series Scaling Factors'!R39</f>
        <v>104968866923704.98</v>
      </c>
      <c r="S13">
        <f>$B13*'Time Series Scaling Factors'!S39</f>
        <v>105055863996897.66</v>
      </c>
      <c r="T13">
        <f>$B13*'Time Series Scaling Factors'!T39</f>
        <v>105864065909055</v>
      </c>
      <c r="U13">
        <f>$B13*'Time Series Scaling Factors'!U39</f>
        <v>105903269956486.17</v>
      </c>
      <c r="V13">
        <f>$B13*'Time Series Scaling Factors'!V39</f>
        <v>105858260118824.73</v>
      </c>
      <c r="W13">
        <f>$B13*'Time Series Scaling Factors'!W39</f>
        <v>105417977717445.09</v>
      </c>
      <c r="X13">
        <f>$B13*'Time Series Scaling Factors'!X39</f>
        <v>105360757764247.84</v>
      </c>
      <c r="Y13">
        <f>$B13*'Time Series Scaling Factors'!Y39</f>
        <v>105443834432697.41</v>
      </c>
      <c r="Z13">
        <f>$B13*'Time Series Scaling Factors'!Z39</f>
        <v>107467810716527.41</v>
      </c>
      <c r="AA13">
        <f>$B13*'Time Series Scaling Factors'!AA39</f>
        <v>107568214975406.47</v>
      </c>
      <c r="AB13">
        <f>$B13*'Time Series Scaling Factors'!AB39</f>
        <v>105521673919238.22</v>
      </c>
    </row>
    <row r="14" spans="1:29">
      <c r="A14" s="1" t="s">
        <v>112</v>
      </c>
      <c r="B14">
        <f>'Start Year Data'!C38</f>
        <v>218051190000000</v>
      </c>
      <c r="C14">
        <f>$B14*'Time Series Scaling Factors'!C40</f>
        <v>212426866030414.63</v>
      </c>
      <c r="D14">
        <f>$B14*'Time Series Scaling Factors'!D40</f>
        <v>221214206207273.88</v>
      </c>
      <c r="E14">
        <f>$B14*'Time Series Scaling Factors'!E40</f>
        <v>215474599258005.28</v>
      </c>
      <c r="F14">
        <f>$B14*'Time Series Scaling Factors'!F40</f>
        <v>210156943084047.72</v>
      </c>
      <c r="G14">
        <f>$B14*'Time Series Scaling Factors'!G40</f>
        <v>206203630297097</v>
      </c>
      <c r="H14">
        <f>$B14*'Time Series Scaling Factors'!H40</f>
        <v>202648748835353.84</v>
      </c>
      <c r="I14">
        <f>$B14*'Time Series Scaling Factors'!I40</f>
        <v>202323943614817.94</v>
      </c>
      <c r="J14">
        <f>$B14*'Time Series Scaling Factors'!J40</f>
        <v>198562015643811.81</v>
      </c>
      <c r="K14">
        <f>$B14*'Time Series Scaling Factors'!K40</f>
        <v>196500269431998.88</v>
      </c>
      <c r="L14">
        <f>$B14*'Time Series Scaling Factors'!L40</f>
        <v>195284631401138</v>
      </c>
      <c r="M14">
        <f>$B14*'Time Series Scaling Factors'!M40</f>
        <v>193520403542120.88</v>
      </c>
      <c r="N14">
        <f>$B14*'Time Series Scaling Factors'!N40</f>
        <v>192841353423230.72</v>
      </c>
      <c r="O14">
        <f>$B14*'Time Series Scaling Factors'!O40</f>
        <v>192513480448333.44</v>
      </c>
      <c r="P14">
        <f>$B14*'Time Series Scaling Factors'!P40</f>
        <v>192018118849358.66</v>
      </c>
      <c r="Q14">
        <f>$B14*'Time Series Scaling Factors'!Q40</f>
        <v>189318548831651.5</v>
      </c>
      <c r="R14">
        <f>$B14*'Time Series Scaling Factors'!R40</f>
        <v>188775933051462.03</v>
      </c>
      <c r="S14">
        <f>$B14*'Time Series Scaling Factors'!S40</f>
        <v>188932388523889.19</v>
      </c>
      <c r="T14">
        <f>$B14*'Time Series Scaling Factors'!T40</f>
        <v>190385858248130.13</v>
      </c>
      <c r="U14">
        <f>$B14*'Time Series Scaling Factors'!U40</f>
        <v>190456362778188.47</v>
      </c>
      <c r="V14">
        <f>$B14*'Time Series Scaling Factors'!V40</f>
        <v>190375417119251.22</v>
      </c>
      <c r="W14">
        <f>$B14*'Time Series Scaling Factors'!W40</f>
        <v>189583613572519.69</v>
      </c>
      <c r="X14">
        <f>$B14*'Time Series Scaling Factors'!X40</f>
        <v>189480709250785.69</v>
      </c>
      <c r="Y14">
        <f>$B14*'Time Series Scaling Factors'!Y40</f>
        <v>189630114270207.03</v>
      </c>
      <c r="Z14">
        <f>$B14*'Time Series Scaling Factors'!Z40</f>
        <v>193270031730035.84</v>
      </c>
      <c r="AA14">
        <f>$B14*'Time Series Scaling Factors'!AA40</f>
        <v>193450598675337.91</v>
      </c>
      <c r="AB14">
        <f>$B14*'Time Series Scaling Factors'!AB40</f>
        <v>189770100745536.59</v>
      </c>
    </row>
    <row r="15" spans="1:29">
      <c r="A15" s="1" t="s">
        <v>124</v>
      </c>
      <c r="B15">
        <f>'Start Year Data'!C39</f>
        <v>0</v>
      </c>
      <c r="C15">
        <f>$B15*'Time Series Scaling Factors'!C41</f>
        <v>0</v>
      </c>
      <c r="D15">
        <f>$B15*'Time Series Scaling Factors'!D41</f>
        <v>0</v>
      </c>
      <c r="E15">
        <f>$B15*'Time Series Scaling Factors'!E41</f>
        <v>0</v>
      </c>
      <c r="F15">
        <f>$B15*'Time Series Scaling Factors'!F41</f>
        <v>0</v>
      </c>
      <c r="G15">
        <f>$B15*'Time Series Scaling Factors'!G41</f>
        <v>0</v>
      </c>
      <c r="H15">
        <f>$B15*'Time Series Scaling Factors'!H41</f>
        <v>0</v>
      </c>
      <c r="I15">
        <f>$B15*'Time Series Scaling Factors'!I41</f>
        <v>0</v>
      </c>
      <c r="J15">
        <f>$B15*'Time Series Scaling Factors'!J41</f>
        <v>0</v>
      </c>
      <c r="K15">
        <f>$B15*'Time Series Scaling Factors'!K41</f>
        <v>0</v>
      </c>
      <c r="L15">
        <f>$B15*'Time Series Scaling Factors'!L41</f>
        <v>0</v>
      </c>
      <c r="M15">
        <f>$B15*'Time Series Scaling Factors'!M41</f>
        <v>0</v>
      </c>
      <c r="N15">
        <f>$B15*'Time Series Scaling Factors'!N41</f>
        <v>0</v>
      </c>
      <c r="O15">
        <f>$B15*'Time Series Scaling Factors'!O41</f>
        <v>0</v>
      </c>
      <c r="P15">
        <f>$B15*'Time Series Scaling Factors'!P41</f>
        <v>0</v>
      </c>
      <c r="Q15">
        <f>$B15*'Time Series Scaling Factors'!Q41</f>
        <v>0</v>
      </c>
      <c r="R15">
        <f>$B15*'Time Series Scaling Factors'!R41</f>
        <v>0</v>
      </c>
      <c r="S15">
        <f>$B15*'Time Series Scaling Factors'!S41</f>
        <v>0</v>
      </c>
      <c r="T15">
        <f>$B15*'Time Series Scaling Factors'!T41</f>
        <v>0</v>
      </c>
      <c r="U15">
        <f>$B15*'Time Series Scaling Factors'!U41</f>
        <v>0</v>
      </c>
      <c r="V15">
        <f>$B15*'Time Series Scaling Factors'!V41</f>
        <v>0</v>
      </c>
      <c r="W15">
        <f>$B15*'Time Series Scaling Factors'!W41</f>
        <v>0</v>
      </c>
      <c r="X15">
        <f>$B15*'Time Series Scaling Factors'!X41</f>
        <v>0</v>
      </c>
      <c r="Y15">
        <f>$B15*'Time Series Scaling Factors'!Y41</f>
        <v>0</v>
      </c>
      <c r="Z15">
        <f>$B15*'Time Series Scaling Factors'!Z41</f>
        <v>0</v>
      </c>
      <c r="AA15">
        <f>$B15*'Time Series Scaling Factors'!AA41</f>
        <v>0</v>
      </c>
      <c r="AB15">
        <f>$B15*'Time Series Scaling Factors'!AB41</f>
        <v>0</v>
      </c>
    </row>
    <row r="16" spans="1:29">
      <c r="A16" s="1" t="s">
        <v>125</v>
      </c>
      <c r="B16">
        <f>'Start Year Data'!C40</f>
        <v>0</v>
      </c>
      <c r="C16">
        <f>$B16*'Time Series Scaling Factors'!C42</f>
        <v>0</v>
      </c>
      <c r="D16">
        <f>$B16*'Time Series Scaling Factors'!D42</f>
        <v>0</v>
      </c>
      <c r="E16">
        <f>$B16*'Time Series Scaling Factors'!E42</f>
        <v>0</v>
      </c>
      <c r="F16">
        <f>$B16*'Time Series Scaling Factors'!F42</f>
        <v>0</v>
      </c>
      <c r="G16">
        <f>$B16*'Time Series Scaling Factors'!G42</f>
        <v>0</v>
      </c>
      <c r="H16">
        <f>$B16*'Time Series Scaling Factors'!H42</f>
        <v>0</v>
      </c>
      <c r="I16">
        <f>$B16*'Time Series Scaling Factors'!I42</f>
        <v>0</v>
      </c>
      <c r="J16">
        <f>$B16*'Time Series Scaling Factors'!J42</f>
        <v>0</v>
      </c>
      <c r="K16">
        <f>$B16*'Time Series Scaling Factors'!K42</f>
        <v>0</v>
      </c>
      <c r="L16">
        <f>$B16*'Time Series Scaling Factors'!L42</f>
        <v>0</v>
      </c>
      <c r="M16">
        <f>$B16*'Time Series Scaling Factors'!M42</f>
        <v>0</v>
      </c>
      <c r="N16">
        <f>$B16*'Time Series Scaling Factors'!N42</f>
        <v>0</v>
      </c>
      <c r="O16">
        <f>$B16*'Time Series Scaling Factors'!O42</f>
        <v>0</v>
      </c>
      <c r="P16">
        <f>$B16*'Time Series Scaling Factors'!P42</f>
        <v>0</v>
      </c>
      <c r="Q16">
        <f>$B16*'Time Series Scaling Factors'!Q42</f>
        <v>0</v>
      </c>
      <c r="R16">
        <f>$B16*'Time Series Scaling Factors'!R42</f>
        <v>0</v>
      </c>
      <c r="S16">
        <f>$B16*'Time Series Scaling Factors'!S42</f>
        <v>0</v>
      </c>
      <c r="T16">
        <f>$B16*'Time Series Scaling Factors'!T42</f>
        <v>0</v>
      </c>
      <c r="U16">
        <f>$B16*'Time Series Scaling Factors'!U42</f>
        <v>0</v>
      </c>
      <c r="V16">
        <f>$B16*'Time Series Scaling Factors'!V42</f>
        <v>0</v>
      </c>
      <c r="W16">
        <f>$B16*'Time Series Scaling Factors'!W42</f>
        <v>0</v>
      </c>
      <c r="X16">
        <f>$B16*'Time Series Scaling Factors'!X42</f>
        <v>0</v>
      </c>
      <c r="Y16">
        <f>$B16*'Time Series Scaling Factors'!Y42</f>
        <v>0</v>
      </c>
      <c r="Z16">
        <f>$B16*'Time Series Scaling Factors'!Z42</f>
        <v>0</v>
      </c>
      <c r="AA16">
        <f>$B16*'Time Series Scaling Factors'!AA42</f>
        <v>0</v>
      </c>
      <c r="AB16">
        <f>$B16*'Time Series Scaling Factors'!AB42</f>
        <v>0</v>
      </c>
    </row>
    <row r="17" spans="1:28">
      <c r="A17" s="1" t="s">
        <v>126</v>
      </c>
      <c r="B17">
        <f>'Start Year Data'!C41</f>
        <v>0</v>
      </c>
      <c r="C17">
        <f>$B17*'Time Series Scaling Factors'!C43</f>
        <v>0</v>
      </c>
      <c r="D17">
        <f>$B17*'Time Series Scaling Factors'!D43</f>
        <v>0</v>
      </c>
      <c r="E17">
        <f>$B17*'Time Series Scaling Factors'!E43</f>
        <v>0</v>
      </c>
      <c r="F17">
        <f>$B17*'Time Series Scaling Factors'!F43</f>
        <v>0</v>
      </c>
      <c r="G17">
        <f>$B17*'Time Series Scaling Factors'!G43</f>
        <v>0</v>
      </c>
      <c r="H17">
        <f>$B17*'Time Series Scaling Factors'!H43</f>
        <v>0</v>
      </c>
      <c r="I17">
        <f>$B17*'Time Series Scaling Factors'!I43</f>
        <v>0</v>
      </c>
      <c r="J17">
        <f>$B17*'Time Series Scaling Factors'!J43</f>
        <v>0</v>
      </c>
      <c r="K17">
        <f>$B17*'Time Series Scaling Factors'!K43</f>
        <v>0</v>
      </c>
      <c r="L17">
        <f>$B17*'Time Series Scaling Factors'!L43</f>
        <v>0</v>
      </c>
      <c r="M17">
        <f>$B17*'Time Series Scaling Factors'!M43</f>
        <v>0</v>
      </c>
      <c r="N17">
        <f>$B17*'Time Series Scaling Factors'!N43</f>
        <v>0</v>
      </c>
      <c r="O17">
        <f>$B17*'Time Series Scaling Factors'!O43</f>
        <v>0</v>
      </c>
      <c r="P17">
        <f>$B17*'Time Series Scaling Factors'!P43</f>
        <v>0</v>
      </c>
      <c r="Q17">
        <f>$B17*'Time Series Scaling Factors'!Q43</f>
        <v>0</v>
      </c>
      <c r="R17">
        <f>$B17*'Time Series Scaling Factors'!R43</f>
        <v>0</v>
      </c>
      <c r="S17">
        <f>$B17*'Time Series Scaling Factors'!S43</f>
        <v>0</v>
      </c>
      <c r="T17">
        <f>$B17*'Time Series Scaling Factors'!T43</f>
        <v>0</v>
      </c>
      <c r="U17">
        <f>$B17*'Time Series Scaling Factors'!U43</f>
        <v>0</v>
      </c>
      <c r="V17">
        <f>$B17*'Time Series Scaling Factors'!V43</f>
        <v>0</v>
      </c>
      <c r="W17">
        <f>$B17*'Time Series Scaling Factors'!W43</f>
        <v>0</v>
      </c>
      <c r="X17">
        <f>$B17*'Time Series Scaling Factors'!X43</f>
        <v>0</v>
      </c>
      <c r="Y17">
        <f>$B17*'Time Series Scaling Factors'!Y43</f>
        <v>0</v>
      </c>
      <c r="Z17">
        <f>$B17*'Time Series Scaling Factors'!Z43</f>
        <v>0</v>
      </c>
      <c r="AA17">
        <f>$B17*'Time Series Scaling Factors'!AA43</f>
        <v>0</v>
      </c>
      <c r="AB17">
        <f>$B17*'Time Series Scaling Factors'!AB43</f>
        <v>0</v>
      </c>
    </row>
    <row r="18" spans="1:28">
      <c r="A18" s="1" t="s">
        <v>113</v>
      </c>
      <c r="B18">
        <f>'Start Year Data'!C42</f>
        <v>1.3730942504405E+16</v>
      </c>
      <c r="C18">
        <f>$B18*'Time Series Scaling Factors'!C44</f>
        <v>1.2697003384435376E+16</v>
      </c>
      <c r="D18">
        <f>$B18*'Time Series Scaling Factors'!D44</f>
        <v>1.3254090927016898E+16</v>
      </c>
      <c r="E18">
        <f>$B18*'Time Series Scaling Factors'!E44</f>
        <v>1.2530624268134232E+16</v>
      </c>
      <c r="F18">
        <f>$B18*'Time Series Scaling Factors'!F44</f>
        <v>1.3050572010706966E+16</v>
      </c>
      <c r="G18">
        <f>$B18*'Time Series Scaling Factors'!G44</f>
        <v>1.3280100136083404E+16</v>
      </c>
      <c r="H18">
        <f>$B18*'Time Series Scaling Factors'!H44</f>
        <v>1.3293501484851536E+16</v>
      </c>
      <c r="I18">
        <f>$B18*'Time Series Scaling Factors'!I44</f>
        <v>1.367315403483696E+16</v>
      </c>
      <c r="J18">
        <f>$B18*'Time Series Scaling Factors'!J44</f>
        <v>1.4428738534521724E+16</v>
      </c>
      <c r="K18">
        <f>$B18*'Time Series Scaling Factors'!K44</f>
        <v>1.4426208639817788E+16</v>
      </c>
      <c r="L18">
        <f>$B18*'Time Series Scaling Factors'!L44</f>
        <v>1.4867378771452608E+16</v>
      </c>
      <c r="M18">
        <f>$B18*'Time Series Scaling Factors'!M44</f>
        <v>1.5033208404081608E+16</v>
      </c>
      <c r="N18">
        <f>$B18*'Time Series Scaling Factors'!N44</f>
        <v>1.5251450834690922E+16</v>
      </c>
      <c r="O18">
        <f>$B18*'Time Series Scaling Factors'!O44</f>
        <v>1.501189297722655E+16</v>
      </c>
      <c r="P18">
        <f>$B18*'Time Series Scaling Factors'!P44</f>
        <v>1.5027914067426418E+16</v>
      </c>
      <c r="Q18">
        <f>$B18*'Time Series Scaling Factors'!Q44</f>
        <v>1.5372149983066822E+16</v>
      </c>
      <c r="R18">
        <f>$B18*'Time Series Scaling Factors'!R44</f>
        <v>1.5520568265602576E+16</v>
      </c>
      <c r="S18">
        <f>$B18*'Time Series Scaling Factors'!S44</f>
        <v>1.539115114736467E+16</v>
      </c>
      <c r="T18">
        <f>$B18*'Time Series Scaling Factors'!T44</f>
        <v>1.5085139812751904E+16</v>
      </c>
      <c r="U18">
        <f>$B18*'Time Series Scaling Factors'!U44</f>
        <v>1.5246452519359972E+16</v>
      </c>
      <c r="V18">
        <f>$B18*'Time Series Scaling Factors'!V44</f>
        <v>1.5464034812958694E+16</v>
      </c>
      <c r="W18">
        <f>$B18*'Time Series Scaling Factors'!W44</f>
        <v>1.5620530789201478E+16</v>
      </c>
      <c r="X18">
        <f>$B18*'Time Series Scaling Factors'!X44</f>
        <v>1.5129672579826356E+16</v>
      </c>
      <c r="Y18">
        <f>$B18*'Time Series Scaling Factors'!Y44</f>
        <v>1.4789670809453062E+16</v>
      </c>
      <c r="Z18">
        <f>$B18*'Time Series Scaling Factors'!Z44</f>
        <v>1.4772668971287592E+16</v>
      </c>
      <c r="AA18">
        <f>$B18*'Time Series Scaling Factors'!AA44</f>
        <v>1.5117037292632126E+16</v>
      </c>
      <c r="AB18">
        <f>$B18*'Time Series Scaling Factors'!AB44</f>
        <v>1.558715698572019E+16</v>
      </c>
    </row>
    <row r="19" spans="1:28">
      <c r="A19" s="1" t="s">
        <v>127</v>
      </c>
      <c r="B19">
        <f>'Start Year Data'!C43</f>
        <v>251769202000000</v>
      </c>
      <c r="C19">
        <f>$B19*'Time Series Scaling Factors'!C45</f>
        <v>245275169302393.63</v>
      </c>
      <c r="D19">
        <f>$B19*'Time Series Scaling Factors'!D45</f>
        <v>255421326376933.72</v>
      </c>
      <c r="E19">
        <f>$B19*'Time Series Scaling Factors'!E45</f>
        <v>248794184092541.69</v>
      </c>
      <c r="F19">
        <f>$B19*'Time Series Scaling Factors'!F45</f>
        <v>242654240295731.09</v>
      </c>
      <c r="G19">
        <f>$B19*'Time Series Scaling Factors'!G45</f>
        <v>238089613037209.91</v>
      </c>
      <c r="H19">
        <f>$B19*'Time Series Scaling Factors'!H45</f>
        <v>233985027922000.66</v>
      </c>
      <c r="I19">
        <f>$B19*'Time Series Scaling Factors'!I45</f>
        <v>233609996943358.59</v>
      </c>
      <c r="J19">
        <f>$B19*'Time Series Scaling Factors'!J45</f>
        <v>229266348998847.56</v>
      </c>
      <c r="K19">
        <f>$B19*'Time Series Scaling Factors'!K45</f>
        <v>226885787817435.69</v>
      </c>
      <c r="L19">
        <f>$B19*'Time Series Scaling Factors'!L45</f>
        <v>225482171460420.16</v>
      </c>
      <c r="M19">
        <f>$B19*'Time Series Scaling Factors'!M45</f>
        <v>223445134926884.59</v>
      </c>
      <c r="N19">
        <f>$B19*'Time Series Scaling Factors'!N45</f>
        <v>222661080932265.34</v>
      </c>
      <c r="O19">
        <f>$B19*'Time Series Scaling Factors'!O45</f>
        <v>222282507821762</v>
      </c>
      <c r="P19">
        <f>$B19*'Time Series Scaling Factors'!P45</f>
        <v>221710546740167.69</v>
      </c>
      <c r="Q19">
        <f>$B19*'Time Series Scaling Factors'!Q45</f>
        <v>218593532844938.53</v>
      </c>
      <c r="R19">
        <f>$B19*'Time Series Scaling Factors'!R45</f>
        <v>217967010504148.22</v>
      </c>
      <c r="S19">
        <f>$B19*'Time Series Scaling Factors'!S45</f>
        <v>218147659229071.59</v>
      </c>
      <c r="T19">
        <f>$B19*'Time Series Scaling Factors'!T45</f>
        <v>219825884019329.75</v>
      </c>
      <c r="U19">
        <f>$B19*'Time Series Scaling Factors'!U45</f>
        <v>219907290909474.09</v>
      </c>
      <c r="V19">
        <f>$B19*'Time Series Scaling Factors'!V45</f>
        <v>219813828342468.69</v>
      </c>
      <c r="W19">
        <f>$B19*'Time Series Scaling Factors'!W45</f>
        <v>218899585466282.72</v>
      </c>
      <c r="X19">
        <f>$B19*'Time Series Scaling Factors'!X45</f>
        <v>218780768692270.5</v>
      </c>
      <c r="Y19">
        <f>$B19*'Time Series Scaling Factors'!Y45</f>
        <v>218953276728179.47</v>
      </c>
      <c r="Z19">
        <f>$B19*'Time Series Scaling Factors'!Z45</f>
        <v>223156047252875.81</v>
      </c>
      <c r="AA19">
        <f>$B19*'Time Series Scaling Factors'!AA45</f>
        <v>223364535891375.25</v>
      </c>
      <c r="AB19">
        <f>$B19*'Time Series Scaling Factors'!AB45</f>
        <v>219114909797847.72</v>
      </c>
    </row>
    <row r="20" spans="1:28">
      <c r="A20" s="1" t="s">
        <v>114</v>
      </c>
      <c r="B20">
        <f>'Start Year Data'!C44</f>
        <v>212781090060000</v>
      </c>
      <c r="C20">
        <f>$B20*'Time Series Scaling Factors'!C46</f>
        <v>207292700911108.13</v>
      </c>
      <c r="D20">
        <f>$B20*'Time Series Scaling Factors'!D46</f>
        <v>215867659027870.25</v>
      </c>
      <c r="E20">
        <f>$B20*'Time Series Scaling Factors'!E46</f>
        <v>210266773184590.44</v>
      </c>
      <c r="F20">
        <f>$B20*'Time Series Scaling Factors'!F46</f>
        <v>205077639948220.66</v>
      </c>
      <c r="G20">
        <f>$B20*'Time Series Scaling Factors'!G46</f>
        <v>201219875153836.78</v>
      </c>
      <c r="H20">
        <f>$B20*'Time Series Scaling Factors'!H46</f>
        <v>197750911960084.91</v>
      </c>
      <c r="I20">
        <f>$B20*'Time Series Scaling Factors'!I46</f>
        <v>197433956987801.53</v>
      </c>
      <c r="J20">
        <f>$B20*'Time Series Scaling Factors'!J46</f>
        <v>193762951411551.81</v>
      </c>
      <c r="K20">
        <f>$B20*'Time Series Scaling Factors'!K46</f>
        <v>191751035739930.69</v>
      </c>
      <c r="L20">
        <f>$B20*'Time Series Scaling Factors'!L46</f>
        <v>190564778580201.5</v>
      </c>
      <c r="M20">
        <f>$B20*'Time Series Scaling Factors'!M46</f>
        <v>188843190512024.09</v>
      </c>
      <c r="N20">
        <f>$B20*'Time Series Scaling Factors'!N46</f>
        <v>188180552420010.84</v>
      </c>
      <c r="O20">
        <f>$B20*'Time Series Scaling Factors'!O46</f>
        <v>187860603838212.88</v>
      </c>
      <c r="P20">
        <f>$B20*'Time Series Scaling Factors'!P46</f>
        <v>187377214680814.94</v>
      </c>
      <c r="Q20">
        <f>$B20*'Time Series Scaling Factors'!Q46</f>
        <v>184742890827498.56</v>
      </c>
      <c r="R20">
        <f>$B20*'Time Series Scaling Factors'!R46</f>
        <v>184213389579683.91</v>
      </c>
      <c r="S20">
        <f>$B20*'Time Series Scaling Factors'!S46</f>
        <v>184366063664924.63</v>
      </c>
      <c r="T20">
        <f>$B20*'Time Series Scaling Factors'!T46</f>
        <v>185784404341227.25</v>
      </c>
      <c r="U20">
        <f>$B20*'Time Series Scaling Factors'!U46</f>
        <v>185853204840596.16</v>
      </c>
      <c r="V20">
        <f>$B20*'Time Series Scaling Factors'!V46</f>
        <v>185774215564984.81</v>
      </c>
      <c r="W20">
        <f>$B20*'Time Series Scaling Factors'!W46</f>
        <v>185001549193446.5</v>
      </c>
      <c r="X20">
        <f>$B20*'Time Series Scaling Factors'!X46</f>
        <v>184901131976047.03</v>
      </c>
      <c r="Y20">
        <f>$B20*'Time Series Scaling Factors'!Y46</f>
        <v>185046926011350.91</v>
      </c>
      <c r="Z20">
        <f>$B20*'Time Series Scaling Factors'!Z46</f>
        <v>188598869960066.78</v>
      </c>
      <c r="AA20">
        <f>$B20*'Time Series Scaling Factors'!AA46</f>
        <v>188775072765702.38</v>
      </c>
      <c r="AB20">
        <f>$B20*'Time Series Scaling Factors'!AB46</f>
        <v>185183529140250.5</v>
      </c>
    </row>
    <row r="21" spans="1:28">
      <c r="A21" s="1" t="s">
        <v>128</v>
      </c>
      <c r="B21">
        <f>'Start Year Data'!C45</f>
        <v>0</v>
      </c>
      <c r="C21">
        <f>$B21*'Time Series Scaling Factors'!C47</f>
        <v>0</v>
      </c>
      <c r="D21">
        <f>$B21*'Time Series Scaling Factors'!D47</f>
        <v>0</v>
      </c>
      <c r="E21">
        <f>$B21*'Time Series Scaling Factors'!E47</f>
        <v>0</v>
      </c>
      <c r="F21">
        <f>$B21*'Time Series Scaling Factors'!F47</f>
        <v>0</v>
      </c>
      <c r="G21">
        <f>$B21*'Time Series Scaling Factors'!G47</f>
        <v>0</v>
      </c>
      <c r="H21">
        <f>$B21*'Time Series Scaling Factors'!H47</f>
        <v>0</v>
      </c>
      <c r="I21">
        <f>$B21*'Time Series Scaling Factors'!I47</f>
        <v>0</v>
      </c>
      <c r="J21">
        <f>$B21*'Time Series Scaling Factors'!J47</f>
        <v>0</v>
      </c>
      <c r="K21">
        <f>$B21*'Time Series Scaling Factors'!K47</f>
        <v>0</v>
      </c>
      <c r="L21">
        <f>$B21*'Time Series Scaling Factors'!L47</f>
        <v>0</v>
      </c>
      <c r="M21">
        <f>$B21*'Time Series Scaling Factors'!M47</f>
        <v>0</v>
      </c>
      <c r="N21">
        <f>$B21*'Time Series Scaling Factors'!N47</f>
        <v>0</v>
      </c>
      <c r="O21">
        <f>$B21*'Time Series Scaling Factors'!O47</f>
        <v>0</v>
      </c>
      <c r="P21">
        <f>$B21*'Time Series Scaling Factors'!P47</f>
        <v>0</v>
      </c>
      <c r="Q21">
        <f>$B21*'Time Series Scaling Factors'!Q47</f>
        <v>0</v>
      </c>
      <c r="R21">
        <f>$B21*'Time Series Scaling Factors'!R47</f>
        <v>0</v>
      </c>
      <c r="S21">
        <f>$B21*'Time Series Scaling Factors'!S47</f>
        <v>0</v>
      </c>
      <c r="T21">
        <f>$B21*'Time Series Scaling Factors'!T47</f>
        <v>0</v>
      </c>
      <c r="U21">
        <f>$B21*'Time Series Scaling Factors'!U47</f>
        <v>0</v>
      </c>
      <c r="V21">
        <f>$B21*'Time Series Scaling Factors'!V47</f>
        <v>0</v>
      </c>
      <c r="W21">
        <f>$B21*'Time Series Scaling Factors'!W47</f>
        <v>0</v>
      </c>
      <c r="X21">
        <f>$B21*'Time Series Scaling Factors'!X47</f>
        <v>0</v>
      </c>
      <c r="Y21">
        <f>$B21*'Time Series Scaling Factors'!Y47</f>
        <v>0</v>
      </c>
      <c r="Z21">
        <f>$B21*'Time Series Scaling Factors'!Z47</f>
        <v>0</v>
      </c>
      <c r="AA21">
        <f>$B21*'Time Series Scaling Factors'!AA47</f>
        <v>0</v>
      </c>
      <c r="AB21">
        <f>$B21*'Time Series Scaling Factors'!AB47</f>
        <v>0</v>
      </c>
    </row>
    <row r="22" spans="1:28">
      <c r="A22" s="1" t="s">
        <v>129</v>
      </c>
      <c r="B22">
        <f>'Start Year Data'!C46</f>
        <v>0</v>
      </c>
      <c r="C22">
        <f>$B22*'Time Series Scaling Factors'!C48</f>
        <v>0</v>
      </c>
      <c r="D22">
        <f>$B22*'Time Series Scaling Factors'!D48</f>
        <v>0</v>
      </c>
      <c r="E22">
        <f>$B22*'Time Series Scaling Factors'!E48</f>
        <v>0</v>
      </c>
      <c r="F22">
        <f>$B22*'Time Series Scaling Factors'!F48</f>
        <v>0</v>
      </c>
      <c r="G22">
        <f>$B22*'Time Series Scaling Factors'!G48</f>
        <v>0</v>
      </c>
      <c r="H22">
        <f>$B22*'Time Series Scaling Factors'!H48</f>
        <v>0</v>
      </c>
      <c r="I22">
        <f>$B22*'Time Series Scaling Factors'!I48</f>
        <v>0</v>
      </c>
      <c r="J22">
        <f>$B22*'Time Series Scaling Factors'!J48</f>
        <v>0</v>
      </c>
      <c r="K22">
        <f>$B22*'Time Series Scaling Factors'!K48</f>
        <v>0</v>
      </c>
      <c r="L22">
        <f>$B22*'Time Series Scaling Factors'!L48</f>
        <v>0</v>
      </c>
      <c r="M22">
        <f>$B22*'Time Series Scaling Factors'!M48</f>
        <v>0</v>
      </c>
      <c r="N22">
        <f>$B22*'Time Series Scaling Factors'!N48</f>
        <v>0</v>
      </c>
      <c r="O22">
        <f>$B22*'Time Series Scaling Factors'!O48</f>
        <v>0</v>
      </c>
      <c r="P22">
        <f>$B22*'Time Series Scaling Factors'!P48</f>
        <v>0</v>
      </c>
      <c r="Q22">
        <f>$B22*'Time Series Scaling Factors'!Q48</f>
        <v>0</v>
      </c>
      <c r="R22">
        <f>$B22*'Time Series Scaling Factors'!R48</f>
        <v>0</v>
      </c>
      <c r="S22">
        <f>$B22*'Time Series Scaling Factors'!S48</f>
        <v>0</v>
      </c>
      <c r="T22">
        <f>$B22*'Time Series Scaling Factors'!T48</f>
        <v>0</v>
      </c>
      <c r="U22">
        <f>$B22*'Time Series Scaling Factors'!U48</f>
        <v>0</v>
      </c>
      <c r="V22">
        <f>$B22*'Time Series Scaling Factors'!V48</f>
        <v>0</v>
      </c>
      <c r="W22">
        <f>$B22*'Time Series Scaling Factors'!W48</f>
        <v>0</v>
      </c>
      <c r="X22">
        <f>$B22*'Time Series Scaling Factors'!X48</f>
        <v>0</v>
      </c>
      <c r="Y22">
        <f>$B22*'Time Series Scaling Factors'!Y48</f>
        <v>0</v>
      </c>
      <c r="Z22">
        <f>$B22*'Time Series Scaling Factors'!Z48</f>
        <v>0</v>
      </c>
      <c r="AA22">
        <f>$B22*'Time Series Scaling Factors'!AA48</f>
        <v>0</v>
      </c>
      <c r="AB22">
        <f>$B22*'Time Series Scaling Factors'!AB48</f>
        <v>0</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C22"/>
  <sheetViews>
    <sheetView workbookViewId="0"/>
  </sheetViews>
  <sheetFormatPr defaultRowHeight="14.5"/>
  <cols>
    <col min="1" max="1" width="36.26953125" customWidth="1"/>
    <col min="2" max="28" width="13" customWidth="1"/>
    <col min="29" max="29" width="16.26953125" customWidth="1"/>
    <col min="30" max="30" width="13" customWidth="1"/>
  </cols>
  <sheetData>
    <row r="1" spans="1:29">
      <c r="A1" s="24" t="s">
        <v>454</v>
      </c>
      <c r="B1" s="18">
        <v>2024</v>
      </c>
      <c r="C1" s="18">
        <v>2025</v>
      </c>
      <c r="D1" s="18">
        <v>2026</v>
      </c>
      <c r="E1" s="18">
        <v>2027</v>
      </c>
      <c r="F1" s="18">
        <v>2028</v>
      </c>
      <c r="G1" s="18">
        <v>2029</v>
      </c>
      <c r="H1" s="18">
        <v>2030</v>
      </c>
      <c r="I1" s="18">
        <v>2031</v>
      </c>
      <c r="J1" s="18">
        <v>2032</v>
      </c>
      <c r="K1" s="18">
        <v>2033</v>
      </c>
      <c r="L1" s="18">
        <v>2034</v>
      </c>
      <c r="M1" s="18">
        <v>2035</v>
      </c>
      <c r="N1" s="18">
        <v>2036</v>
      </c>
      <c r="O1" s="18">
        <v>2037</v>
      </c>
      <c r="P1" s="18">
        <v>2038</v>
      </c>
      <c r="Q1" s="18">
        <v>2039</v>
      </c>
      <c r="R1" s="18">
        <v>2040</v>
      </c>
      <c r="S1" s="18">
        <v>2041</v>
      </c>
      <c r="T1" s="18">
        <v>2042</v>
      </c>
      <c r="U1" s="18">
        <v>2043</v>
      </c>
      <c r="V1" s="18">
        <v>2044</v>
      </c>
      <c r="W1" s="18">
        <v>2045</v>
      </c>
      <c r="X1" s="18">
        <v>2046</v>
      </c>
      <c r="Y1" s="18">
        <v>2047</v>
      </c>
      <c r="Z1" s="18">
        <v>2048</v>
      </c>
      <c r="AA1" s="18">
        <v>2049</v>
      </c>
      <c r="AB1" s="18">
        <v>2050</v>
      </c>
      <c r="AC1" s="18"/>
    </row>
    <row r="2" spans="1:29">
      <c r="A2" s="24" t="s">
        <v>115</v>
      </c>
      <c r="B2">
        <f>'Start Year Data'!$D26</f>
        <v>0</v>
      </c>
      <c r="C2">
        <f>$B2*'Time Series Scaling Factors'!C53</f>
        <v>0</v>
      </c>
      <c r="D2">
        <f>$B2*'Time Series Scaling Factors'!D53</f>
        <v>0</v>
      </c>
      <c r="E2">
        <f>$B2*'Time Series Scaling Factors'!E53</f>
        <v>0</v>
      </c>
      <c r="F2">
        <f>$B2*'Time Series Scaling Factors'!F53</f>
        <v>0</v>
      </c>
      <c r="G2">
        <f>$B2*'Time Series Scaling Factors'!G53</f>
        <v>0</v>
      </c>
      <c r="H2">
        <f>$B2*'Time Series Scaling Factors'!H53</f>
        <v>0</v>
      </c>
      <c r="I2">
        <f>$B2*'Time Series Scaling Factors'!I53</f>
        <v>0</v>
      </c>
      <c r="J2">
        <f>$B2*'Time Series Scaling Factors'!J53</f>
        <v>0</v>
      </c>
      <c r="K2">
        <f>$B2*'Time Series Scaling Factors'!K53</f>
        <v>0</v>
      </c>
      <c r="L2">
        <f>$B2*'Time Series Scaling Factors'!L53</f>
        <v>0</v>
      </c>
      <c r="M2">
        <f>$B2*'Time Series Scaling Factors'!M53</f>
        <v>0</v>
      </c>
      <c r="N2">
        <f>$B2*'Time Series Scaling Factors'!N53</f>
        <v>0</v>
      </c>
      <c r="O2">
        <f>$B2*'Time Series Scaling Factors'!O53</f>
        <v>0</v>
      </c>
      <c r="P2">
        <f>$B2*'Time Series Scaling Factors'!P53</f>
        <v>0</v>
      </c>
      <c r="Q2">
        <f>$B2*'Time Series Scaling Factors'!Q53</f>
        <v>0</v>
      </c>
      <c r="R2">
        <f>$B2*'Time Series Scaling Factors'!R53</f>
        <v>0</v>
      </c>
      <c r="S2">
        <f>$B2*'Time Series Scaling Factors'!S53</f>
        <v>0</v>
      </c>
      <c r="T2">
        <f>$B2*'Time Series Scaling Factors'!T53</f>
        <v>0</v>
      </c>
      <c r="U2">
        <f>$B2*'Time Series Scaling Factors'!U53</f>
        <v>0</v>
      </c>
      <c r="V2">
        <f>$B2*'Time Series Scaling Factors'!V53</f>
        <v>0</v>
      </c>
      <c r="W2">
        <f>$B2*'Time Series Scaling Factors'!W53</f>
        <v>0</v>
      </c>
      <c r="X2">
        <f>$B2*'Time Series Scaling Factors'!X53</f>
        <v>0</v>
      </c>
      <c r="Y2">
        <f>$B2*'Time Series Scaling Factors'!Y53</f>
        <v>0</v>
      </c>
      <c r="Z2">
        <f>$B2*'Time Series Scaling Factors'!Z53</f>
        <v>0</v>
      </c>
      <c r="AA2">
        <f>$B2*'Time Series Scaling Factors'!AA53</f>
        <v>0</v>
      </c>
      <c r="AB2">
        <f>$B2*'Time Series Scaling Factors'!AB53</f>
        <v>0</v>
      </c>
    </row>
    <row r="3" spans="1:29">
      <c r="A3" s="1" t="s">
        <v>116</v>
      </c>
      <c r="B3">
        <f>'Start Year Data'!$D$27</f>
        <v>2129526400705924.3</v>
      </c>
      <c r="C3">
        <f>$B3*'Time Series Scaling Factors'!C54</f>
        <v>2036023142922747.5</v>
      </c>
      <c r="D3">
        <f>$B3*'Time Series Scaling Factors'!D54</f>
        <v>2118076926516874.5</v>
      </c>
      <c r="E3">
        <f>$B3*'Time Series Scaling Factors'!E54</f>
        <v>2195972734943111.3</v>
      </c>
      <c r="F3">
        <f>$B3*'Time Series Scaling Factors'!F54</f>
        <v>2300142476665718</v>
      </c>
      <c r="G3">
        <f>$B3*'Time Series Scaling Factors'!G54</f>
        <v>2251569731230478</v>
      </c>
      <c r="H3">
        <f>$B3*'Time Series Scaling Factors'!H54</f>
        <v>2203952671499115.5</v>
      </c>
      <c r="I3">
        <f>$B3*'Time Series Scaling Factors'!I54</f>
        <v>2191024736679047.5</v>
      </c>
      <c r="J3">
        <f>$B3*'Time Series Scaling Factors'!J54</f>
        <v>2208245833606311.5</v>
      </c>
      <c r="K3">
        <f>$B3*'Time Series Scaling Factors'!K54</f>
        <v>2202345275347950.3</v>
      </c>
      <c r="L3">
        <f>$B3*'Time Series Scaling Factors'!L54</f>
        <v>2188283489377983.5</v>
      </c>
      <c r="M3">
        <f>$B3*'Time Series Scaling Factors'!M54</f>
        <v>2251173547541299</v>
      </c>
      <c r="N3">
        <f>$B3*'Time Series Scaling Factors'!N54</f>
        <v>2228190986431953.5</v>
      </c>
      <c r="O3">
        <f>$B3*'Time Series Scaling Factors'!O54</f>
        <v>2281002194056751</v>
      </c>
      <c r="P3">
        <f>$B3*'Time Series Scaling Factors'!P54</f>
        <v>2263277076459821.5</v>
      </c>
      <c r="Q3">
        <f>$B3*'Time Series Scaling Factors'!Q54</f>
        <v>2322383463177370.5</v>
      </c>
      <c r="R3">
        <f>$B3*'Time Series Scaling Factors'!R54</f>
        <v>2356059076757570</v>
      </c>
      <c r="S3">
        <f>$B3*'Time Series Scaling Factors'!S54</f>
        <v>2328416864092852.5</v>
      </c>
      <c r="T3">
        <f>$B3*'Time Series Scaling Factors'!T54</f>
        <v>2340423496014416</v>
      </c>
      <c r="U3">
        <f>$B3*'Time Series Scaling Factors'!U54</f>
        <v>2356730322889729.5</v>
      </c>
      <c r="V3">
        <f>$B3*'Time Series Scaling Factors'!V54</f>
        <v>2376181613601838</v>
      </c>
      <c r="W3">
        <f>$B3*'Time Series Scaling Factors'!W54</f>
        <v>2432928089587000</v>
      </c>
      <c r="X3">
        <f>$B3*'Time Series Scaling Factors'!X54</f>
        <v>2448044802539987</v>
      </c>
      <c r="Y3">
        <f>$B3*'Time Series Scaling Factors'!Y54</f>
        <v>2482183802565321.5</v>
      </c>
      <c r="Z3">
        <f>$B3*'Time Series Scaling Factors'!Z54</f>
        <v>2497742803423782</v>
      </c>
      <c r="AA3">
        <f>$B3*'Time Series Scaling Factors'!AA54</f>
        <v>2522423406262093.5</v>
      </c>
      <c r="AB3">
        <f>$B3*'Time Series Scaling Factors'!AB54</f>
        <v>2496095554475480.5</v>
      </c>
    </row>
    <row r="4" spans="1:29">
      <c r="A4" s="1" t="s">
        <v>106</v>
      </c>
      <c r="B4">
        <f>'Start Year Data'!$D$28</f>
        <v>7818752000000000</v>
      </c>
      <c r="C4">
        <f>$B4*'Time Series Scaling Factors'!C55</f>
        <v>8591709000000001</v>
      </c>
      <c r="D4">
        <f>$B4*'Time Series Scaling Factors'!D55</f>
        <v>9108819000000002</v>
      </c>
      <c r="E4">
        <f>$B4*'Time Series Scaling Factors'!E55</f>
        <v>9009503000000000</v>
      </c>
      <c r="F4">
        <f>$B4*'Time Series Scaling Factors'!F55</f>
        <v>1.0029778E+16</v>
      </c>
      <c r="G4">
        <f>$B4*'Time Series Scaling Factors'!G55</f>
        <v>1.0658371000000002E+16</v>
      </c>
      <c r="H4">
        <f>$B4*'Time Series Scaling Factors'!H55</f>
        <v>1.1299662E+16</v>
      </c>
      <c r="I4">
        <f>$B4*'Time Series Scaling Factors'!I55</f>
        <v>1.1562331E+16</v>
      </c>
      <c r="J4">
        <f>$B4*'Time Series Scaling Factors'!J55</f>
        <v>1.183005E+16</v>
      </c>
      <c r="K4">
        <f>$B4*'Time Series Scaling Factors'!K55</f>
        <v>1.2097961E+16</v>
      </c>
      <c r="L4">
        <f>$B4*'Time Series Scaling Factors'!L55</f>
        <v>1.2369316E+16</v>
      </c>
      <c r="M4">
        <f>$B4*'Time Series Scaling Factors'!M55</f>
        <v>1.2509456E+16</v>
      </c>
      <c r="N4">
        <f>$B4*'Time Series Scaling Factors'!N55</f>
        <v>1.2687962000000002E+16</v>
      </c>
      <c r="O4">
        <f>$B4*'Time Series Scaling Factors'!O55</f>
        <v>1.2821247E+16</v>
      </c>
      <c r="P4">
        <f>$B4*'Time Series Scaling Factors'!P55</f>
        <v>1.2877399E+16</v>
      </c>
      <c r="Q4">
        <f>$B4*'Time Series Scaling Factors'!Q55</f>
        <v>1.2941127E+16</v>
      </c>
      <c r="R4">
        <f>$B4*'Time Series Scaling Factors'!R55</f>
        <v>1.3047361E+16</v>
      </c>
      <c r="S4">
        <f>$B4*'Time Series Scaling Factors'!S55</f>
        <v>1.3099333E+16</v>
      </c>
      <c r="T4">
        <f>$B4*'Time Series Scaling Factors'!T55</f>
        <v>1.3132851000000002E+16</v>
      </c>
      <c r="U4">
        <f>$B4*'Time Series Scaling Factors'!U55</f>
        <v>1.3117587000000002E+16</v>
      </c>
      <c r="V4">
        <f>$B4*'Time Series Scaling Factors'!V55</f>
        <v>1.3110284E+16</v>
      </c>
      <c r="W4">
        <f>$B4*'Time Series Scaling Factors'!W55</f>
        <v>1.3128943E+16</v>
      </c>
      <c r="X4">
        <f>$B4*'Time Series Scaling Factors'!X55</f>
        <v>1.3158234000000002E+16</v>
      </c>
      <c r="Y4">
        <f>$B4*'Time Series Scaling Factors'!Y55</f>
        <v>1.3197891E+16</v>
      </c>
      <c r="Z4">
        <f>$B4*'Time Series Scaling Factors'!Z55</f>
        <v>1.321223E+16</v>
      </c>
      <c r="AA4">
        <f>$B4*'Time Series Scaling Factors'!AA55</f>
        <v>1.3199548E+16</v>
      </c>
      <c r="AB4">
        <f>$B4*'Time Series Scaling Factors'!AB55</f>
        <v>1.3252179E+16</v>
      </c>
    </row>
    <row r="5" spans="1:29">
      <c r="A5" s="1" t="s">
        <v>117</v>
      </c>
      <c r="B5">
        <f>'Start Year Data'!$D$29</f>
        <v>0</v>
      </c>
      <c r="C5">
        <f>$B5*'Time Series Scaling Factors'!C56</f>
        <v>0</v>
      </c>
      <c r="D5">
        <f>$B5*'Time Series Scaling Factors'!D56</f>
        <v>0</v>
      </c>
      <c r="E5">
        <f>$B5*'Time Series Scaling Factors'!E56</f>
        <v>0</v>
      </c>
      <c r="F5">
        <f>$B5*'Time Series Scaling Factors'!F56</f>
        <v>0</v>
      </c>
      <c r="G5">
        <f>$B5*'Time Series Scaling Factors'!G56</f>
        <v>0</v>
      </c>
      <c r="H5">
        <f>$B5*'Time Series Scaling Factors'!H56</f>
        <v>0</v>
      </c>
      <c r="I5">
        <f>$B5*'Time Series Scaling Factors'!I56</f>
        <v>0</v>
      </c>
      <c r="J5">
        <f>$B5*'Time Series Scaling Factors'!J56</f>
        <v>0</v>
      </c>
      <c r="K5">
        <f>$B5*'Time Series Scaling Factors'!K56</f>
        <v>0</v>
      </c>
      <c r="L5">
        <f>$B5*'Time Series Scaling Factors'!L56</f>
        <v>0</v>
      </c>
      <c r="M5">
        <f>$B5*'Time Series Scaling Factors'!M56</f>
        <v>0</v>
      </c>
      <c r="N5">
        <f>$B5*'Time Series Scaling Factors'!N56</f>
        <v>0</v>
      </c>
      <c r="O5">
        <f>$B5*'Time Series Scaling Factors'!O56</f>
        <v>0</v>
      </c>
      <c r="P5">
        <f>$B5*'Time Series Scaling Factors'!P56</f>
        <v>0</v>
      </c>
      <c r="Q5">
        <f>$B5*'Time Series Scaling Factors'!Q56</f>
        <v>0</v>
      </c>
      <c r="R5">
        <f>$B5*'Time Series Scaling Factors'!R56</f>
        <v>0</v>
      </c>
      <c r="S5">
        <f>$B5*'Time Series Scaling Factors'!S56</f>
        <v>0</v>
      </c>
      <c r="T5">
        <f>$B5*'Time Series Scaling Factors'!T56</f>
        <v>0</v>
      </c>
      <c r="U5">
        <f>$B5*'Time Series Scaling Factors'!U56</f>
        <v>0</v>
      </c>
      <c r="V5">
        <f>$B5*'Time Series Scaling Factors'!V56</f>
        <v>0</v>
      </c>
      <c r="W5">
        <f>$B5*'Time Series Scaling Factors'!W56</f>
        <v>0</v>
      </c>
      <c r="X5">
        <f>$B5*'Time Series Scaling Factors'!X56</f>
        <v>0</v>
      </c>
      <c r="Y5">
        <f>$B5*'Time Series Scaling Factors'!Y56</f>
        <v>0</v>
      </c>
      <c r="Z5">
        <f>$B5*'Time Series Scaling Factors'!Z56</f>
        <v>0</v>
      </c>
      <c r="AA5">
        <f>$B5*'Time Series Scaling Factors'!AA56</f>
        <v>0</v>
      </c>
      <c r="AB5">
        <f>$B5*'Time Series Scaling Factors'!AB56</f>
        <v>0</v>
      </c>
    </row>
    <row r="6" spans="1:29">
      <c r="A6" s="1" t="s">
        <v>118</v>
      </c>
      <c r="B6">
        <f>'Start Year Data'!$D$30</f>
        <v>0</v>
      </c>
      <c r="C6">
        <f>$B6*'Time Series Scaling Factors'!C57</f>
        <v>0</v>
      </c>
      <c r="D6">
        <f>$B6*'Time Series Scaling Factors'!D57</f>
        <v>0</v>
      </c>
      <c r="E6">
        <f>$B6*'Time Series Scaling Factors'!E57</f>
        <v>0</v>
      </c>
      <c r="F6">
        <f>$B6*'Time Series Scaling Factors'!F57</f>
        <v>0</v>
      </c>
      <c r="G6">
        <f>$B6*'Time Series Scaling Factors'!G57</f>
        <v>0</v>
      </c>
      <c r="H6">
        <f>$B6*'Time Series Scaling Factors'!H57</f>
        <v>0</v>
      </c>
      <c r="I6">
        <f>$B6*'Time Series Scaling Factors'!I57</f>
        <v>0</v>
      </c>
      <c r="J6">
        <f>$B6*'Time Series Scaling Factors'!J57</f>
        <v>0</v>
      </c>
      <c r="K6">
        <f>$B6*'Time Series Scaling Factors'!K57</f>
        <v>0</v>
      </c>
      <c r="L6">
        <f>$B6*'Time Series Scaling Factors'!L57</f>
        <v>0</v>
      </c>
      <c r="M6">
        <f>$B6*'Time Series Scaling Factors'!M57</f>
        <v>0</v>
      </c>
      <c r="N6">
        <f>$B6*'Time Series Scaling Factors'!N57</f>
        <v>0</v>
      </c>
      <c r="O6">
        <f>$B6*'Time Series Scaling Factors'!O57</f>
        <v>0</v>
      </c>
      <c r="P6">
        <f>$B6*'Time Series Scaling Factors'!P57</f>
        <v>0</v>
      </c>
      <c r="Q6">
        <f>$B6*'Time Series Scaling Factors'!Q57</f>
        <v>0</v>
      </c>
      <c r="R6">
        <f>$B6*'Time Series Scaling Factors'!R57</f>
        <v>0</v>
      </c>
      <c r="S6">
        <f>$B6*'Time Series Scaling Factors'!S57</f>
        <v>0</v>
      </c>
      <c r="T6">
        <f>$B6*'Time Series Scaling Factors'!T57</f>
        <v>0</v>
      </c>
      <c r="U6">
        <f>$B6*'Time Series Scaling Factors'!U57</f>
        <v>0</v>
      </c>
      <c r="V6">
        <f>$B6*'Time Series Scaling Factors'!V57</f>
        <v>0</v>
      </c>
      <c r="W6">
        <f>$B6*'Time Series Scaling Factors'!W57</f>
        <v>0</v>
      </c>
      <c r="X6">
        <f>$B6*'Time Series Scaling Factors'!X57</f>
        <v>0</v>
      </c>
      <c r="Y6">
        <f>$B6*'Time Series Scaling Factors'!Y57</f>
        <v>0</v>
      </c>
      <c r="Z6">
        <f>$B6*'Time Series Scaling Factors'!Z57</f>
        <v>0</v>
      </c>
      <c r="AA6">
        <f>$B6*'Time Series Scaling Factors'!AA57</f>
        <v>0</v>
      </c>
      <c r="AB6">
        <f>$B6*'Time Series Scaling Factors'!AB57</f>
        <v>0</v>
      </c>
    </row>
    <row r="7" spans="1:29">
      <c r="A7" s="1" t="s">
        <v>119</v>
      </c>
      <c r="B7">
        <f>'Start Year Data'!$D$31</f>
        <v>0</v>
      </c>
      <c r="C7">
        <f>$B7*'Time Series Scaling Factors'!C58</f>
        <v>0</v>
      </c>
      <c r="D7">
        <f>$B7*'Time Series Scaling Factors'!D58</f>
        <v>0</v>
      </c>
      <c r="E7">
        <f>$B7*'Time Series Scaling Factors'!E58</f>
        <v>0</v>
      </c>
      <c r="F7">
        <f>$B7*'Time Series Scaling Factors'!F58</f>
        <v>0</v>
      </c>
      <c r="G7">
        <f>$B7*'Time Series Scaling Factors'!G58</f>
        <v>0</v>
      </c>
      <c r="H7">
        <f>$B7*'Time Series Scaling Factors'!H58</f>
        <v>0</v>
      </c>
      <c r="I7">
        <f>$B7*'Time Series Scaling Factors'!I58</f>
        <v>0</v>
      </c>
      <c r="J7">
        <f>$B7*'Time Series Scaling Factors'!J58</f>
        <v>0</v>
      </c>
      <c r="K7">
        <f>$B7*'Time Series Scaling Factors'!K58</f>
        <v>0</v>
      </c>
      <c r="L7">
        <f>$B7*'Time Series Scaling Factors'!L58</f>
        <v>0</v>
      </c>
      <c r="M7">
        <f>$B7*'Time Series Scaling Factors'!M58</f>
        <v>0</v>
      </c>
      <c r="N7">
        <f>$B7*'Time Series Scaling Factors'!N58</f>
        <v>0</v>
      </c>
      <c r="O7">
        <f>$B7*'Time Series Scaling Factors'!O58</f>
        <v>0</v>
      </c>
      <c r="P7">
        <f>$B7*'Time Series Scaling Factors'!P58</f>
        <v>0</v>
      </c>
      <c r="Q7">
        <f>$B7*'Time Series Scaling Factors'!Q58</f>
        <v>0</v>
      </c>
      <c r="R7">
        <f>$B7*'Time Series Scaling Factors'!R58</f>
        <v>0</v>
      </c>
      <c r="S7">
        <f>$B7*'Time Series Scaling Factors'!S58</f>
        <v>0</v>
      </c>
      <c r="T7">
        <f>$B7*'Time Series Scaling Factors'!T58</f>
        <v>0</v>
      </c>
      <c r="U7">
        <f>$B7*'Time Series Scaling Factors'!U58</f>
        <v>0</v>
      </c>
      <c r="V7">
        <f>$B7*'Time Series Scaling Factors'!V58</f>
        <v>0</v>
      </c>
      <c r="W7">
        <f>$B7*'Time Series Scaling Factors'!W58</f>
        <v>0</v>
      </c>
      <c r="X7">
        <f>$B7*'Time Series Scaling Factors'!X58</f>
        <v>0</v>
      </c>
      <c r="Y7">
        <f>$B7*'Time Series Scaling Factors'!Y58</f>
        <v>0</v>
      </c>
      <c r="Z7">
        <f>$B7*'Time Series Scaling Factors'!Z58</f>
        <v>0</v>
      </c>
      <c r="AA7">
        <f>$B7*'Time Series Scaling Factors'!AA58</f>
        <v>0</v>
      </c>
      <c r="AB7">
        <f>$B7*'Time Series Scaling Factors'!AB58</f>
        <v>0</v>
      </c>
    </row>
    <row r="8" spans="1:29">
      <c r="A8" s="1" t="s">
        <v>120</v>
      </c>
      <c r="B8">
        <f>'Start Year Data'!$D$32</f>
        <v>0</v>
      </c>
      <c r="C8">
        <f>$B8*'Time Series Scaling Factors'!C59</f>
        <v>0</v>
      </c>
      <c r="D8">
        <f>$B8*'Time Series Scaling Factors'!D59</f>
        <v>0</v>
      </c>
      <c r="E8">
        <f>$B8*'Time Series Scaling Factors'!E59</f>
        <v>0</v>
      </c>
      <c r="F8">
        <f>$B8*'Time Series Scaling Factors'!F59</f>
        <v>0</v>
      </c>
      <c r="G8">
        <f>$B8*'Time Series Scaling Factors'!G59</f>
        <v>0</v>
      </c>
      <c r="H8">
        <f>$B8*'Time Series Scaling Factors'!H59</f>
        <v>0</v>
      </c>
      <c r="I8">
        <f>$B8*'Time Series Scaling Factors'!I59</f>
        <v>0</v>
      </c>
      <c r="J8">
        <f>$B8*'Time Series Scaling Factors'!J59</f>
        <v>0</v>
      </c>
      <c r="K8">
        <f>$B8*'Time Series Scaling Factors'!K59</f>
        <v>0</v>
      </c>
      <c r="L8">
        <f>$B8*'Time Series Scaling Factors'!L59</f>
        <v>0</v>
      </c>
      <c r="M8">
        <f>$B8*'Time Series Scaling Factors'!M59</f>
        <v>0</v>
      </c>
      <c r="N8">
        <f>$B8*'Time Series Scaling Factors'!N59</f>
        <v>0</v>
      </c>
      <c r="O8">
        <f>$B8*'Time Series Scaling Factors'!O59</f>
        <v>0</v>
      </c>
      <c r="P8">
        <f>$B8*'Time Series Scaling Factors'!P59</f>
        <v>0</v>
      </c>
      <c r="Q8">
        <f>$B8*'Time Series Scaling Factors'!Q59</f>
        <v>0</v>
      </c>
      <c r="R8">
        <f>$B8*'Time Series Scaling Factors'!R59</f>
        <v>0</v>
      </c>
      <c r="S8">
        <f>$B8*'Time Series Scaling Factors'!S59</f>
        <v>0</v>
      </c>
      <c r="T8">
        <f>$B8*'Time Series Scaling Factors'!T59</f>
        <v>0</v>
      </c>
      <c r="U8">
        <f>$B8*'Time Series Scaling Factors'!U59</f>
        <v>0</v>
      </c>
      <c r="V8">
        <f>$B8*'Time Series Scaling Factors'!V59</f>
        <v>0</v>
      </c>
      <c r="W8">
        <f>$B8*'Time Series Scaling Factors'!W59</f>
        <v>0</v>
      </c>
      <c r="X8">
        <f>$B8*'Time Series Scaling Factors'!X59</f>
        <v>0</v>
      </c>
      <c r="Y8">
        <f>$B8*'Time Series Scaling Factors'!Y59</f>
        <v>0</v>
      </c>
      <c r="Z8">
        <f>$B8*'Time Series Scaling Factors'!Z59</f>
        <v>0</v>
      </c>
      <c r="AA8">
        <f>$B8*'Time Series Scaling Factors'!AA59</f>
        <v>0</v>
      </c>
      <c r="AB8">
        <f>$B8*'Time Series Scaling Factors'!AB59</f>
        <v>0</v>
      </c>
    </row>
    <row r="9" spans="1:29">
      <c r="A9" s="1" t="s">
        <v>109</v>
      </c>
      <c r="B9">
        <f>'Start Year Data'!$D$33</f>
        <v>158847922072000</v>
      </c>
      <c r="C9">
        <f>$B9*'Time Series Scaling Factors'!C60</f>
        <v>158847922072000</v>
      </c>
      <c r="D9">
        <f>$B9*'Time Series Scaling Factors'!D60</f>
        <v>158847922072000</v>
      </c>
      <c r="E9">
        <f>$B9*'Time Series Scaling Factors'!E60</f>
        <v>158847922072000</v>
      </c>
      <c r="F9">
        <f>$B9*'Time Series Scaling Factors'!F60</f>
        <v>158847922072000</v>
      </c>
      <c r="G9">
        <f>$B9*'Time Series Scaling Factors'!G60</f>
        <v>158847922072000</v>
      </c>
      <c r="H9">
        <f>$B9*'Time Series Scaling Factors'!H60</f>
        <v>158847922072000</v>
      </c>
      <c r="I9">
        <f>$B9*'Time Series Scaling Factors'!I60</f>
        <v>158847922072000</v>
      </c>
      <c r="J9">
        <f>$B9*'Time Series Scaling Factors'!J60</f>
        <v>158847922072000</v>
      </c>
      <c r="K9">
        <f>$B9*'Time Series Scaling Factors'!K60</f>
        <v>158847922072000</v>
      </c>
      <c r="L9">
        <f>$B9*'Time Series Scaling Factors'!L60</f>
        <v>158847922072000</v>
      </c>
      <c r="M9">
        <f>$B9*'Time Series Scaling Factors'!M60</f>
        <v>158847922072000</v>
      </c>
      <c r="N9">
        <f>$B9*'Time Series Scaling Factors'!N60</f>
        <v>158847922072000</v>
      </c>
      <c r="O9">
        <f>$B9*'Time Series Scaling Factors'!O60</f>
        <v>158847922072000</v>
      </c>
      <c r="P9">
        <f>$B9*'Time Series Scaling Factors'!P60</f>
        <v>158847922072000</v>
      </c>
      <c r="Q9">
        <f>$B9*'Time Series Scaling Factors'!Q60</f>
        <v>158847922072000</v>
      </c>
      <c r="R9">
        <f>$B9*'Time Series Scaling Factors'!R60</f>
        <v>158847922072000</v>
      </c>
      <c r="S9">
        <f>$B9*'Time Series Scaling Factors'!S60</f>
        <v>158847922072000</v>
      </c>
      <c r="T9">
        <f>$B9*'Time Series Scaling Factors'!T60</f>
        <v>158847922072000</v>
      </c>
      <c r="U9">
        <f>$B9*'Time Series Scaling Factors'!U60</f>
        <v>158847922072000</v>
      </c>
      <c r="V9">
        <f>$B9*'Time Series Scaling Factors'!V60</f>
        <v>158847922072000</v>
      </c>
      <c r="W9">
        <f>$B9*'Time Series Scaling Factors'!W60</f>
        <v>158847922072000</v>
      </c>
      <c r="X9">
        <f>$B9*'Time Series Scaling Factors'!X60</f>
        <v>158847922072000</v>
      </c>
      <c r="Y9">
        <f>$B9*'Time Series Scaling Factors'!Y60</f>
        <v>158847922072000</v>
      </c>
      <c r="Z9">
        <f>$B9*'Time Series Scaling Factors'!Z60</f>
        <v>158847922072000</v>
      </c>
      <c r="AA9">
        <f>$B9*'Time Series Scaling Factors'!AA60</f>
        <v>158847922072000</v>
      </c>
      <c r="AB9">
        <f>$B9*'Time Series Scaling Factors'!AB60</f>
        <v>158847922072000</v>
      </c>
    </row>
    <row r="10" spans="1:29">
      <c r="A10" s="1" t="s">
        <v>110</v>
      </c>
      <c r="B10">
        <f>'Start Year Data'!$D$34</f>
        <v>1472806135206000</v>
      </c>
      <c r="C10">
        <f>$B10*'Time Series Scaling Factors'!C61</f>
        <v>1450306414964192.8</v>
      </c>
      <c r="D10">
        <f>$B10*'Time Series Scaling Factors'!D61</f>
        <v>1536880966697498.3</v>
      </c>
      <c r="E10">
        <f>$B10*'Time Series Scaling Factors'!E61</f>
        <v>1533190353819912.3</v>
      </c>
      <c r="F10">
        <f>$B10*'Time Series Scaling Factors'!F61</f>
        <v>1553000787496108.8</v>
      </c>
      <c r="G10">
        <f>$B10*'Time Series Scaling Factors'!G61</f>
        <v>1577687099264315.5</v>
      </c>
      <c r="H10">
        <f>$B10*'Time Series Scaling Factors'!H61</f>
        <v>1588669321152741</v>
      </c>
      <c r="I10">
        <f>$B10*'Time Series Scaling Factors'!I61</f>
        <v>1592163019592899.5</v>
      </c>
      <c r="J10">
        <f>$B10*'Time Series Scaling Factors'!J61</f>
        <v>1631425990321147.3</v>
      </c>
      <c r="K10">
        <f>$B10*'Time Series Scaling Factors'!K61</f>
        <v>1635416109915473</v>
      </c>
      <c r="L10">
        <f>$B10*'Time Series Scaling Factors'!L61</f>
        <v>1671582419315089.5</v>
      </c>
      <c r="M10">
        <f>$B10*'Time Series Scaling Factors'!M61</f>
        <v>1681301380190921</v>
      </c>
      <c r="N10">
        <f>$B10*'Time Series Scaling Factors'!N61</f>
        <v>1679160060448652</v>
      </c>
      <c r="O10">
        <f>$B10*'Time Series Scaling Factors'!O61</f>
        <v>1660218203380415</v>
      </c>
      <c r="P10">
        <f>$B10*'Time Series Scaling Factors'!P61</f>
        <v>1669167044867001.3</v>
      </c>
      <c r="Q10">
        <f>$B10*'Time Series Scaling Factors'!Q61</f>
        <v>1672354249763892.8</v>
      </c>
      <c r="R10">
        <f>$B10*'Time Series Scaling Factors'!R61</f>
        <v>1663453317944921.3</v>
      </c>
      <c r="S10">
        <f>$B10*'Time Series Scaling Factors'!S61</f>
        <v>1660489049849563.5</v>
      </c>
      <c r="T10">
        <f>$B10*'Time Series Scaling Factors'!T61</f>
        <v>1658423587081017.8</v>
      </c>
      <c r="U10">
        <f>$B10*'Time Series Scaling Factors'!U61</f>
        <v>1664642646925794.8</v>
      </c>
      <c r="V10">
        <f>$B10*'Time Series Scaling Factors'!V61</f>
        <v>1669952349909821.3</v>
      </c>
      <c r="W10">
        <f>$B10*'Time Series Scaling Factors'!W61</f>
        <v>1671947231471613.3</v>
      </c>
      <c r="X10">
        <f>$B10*'Time Series Scaling Factors'!X61</f>
        <v>1640045025077993.5</v>
      </c>
      <c r="Y10">
        <f>$B10*'Time Series Scaling Factors'!Y61</f>
        <v>1640342392970286</v>
      </c>
      <c r="Z10">
        <f>$B10*'Time Series Scaling Factors'!Z61</f>
        <v>1637973003247810</v>
      </c>
      <c r="AA10">
        <f>$B10*'Time Series Scaling Factors'!AA61</f>
        <v>1644088971754237.8</v>
      </c>
      <c r="AB10">
        <f>$B10*'Time Series Scaling Factors'!AB61</f>
        <v>1636703111879430</v>
      </c>
    </row>
    <row r="11" spans="1:29">
      <c r="A11" s="1" t="s">
        <v>121</v>
      </c>
      <c r="B11">
        <f>'Start Year Data'!$D$35</f>
        <v>2753075575000000</v>
      </c>
      <c r="C11">
        <f>$B11*'Time Series Scaling Factors'!C62</f>
        <v>2711017473284264.5</v>
      </c>
      <c r="D11">
        <f>$B11*'Time Series Scaling Factors'!D62</f>
        <v>2872848876682242</v>
      </c>
      <c r="E11">
        <f>$B11*'Time Series Scaling Factors'!E62</f>
        <v>2865950116602972</v>
      </c>
      <c r="F11">
        <f>$B11*'Time Series Scaling Factors'!F62</f>
        <v>2902981209684660</v>
      </c>
      <c r="G11">
        <f>$B11*'Time Series Scaling Factors'!G62</f>
        <v>2949126646168993</v>
      </c>
      <c r="H11">
        <f>$B11*'Time Series Scaling Factors'!H62</f>
        <v>2969655408317329.5</v>
      </c>
      <c r="I11">
        <f>$B11*'Time Series Scaling Factors'!I62</f>
        <v>2976186081711537.5</v>
      </c>
      <c r="J11">
        <f>$B11*'Time Series Scaling Factors'!J62</f>
        <v>3049579261662380</v>
      </c>
      <c r="K11">
        <f>$B11*'Time Series Scaling Factors'!K62</f>
        <v>3057037881323094</v>
      </c>
      <c r="L11">
        <f>$B11*'Time Series Scaling Factors'!L62</f>
        <v>3124642558317497</v>
      </c>
      <c r="M11">
        <f>$B11*'Time Series Scaling Factors'!M62</f>
        <v>3142809941764667</v>
      </c>
      <c r="N11">
        <f>$B11*'Time Series Scaling Factors'!N62</f>
        <v>3138807232283910</v>
      </c>
      <c r="O11">
        <f>$B11*'Time Series Scaling Factors'!O62</f>
        <v>3103399745315226.5</v>
      </c>
      <c r="P11">
        <f>$B11*'Time Series Scaling Factors'!P62</f>
        <v>3120127565991924.5</v>
      </c>
      <c r="Q11">
        <f>$B11*'Time Series Scaling Factors'!Q62</f>
        <v>3126085319524045</v>
      </c>
      <c r="R11">
        <f>$B11*'Time Series Scaling Factors'!R62</f>
        <v>3109447055057470.5</v>
      </c>
      <c r="S11">
        <f>$B11*'Time Series Scaling Factors'!S62</f>
        <v>3103906031092399</v>
      </c>
      <c r="T11">
        <f>$B11*'Time Series Scaling Factors'!T62</f>
        <v>3100045118944338.5</v>
      </c>
      <c r="U11">
        <f>$B11*'Time Series Scaling Factors'!U62</f>
        <v>3111670234666527</v>
      </c>
      <c r="V11">
        <f>$B11*'Time Series Scaling Factors'!V62</f>
        <v>3121595514882570.5</v>
      </c>
      <c r="W11">
        <f>$B11*'Time Series Scaling Factors'!W62</f>
        <v>3125324491542502</v>
      </c>
      <c r="X11">
        <f>$B11*'Time Series Scaling Factors'!X62</f>
        <v>3065690583785458</v>
      </c>
      <c r="Y11">
        <f>$B11*'Time Series Scaling Factors'!Y62</f>
        <v>3066246445321807</v>
      </c>
      <c r="Z11">
        <f>$B11*'Time Series Scaling Factors'!Z62</f>
        <v>3061817410965773.5</v>
      </c>
      <c r="AA11">
        <f>$B11*'Time Series Scaling Factors'!AA62</f>
        <v>3073249820914391.5</v>
      </c>
      <c r="AB11">
        <f>$B11*'Time Series Scaling Factors'!AB62</f>
        <v>3059443638324813</v>
      </c>
    </row>
    <row r="12" spans="1:29">
      <c r="A12" s="1" t="s">
        <v>122</v>
      </c>
      <c r="B12">
        <f>'Start Year Data'!$D$36</f>
        <v>184633752099000</v>
      </c>
      <c r="C12">
        <f>$B12*'Time Series Scaling Factors'!C63</f>
        <v>181813144776610.16</v>
      </c>
      <c r="D12">
        <f>$B12*'Time Series Scaling Factors'!D63</f>
        <v>192666293701450.47</v>
      </c>
      <c r="E12">
        <f>$B12*'Time Series Scaling Factors'!E63</f>
        <v>192203631517443.28</v>
      </c>
      <c r="F12">
        <f>$B12*'Time Series Scaling Factors'!F63</f>
        <v>194687104808945.41</v>
      </c>
      <c r="G12">
        <f>$B12*'Time Series Scaling Factors'!G63</f>
        <v>197781827364953.88</v>
      </c>
      <c r="H12">
        <f>$B12*'Time Series Scaling Factors'!H63</f>
        <v>199158579393054.44</v>
      </c>
      <c r="I12">
        <f>$B12*'Time Series Scaling Factors'!I63</f>
        <v>199596556012169.09</v>
      </c>
      <c r="J12">
        <f>$B12*'Time Series Scaling Factors'!J63</f>
        <v>204518636000039.09</v>
      </c>
      <c r="K12">
        <f>$B12*'Time Series Scaling Factors'!K63</f>
        <v>205018844910372.75</v>
      </c>
      <c r="L12">
        <f>$B12*'Time Series Scaling Factors'!L63</f>
        <v>209552721599507.09</v>
      </c>
      <c r="M12">
        <f>$B12*'Time Series Scaling Factors'!M63</f>
        <v>210771108846893.97</v>
      </c>
      <c r="N12">
        <f>$B12*'Time Series Scaling Factors'!N63</f>
        <v>210502668969432.78</v>
      </c>
      <c r="O12">
        <f>$B12*'Time Series Scaling Factors'!O63</f>
        <v>208128082078034.22</v>
      </c>
      <c r="P12">
        <f>$B12*'Time Series Scaling Factors'!P63</f>
        <v>209249925707763.84</v>
      </c>
      <c r="Q12">
        <f>$B12*'Time Series Scaling Factors'!Q63</f>
        <v>209649479718814.38</v>
      </c>
      <c r="R12">
        <f>$B12*'Time Series Scaling Factors'!R63</f>
        <v>208533642135285.97</v>
      </c>
      <c r="S12">
        <f>$B12*'Time Series Scaling Factors'!S63</f>
        <v>208162035901722.38</v>
      </c>
      <c r="T12">
        <f>$B12*'Time Series Scaling Factors'!T63</f>
        <v>207903105597413.16</v>
      </c>
      <c r="U12">
        <f>$B12*'Time Series Scaling Factors'!U63</f>
        <v>208682738657204</v>
      </c>
      <c r="V12">
        <f>$B12*'Time Series Scaling Factors'!V63</f>
        <v>209348373027565.28</v>
      </c>
      <c r="W12">
        <f>$B12*'Time Series Scaling Factors'!W63</f>
        <v>209598455138810.19</v>
      </c>
      <c r="X12">
        <f>$B12*'Time Series Scaling Factors'!X63</f>
        <v>205599134436722.78</v>
      </c>
      <c r="Y12">
        <f>$B12*'Time Series Scaling Factors'!Y63</f>
        <v>205636413035986.66</v>
      </c>
      <c r="Z12">
        <f>$B12*'Time Series Scaling Factors'!Z63</f>
        <v>205339381876088.38</v>
      </c>
      <c r="AA12">
        <f>$B12*'Time Series Scaling Factors'!AA63</f>
        <v>206106091211464.09</v>
      </c>
      <c r="AB12">
        <f>$B12*'Time Series Scaling Factors'!AB63</f>
        <v>205180185901480.78</v>
      </c>
    </row>
    <row r="13" spans="1:29">
      <c r="A13" s="1" t="s">
        <v>123</v>
      </c>
      <c r="B13">
        <f>'Start Year Data'!$D$37</f>
        <v>23059777000000</v>
      </c>
      <c r="C13">
        <f>$B13*'Time Series Scaling Factors'!C64</f>
        <v>22707498095848.168</v>
      </c>
      <c r="D13">
        <f>$B13*'Time Series Scaling Factors'!D64</f>
        <v>24062998870270.023</v>
      </c>
      <c r="E13">
        <f>$B13*'Time Series Scaling Factors'!E64</f>
        <v>24005214815793.254</v>
      </c>
      <c r="F13">
        <f>$B13*'Time Series Scaling Factors'!F64</f>
        <v>24315387466440.508</v>
      </c>
      <c r="G13">
        <f>$B13*'Time Series Scaling Factors'!G64</f>
        <v>24701901910344.355</v>
      </c>
      <c r="H13">
        <f>$B13*'Time Series Scaling Factors'!H64</f>
        <v>24873850941284.664</v>
      </c>
      <c r="I13">
        <f>$B13*'Time Series Scaling Factors'!I64</f>
        <v>24928551899550.316</v>
      </c>
      <c r="J13">
        <f>$B13*'Time Series Scaling Factors'!J64</f>
        <v>25543293600924.535</v>
      </c>
      <c r="K13">
        <f>$B13*'Time Series Scaling Factors'!K64</f>
        <v>25605767042505.91</v>
      </c>
      <c r="L13">
        <f>$B13*'Time Series Scaling Factors'!L64</f>
        <v>26172024209510.113</v>
      </c>
      <c r="M13">
        <f>$B13*'Time Series Scaling Factors'!M64</f>
        <v>26324194318739.766</v>
      </c>
      <c r="N13">
        <f>$B13*'Time Series Scaling Factors'!N64</f>
        <v>26290667600890.023</v>
      </c>
      <c r="O13">
        <f>$B13*'Time Series Scaling Factors'!O64</f>
        <v>25994094284471.617</v>
      </c>
      <c r="P13">
        <f>$B13*'Time Series Scaling Factors'!P64</f>
        <v>26134206607577.984</v>
      </c>
      <c r="Q13">
        <f>$B13*'Time Series Scaling Factors'!Q64</f>
        <v>26184108785752.539</v>
      </c>
      <c r="R13">
        <f>$B13*'Time Series Scaling Factors'!R64</f>
        <v>26044746585982.113</v>
      </c>
      <c r="S13">
        <f>$B13*'Time Series Scaling Factors'!S64</f>
        <v>25998334937080.609</v>
      </c>
      <c r="T13">
        <f>$B13*'Time Series Scaling Factors'!T64</f>
        <v>25965995914512.777</v>
      </c>
      <c r="U13">
        <f>$B13*'Time Series Scaling Factors'!U64</f>
        <v>26063367951294.898</v>
      </c>
      <c r="V13">
        <f>$B13*'Time Series Scaling Factors'!V64</f>
        <v>26146502156008.648</v>
      </c>
      <c r="W13">
        <f>$B13*'Time Series Scaling Factors'!W64</f>
        <v>26177736086161.922</v>
      </c>
      <c r="X13">
        <f>$B13*'Time Series Scaling Factors'!X64</f>
        <v>25678242128566.512</v>
      </c>
      <c r="Y13">
        <f>$B13*'Time Series Scaling Factors'!Y64</f>
        <v>25682898028022.191</v>
      </c>
      <c r="Z13">
        <f>$B13*'Time Series Scaling Factors'!Z64</f>
        <v>25645800410541.977</v>
      </c>
      <c r="AA13">
        <f>$B13*'Time Series Scaling Factors'!AA64</f>
        <v>25741558342645.863</v>
      </c>
      <c r="AB13">
        <f>$B13*'Time Series Scaling Factors'!AB64</f>
        <v>25625917677119.648</v>
      </c>
    </row>
    <row r="14" spans="1:29">
      <c r="A14" s="1" t="s">
        <v>112</v>
      </c>
      <c r="B14">
        <f>'Start Year Data'!$D$38</f>
        <v>447136200000000</v>
      </c>
      <c r="C14">
        <f>$B14*'Time Series Scaling Factors'!C65</f>
        <v>440305403217246.44</v>
      </c>
      <c r="D14">
        <f>$B14*'Time Series Scaling Factors'!D65</f>
        <v>466588981994788.25</v>
      </c>
      <c r="E14">
        <f>$B14*'Time Series Scaling Factors'!E65</f>
        <v>465468531326972.31</v>
      </c>
      <c r="F14">
        <f>$B14*'Time Series Scaling Factors'!F65</f>
        <v>471482874846180.69</v>
      </c>
      <c r="G14">
        <f>$B14*'Time Series Scaling Factors'!G65</f>
        <v>478977509321279</v>
      </c>
      <c r="H14">
        <f>$B14*'Time Series Scaling Factors'!H65</f>
        <v>482311654152269</v>
      </c>
      <c r="I14">
        <f>$B14*'Time Series Scaling Factors'!I65</f>
        <v>483372322632075.31</v>
      </c>
      <c r="J14">
        <f>$B14*'Time Series Scaling Factors'!J65</f>
        <v>495292354136890.13</v>
      </c>
      <c r="K14">
        <f>$B14*'Time Series Scaling Factors'!K65</f>
        <v>496503733469379.63</v>
      </c>
      <c r="L14">
        <f>$B14*'Time Series Scaling Factors'!L65</f>
        <v>507483634874194.81</v>
      </c>
      <c r="M14">
        <f>$B14*'Time Series Scaling Factors'!M65</f>
        <v>510434260302815.94</v>
      </c>
      <c r="N14">
        <f>$B14*'Time Series Scaling Factors'!N65</f>
        <v>509784166886136.06</v>
      </c>
      <c r="O14">
        <f>$B14*'Time Series Scaling Factors'!O65</f>
        <v>504033518658934.06</v>
      </c>
      <c r="P14">
        <f>$B14*'Time Series Scaling Factors'!P65</f>
        <v>506750339889553.63</v>
      </c>
      <c r="Q14">
        <f>$B14*'Time Series Scaling Factors'!Q65</f>
        <v>507717958540882.88</v>
      </c>
      <c r="R14">
        <f>$B14*'Time Series Scaling Factors'!R65</f>
        <v>505015682433486.5</v>
      </c>
      <c r="S14">
        <f>$B14*'Time Series Scaling Factors'!S65</f>
        <v>504115746223108</v>
      </c>
      <c r="T14">
        <f>$B14*'Time Series Scaling Factors'!T65</f>
        <v>503488682584864.94</v>
      </c>
      <c r="U14">
        <f>$B14*'Time Series Scaling Factors'!U65</f>
        <v>505376756459691.13</v>
      </c>
      <c r="V14">
        <f>$B14*'Time Series Scaling Factors'!V65</f>
        <v>506988754372148.31</v>
      </c>
      <c r="W14">
        <f>$B14*'Time Series Scaling Factors'!W65</f>
        <v>507594389927071.5</v>
      </c>
      <c r="X14">
        <f>$B14*'Time Series Scaling Factors'!X65</f>
        <v>497909047778178.5</v>
      </c>
      <c r="Y14">
        <f>$B14*'Time Series Scaling Factors'!Y65</f>
        <v>497999327106993.94</v>
      </c>
      <c r="Z14">
        <f>$B14*'Time Series Scaling Factors'!Z65</f>
        <v>497279992843303.69</v>
      </c>
      <c r="AA14">
        <f>$B14*'Time Series Scaling Factors'!AA65</f>
        <v>499136768729765.63</v>
      </c>
      <c r="AB14">
        <f>$B14*'Time Series Scaling Factors'!AB65</f>
        <v>496894460499774.38</v>
      </c>
    </row>
    <row r="15" spans="1:29">
      <c r="A15" s="1" t="s">
        <v>124</v>
      </c>
      <c r="B15">
        <f>'Start Year Data'!$D$39</f>
        <v>0</v>
      </c>
      <c r="C15">
        <f>$B15*'Time Series Scaling Factors'!C66</f>
        <v>0</v>
      </c>
      <c r="D15">
        <f>$B15*'Time Series Scaling Factors'!D66</f>
        <v>0</v>
      </c>
      <c r="E15">
        <f>$B15*'Time Series Scaling Factors'!E66</f>
        <v>0</v>
      </c>
      <c r="F15">
        <f>$B15*'Time Series Scaling Factors'!F66</f>
        <v>0</v>
      </c>
      <c r="G15">
        <f>$B15*'Time Series Scaling Factors'!G66</f>
        <v>0</v>
      </c>
      <c r="H15">
        <f>$B15*'Time Series Scaling Factors'!H66</f>
        <v>0</v>
      </c>
      <c r="I15">
        <f>$B15*'Time Series Scaling Factors'!I66</f>
        <v>0</v>
      </c>
      <c r="J15">
        <f>$B15*'Time Series Scaling Factors'!J66</f>
        <v>0</v>
      </c>
      <c r="K15">
        <f>$B15*'Time Series Scaling Factors'!K66</f>
        <v>0</v>
      </c>
      <c r="L15">
        <f>$B15*'Time Series Scaling Factors'!L66</f>
        <v>0</v>
      </c>
      <c r="M15">
        <f>$B15*'Time Series Scaling Factors'!M66</f>
        <v>0</v>
      </c>
      <c r="N15">
        <f>$B15*'Time Series Scaling Factors'!N66</f>
        <v>0</v>
      </c>
      <c r="O15">
        <f>$B15*'Time Series Scaling Factors'!O66</f>
        <v>0</v>
      </c>
      <c r="P15">
        <f>$B15*'Time Series Scaling Factors'!P66</f>
        <v>0</v>
      </c>
      <c r="Q15">
        <f>$B15*'Time Series Scaling Factors'!Q66</f>
        <v>0</v>
      </c>
      <c r="R15">
        <f>$B15*'Time Series Scaling Factors'!R66</f>
        <v>0</v>
      </c>
      <c r="S15">
        <f>$B15*'Time Series Scaling Factors'!S66</f>
        <v>0</v>
      </c>
      <c r="T15">
        <f>$B15*'Time Series Scaling Factors'!T66</f>
        <v>0</v>
      </c>
      <c r="U15">
        <f>$B15*'Time Series Scaling Factors'!U66</f>
        <v>0</v>
      </c>
      <c r="V15">
        <f>$B15*'Time Series Scaling Factors'!V66</f>
        <v>0</v>
      </c>
      <c r="W15">
        <f>$B15*'Time Series Scaling Factors'!W66</f>
        <v>0</v>
      </c>
      <c r="X15">
        <f>$B15*'Time Series Scaling Factors'!X66</f>
        <v>0</v>
      </c>
      <c r="Y15">
        <f>$B15*'Time Series Scaling Factors'!Y66</f>
        <v>0</v>
      </c>
      <c r="Z15">
        <f>$B15*'Time Series Scaling Factors'!Z66</f>
        <v>0</v>
      </c>
      <c r="AA15">
        <f>$B15*'Time Series Scaling Factors'!AA66</f>
        <v>0</v>
      </c>
      <c r="AB15">
        <f>$B15*'Time Series Scaling Factors'!AB66</f>
        <v>0</v>
      </c>
    </row>
    <row r="16" spans="1:29">
      <c r="A16" s="1" t="s">
        <v>125</v>
      </c>
      <c r="B16">
        <f>'Start Year Data'!$D$40</f>
        <v>0</v>
      </c>
      <c r="C16">
        <f>$B16*'Time Series Scaling Factors'!C67</f>
        <v>0</v>
      </c>
      <c r="D16">
        <f>$B16*'Time Series Scaling Factors'!D67</f>
        <v>0</v>
      </c>
      <c r="E16">
        <f>$B16*'Time Series Scaling Factors'!E67</f>
        <v>0</v>
      </c>
      <c r="F16">
        <f>$B16*'Time Series Scaling Factors'!F67</f>
        <v>0</v>
      </c>
      <c r="G16">
        <f>$B16*'Time Series Scaling Factors'!G67</f>
        <v>0</v>
      </c>
      <c r="H16">
        <f>$B16*'Time Series Scaling Factors'!H67</f>
        <v>0</v>
      </c>
      <c r="I16">
        <f>$B16*'Time Series Scaling Factors'!I67</f>
        <v>0</v>
      </c>
      <c r="J16">
        <f>$B16*'Time Series Scaling Factors'!J67</f>
        <v>0</v>
      </c>
      <c r="K16">
        <f>$B16*'Time Series Scaling Factors'!K67</f>
        <v>0</v>
      </c>
      <c r="L16">
        <f>$B16*'Time Series Scaling Factors'!L67</f>
        <v>0</v>
      </c>
      <c r="M16">
        <f>$B16*'Time Series Scaling Factors'!M67</f>
        <v>0</v>
      </c>
      <c r="N16">
        <f>$B16*'Time Series Scaling Factors'!N67</f>
        <v>0</v>
      </c>
      <c r="O16">
        <f>$B16*'Time Series Scaling Factors'!O67</f>
        <v>0</v>
      </c>
      <c r="P16">
        <f>$B16*'Time Series Scaling Factors'!P67</f>
        <v>0</v>
      </c>
      <c r="Q16">
        <f>$B16*'Time Series Scaling Factors'!Q67</f>
        <v>0</v>
      </c>
      <c r="R16">
        <f>$B16*'Time Series Scaling Factors'!R67</f>
        <v>0</v>
      </c>
      <c r="S16">
        <f>$B16*'Time Series Scaling Factors'!S67</f>
        <v>0</v>
      </c>
      <c r="T16">
        <f>$B16*'Time Series Scaling Factors'!T67</f>
        <v>0</v>
      </c>
      <c r="U16">
        <f>$B16*'Time Series Scaling Factors'!U67</f>
        <v>0</v>
      </c>
      <c r="V16">
        <f>$B16*'Time Series Scaling Factors'!V67</f>
        <v>0</v>
      </c>
      <c r="W16">
        <f>$B16*'Time Series Scaling Factors'!W67</f>
        <v>0</v>
      </c>
      <c r="X16">
        <f>$B16*'Time Series Scaling Factors'!X67</f>
        <v>0</v>
      </c>
      <c r="Y16">
        <f>$B16*'Time Series Scaling Factors'!Y67</f>
        <v>0</v>
      </c>
      <c r="Z16">
        <f>$B16*'Time Series Scaling Factors'!Z67</f>
        <v>0</v>
      </c>
      <c r="AA16">
        <f>$B16*'Time Series Scaling Factors'!AA67</f>
        <v>0</v>
      </c>
      <c r="AB16">
        <f>$B16*'Time Series Scaling Factors'!AB67</f>
        <v>0</v>
      </c>
    </row>
    <row r="17" spans="1:28">
      <c r="A17" s="1" t="s">
        <v>126</v>
      </c>
      <c r="B17">
        <f>'Start Year Data'!$D$41</f>
        <v>0</v>
      </c>
      <c r="C17">
        <f>$B17*'Time Series Scaling Factors'!C68</f>
        <v>0</v>
      </c>
      <c r="D17">
        <f>$B17*'Time Series Scaling Factors'!D68</f>
        <v>0</v>
      </c>
      <c r="E17">
        <f>$B17*'Time Series Scaling Factors'!E68</f>
        <v>0</v>
      </c>
      <c r="F17">
        <f>$B17*'Time Series Scaling Factors'!F68</f>
        <v>0</v>
      </c>
      <c r="G17">
        <f>$B17*'Time Series Scaling Factors'!G68</f>
        <v>0</v>
      </c>
      <c r="H17">
        <f>$B17*'Time Series Scaling Factors'!H68</f>
        <v>0</v>
      </c>
      <c r="I17">
        <f>$B17*'Time Series Scaling Factors'!I68</f>
        <v>0</v>
      </c>
      <c r="J17">
        <f>$B17*'Time Series Scaling Factors'!J68</f>
        <v>0</v>
      </c>
      <c r="K17">
        <f>$B17*'Time Series Scaling Factors'!K68</f>
        <v>0</v>
      </c>
      <c r="L17">
        <f>$B17*'Time Series Scaling Factors'!L68</f>
        <v>0</v>
      </c>
      <c r="M17">
        <f>$B17*'Time Series Scaling Factors'!M68</f>
        <v>0</v>
      </c>
      <c r="N17">
        <f>$B17*'Time Series Scaling Factors'!N68</f>
        <v>0</v>
      </c>
      <c r="O17">
        <f>$B17*'Time Series Scaling Factors'!O68</f>
        <v>0</v>
      </c>
      <c r="P17">
        <f>$B17*'Time Series Scaling Factors'!P68</f>
        <v>0</v>
      </c>
      <c r="Q17">
        <f>$B17*'Time Series Scaling Factors'!Q68</f>
        <v>0</v>
      </c>
      <c r="R17">
        <f>$B17*'Time Series Scaling Factors'!R68</f>
        <v>0</v>
      </c>
      <c r="S17">
        <f>$B17*'Time Series Scaling Factors'!S68</f>
        <v>0</v>
      </c>
      <c r="T17">
        <f>$B17*'Time Series Scaling Factors'!T68</f>
        <v>0</v>
      </c>
      <c r="U17">
        <f>$B17*'Time Series Scaling Factors'!U68</f>
        <v>0</v>
      </c>
      <c r="V17">
        <f>$B17*'Time Series Scaling Factors'!V68</f>
        <v>0</v>
      </c>
      <c r="W17">
        <f>$B17*'Time Series Scaling Factors'!W68</f>
        <v>0</v>
      </c>
      <c r="X17">
        <f>$B17*'Time Series Scaling Factors'!X68</f>
        <v>0</v>
      </c>
      <c r="Y17">
        <f>$B17*'Time Series Scaling Factors'!Y68</f>
        <v>0</v>
      </c>
      <c r="Z17">
        <f>$B17*'Time Series Scaling Factors'!Z68</f>
        <v>0</v>
      </c>
      <c r="AA17">
        <f>$B17*'Time Series Scaling Factors'!AA68</f>
        <v>0</v>
      </c>
      <c r="AB17">
        <f>$B17*'Time Series Scaling Factors'!AB68</f>
        <v>0</v>
      </c>
    </row>
    <row r="18" spans="1:28">
      <c r="A18" s="1" t="s">
        <v>113</v>
      </c>
      <c r="B18">
        <f>'Start Year Data'!$D$42</f>
        <v>8531505412304000</v>
      </c>
      <c r="C18">
        <f>$B18*'Time Series Scaling Factors'!C69</f>
        <v>8401171568337865</v>
      </c>
      <c r="D18">
        <f>$B18*'Time Series Scaling Factors'!D69</f>
        <v>8902670875697269</v>
      </c>
      <c r="E18">
        <f>$B18*'Time Series Scaling Factors'!E69</f>
        <v>8881292309308122</v>
      </c>
      <c r="F18">
        <f>$B18*'Time Series Scaling Factors'!F69</f>
        <v>8996047957107566</v>
      </c>
      <c r="G18">
        <f>$B18*'Time Series Scaling Factors'!G69</f>
        <v>9139048042064994</v>
      </c>
      <c r="H18">
        <f>$B18*'Time Series Scaling Factors'!H69</f>
        <v>9202664619454606</v>
      </c>
      <c r="I18">
        <f>$B18*'Time Series Scaling Factors'!I69</f>
        <v>9222902522080534</v>
      </c>
      <c r="J18">
        <f>$B18*'Time Series Scaling Factors'!J69</f>
        <v>9450340634445762</v>
      </c>
      <c r="K18">
        <f>$B18*'Time Series Scaling Factors'!K69</f>
        <v>9473454149592798</v>
      </c>
      <c r="L18">
        <f>$B18*'Time Series Scaling Factors'!L69</f>
        <v>9682954271170396</v>
      </c>
      <c r="M18">
        <f>$B18*'Time Series Scaling Factors'!M69</f>
        <v>9739253172520728</v>
      </c>
      <c r="N18">
        <f>$B18*'Time Series Scaling Factors'!N69</f>
        <v>9726849176818954</v>
      </c>
      <c r="O18">
        <f>$B18*'Time Series Scaling Factors'!O69</f>
        <v>9617124921715856</v>
      </c>
      <c r="P18">
        <f>$B18*'Time Series Scaling Factors'!P69</f>
        <v>9668962762251454</v>
      </c>
      <c r="Q18">
        <f>$B18*'Time Series Scaling Factors'!Q69</f>
        <v>9687425243618120</v>
      </c>
      <c r="R18">
        <f>$B18*'Time Series Scaling Factors'!R69</f>
        <v>9635864928806230</v>
      </c>
      <c r="S18">
        <f>$B18*'Time Series Scaling Factors'!S69</f>
        <v>9618693850621166</v>
      </c>
      <c r="T18">
        <f>$B18*'Time Series Scaling Factors'!T69</f>
        <v>9606729270648598</v>
      </c>
      <c r="U18">
        <f>$B18*'Time Series Scaling Factors'!U69</f>
        <v>9642754339703418</v>
      </c>
      <c r="V18">
        <f>$B18*'Time Series Scaling Factors'!V69</f>
        <v>9673511788808972</v>
      </c>
      <c r="W18">
        <f>$B18*'Time Series Scaling Factors'!W69</f>
        <v>9685067513920720</v>
      </c>
      <c r="X18">
        <f>$B18*'Time Series Scaling Factors'!X69</f>
        <v>9500268007722616</v>
      </c>
      <c r="Y18">
        <f>$B18*'Time Series Scaling Factors'!Y69</f>
        <v>9501990566939266</v>
      </c>
      <c r="Z18">
        <f>$B18*'Time Series Scaling Factors'!Z69</f>
        <v>9488265433156922</v>
      </c>
      <c r="AA18">
        <f>$B18*'Time Series Scaling Factors'!AA69</f>
        <v>9523693326324116</v>
      </c>
      <c r="AB18">
        <f>$B18*'Time Series Scaling Factors'!AB69</f>
        <v>9480909349539808</v>
      </c>
    </row>
    <row r="19" spans="1:28">
      <c r="A19" s="1" t="s">
        <v>127</v>
      </c>
      <c r="B19">
        <f>'Start Year Data'!$D$43</f>
        <v>314368861000000</v>
      </c>
      <c r="C19">
        <f>$B19*'Time Series Scaling Factors'!C70</f>
        <v>309566320287982.75</v>
      </c>
      <c r="D19">
        <f>$B19*'Time Series Scaling Factors'!D70</f>
        <v>328045563801032.19</v>
      </c>
      <c r="E19">
        <f>$B19*'Time Series Scaling Factors'!E70</f>
        <v>327257806513100.69</v>
      </c>
      <c r="F19">
        <f>$B19*'Time Series Scaling Factors'!F70</f>
        <v>331486321944855.69</v>
      </c>
      <c r="G19">
        <f>$B19*'Time Series Scaling Factors'!G70</f>
        <v>336755588230045.75</v>
      </c>
      <c r="H19">
        <f>$B19*'Time Series Scaling Factors'!H70</f>
        <v>339099731497639.25</v>
      </c>
      <c r="I19">
        <f>$B19*'Time Series Scaling Factors'!I70</f>
        <v>339845457613966.5</v>
      </c>
      <c r="J19">
        <f>$B19*'Time Series Scaling Factors'!J70</f>
        <v>348226095833937.81</v>
      </c>
      <c r="K19">
        <f>$B19*'Time Series Scaling Factors'!K70</f>
        <v>349077782503444.06</v>
      </c>
      <c r="L19">
        <f>$B19*'Time Series Scaling Factors'!L70</f>
        <v>356797441744910.19</v>
      </c>
      <c r="M19">
        <f>$B19*'Time Series Scaling Factors'!M70</f>
        <v>358871943329065.63</v>
      </c>
      <c r="N19">
        <f>$B19*'Time Series Scaling Factors'!N70</f>
        <v>358414880968770.81</v>
      </c>
      <c r="O19">
        <f>$B19*'Time Series Scaling Factors'!O70</f>
        <v>354371762265348.56</v>
      </c>
      <c r="P19">
        <f>$B19*'Time Series Scaling Factors'!P70</f>
        <v>356281882706973.5</v>
      </c>
      <c r="Q19">
        <f>$B19*'Time Series Scaling Factors'!Q70</f>
        <v>356962188111234.5</v>
      </c>
      <c r="R19">
        <f>$B19*'Time Series Scaling Factors'!R70</f>
        <v>355062293935836.25</v>
      </c>
      <c r="S19">
        <f>$B19*'Time Series Scaling Factors'!S70</f>
        <v>354429574148377</v>
      </c>
      <c r="T19">
        <f>$B19*'Time Series Scaling Factors'!T70</f>
        <v>353988703376274.44</v>
      </c>
      <c r="U19">
        <f>$B19*'Time Series Scaling Factors'!U70</f>
        <v>355316154907850.19</v>
      </c>
      <c r="V19">
        <f>$B19*'Time Series Scaling Factors'!V70</f>
        <v>356449505210674.13</v>
      </c>
      <c r="W19">
        <f>$B19*'Time Series Scaling Factors'!W70</f>
        <v>356875310501282</v>
      </c>
      <c r="X19">
        <f>$B19*'Time Series Scaling Factors'!X70</f>
        <v>350065819389305.88</v>
      </c>
      <c r="Y19">
        <f>$B19*'Time Series Scaling Factors'!Y70</f>
        <v>350129292241138.44</v>
      </c>
      <c r="Z19">
        <f>$B19*'Time Series Scaling Factors'!Z70</f>
        <v>349623548592660.44</v>
      </c>
      <c r="AA19">
        <f>$B19*'Time Series Scaling Factors'!AA70</f>
        <v>350928995390659.13</v>
      </c>
      <c r="AB19">
        <f>$B19*'Time Series Scaling Factors'!AB70</f>
        <v>349352491667021.31</v>
      </c>
    </row>
    <row r="20" spans="1:28">
      <c r="A20" s="1" t="s">
        <v>114</v>
      </c>
      <c r="B20">
        <f>'Start Year Data'!$D$44</f>
        <v>3855632665500000</v>
      </c>
      <c r="C20">
        <f>$B20*'Time Series Scaling Factors'!C71</f>
        <v>3796731052955596.5</v>
      </c>
      <c r="D20">
        <f>$B20*'Time Series Scaling Factors'!D71</f>
        <v>4023373013282075.5</v>
      </c>
      <c r="E20">
        <f>$B20*'Time Series Scaling Factors'!E71</f>
        <v>4013711424274269.5</v>
      </c>
      <c r="F20">
        <f>$B20*'Time Series Scaling Factors'!F71</f>
        <v>4065572801935478.5</v>
      </c>
      <c r="G20">
        <f>$B20*'Time Series Scaling Factors'!G71</f>
        <v>4130198653070259.5</v>
      </c>
      <c r="H20">
        <f>$B20*'Time Series Scaling Factors'!H71</f>
        <v>4158948814032116.5</v>
      </c>
      <c r="I20">
        <f>$B20*'Time Series Scaling Factors'!I71</f>
        <v>4168094904279355</v>
      </c>
      <c r="J20">
        <f>$B20*'Time Series Scaling Factors'!J71</f>
        <v>4270880728472862.5</v>
      </c>
      <c r="K20">
        <f>$B20*'Time Series Scaling Factors'!K71</f>
        <v>4281326390722213.5</v>
      </c>
      <c r="L20">
        <f>$B20*'Time Series Scaling Factors'!L71</f>
        <v>4376005520974639.5</v>
      </c>
      <c r="M20">
        <f>$B20*'Time Series Scaling Factors'!M71</f>
        <v>4401448613674909</v>
      </c>
      <c r="N20">
        <f>$B20*'Time Series Scaling Factors'!N71</f>
        <v>4395842891273150</v>
      </c>
      <c r="O20">
        <f>$B20*'Time Series Scaling Factors'!O71</f>
        <v>4346255344676387</v>
      </c>
      <c r="P20">
        <f>$B20*'Time Series Scaling Factors'!P71</f>
        <v>4369682355692495</v>
      </c>
      <c r="Q20">
        <f>$B20*'Time Series Scaling Factors'!Q71</f>
        <v>4378026082010812</v>
      </c>
      <c r="R20">
        <f>$B20*'Time Series Scaling Factors'!R71</f>
        <v>4354724492851004</v>
      </c>
      <c r="S20">
        <f>$B20*'Time Series Scaling Factors'!S71</f>
        <v>4346964388771751</v>
      </c>
      <c r="T20">
        <f>$B20*'Time Series Scaling Factors'!T71</f>
        <v>4341557250975801.5</v>
      </c>
      <c r="U20">
        <f>$B20*'Time Series Scaling Factors'!U71</f>
        <v>4357838015777794.5</v>
      </c>
      <c r="V20">
        <f>$B20*'Time Series Scaling Factors'!V71</f>
        <v>4371738191625753</v>
      </c>
      <c r="W20">
        <f>$B20*'Time Series Scaling Factors'!W71</f>
        <v>4376960556151260</v>
      </c>
      <c r="X20">
        <f>$B20*'Time Series Scaling Factors'!X71</f>
        <v>4293444344388902.5</v>
      </c>
      <c r="Y20">
        <f>$B20*'Time Series Scaling Factors'!Y71</f>
        <v>4294222818440434</v>
      </c>
      <c r="Z20">
        <f>$B20*'Time Series Scaling Factors'!Z71</f>
        <v>4288020035743578.5</v>
      </c>
      <c r="AA20">
        <f>$B20*'Time Series Scaling Factors'!AA71</f>
        <v>4304030919586925.5</v>
      </c>
      <c r="AB20">
        <f>$B20*'Time Series Scaling Factors'!AB71</f>
        <v>4284695609992950</v>
      </c>
    </row>
    <row r="21" spans="1:28">
      <c r="A21" s="1" t="s">
        <v>128</v>
      </c>
      <c r="B21">
        <f>'Start Year Data'!$D$45</f>
        <v>0</v>
      </c>
      <c r="C21">
        <f>$B21*'Time Series Scaling Factors'!C72</f>
        <v>0</v>
      </c>
      <c r="D21">
        <f>$B21*'Time Series Scaling Factors'!D72</f>
        <v>0</v>
      </c>
      <c r="E21">
        <f>$B21*'Time Series Scaling Factors'!E72</f>
        <v>0</v>
      </c>
      <c r="F21">
        <f>$B21*'Time Series Scaling Factors'!F72</f>
        <v>0</v>
      </c>
      <c r="G21">
        <f>$B21*'Time Series Scaling Factors'!G72</f>
        <v>0</v>
      </c>
      <c r="H21">
        <f>$B21*'Time Series Scaling Factors'!H72</f>
        <v>0</v>
      </c>
      <c r="I21">
        <f>$B21*'Time Series Scaling Factors'!I72</f>
        <v>0</v>
      </c>
      <c r="J21">
        <f>$B21*'Time Series Scaling Factors'!J72</f>
        <v>0</v>
      </c>
      <c r="K21">
        <f>$B21*'Time Series Scaling Factors'!K72</f>
        <v>0</v>
      </c>
      <c r="L21">
        <f>$B21*'Time Series Scaling Factors'!L72</f>
        <v>0</v>
      </c>
      <c r="M21">
        <f>$B21*'Time Series Scaling Factors'!M72</f>
        <v>0</v>
      </c>
      <c r="N21">
        <f>$B21*'Time Series Scaling Factors'!N72</f>
        <v>0</v>
      </c>
      <c r="O21">
        <f>$B21*'Time Series Scaling Factors'!O72</f>
        <v>0</v>
      </c>
      <c r="P21">
        <f>$B21*'Time Series Scaling Factors'!P72</f>
        <v>0</v>
      </c>
      <c r="Q21">
        <f>$B21*'Time Series Scaling Factors'!Q72</f>
        <v>0</v>
      </c>
      <c r="R21">
        <f>$B21*'Time Series Scaling Factors'!R72</f>
        <v>0</v>
      </c>
      <c r="S21">
        <f>$B21*'Time Series Scaling Factors'!S72</f>
        <v>0</v>
      </c>
      <c r="T21">
        <f>$B21*'Time Series Scaling Factors'!T72</f>
        <v>0</v>
      </c>
      <c r="U21">
        <f>$B21*'Time Series Scaling Factors'!U72</f>
        <v>0</v>
      </c>
      <c r="V21">
        <f>$B21*'Time Series Scaling Factors'!V72</f>
        <v>0</v>
      </c>
      <c r="W21">
        <f>$B21*'Time Series Scaling Factors'!W72</f>
        <v>0</v>
      </c>
      <c r="X21">
        <f>$B21*'Time Series Scaling Factors'!X72</f>
        <v>0</v>
      </c>
      <c r="Y21">
        <f>$B21*'Time Series Scaling Factors'!Y72</f>
        <v>0</v>
      </c>
      <c r="Z21">
        <f>$B21*'Time Series Scaling Factors'!Z72</f>
        <v>0</v>
      </c>
      <c r="AA21">
        <f>$B21*'Time Series Scaling Factors'!AA72</f>
        <v>0</v>
      </c>
      <c r="AB21">
        <f>$B21*'Time Series Scaling Factors'!AB72</f>
        <v>0</v>
      </c>
    </row>
    <row r="22" spans="1:28">
      <c r="A22" s="1" t="s">
        <v>129</v>
      </c>
      <c r="B22">
        <f>'Start Year Data'!$D$46</f>
        <v>0</v>
      </c>
      <c r="C22">
        <f>$B22*'Time Series Scaling Factors'!C73</f>
        <v>0</v>
      </c>
      <c r="D22">
        <f>$B22*'Time Series Scaling Factors'!D73</f>
        <v>0</v>
      </c>
      <c r="E22">
        <f>$B22*'Time Series Scaling Factors'!E73</f>
        <v>0</v>
      </c>
      <c r="F22">
        <f>$B22*'Time Series Scaling Factors'!F73</f>
        <v>0</v>
      </c>
      <c r="G22">
        <f>$B22*'Time Series Scaling Factors'!G73</f>
        <v>0</v>
      </c>
      <c r="H22">
        <f>$B22*'Time Series Scaling Factors'!H73</f>
        <v>0</v>
      </c>
      <c r="I22">
        <f>$B22*'Time Series Scaling Factors'!I73</f>
        <v>0</v>
      </c>
      <c r="J22">
        <f>$B22*'Time Series Scaling Factors'!J73</f>
        <v>0</v>
      </c>
      <c r="K22">
        <f>$B22*'Time Series Scaling Factors'!K73</f>
        <v>0</v>
      </c>
      <c r="L22">
        <f>$B22*'Time Series Scaling Factors'!L73</f>
        <v>0</v>
      </c>
      <c r="M22">
        <f>$B22*'Time Series Scaling Factors'!M73</f>
        <v>0</v>
      </c>
      <c r="N22">
        <f>$B22*'Time Series Scaling Factors'!N73</f>
        <v>0</v>
      </c>
      <c r="O22">
        <f>$B22*'Time Series Scaling Factors'!O73</f>
        <v>0</v>
      </c>
      <c r="P22">
        <f>$B22*'Time Series Scaling Factors'!P73</f>
        <v>0</v>
      </c>
      <c r="Q22">
        <f>$B22*'Time Series Scaling Factors'!Q73</f>
        <v>0</v>
      </c>
      <c r="R22">
        <f>$B22*'Time Series Scaling Factors'!R73</f>
        <v>0</v>
      </c>
      <c r="S22">
        <f>$B22*'Time Series Scaling Factors'!S73</f>
        <v>0</v>
      </c>
      <c r="T22">
        <f>$B22*'Time Series Scaling Factors'!T73</f>
        <v>0</v>
      </c>
      <c r="U22">
        <f>$B22*'Time Series Scaling Factors'!U73</f>
        <v>0</v>
      </c>
      <c r="V22">
        <f>$B22*'Time Series Scaling Factors'!V73</f>
        <v>0</v>
      </c>
      <c r="W22">
        <f>$B22*'Time Series Scaling Factors'!W73</f>
        <v>0</v>
      </c>
      <c r="X22">
        <f>$B22*'Time Series Scaling Factors'!X73</f>
        <v>0</v>
      </c>
      <c r="Y22">
        <f>$B22*'Time Series Scaling Factors'!Y73</f>
        <v>0</v>
      </c>
      <c r="Z22">
        <f>$B22*'Time Series Scaling Factors'!Z73</f>
        <v>0</v>
      </c>
      <c r="AA22">
        <f>$B22*'Time Series Scaling Factors'!AA73</f>
        <v>0</v>
      </c>
      <c r="AB22">
        <f>$B22*'Time Series Scaling Factors'!AB73</f>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Petroleum and Biofuel Data</vt:lpstr>
      <vt:lpstr>Petroleum and Biofuels </vt:lpstr>
      <vt:lpstr>Biomass Data</vt:lpstr>
      <vt:lpstr>Uranium, Coal, MSW, Hydrogen</vt:lpstr>
      <vt:lpstr>AEO 2025 HZC Table 1</vt:lpstr>
      <vt:lpstr>AEO 2025 Alt T Table 1</vt:lpstr>
      <vt:lpstr>AEO 2025 Alt T Table 19</vt:lpstr>
      <vt:lpstr>AEO Conversion Factors</vt:lpstr>
      <vt:lpstr>GREET1 Fuel_Specs</vt:lpstr>
      <vt:lpstr>Start Year Data</vt:lpstr>
      <vt:lpstr>Time Series Scaling Factors</vt:lpstr>
      <vt:lpstr>BFPIaE-production</vt:lpstr>
      <vt:lpstr>BFPIaE-imports</vt:lpstr>
      <vt:lpstr>BFPIaE-exports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2019-07-26T21:45:06Z</dcterms:created>
  <dcterms:modified xsi:type="dcterms:W3CDTF">2025-12-23T22:33:55Z</dcterms:modified>
</cp:coreProperties>
</file>